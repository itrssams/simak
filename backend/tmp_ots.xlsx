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X:\KEUANGAN SHARED (ALL)\MPP AL MUNAWARAH\OTS\"/>
    </mc:Choice>
  </mc:AlternateContent>
  <xr:revisionPtr revIDLastSave="0" documentId="13_ncr:1_{A845FC33-FEAA-4668-ABA3-7007595E3407}" xr6:coauthVersionLast="47" xr6:coauthVersionMax="47" xr10:uidLastSave="{00000000-0000-0000-0000-000000000000}"/>
  <bookViews>
    <workbookView showHorizontalScroll="0" showVerticalScroll="0" showSheetTabs="0" xWindow="9615" yWindow="120" windowWidth="9945" windowHeight="10650" xr2:uid="{00000000-000D-0000-FFFF-FFFF00000000}"/>
  </bookViews>
  <sheets>
    <sheet name="LIST FAKTUR" sheetId="1" r:id="rId1"/>
    <sheet name="Sheet2" sheetId="7" state="hidden" r:id="rId2"/>
    <sheet name="LF-Obat-BHP" sheetId="3" state="hidden" r:id="rId3"/>
    <sheet name="Sheet4" sheetId="4" state="hidden" r:id="rId4"/>
    <sheet name="Sheet3" sheetId="5" state="hidden" r:id="rId5"/>
    <sheet name="Sheet1" sheetId="6" state="hidden" r:id="rId6"/>
  </sheets>
  <definedNames>
    <definedName name="_xlnm._FilterDatabase" localSheetId="2" hidden="1">'LF-Obat-BHP'!$A$2:$O$1839</definedName>
    <definedName name="_xlnm._FilterDatabase" localSheetId="0" hidden="1">'LIST FAKTUR'!$A$2:$Z$3075</definedName>
    <definedName name="_xlnm.Print_Area" localSheetId="0">'LIST FAKTUR'!$H$2289:$T$2348</definedName>
  </definedNames>
  <calcPr calcId="191029"/>
  <pivotCaches>
    <pivotCache cacheId="8" r:id="rId7"/>
    <pivotCache cacheId="12" r:id="rId8"/>
  </pivotCaches>
</workbook>
</file>

<file path=xl/calcChain.xml><?xml version="1.0" encoding="utf-8"?>
<calcChain xmlns="http://schemas.openxmlformats.org/spreadsheetml/2006/main">
  <c r="O1749" i="1" l="1"/>
  <c r="L1761" i="1"/>
  <c r="S1760" i="1"/>
  <c r="T1760" i="1" s="1"/>
  <c r="O1410" i="1" l="1"/>
  <c r="S132" i="1" l="1"/>
  <c r="L2411" i="1"/>
  <c r="S2411" i="1"/>
  <c r="T2411" i="1" s="1"/>
  <c r="S648" i="1"/>
  <c r="T648" i="1" s="1"/>
  <c r="S647" i="1"/>
  <c r="T647" i="1" s="1"/>
  <c r="L646" i="1"/>
  <c r="T646" i="1" l="1"/>
  <c r="S646" i="1"/>
  <c r="V646" i="1" s="1"/>
  <c r="W646" i="1" s="1"/>
  <c r="O450" i="1" l="1"/>
  <c r="S136" i="1"/>
  <c r="T136" i="1" s="1"/>
  <c r="S137" i="1"/>
  <c r="T137" i="1" s="1"/>
  <c r="S138" i="1"/>
  <c r="T138" i="1" s="1"/>
  <c r="S139" i="1"/>
  <c r="T139" i="1" s="1"/>
  <c r="S1062" i="1"/>
  <c r="T1062" i="1" s="1"/>
  <c r="S1861" i="1" l="1"/>
  <c r="T1861" i="1" s="1"/>
  <c r="S2752" i="1"/>
  <c r="S1535" i="1"/>
  <c r="T1535" i="1" s="1"/>
  <c r="S1536" i="1"/>
  <c r="T1536" i="1" s="1"/>
  <c r="S1537" i="1"/>
  <c r="T1537" i="1" s="1"/>
  <c r="S1538" i="1"/>
  <c r="T1538" i="1" s="1"/>
  <c r="L1539" i="1"/>
  <c r="O1539" i="1" s="1"/>
  <c r="S1540" i="1"/>
  <c r="T1540" i="1" s="1"/>
  <c r="S1541" i="1"/>
  <c r="T1541" i="1" s="1"/>
  <c r="S1542" i="1"/>
  <c r="T1542" i="1" s="1"/>
  <c r="S1543" i="1"/>
  <c r="T1543" i="1" s="1"/>
  <c r="S1544" i="1"/>
  <c r="T1544" i="1" s="1"/>
  <c r="S1545" i="1"/>
  <c r="T1545" i="1" s="1"/>
  <c r="S1546" i="1"/>
  <c r="T1546" i="1" s="1"/>
  <c r="S1455" i="1"/>
  <c r="T1455" i="1" s="1"/>
  <c r="S135" i="1"/>
  <c r="T135" i="1" s="1"/>
  <c r="S134" i="1"/>
  <c r="T134" i="1" s="1"/>
  <c r="S2539" i="1"/>
  <c r="T2539" i="1" s="1"/>
  <c r="S1262" i="1"/>
  <c r="T1262" i="1" s="1"/>
  <c r="S1261" i="1"/>
  <c r="T1261" i="1" s="1"/>
  <c r="S1260" i="1"/>
  <c r="T1260" i="1" s="1"/>
  <c r="S1259" i="1"/>
  <c r="T1259" i="1" s="1"/>
  <c r="S1258" i="1"/>
  <c r="T1258" i="1" s="1"/>
  <c r="S1257" i="1"/>
  <c r="T1257" i="1" s="1"/>
  <c r="S1256" i="1"/>
  <c r="T1256" i="1" s="1"/>
  <c r="S1255" i="1"/>
  <c r="T1255" i="1" s="1"/>
  <c r="S2727" i="1"/>
  <c r="T2727" i="1" s="1"/>
  <c r="L1939" i="1"/>
  <c r="S1938" i="1"/>
  <c r="T1938" i="1" s="1"/>
  <c r="O1675" i="1"/>
  <c r="O1240" i="1"/>
  <c r="S1539" i="1" l="1"/>
  <c r="T1539" i="1" s="1"/>
  <c r="L1548" i="1"/>
  <c r="S1548" i="1" s="1"/>
  <c r="T1548" i="1" s="1"/>
  <c r="S606" i="1" l="1"/>
  <c r="T606" i="1" s="1"/>
  <c r="S607" i="1"/>
  <c r="T607" i="1" s="1"/>
  <c r="L2613" i="1"/>
  <c r="S2613" i="1"/>
  <c r="S453" i="1"/>
  <c r="T453" i="1" s="1"/>
  <c r="S1054" i="1"/>
  <c r="T1054" i="1" s="1"/>
  <c r="S1055" i="1"/>
  <c r="T1055" i="1" s="1"/>
  <c r="S1056" i="1"/>
  <c r="T1056" i="1" s="1"/>
  <c r="S1057" i="1"/>
  <c r="T1057" i="1" s="1"/>
  <c r="S1058" i="1"/>
  <c r="T1058" i="1" s="1"/>
  <c r="S1059" i="1"/>
  <c r="T1059" i="1" s="1"/>
  <c r="S1060" i="1"/>
  <c r="T1060" i="1" s="1"/>
  <c r="S1061" i="1"/>
  <c r="T1061" i="1" s="1"/>
  <c r="S1063" i="1"/>
  <c r="T1063" i="1" s="1"/>
  <c r="S941" i="1"/>
  <c r="T941" i="1" s="1"/>
  <c r="S940" i="1"/>
  <c r="T940" i="1" s="1"/>
  <c r="L538" i="1"/>
  <c r="T2613" i="1" l="1"/>
  <c r="S538" i="1"/>
  <c r="T538" i="1" s="1"/>
  <c r="S133" i="1"/>
  <c r="L133" i="1"/>
  <c r="S290" i="1"/>
  <c r="T290" i="1" s="1"/>
  <c r="S289" i="1"/>
  <c r="T289" i="1" s="1"/>
  <c r="S288" i="1"/>
  <c r="T288" i="1" s="1"/>
  <c r="S287" i="1"/>
  <c r="T287" i="1" s="1"/>
  <c r="S281" i="1"/>
  <c r="T281" i="1" s="1"/>
  <c r="S277" i="1"/>
  <c r="T277" i="1" s="1"/>
  <c r="S278" i="1"/>
  <c r="T278" i="1" s="1"/>
  <c r="S279" i="1"/>
  <c r="T279" i="1" s="1"/>
  <c r="S280" i="1"/>
  <c r="T280" i="1" s="1"/>
  <c r="S282" i="1"/>
  <c r="T282" i="1" s="1"/>
  <c r="S283" i="1"/>
  <c r="T283" i="1" s="1"/>
  <c r="S284" i="1"/>
  <c r="T284" i="1" s="1"/>
  <c r="S285" i="1"/>
  <c r="T285" i="1" s="1"/>
  <c r="S286" i="1"/>
  <c r="T286" i="1" s="1"/>
  <c r="S454" i="1"/>
  <c r="T454" i="1" s="1"/>
  <c r="T133" i="1" l="1"/>
  <c r="O1426" i="1"/>
  <c r="L2282" i="1" l="1"/>
  <c r="S2281" i="1"/>
  <c r="T2281" i="1" s="1"/>
  <c r="L2724" i="1"/>
  <c r="O1045" i="1"/>
  <c r="O752" i="1" l="1"/>
  <c r="O2490" i="1"/>
  <c r="L2311" i="1"/>
  <c r="S2310" i="1"/>
  <c r="T2310" i="1" s="1"/>
  <c r="S2410" i="1" l="1"/>
  <c r="T2410" i="1" s="1"/>
  <c r="S2704" i="1"/>
  <c r="T2704" i="1" s="1"/>
  <c r="S2612" i="1"/>
  <c r="S2462" i="1"/>
  <c r="T2462" i="1" s="1"/>
  <c r="L2612" i="1"/>
  <c r="S1647" i="1"/>
  <c r="T1647" i="1" s="1"/>
  <c r="S767" i="1"/>
  <c r="T767" i="1" s="1"/>
  <c r="S2263" i="1"/>
  <c r="T2263" i="1" s="1"/>
  <c r="S2155" i="1"/>
  <c r="T2155" i="1" s="1"/>
  <c r="S915" i="1"/>
  <c r="T915" i="1" s="1"/>
  <c r="S914" i="1"/>
  <c r="T914" i="1" s="1"/>
  <c r="S913" i="1"/>
  <c r="T913" i="1" s="1"/>
  <c r="S912" i="1"/>
  <c r="T912" i="1" s="1"/>
  <c r="S911" i="1"/>
  <c r="T911" i="1" s="1"/>
  <c r="S2547" i="1"/>
  <c r="T2547" i="1" s="1"/>
  <c r="T2612" i="1" l="1"/>
  <c r="S1555" i="1"/>
  <c r="T1555" i="1" s="1"/>
  <c r="S1554" i="1"/>
  <c r="T1554" i="1" s="1"/>
  <c r="S1553" i="1"/>
  <c r="T1553" i="1" s="1"/>
  <c r="S1552" i="1"/>
  <c r="T1552" i="1" s="1"/>
  <c r="S1551" i="1"/>
  <c r="T1551" i="1" s="1"/>
  <c r="S1550" i="1"/>
  <c r="T1550" i="1" s="1"/>
  <c r="S1549" i="1"/>
  <c r="T1549" i="1" s="1"/>
  <c r="S1392" i="1"/>
  <c r="T1392" i="1" s="1"/>
  <c r="S1393" i="1"/>
  <c r="T1393" i="1" s="1"/>
  <c r="S1394" i="1"/>
  <c r="T1394" i="1" s="1"/>
  <c r="S1395" i="1"/>
  <c r="T1395" i="1" s="1"/>
  <c r="S1053" i="1"/>
  <c r="T1053" i="1" s="1"/>
  <c r="S1251" i="1"/>
  <c r="T1251" i="1" s="1"/>
  <c r="S1252" i="1"/>
  <c r="T1252" i="1" s="1"/>
  <c r="S1253" i="1"/>
  <c r="T1253" i="1" s="1"/>
  <c r="S1254" i="1"/>
  <c r="T1254" i="1" s="1"/>
  <c r="S1263" i="1"/>
  <c r="T1263" i="1" s="1"/>
  <c r="S1479" i="1"/>
  <c r="T1479" i="1" s="1"/>
  <c r="S1480" i="1"/>
  <c r="T1480" i="1" s="1"/>
  <c r="S1481" i="1"/>
  <c r="T1481" i="1" s="1"/>
  <c r="S1482" i="1"/>
  <c r="T1482" i="1" s="1"/>
  <c r="S1483" i="1"/>
  <c r="T1483" i="1" s="1"/>
  <c r="S1478" i="1"/>
  <c r="T1478" i="1" s="1"/>
  <c r="S766" i="1"/>
  <c r="T766" i="1" s="1"/>
  <c r="S765" i="1"/>
  <c r="T765" i="1" s="1"/>
  <c r="S764" i="1"/>
  <c r="T764" i="1" s="1"/>
  <c r="S763" i="1"/>
  <c r="T763" i="1" s="1"/>
  <c r="S756" i="1"/>
  <c r="T756" i="1" s="1"/>
  <c r="S757" i="1"/>
  <c r="T757" i="1" s="1"/>
  <c r="S758" i="1"/>
  <c r="T758" i="1" s="1"/>
  <c r="S759" i="1"/>
  <c r="T759" i="1" s="1"/>
  <c r="S760" i="1"/>
  <c r="T760" i="1" s="1"/>
  <c r="S761" i="1"/>
  <c r="T761" i="1" s="1"/>
  <c r="S762" i="1"/>
  <c r="T762" i="1" s="1"/>
  <c r="S663" i="1"/>
  <c r="T663" i="1" s="1"/>
  <c r="L2180" i="1"/>
  <c r="L1830" i="1"/>
  <c r="L1834" i="1"/>
  <c r="L1854" i="1"/>
  <c r="L1864" i="1"/>
  <c r="L1803" i="1"/>
  <c r="L1700" i="1"/>
  <c r="L1654" i="1"/>
  <c r="L1587" i="1"/>
  <c r="L1637" i="1"/>
  <c r="L1440" i="1"/>
  <c r="L1423" i="1"/>
  <c r="L1265" i="1"/>
  <c r="L949" i="1"/>
  <c r="L944" i="1"/>
  <c r="L927" i="1"/>
  <c r="L923" i="1"/>
  <c r="L918" i="1"/>
  <c r="L842" i="1"/>
  <c r="L833" i="1"/>
  <c r="L784" i="1"/>
  <c r="L799" i="1"/>
  <c r="L636" i="1"/>
  <c r="L650" i="1"/>
  <c r="L610" i="1"/>
  <c r="L549" i="1"/>
  <c r="L544" i="1"/>
  <c r="L12" i="1"/>
  <c r="L5" i="1"/>
  <c r="L654" i="1"/>
  <c r="S2177" i="1" l="1"/>
  <c r="T2177" i="1" s="1"/>
  <c r="O1819" i="1" l="1"/>
  <c r="S2347" i="1" l="1"/>
  <c r="T2347" i="1" s="1"/>
  <c r="S796" i="1"/>
  <c r="T796" i="1" s="1"/>
  <c r="S827" i="1" l="1"/>
  <c r="T827" i="1" s="1"/>
  <c r="S828" i="1"/>
  <c r="T828" i="1" s="1"/>
  <c r="S829" i="1"/>
  <c r="T829" i="1" s="1"/>
  <c r="S830" i="1"/>
  <c r="T830" i="1" s="1"/>
  <c r="S831" i="1"/>
  <c r="T831" i="1" s="1"/>
  <c r="S1046" i="1"/>
  <c r="T1046" i="1" s="1"/>
  <c r="S1047" i="1"/>
  <c r="T1047" i="1" s="1"/>
  <c r="S1048" i="1"/>
  <c r="T1048" i="1" s="1"/>
  <c r="S1049" i="1"/>
  <c r="T1049" i="1" s="1"/>
  <c r="S1050" i="1"/>
  <c r="T1050" i="1" s="1"/>
  <c r="S1051" i="1"/>
  <c r="T1051" i="1" s="1"/>
  <c r="S1052" i="1"/>
  <c r="T1052" i="1" s="1"/>
  <c r="S452" i="1"/>
  <c r="T452" i="1" s="1"/>
  <c r="S451" i="1"/>
  <c r="T451" i="1" s="1"/>
  <c r="S450" i="1"/>
  <c r="T450" i="1" s="1"/>
  <c r="S1796" i="1" l="1"/>
  <c r="T1796" i="1" s="1"/>
  <c r="S1797" i="1"/>
  <c r="T1797" i="1" s="1"/>
  <c r="S1798" i="1"/>
  <c r="T1798" i="1" s="1"/>
  <c r="S1799" i="1"/>
  <c r="T1799" i="1" s="1"/>
  <c r="S1800" i="1"/>
  <c r="T1800" i="1" s="1"/>
  <c r="S1801" i="1"/>
  <c r="T1801" i="1" s="1"/>
  <c r="S2207" i="1"/>
  <c r="T2207" i="1" s="1"/>
  <c r="S2208" i="1"/>
  <c r="T2208" i="1" s="1"/>
  <c r="S2209" i="1"/>
  <c r="T2209" i="1" s="1"/>
  <c r="S2210" i="1"/>
  <c r="T2210" i="1" s="1"/>
  <c r="S2211" i="1"/>
  <c r="T2211" i="1" s="1"/>
  <c r="S2369" i="1"/>
  <c r="T2369" i="1" s="1"/>
  <c r="S2216" i="1"/>
  <c r="T2216" i="1" s="1"/>
  <c r="S2134" i="1"/>
  <c r="T2134" i="1" s="1"/>
  <c r="S2396" i="1"/>
  <c r="L2396" i="1"/>
  <c r="L2395" i="1"/>
  <c r="L2394" i="1"/>
  <c r="L2393" i="1"/>
  <c r="L2392" i="1"/>
  <c r="L2391" i="1"/>
  <c r="L2390" i="1"/>
  <c r="L2389" i="1"/>
  <c r="S2389" i="1"/>
  <c r="S2390" i="1"/>
  <c r="S2391" i="1"/>
  <c r="S2392" i="1"/>
  <c r="S2393" i="1"/>
  <c r="S2394" i="1"/>
  <c r="S2395" i="1"/>
  <c r="S2397" i="1"/>
  <c r="T2397" i="1" s="1"/>
  <c r="S2388" i="1"/>
  <c r="L2388" i="1"/>
  <c r="S537" i="1"/>
  <c r="T537" i="1" s="1"/>
  <c r="S2611" i="1"/>
  <c r="T2611" i="1" s="1"/>
  <c r="S2610" i="1"/>
  <c r="T2610" i="1" s="1"/>
  <c r="S2181" i="1"/>
  <c r="S2242" i="1"/>
  <c r="T2242" i="1" s="1"/>
  <c r="O1738" i="1"/>
  <c r="T2396" i="1" l="1"/>
  <c r="T2391" i="1"/>
  <c r="T2388" i="1"/>
  <c r="T2395" i="1"/>
  <c r="T2392" i="1"/>
  <c r="T2389" i="1"/>
  <c r="T2390" i="1"/>
  <c r="T2393" i="1"/>
  <c r="T2394" i="1"/>
  <c r="T2181" i="1"/>
  <c r="L1969" i="1"/>
  <c r="S1968" i="1"/>
  <c r="T1968" i="1" s="1"/>
  <c r="L1967" i="1"/>
  <c r="S1966" i="1"/>
  <c r="T1966" i="1" s="1"/>
  <c r="S1869" i="1"/>
  <c r="L526" i="1"/>
  <c r="S525" i="1"/>
  <c r="T525" i="1" s="1"/>
  <c r="S2747" i="1"/>
  <c r="L2747" i="1" l="1"/>
  <c r="T2747" i="1" s="1"/>
  <c r="L2723" i="1"/>
  <c r="O1384" i="1"/>
  <c r="O1845" i="1"/>
  <c r="S1246" i="1" l="1"/>
  <c r="T1246" i="1" s="1"/>
  <c r="S1247" i="1"/>
  <c r="T1247" i="1" s="1"/>
  <c r="S1248" i="1"/>
  <c r="T1248" i="1" s="1"/>
  <c r="S1249" i="1"/>
  <c r="T1249" i="1" s="1"/>
  <c r="S1250" i="1"/>
  <c r="T1250" i="1" s="1"/>
  <c r="S130" i="1"/>
  <c r="T130" i="1" s="1"/>
  <c r="S131" i="1"/>
  <c r="T131" i="1" s="1"/>
  <c r="T132" i="1"/>
  <c r="S140" i="1"/>
  <c r="T140" i="1" s="1"/>
  <c r="S276" i="1"/>
  <c r="T276" i="1" s="1"/>
  <c r="S1045" i="1"/>
  <c r="T1045" i="1" s="1"/>
  <c r="S2538" i="1" l="1"/>
  <c r="T2538" i="1" s="1"/>
  <c r="L536" i="1"/>
  <c r="O748" i="1" l="1"/>
  <c r="L755" i="1" l="1"/>
  <c r="S755" i="1"/>
  <c r="S754" i="1"/>
  <c r="T754" i="1" s="1"/>
  <c r="S752" i="1"/>
  <c r="T752" i="1" s="1"/>
  <c r="S753" i="1"/>
  <c r="T753" i="1" s="1"/>
  <c r="S24" i="1"/>
  <c r="T24" i="1" s="1"/>
  <c r="L129" i="1"/>
  <c r="S129" i="1" s="1"/>
  <c r="S128" i="1"/>
  <c r="T128" i="1" s="1"/>
  <c r="S1391" i="1"/>
  <c r="T1391" i="1" s="1"/>
  <c r="S1390" i="1"/>
  <c r="T1390" i="1" s="1"/>
  <c r="S1389" i="1"/>
  <c r="T1389" i="1" s="1"/>
  <c r="S1388" i="1"/>
  <c r="T1388" i="1" s="1"/>
  <c r="S910" i="1"/>
  <c r="T910" i="1" s="1"/>
  <c r="S909" i="1"/>
  <c r="T909" i="1" s="1"/>
  <c r="S908" i="1"/>
  <c r="T908" i="1" s="1"/>
  <c r="S1240" i="1"/>
  <c r="T1240" i="1" s="1"/>
  <c r="S1241" i="1"/>
  <c r="T1241" i="1" s="1"/>
  <c r="S1242" i="1"/>
  <c r="T1242" i="1" s="1"/>
  <c r="S1243" i="1"/>
  <c r="T1243" i="1" s="1"/>
  <c r="S1244" i="1"/>
  <c r="T1244" i="1" s="1"/>
  <c r="S1245" i="1"/>
  <c r="T1245" i="1" s="1"/>
  <c r="T755" i="1" l="1"/>
  <c r="T129" i="1"/>
  <c r="L2302" i="1"/>
  <c r="O2302" i="1" s="1"/>
  <c r="L2301" i="1"/>
  <c r="O2294" i="1" s="1"/>
  <c r="S2301" i="1"/>
  <c r="T2301" i="1" s="1"/>
  <c r="S2300" i="1"/>
  <c r="T2300" i="1" s="1"/>
  <c r="O2259" i="1"/>
  <c r="S1529" i="1" l="1"/>
  <c r="T1529" i="1" s="1"/>
  <c r="O1530" i="1" l="1"/>
  <c r="O1532" i="1"/>
  <c r="O792" i="1" l="1"/>
  <c r="L2014" i="1" l="1"/>
  <c r="O2014" i="1" s="1"/>
  <c r="L2013" i="1"/>
  <c r="S2013" i="1" s="1"/>
  <c r="T2013" i="1" s="1"/>
  <c r="O2231" i="1"/>
  <c r="O1040" i="1"/>
  <c r="S2606" i="1" l="1"/>
  <c r="T2606" i="1" s="1"/>
  <c r="L2605" i="1"/>
  <c r="S1547" i="1"/>
  <c r="T1547" i="1" s="1"/>
  <c r="S2215" i="1"/>
  <c r="T2215" i="1" s="1"/>
  <c r="O1448" i="1" l="1"/>
  <c r="O889" i="1"/>
  <c r="S2154" i="1" l="1"/>
  <c r="T2154" i="1" s="1"/>
  <c r="S2262" i="1"/>
  <c r="T2262" i="1" s="1"/>
  <c r="S266" i="1"/>
  <c r="T266" i="1" s="1"/>
  <c r="S1697" i="1"/>
  <c r="T1697" i="1" s="1"/>
  <c r="S1696" i="1"/>
  <c r="T1696" i="1" s="1"/>
  <c r="S444" i="1"/>
  <c r="T444" i="1" s="1"/>
  <c r="S445" i="1"/>
  <c r="T445" i="1" s="1"/>
  <c r="S446" i="1"/>
  <c r="T446" i="1" s="1"/>
  <c r="S447" i="1"/>
  <c r="T447" i="1" s="1"/>
  <c r="S448" i="1"/>
  <c r="T448" i="1" s="1"/>
  <c r="S449" i="1"/>
  <c r="T449" i="1" s="1"/>
  <c r="S536" i="1"/>
  <c r="T536" i="1" l="1"/>
  <c r="S2280" i="1" l="1"/>
  <c r="T2280" i="1" s="1"/>
  <c r="O1038" i="1"/>
  <c r="O602" i="1"/>
  <c r="O2602" i="1"/>
  <c r="L2604" i="1"/>
  <c r="S2603" i="1"/>
  <c r="T2603" i="1" s="1"/>
  <c r="S2409" i="1" l="1"/>
  <c r="T2409" i="1" s="1"/>
  <c r="O436" i="1"/>
  <c r="L2746" i="1"/>
  <c r="S2746" i="1"/>
  <c r="S2726" i="1"/>
  <c r="T2726" i="1" s="1"/>
  <c r="S2703" i="1"/>
  <c r="T2703" i="1" s="1"/>
  <c r="S2902" i="1"/>
  <c r="T2902" i="1" s="1"/>
  <c r="S2903" i="1"/>
  <c r="T2903" i="1" s="1"/>
  <c r="S2904" i="1"/>
  <c r="T2904" i="1" s="1"/>
  <c r="S2905" i="1"/>
  <c r="T2905" i="1" s="1"/>
  <c r="S2906" i="1"/>
  <c r="T2906" i="1" s="1"/>
  <c r="S2760" i="1"/>
  <c r="T2760" i="1" s="1"/>
  <c r="S2761" i="1"/>
  <c r="T2761" i="1" s="1"/>
  <c r="S2762" i="1"/>
  <c r="T2762" i="1" s="1"/>
  <c r="S2753" i="1"/>
  <c r="T2753" i="1" s="1"/>
  <c r="S2754" i="1"/>
  <c r="T2754" i="1" s="1"/>
  <c r="S2368" i="1"/>
  <c r="T2368" i="1" s="1"/>
  <c r="L275" i="1"/>
  <c r="O266" i="1" s="1"/>
  <c r="S657" i="1"/>
  <c r="T657" i="1" s="1"/>
  <c r="S1584" i="1"/>
  <c r="T1584" i="1" s="1"/>
  <c r="S1583" i="1"/>
  <c r="T1583" i="1" s="1"/>
  <c r="S274" i="1"/>
  <c r="T274" i="1" s="1"/>
  <c r="S748" i="1"/>
  <c r="T748" i="1" s="1"/>
  <c r="S749" i="1"/>
  <c r="T749" i="1" s="1"/>
  <c r="S750" i="1"/>
  <c r="T750" i="1" s="1"/>
  <c r="S751" i="1"/>
  <c r="T751" i="1" s="1"/>
  <c r="S826" i="1"/>
  <c r="T826" i="1" s="1"/>
  <c r="S2537" i="1"/>
  <c r="T2537" i="1" s="1"/>
  <c r="S2176" i="1"/>
  <c r="T2176" i="1" s="1"/>
  <c r="S1454" i="1"/>
  <c r="T1454" i="1" s="1"/>
  <c r="S839" i="1"/>
  <c r="T839" i="1" s="1"/>
  <c r="S440" i="1"/>
  <c r="T440" i="1" s="1"/>
  <c r="S441" i="1"/>
  <c r="T441" i="1" s="1"/>
  <c r="S442" i="1"/>
  <c r="T442" i="1" s="1"/>
  <c r="S443" i="1"/>
  <c r="T443" i="1" s="1"/>
  <c r="L120" i="1"/>
  <c r="O1725" i="1"/>
  <c r="O1035" i="1"/>
  <c r="O588" i="1"/>
  <c r="S2294" i="1"/>
  <c r="T2294" i="1" s="1"/>
  <c r="S275" i="1" l="1"/>
  <c r="T275" i="1" s="1"/>
  <c r="T2746" i="1"/>
  <c r="S1228" i="1"/>
  <c r="O1228" i="1"/>
  <c r="O1380" i="1"/>
  <c r="S120" i="1" l="1"/>
  <c r="S2408" i="1"/>
  <c r="T2408" i="1" s="1"/>
  <c r="L2202" i="1" l="1"/>
  <c r="S2201" i="1"/>
  <c r="T2201" i="1" s="1"/>
  <c r="S2291" i="1" l="1"/>
  <c r="L2132" i="1" l="1"/>
  <c r="O2130" i="1" s="1"/>
  <c r="T120" i="1" l="1"/>
  <c r="L1958" i="1" l="1"/>
  <c r="S1958" i="1" s="1"/>
  <c r="S2132" i="1"/>
  <c r="T1958" i="1" l="1"/>
  <c r="T2132" i="1"/>
  <c r="S1695" i="1"/>
  <c r="T1695" i="1" s="1"/>
  <c r="L1996" i="1"/>
  <c r="O1996" i="1" s="1"/>
  <c r="L1995" i="1"/>
  <c r="O1975" i="1" s="1"/>
  <c r="S1996" i="1"/>
  <c r="T1996" i="1" l="1"/>
  <c r="S2133" i="1"/>
  <c r="T2133" i="1" s="1"/>
  <c r="L534" i="1" l="1"/>
  <c r="L747" i="1" l="1"/>
  <c r="S747" i="1" s="1"/>
  <c r="S2514" i="1"/>
  <c r="T2514" i="1" s="1"/>
  <c r="S1239" i="1"/>
  <c r="T1239" i="1" s="1"/>
  <c r="S1634" i="1"/>
  <c r="T1634" i="1" s="1"/>
  <c r="S1633" i="1"/>
  <c r="T1633" i="1" s="1"/>
  <c r="S1860" i="1"/>
  <c r="T1860" i="1" s="1"/>
  <c r="T747" i="1" l="1"/>
  <c r="S2607" i="1"/>
  <c r="T2607" i="1" s="1"/>
  <c r="S2608" i="1"/>
  <c r="T2608" i="1" s="1"/>
  <c r="S2609" i="1"/>
  <c r="T2609" i="1" s="1"/>
  <c r="S2614" i="1"/>
  <c r="T2614" i="1" s="1"/>
  <c r="S267" i="1"/>
  <c r="T267" i="1" s="1"/>
  <c r="S268" i="1"/>
  <c r="T268" i="1" s="1"/>
  <c r="S269" i="1"/>
  <c r="T269" i="1" s="1"/>
  <c r="S270" i="1"/>
  <c r="T270" i="1" s="1"/>
  <c r="S271" i="1"/>
  <c r="T271" i="1" s="1"/>
  <c r="S272" i="1"/>
  <c r="T272" i="1" s="1"/>
  <c r="S273" i="1"/>
  <c r="T273" i="1" s="1"/>
  <c r="S291" i="1"/>
  <c r="T291" i="1" s="1"/>
  <c r="S436" i="1"/>
  <c r="T436" i="1" s="1"/>
  <c r="S437" i="1"/>
  <c r="T437" i="1" s="1"/>
  <c r="S438" i="1"/>
  <c r="T438" i="1" s="1"/>
  <c r="S439" i="1"/>
  <c r="T439" i="1" s="1"/>
  <c r="S658" i="1"/>
  <c r="T658" i="1" s="1"/>
  <c r="S656" i="1"/>
  <c r="T656" i="1" s="1"/>
  <c r="S655" i="1"/>
  <c r="T655" i="1" l="1"/>
  <c r="T654" i="1" s="1"/>
  <c r="S654" i="1"/>
  <c r="O932" i="1"/>
  <c r="S1033" i="1"/>
  <c r="V654" i="1" l="1"/>
  <c r="W654" i="1" s="1"/>
  <c r="O630" i="1" l="1"/>
  <c r="O1710" i="1" l="1"/>
  <c r="S2759" i="1"/>
  <c r="T2759" i="1" s="1"/>
  <c r="S2758" i="1"/>
  <c r="T2758" i="1" s="1"/>
  <c r="T2752" i="1"/>
  <c r="S2755" i="1"/>
  <c r="T2755" i="1" s="1"/>
  <c r="L2745" i="1"/>
  <c r="L2744" i="1"/>
  <c r="S2744" i="1" s="1"/>
  <c r="L2743" i="1"/>
  <c r="S2743" i="1" s="1"/>
  <c r="S2742" i="1"/>
  <c r="T2742" i="1" s="1"/>
  <c r="S2745" i="1"/>
  <c r="S2748" i="1"/>
  <c r="T2748" i="1" s="1"/>
  <c r="S2722" i="1"/>
  <c r="T2722" i="1" s="1"/>
  <c r="S2723" i="1"/>
  <c r="T2723" i="1" s="1"/>
  <c r="S2724" i="1"/>
  <c r="T2724" i="1" s="1"/>
  <c r="S2725" i="1"/>
  <c r="T2725" i="1" s="1"/>
  <c r="S2728" i="1"/>
  <c r="T2728" i="1" s="1"/>
  <c r="T2743" i="1" l="1"/>
  <c r="T2744" i="1"/>
  <c r="T2745" i="1"/>
  <c r="S2241" i="1"/>
  <c r="T2241" i="1" s="1"/>
  <c r="O820" i="1"/>
  <c r="O435" i="1"/>
  <c r="S2113" i="1"/>
  <c r="T2113" i="1" s="1"/>
  <c r="S1453" i="1"/>
  <c r="T1453" i="1" s="1"/>
  <c r="S1822" i="1"/>
  <c r="T1822" i="1" s="1"/>
  <c r="S1823" i="1"/>
  <c r="T1823" i="1" s="1"/>
  <c r="S1321" i="1"/>
  <c r="T1321" i="1" s="1"/>
  <c r="S2153" i="1"/>
  <c r="T2153" i="1" s="1"/>
  <c r="S2261" i="1"/>
  <c r="T2261" i="1" s="1"/>
  <c r="S1693" i="1"/>
  <c r="T1693" i="1" s="1"/>
  <c r="S1694" i="1"/>
  <c r="T1694" i="1" s="1"/>
  <c r="S1880" i="1" l="1"/>
  <c r="T1880" i="1" s="1"/>
  <c r="S1881" i="1"/>
  <c r="T1881" i="1" s="1"/>
  <c r="S1882" i="1"/>
  <c r="T1882" i="1" s="1"/>
  <c r="S1238" i="1"/>
  <c r="T1238" i="1" s="1"/>
  <c r="S1237" i="1"/>
  <c r="T1237" i="1" s="1"/>
  <c r="S1236" i="1"/>
  <c r="T1236" i="1" s="1"/>
  <c r="S1795" i="1"/>
  <c r="T1795" i="1" s="1"/>
  <c r="S1794" i="1"/>
  <c r="T1794" i="1" s="1"/>
  <c r="S1793" i="1"/>
  <c r="T1793" i="1" s="1"/>
  <c r="S1792" i="1"/>
  <c r="T1792" i="1" s="1"/>
  <c r="S2367" i="1"/>
  <c r="T2367" i="1" s="1"/>
  <c r="S1645" i="1" l="1"/>
  <c r="T1645" i="1" s="1"/>
  <c r="S1646" i="1"/>
  <c r="T1646" i="1" s="1"/>
  <c r="S1648" i="1"/>
  <c r="T1648" i="1" s="1"/>
  <c r="S2040" i="1" l="1"/>
  <c r="T2040" i="1" s="1"/>
  <c r="S2039" i="1"/>
  <c r="T2039" i="1" s="1"/>
  <c r="S2038" i="1"/>
  <c r="T2038" i="1" s="1"/>
  <c r="S2037" i="1"/>
  <c r="T2037" i="1" s="1"/>
  <c r="S2036" i="1"/>
  <c r="T2036" i="1" s="1"/>
  <c r="L2702" i="1"/>
  <c r="S1937" i="1"/>
  <c r="T1937" i="1" s="1"/>
  <c r="O743" i="1" l="1"/>
  <c r="S795" i="1"/>
  <c r="T795" i="1" s="1"/>
  <c r="S743" i="1"/>
  <c r="T743" i="1" s="1"/>
  <c r="S744" i="1"/>
  <c r="T744" i="1" s="1"/>
  <c r="S745" i="1"/>
  <c r="T745" i="1" s="1"/>
  <c r="S746" i="1"/>
  <c r="T746" i="1" s="1"/>
  <c r="S768" i="1"/>
  <c r="T768" i="1" s="1"/>
  <c r="S1821" i="1"/>
  <c r="T1821" i="1" s="1"/>
  <c r="S2217" i="1"/>
  <c r="T2217" i="1" s="1"/>
  <c r="S2214" i="1"/>
  <c r="S794" i="1"/>
  <c r="T794" i="1" s="1"/>
  <c r="L2213" i="1"/>
  <c r="S2175" i="1"/>
  <c r="T2175" i="1" s="1"/>
  <c r="S121" i="1"/>
  <c r="T121" i="1" s="1"/>
  <c r="S122" i="1"/>
  <c r="T122" i="1" s="1"/>
  <c r="S123" i="1"/>
  <c r="T123" i="1" s="1"/>
  <c r="S124" i="1"/>
  <c r="T124" i="1" s="1"/>
  <c r="S125" i="1"/>
  <c r="T125" i="1" s="1"/>
  <c r="S126" i="1"/>
  <c r="T126" i="1" s="1"/>
  <c r="S127" i="1"/>
  <c r="T127" i="1" s="1"/>
  <c r="S2640" i="1"/>
  <c r="T2640" i="1" s="1"/>
  <c r="S1230" i="1"/>
  <c r="T1230" i="1" s="1"/>
  <c r="S1231" i="1"/>
  <c r="T1231" i="1" s="1"/>
  <c r="S1232" i="1"/>
  <c r="T1232" i="1" s="1"/>
  <c r="S1233" i="1"/>
  <c r="T1233" i="1" s="1"/>
  <c r="S1234" i="1"/>
  <c r="T1234" i="1" s="1"/>
  <c r="S1235" i="1"/>
  <c r="T1235" i="1" s="1"/>
  <c r="S1264" i="1"/>
  <c r="T1264" i="1" s="1"/>
  <c r="S2699" i="1"/>
  <c r="T2699" i="1" s="1"/>
  <c r="S2700" i="1"/>
  <c r="T2700" i="1" s="1"/>
  <c r="S2701" i="1"/>
  <c r="T2701" i="1" s="1"/>
  <c r="S2702" i="1"/>
  <c r="T2702" i="1" s="1"/>
  <c r="S2705" i="1"/>
  <c r="T2705" i="1" s="1"/>
  <c r="L2696" i="1"/>
  <c r="O2128" i="1"/>
  <c r="S2213" i="1" l="1"/>
  <c r="V2213" i="1" s="1"/>
  <c r="T2214" i="1"/>
  <c r="T2213" i="1" s="1"/>
  <c r="O1521" i="1"/>
  <c r="L1526" i="1"/>
  <c r="O1526" i="1" s="1"/>
  <c r="S1525" i="1"/>
  <c r="T1525" i="1" s="1"/>
  <c r="S1524" i="1"/>
  <c r="T1524" i="1" s="1"/>
  <c r="L1957" i="1"/>
  <c r="L1959" i="1" s="1"/>
  <c r="S2407" i="1"/>
  <c r="T2407" i="1" s="1"/>
  <c r="O2597" i="1"/>
  <c r="W2213" i="1" l="1"/>
  <c r="S1957" i="1"/>
  <c r="T1957" i="1" s="1"/>
  <c r="S2536" i="1" l="1"/>
  <c r="T2536" i="1" s="1"/>
  <c r="S23" i="1"/>
  <c r="T23" i="1" s="1"/>
  <c r="S1386" i="1"/>
  <c r="T1386" i="1" s="1"/>
  <c r="S1387" i="1"/>
  <c r="T1387" i="1" s="1"/>
  <c r="S939" i="1" l="1"/>
  <c r="T939" i="1" s="1"/>
  <c r="S2605" i="1"/>
  <c r="T2605" i="1" s="1"/>
  <c r="S1820" i="1"/>
  <c r="T1820" i="1" s="1"/>
  <c r="S793" i="1"/>
  <c r="T793" i="1" s="1"/>
  <c r="S1879" i="1"/>
  <c r="T1879" i="1" s="1"/>
  <c r="S838" i="1"/>
  <c r="T838" i="1" s="1"/>
  <c r="L2495" i="1"/>
  <c r="S2497" i="1"/>
  <c r="T2497" i="1" s="1"/>
  <c r="L2475" i="1"/>
  <c r="O880" i="1" l="1"/>
  <c r="O1869" i="1"/>
  <c r="O1701" i="1" l="1"/>
  <c r="L535" i="1" l="1"/>
  <c r="L2116" i="1" l="1"/>
  <c r="O1376" i="1" l="1"/>
  <c r="S2240" i="1" l="1"/>
  <c r="T2240" i="1" s="1"/>
  <c r="L732" i="1"/>
  <c r="S633" i="1" l="1"/>
  <c r="T633" i="1" s="1"/>
  <c r="S632" i="1"/>
  <c r="T632" i="1" s="1"/>
  <c r="S1384" i="1"/>
  <c r="T1384" i="1" s="1"/>
  <c r="S1385" i="1"/>
  <c r="T1385" i="1" s="1"/>
  <c r="S1831" i="1"/>
  <c r="S1830" i="1" s="1"/>
  <c r="S1437" i="1"/>
  <c r="T1437" i="1" s="1"/>
  <c r="S1433" i="1"/>
  <c r="T1433" i="1" s="1"/>
  <c r="S1692" i="1"/>
  <c r="T1692" i="1" s="1"/>
  <c r="S435" i="1"/>
  <c r="T435" i="1" s="1"/>
  <c r="T1228" i="1"/>
  <c r="S1229" i="1"/>
  <c r="T1229" i="1" s="1"/>
  <c r="S2130" i="1"/>
  <c r="T2130" i="1" s="1"/>
  <c r="S2131" i="1"/>
  <c r="T2131" i="1" s="1"/>
  <c r="S2668" i="1"/>
  <c r="T2668" i="1" s="1"/>
  <c r="L2667" i="1"/>
  <c r="S2669" i="1"/>
  <c r="L112" i="1"/>
  <c r="O112" i="1" s="1"/>
  <c r="L111" i="1"/>
  <c r="T1831" i="1" l="1"/>
  <c r="T1830" i="1" s="1"/>
  <c r="V1830" i="1"/>
  <c r="S2667" i="1"/>
  <c r="V2667" i="1" s="1"/>
  <c r="T2669" i="1"/>
  <c r="T2667" i="1" s="1"/>
  <c r="O1215" i="1"/>
  <c r="S2260" i="1"/>
  <c r="T2260" i="1" s="1"/>
  <c r="S605" i="1"/>
  <c r="T605" i="1" s="1"/>
  <c r="S604" i="1"/>
  <c r="T604" i="1" s="1"/>
  <c r="S603" i="1"/>
  <c r="T603" i="1" s="1"/>
  <c r="S258" i="1"/>
  <c r="T258" i="1" s="1"/>
  <c r="S259" i="1"/>
  <c r="T259" i="1" s="1"/>
  <c r="S260" i="1"/>
  <c r="T260" i="1" s="1"/>
  <c r="S261" i="1"/>
  <c r="T261" i="1" s="1"/>
  <c r="S262" i="1"/>
  <c r="T262" i="1" s="1"/>
  <c r="S263" i="1"/>
  <c r="T263" i="1" s="1"/>
  <c r="S264" i="1"/>
  <c r="T264" i="1" s="1"/>
  <c r="S265" i="1"/>
  <c r="T265" i="1" s="1"/>
  <c r="S1691" i="1"/>
  <c r="T1691" i="1" s="1"/>
  <c r="S664" i="1"/>
  <c r="T664" i="1" s="1"/>
  <c r="S662" i="1"/>
  <c r="T662" i="1" s="1"/>
  <c r="S1320" i="1"/>
  <c r="T1320" i="1" s="1"/>
  <c r="S2152" i="1"/>
  <c r="T2152" i="1" s="1"/>
  <c r="S825" i="1"/>
  <c r="T825" i="1" s="1"/>
  <c r="S2366" i="1"/>
  <c r="T2366" i="1" s="1"/>
  <c r="S22" i="1"/>
  <c r="T22" i="1" s="1"/>
  <c r="S1789" i="1"/>
  <c r="T1789" i="1" s="1"/>
  <c r="S1790" i="1"/>
  <c r="T1790" i="1" s="1"/>
  <c r="S1791" i="1"/>
  <c r="T1791" i="1" s="1"/>
  <c r="S118" i="1"/>
  <c r="T118" i="1" s="1"/>
  <c r="S119" i="1"/>
  <c r="T119" i="1" s="1"/>
  <c r="S433" i="1"/>
  <c r="T433" i="1" s="1"/>
  <c r="S434" i="1"/>
  <c r="T434" i="1" s="1"/>
  <c r="S2174" i="1"/>
  <c r="T2174" i="1" s="1"/>
  <c r="L2171" i="1"/>
  <c r="S2535" i="1"/>
  <c r="T2535" i="1" s="1"/>
  <c r="S2540" i="1"/>
  <c r="T2540" i="1" s="1"/>
  <c r="O1372" i="1"/>
  <c r="S602" i="1"/>
  <c r="T602" i="1" s="1"/>
  <c r="S938" i="1"/>
  <c r="T938" i="1" s="1"/>
  <c r="S116" i="1"/>
  <c r="T116" i="1" s="1"/>
  <c r="S117" i="1"/>
  <c r="T117" i="1" s="1"/>
  <c r="S1452" i="1"/>
  <c r="T1452" i="1" s="1"/>
  <c r="G53" i="7"/>
  <c r="G57" i="7" s="1"/>
  <c r="O1462" i="1"/>
  <c r="O2355" i="1"/>
  <c r="W1830" i="1" l="1"/>
  <c r="W2667" i="1"/>
  <c r="O1579" i="1" l="1"/>
  <c r="O1621" i="1"/>
  <c r="O1663" i="1"/>
  <c r="L1668" i="1" l="1"/>
  <c r="O1668" i="1" s="1"/>
  <c r="S1667" i="1"/>
  <c r="T1667" i="1" s="1"/>
  <c r="S2406" i="1"/>
  <c r="T2406" i="1" s="1"/>
  <c r="S2239" i="1"/>
  <c r="T2239" i="1" s="1"/>
  <c r="S742" i="1"/>
  <c r="T742" i="1" s="1"/>
  <c r="S741" i="1"/>
  <c r="T741" i="1" s="1"/>
  <c r="S2151" i="1"/>
  <c r="T2151" i="1" s="1"/>
  <c r="S1477" i="1"/>
  <c r="T1477" i="1" s="1"/>
  <c r="S112" i="1"/>
  <c r="S113" i="1"/>
  <c r="T113" i="1" s="1"/>
  <c r="S114" i="1"/>
  <c r="T114" i="1" s="1"/>
  <c r="S115" i="1"/>
  <c r="T115" i="1" s="1"/>
  <c r="S432" i="1"/>
  <c r="T432" i="1" s="1"/>
  <c r="L431" i="1"/>
  <c r="O428" i="1" s="1"/>
  <c r="S429" i="1"/>
  <c r="T429" i="1" s="1"/>
  <c r="S430" i="1"/>
  <c r="T430" i="1" s="1"/>
  <c r="S428" i="1"/>
  <c r="T428" i="1" s="1"/>
  <c r="S2259" i="1"/>
  <c r="T2259" i="1" s="1"/>
  <c r="S1420" i="1"/>
  <c r="T1420" i="1" s="1"/>
  <c r="S1690" i="1"/>
  <c r="T1690" i="1" s="1"/>
  <c r="O789" i="1"/>
  <c r="O2257" i="1"/>
  <c r="S2365" i="1"/>
  <c r="T2365" i="1" s="1"/>
  <c r="O1643" i="1"/>
  <c r="S822" i="1"/>
  <c r="T822" i="1" s="1"/>
  <c r="S823" i="1"/>
  <c r="T823" i="1" s="1"/>
  <c r="S824" i="1"/>
  <c r="T824" i="1" s="1"/>
  <c r="S1227" i="1"/>
  <c r="T1227" i="1" s="1"/>
  <c r="S1786" i="1"/>
  <c r="T1786" i="1" s="1"/>
  <c r="S1784" i="1"/>
  <c r="T1784" i="1" s="1"/>
  <c r="S1787" i="1"/>
  <c r="T1787" i="1" s="1"/>
  <c r="S1788" i="1"/>
  <c r="T1788" i="1" s="1"/>
  <c r="S1785" i="1"/>
  <c r="T1785" i="1" s="1"/>
  <c r="S2129" i="1"/>
  <c r="T2129" i="1" s="1"/>
  <c r="S431" i="1" l="1"/>
  <c r="T431" i="1" s="1"/>
  <c r="T112" i="1"/>
  <c r="S2346" i="1"/>
  <c r="T2346" i="1" s="1"/>
  <c r="S251" i="1"/>
  <c r="T251" i="1" s="1"/>
  <c r="S252" i="1"/>
  <c r="T252" i="1" s="1"/>
  <c r="S253" i="1"/>
  <c r="T253" i="1" s="1"/>
  <c r="S254" i="1"/>
  <c r="T254" i="1" s="1"/>
  <c r="S255" i="1"/>
  <c r="T255" i="1" s="1"/>
  <c r="S256" i="1"/>
  <c r="T256" i="1" s="1"/>
  <c r="S257" i="1"/>
  <c r="T257" i="1" s="1"/>
  <c r="S1819" i="1"/>
  <c r="T1819" i="1" s="1"/>
  <c r="S2604" i="1"/>
  <c r="T2604" i="1" s="1"/>
  <c r="S2173" i="1"/>
  <c r="T2173" i="1" s="1"/>
  <c r="S1226" i="1" l="1"/>
  <c r="T1226" i="1" s="1"/>
  <c r="S1225" i="1"/>
  <c r="T1225" i="1" s="1"/>
  <c r="S1224" i="1"/>
  <c r="T1224" i="1" s="1"/>
  <c r="S1319" i="1"/>
  <c r="T1319" i="1" s="1"/>
  <c r="S1318" i="1"/>
  <c r="T1318" i="1" s="1"/>
  <c r="S1317" i="1"/>
  <c r="T1317" i="1" s="1"/>
  <c r="S1316" i="1"/>
  <c r="T1316" i="1" s="1"/>
  <c r="S1315" i="1" l="1"/>
  <c r="T1315" i="1" s="1"/>
  <c r="S2204" i="1" l="1"/>
  <c r="T2204" i="1" s="1"/>
  <c r="S2205" i="1"/>
  <c r="T2205" i="1" s="1"/>
  <c r="S2206" i="1"/>
  <c r="T2206" i="1" s="1"/>
  <c r="S1448" i="1"/>
  <c r="T1448" i="1" s="1"/>
  <c r="L2663" i="1" l="1"/>
  <c r="L2198" i="1"/>
  <c r="O2198" i="1" s="1"/>
  <c r="L2197" i="1"/>
  <c r="O585" i="1"/>
  <c r="L2187" i="1" l="1"/>
  <c r="S2198" i="1"/>
  <c r="T2198" i="1" s="1"/>
  <c r="O2380" i="1"/>
  <c r="S792" i="1" l="1"/>
  <c r="T792" i="1" s="1"/>
  <c r="S1044" i="1"/>
  <c r="T1044" i="1" s="1"/>
  <c r="S2664" i="1"/>
  <c r="T2664" i="1" s="1"/>
  <c r="S2573" i="1"/>
  <c r="T2573" i="1" s="1"/>
  <c r="S2534" i="1"/>
  <c r="T2534" i="1" s="1"/>
  <c r="S946" i="1"/>
  <c r="T946" i="1" s="1"/>
  <c r="S945" i="1"/>
  <c r="S9" i="1"/>
  <c r="T9" i="1" s="1"/>
  <c r="S1686" i="1"/>
  <c r="T1686" i="1" s="1"/>
  <c r="S1687" i="1"/>
  <c r="T1687" i="1" s="1"/>
  <c r="S1688" i="1"/>
  <c r="T1688" i="1" s="1"/>
  <c r="S1689" i="1"/>
  <c r="T1689" i="1" s="1"/>
  <c r="S250" i="1"/>
  <c r="T250" i="1" s="1"/>
  <c r="S111" i="1"/>
  <c r="T111" i="1" s="1"/>
  <c r="S107" i="1"/>
  <c r="T107" i="1" s="1"/>
  <c r="S1383" i="1"/>
  <c r="T1383" i="1" s="1"/>
  <c r="S1436" i="1"/>
  <c r="T1436" i="1" s="1"/>
  <c r="S1435" i="1"/>
  <c r="T1435" i="1" s="1"/>
  <c r="S1434" i="1"/>
  <c r="T1434" i="1" s="1"/>
  <c r="S2602" i="1"/>
  <c r="T2602" i="1" s="1"/>
  <c r="S652" i="1"/>
  <c r="T652" i="1" s="1"/>
  <c r="S651" i="1"/>
  <c r="T651" i="1" s="1"/>
  <c r="S2513" i="1"/>
  <c r="T2513" i="1" s="1"/>
  <c r="S1528" i="1"/>
  <c r="T1528" i="1" s="1"/>
  <c r="S1530" i="1"/>
  <c r="T1530" i="1" s="1"/>
  <c r="S1531" i="1"/>
  <c r="T1531" i="1" s="1"/>
  <c r="S1532" i="1"/>
  <c r="T1532" i="1" s="1"/>
  <c r="S1533" i="1"/>
  <c r="T1533" i="1" s="1"/>
  <c r="S1534" i="1"/>
  <c r="T1534" i="1" s="1"/>
  <c r="S837" i="1"/>
  <c r="T837" i="1" s="1"/>
  <c r="S1219" i="1"/>
  <c r="T1219" i="1" s="1"/>
  <c r="S1220" i="1"/>
  <c r="T1220" i="1" s="1"/>
  <c r="S1221" i="1"/>
  <c r="T1221" i="1" s="1"/>
  <c r="S1222" i="1"/>
  <c r="T1222" i="1" s="1"/>
  <c r="S1223" i="1"/>
  <c r="T1223" i="1" s="1"/>
  <c r="S1313" i="1"/>
  <c r="T1313" i="1" s="1"/>
  <c r="S1314" i="1"/>
  <c r="T1314" i="1" s="1"/>
  <c r="S2238" i="1"/>
  <c r="T2238" i="1" s="1"/>
  <c r="T650" i="1" l="1"/>
  <c r="T945" i="1"/>
  <c r="T944" i="1" s="1"/>
  <c r="S944" i="1"/>
  <c r="V944" i="1" s="1"/>
  <c r="S650" i="1"/>
  <c r="V650" i="1" s="1"/>
  <c r="S1041" i="1"/>
  <c r="T1041" i="1" s="1"/>
  <c r="S1042" i="1"/>
  <c r="T1042" i="1" s="1"/>
  <c r="S1043" i="1"/>
  <c r="T1043" i="1" s="1"/>
  <c r="W944" i="1" l="1"/>
  <c r="W650" i="1"/>
  <c r="O2126" i="1"/>
  <c r="O403" i="1"/>
  <c r="S601" i="1"/>
  <c r="T601" i="1" s="1"/>
  <c r="S1106" i="1"/>
  <c r="T1106" i="1" s="1"/>
  <c r="S2364" i="1" l="1"/>
  <c r="T2364" i="1" s="1"/>
  <c r="S631" i="1"/>
  <c r="T631" i="1" s="1"/>
  <c r="S2345" i="1"/>
  <c r="T2345" i="1" s="1"/>
  <c r="S2344" i="1"/>
  <c r="T2344" i="1" s="1"/>
  <c r="S2412" i="1"/>
  <c r="T2412" i="1" s="1"/>
  <c r="S2405" i="1"/>
  <c r="T2405" i="1" s="1"/>
  <c r="L110" i="1" l="1"/>
  <c r="O100" i="1"/>
  <c r="O107" i="1" l="1"/>
  <c r="S110" i="1"/>
  <c r="T110" i="1" s="1"/>
  <c r="O228" i="1"/>
  <c r="S1663" i="1"/>
  <c r="S2639" i="1"/>
  <c r="T2639" i="1" s="1"/>
  <c r="S2637" i="1"/>
  <c r="T2637" i="1" s="1"/>
  <c r="S2638" i="1"/>
  <c r="T2638" i="1" s="1"/>
  <c r="S2641" i="1"/>
  <c r="T2641" i="1" s="1"/>
  <c r="S2492" i="1" l="1"/>
  <c r="T2492" i="1" s="1"/>
  <c r="S2342" i="1"/>
  <c r="T2342" i="1" s="1"/>
  <c r="S2343" i="1"/>
  <c r="T2343" i="1" s="1"/>
  <c r="S2150" i="1"/>
  <c r="T2150" i="1" s="1"/>
  <c r="T1033" i="1"/>
  <c r="S1034" i="1"/>
  <c r="T1034" i="1" s="1"/>
  <c r="S1031" i="1"/>
  <c r="T1031" i="1" s="1"/>
  <c r="S1035" i="1"/>
  <c r="T1035" i="1" s="1"/>
  <c r="S1036" i="1"/>
  <c r="T1036" i="1" s="1"/>
  <c r="S1037" i="1"/>
  <c r="T1037" i="1" s="1"/>
  <c r="S1032" i="1"/>
  <c r="T1032" i="1" s="1"/>
  <c r="S1030" i="1"/>
  <c r="T1030" i="1" s="1"/>
  <c r="S1038" i="1"/>
  <c r="T1038" i="1" s="1"/>
  <c r="S1039" i="1"/>
  <c r="T1039" i="1" s="1"/>
  <c r="S1040" i="1"/>
  <c r="T1040" i="1" s="1"/>
  <c r="S535" i="1"/>
  <c r="T535" i="1" s="1"/>
  <c r="S534" i="1"/>
  <c r="T534" i="1" s="1"/>
  <c r="L737" i="1"/>
  <c r="S737" i="1" s="1"/>
  <c r="S738" i="1"/>
  <c r="T738" i="1" s="1"/>
  <c r="S739" i="1"/>
  <c r="T739" i="1" s="1"/>
  <c r="S740" i="1"/>
  <c r="T740" i="1" s="1"/>
  <c r="S2146" i="1"/>
  <c r="T2146" i="1" s="1"/>
  <c r="S2572" i="1"/>
  <c r="T2572" i="1" s="1"/>
  <c r="S2258" i="1"/>
  <c r="T2258" i="1" s="1"/>
  <c r="O1816" i="1"/>
  <c r="S1956" i="1"/>
  <c r="T1956" i="1" s="1"/>
  <c r="T737" i="1" l="1"/>
  <c r="S1382" i="1"/>
  <c r="T1382" i="1" s="1"/>
  <c r="S1381" i="1"/>
  <c r="T1381" i="1" s="1"/>
  <c r="S1380" i="1"/>
  <c r="T1380" i="1" s="1"/>
  <c r="S21" i="1"/>
  <c r="T21" i="1" s="1"/>
  <c r="S1685" i="1"/>
  <c r="T1685" i="1" s="1"/>
  <c r="S1684" i="1"/>
  <c r="T1684" i="1" s="1"/>
  <c r="S1683" i="1"/>
  <c r="T1683" i="1" s="1"/>
  <c r="S1218" i="1"/>
  <c r="T1218" i="1" s="1"/>
  <c r="S1214" i="1"/>
  <c r="T1214" i="1" s="1"/>
  <c r="S1215" i="1"/>
  <c r="T1215" i="1" s="1"/>
  <c r="S1216" i="1"/>
  <c r="T1216" i="1" s="1"/>
  <c r="S1217" i="1"/>
  <c r="T1217" i="1" s="1"/>
  <c r="L1213" i="1"/>
  <c r="S907" i="1"/>
  <c r="T907" i="1" s="1"/>
  <c r="S1783" i="1"/>
  <c r="T1783" i="1" s="1"/>
  <c r="S1782" i="1"/>
  <c r="T1782" i="1" s="1"/>
  <c r="S1781" i="1"/>
  <c r="T1781" i="1" s="1"/>
  <c r="S820" i="1"/>
  <c r="T820" i="1" s="1"/>
  <c r="S821" i="1"/>
  <c r="T821" i="1" s="1"/>
  <c r="S533" i="1"/>
  <c r="T533" i="1" s="1"/>
  <c r="L532" i="1"/>
  <c r="S532" i="1"/>
  <c r="S531" i="1"/>
  <c r="T531" i="1" s="1"/>
  <c r="S2172" i="1"/>
  <c r="S1451" i="1"/>
  <c r="T1451" i="1" s="1"/>
  <c r="L2172" i="1"/>
  <c r="S2128" i="1"/>
  <c r="T2128" i="1" s="1"/>
  <c r="S937" i="1"/>
  <c r="T937" i="1" s="1"/>
  <c r="S836" i="1"/>
  <c r="T836" i="1" s="1"/>
  <c r="S1632" i="1"/>
  <c r="T1632" i="1" s="1"/>
  <c r="S1631" i="1"/>
  <c r="T1631" i="1" s="1"/>
  <c r="L1065" i="1"/>
  <c r="S1066" i="1"/>
  <c r="T1066" i="1" s="1"/>
  <c r="T1065" i="1" s="1"/>
  <c r="L1029" i="1"/>
  <c r="S1891" i="1"/>
  <c r="T1891" i="1" s="1"/>
  <c r="T1890" i="1" s="1"/>
  <c r="L1890" i="1"/>
  <c r="L2403" i="1"/>
  <c r="S2404" i="1"/>
  <c r="S2403" i="1" s="1"/>
  <c r="S2721" i="1"/>
  <c r="T2721" i="1" s="1"/>
  <c r="O1207" i="1" l="1"/>
  <c r="L1109" i="1"/>
  <c r="O1028" i="1"/>
  <c r="L953" i="1"/>
  <c r="S1213" i="1"/>
  <c r="T1213" i="1" s="1"/>
  <c r="T532" i="1"/>
  <c r="T2172" i="1"/>
  <c r="S1065" i="1"/>
  <c r="V1065" i="1" s="1"/>
  <c r="W1065" i="1" s="1"/>
  <c r="S1890" i="1"/>
  <c r="V1890" i="1" s="1"/>
  <c r="W1890" i="1" s="1"/>
  <c r="V2403" i="1"/>
  <c r="T2404" i="1"/>
  <c r="T2403" i="1" s="1"/>
  <c r="W2403" i="1" l="1"/>
  <c r="L2766" i="1"/>
  <c r="O2767" i="1"/>
  <c r="S2767" i="1"/>
  <c r="T2767" i="1" s="1"/>
  <c r="O2768" i="1"/>
  <c r="S2768" i="1"/>
  <c r="T2768" i="1" s="1"/>
  <c r="O2769" i="1"/>
  <c r="S2769" i="1"/>
  <c r="T2769" i="1" s="1"/>
  <c r="O2770" i="1"/>
  <c r="S2770" i="1"/>
  <c r="T2770" i="1" s="1"/>
  <c r="O2771" i="1"/>
  <c r="S2771" i="1"/>
  <c r="T2771" i="1" s="1"/>
  <c r="O2772" i="1"/>
  <c r="S2772" i="1"/>
  <c r="T2772" i="1" s="1"/>
  <c r="S2773" i="1"/>
  <c r="T2773" i="1" s="1"/>
  <c r="S2774" i="1"/>
  <c r="T2774" i="1" s="1"/>
  <c r="S2775" i="1"/>
  <c r="T2775" i="1" s="1"/>
  <c r="S2776" i="1"/>
  <c r="T2776" i="1" s="1"/>
  <c r="O2777" i="1"/>
  <c r="S2777" i="1"/>
  <c r="T2777" i="1" s="1"/>
  <c r="O2778" i="1"/>
  <c r="S2778" i="1"/>
  <c r="T2778" i="1" s="1"/>
  <c r="S2779" i="1"/>
  <c r="T2779" i="1" s="1"/>
  <c r="S2695" i="1"/>
  <c r="T2695" i="1" s="1"/>
  <c r="S2696" i="1"/>
  <c r="T2696" i="1" s="1"/>
  <c r="S2697" i="1"/>
  <c r="T2697" i="1" s="1"/>
  <c r="S2698" i="1"/>
  <c r="T2698" i="1" s="1"/>
  <c r="T2766" i="1" l="1"/>
  <c r="S2766" i="1"/>
  <c r="V2766" i="1" s="1"/>
  <c r="W2766" i="1" l="1"/>
  <c r="S1419" i="1" l="1"/>
  <c r="T1419" i="1" s="1"/>
  <c r="S1630" i="1"/>
  <c r="T1630" i="1" s="1"/>
  <c r="S108" i="1"/>
  <c r="T108" i="1" s="1"/>
  <c r="S109" i="1"/>
  <c r="T109" i="1" s="1"/>
  <c r="S2601" i="1"/>
  <c r="T2601" i="1" s="1"/>
  <c r="S791" i="1"/>
  <c r="T791" i="1" s="1"/>
  <c r="S1629" i="1"/>
  <c r="T1629" i="1" s="1"/>
  <c r="S1379" i="1"/>
  <c r="T1379" i="1" s="1"/>
  <c r="S2533" i="1"/>
  <c r="T2533" i="1" s="1"/>
  <c r="S600" i="1"/>
  <c r="T600" i="1" s="1"/>
  <c r="S599" i="1"/>
  <c r="T599" i="1" s="1"/>
  <c r="S1312" i="1"/>
  <c r="T1312" i="1" s="1"/>
  <c r="S530" i="1"/>
  <c r="T530" i="1" s="1"/>
  <c r="S529" i="1"/>
  <c r="T529" i="1" s="1"/>
  <c r="S528" i="1"/>
  <c r="T528" i="1" s="1"/>
  <c r="S527" i="1"/>
  <c r="T527" i="1" s="1"/>
  <c r="S526" i="1"/>
  <c r="T526" i="1" s="1"/>
  <c r="S951" i="1"/>
  <c r="T951" i="1" s="1"/>
  <c r="S950" i="1"/>
  <c r="S1378" i="1"/>
  <c r="T1378" i="1" s="1"/>
  <c r="S1628" i="1"/>
  <c r="T1628" i="1" s="1"/>
  <c r="S1627" i="1"/>
  <c r="T1627" i="1" s="1"/>
  <c r="S1626" i="1"/>
  <c r="T1626" i="1" s="1"/>
  <c r="S2663" i="1"/>
  <c r="L735" i="1"/>
  <c r="O735" i="1" s="1"/>
  <c r="S734" i="1"/>
  <c r="T734" i="1" s="1"/>
  <c r="S949" i="1" l="1"/>
  <c r="V949" i="1" s="1"/>
  <c r="T950" i="1"/>
  <c r="T949" i="1" s="1"/>
  <c r="T2663" i="1"/>
  <c r="O727" i="1"/>
  <c r="W949" i="1" l="1"/>
  <c r="S404" i="1"/>
  <c r="T404" i="1" s="1"/>
  <c r="O1514" i="1"/>
  <c r="L1518" i="1"/>
  <c r="O1518" i="1" s="1"/>
  <c r="O1865" i="1" l="1"/>
  <c r="O1310" i="1"/>
  <c r="O1191" i="1"/>
  <c r="S2236" i="1"/>
  <c r="T2236" i="1" s="1"/>
  <c r="S2237" i="1"/>
  <c r="T2237" i="1" s="1"/>
  <c r="S733" i="1"/>
  <c r="T733" i="1" s="1"/>
  <c r="S735" i="1"/>
  <c r="T735" i="1" s="1"/>
  <c r="S736" i="1"/>
  <c r="T736" i="1" s="1"/>
  <c r="S2512" i="1"/>
  <c r="T2512" i="1" s="1"/>
  <c r="S1418" i="1"/>
  <c r="T1418" i="1" s="1"/>
  <c r="S2600" i="1"/>
  <c r="T2600" i="1" s="1"/>
  <c r="O2593" i="1" l="1"/>
  <c r="S2341" i="1"/>
  <c r="T2341" i="1" s="1"/>
  <c r="S249" i="1"/>
  <c r="T249" i="1" s="1"/>
  <c r="S248" i="1"/>
  <c r="T248" i="1" s="1"/>
  <c r="S247" i="1"/>
  <c r="T247" i="1" s="1"/>
  <c r="S246" i="1"/>
  <c r="T246" i="1" s="1"/>
  <c r="S245" i="1"/>
  <c r="T245" i="1" s="1"/>
  <c r="S244" i="1"/>
  <c r="T244" i="1" s="1"/>
  <c r="S243" i="1"/>
  <c r="T243" i="1" s="1"/>
  <c r="S242" i="1"/>
  <c r="T242" i="1" s="1"/>
  <c r="S241" i="1"/>
  <c r="T241" i="1" s="1"/>
  <c r="S240" i="1"/>
  <c r="T240" i="1" s="1"/>
  <c r="S239" i="1"/>
  <c r="T239" i="1" s="1"/>
  <c r="S238" i="1"/>
  <c r="T238" i="1" s="1"/>
  <c r="S237" i="1"/>
  <c r="T237" i="1" s="1"/>
  <c r="S1377" i="1"/>
  <c r="T1377" i="1" s="1"/>
  <c r="S1376" i="1"/>
  <c r="T1376" i="1" s="1"/>
  <c r="S2363" i="1"/>
  <c r="T2363" i="1" s="1"/>
  <c r="S2149" i="1"/>
  <c r="T2149" i="1" s="1"/>
  <c r="S598" i="1"/>
  <c r="T598" i="1" s="1"/>
  <c r="S2546" i="1"/>
  <c r="T2546" i="1" s="1"/>
  <c r="S1449" i="1"/>
  <c r="T1449" i="1" s="1"/>
  <c r="S1450" i="1"/>
  <c r="T1450" i="1" s="1"/>
  <c r="S1456" i="1"/>
  <c r="T1456" i="1" s="1"/>
  <c r="S1212" i="1"/>
  <c r="T1212" i="1" s="1"/>
  <c r="S1211" i="1"/>
  <c r="T1211" i="1" s="1"/>
  <c r="S1210" i="1"/>
  <c r="T1210" i="1" s="1"/>
  <c r="S1209" i="1"/>
  <c r="T1209" i="1" s="1"/>
  <c r="S1208" i="1"/>
  <c r="T1208" i="1" s="1"/>
  <c r="S1207" i="1"/>
  <c r="T1207" i="1" s="1"/>
  <c r="S1778" i="1"/>
  <c r="T1778" i="1" s="1"/>
  <c r="S1779" i="1"/>
  <c r="T1779" i="1" s="1"/>
  <c r="S1777" i="1"/>
  <c r="T1777" i="1" s="1"/>
  <c r="S1780" i="1"/>
  <c r="T1780" i="1" s="1"/>
  <c r="S2257" i="1"/>
  <c r="T2257" i="1" s="1"/>
  <c r="O2255" i="1"/>
  <c r="O808" i="1"/>
  <c r="S1936" i="1"/>
  <c r="T1936" i="1" s="1"/>
  <c r="L1948" i="1"/>
  <c r="S1947" i="1"/>
  <c r="T1947" i="1" s="1"/>
  <c r="O1024" i="1" l="1"/>
  <c r="O509" i="1" l="1"/>
  <c r="O1015" i="1" l="1"/>
  <c r="O86" i="1" l="1"/>
  <c r="O1510" i="1"/>
  <c r="S1446" i="1" l="1"/>
  <c r="T1446" i="1" s="1"/>
  <c r="S1447" i="1"/>
  <c r="T1447" i="1" s="1"/>
  <c r="S630" i="1"/>
  <c r="T630" i="1" s="1"/>
  <c r="S2599" i="1" l="1"/>
  <c r="T2599" i="1" s="1"/>
  <c r="S1582" i="1"/>
  <c r="T1582" i="1" s="1"/>
  <c r="S418" i="1"/>
  <c r="T418" i="1" s="1"/>
  <c r="S419" i="1"/>
  <c r="T419" i="1" s="1"/>
  <c r="S420" i="1"/>
  <c r="T420" i="1" s="1"/>
  <c r="S421" i="1"/>
  <c r="T421" i="1" s="1"/>
  <c r="S422" i="1"/>
  <c r="T422" i="1" s="1"/>
  <c r="S423" i="1"/>
  <c r="T423" i="1" s="1"/>
  <c r="S424" i="1"/>
  <c r="T424" i="1" s="1"/>
  <c r="S425" i="1"/>
  <c r="T425" i="1" s="1"/>
  <c r="S426" i="1"/>
  <c r="T426" i="1" s="1"/>
  <c r="S427" i="1"/>
  <c r="T427" i="1" s="1"/>
  <c r="S1029" i="1"/>
  <c r="T1029" i="1" s="1"/>
  <c r="S2171" i="1"/>
  <c r="T2171" i="1" s="1"/>
  <c r="S2127" i="1"/>
  <c r="T2127" i="1" s="1"/>
  <c r="S1622" i="1"/>
  <c r="T1622" i="1" s="1"/>
  <c r="S1623" i="1"/>
  <c r="T1623" i="1" s="1"/>
  <c r="S1624" i="1"/>
  <c r="T1624" i="1" s="1"/>
  <c r="S1625" i="1"/>
  <c r="T1625" i="1" s="1"/>
  <c r="S902" i="1"/>
  <c r="T902" i="1" s="1"/>
  <c r="S903" i="1"/>
  <c r="T903" i="1" s="1"/>
  <c r="S904" i="1"/>
  <c r="T904" i="1" s="1"/>
  <c r="S905" i="1"/>
  <c r="T905" i="1" s="1"/>
  <c r="S906" i="1"/>
  <c r="T906" i="1" s="1"/>
  <c r="S2112" i="1"/>
  <c r="T2112" i="1" s="1"/>
  <c r="S2111" i="1"/>
  <c r="T2111" i="1" s="1"/>
  <c r="S2110" i="1"/>
  <c r="T2110" i="1" s="1"/>
  <c r="S2109" i="1"/>
  <c r="T2109" i="1" s="1"/>
  <c r="S1581" i="1"/>
  <c r="T1581" i="1" s="1"/>
  <c r="S1199" i="1" l="1"/>
  <c r="T1199" i="1" s="1"/>
  <c r="S1200" i="1"/>
  <c r="T1200" i="1" s="1"/>
  <c r="S1201" i="1"/>
  <c r="T1201" i="1" s="1"/>
  <c r="S1202" i="1"/>
  <c r="T1202" i="1" s="1"/>
  <c r="S1203" i="1"/>
  <c r="T1203" i="1" s="1"/>
  <c r="S1204" i="1"/>
  <c r="T1204" i="1" s="1"/>
  <c r="S1205" i="1"/>
  <c r="T1205" i="1" s="1"/>
  <c r="S1206" i="1"/>
  <c r="T1206" i="1" s="1"/>
  <c r="S1878" i="1"/>
  <c r="T1878" i="1" s="1"/>
  <c r="S835" i="1"/>
  <c r="T835" i="1" s="1"/>
  <c r="S1682" i="1"/>
  <c r="T1682" i="1" s="1"/>
  <c r="S1681" i="1"/>
  <c r="T1681" i="1" s="1"/>
  <c r="S1680" i="1"/>
  <c r="T1680" i="1" s="1"/>
  <c r="S1679" i="1"/>
  <c r="T1679" i="1" s="1"/>
  <c r="S1621" i="1"/>
  <c r="T1621" i="1" s="1"/>
  <c r="S596" i="1"/>
  <c r="T596" i="1" s="1"/>
  <c r="S595" i="1"/>
  <c r="T595" i="1" s="1"/>
  <c r="S594" i="1"/>
  <c r="T594" i="1" s="1"/>
  <c r="S593" i="1"/>
  <c r="T593" i="1" s="1"/>
  <c r="S2203" i="1"/>
  <c r="T2203" i="1" s="1"/>
  <c r="S2202" i="1"/>
  <c r="T2202" i="1" s="1"/>
  <c r="S2200" i="1"/>
  <c r="T2200" i="1" s="1"/>
  <c r="S1311" i="1"/>
  <c r="T1311" i="1" s="1"/>
  <c r="S1310" i="1"/>
  <c r="T1310" i="1" s="1"/>
  <c r="S2662" i="1"/>
  <c r="T2662" i="1" s="1"/>
  <c r="S2598" i="1"/>
  <c r="T2598" i="1" s="1"/>
  <c r="S2108" i="1" l="1"/>
  <c r="T2108" i="1" s="1"/>
  <c r="S2107" i="1"/>
  <c r="T2107" i="1" s="1"/>
  <c r="S2106" i="1"/>
  <c r="T2106" i="1" s="1"/>
  <c r="S2105" i="1"/>
  <c r="T2105" i="1" s="1"/>
  <c r="S2104" i="1"/>
  <c r="T2104" i="1" s="1"/>
  <c r="S729" i="1" l="1"/>
  <c r="T729" i="1" s="1"/>
  <c r="S730" i="1"/>
  <c r="T730" i="1" s="1"/>
  <c r="S731" i="1"/>
  <c r="T731" i="1" s="1"/>
  <c r="S2571" i="1"/>
  <c r="S2340" i="1"/>
  <c r="T2340" i="1" s="1"/>
  <c r="S2339" i="1"/>
  <c r="T2339" i="1" s="1"/>
  <c r="S2338" i="1"/>
  <c r="T2338" i="1" s="1"/>
  <c r="S2337" i="1"/>
  <c r="T2337" i="1" s="1"/>
  <c r="S2336" i="1"/>
  <c r="T2336" i="1" s="1"/>
  <c r="S936" i="1"/>
  <c r="T936" i="1" s="1"/>
  <c r="S236" i="1"/>
  <c r="T236" i="1" s="1"/>
  <c r="S235" i="1"/>
  <c r="T235" i="1" s="1"/>
  <c r="S597" i="1"/>
  <c r="T597" i="1" s="1"/>
  <c r="L2571" i="1"/>
  <c r="S2532" i="1"/>
  <c r="T2532" i="1" s="1"/>
  <c r="O393" i="1"/>
  <c r="S732" i="1" l="1"/>
  <c r="T732" i="1" s="1"/>
  <c r="T2571" i="1"/>
  <c r="L2741" i="1"/>
  <c r="S2741" i="1" s="1"/>
  <c r="T2741" i="1" s="1"/>
  <c r="L2740" i="1"/>
  <c r="L2739" i="1"/>
  <c r="S2739" i="1" s="1"/>
  <c r="T2739" i="1" s="1"/>
  <c r="L2738" i="1"/>
  <c r="S2738" i="1" s="1"/>
  <c r="T2738" i="1" s="1"/>
  <c r="L2737" i="1"/>
  <c r="S2737" i="1" s="1"/>
  <c r="T2737" i="1" s="1"/>
  <c r="S2715" i="1"/>
  <c r="T2715" i="1" s="1"/>
  <c r="S2716" i="1"/>
  <c r="T2716" i="1" s="1"/>
  <c r="S2717" i="1"/>
  <c r="T2717" i="1" s="1"/>
  <c r="S2718" i="1"/>
  <c r="T2718" i="1" s="1"/>
  <c r="S2719" i="1"/>
  <c r="T2719" i="1" s="1"/>
  <c r="S2720" i="1"/>
  <c r="T2720" i="1" s="1"/>
  <c r="S2694" i="1"/>
  <c r="T2694" i="1" s="1"/>
  <c r="S2692" i="1"/>
  <c r="T2692" i="1" s="1"/>
  <c r="S2693" i="1"/>
  <c r="T2693" i="1" s="1"/>
  <c r="S1579" i="1"/>
  <c r="T1579" i="1" s="1"/>
  <c r="S1580" i="1"/>
  <c r="T1580" i="1" s="1"/>
  <c r="S10" i="1"/>
  <c r="T10" i="1" s="1"/>
  <c r="S8" i="1"/>
  <c r="T8" i="1" s="1"/>
  <c r="S6" i="1"/>
  <c r="S7" i="1"/>
  <c r="S105" i="1"/>
  <c r="T105" i="1" s="1"/>
  <c r="S106" i="1"/>
  <c r="T106" i="1" s="1"/>
  <c r="S1644" i="1"/>
  <c r="T1644" i="1" s="1"/>
  <c r="S1027" i="1"/>
  <c r="T1027" i="1" s="1"/>
  <c r="S1028" i="1"/>
  <c r="T1028" i="1" s="1"/>
  <c r="S2597" i="1"/>
  <c r="T2597" i="1" s="1"/>
  <c r="S1474" i="1"/>
  <c r="T1474" i="1" s="1"/>
  <c r="S1475" i="1"/>
  <c r="T1475" i="1" s="1"/>
  <c r="S1476" i="1"/>
  <c r="T1476" i="1" s="1"/>
  <c r="S2491" i="1"/>
  <c r="T2491" i="1" s="1"/>
  <c r="S2570" i="1"/>
  <c r="T2570" i="1" s="1"/>
  <c r="S2256" i="1"/>
  <c r="T2256" i="1" s="1"/>
  <c r="S2335" i="1"/>
  <c r="T2335" i="1" s="1"/>
  <c r="S2531" i="1"/>
  <c r="T2531" i="1" s="1"/>
  <c r="S2148" i="1"/>
  <c r="T2148" i="1" s="1"/>
  <c r="S1026" i="1"/>
  <c r="T1026" i="1" s="1"/>
  <c r="S1025" i="1"/>
  <c r="T1025" i="1" s="1"/>
  <c r="S104" i="1"/>
  <c r="T104" i="1" s="1"/>
  <c r="S103" i="1"/>
  <c r="T103" i="1" s="1"/>
  <c r="S102" i="1"/>
  <c r="T102" i="1" s="1"/>
  <c r="S101" i="1"/>
  <c r="T101" i="1" s="1"/>
  <c r="S100" i="1"/>
  <c r="T100" i="1" s="1"/>
  <c r="S1775" i="1"/>
  <c r="T1775" i="1" s="1"/>
  <c r="S1776" i="1"/>
  <c r="T1776" i="1" s="1"/>
  <c r="T6" i="1" l="1"/>
  <c r="S5" i="1"/>
  <c r="S2740" i="1"/>
  <c r="T2740" i="1" s="1"/>
  <c r="T7" i="1"/>
  <c r="S789" i="1"/>
  <c r="T789" i="1" s="1"/>
  <c r="S790" i="1"/>
  <c r="T790" i="1" s="1"/>
  <c r="S797" i="1"/>
  <c r="T797" i="1" s="1"/>
  <c r="L660" i="1"/>
  <c r="S661" i="1"/>
  <c r="T661" i="1" s="1"/>
  <c r="T660" i="1" s="1"/>
  <c r="S2511" i="1"/>
  <c r="T2511" i="1" s="1"/>
  <c r="S1955" i="1"/>
  <c r="T1955" i="1" s="1"/>
  <c r="O725" i="1"/>
  <c r="O19" i="1"/>
  <c r="T5" i="1" l="1"/>
  <c r="S660" i="1"/>
  <c r="S2362" i="1"/>
  <c r="T2362" i="1" s="1"/>
  <c r="S2103" i="1"/>
  <c r="T2103" i="1" s="1"/>
  <c r="S2102" i="1"/>
  <c r="T2102" i="1" s="1"/>
  <c r="O1294" i="1" l="1"/>
  <c r="S2569" i="1" l="1"/>
  <c r="L2569" i="1"/>
  <c r="S1527" i="1"/>
  <c r="T1527" i="1" s="1"/>
  <c r="S1643" i="1"/>
  <c r="T1643" i="1" s="1"/>
  <c r="S1198" i="1"/>
  <c r="T1198" i="1" s="1"/>
  <c r="S1197" i="1"/>
  <c r="T1197" i="1" s="1"/>
  <c r="S1196" i="1"/>
  <c r="T1196" i="1" s="1"/>
  <c r="T2569" i="1" l="1"/>
  <c r="S901" i="1"/>
  <c r="T901" i="1" s="1"/>
  <c r="S900" i="1" l="1"/>
  <c r="T900" i="1" s="1"/>
  <c r="S899" i="1"/>
  <c r="T899" i="1" s="1"/>
  <c r="S591" i="1"/>
  <c r="T591" i="1" s="1"/>
  <c r="S725" i="1"/>
  <c r="T725" i="1" s="1"/>
  <c r="S726" i="1"/>
  <c r="T726" i="1" s="1"/>
  <c r="S727" i="1"/>
  <c r="T727" i="1" s="1"/>
  <c r="S728" i="1"/>
  <c r="T728" i="1" s="1"/>
  <c r="S228" i="1"/>
  <c r="T228" i="1" s="1"/>
  <c r="S229" i="1"/>
  <c r="T229" i="1" s="1"/>
  <c r="S230" i="1"/>
  <c r="T230" i="1" s="1"/>
  <c r="S231" i="1"/>
  <c r="T231" i="1" s="1"/>
  <c r="S232" i="1"/>
  <c r="T232" i="1" s="1"/>
  <c r="S233" i="1"/>
  <c r="T233" i="1" s="1"/>
  <c r="S234" i="1"/>
  <c r="T234" i="1" s="1"/>
  <c r="S1417" i="1"/>
  <c r="T1417" i="1" s="1"/>
  <c r="S524" i="1"/>
  <c r="T524" i="1" s="1"/>
  <c r="S523" i="1"/>
  <c r="T523" i="1" s="1"/>
  <c r="S522" i="1"/>
  <c r="T522" i="1" s="1"/>
  <c r="S521" i="1"/>
  <c r="T521" i="1" s="1"/>
  <c r="S520" i="1"/>
  <c r="T520" i="1" s="1"/>
  <c r="S519" i="1"/>
  <c r="T519" i="1" s="1"/>
  <c r="S518" i="1"/>
  <c r="T518" i="1" s="1"/>
  <c r="S2170" i="1"/>
  <c r="T2170" i="1" s="1"/>
  <c r="S592" i="1"/>
  <c r="T592" i="1" s="1"/>
  <c r="S590" i="1"/>
  <c r="T590" i="1" s="1"/>
  <c r="S589" i="1"/>
  <c r="T589" i="1" s="1"/>
  <c r="S588" i="1"/>
  <c r="T588" i="1" s="1"/>
  <c r="S587" i="1"/>
  <c r="T587" i="1" s="1"/>
  <c r="S586" i="1"/>
  <c r="T586" i="1" s="1"/>
  <c r="S1192" i="1"/>
  <c r="T1192" i="1" s="1"/>
  <c r="S1193" i="1"/>
  <c r="T1193" i="1" s="1"/>
  <c r="S1194" i="1"/>
  <c r="T1194" i="1" s="1"/>
  <c r="S1195" i="1"/>
  <c r="T1195" i="1" s="1"/>
  <c r="S1191" i="1"/>
  <c r="T1191" i="1" s="1"/>
  <c r="S2334" i="1"/>
  <c r="T2334" i="1" s="1"/>
  <c r="O1574" i="1"/>
  <c r="O1184" i="1" l="1"/>
  <c r="O1858" i="1"/>
  <c r="O1506" i="1" l="1"/>
  <c r="L227" i="1"/>
  <c r="S227" i="1" s="1"/>
  <c r="T227" i="1" l="1"/>
  <c r="S2568" i="1"/>
  <c r="S2596" i="1"/>
  <c r="T2596" i="1" s="1"/>
  <c r="L2568" i="1"/>
  <c r="T2568" i="1" l="1"/>
  <c r="S2255" i="1" l="1"/>
  <c r="T2255" i="1" s="1"/>
  <c r="S1432" i="1"/>
  <c r="T1432" i="1" s="1"/>
  <c r="S1678" i="1"/>
  <c r="T1678" i="1" s="1"/>
  <c r="S1677" i="1"/>
  <c r="T1677" i="1" s="1"/>
  <c r="S1676" i="1"/>
  <c r="T1676" i="1" s="1"/>
  <c r="S2101" i="1"/>
  <c r="T2101" i="1" s="1"/>
  <c r="S2100" i="1"/>
  <c r="T2100" i="1" s="1"/>
  <c r="S2099" i="1"/>
  <c r="T2099" i="1" s="1"/>
  <c r="S2098" i="1"/>
  <c r="T2098" i="1" s="1"/>
  <c r="S2126" i="1" l="1"/>
  <c r="T2126" i="1" s="1"/>
  <c r="O1616" i="1"/>
  <c r="S1946" i="1"/>
  <c r="T1946" i="1" s="1"/>
  <c r="O627" i="1" l="1"/>
  <c r="O1504" i="1" l="1"/>
  <c r="S2377" i="1"/>
  <c r="O2377" i="1"/>
  <c r="O998" i="1"/>
  <c r="O497" i="1"/>
  <c r="S1818" i="1"/>
  <c r="T1818" i="1" s="1"/>
  <c r="S1467" i="1"/>
  <c r="T1467" i="1" s="1"/>
  <c r="S1468" i="1"/>
  <c r="T1468" i="1" s="1"/>
  <c r="S1469" i="1"/>
  <c r="T1469" i="1" s="1"/>
  <c r="S1470" i="1"/>
  <c r="T1470" i="1" s="1"/>
  <c r="S1471" i="1"/>
  <c r="T1471" i="1" s="1"/>
  <c r="S1472" i="1"/>
  <c r="T1472" i="1" s="1"/>
  <c r="S1473" i="1"/>
  <c r="T1473" i="1" s="1"/>
  <c r="S585" i="1"/>
  <c r="T585" i="1" s="1"/>
  <c r="S935" i="1"/>
  <c r="T935" i="1" s="1"/>
  <c r="S1024" i="1"/>
  <c r="T1024" i="1" s="1"/>
  <c r="S1023" i="1"/>
  <c r="T1023" i="1" s="1"/>
  <c r="S1188" i="1"/>
  <c r="T1188" i="1" s="1"/>
  <c r="S1189" i="1"/>
  <c r="T1189" i="1" s="1"/>
  <c r="S1190" i="1"/>
  <c r="T1190" i="1" s="1"/>
  <c r="S1620" i="1"/>
  <c r="T1620" i="1" s="1"/>
  <c r="S2235" i="1"/>
  <c r="T2235" i="1" s="1"/>
  <c r="S2333" i="1"/>
  <c r="T2333" i="1" s="1"/>
  <c r="S2332" i="1"/>
  <c r="T2332" i="1" s="1"/>
  <c r="S2147" i="1"/>
  <c r="T2147" i="1" s="1"/>
  <c r="S1369" i="1"/>
  <c r="T1369" i="1" s="1"/>
  <c r="S1370" i="1"/>
  <c r="T1370" i="1" s="1"/>
  <c r="S1371" i="1"/>
  <c r="T1371" i="1" s="1"/>
  <c r="S1372" i="1"/>
  <c r="T1372" i="1" s="1"/>
  <c r="S1373" i="1"/>
  <c r="T1373" i="1" s="1"/>
  <c r="S1374" i="1"/>
  <c r="T1374" i="1" s="1"/>
  <c r="S1375" i="1"/>
  <c r="T1375" i="1" s="1"/>
  <c r="S1849" i="1"/>
  <c r="T1849" i="1" s="1"/>
  <c r="S1850" i="1"/>
  <c r="T1850" i="1" s="1"/>
  <c r="S1851" i="1"/>
  <c r="T1851" i="1" s="1"/>
  <c r="S2636" i="1"/>
  <c r="T2636" i="1" s="1"/>
  <c r="S920" i="1"/>
  <c r="T920" i="1" s="1"/>
  <c r="S1416" i="1"/>
  <c r="T1416" i="1" s="1"/>
  <c r="S1022" i="1"/>
  <c r="T1022" i="1" s="1"/>
  <c r="S1021" i="1"/>
  <c r="T1021" i="1" s="1"/>
  <c r="S1817" i="1"/>
  <c r="T1817" i="1" s="1"/>
  <c r="S1816" i="1"/>
  <c r="T1816" i="1" s="1"/>
  <c r="S1431" i="1"/>
  <c r="T1431" i="1" s="1"/>
  <c r="S816" i="1"/>
  <c r="T816" i="1" s="1"/>
  <c r="S817" i="1"/>
  <c r="T817" i="1" s="1"/>
  <c r="S818" i="1"/>
  <c r="T818" i="1" s="1"/>
  <c r="S819" i="1"/>
  <c r="T819" i="1" s="1"/>
  <c r="S413" i="1"/>
  <c r="T413" i="1" s="1"/>
  <c r="S414" i="1"/>
  <c r="T414" i="1" s="1"/>
  <c r="S415" i="1"/>
  <c r="T415" i="1" s="1"/>
  <c r="S416" i="1"/>
  <c r="T416" i="1" s="1"/>
  <c r="S417" i="1"/>
  <c r="T417" i="1" s="1"/>
  <c r="S455" i="1"/>
  <c r="T455" i="1" s="1"/>
  <c r="L456" i="1"/>
  <c r="S457" i="1"/>
  <c r="T457" i="1" s="1"/>
  <c r="T456" i="1" s="1"/>
  <c r="S412" i="1"/>
  <c r="T412" i="1" s="1"/>
  <c r="S405" i="1"/>
  <c r="T405" i="1" s="1"/>
  <c r="S406" i="1"/>
  <c r="T406" i="1" s="1"/>
  <c r="S407" i="1"/>
  <c r="T407" i="1" s="1"/>
  <c r="S403" i="1"/>
  <c r="T403" i="1" s="1"/>
  <c r="S408" i="1"/>
  <c r="T408" i="1" s="1"/>
  <c r="S409" i="1"/>
  <c r="T409" i="1" s="1"/>
  <c r="S410" i="1"/>
  <c r="T410" i="1" s="1"/>
  <c r="S411" i="1"/>
  <c r="T411" i="1" s="1"/>
  <c r="S896" i="1"/>
  <c r="T896" i="1" s="1"/>
  <c r="S897" i="1"/>
  <c r="T897" i="1" s="1"/>
  <c r="S898" i="1"/>
  <c r="T898" i="1" s="1"/>
  <c r="S1522" i="1"/>
  <c r="T1522" i="1" s="1"/>
  <c r="S1523" i="1"/>
  <c r="T1523" i="1" s="1"/>
  <c r="S1526" i="1"/>
  <c r="T1526" i="1" s="1"/>
  <c r="S1307" i="1"/>
  <c r="T1307" i="1" s="1"/>
  <c r="S1308" i="1"/>
  <c r="T1308" i="1" s="1"/>
  <c r="S1309" i="1"/>
  <c r="T1309" i="1" s="1"/>
  <c r="O2353" i="1"/>
  <c r="S1935" i="1"/>
  <c r="T1935" i="1" s="1"/>
  <c r="O1442" i="1"/>
  <c r="O2591" i="1"/>
  <c r="O2509" i="1"/>
  <c r="O720" i="1"/>
  <c r="O870" i="1"/>
  <c r="S2661" i="1"/>
  <c r="T2661" i="1" s="1"/>
  <c r="S2567" i="1"/>
  <c r="T2567" i="1" s="1"/>
  <c r="L226" i="1"/>
  <c r="S226" i="1" s="1"/>
  <c r="L225" i="1"/>
  <c r="S225" i="1" s="1"/>
  <c r="L224" i="1"/>
  <c r="S224" i="1" s="1"/>
  <c r="S223" i="1"/>
  <c r="T223" i="1" s="1"/>
  <c r="S2595" i="1"/>
  <c r="T2595" i="1" s="1"/>
  <c r="S1368" i="1"/>
  <c r="T1368" i="1" s="1"/>
  <c r="S1105" i="1"/>
  <c r="T1105" i="1" s="1"/>
  <c r="O209" i="1" l="1"/>
  <c r="S456" i="1"/>
  <c r="V456" i="1" s="1"/>
  <c r="W456" i="1" s="1"/>
  <c r="T224" i="1"/>
  <c r="T225" i="1"/>
  <c r="T226" i="1"/>
  <c r="S2361" i="1"/>
  <c r="T2361" i="1" s="1"/>
  <c r="S99" i="1"/>
  <c r="T99" i="1" s="1"/>
  <c r="S98" i="1"/>
  <c r="T98" i="1" s="1"/>
  <c r="S97" i="1"/>
  <c r="T97" i="1" s="1"/>
  <c r="S96" i="1"/>
  <c r="T96" i="1" s="1"/>
  <c r="S95" i="1"/>
  <c r="T95" i="1" s="1"/>
  <c r="S94" i="1"/>
  <c r="T94" i="1" s="1"/>
  <c r="S93" i="1"/>
  <c r="T93" i="1" s="1"/>
  <c r="S1771" i="1"/>
  <c r="T1771" i="1" s="1"/>
  <c r="S1769" i="1"/>
  <c r="T1769" i="1" s="1"/>
  <c r="S1774" i="1"/>
  <c r="T1774" i="1" s="1"/>
  <c r="S1773" i="1"/>
  <c r="T1773" i="1" s="1"/>
  <c r="S1772" i="1"/>
  <c r="T1772" i="1" s="1"/>
  <c r="S1770" i="1"/>
  <c r="T1770" i="1" s="1"/>
  <c r="S1768" i="1"/>
  <c r="T1768" i="1" s="1"/>
  <c r="S517" i="1"/>
  <c r="T517" i="1" s="1"/>
  <c r="S516" i="1"/>
  <c r="T516" i="1" s="1"/>
  <c r="S1306" i="1"/>
  <c r="T1306" i="1" s="1"/>
  <c r="S2594" i="1"/>
  <c r="T2594" i="1" s="1"/>
  <c r="S2169" i="1"/>
  <c r="T2169" i="1" s="1"/>
  <c r="S1954" i="1"/>
  <c r="T1954" i="1" s="1"/>
  <c r="O1177" i="1"/>
  <c r="S2092" i="1" l="1"/>
  <c r="T2092" i="1" s="1"/>
  <c r="S2093" i="1"/>
  <c r="T2093" i="1" s="1"/>
  <c r="S2094" i="1"/>
  <c r="T2094" i="1" s="1"/>
  <c r="S2095" i="1"/>
  <c r="T2095" i="1" s="1"/>
  <c r="S2096" i="1"/>
  <c r="T2096" i="1" s="1"/>
  <c r="S2097" i="1"/>
  <c r="T2097" i="1" s="1"/>
  <c r="S2114" i="1"/>
  <c r="T2114" i="1" s="1"/>
  <c r="S1367" i="1"/>
  <c r="T1367" i="1" s="1"/>
  <c r="S1020" i="1"/>
  <c r="T1020" i="1" s="1"/>
  <c r="S1018" i="1"/>
  <c r="T1018" i="1" s="1"/>
  <c r="S1097" i="1"/>
  <c r="T1097" i="1" s="1"/>
  <c r="S1521" i="1"/>
  <c r="T1521" i="1" s="1"/>
  <c r="S1520" i="1"/>
  <c r="T1520" i="1" s="1"/>
  <c r="S1519" i="1"/>
  <c r="T1519" i="1" s="1"/>
  <c r="S1019" i="1"/>
  <c r="T1019" i="1" s="1"/>
  <c r="S1012" i="1"/>
  <c r="T1012" i="1" s="1"/>
  <c r="S1011" i="1"/>
  <c r="T1011" i="1" s="1"/>
  <c r="S1010" i="1"/>
  <c r="T1010" i="1" s="1"/>
  <c r="S1009" i="1"/>
  <c r="T1009" i="1" s="1"/>
  <c r="S1008" i="1"/>
  <c r="T1008" i="1" s="1"/>
  <c r="S1007" i="1"/>
  <c r="T1007" i="1" s="1"/>
  <c r="S1006" i="1"/>
  <c r="T1006" i="1" s="1"/>
  <c r="S1305" i="1" l="1"/>
  <c r="T1305" i="1" s="1"/>
  <c r="S1304" i="1"/>
  <c r="T1304" i="1" s="1"/>
  <c r="S1303" i="1"/>
  <c r="T1303" i="1" s="1"/>
  <c r="S1302" i="1"/>
  <c r="T1302" i="1" s="1"/>
  <c r="S1301" i="1"/>
  <c r="T1301" i="1" s="1"/>
  <c r="S1300" i="1"/>
  <c r="T1300" i="1" s="1"/>
  <c r="S1299" i="1"/>
  <c r="T1299" i="1" s="1"/>
  <c r="S1298" i="1"/>
  <c r="T1298" i="1" s="1"/>
  <c r="S1848" i="1"/>
  <c r="T1848" i="1" s="1"/>
  <c r="S2530" i="1"/>
  <c r="T2530" i="1" s="1"/>
  <c r="S2490" i="1"/>
  <c r="T2490" i="1" s="1"/>
  <c r="S2510" i="1"/>
  <c r="T2510" i="1" s="1"/>
  <c r="S2509" i="1"/>
  <c r="T2509" i="1" s="1"/>
  <c r="S2331" i="1"/>
  <c r="T2331" i="1" s="1"/>
  <c r="S724" i="1"/>
  <c r="T724" i="1" s="1"/>
  <c r="S20" i="1"/>
  <c r="T20" i="1" s="1"/>
  <c r="S1017" i="1"/>
  <c r="T1017" i="1" s="1"/>
  <c r="S1016" i="1"/>
  <c r="T1016" i="1" s="1"/>
  <c r="S1015" i="1"/>
  <c r="T1015" i="1" s="1"/>
  <c r="S1014" i="1"/>
  <c r="T1014" i="1" s="1"/>
  <c r="S1013" i="1"/>
  <c r="T1013" i="1" s="1"/>
  <c r="S92" i="1"/>
  <c r="T92" i="1" s="1"/>
  <c r="S91" i="1"/>
  <c r="T91" i="1" s="1"/>
  <c r="S1859" i="1"/>
  <c r="T1859" i="1" s="1"/>
  <c r="S1430" i="1"/>
  <c r="T1430" i="1" s="1"/>
  <c r="S1675" i="1"/>
  <c r="T1675" i="1" s="1"/>
  <c r="S1674" i="1"/>
  <c r="T1674" i="1" s="1"/>
  <c r="L1366" i="1"/>
  <c r="O1366" i="1" s="1"/>
  <c r="S1187" i="1"/>
  <c r="T1187" i="1" s="1"/>
  <c r="O1172" i="1"/>
  <c r="O863" i="1"/>
  <c r="S1934" i="1"/>
  <c r="T1934" i="1" s="1"/>
  <c r="O1346" i="1"/>
  <c r="S1366" i="1" l="1"/>
  <c r="T1366" i="1" s="1"/>
  <c r="O1356" i="1"/>
  <c r="O1359" i="1"/>
  <c r="L1965" i="1" l="1"/>
  <c r="O2122" i="1"/>
  <c r="O577" i="1" l="1"/>
  <c r="O1501" i="1"/>
  <c r="O380" i="1"/>
  <c r="S815" i="1" l="1"/>
  <c r="T815" i="1" s="1"/>
  <c r="S629" i="1"/>
  <c r="T629" i="1" s="1"/>
  <c r="S1578" i="1"/>
  <c r="T1578" i="1" s="1"/>
  <c r="S222" i="1"/>
  <c r="T222" i="1" s="1"/>
  <c r="S221" i="1"/>
  <c r="T221" i="1" s="1"/>
  <c r="S220" i="1"/>
  <c r="T220" i="1" s="1"/>
  <c r="S219" i="1"/>
  <c r="T219" i="1" s="1"/>
  <c r="S218" i="1"/>
  <c r="T218" i="1" s="1"/>
  <c r="S217" i="1"/>
  <c r="T217" i="1" s="1"/>
  <c r="S2085" i="1"/>
  <c r="T2085" i="1" s="1"/>
  <c r="S2086" i="1"/>
  <c r="T2086" i="1" s="1"/>
  <c r="S2087" i="1"/>
  <c r="T2087" i="1" s="1"/>
  <c r="S2088" i="1"/>
  <c r="T2088" i="1" s="1"/>
  <c r="S2089" i="1"/>
  <c r="T2089" i="1" s="1"/>
  <c r="S2090" i="1"/>
  <c r="T2090" i="1" s="1"/>
  <c r="S2091" i="1"/>
  <c r="T2091" i="1" s="1"/>
  <c r="S2076" i="1"/>
  <c r="T2076" i="1" s="1"/>
  <c r="S2077" i="1"/>
  <c r="T2077" i="1" s="1"/>
  <c r="S2078" i="1"/>
  <c r="T2078" i="1" s="1"/>
  <c r="S2079" i="1"/>
  <c r="T2079" i="1" s="1"/>
  <c r="S2080" i="1"/>
  <c r="T2080" i="1" s="1"/>
  <c r="S2081" i="1"/>
  <c r="T2081" i="1" s="1"/>
  <c r="S2082" i="1"/>
  <c r="T2082" i="1" s="1"/>
  <c r="S2083" i="1"/>
  <c r="T2083" i="1" s="1"/>
  <c r="S2084" i="1"/>
  <c r="T2084" i="1" s="1"/>
  <c r="S2068" i="1"/>
  <c r="T2068" i="1" s="1"/>
  <c r="S2069" i="1"/>
  <c r="T2069" i="1" s="1"/>
  <c r="S2070" i="1"/>
  <c r="T2070" i="1" s="1"/>
  <c r="S2071" i="1"/>
  <c r="T2071" i="1" s="1"/>
  <c r="S2072" i="1"/>
  <c r="T2072" i="1" s="1"/>
  <c r="S2073" i="1"/>
  <c r="T2073" i="1" s="1"/>
  <c r="S2074" i="1"/>
  <c r="T2074" i="1" s="1"/>
  <c r="S2075" i="1"/>
  <c r="T2075" i="1" s="1"/>
  <c r="S2234" i="1"/>
  <c r="T2234" i="1" s="1"/>
  <c r="S1184" i="1"/>
  <c r="T1184" i="1" s="1"/>
  <c r="S1185" i="1"/>
  <c r="T1185" i="1" s="1"/>
  <c r="S1186" i="1"/>
  <c r="T1186" i="1" s="1"/>
  <c r="S2386" i="1"/>
  <c r="T2386" i="1" s="1"/>
  <c r="S2387" i="1"/>
  <c r="T2387" i="1" s="1"/>
  <c r="S1618" i="1"/>
  <c r="T1618" i="1" s="1"/>
  <c r="S1619" i="1"/>
  <c r="T1619" i="1" s="1"/>
  <c r="S1635" i="1"/>
  <c r="T1635" i="1" s="1"/>
  <c r="S1877" i="1"/>
  <c r="T1877" i="1" s="1"/>
  <c r="S1673" i="1"/>
  <c r="T1673" i="1" s="1"/>
  <c r="S1672" i="1"/>
  <c r="T1672" i="1" s="1"/>
  <c r="S1671" i="1"/>
  <c r="T1671" i="1" s="1"/>
  <c r="S1670" i="1"/>
  <c r="T1670" i="1" s="1"/>
  <c r="O2622" i="1"/>
  <c r="S84" i="1" l="1"/>
  <c r="T84" i="1" s="1"/>
  <c r="S85" i="1"/>
  <c r="T85" i="1" s="1"/>
  <c r="S86" i="1"/>
  <c r="T86" i="1" s="1"/>
  <c r="S87" i="1"/>
  <c r="T87" i="1" s="1"/>
  <c r="S88" i="1"/>
  <c r="T88" i="1" s="1"/>
  <c r="S89" i="1"/>
  <c r="T89" i="1" s="1"/>
  <c r="S90" i="1"/>
  <c r="T90" i="1" s="1"/>
  <c r="S934" i="1"/>
  <c r="T934" i="1" s="1"/>
  <c r="S933" i="1"/>
  <c r="T933" i="1" s="1"/>
  <c r="S1295" i="1"/>
  <c r="T1295" i="1" s="1"/>
  <c r="S1296" i="1"/>
  <c r="T1296" i="1" s="1"/>
  <c r="S1297" i="1"/>
  <c r="T1297" i="1" s="1"/>
  <c r="S1322" i="1"/>
  <c r="T1322" i="1" s="1"/>
  <c r="S2574" i="1"/>
  <c r="T2574" i="1" s="1"/>
  <c r="S2660" i="1"/>
  <c r="T2660" i="1" s="1"/>
  <c r="L2652" i="1"/>
  <c r="L2566" i="1"/>
  <c r="S2566" i="1" s="1"/>
  <c r="S2330" i="1"/>
  <c r="T2330" i="1" s="1"/>
  <c r="S2254" i="1"/>
  <c r="T2254" i="1" s="1"/>
  <c r="S2125" i="1"/>
  <c r="T2125" i="1" s="1"/>
  <c r="S2252" i="1"/>
  <c r="O2252" i="1"/>
  <c r="O1810" i="1"/>
  <c r="O373" i="1"/>
  <c r="O1103" i="1"/>
  <c r="S1933" i="1"/>
  <c r="T1933" i="1" s="1"/>
  <c r="S1939" i="1"/>
  <c r="O852" i="1"/>
  <c r="T2566" i="1" l="1"/>
  <c r="T1939" i="1"/>
  <c r="S1429" i="1"/>
  <c r="T1429" i="1" s="1"/>
  <c r="S1815" i="1"/>
  <c r="T1815" i="1" s="1"/>
  <c r="S998" i="1"/>
  <c r="T998" i="1" s="1"/>
  <c r="S999" i="1"/>
  <c r="T999" i="1" s="1"/>
  <c r="S1000" i="1"/>
  <c r="T1000" i="1" s="1"/>
  <c r="S1001" i="1"/>
  <c r="T1001" i="1" s="1"/>
  <c r="S1002" i="1"/>
  <c r="T1002" i="1" s="1"/>
  <c r="S1003" i="1"/>
  <c r="T1003" i="1" s="1"/>
  <c r="S1004" i="1"/>
  <c r="T1004" i="1" s="1"/>
  <c r="S1005" i="1"/>
  <c r="T1005" i="1" s="1"/>
  <c r="L2461" i="1" l="1"/>
  <c r="L2460" i="1"/>
  <c r="L2450" i="1"/>
  <c r="S2450" i="1" s="1"/>
  <c r="S2451" i="1"/>
  <c r="T2451" i="1" s="1"/>
  <c r="S2452" i="1"/>
  <c r="T2452" i="1" s="1"/>
  <c r="S2453" i="1"/>
  <c r="T2453" i="1" s="1"/>
  <c r="S2454" i="1"/>
  <c r="T2454" i="1" s="1"/>
  <c r="S2455" i="1"/>
  <c r="T2455" i="1" s="1"/>
  <c r="S2456" i="1"/>
  <c r="T2456" i="1" s="1"/>
  <c r="S2457" i="1"/>
  <c r="T2457" i="1" s="1"/>
  <c r="S2458" i="1"/>
  <c r="T2458" i="1" s="1"/>
  <c r="S2459" i="1"/>
  <c r="T2459" i="1" s="1"/>
  <c r="S2460" i="1"/>
  <c r="S2461" i="1"/>
  <c r="S19" i="1"/>
  <c r="T19" i="1" s="1"/>
  <c r="S1096" i="1"/>
  <c r="T1096" i="1" s="1"/>
  <c r="S722" i="1"/>
  <c r="T722" i="1" s="1"/>
  <c r="S723" i="1"/>
  <c r="T723" i="1" s="1"/>
  <c r="T2461" i="1" l="1"/>
  <c r="T2460" i="1"/>
  <c r="T2450" i="1"/>
  <c r="S2360" i="1"/>
  <c r="T2360" i="1" s="1"/>
  <c r="S1767" i="1"/>
  <c r="T1767" i="1" s="1"/>
  <c r="S1765" i="1"/>
  <c r="T1765" i="1" s="1"/>
  <c r="S1766" i="1"/>
  <c r="T1766" i="1" s="1"/>
  <c r="S1764" i="1"/>
  <c r="T1764" i="1" s="1"/>
  <c r="L507" i="1"/>
  <c r="O503" i="1" s="1"/>
  <c r="S508" i="1"/>
  <c r="T508" i="1" s="1"/>
  <c r="S509" i="1"/>
  <c r="T509" i="1" s="1"/>
  <c r="S510" i="1"/>
  <c r="T510" i="1" s="1"/>
  <c r="S511" i="1"/>
  <c r="T511" i="1" s="1"/>
  <c r="S512" i="1"/>
  <c r="T512" i="1" s="1"/>
  <c r="S513" i="1"/>
  <c r="T513" i="1" s="1"/>
  <c r="S514" i="1"/>
  <c r="T514" i="1" s="1"/>
  <c r="S515" i="1"/>
  <c r="T515" i="1" s="1"/>
  <c r="S539" i="1"/>
  <c r="T539" i="1" s="1"/>
  <c r="S814" i="1"/>
  <c r="T814" i="1" s="1"/>
  <c r="S813" i="1"/>
  <c r="T813" i="1" s="1"/>
  <c r="S812" i="1"/>
  <c r="T812" i="1" s="1"/>
  <c r="S1294" i="1"/>
  <c r="T1294" i="1" s="1"/>
  <c r="S892" i="1"/>
  <c r="T892" i="1" s="1"/>
  <c r="S893" i="1"/>
  <c r="T893" i="1" s="1"/>
  <c r="S894" i="1"/>
  <c r="T894" i="1" s="1"/>
  <c r="S895" i="1"/>
  <c r="T895" i="1" s="1"/>
  <c r="S916" i="1"/>
  <c r="T916" i="1" s="1"/>
  <c r="S2168" i="1"/>
  <c r="T2168" i="1" s="1"/>
  <c r="S1845" i="1"/>
  <c r="T1845" i="1" s="1"/>
  <c r="S1846" i="1"/>
  <c r="T1846" i="1" s="1"/>
  <c r="S1847" i="1"/>
  <c r="T1847" i="1" s="1"/>
  <c r="S1852" i="1"/>
  <c r="T1852" i="1" s="1"/>
  <c r="S1577" i="1"/>
  <c r="T1577" i="1" s="1"/>
  <c r="S584" i="1"/>
  <c r="T584" i="1" s="1"/>
  <c r="S583" i="1"/>
  <c r="T583" i="1" s="1"/>
  <c r="S216" i="1"/>
  <c r="T216" i="1" s="1"/>
  <c r="S215" i="1"/>
  <c r="T215" i="1" s="1"/>
  <c r="S82" i="1"/>
  <c r="T82" i="1" s="1"/>
  <c r="S83" i="1"/>
  <c r="T83" i="1" s="1"/>
  <c r="S2329" i="1"/>
  <c r="T2329" i="1" s="1"/>
  <c r="S1617" i="1"/>
  <c r="T1617" i="1" s="1"/>
  <c r="S1611" i="1"/>
  <c r="O1611" i="1"/>
  <c r="O1291" i="1"/>
  <c r="O366" i="1"/>
  <c r="O2507" i="1"/>
  <c r="S507" i="1" l="1"/>
  <c r="T507" i="1" s="1"/>
  <c r="S1960" i="1"/>
  <c r="T1960" i="1" s="1"/>
  <c r="S1953" i="1"/>
  <c r="T1953" i="1" s="1"/>
  <c r="S2593" i="1"/>
  <c r="T2593" i="1" s="1"/>
  <c r="S1576" i="1"/>
  <c r="T1576" i="1" s="1"/>
  <c r="S1518" i="1"/>
  <c r="T1518" i="1" s="1"/>
  <c r="S721" i="1"/>
  <c r="T721" i="1" s="1"/>
  <c r="S720" i="1"/>
  <c r="T720" i="1" s="1"/>
  <c r="S1104" i="1"/>
  <c r="T1104" i="1" s="1"/>
  <c r="S1103" i="1"/>
  <c r="T1103" i="1" s="1"/>
  <c r="S77" i="1"/>
  <c r="T77" i="1" s="1"/>
  <c r="S78" i="1"/>
  <c r="T78" i="1" s="1"/>
  <c r="S79" i="1"/>
  <c r="T79" i="1" s="1"/>
  <c r="S80" i="1"/>
  <c r="T80" i="1" s="1"/>
  <c r="S81" i="1"/>
  <c r="T81" i="1" s="1"/>
  <c r="S1616" i="1"/>
  <c r="T1616" i="1" s="1"/>
  <c r="S2529" i="1"/>
  <c r="T2529" i="1" s="1"/>
  <c r="S2623" i="1"/>
  <c r="T2623" i="1" s="1"/>
  <c r="S2622" i="1"/>
  <c r="T2622" i="1" s="1"/>
  <c r="L2565" i="1"/>
  <c r="O2564" i="1" s="1"/>
  <c r="S1415" i="1"/>
  <c r="T1415" i="1" s="1"/>
  <c r="S627" i="1"/>
  <c r="T627" i="1" s="1"/>
  <c r="S628" i="1"/>
  <c r="T628" i="1" s="1"/>
  <c r="S634" i="1"/>
  <c r="T634" i="1" s="1"/>
  <c r="S1361" i="1"/>
  <c r="T1361" i="1" s="1"/>
  <c r="S1462" i="1"/>
  <c r="T1462" i="1" s="1"/>
  <c r="S1463" i="1"/>
  <c r="T1463" i="1" s="1"/>
  <c r="S1464" i="1"/>
  <c r="T1464" i="1" s="1"/>
  <c r="S1465" i="1"/>
  <c r="T1465" i="1" s="1"/>
  <c r="S1466" i="1"/>
  <c r="T1466" i="1" s="1"/>
  <c r="S582" i="1"/>
  <c r="T582" i="1" s="1"/>
  <c r="S581" i="1"/>
  <c r="T581" i="1" s="1"/>
  <c r="S1183" i="1"/>
  <c r="T1183" i="1" s="1"/>
  <c r="S1182" i="1"/>
  <c r="T1182" i="1" s="1"/>
  <c r="S2565" i="1" l="1"/>
  <c r="T2565" i="1" s="1"/>
  <c r="O2589" i="1"/>
  <c r="L1360" i="1" l="1"/>
  <c r="O1360" i="1" l="1"/>
  <c r="S1360" i="1"/>
  <c r="T1360" i="1" s="1"/>
  <c r="O1494" i="1"/>
  <c r="S1498" i="1"/>
  <c r="T1498" i="1" s="1"/>
  <c r="L1497" i="1"/>
  <c r="L1485" i="1" s="1"/>
  <c r="O1497" i="1" l="1"/>
  <c r="S1497" i="1"/>
  <c r="T1497" i="1" s="1"/>
  <c r="S2233" i="1"/>
  <c r="T2233" i="1" s="1"/>
  <c r="S1359" i="1"/>
  <c r="S716" i="1"/>
  <c r="T716" i="1" s="1"/>
  <c r="S717" i="1"/>
  <c r="T717" i="1" s="1"/>
  <c r="S718" i="1"/>
  <c r="T718" i="1" s="1"/>
  <c r="S719" i="1"/>
  <c r="T719" i="1" s="1"/>
  <c r="T1359" i="1" l="1"/>
  <c r="O1159" i="1"/>
  <c r="O494" i="1"/>
  <c r="B3" i="6"/>
  <c r="F10" i="4"/>
  <c r="F22" i="4" s="1"/>
  <c r="G1841" i="3"/>
  <c r="G1" i="3"/>
  <c r="S3070" i="1"/>
  <c r="T3070" i="1" s="1"/>
  <c r="S3069" i="1"/>
  <c r="T3069" i="1" s="1"/>
  <c r="O3069" i="1"/>
  <c r="L3068" i="1"/>
  <c r="S3066" i="1"/>
  <c r="T3066" i="1" s="1"/>
  <c r="S3065" i="1"/>
  <c r="O3065" i="1"/>
  <c r="L3064" i="1"/>
  <c r="S3059" i="1"/>
  <c r="T3059" i="1" s="1"/>
  <c r="S3058" i="1"/>
  <c r="T3058" i="1" s="1"/>
  <c r="O3058" i="1"/>
  <c r="S3057" i="1"/>
  <c r="T3057" i="1" s="1"/>
  <c r="O3057" i="1"/>
  <c r="S3056" i="1"/>
  <c r="T3056" i="1" s="1"/>
  <c r="O3056" i="1"/>
  <c r="S3055" i="1"/>
  <c r="T3055" i="1" s="1"/>
  <c r="O3055" i="1"/>
  <c r="S3054" i="1"/>
  <c r="T3054" i="1" s="1"/>
  <c r="O3054" i="1"/>
  <c r="S3053" i="1"/>
  <c r="T3053" i="1" s="1"/>
  <c r="O3053" i="1"/>
  <c r="S3052" i="1"/>
  <c r="T3052" i="1" s="1"/>
  <c r="O3052" i="1"/>
  <c r="S3051" i="1"/>
  <c r="T3051" i="1" s="1"/>
  <c r="O3051" i="1"/>
  <c r="S3050" i="1"/>
  <c r="T3050" i="1" s="1"/>
  <c r="O3050" i="1"/>
  <c r="S3049" i="1"/>
  <c r="T3049" i="1" s="1"/>
  <c r="O3049" i="1"/>
  <c r="S3048" i="1"/>
  <c r="T3048" i="1" s="1"/>
  <c r="O3048" i="1"/>
  <c r="S3047" i="1"/>
  <c r="O3047" i="1"/>
  <c r="L3046" i="1"/>
  <c r="S3044" i="1"/>
  <c r="T3044" i="1" s="1"/>
  <c r="S3043" i="1"/>
  <c r="T3043" i="1" s="1"/>
  <c r="O3043" i="1"/>
  <c r="S3042" i="1"/>
  <c r="T3042" i="1" s="1"/>
  <c r="O3042" i="1"/>
  <c r="S3041" i="1"/>
  <c r="T3041" i="1" s="1"/>
  <c r="O3041" i="1"/>
  <c r="S3040" i="1"/>
  <c r="T3040" i="1" s="1"/>
  <c r="O3040" i="1"/>
  <c r="S3039" i="1"/>
  <c r="T3039" i="1" s="1"/>
  <c r="O3039" i="1"/>
  <c r="S3038" i="1"/>
  <c r="T3038" i="1" s="1"/>
  <c r="O3038" i="1"/>
  <c r="S3037" i="1"/>
  <c r="T3037" i="1" s="1"/>
  <c r="O3037" i="1"/>
  <c r="S3036" i="1"/>
  <c r="T3036" i="1" s="1"/>
  <c r="O3036" i="1"/>
  <c r="S3035" i="1"/>
  <c r="T3035" i="1" s="1"/>
  <c r="O3035" i="1"/>
  <c r="S3034" i="1"/>
  <c r="T3034" i="1" s="1"/>
  <c r="O3034" i="1"/>
  <c r="S3033" i="1"/>
  <c r="O3033" i="1"/>
  <c r="S3032" i="1"/>
  <c r="T3032" i="1" s="1"/>
  <c r="O3032" i="1"/>
  <c r="L3031" i="1"/>
  <c r="S3029" i="1"/>
  <c r="T3029" i="1" s="1"/>
  <c r="S3028" i="1"/>
  <c r="T3028" i="1" s="1"/>
  <c r="O3028" i="1"/>
  <c r="S3027" i="1"/>
  <c r="T3027" i="1" s="1"/>
  <c r="O3027" i="1"/>
  <c r="S3026" i="1"/>
  <c r="T3026" i="1" s="1"/>
  <c r="O3026" i="1"/>
  <c r="S3025" i="1"/>
  <c r="T3025" i="1" s="1"/>
  <c r="O3025" i="1"/>
  <c r="S3024" i="1"/>
  <c r="T3024" i="1" s="1"/>
  <c r="O3024" i="1"/>
  <c r="S3023" i="1"/>
  <c r="T3023" i="1" s="1"/>
  <c r="O3023" i="1"/>
  <c r="S3022" i="1"/>
  <c r="T3022" i="1" s="1"/>
  <c r="O3022" i="1"/>
  <c r="S3021" i="1"/>
  <c r="T3021" i="1" s="1"/>
  <c r="O3021" i="1"/>
  <c r="S3020" i="1"/>
  <c r="T3020" i="1" s="1"/>
  <c r="O3020" i="1"/>
  <c r="S3019" i="1"/>
  <c r="T3019" i="1" s="1"/>
  <c r="O3019" i="1"/>
  <c r="S3018" i="1"/>
  <c r="T3018" i="1" s="1"/>
  <c r="O3018" i="1"/>
  <c r="S3017" i="1"/>
  <c r="T3017" i="1" s="1"/>
  <c r="O3017" i="1"/>
  <c r="L3016" i="1"/>
  <c r="S3014" i="1"/>
  <c r="T3014" i="1" s="1"/>
  <c r="S3013" i="1"/>
  <c r="T3013" i="1" s="1"/>
  <c r="O3013" i="1"/>
  <c r="S3012" i="1"/>
  <c r="T3012" i="1" s="1"/>
  <c r="O3012" i="1"/>
  <c r="S3011" i="1"/>
  <c r="T3011" i="1" s="1"/>
  <c r="O3011" i="1"/>
  <c r="S3010" i="1"/>
  <c r="T3010" i="1" s="1"/>
  <c r="O3010" i="1"/>
  <c r="S3009" i="1"/>
  <c r="T3009" i="1" s="1"/>
  <c r="O3009" i="1"/>
  <c r="S3008" i="1"/>
  <c r="T3008" i="1" s="1"/>
  <c r="O3008" i="1"/>
  <c r="S3007" i="1"/>
  <c r="T3007" i="1" s="1"/>
  <c r="O3007" i="1"/>
  <c r="S3006" i="1"/>
  <c r="T3006" i="1" s="1"/>
  <c r="O3006" i="1"/>
  <c r="S3005" i="1"/>
  <c r="T3005" i="1" s="1"/>
  <c r="O3005" i="1"/>
  <c r="S3004" i="1"/>
  <c r="T3004" i="1" s="1"/>
  <c r="O3004" i="1"/>
  <c r="S3003" i="1"/>
  <c r="T3003" i="1" s="1"/>
  <c r="O3003" i="1"/>
  <c r="S3002" i="1"/>
  <c r="O3002" i="1"/>
  <c r="L3001" i="1"/>
  <c r="S2999" i="1"/>
  <c r="T2999" i="1" s="1"/>
  <c r="S2998" i="1"/>
  <c r="T2998" i="1" s="1"/>
  <c r="O2998" i="1"/>
  <c r="S2997" i="1"/>
  <c r="T2997" i="1" s="1"/>
  <c r="O2997" i="1"/>
  <c r="S2996" i="1"/>
  <c r="T2996" i="1" s="1"/>
  <c r="O2996" i="1"/>
  <c r="S2995" i="1"/>
  <c r="T2995" i="1" s="1"/>
  <c r="O2995" i="1"/>
  <c r="S2994" i="1"/>
  <c r="T2994" i="1" s="1"/>
  <c r="O2994" i="1"/>
  <c r="S2993" i="1"/>
  <c r="T2993" i="1" s="1"/>
  <c r="O2993" i="1"/>
  <c r="S2992" i="1"/>
  <c r="T2992" i="1" s="1"/>
  <c r="O2992" i="1"/>
  <c r="S2991" i="1"/>
  <c r="T2991" i="1" s="1"/>
  <c r="O2991" i="1"/>
  <c r="S2990" i="1"/>
  <c r="T2990" i="1" s="1"/>
  <c r="O2990" i="1"/>
  <c r="S2989" i="1"/>
  <c r="T2989" i="1" s="1"/>
  <c r="O2989" i="1"/>
  <c r="S2988" i="1"/>
  <c r="T2988" i="1" s="1"/>
  <c r="O2988" i="1"/>
  <c r="S2987" i="1"/>
  <c r="T2987" i="1" s="1"/>
  <c r="O2987" i="1"/>
  <c r="L2986" i="1"/>
  <c r="S2984" i="1"/>
  <c r="T2984" i="1" s="1"/>
  <c r="S2983" i="1"/>
  <c r="T2983" i="1" s="1"/>
  <c r="O2983" i="1"/>
  <c r="S2982" i="1"/>
  <c r="T2982" i="1" s="1"/>
  <c r="O2982" i="1"/>
  <c r="S2981" i="1"/>
  <c r="T2981" i="1" s="1"/>
  <c r="O2981" i="1"/>
  <c r="S2980" i="1"/>
  <c r="T2980" i="1" s="1"/>
  <c r="O2980" i="1"/>
  <c r="S2979" i="1"/>
  <c r="T2979" i="1" s="1"/>
  <c r="O2979" i="1"/>
  <c r="S2978" i="1"/>
  <c r="T2978" i="1" s="1"/>
  <c r="O2978" i="1"/>
  <c r="S2977" i="1"/>
  <c r="T2977" i="1" s="1"/>
  <c r="O2977" i="1"/>
  <c r="S2976" i="1"/>
  <c r="T2976" i="1" s="1"/>
  <c r="O2976" i="1"/>
  <c r="S2975" i="1"/>
  <c r="T2975" i="1" s="1"/>
  <c r="O2975" i="1"/>
  <c r="S2974" i="1"/>
  <c r="T2974" i="1" s="1"/>
  <c r="O2974" i="1"/>
  <c r="S2973" i="1"/>
  <c r="O2973" i="1"/>
  <c r="S2972" i="1"/>
  <c r="T2972" i="1" s="1"/>
  <c r="O2972" i="1"/>
  <c r="L2971" i="1"/>
  <c r="S2969" i="1"/>
  <c r="T2969" i="1" s="1"/>
  <c r="S2968" i="1"/>
  <c r="T2968" i="1" s="1"/>
  <c r="O2968" i="1"/>
  <c r="S2967" i="1"/>
  <c r="T2967" i="1" s="1"/>
  <c r="O2967" i="1"/>
  <c r="S2966" i="1"/>
  <c r="T2966" i="1" s="1"/>
  <c r="O2966" i="1"/>
  <c r="S2965" i="1"/>
  <c r="T2965" i="1" s="1"/>
  <c r="O2965" i="1"/>
  <c r="S2964" i="1"/>
  <c r="T2964" i="1" s="1"/>
  <c r="O2964" i="1"/>
  <c r="S2963" i="1"/>
  <c r="T2963" i="1" s="1"/>
  <c r="O2963" i="1"/>
  <c r="S2962" i="1"/>
  <c r="T2962" i="1" s="1"/>
  <c r="O2962" i="1"/>
  <c r="S2961" i="1"/>
  <c r="T2961" i="1" s="1"/>
  <c r="O2961" i="1"/>
  <c r="S2960" i="1"/>
  <c r="T2960" i="1" s="1"/>
  <c r="O2960" i="1"/>
  <c r="S2959" i="1"/>
  <c r="T2959" i="1" s="1"/>
  <c r="O2959" i="1"/>
  <c r="S2958" i="1"/>
  <c r="T2958" i="1" s="1"/>
  <c r="O2958" i="1"/>
  <c r="S2957" i="1"/>
  <c r="T2957" i="1" s="1"/>
  <c r="O2957" i="1"/>
  <c r="L2956" i="1"/>
  <c r="S2954" i="1"/>
  <c r="S2953" i="1"/>
  <c r="T2953" i="1" s="1"/>
  <c r="O2953" i="1"/>
  <c r="S2952" i="1"/>
  <c r="T2952" i="1" s="1"/>
  <c r="O2952" i="1"/>
  <c r="S2951" i="1"/>
  <c r="T2951" i="1" s="1"/>
  <c r="S2950" i="1"/>
  <c r="T2950" i="1" s="1"/>
  <c r="S2949" i="1"/>
  <c r="T2949" i="1" s="1"/>
  <c r="S2948" i="1"/>
  <c r="T2948" i="1" s="1"/>
  <c r="S2947" i="1"/>
  <c r="T2947" i="1" s="1"/>
  <c r="O2947" i="1"/>
  <c r="S2946" i="1"/>
  <c r="T2946" i="1" s="1"/>
  <c r="O2946" i="1"/>
  <c r="S2945" i="1"/>
  <c r="T2945" i="1" s="1"/>
  <c r="O2945" i="1"/>
  <c r="S2944" i="1"/>
  <c r="T2944" i="1" s="1"/>
  <c r="O2944" i="1"/>
  <c r="S2943" i="1"/>
  <c r="T2943" i="1" s="1"/>
  <c r="O2943" i="1"/>
  <c r="S2942" i="1"/>
  <c r="T2942" i="1" s="1"/>
  <c r="O2942" i="1"/>
  <c r="L2941" i="1"/>
  <c r="S2939" i="1"/>
  <c r="T2939" i="1" s="1"/>
  <c r="S2938" i="1"/>
  <c r="T2938" i="1" s="1"/>
  <c r="O2938" i="1"/>
  <c r="S2937" i="1"/>
  <c r="T2937" i="1" s="1"/>
  <c r="O2937" i="1"/>
  <c r="S2936" i="1"/>
  <c r="T2936" i="1" s="1"/>
  <c r="S2935" i="1"/>
  <c r="T2935" i="1" s="1"/>
  <c r="S2934" i="1"/>
  <c r="T2934" i="1" s="1"/>
  <c r="S2933" i="1"/>
  <c r="T2933" i="1" s="1"/>
  <c r="S2932" i="1"/>
  <c r="T2932" i="1" s="1"/>
  <c r="O2932" i="1"/>
  <c r="S2931" i="1"/>
  <c r="T2931" i="1" s="1"/>
  <c r="O2931" i="1"/>
  <c r="S2930" i="1"/>
  <c r="T2930" i="1" s="1"/>
  <c r="O2930" i="1"/>
  <c r="S2929" i="1"/>
  <c r="T2929" i="1" s="1"/>
  <c r="O2929" i="1"/>
  <c r="S2928" i="1"/>
  <c r="T2928" i="1" s="1"/>
  <c r="O2928" i="1"/>
  <c r="S2927" i="1"/>
  <c r="O2927" i="1"/>
  <c r="L2926" i="1"/>
  <c r="S2924" i="1"/>
  <c r="T2924" i="1" s="1"/>
  <c r="S2923" i="1"/>
  <c r="T2923" i="1" s="1"/>
  <c r="O2923" i="1"/>
  <c r="S2922" i="1"/>
  <c r="T2922" i="1" s="1"/>
  <c r="O2922" i="1"/>
  <c r="S2921" i="1"/>
  <c r="T2921" i="1" s="1"/>
  <c r="S2920" i="1"/>
  <c r="T2920" i="1" s="1"/>
  <c r="S2919" i="1"/>
  <c r="T2919" i="1" s="1"/>
  <c r="S2918" i="1"/>
  <c r="T2918" i="1" s="1"/>
  <c r="S2917" i="1"/>
  <c r="T2917" i="1" s="1"/>
  <c r="O2917" i="1"/>
  <c r="S2916" i="1"/>
  <c r="T2916" i="1" s="1"/>
  <c r="O2916" i="1"/>
  <c r="S2915" i="1"/>
  <c r="T2915" i="1" s="1"/>
  <c r="O2915" i="1"/>
  <c r="S2914" i="1"/>
  <c r="T2914" i="1" s="1"/>
  <c r="O2914" i="1"/>
  <c r="S2913" i="1"/>
  <c r="T2913" i="1" s="1"/>
  <c r="O2913" i="1"/>
  <c r="S2912" i="1"/>
  <c r="O2912" i="1"/>
  <c r="L2911" i="1"/>
  <c r="S2901" i="1"/>
  <c r="L2901" i="1"/>
  <c r="L2897" i="1" s="1"/>
  <c r="S2900" i="1"/>
  <c r="S2899" i="1"/>
  <c r="T2899" i="1" s="1"/>
  <c r="S2898" i="1"/>
  <c r="T2898" i="1" s="1"/>
  <c r="S2895" i="1"/>
  <c r="T2895" i="1" s="1"/>
  <c r="S2894" i="1"/>
  <c r="T2894" i="1" s="1"/>
  <c r="O2894" i="1"/>
  <c r="S2893" i="1"/>
  <c r="T2893" i="1" s="1"/>
  <c r="O2893" i="1"/>
  <c r="S2892" i="1"/>
  <c r="T2892" i="1" s="1"/>
  <c r="S2891" i="1"/>
  <c r="T2891" i="1" s="1"/>
  <c r="S2890" i="1"/>
  <c r="T2890" i="1" s="1"/>
  <c r="S2889" i="1"/>
  <c r="T2889" i="1" s="1"/>
  <c r="S2888" i="1"/>
  <c r="T2888" i="1" s="1"/>
  <c r="O2888" i="1"/>
  <c r="S2887" i="1"/>
  <c r="T2887" i="1" s="1"/>
  <c r="O2887" i="1"/>
  <c r="S2886" i="1"/>
  <c r="T2886" i="1" s="1"/>
  <c r="O2886" i="1"/>
  <c r="S2885" i="1"/>
  <c r="T2885" i="1" s="1"/>
  <c r="O2885" i="1"/>
  <c r="S2884" i="1"/>
  <c r="T2884" i="1" s="1"/>
  <c r="O2884" i="1"/>
  <c r="S2883" i="1"/>
  <c r="O2883" i="1"/>
  <c r="L2882" i="1"/>
  <c r="S2880" i="1"/>
  <c r="T2880" i="1" s="1"/>
  <c r="S2879" i="1"/>
  <c r="T2879" i="1" s="1"/>
  <c r="O2879" i="1"/>
  <c r="S2878" i="1"/>
  <c r="T2878" i="1" s="1"/>
  <c r="O2878" i="1"/>
  <c r="S2877" i="1"/>
  <c r="T2877" i="1" s="1"/>
  <c r="S2876" i="1"/>
  <c r="T2876" i="1" s="1"/>
  <c r="S2875" i="1"/>
  <c r="T2875" i="1" s="1"/>
  <c r="S2874" i="1"/>
  <c r="T2874" i="1" s="1"/>
  <c r="S2873" i="1"/>
  <c r="T2873" i="1" s="1"/>
  <c r="O2873" i="1"/>
  <c r="S2872" i="1"/>
  <c r="T2872" i="1" s="1"/>
  <c r="O2872" i="1"/>
  <c r="S2871" i="1"/>
  <c r="T2871" i="1" s="1"/>
  <c r="O2871" i="1"/>
  <c r="S2870" i="1"/>
  <c r="T2870" i="1" s="1"/>
  <c r="O2870" i="1"/>
  <c r="S2869" i="1"/>
  <c r="T2869" i="1" s="1"/>
  <c r="O2869" i="1"/>
  <c r="S2868" i="1"/>
  <c r="T2868" i="1" s="1"/>
  <c r="O2868" i="1"/>
  <c r="L2867" i="1"/>
  <c r="S2862" i="1"/>
  <c r="T2862" i="1" s="1"/>
  <c r="S2861" i="1"/>
  <c r="T2861" i="1" s="1"/>
  <c r="O2861" i="1"/>
  <c r="S2860" i="1"/>
  <c r="T2860" i="1" s="1"/>
  <c r="O2860" i="1"/>
  <c r="S2859" i="1"/>
  <c r="T2859" i="1" s="1"/>
  <c r="S2858" i="1"/>
  <c r="T2858" i="1" s="1"/>
  <c r="S2857" i="1"/>
  <c r="T2857" i="1" s="1"/>
  <c r="S2856" i="1"/>
  <c r="T2856" i="1" s="1"/>
  <c r="S2855" i="1"/>
  <c r="T2855" i="1" s="1"/>
  <c r="O2855" i="1"/>
  <c r="S2854" i="1"/>
  <c r="T2854" i="1" s="1"/>
  <c r="O2854" i="1"/>
  <c r="S2853" i="1"/>
  <c r="T2853" i="1" s="1"/>
  <c r="O2853" i="1"/>
  <c r="S2852" i="1"/>
  <c r="T2852" i="1" s="1"/>
  <c r="O2852" i="1"/>
  <c r="S2851" i="1"/>
  <c r="T2851" i="1" s="1"/>
  <c r="O2851" i="1"/>
  <c r="S2850" i="1"/>
  <c r="O2850" i="1"/>
  <c r="L2849" i="1"/>
  <c r="S2847" i="1"/>
  <c r="T2847" i="1" s="1"/>
  <c r="S2846" i="1"/>
  <c r="T2846" i="1" s="1"/>
  <c r="O2846" i="1"/>
  <c r="S2845" i="1"/>
  <c r="T2845" i="1" s="1"/>
  <c r="O2845" i="1"/>
  <c r="S2844" i="1"/>
  <c r="T2844" i="1" s="1"/>
  <c r="S2843" i="1"/>
  <c r="T2843" i="1" s="1"/>
  <c r="S2842" i="1"/>
  <c r="T2842" i="1" s="1"/>
  <c r="S2841" i="1"/>
  <c r="T2841" i="1" s="1"/>
  <c r="S2840" i="1"/>
  <c r="T2840" i="1" s="1"/>
  <c r="O2840" i="1"/>
  <c r="S2839" i="1"/>
  <c r="T2839" i="1" s="1"/>
  <c r="O2839" i="1"/>
  <c r="S2838" i="1"/>
  <c r="T2838" i="1" s="1"/>
  <c r="O2838" i="1"/>
  <c r="S2837" i="1"/>
  <c r="T2837" i="1" s="1"/>
  <c r="O2837" i="1"/>
  <c r="S2836" i="1"/>
  <c r="T2836" i="1" s="1"/>
  <c r="O2836" i="1"/>
  <c r="S2835" i="1"/>
  <c r="O2835" i="1"/>
  <c r="L2834" i="1"/>
  <c r="S2832" i="1"/>
  <c r="T2832" i="1" s="1"/>
  <c r="S2830" i="1"/>
  <c r="T2830" i="1" s="1"/>
  <c r="O2830" i="1"/>
  <c r="L2829" i="1"/>
  <c r="S2824" i="1"/>
  <c r="T2824" i="1" s="1"/>
  <c r="S2823" i="1"/>
  <c r="T2823" i="1" s="1"/>
  <c r="O2823" i="1"/>
  <c r="S2822" i="1"/>
  <c r="T2822" i="1" s="1"/>
  <c r="O2822" i="1"/>
  <c r="S2821" i="1"/>
  <c r="T2821" i="1" s="1"/>
  <c r="S2820" i="1"/>
  <c r="T2820" i="1" s="1"/>
  <c r="S2819" i="1"/>
  <c r="T2819" i="1" s="1"/>
  <c r="S2818" i="1"/>
  <c r="T2818" i="1" s="1"/>
  <c r="S2817" i="1"/>
  <c r="T2817" i="1" s="1"/>
  <c r="O2817" i="1"/>
  <c r="S2816" i="1"/>
  <c r="T2816" i="1" s="1"/>
  <c r="O2816" i="1"/>
  <c r="S2815" i="1"/>
  <c r="O2815" i="1"/>
  <c r="S2814" i="1"/>
  <c r="T2814" i="1" s="1"/>
  <c r="O2814" i="1"/>
  <c r="S2813" i="1"/>
  <c r="T2813" i="1" s="1"/>
  <c r="O2813" i="1"/>
  <c r="S2812" i="1"/>
  <c r="T2812" i="1" s="1"/>
  <c r="O2812" i="1"/>
  <c r="L2811" i="1"/>
  <c r="S2809" i="1"/>
  <c r="T2809" i="1" s="1"/>
  <c r="S2808" i="1"/>
  <c r="T2808" i="1" s="1"/>
  <c r="O2808" i="1"/>
  <c r="S2807" i="1"/>
  <c r="T2807" i="1" s="1"/>
  <c r="O2807" i="1"/>
  <c r="S2806" i="1"/>
  <c r="T2806" i="1" s="1"/>
  <c r="S2805" i="1"/>
  <c r="T2805" i="1" s="1"/>
  <c r="S2804" i="1"/>
  <c r="T2804" i="1" s="1"/>
  <c r="S2803" i="1"/>
  <c r="T2803" i="1" s="1"/>
  <c r="S2802" i="1"/>
  <c r="T2802" i="1" s="1"/>
  <c r="O2802" i="1"/>
  <c r="S2801" i="1"/>
  <c r="T2801" i="1" s="1"/>
  <c r="O2801" i="1"/>
  <c r="S2800" i="1"/>
  <c r="T2800" i="1" s="1"/>
  <c r="O2800" i="1"/>
  <c r="S2799" i="1"/>
  <c r="T2799" i="1" s="1"/>
  <c r="O2799" i="1"/>
  <c r="S2798" i="1"/>
  <c r="T2798" i="1" s="1"/>
  <c r="O2798" i="1"/>
  <c r="S2797" i="1"/>
  <c r="O2797" i="1"/>
  <c r="L2796" i="1"/>
  <c r="S2794" i="1"/>
  <c r="T2794" i="1" s="1"/>
  <c r="S2793" i="1"/>
  <c r="T2793" i="1" s="1"/>
  <c r="O2793" i="1"/>
  <c r="S2792" i="1"/>
  <c r="T2792" i="1" s="1"/>
  <c r="O2792" i="1"/>
  <c r="S2791" i="1"/>
  <c r="T2791" i="1" s="1"/>
  <c r="S2790" i="1"/>
  <c r="T2790" i="1" s="1"/>
  <c r="S2789" i="1"/>
  <c r="T2789" i="1" s="1"/>
  <c r="S2788" i="1"/>
  <c r="T2788" i="1" s="1"/>
  <c r="S2787" i="1"/>
  <c r="T2787" i="1" s="1"/>
  <c r="O2787" i="1"/>
  <c r="S2786" i="1"/>
  <c r="T2786" i="1" s="1"/>
  <c r="O2786" i="1"/>
  <c r="S2785" i="1"/>
  <c r="T2785" i="1" s="1"/>
  <c r="O2785" i="1"/>
  <c r="S2784" i="1"/>
  <c r="T2784" i="1" s="1"/>
  <c r="O2784" i="1"/>
  <c r="S2783" i="1"/>
  <c r="T2783" i="1" s="1"/>
  <c r="O2783" i="1"/>
  <c r="S2782" i="1"/>
  <c r="O2782" i="1"/>
  <c r="L2781" i="1"/>
  <c r="S2751" i="1"/>
  <c r="T2751" i="1" s="1"/>
  <c r="L2736" i="1"/>
  <c r="L2735" i="1"/>
  <c r="L2734" i="1"/>
  <c r="S2734" i="1" s="1"/>
  <c r="L2733" i="1"/>
  <c r="S2733" i="1" s="1"/>
  <c r="L2732" i="1"/>
  <c r="S2732" i="1" s="1"/>
  <c r="T2732" i="1" s="1"/>
  <c r="L2731" i="1"/>
  <c r="S2714" i="1"/>
  <c r="T2714" i="1" s="1"/>
  <c r="S2713" i="1"/>
  <c r="T2713" i="1" s="1"/>
  <c r="S2712" i="1"/>
  <c r="T2712" i="1" s="1"/>
  <c r="S2711" i="1"/>
  <c r="T2711" i="1" s="1"/>
  <c r="S2710" i="1"/>
  <c r="T2710" i="1" s="1"/>
  <c r="L2709" i="1"/>
  <c r="O2709" i="1"/>
  <c r="S2691" i="1"/>
  <c r="T2691" i="1" s="1"/>
  <c r="L2690" i="1"/>
  <c r="S2688" i="1"/>
  <c r="T2688" i="1" s="1"/>
  <c r="S2687" i="1"/>
  <c r="T2687" i="1" s="1"/>
  <c r="S2686" i="1"/>
  <c r="T2686" i="1" s="1"/>
  <c r="S2685" i="1"/>
  <c r="T2685" i="1" s="1"/>
  <c r="S2684" i="1"/>
  <c r="T2684" i="1" s="1"/>
  <c r="S2683" i="1"/>
  <c r="T2683" i="1" s="1"/>
  <c r="S2682" i="1"/>
  <c r="T2682" i="1" s="1"/>
  <c r="S2681" i="1"/>
  <c r="T2681" i="1" s="1"/>
  <c r="S2680" i="1"/>
  <c r="T2680" i="1" s="1"/>
  <c r="S2679" i="1"/>
  <c r="T2679" i="1" s="1"/>
  <c r="S2678" i="1"/>
  <c r="T2678" i="1" s="1"/>
  <c r="S2677" i="1"/>
  <c r="T2677" i="1" s="1"/>
  <c r="S2676" i="1"/>
  <c r="L2675" i="1"/>
  <c r="S2665" i="1"/>
  <c r="T2665" i="1" s="1"/>
  <c r="S2659" i="1"/>
  <c r="T2659" i="1" s="1"/>
  <c r="S2658" i="1"/>
  <c r="T2658" i="1" s="1"/>
  <c r="S2657" i="1"/>
  <c r="T2657" i="1" s="1"/>
  <c r="S2656" i="1"/>
  <c r="T2656" i="1" s="1"/>
  <c r="S2655" i="1"/>
  <c r="T2655" i="1" s="1"/>
  <c r="S2654" i="1"/>
  <c r="T2654" i="1" s="1"/>
  <c r="S2653" i="1"/>
  <c r="T2653" i="1" s="1"/>
  <c r="S2650" i="1"/>
  <c r="T2650" i="1" s="1"/>
  <c r="S2649" i="1"/>
  <c r="T2649" i="1" s="1"/>
  <c r="S2648" i="1"/>
  <c r="T2648" i="1" s="1"/>
  <c r="S2647" i="1"/>
  <c r="T2647" i="1" s="1"/>
  <c r="L2646" i="1"/>
  <c r="S2644" i="1"/>
  <c r="T2644" i="1" s="1"/>
  <c r="T2643" i="1" s="1"/>
  <c r="L2643" i="1"/>
  <c r="S2635" i="1"/>
  <c r="T2635" i="1" s="1"/>
  <c r="S2634" i="1"/>
  <c r="T2634" i="1" s="1"/>
  <c r="O2634" i="1"/>
  <c r="S2633" i="1"/>
  <c r="T2633" i="1" s="1"/>
  <c r="S2632" i="1"/>
  <c r="T2632" i="1" s="1"/>
  <c r="S2631" i="1"/>
  <c r="T2631" i="1" s="1"/>
  <c r="L2630" i="1"/>
  <c r="S2627" i="1"/>
  <c r="T2627" i="1" s="1"/>
  <c r="T2626" i="1" s="1"/>
  <c r="L2626" i="1"/>
  <c r="S2624" i="1"/>
  <c r="T2624" i="1" s="1"/>
  <c r="S2621" i="1"/>
  <c r="T2621" i="1" s="1"/>
  <c r="S2620" i="1"/>
  <c r="T2620" i="1" s="1"/>
  <c r="S2619" i="1"/>
  <c r="O2619" i="1"/>
  <c r="S2618" i="1"/>
  <c r="T2618" i="1" s="1"/>
  <c r="S2617" i="1"/>
  <c r="T2617" i="1" s="1"/>
  <c r="O2617" i="1"/>
  <c r="L2616" i="1"/>
  <c r="S2592" i="1"/>
  <c r="T2592" i="1" s="1"/>
  <c r="S2591" i="1"/>
  <c r="T2591" i="1" s="1"/>
  <c r="S2590" i="1"/>
  <c r="T2590" i="1" s="1"/>
  <c r="S2589" i="1"/>
  <c r="T2589" i="1" s="1"/>
  <c r="S2588" i="1"/>
  <c r="T2588" i="1" s="1"/>
  <c r="S2587" i="1"/>
  <c r="T2587" i="1" s="1"/>
  <c r="S2586" i="1"/>
  <c r="T2586" i="1" s="1"/>
  <c r="O2586" i="1"/>
  <c r="S2585" i="1"/>
  <c r="O2585" i="1"/>
  <c r="S2584" i="1"/>
  <c r="T2584" i="1" s="1"/>
  <c r="S2583" i="1"/>
  <c r="T2583" i="1" s="1"/>
  <c r="S2582" i="1"/>
  <c r="T2582" i="1" s="1"/>
  <c r="S2581" i="1"/>
  <c r="T2581" i="1" s="1"/>
  <c r="O2581" i="1"/>
  <c r="S2580" i="1"/>
  <c r="T2580" i="1" s="1"/>
  <c r="S2579" i="1"/>
  <c r="T2579" i="1" s="1"/>
  <c r="S2578" i="1"/>
  <c r="T2578" i="1" s="1"/>
  <c r="S2577" i="1"/>
  <c r="T2577" i="1" s="1"/>
  <c r="L2576" i="1"/>
  <c r="S2564" i="1"/>
  <c r="T2564" i="1" s="1"/>
  <c r="L2563" i="1"/>
  <c r="S2563" i="1" s="1"/>
  <c r="L2562" i="1"/>
  <c r="S2562" i="1" s="1"/>
  <c r="L2561" i="1"/>
  <c r="S2560" i="1"/>
  <c r="T2560" i="1" s="1"/>
  <c r="L2559" i="1"/>
  <c r="S2559" i="1" s="1"/>
  <c r="L2558" i="1"/>
  <c r="L2557" i="1"/>
  <c r="S2557" i="1" s="1"/>
  <c r="T2557" i="1" s="1"/>
  <c r="S2556" i="1"/>
  <c r="T2556" i="1" s="1"/>
  <c r="S2555" i="1"/>
  <c r="T2555" i="1" s="1"/>
  <c r="L2554" i="1"/>
  <c r="L2553" i="1"/>
  <c r="L2552" i="1"/>
  <c r="S2552" i="1" s="1"/>
  <c r="T2552" i="1" s="1"/>
  <c r="L2551" i="1"/>
  <c r="S2548" i="1"/>
  <c r="T2548" i="1" s="1"/>
  <c r="S2545" i="1"/>
  <c r="T2545" i="1" s="1"/>
  <c r="S2544" i="1"/>
  <c r="T2544" i="1" s="1"/>
  <c r="O2544" i="1"/>
  <c r="S2543" i="1"/>
  <c r="L2542" i="1"/>
  <c r="S2528" i="1"/>
  <c r="T2528" i="1" s="1"/>
  <c r="S2527" i="1"/>
  <c r="T2527" i="1" s="1"/>
  <c r="S2526" i="1"/>
  <c r="T2526" i="1" s="1"/>
  <c r="S2525" i="1"/>
  <c r="T2525" i="1" s="1"/>
  <c r="S2524" i="1"/>
  <c r="T2524" i="1" s="1"/>
  <c r="S2523" i="1"/>
  <c r="T2523" i="1" s="1"/>
  <c r="S2522" i="1"/>
  <c r="T2522" i="1" s="1"/>
  <c r="S2521" i="1"/>
  <c r="T2521" i="1" s="1"/>
  <c r="L2520" i="1"/>
  <c r="S2518" i="1"/>
  <c r="S2517" i="1" s="1"/>
  <c r="L2517" i="1"/>
  <c r="S2515" i="1"/>
  <c r="T2515" i="1" s="1"/>
  <c r="S2508" i="1"/>
  <c r="T2508" i="1" s="1"/>
  <c r="S2507" i="1"/>
  <c r="T2507" i="1" s="1"/>
  <c r="S2506" i="1"/>
  <c r="T2506" i="1" s="1"/>
  <c r="S2505" i="1"/>
  <c r="T2505" i="1" s="1"/>
  <c r="O2505" i="1"/>
  <c r="S2504" i="1"/>
  <c r="T2504" i="1" s="1"/>
  <c r="S2503" i="1"/>
  <c r="T2503" i="1" s="1"/>
  <c r="O2503" i="1"/>
  <c r="S2502" i="1"/>
  <c r="T2502" i="1" s="1"/>
  <c r="S2501" i="1"/>
  <c r="T2501" i="1" s="1"/>
  <c r="L2500" i="1"/>
  <c r="S2498" i="1"/>
  <c r="T2498" i="1" s="1"/>
  <c r="S2496" i="1"/>
  <c r="S2493" i="1"/>
  <c r="T2493" i="1" s="1"/>
  <c r="S2489" i="1"/>
  <c r="T2489" i="1" s="1"/>
  <c r="S2488" i="1"/>
  <c r="T2488" i="1" s="1"/>
  <c r="S2487" i="1"/>
  <c r="T2487" i="1" s="1"/>
  <c r="S2486" i="1"/>
  <c r="T2486" i="1" s="1"/>
  <c r="S2485" i="1"/>
  <c r="T2485" i="1" s="1"/>
  <c r="S2484" i="1"/>
  <c r="T2484" i="1" s="1"/>
  <c r="O2484" i="1"/>
  <c r="S2483" i="1"/>
  <c r="T2483" i="1" s="1"/>
  <c r="S2482" i="1"/>
  <c r="T2482" i="1" s="1"/>
  <c r="L2481" i="1"/>
  <c r="S2479" i="1"/>
  <c r="T2479" i="1" s="1"/>
  <c r="S2478" i="1"/>
  <c r="T2478" i="1" s="1"/>
  <c r="S2477" i="1"/>
  <c r="T2477" i="1" s="1"/>
  <c r="S2476" i="1"/>
  <c r="S2473" i="1"/>
  <c r="T2473" i="1" s="1"/>
  <c r="L2472" i="1"/>
  <c r="S2471" i="1"/>
  <c r="T2471" i="1" s="1"/>
  <c r="L2470" i="1"/>
  <c r="S2469" i="1"/>
  <c r="T2469" i="1" s="1"/>
  <c r="S2468" i="1"/>
  <c r="T2468" i="1" s="1"/>
  <c r="O2468" i="1"/>
  <c r="S2467" i="1"/>
  <c r="T2467" i="1" s="1"/>
  <c r="S2466" i="1"/>
  <c r="T2466" i="1" s="1"/>
  <c r="O2466" i="1"/>
  <c r="S2464" i="1"/>
  <c r="T2464" i="1" s="1"/>
  <c r="S2463" i="1"/>
  <c r="T2463" i="1" s="1"/>
  <c r="S2449" i="1"/>
  <c r="T2449" i="1" s="1"/>
  <c r="S2448" i="1"/>
  <c r="T2448" i="1" s="1"/>
  <c r="S2447" i="1"/>
  <c r="T2447" i="1" s="1"/>
  <c r="L2446" i="1"/>
  <c r="S2446" i="1" s="1"/>
  <c r="S2445" i="1"/>
  <c r="T2445" i="1" s="1"/>
  <c r="S2444" i="1"/>
  <c r="T2444" i="1" s="1"/>
  <c r="S2443" i="1"/>
  <c r="T2443" i="1" s="1"/>
  <c r="L2442" i="1"/>
  <c r="S2442" i="1" s="1"/>
  <c r="L2441" i="1"/>
  <c r="S2440" i="1"/>
  <c r="T2440" i="1" s="1"/>
  <c r="S2439" i="1"/>
  <c r="T2439" i="1" s="1"/>
  <c r="S2438" i="1"/>
  <c r="T2438" i="1" s="1"/>
  <c r="L2436" i="1"/>
  <c r="S2436" i="1" s="1"/>
  <c r="S2435" i="1"/>
  <c r="T2435" i="1" s="1"/>
  <c r="S2434" i="1"/>
  <c r="T2434" i="1" s="1"/>
  <c r="S2433" i="1"/>
  <c r="T2433" i="1" s="1"/>
  <c r="S2432" i="1"/>
  <c r="T2432" i="1" s="1"/>
  <c r="S2431" i="1"/>
  <c r="T2431" i="1" s="1"/>
  <c r="S2430" i="1"/>
  <c r="T2430" i="1" s="1"/>
  <c r="S2429" i="1"/>
  <c r="T2429" i="1" s="1"/>
  <c r="S2428" i="1"/>
  <c r="T2428" i="1" s="1"/>
  <c r="S2427" i="1"/>
  <c r="T2427" i="1" s="1"/>
  <c r="S2426" i="1"/>
  <c r="T2426" i="1" s="1"/>
  <c r="S2423" i="1"/>
  <c r="S2422" i="1"/>
  <c r="T2422" i="1" s="1"/>
  <c r="S2421" i="1"/>
  <c r="T2421" i="1" s="1"/>
  <c r="L2420" i="1"/>
  <c r="S2418" i="1"/>
  <c r="T2418" i="1" s="1"/>
  <c r="S2417" i="1"/>
  <c r="T2417" i="1" s="1"/>
  <c r="S2416" i="1"/>
  <c r="T2416" i="1" s="1"/>
  <c r="S2415" i="1"/>
  <c r="O2415" i="1"/>
  <c r="L2414" i="1"/>
  <c r="T2399" i="1"/>
  <c r="S2399" i="1"/>
  <c r="L2399" i="1"/>
  <c r="S2385" i="1"/>
  <c r="T2385" i="1" s="1"/>
  <c r="S2384" i="1"/>
  <c r="T2384" i="1" s="1"/>
  <c r="S2383" i="1"/>
  <c r="T2383" i="1" s="1"/>
  <c r="S2382" i="1"/>
  <c r="T2382" i="1" s="1"/>
  <c r="S2381" i="1"/>
  <c r="T2381" i="1" s="1"/>
  <c r="S2380" i="1"/>
  <c r="T2380" i="1" s="1"/>
  <c r="S2379" i="1"/>
  <c r="T2379" i="1" s="1"/>
  <c r="S2378" i="1"/>
  <c r="T2378" i="1" s="1"/>
  <c r="T2377" i="1"/>
  <c r="S2376" i="1"/>
  <c r="T2376" i="1" s="1"/>
  <c r="S2375" i="1"/>
  <c r="T2375" i="1" s="1"/>
  <c r="S2374" i="1"/>
  <c r="T2374" i="1" s="1"/>
  <c r="S2373" i="1"/>
  <c r="T2373" i="1" s="1"/>
  <c r="O2373" i="1"/>
  <c r="L2372" i="1"/>
  <c r="S2370" i="1"/>
  <c r="T2370" i="1" s="1"/>
  <c r="S2359" i="1"/>
  <c r="T2359" i="1" s="1"/>
  <c r="S2358" i="1"/>
  <c r="T2358" i="1" s="1"/>
  <c r="S2357" i="1"/>
  <c r="T2357" i="1" s="1"/>
  <c r="S2356" i="1"/>
  <c r="T2356" i="1" s="1"/>
  <c r="S2355" i="1"/>
  <c r="T2355" i="1" s="1"/>
  <c r="S2354" i="1"/>
  <c r="T2354" i="1" s="1"/>
  <c r="S2353" i="1"/>
  <c r="T2353" i="1" s="1"/>
  <c r="S2352" i="1"/>
  <c r="T2352" i="1" s="1"/>
  <c r="S2351" i="1"/>
  <c r="T2351" i="1" s="1"/>
  <c r="O2350" i="1"/>
  <c r="L2350" i="1"/>
  <c r="S2349" i="1"/>
  <c r="T2349" i="1" s="1"/>
  <c r="S2348" i="1"/>
  <c r="S2328" i="1"/>
  <c r="T2328" i="1" s="1"/>
  <c r="S2327" i="1"/>
  <c r="T2327" i="1" s="1"/>
  <c r="S2326" i="1"/>
  <c r="T2326" i="1" s="1"/>
  <c r="S2325" i="1"/>
  <c r="T2325" i="1" s="1"/>
  <c r="S2324" i="1"/>
  <c r="T2324" i="1" s="1"/>
  <c r="S2323" i="1"/>
  <c r="T2323" i="1" s="1"/>
  <c r="S2322" i="1"/>
  <c r="T2322" i="1" s="1"/>
  <c r="S2321" i="1"/>
  <c r="T2321" i="1" s="1"/>
  <c r="S2320" i="1"/>
  <c r="T2320" i="1" s="1"/>
  <c r="S2319" i="1"/>
  <c r="T2319" i="1" s="1"/>
  <c r="S2318" i="1"/>
  <c r="T2318" i="1" s="1"/>
  <c r="S2317" i="1"/>
  <c r="T2317" i="1" s="1"/>
  <c r="S2316" i="1"/>
  <c r="T2316" i="1" s="1"/>
  <c r="S2315" i="1"/>
  <c r="T2315" i="1" s="1"/>
  <c r="S2314" i="1"/>
  <c r="T2314" i="1" s="1"/>
  <c r="S2313" i="1"/>
  <c r="T2313" i="1" s="1"/>
  <c r="S2312" i="1"/>
  <c r="T2312" i="1" s="1"/>
  <c r="S2311" i="1"/>
  <c r="T2311" i="1" s="1"/>
  <c r="S2309" i="1"/>
  <c r="T2309" i="1" s="1"/>
  <c r="S2308" i="1"/>
  <c r="T2308" i="1" s="1"/>
  <c r="S2307" i="1"/>
  <c r="T2307" i="1" s="1"/>
  <c r="S2306" i="1"/>
  <c r="T2306" i="1" s="1"/>
  <c r="S2302" i="1"/>
  <c r="T2302" i="1" s="1"/>
  <c r="S2299" i="1"/>
  <c r="T2299" i="1" s="1"/>
  <c r="S2305" i="1"/>
  <c r="T2305" i="1" s="1"/>
  <c r="S2304" i="1"/>
  <c r="T2304" i="1" s="1"/>
  <c r="S2303" i="1"/>
  <c r="T2303" i="1" s="1"/>
  <c r="S2298" i="1"/>
  <c r="T2298" i="1" s="1"/>
  <c r="S2297" i="1"/>
  <c r="T2297" i="1" s="1"/>
  <c r="S2296" i="1"/>
  <c r="T2296" i="1" s="1"/>
  <c r="S2295" i="1"/>
  <c r="T2295" i="1" s="1"/>
  <c r="S2293" i="1"/>
  <c r="T2293" i="1" s="1"/>
  <c r="L2292" i="1"/>
  <c r="S2288" i="1"/>
  <c r="T2288" i="1" s="1"/>
  <c r="S2287" i="1"/>
  <c r="T2287" i="1" s="1"/>
  <c r="S2286" i="1"/>
  <c r="T2286" i="1" s="1"/>
  <c r="S2285" i="1"/>
  <c r="T2285" i="1" s="1"/>
  <c r="S2284" i="1"/>
  <c r="T2284" i="1" s="1"/>
  <c r="S2283" i="1"/>
  <c r="T2283" i="1" s="1"/>
  <c r="S2282" i="1"/>
  <c r="T2282" i="1" s="1"/>
  <c r="S2279" i="1"/>
  <c r="T2279" i="1" s="1"/>
  <c r="S2278" i="1"/>
  <c r="T2278" i="1" s="1"/>
  <c r="L2277" i="1"/>
  <c r="S2275" i="1"/>
  <c r="T2275" i="1" s="1"/>
  <c r="S2274" i="1"/>
  <c r="L2274" i="1"/>
  <c r="S2273" i="1"/>
  <c r="L2273" i="1"/>
  <c r="S2272" i="1"/>
  <c r="L2272" i="1"/>
  <c r="S2271" i="1"/>
  <c r="T2271" i="1" s="1"/>
  <c r="S2270" i="1"/>
  <c r="T2270" i="1" s="1"/>
  <c r="S2269" i="1"/>
  <c r="T2269" i="1" s="1"/>
  <c r="S2268" i="1"/>
  <c r="S2267" i="1"/>
  <c r="T2267" i="1" s="1"/>
  <c r="O2267" i="1"/>
  <c r="S2264" i="1"/>
  <c r="T2264" i="1" s="1"/>
  <c r="S2253" i="1"/>
  <c r="T2253" i="1" s="1"/>
  <c r="T2252" i="1"/>
  <c r="S2251" i="1"/>
  <c r="T2251" i="1" s="1"/>
  <c r="S2250" i="1"/>
  <c r="T2250" i="1" s="1"/>
  <c r="S2249" i="1"/>
  <c r="T2249" i="1" s="1"/>
  <c r="O2249" i="1"/>
  <c r="S2248" i="1"/>
  <c r="T2248" i="1" s="1"/>
  <c r="S2247" i="1"/>
  <c r="T2247" i="1" s="1"/>
  <c r="S2246" i="1"/>
  <c r="T2246" i="1" s="1"/>
  <c r="O2246" i="1"/>
  <c r="L2245" i="1"/>
  <c r="S2243" i="1"/>
  <c r="T2243" i="1" s="1"/>
  <c r="S2232" i="1"/>
  <c r="T2232" i="1" s="1"/>
  <c r="S2231" i="1"/>
  <c r="T2231" i="1" s="1"/>
  <c r="S2230" i="1"/>
  <c r="T2230" i="1" s="1"/>
  <c r="S2229" i="1"/>
  <c r="T2229" i="1" s="1"/>
  <c r="S2228" i="1"/>
  <c r="T2228" i="1" s="1"/>
  <c r="S2227" i="1"/>
  <c r="T2227" i="1" s="1"/>
  <c r="S2226" i="1"/>
  <c r="T2226" i="1" s="1"/>
  <c r="S2225" i="1"/>
  <c r="T2225" i="1" s="1"/>
  <c r="O2225" i="1"/>
  <c r="L2224" i="1"/>
  <c r="S2222" i="1"/>
  <c r="L2221" i="1"/>
  <c r="S2199" i="1"/>
  <c r="T2199" i="1" s="1"/>
  <c r="S2197" i="1"/>
  <c r="T2197" i="1" s="1"/>
  <c r="S2196" i="1"/>
  <c r="T2196" i="1" s="1"/>
  <c r="S2195" i="1"/>
  <c r="T2195" i="1" s="1"/>
  <c r="S2194" i="1"/>
  <c r="T2194" i="1" s="1"/>
  <c r="S2193" i="1"/>
  <c r="T2193" i="1" s="1"/>
  <c r="S2192" i="1"/>
  <c r="T2192" i="1" s="1"/>
  <c r="S2191" i="1"/>
  <c r="T2191" i="1" s="1"/>
  <c r="S2190" i="1"/>
  <c r="T2190" i="1" s="1"/>
  <c r="S2189" i="1"/>
  <c r="T2189" i="1" s="1"/>
  <c r="S2188" i="1"/>
  <c r="T2188" i="1" s="1"/>
  <c r="S2185" i="1"/>
  <c r="L2184" i="1"/>
  <c r="S2182" i="1"/>
  <c r="S2180" i="1" s="1"/>
  <c r="S2178" i="1"/>
  <c r="T2178" i="1" s="1"/>
  <c r="S2167" i="1"/>
  <c r="T2167" i="1" s="1"/>
  <c r="S2166" i="1"/>
  <c r="T2166" i="1" s="1"/>
  <c r="S2165" i="1"/>
  <c r="T2165" i="1" s="1"/>
  <c r="S2164" i="1"/>
  <c r="T2164" i="1" s="1"/>
  <c r="S2163" i="1"/>
  <c r="T2163" i="1" s="1"/>
  <c r="S2162" i="1"/>
  <c r="T2162" i="1" s="1"/>
  <c r="S2161" i="1"/>
  <c r="T2161" i="1" s="1"/>
  <c r="S2160" i="1"/>
  <c r="T2160" i="1" s="1"/>
  <c r="S2159" i="1"/>
  <c r="T2159" i="1" s="1"/>
  <c r="O2159" i="1"/>
  <c r="L2158" i="1"/>
  <c r="S2156" i="1"/>
  <c r="T2156" i="1" s="1"/>
  <c r="S2145" i="1"/>
  <c r="T2145" i="1" s="1"/>
  <c r="S2144" i="1"/>
  <c r="T2144" i="1" s="1"/>
  <c r="S2143" i="1"/>
  <c r="T2143" i="1" s="1"/>
  <c r="S2142" i="1"/>
  <c r="T2142" i="1" s="1"/>
  <c r="S2141" i="1"/>
  <c r="T2141" i="1" s="1"/>
  <c r="S2140" i="1"/>
  <c r="T2140" i="1" s="1"/>
  <c r="S2139" i="1"/>
  <c r="S2138" i="1"/>
  <c r="T2138" i="1" s="1"/>
  <c r="O2138" i="1"/>
  <c r="L2137" i="1"/>
  <c r="S2135" i="1"/>
  <c r="T2135" i="1" s="1"/>
  <c r="S2124" i="1"/>
  <c r="T2124" i="1" s="1"/>
  <c r="S2123" i="1"/>
  <c r="T2123" i="1" s="1"/>
  <c r="S2122" i="1"/>
  <c r="T2122" i="1" s="1"/>
  <c r="S2121" i="1"/>
  <c r="T2121" i="1" s="1"/>
  <c r="S2120" i="1"/>
  <c r="T2120" i="1" s="1"/>
  <c r="S2119" i="1"/>
  <c r="T2119" i="1" s="1"/>
  <c r="O2119" i="1"/>
  <c r="S2118" i="1"/>
  <c r="T2118" i="1" s="1"/>
  <c r="S2117" i="1"/>
  <c r="T2117" i="1" s="1"/>
  <c r="O2117" i="1"/>
  <c r="S2067" i="1"/>
  <c r="T2067" i="1" s="1"/>
  <c r="S2066" i="1"/>
  <c r="T2066" i="1" s="1"/>
  <c r="S2065" i="1"/>
  <c r="T2065" i="1" s="1"/>
  <c r="S2064" i="1"/>
  <c r="T2064" i="1" s="1"/>
  <c r="S2063" i="1"/>
  <c r="T2063" i="1" s="1"/>
  <c r="S2062" i="1"/>
  <c r="T2062" i="1" s="1"/>
  <c r="S2061" i="1"/>
  <c r="T2061" i="1" s="1"/>
  <c r="S2060" i="1"/>
  <c r="T2060" i="1" s="1"/>
  <c r="S2059" i="1"/>
  <c r="T2059" i="1" s="1"/>
  <c r="S2058" i="1"/>
  <c r="T2058" i="1" s="1"/>
  <c r="S2057" i="1"/>
  <c r="T2057" i="1" s="1"/>
  <c r="S2056" i="1"/>
  <c r="T2056" i="1" s="1"/>
  <c r="S2055" i="1"/>
  <c r="T2055" i="1" s="1"/>
  <c r="S2054" i="1"/>
  <c r="T2054" i="1" s="1"/>
  <c r="S2053" i="1"/>
  <c r="T2053" i="1" s="1"/>
  <c r="S2052" i="1"/>
  <c r="T2052" i="1" s="1"/>
  <c r="S2051" i="1"/>
  <c r="T2051" i="1" s="1"/>
  <c r="S2050" i="1"/>
  <c r="T2050" i="1" s="1"/>
  <c r="S2049" i="1"/>
  <c r="T2049" i="1" s="1"/>
  <c r="S2048" i="1"/>
  <c r="T2048" i="1" s="1"/>
  <c r="S2047" i="1"/>
  <c r="T2047" i="1" s="1"/>
  <c r="S2046" i="1"/>
  <c r="T2046" i="1" s="1"/>
  <c r="S2045" i="1"/>
  <c r="T2045" i="1" s="1"/>
  <c r="S2044" i="1"/>
  <c r="T2044" i="1" s="1"/>
  <c r="S2043" i="1"/>
  <c r="T2043" i="1" s="1"/>
  <c r="S2042" i="1"/>
  <c r="T2042" i="1" s="1"/>
  <c r="S2041" i="1"/>
  <c r="T2041" i="1" s="1"/>
  <c r="S2035" i="1"/>
  <c r="T2035" i="1" s="1"/>
  <c r="S2034" i="1"/>
  <c r="T2034" i="1" s="1"/>
  <c r="S2033" i="1"/>
  <c r="T2033" i="1" s="1"/>
  <c r="S2032" i="1"/>
  <c r="T2032" i="1" s="1"/>
  <c r="S2031" i="1"/>
  <c r="T2031" i="1" s="1"/>
  <c r="S2030" i="1"/>
  <c r="T2030" i="1" s="1"/>
  <c r="S2029" i="1"/>
  <c r="T2029" i="1" s="1"/>
  <c r="S2028" i="1"/>
  <c r="T2028" i="1" s="1"/>
  <c r="S2027" i="1"/>
  <c r="T2027" i="1" s="1"/>
  <c r="S2026" i="1"/>
  <c r="T2026" i="1" s="1"/>
  <c r="S2025" i="1"/>
  <c r="T2025" i="1" s="1"/>
  <c r="S2024" i="1"/>
  <c r="T2024" i="1" s="1"/>
  <c r="S2023" i="1"/>
  <c r="T2023" i="1" s="1"/>
  <c r="S2022" i="1"/>
  <c r="T2022" i="1" s="1"/>
  <c r="S2021" i="1"/>
  <c r="T2021" i="1" s="1"/>
  <c r="S2020" i="1"/>
  <c r="T2020" i="1" s="1"/>
  <c r="S2019" i="1"/>
  <c r="T2019" i="1" s="1"/>
  <c r="S2018" i="1"/>
  <c r="T2018" i="1" s="1"/>
  <c r="S2017" i="1"/>
  <c r="T2017" i="1" s="1"/>
  <c r="S2016" i="1"/>
  <c r="T2016" i="1" s="1"/>
  <c r="S2015" i="1"/>
  <c r="T2015" i="1" s="1"/>
  <c r="S2014" i="1"/>
  <c r="T2014" i="1" s="1"/>
  <c r="S2012" i="1"/>
  <c r="T2012" i="1" s="1"/>
  <c r="S2011" i="1"/>
  <c r="T2011" i="1" s="1"/>
  <c r="S2010" i="1"/>
  <c r="T2010" i="1" s="1"/>
  <c r="S2009" i="1"/>
  <c r="T2009" i="1" s="1"/>
  <c r="S2008" i="1"/>
  <c r="T2008" i="1" s="1"/>
  <c r="S2007" i="1"/>
  <c r="T2007" i="1" s="1"/>
  <c r="S2006" i="1"/>
  <c r="T2006" i="1" s="1"/>
  <c r="S2005" i="1"/>
  <c r="T2005" i="1" s="1"/>
  <c r="S2004" i="1"/>
  <c r="T2004" i="1" s="1"/>
  <c r="S2003" i="1"/>
  <c r="T2003" i="1" s="1"/>
  <c r="S2002" i="1"/>
  <c r="T2002" i="1" s="1"/>
  <c r="S2001" i="1"/>
  <c r="T2001" i="1" s="1"/>
  <c r="S2000" i="1"/>
  <c r="T2000" i="1" s="1"/>
  <c r="S1999" i="1"/>
  <c r="T1999" i="1" s="1"/>
  <c r="S1998" i="1"/>
  <c r="T1998" i="1" s="1"/>
  <c r="S1997" i="1"/>
  <c r="T1997" i="1" s="1"/>
  <c r="S1995" i="1"/>
  <c r="T1995" i="1" s="1"/>
  <c r="S1994" i="1"/>
  <c r="T1994" i="1" s="1"/>
  <c r="S1993" i="1"/>
  <c r="T1993" i="1" s="1"/>
  <c r="S1992" i="1"/>
  <c r="T1992" i="1" s="1"/>
  <c r="S1991" i="1"/>
  <c r="T1991" i="1" s="1"/>
  <c r="S1990" i="1"/>
  <c r="T1990" i="1" s="1"/>
  <c r="S1989" i="1"/>
  <c r="T1989" i="1" s="1"/>
  <c r="S1988" i="1"/>
  <c r="T1988" i="1" s="1"/>
  <c r="S1987" i="1"/>
  <c r="T1987" i="1" s="1"/>
  <c r="S1984" i="1"/>
  <c r="T1984" i="1" s="1"/>
  <c r="S1986" i="1"/>
  <c r="T1986" i="1" s="1"/>
  <c r="S1985" i="1"/>
  <c r="T1985" i="1" s="1"/>
  <c r="S1983" i="1"/>
  <c r="T1983" i="1" s="1"/>
  <c r="S1982" i="1"/>
  <c r="T1982" i="1" s="1"/>
  <c r="S1981" i="1"/>
  <c r="T1981" i="1" s="1"/>
  <c r="S1980" i="1"/>
  <c r="T1980" i="1" s="1"/>
  <c r="S1979" i="1"/>
  <c r="T1979" i="1" s="1"/>
  <c r="S1978" i="1"/>
  <c r="T1978" i="1" s="1"/>
  <c r="S1977" i="1"/>
  <c r="T1977" i="1" s="1"/>
  <c r="S1976" i="1"/>
  <c r="T1976" i="1" s="1"/>
  <c r="S1975" i="1"/>
  <c r="T1975" i="1" s="1"/>
  <c r="L1974" i="1"/>
  <c r="S1969" i="1"/>
  <c r="T1969" i="1" s="1"/>
  <c r="S1967" i="1"/>
  <c r="T1967" i="1" s="1"/>
  <c r="S1965" i="1"/>
  <c r="S1964" i="1"/>
  <c r="T1964" i="1" s="1"/>
  <c r="S1963" i="1"/>
  <c r="T1963" i="1" s="1"/>
  <c r="S1959" i="1"/>
  <c r="L1951" i="1"/>
  <c r="S1952" i="1"/>
  <c r="T1952" i="1" s="1"/>
  <c r="S1948" i="1"/>
  <c r="T1948" i="1" s="1"/>
  <c r="S1945" i="1"/>
  <c r="T1945" i="1" s="1"/>
  <c r="S1944" i="1"/>
  <c r="T1944" i="1" s="1"/>
  <c r="L1943" i="1"/>
  <c r="L1907" i="1"/>
  <c r="S1932" i="1"/>
  <c r="T1932" i="1" s="1"/>
  <c r="S1931" i="1"/>
  <c r="T1931" i="1" s="1"/>
  <c r="S1930" i="1"/>
  <c r="T1930" i="1" s="1"/>
  <c r="S1929" i="1"/>
  <c r="T1929" i="1" s="1"/>
  <c r="S1928" i="1"/>
  <c r="T1928" i="1" s="1"/>
  <c r="S1927" i="1"/>
  <c r="T1927" i="1" s="1"/>
  <c r="S1926" i="1"/>
  <c r="T1926" i="1" s="1"/>
  <c r="S1925" i="1"/>
  <c r="T1925" i="1" s="1"/>
  <c r="S1924" i="1"/>
  <c r="T1924" i="1" s="1"/>
  <c r="S1923" i="1"/>
  <c r="T1923" i="1" s="1"/>
  <c r="S1922" i="1"/>
  <c r="T1922" i="1" s="1"/>
  <c r="S1921" i="1"/>
  <c r="T1921" i="1" s="1"/>
  <c r="S1920" i="1"/>
  <c r="T1920" i="1" s="1"/>
  <c r="S1919" i="1"/>
  <c r="T1919" i="1" s="1"/>
  <c r="S1918" i="1"/>
  <c r="T1918" i="1" s="1"/>
  <c r="S1917" i="1"/>
  <c r="T1917" i="1" s="1"/>
  <c r="S1916" i="1"/>
  <c r="T1916" i="1" s="1"/>
  <c r="S1915" i="1"/>
  <c r="T1915" i="1" s="1"/>
  <c r="S1914" i="1"/>
  <c r="T1914" i="1" s="1"/>
  <c r="S1913" i="1"/>
  <c r="T1913" i="1" s="1"/>
  <c r="S1912" i="1"/>
  <c r="T1912" i="1" s="1"/>
  <c r="S1911" i="1"/>
  <c r="T1911" i="1" s="1"/>
  <c r="S1910" i="1"/>
  <c r="S1909" i="1"/>
  <c r="T1909" i="1" s="1"/>
  <c r="S1908" i="1"/>
  <c r="T1908" i="1" s="1"/>
  <c r="L1904" i="1"/>
  <c r="S1904" i="1" s="1"/>
  <c r="T1904" i="1" s="1"/>
  <c r="S1903" i="1"/>
  <c r="T1903" i="1" s="1"/>
  <c r="S1902" i="1"/>
  <c r="T1902" i="1" s="1"/>
  <c r="L1901" i="1"/>
  <c r="S1900" i="1"/>
  <c r="T1900" i="1" s="1"/>
  <c r="S1899" i="1"/>
  <c r="S1895" i="1"/>
  <c r="S1894" i="1" s="1"/>
  <c r="L1895" i="1"/>
  <c r="L1894" i="1" s="1"/>
  <c r="T1885" i="1"/>
  <c r="S1885" i="1"/>
  <c r="L1885" i="1"/>
  <c r="S1883" i="1"/>
  <c r="T1883" i="1" s="1"/>
  <c r="S1876" i="1"/>
  <c r="T1876" i="1" s="1"/>
  <c r="S1875" i="1"/>
  <c r="T1875" i="1" s="1"/>
  <c r="S1874" i="1"/>
  <c r="T1874" i="1" s="1"/>
  <c r="S1873" i="1"/>
  <c r="T1873" i="1" s="1"/>
  <c r="S1872" i="1"/>
  <c r="T1872" i="1" s="1"/>
  <c r="S1871" i="1"/>
  <c r="T1871" i="1" s="1"/>
  <c r="S1870" i="1"/>
  <c r="T1870" i="1" s="1"/>
  <c r="T1869" i="1"/>
  <c r="S1868" i="1"/>
  <c r="T1868" i="1" s="1"/>
  <c r="S1867" i="1"/>
  <c r="T1867" i="1" s="1"/>
  <c r="S1866" i="1"/>
  <c r="T1866" i="1" s="1"/>
  <c r="S1865" i="1"/>
  <c r="T1865" i="1" s="1"/>
  <c r="S1862" i="1"/>
  <c r="T1862" i="1" s="1"/>
  <c r="S1858" i="1"/>
  <c r="T1858" i="1" s="1"/>
  <c r="S1857" i="1"/>
  <c r="T1857" i="1" s="1"/>
  <c r="S1856" i="1"/>
  <c r="S1855" i="1"/>
  <c r="T1855" i="1" s="1"/>
  <c r="O1855" i="1"/>
  <c r="S1844" i="1"/>
  <c r="T1844" i="1" s="1"/>
  <c r="S1843" i="1"/>
  <c r="T1843" i="1" s="1"/>
  <c r="S1842" i="1"/>
  <c r="T1842" i="1" s="1"/>
  <c r="S1841" i="1"/>
  <c r="T1841" i="1" s="1"/>
  <c r="S1840" i="1"/>
  <c r="T1840" i="1" s="1"/>
  <c r="O1840" i="1"/>
  <c r="S1839" i="1"/>
  <c r="T1839" i="1" s="1"/>
  <c r="S1838" i="1"/>
  <c r="T1838" i="1" s="1"/>
  <c r="O1838" i="1"/>
  <c r="S1837" i="1"/>
  <c r="T1837" i="1" s="1"/>
  <c r="S1836" i="1"/>
  <c r="T1836" i="1" s="1"/>
  <c r="S1835" i="1"/>
  <c r="T1835" i="1" s="1"/>
  <c r="O1835" i="1"/>
  <c r="S1828" i="1"/>
  <c r="T1828" i="1" s="1"/>
  <c r="S1827" i="1"/>
  <c r="L1826" i="1"/>
  <c r="S1824" i="1"/>
  <c r="T1824" i="1" s="1"/>
  <c r="S1814" i="1"/>
  <c r="T1814" i="1" s="1"/>
  <c r="S1813" i="1"/>
  <c r="T1813" i="1" s="1"/>
  <c r="S1812" i="1"/>
  <c r="T1812" i="1" s="1"/>
  <c r="S1811" i="1"/>
  <c r="T1811" i="1" s="1"/>
  <c r="S1810" i="1"/>
  <c r="T1810" i="1" s="1"/>
  <c r="S1809" i="1"/>
  <c r="T1809" i="1" s="1"/>
  <c r="S1808" i="1"/>
  <c r="T1808" i="1" s="1"/>
  <c r="S1807" i="1"/>
  <c r="T1807" i="1" s="1"/>
  <c r="O1807" i="1"/>
  <c r="S1806" i="1"/>
  <c r="T1806" i="1" s="1"/>
  <c r="S1805" i="1"/>
  <c r="T1805" i="1" s="1"/>
  <c r="S1804" i="1"/>
  <c r="T1804" i="1" s="1"/>
  <c r="S1763" i="1"/>
  <c r="T1763" i="1" s="1"/>
  <c r="S1757" i="1"/>
  <c r="T1757" i="1" s="1"/>
  <c r="S1761" i="1"/>
  <c r="T1761" i="1" s="1"/>
  <c r="S1762" i="1"/>
  <c r="T1762" i="1" s="1"/>
  <c r="S1759" i="1"/>
  <c r="T1759" i="1" s="1"/>
  <c r="S1758" i="1"/>
  <c r="T1758" i="1" s="1"/>
  <c r="S1756" i="1"/>
  <c r="T1756" i="1" s="1"/>
  <c r="S1755" i="1"/>
  <c r="T1755" i="1" s="1"/>
  <c r="S1754" i="1"/>
  <c r="T1754" i="1" s="1"/>
  <c r="S1752" i="1"/>
  <c r="T1752" i="1" s="1"/>
  <c r="S1753" i="1"/>
  <c r="T1753" i="1" s="1"/>
  <c r="S1751" i="1"/>
  <c r="T1751" i="1" s="1"/>
  <c r="S1750" i="1"/>
  <c r="T1750" i="1" s="1"/>
  <c r="S1749" i="1"/>
  <c r="T1749" i="1" s="1"/>
  <c r="S1747" i="1"/>
  <c r="T1747" i="1" s="1"/>
  <c r="S1748" i="1"/>
  <c r="T1748" i="1" s="1"/>
  <c r="S1746" i="1"/>
  <c r="T1746" i="1" s="1"/>
  <c r="S1745" i="1"/>
  <c r="T1745" i="1" s="1"/>
  <c r="S1744" i="1"/>
  <c r="T1744" i="1" s="1"/>
  <c r="S1743" i="1"/>
  <c r="T1743" i="1" s="1"/>
  <c r="S1742" i="1"/>
  <c r="T1742" i="1" s="1"/>
  <c r="S1741" i="1"/>
  <c r="T1741" i="1" s="1"/>
  <c r="S1740" i="1"/>
  <c r="T1740" i="1" s="1"/>
  <c r="S1739" i="1"/>
  <c r="T1739" i="1" s="1"/>
  <c r="S1738" i="1"/>
  <c r="T1738" i="1" s="1"/>
  <c r="S1737" i="1"/>
  <c r="T1737" i="1" s="1"/>
  <c r="S1736" i="1"/>
  <c r="T1736" i="1" s="1"/>
  <c r="S1735" i="1"/>
  <c r="T1735" i="1" s="1"/>
  <c r="S1734" i="1"/>
  <c r="T1734" i="1" s="1"/>
  <c r="S1733" i="1"/>
  <c r="T1733" i="1" s="1"/>
  <c r="S1732" i="1"/>
  <c r="T1732" i="1" s="1"/>
  <c r="S1731" i="1"/>
  <c r="T1731" i="1" s="1"/>
  <c r="S1730" i="1"/>
  <c r="T1730" i="1" s="1"/>
  <c r="S1729" i="1"/>
  <c r="T1729" i="1" s="1"/>
  <c r="S1728" i="1"/>
  <c r="T1728" i="1" s="1"/>
  <c r="S1727" i="1"/>
  <c r="T1727" i="1" s="1"/>
  <c r="S1726" i="1"/>
  <c r="T1726" i="1" s="1"/>
  <c r="S1725" i="1"/>
  <c r="T1725" i="1" s="1"/>
  <c r="S1724" i="1"/>
  <c r="T1724" i="1" s="1"/>
  <c r="S1723" i="1"/>
  <c r="T1723" i="1" s="1"/>
  <c r="S1722" i="1"/>
  <c r="T1722" i="1" s="1"/>
  <c r="S1721" i="1"/>
  <c r="T1721" i="1" s="1"/>
  <c r="S1720" i="1"/>
  <c r="T1720" i="1" s="1"/>
  <c r="S1719" i="1"/>
  <c r="T1719" i="1" s="1"/>
  <c r="S1718" i="1"/>
  <c r="T1718" i="1" s="1"/>
  <c r="S1717" i="1"/>
  <c r="T1717" i="1" s="1"/>
  <c r="S1716" i="1"/>
  <c r="T1716" i="1" s="1"/>
  <c r="S1715" i="1"/>
  <c r="T1715" i="1" s="1"/>
  <c r="S1714" i="1"/>
  <c r="T1714" i="1" s="1"/>
  <c r="S1713" i="1"/>
  <c r="T1713" i="1" s="1"/>
  <c r="S1712" i="1"/>
  <c r="T1712" i="1" s="1"/>
  <c r="S1711" i="1"/>
  <c r="T1711" i="1" s="1"/>
  <c r="S1710" i="1"/>
  <c r="T1710" i="1" s="1"/>
  <c r="S1709" i="1"/>
  <c r="T1709" i="1" s="1"/>
  <c r="S1708" i="1"/>
  <c r="T1708" i="1" s="1"/>
  <c r="S1707" i="1"/>
  <c r="T1707" i="1" s="1"/>
  <c r="S1706" i="1"/>
  <c r="T1706" i="1" s="1"/>
  <c r="S1705" i="1"/>
  <c r="T1705" i="1" s="1"/>
  <c r="S1704" i="1"/>
  <c r="T1704" i="1" s="1"/>
  <c r="S1703" i="1"/>
  <c r="T1703" i="1" s="1"/>
  <c r="S1702" i="1"/>
  <c r="T1702" i="1" s="1"/>
  <c r="S1701" i="1"/>
  <c r="T1701" i="1" s="1"/>
  <c r="S1698" i="1"/>
  <c r="T1698" i="1" s="1"/>
  <c r="S1669" i="1"/>
  <c r="T1669" i="1" s="1"/>
  <c r="S1668" i="1"/>
  <c r="T1668" i="1" s="1"/>
  <c r="S1666" i="1"/>
  <c r="T1666" i="1" s="1"/>
  <c r="S1665" i="1"/>
  <c r="T1665" i="1" s="1"/>
  <c r="S1664" i="1"/>
  <c r="T1664" i="1" s="1"/>
  <c r="T1663" i="1"/>
  <c r="L1662" i="1"/>
  <c r="S1661" i="1"/>
  <c r="T1661" i="1" s="1"/>
  <c r="S1660" i="1"/>
  <c r="T1660" i="1" s="1"/>
  <c r="S1659" i="1"/>
  <c r="T1659" i="1" s="1"/>
  <c r="S1656" i="1"/>
  <c r="T1656" i="1" s="1"/>
  <c r="S1655" i="1"/>
  <c r="S1652" i="1"/>
  <c r="T1652" i="1" s="1"/>
  <c r="S1651" i="1"/>
  <c r="T1651" i="1" s="1"/>
  <c r="L1650" i="1"/>
  <c r="S1642" i="1"/>
  <c r="T1642" i="1" s="1"/>
  <c r="S1641" i="1"/>
  <c r="T1641" i="1" s="1"/>
  <c r="S1640" i="1"/>
  <c r="T1640" i="1" s="1"/>
  <c r="O1640" i="1"/>
  <c r="S1639" i="1"/>
  <c r="T1639" i="1" s="1"/>
  <c r="S1638" i="1"/>
  <c r="T1638" i="1" s="1"/>
  <c r="O1638" i="1"/>
  <c r="S1615" i="1"/>
  <c r="T1615" i="1" s="1"/>
  <c r="S1614" i="1"/>
  <c r="T1614" i="1" s="1"/>
  <c r="S1613" i="1"/>
  <c r="T1613" i="1" s="1"/>
  <c r="S1612" i="1"/>
  <c r="T1612" i="1" s="1"/>
  <c r="T1611" i="1"/>
  <c r="S1610" i="1"/>
  <c r="T1610" i="1" s="1"/>
  <c r="S1609" i="1"/>
  <c r="T1609" i="1" s="1"/>
  <c r="S1608" i="1"/>
  <c r="T1608" i="1" s="1"/>
  <c r="S1607" i="1"/>
  <c r="T1607" i="1" s="1"/>
  <c r="S1606" i="1"/>
  <c r="T1606" i="1" s="1"/>
  <c r="S1605" i="1"/>
  <c r="T1605" i="1" s="1"/>
  <c r="S1604" i="1"/>
  <c r="T1604" i="1" s="1"/>
  <c r="S1603" i="1"/>
  <c r="T1603" i="1" s="1"/>
  <c r="S1602" i="1"/>
  <c r="T1602" i="1" s="1"/>
  <c r="O1602" i="1"/>
  <c r="S1601" i="1"/>
  <c r="T1601" i="1" s="1"/>
  <c r="S1600" i="1"/>
  <c r="T1600" i="1" s="1"/>
  <c r="S1599" i="1"/>
  <c r="T1599" i="1" s="1"/>
  <c r="S1598" i="1"/>
  <c r="T1598" i="1" s="1"/>
  <c r="O1598" i="1"/>
  <c r="S1597" i="1"/>
  <c r="T1597" i="1" s="1"/>
  <c r="S1596" i="1"/>
  <c r="T1596" i="1" s="1"/>
  <c r="S1595" i="1"/>
  <c r="T1595" i="1" s="1"/>
  <c r="S1594" i="1"/>
  <c r="T1594" i="1" s="1"/>
  <c r="S1593" i="1"/>
  <c r="T1593" i="1" s="1"/>
  <c r="O1593" i="1"/>
  <c r="S1592" i="1"/>
  <c r="T1592" i="1" s="1"/>
  <c r="S1591" i="1"/>
  <c r="T1591" i="1" s="1"/>
  <c r="S1590" i="1"/>
  <c r="T1590" i="1" s="1"/>
  <c r="S1589" i="1"/>
  <c r="T1589" i="1" s="1"/>
  <c r="S1588" i="1"/>
  <c r="T1588" i="1" s="1"/>
  <c r="O1588" i="1"/>
  <c r="S1585" i="1"/>
  <c r="T1585" i="1" s="1"/>
  <c r="S1575" i="1"/>
  <c r="T1575" i="1" s="1"/>
  <c r="S1574" i="1"/>
  <c r="T1574" i="1" s="1"/>
  <c r="S1573" i="1"/>
  <c r="T1573" i="1" s="1"/>
  <c r="S1572" i="1"/>
  <c r="T1572" i="1" s="1"/>
  <c r="S1571" i="1"/>
  <c r="T1571" i="1" s="1"/>
  <c r="S1570" i="1"/>
  <c r="T1570" i="1" s="1"/>
  <c r="O1570" i="1"/>
  <c r="S1569" i="1"/>
  <c r="T1569" i="1" s="1"/>
  <c r="S1568" i="1"/>
  <c r="T1568" i="1" s="1"/>
  <c r="S1567" i="1"/>
  <c r="T1567" i="1" s="1"/>
  <c r="S1566" i="1"/>
  <c r="T1566" i="1" s="1"/>
  <c r="S1565" i="1"/>
  <c r="T1565" i="1" s="1"/>
  <c r="S1564" i="1"/>
  <c r="T1564" i="1" s="1"/>
  <c r="S1563" i="1"/>
  <c r="T1563" i="1" s="1"/>
  <c r="S1562" i="1"/>
  <c r="T1562" i="1" s="1"/>
  <c r="S1561" i="1"/>
  <c r="T1561" i="1" s="1"/>
  <c r="S1560" i="1"/>
  <c r="T1560" i="1" s="1"/>
  <c r="S1559" i="1"/>
  <c r="T1559" i="1" s="1"/>
  <c r="O1559" i="1"/>
  <c r="L1558" i="1"/>
  <c r="S1556" i="1"/>
  <c r="T1556" i="1" s="1"/>
  <c r="S1517" i="1"/>
  <c r="T1517" i="1" s="1"/>
  <c r="S1516" i="1"/>
  <c r="T1516" i="1" s="1"/>
  <c r="S1513" i="1"/>
  <c r="T1513" i="1" s="1"/>
  <c r="S1515" i="1"/>
  <c r="T1515" i="1" s="1"/>
  <c r="S1514" i="1"/>
  <c r="T1514" i="1" s="1"/>
  <c r="S1512" i="1"/>
  <c r="T1512" i="1" s="1"/>
  <c r="S1511" i="1"/>
  <c r="T1511" i="1" s="1"/>
  <c r="S1510" i="1"/>
  <c r="T1510" i="1" s="1"/>
  <c r="S1509" i="1"/>
  <c r="T1509" i="1" s="1"/>
  <c r="S1508" i="1"/>
  <c r="T1508" i="1" s="1"/>
  <c r="S1507" i="1"/>
  <c r="T1507" i="1" s="1"/>
  <c r="S1506" i="1"/>
  <c r="T1506" i="1" s="1"/>
  <c r="S1505" i="1"/>
  <c r="T1505" i="1" s="1"/>
  <c r="S1504" i="1"/>
  <c r="T1504" i="1" s="1"/>
  <c r="S1503" i="1"/>
  <c r="T1503" i="1" s="1"/>
  <c r="S1502" i="1"/>
  <c r="T1502" i="1" s="1"/>
  <c r="S1500" i="1"/>
  <c r="T1500" i="1" s="1"/>
  <c r="S1501" i="1"/>
  <c r="T1501" i="1" s="1"/>
  <c r="S1499" i="1"/>
  <c r="T1499" i="1" s="1"/>
  <c r="S1496" i="1"/>
  <c r="T1496" i="1" s="1"/>
  <c r="S1495" i="1"/>
  <c r="T1495" i="1" s="1"/>
  <c r="S1494" i="1"/>
  <c r="T1494" i="1" s="1"/>
  <c r="S1493" i="1"/>
  <c r="T1493" i="1" s="1"/>
  <c r="S1492" i="1"/>
  <c r="T1492" i="1" s="1"/>
  <c r="S1491" i="1"/>
  <c r="T1491" i="1" s="1"/>
  <c r="S1490" i="1"/>
  <c r="T1490" i="1" s="1"/>
  <c r="S1489" i="1"/>
  <c r="T1489" i="1" s="1"/>
  <c r="S1488" i="1"/>
  <c r="T1488" i="1" s="1"/>
  <c r="O1488" i="1"/>
  <c r="S1487" i="1"/>
  <c r="T1487" i="1" s="1"/>
  <c r="S1486" i="1"/>
  <c r="S1484" i="1"/>
  <c r="T1484" i="1" s="1"/>
  <c r="S1461" i="1"/>
  <c r="T1461" i="1" s="1"/>
  <c r="S1460" i="1"/>
  <c r="T1460" i="1" s="1"/>
  <c r="S1459" i="1"/>
  <c r="T1459" i="1" s="1"/>
  <c r="O1459" i="1"/>
  <c r="L1458" i="1"/>
  <c r="S1445" i="1"/>
  <c r="T1445" i="1" s="1"/>
  <c r="S1444" i="1"/>
  <c r="T1444" i="1" s="1"/>
  <c r="S1443" i="1"/>
  <c r="T1443" i="1" s="1"/>
  <c r="S1442" i="1"/>
  <c r="T1442" i="1" s="1"/>
  <c r="S1441" i="1"/>
  <c r="T1441" i="1" s="1"/>
  <c r="S1438" i="1"/>
  <c r="T1438" i="1" s="1"/>
  <c r="S1428" i="1"/>
  <c r="T1428" i="1" s="1"/>
  <c r="S1427" i="1"/>
  <c r="T1427" i="1" s="1"/>
  <c r="S1426" i="1"/>
  <c r="T1426" i="1" s="1"/>
  <c r="S1425" i="1"/>
  <c r="T1425" i="1" s="1"/>
  <c r="S1424" i="1"/>
  <c r="O1424" i="1"/>
  <c r="S1421" i="1"/>
  <c r="T1421" i="1" s="1"/>
  <c r="S1414" i="1"/>
  <c r="T1414" i="1" s="1"/>
  <c r="S1413" i="1"/>
  <c r="T1413" i="1" s="1"/>
  <c r="S1412" i="1"/>
  <c r="T1412" i="1" s="1"/>
  <c r="S1411" i="1"/>
  <c r="T1411" i="1" s="1"/>
  <c r="S1410" i="1"/>
  <c r="T1410" i="1" s="1"/>
  <c r="S1409" i="1"/>
  <c r="T1409" i="1" s="1"/>
  <c r="S1408" i="1"/>
  <c r="T1408" i="1" s="1"/>
  <c r="S1407" i="1"/>
  <c r="T1407" i="1" s="1"/>
  <c r="S1406" i="1"/>
  <c r="T1406" i="1" s="1"/>
  <c r="S1405" i="1"/>
  <c r="T1405" i="1" s="1"/>
  <c r="S1404" i="1"/>
  <c r="T1404" i="1" s="1"/>
  <c r="S1403" i="1"/>
  <c r="T1403" i="1" s="1"/>
  <c r="S1402" i="1"/>
  <c r="T1402" i="1" s="1"/>
  <c r="S1401" i="1"/>
  <c r="T1401" i="1" s="1"/>
  <c r="S1400" i="1"/>
  <c r="T1400" i="1" s="1"/>
  <c r="S1399" i="1"/>
  <c r="T1399" i="1" s="1"/>
  <c r="S1398" i="1"/>
  <c r="T1398" i="1" s="1"/>
  <c r="O1398" i="1"/>
  <c r="L1397" i="1"/>
  <c r="S1365" i="1"/>
  <c r="T1365" i="1" s="1"/>
  <c r="S1364" i="1"/>
  <c r="T1364" i="1" s="1"/>
  <c r="S1363" i="1"/>
  <c r="T1363" i="1" s="1"/>
  <c r="S1362" i="1"/>
  <c r="T1362" i="1" s="1"/>
  <c r="S1358" i="1"/>
  <c r="T1358" i="1" s="1"/>
  <c r="S1357" i="1"/>
  <c r="T1357" i="1" s="1"/>
  <c r="V1356" i="1"/>
  <c r="S1356" i="1"/>
  <c r="T1356" i="1" s="1"/>
  <c r="L1355" i="1"/>
  <c r="S1354" i="1"/>
  <c r="T1354" i="1" s="1"/>
  <c r="S1353" i="1"/>
  <c r="T1353" i="1" s="1"/>
  <c r="S1352" i="1"/>
  <c r="T1352" i="1" s="1"/>
  <c r="O1352" i="1"/>
  <c r="S1351" i="1"/>
  <c r="T1351" i="1" s="1"/>
  <c r="S1350" i="1"/>
  <c r="T1350" i="1" s="1"/>
  <c r="S1349" i="1"/>
  <c r="T1349" i="1" s="1"/>
  <c r="S1348" i="1"/>
  <c r="T1348" i="1" s="1"/>
  <c r="S1347" i="1"/>
  <c r="T1347" i="1" s="1"/>
  <c r="S1346" i="1"/>
  <c r="T1346" i="1" s="1"/>
  <c r="S1345" i="1"/>
  <c r="T1345" i="1" s="1"/>
  <c r="S1344" i="1"/>
  <c r="T1344" i="1" s="1"/>
  <c r="S1343" i="1"/>
  <c r="T1343" i="1" s="1"/>
  <c r="S1342" i="1"/>
  <c r="T1342" i="1" s="1"/>
  <c r="S1341" i="1"/>
  <c r="T1341" i="1" s="1"/>
  <c r="S1340" i="1"/>
  <c r="T1340" i="1" s="1"/>
  <c r="S1339" i="1"/>
  <c r="T1339" i="1" s="1"/>
  <c r="S1338" i="1"/>
  <c r="T1338" i="1" s="1"/>
  <c r="S1337" i="1"/>
  <c r="T1337" i="1" s="1"/>
  <c r="S1336" i="1"/>
  <c r="T1336" i="1" s="1"/>
  <c r="S1335" i="1"/>
  <c r="T1335" i="1" s="1"/>
  <c r="S1334" i="1"/>
  <c r="T1334" i="1" s="1"/>
  <c r="S1333" i="1"/>
  <c r="T1333" i="1" s="1"/>
  <c r="O1333" i="1"/>
  <c r="S1332" i="1"/>
  <c r="T1332" i="1" s="1"/>
  <c r="S1331" i="1"/>
  <c r="T1331" i="1" s="1"/>
  <c r="S1330" i="1"/>
  <c r="T1330" i="1" s="1"/>
  <c r="S1329" i="1"/>
  <c r="T1329" i="1" s="1"/>
  <c r="S1328" i="1"/>
  <c r="T1328" i="1" s="1"/>
  <c r="S1327" i="1"/>
  <c r="T1327" i="1" s="1"/>
  <c r="S1326" i="1"/>
  <c r="T1326" i="1" s="1"/>
  <c r="S1325" i="1"/>
  <c r="T1325" i="1" s="1"/>
  <c r="O1325" i="1"/>
  <c r="S1293" i="1"/>
  <c r="T1293" i="1" s="1"/>
  <c r="S1292" i="1"/>
  <c r="T1292" i="1" s="1"/>
  <c r="S1291" i="1"/>
  <c r="T1291" i="1" s="1"/>
  <c r="S1290" i="1"/>
  <c r="T1290" i="1" s="1"/>
  <c r="S1289" i="1"/>
  <c r="T1289" i="1" s="1"/>
  <c r="S1288" i="1"/>
  <c r="T1288" i="1" s="1"/>
  <c r="S1287" i="1"/>
  <c r="T1287" i="1" s="1"/>
  <c r="S1286" i="1"/>
  <c r="T1286" i="1" s="1"/>
  <c r="S1285" i="1"/>
  <c r="T1285" i="1" s="1"/>
  <c r="S1284" i="1"/>
  <c r="T1284" i="1" s="1"/>
  <c r="S1283" i="1"/>
  <c r="T1283" i="1" s="1"/>
  <c r="O1283" i="1"/>
  <c r="S1282" i="1"/>
  <c r="T1282" i="1" s="1"/>
  <c r="S1281" i="1"/>
  <c r="T1281" i="1" s="1"/>
  <c r="S1280" i="1"/>
  <c r="T1280" i="1" s="1"/>
  <c r="O1280" i="1"/>
  <c r="S1279" i="1"/>
  <c r="T1279" i="1" s="1"/>
  <c r="S1278" i="1"/>
  <c r="T1278" i="1" s="1"/>
  <c r="S1277" i="1"/>
  <c r="T1277" i="1" s="1"/>
  <c r="S1276" i="1"/>
  <c r="T1276" i="1" s="1"/>
  <c r="S1275" i="1"/>
  <c r="T1275" i="1" s="1"/>
  <c r="S1274" i="1"/>
  <c r="T1274" i="1" s="1"/>
  <c r="S1273" i="1"/>
  <c r="T1273" i="1" s="1"/>
  <c r="S1272" i="1"/>
  <c r="T1272" i="1" s="1"/>
  <c r="S1271" i="1"/>
  <c r="T1271" i="1" s="1"/>
  <c r="O1271" i="1"/>
  <c r="S1270" i="1"/>
  <c r="T1270" i="1" s="1"/>
  <c r="S1269" i="1"/>
  <c r="T1269" i="1" s="1"/>
  <c r="S1268" i="1"/>
  <c r="T1268" i="1" s="1"/>
  <c r="S1267" i="1"/>
  <c r="T1267" i="1" s="1"/>
  <c r="S1266" i="1"/>
  <c r="T1266" i="1" s="1"/>
  <c r="O1266" i="1"/>
  <c r="S1181" i="1"/>
  <c r="T1181" i="1" s="1"/>
  <c r="S1180" i="1"/>
  <c r="T1180" i="1" s="1"/>
  <c r="S1179" i="1"/>
  <c r="T1179" i="1" s="1"/>
  <c r="S1178" i="1"/>
  <c r="T1178" i="1" s="1"/>
  <c r="S1176" i="1"/>
  <c r="T1176" i="1" s="1"/>
  <c r="S1177" i="1"/>
  <c r="T1177" i="1" s="1"/>
  <c r="S1175" i="1"/>
  <c r="T1175" i="1" s="1"/>
  <c r="S1174" i="1"/>
  <c r="T1174" i="1" s="1"/>
  <c r="S1173" i="1"/>
  <c r="T1173" i="1" s="1"/>
  <c r="S1172" i="1"/>
  <c r="T1172" i="1" s="1"/>
  <c r="S1171" i="1"/>
  <c r="T1171" i="1" s="1"/>
  <c r="S1170" i="1"/>
  <c r="T1170" i="1" s="1"/>
  <c r="S1169" i="1"/>
  <c r="T1169" i="1" s="1"/>
  <c r="S1168" i="1"/>
  <c r="T1168" i="1" s="1"/>
  <c r="S1167" i="1"/>
  <c r="T1167" i="1" s="1"/>
  <c r="S1166" i="1"/>
  <c r="T1166" i="1" s="1"/>
  <c r="S1165" i="1"/>
  <c r="T1165" i="1" s="1"/>
  <c r="S1164" i="1"/>
  <c r="T1164" i="1" s="1"/>
  <c r="S1163" i="1"/>
  <c r="T1163" i="1" s="1"/>
  <c r="S1162" i="1"/>
  <c r="T1162" i="1" s="1"/>
  <c r="S1161" i="1"/>
  <c r="T1161" i="1" s="1"/>
  <c r="S1160" i="1"/>
  <c r="T1160" i="1" s="1"/>
  <c r="S1159" i="1"/>
  <c r="T1159" i="1" s="1"/>
  <c r="S1158" i="1"/>
  <c r="T1158" i="1" s="1"/>
  <c r="S1157" i="1"/>
  <c r="T1157" i="1" s="1"/>
  <c r="S1156" i="1"/>
  <c r="T1156" i="1" s="1"/>
  <c r="S1155" i="1"/>
  <c r="T1155" i="1" s="1"/>
  <c r="S1154" i="1"/>
  <c r="T1154" i="1" s="1"/>
  <c r="S1153" i="1"/>
  <c r="T1153" i="1" s="1"/>
  <c r="S1152" i="1"/>
  <c r="T1152" i="1" s="1"/>
  <c r="S1151" i="1"/>
  <c r="T1151" i="1" s="1"/>
  <c r="S1150" i="1"/>
  <c r="T1150" i="1" s="1"/>
  <c r="S1149" i="1"/>
  <c r="T1149" i="1" s="1"/>
  <c r="S1148" i="1"/>
  <c r="T1148" i="1" s="1"/>
  <c r="S1147" i="1"/>
  <c r="T1147" i="1" s="1"/>
  <c r="S1146" i="1"/>
  <c r="T1146" i="1" s="1"/>
  <c r="O1146" i="1"/>
  <c r="S1145" i="1"/>
  <c r="T1145" i="1" s="1"/>
  <c r="S1144" i="1"/>
  <c r="T1144" i="1" s="1"/>
  <c r="S1143" i="1"/>
  <c r="T1143" i="1" s="1"/>
  <c r="O1143" i="1"/>
  <c r="S1142" i="1"/>
  <c r="T1142" i="1" s="1"/>
  <c r="S1141" i="1"/>
  <c r="T1141" i="1" s="1"/>
  <c r="S1140" i="1"/>
  <c r="T1140" i="1" s="1"/>
  <c r="O1140" i="1"/>
  <c r="S1139" i="1"/>
  <c r="T1139" i="1" s="1"/>
  <c r="S1138" i="1"/>
  <c r="T1138" i="1" s="1"/>
  <c r="S1137" i="1"/>
  <c r="T1137" i="1" s="1"/>
  <c r="S1136" i="1"/>
  <c r="T1136" i="1" s="1"/>
  <c r="S1135" i="1"/>
  <c r="T1135" i="1" s="1"/>
  <c r="S1134" i="1"/>
  <c r="T1134" i="1" s="1"/>
  <c r="S1133" i="1"/>
  <c r="T1133" i="1" s="1"/>
  <c r="S1132" i="1"/>
  <c r="T1132" i="1" s="1"/>
  <c r="S1131" i="1"/>
  <c r="T1131" i="1" s="1"/>
  <c r="S1130" i="1"/>
  <c r="T1130" i="1" s="1"/>
  <c r="S1129" i="1"/>
  <c r="T1129" i="1" s="1"/>
  <c r="S1128" i="1"/>
  <c r="T1128" i="1" s="1"/>
  <c r="O1128" i="1"/>
  <c r="S1127" i="1"/>
  <c r="T1127" i="1" s="1"/>
  <c r="S1126" i="1"/>
  <c r="T1126" i="1" s="1"/>
  <c r="S1125" i="1"/>
  <c r="T1125" i="1" s="1"/>
  <c r="S1124" i="1"/>
  <c r="T1124" i="1" s="1"/>
  <c r="S1123" i="1"/>
  <c r="T1123" i="1" s="1"/>
  <c r="S1122" i="1"/>
  <c r="T1122" i="1" s="1"/>
  <c r="S1121" i="1"/>
  <c r="T1121" i="1" s="1"/>
  <c r="S1120" i="1"/>
  <c r="T1120" i="1" s="1"/>
  <c r="S1119" i="1"/>
  <c r="T1119" i="1" s="1"/>
  <c r="S1118" i="1"/>
  <c r="T1118" i="1" s="1"/>
  <c r="O1118" i="1"/>
  <c r="S1117" i="1"/>
  <c r="T1117" i="1" s="1"/>
  <c r="O1117" i="1"/>
  <c r="S1116" i="1"/>
  <c r="T1116" i="1" s="1"/>
  <c r="S1115" i="1"/>
  <c r="T1115" i="1" s="1"/>
  <c r="S1114" i="1"/>
  <c r="T1114" i="1" s="1"/>
  <c r="S1113" i="1"/>
  <c r="T1113" i="1" s="1"/>
  <c r="S1112" i="1"/>
  <c r="T1112" i="1" s="1"/>
  <c r="S1111" i="1"/>
  <c r="T1111" i="1" s="1"/>
  <c r="S1110" i="1"/>
  <c r="T1110" i="1" s="1"/>
  <c r="S1107" i="1"/>
  <c r="T1107" i="1" s="1"/>
  <c r="S1102" i="1"/>
  <c r="T1102" i="1" s="1"/>
  <c r="S1101" i="1"/>
  <c r="L1100" i="1"/>
  <c r="S1098" i="1"/>
  <c r="T1098" i="1" s="1"/>
  <c r="S1095" i="1"/>
  <c r="T1095" i="1" s="1"/>
  <c r="S1094" i="1"/>
  <c r="T1094" i="1" s="1"/>
  <c r="S1093" i="1"/>
  <c r="T1093" i="1" s="1"/>
  <c r="S1092" i="1"/>
  <c r="T1092" i="1" s="1"/>
  <c r="S1091" i="1"/>
  <c r="T1091" i="1" s="1"/>
  <c r="S1090" i="1"/>
  <c r="L1090" i="1"/>
  <c r="O1090" i="1" s="1"/>
  <c r="S1089" i="1"/>
  <c r="T1089" i="1" s="1"/>
  <c r="S1088" i="1"/>
  <c r="T1088" i="1" s="1"/>
  <c r="S1087" i="1"/>
  <c r="T1087" i="1" s="1"/>
  <c r="S1086" i="1"/>
  <c r="T1086" i="1" s="1"/>
  <c r="O1086" i="1"/>
  <c r="S1085" i="1"/>
  <c r="T1085" i="1" s="1"/>
  <c r="S1084" i="1"/>
  <c r="T1084" i="1" s="1"/>
  <c r="S1083" i="1"/>
  <c r="T1083" i="1" s="1"/>
  <c r="S1082" i="1"/>
  <c r="T1082" i="1" s="1"/>
  <c r="S1081" i="1"/>
  <c r="T1081" i="1" s="1"/>
  <c r="O1081" i="1"/>
  <c r="S1078" i="1"/>
  <c r="T1078" i="1" s="1"/>
  <c r="S1077" i="1"/>
  <c r="T1077" i="1" s="1"/>
  <c r="S1076" i="1"/>
  <c r="T1076" i="1" s="1"/>
  <c r="S1075" i="1"/>
  <c r="T1075" i="1" s="1"/>
  <c r="S1074" i="1"/>
  <c r="T1074" i="1" s="1"/>
  <c r="O1074" i="1"/>
  <c r="S1073" i="1"/>
  <c r="T1073" i="1" s="1"/>
  <c r="S1072" i="1"/>
  <c r="T1072" i="1" s="1"/>
  <c r="S1071" i="1"/>
  <c r="T1071" i="1" s="1"/>
  <c r="S1070" i="1"/>
  <c r="T1070" i="1" s="1"/>
  <c r="O1070" i="1"/>
  <c r="L1069" i="1"/>
  <c r="S997" i="1"/>
  <c r="T997" i="1" s="1"/>
  <c r="S996" i="1"/>
  <c r="T996" i="1" s="1"/>
  <c r="S995" i="1"/>
  <c r="T995" i="1" s="1"/>
  <c r="S994" i="1"/>
  <c r="T994" i="1" s="1"/>
  <c r="S993" i="1"/>
  <c r="T993" i="1" s="1"/>
  <c r="S992" i="1"/>
  <c r="T992" i="1" s="1"/>
  <c r="S991" i="1"/>
  <c r="T991" i="1" s="1"/>
  <c r="S990" i="1"/>
  <c r="T990" i="1" s="1"/>
  <c r="S989" i="1"/>
  <c r="T989" i="1" s="1"/>
  <c r="S988" i="1"/>
  <c r="T988" i="1" s="1"/>
  <c r="S987" i="1"/>
  <c r="T987" i="1" s="1"/>
  <c r="S986" i="1"/>
  <c r="T986" i="1" s="1"/>
  <c r="S985" i="1"/>
  <c r="T985" i="1" s="1"/>
  <c r="S984" i="1"/>
  <c r="T984" i="1" s="1"/>
  <c r="S983" i="1"/>
  <c r="T983" i="1" s="1"/>
  <c r="S982" i="1"/>
  <c r="T982" i="1" s="1"/>
  <c r="S981" i="1"/>
  <c r="T981" i="1" s="1"/>
  <c r="O981" i="1"/>
  <c r="S980" i="1"/>
  <c r="T980" i="1" s="1"/>
  <c r="S979" i="1"/>
  <c r="T979" i="1" s="1"/>
  <c r="S978" i="1"/>
  <c r="T978" i="1" s="1"/>
  <c r="S977" i="1"/>
  <c r="T977" i="1" s="1"/>
  <c r="S976" i="1"/>
  <c r="T976" i="1" s="1"/>
  <c r="S975" i="1"/>
  <c r="T975" i="1" s="1"/>
  <c r="S974" i="1"/>
  <c r="T974" i="1" s="1"/>
  <c r="S973" i="1"/>
  <c r="T973" i="1" s="1"/>
  <c r="S972" i="1"/>
  <c r="T972" i="1" s="1"/>
  <c r="S971" i="1"/>
  <c r="T971" i="1" s="1"/>
  <c r="S970" i="1"/>
  <c r="T970" i="1" s="1"/>
  <c r="S969" i="1"/>
  <c r="T969" i="1" s="1"/>
  <c r="O969" i="1"/>
  <c r="S968" i="1"/>
  <c r="T968" i="1" s="1"/>
  <c r="S967" i="1"/>
  <c r="T967" i="1" s="1"/>
  <c r="S966" i="1"/>
  <c r="T966" i="1" s="1"/>
  <c r="S965" i="1"/>
  <c r="T965" i="1" s="1"/>
  <c r="S964" i="1"/>
  <c r="T964" i="1" s="1"/>
  <c r="S963" i="1"/>
  <c r="T963" i="1" s="1"/>
  <c r="S962" i="1"/>
  <c r="T962" i="1" s="1"/>
  <c r="S961" i="1"/>
  <c r="T961" i="1" s="1"/>
  <c r="S960" i="1"/>
  <c r="T960" i="1" s="1"/>
  <c r="S959" i="1"/>
  <c r="T959" i="1" s="1"/>
  <c r="S958" i="1"/>
  <c r="T958" i="1" s="1"/>
  <c r="S957" i="1"/>
  <c r="T957" i="1" s="1"/>
  <c r="O957" i="1"/>
  <c r="S956" i="1"/>
  <c r="T956" i="1" s="1"/>
  <c r="S955" i="1"/>
  <c r="T955" i="1" s="1"/>
  <c r="S954" i="1"/>
  <c r="T954" i="1" s="1"/>
  <c r="S942" i="1"/>
  <c r="T942" i="1" s="1"/>
  <c r="S932" i="1"/>
  <c r="T932" i="1" s="1"/>
  <c r="S931" i="1"/>
  <c r="T931" i="1" s="1"/>
  <c r="S930" i="1"/>
  <c r="T930" i="1" s="1"/>
  <c r="S929" i="1"/>
  <c r="T929" i="1" s="1"/>
  <c r="S928" i="1"/>
  <c r="T928" i="1" s="1"/>
  <c r="S925" i="1"/>
  <c r="T925" i="1" s="1"/>
  <c r="S924" i="1"/>
  <c r="T924" i="1" s="1"/>
  <c r="S921" i="1"/>
  <c r="T921" i="1" s="1"/>
  <c r="S919" i="1"/>
  <c r="T919" i="1" s="1"/>
  <c r="S891" i="1"/>
  <c r="T891" i="1" s="1"/>
  <c r="S890" i="1"/>
  <c r="T890" i="1" s="1"/>
  <c r="S889" i="1"/>
  <c r="T889" i="1" s="1"/>
  <c r="S888" i="1"/>
  <c r="T888" i="1" s="1"/>
  <c r="S887" i="1"/>
  <c r="T887" i="1" s="1"/>
  <c r="S886" i="1"/>
  <c r="T886" i="1" s="1"/>
  <c r="S885" i="1"/>
  <c r="T885" i="1" s="1"/>
  <c r="S884" i="1"/>
  <c r="T884" i="1" s="1"/>
  <c r="S883" i="1"/>
  <c r="T883" i="1" s="1"/>
  <c r="S882" i="1"/>
  <c r="T882" i="1" s="1"/>
  <c r="S881" i="1"/>
  <c r="T881" i="1" s="1"/>
  <c r="S880" i="1"/>
  <c r="T880" i="1" s="1"/>
  <c r="S879" i="1"/>
  <c r="T879" i="1" s="1"/>
  <c r="S878" i="1"/>
  <c r="T878" i="1" s="1"/>
  <c r="S877" i="1"/>
  <c r="T877" i="1" s="1"/>
  <c r="S876" i="1"/>
  <c r="T876" i="1" s="1"/>
  <c r="S875" i="1"/>
  <c r="T875" i="1" s="1"/>
  <c r="S874" i="1"/>
  <c r="T874" i="1" s="1"/>
  <c r="S873" i="1"/>
  <c r="T873" i="1" s="1"/>
  <c r="S872" i="1"/>
  <c r="T872" i="1" s="1"/>
  <c r="S871" i="1"/>
  <c r="T871" i="1" s="1"/>
  <c r="S869" i="1"/>
  <c r="T869" i="1" s="1"/>
  <c r="S870" i="1"/>
  <c r="T870" i="1" s="1"/>
  <c r="S868" i="1"/>
  <c r="T868" i="1" s="1"/>
  <c r="S867" i="1"/>
  <c r="T867" i="1" s="1"/>
  <c r="S866" i="1"/>
  <c r="T866" i="1" s="1"/>
  <c r="S865" i="1"/>
  <c r="T865" i="1" s="1"/>
  <c r="S864" i="1"/>
  <c r="T864" i="1" s="1"/>
  <c r="S863" i="1"/>
  <c r="T863" i="1" s="1"/>
  <c r="S862" i="1"/>
  <c r="T862" i="1" s="1"/>
  <c r="S861" i="1"/>
  <c r="T861" i="1" s="1"/>
  <c r="S860" i="1"/>
  <c r="T860" i="1" s="1"/>
  <c r="S859" i="1"/>
  <c r="T859" i="1" s="1"/>
  <c r="S858" i="1"/>
  <c r="T858" i="1" s="1"/>
  <c r="S857" i="1"/>
  <c r="T857" i="1" s="1"/>
  <c r="S856" i="1"/>
  <c r="T856" i="1" s="1"/>
  <c r="S855" i="1"/>
  <c r="T855" i="1" s="1"/>
  <c r="S854" i="1"/>
  <c r="T854" i="1" s="1"/>
  <c r="S853" i="1"/>
  <c r="T853" i="1" s="1"/>
  <c r="S852" i="1"/>
  <c r="T852" i="1" s="1"/>
  <c r="S851" i="1"/>
  <c r="T851" i="1" s="1"/>
  <c r="S850" i="1"/>
  <c r="T850" i="1" s="1"/>
  <c r="S849" i="1"/>
  <c r="T849" i="1" s="1"/>
  <c r="S848" i="1"/>
  <c r="T848" i="1" s="1"/>
  <c r="S847" i="1"/>
  <c r="T847" i="1" s="1"/>
  <c r="O847" i="1"/>
  <c r="S846" i="1"/>
  <c r="T846" i="1" s="1"/>
  <c r="S845" i="1"/>
  <c r="T845" i="1" s="1"/>
  <c r="S844" i="1"/>
  <c r="T844" i="1" s="1"/>
  <c r="S843" i="1"/>
  <c r="T843" i="1" s="1"/>
  <c r="S840" i="1"/>
  <c r="T840" i="1" s="1"/>
  <c r="S834" i="1"/>
  <c r="S811" i="1"/>
  <c r="T811" i="1" s="1"/>
  <c r="S810" i="1"/>
  <c r="T810" i="1" s="1"/>
  <c r="S809" i="1"/>
  <c r="T809" i="1" s="1"/>
  <c r="S808" i="1"/>
  <c r="T808" i="1" s="1"/>
  <c r="S807" i="1"/>
  <c r="T807" i="1" s="1"/>
  <c r="S806" i="1"/>
  <c r="T806" i="1" s="1"/>
  <c r="S805" i="1"/>
  <c r="T805" i="1" s="1"/>
  <c r="S804" i="1"/>
  <c r="T804" i="1" s="1"/>
  <c r="S803" i="1"/>
  <c r="T803" i="1" s="1"/>
  <c r="O803" i="1"/>
  <c r="S802" i="1"/>
  <c r="T802" i="1" s="1"/>
  <c r="S801" i="1"/>
  <c r="T801" i="1" s="1"/>
  <c r="S800" i="1"/>
  <c r="T800" i="1" s="1"/>
  <c r="O800" i="1"/>
  <c r="S788" i="1"/>
  <c r="T788" i="1" s="1"/>
  <c r="S787" i="1"/>
  <c r="T787" i="1" s="1"/>
  <c r="S786" i="1"/>
  <c r="T786" i="1" s="1"/>
  <c r="O786" i="1"/>
  <c r="S785" i="1"/>
  <c r="T785" i="1" s="1"/>
  <c r="S782" i="1"/>
  <c r="T782" i="1" s="1"/>
  <c r="L781" i="1"/>
  <c r="L780" i="1"/>
  <c r="O774" i="1" s="1"/>
  <c r="S779" i="1"/>
  <c r="T779" i="1" s="1"/>
  <c r="S778" i="1"/>
  <c r="T778" i="1" s="1"/>
  <c r="S777" i="1"/>
  <c r="T777" i="1" s="1"/>
  <c r="S776" i="1"/>
  <c r="T776" i="1" s="1"/>
  <c r="S775" i="1"/>
  <c r="T775" i="1" s="1"/>
  <c r="S774" i="1"/>
  <c r="T774" i="1" s="1"/>
  <c r="S771" i="1"/>
  <c r="T771" i="1" s="1"/>
  <c r="L770" i="1"/>
  <c r="L715" i="1"/>
  <c r="S714" i="1"/>
  <c r="T714" i="1" s="1"/>
  <c r="S713" i="1"/>
  <c r="T713" i="1" s="1"/>
  <c r="S712" i="1"/>
  <c r="T712" i="1" s="1"/>
  <c r="S711" i="1"/>
  <c r="T711" i="1" s="1"/>
  <c r="S710" i="1"/>
  <c r="T710" i="1" s="1"/>
  <c r="S709" i="1"/>
  <c r="T709" i="1" s="1"/>
  <c r="S708" i="1"/>
  <c r="T708" i="1" s="1"/>
  <c r="S707" i="1"/>
  <c r="T707" i="1" s="1"/>
  <c r="S706" i="1"/>
  <c r="T706" i="1" s="1"/>
  <c r="S705" i="1"/>
  <c r="T705" i="1" s="1"/>
  <c r="S704" i="1"/>
  <c r="T704" i="1" s="1"/>
  <c r="S703" i="1"/>
  <c r="T703" i="1" s="1"/>
  <c r="O703" i="1"/>
  <c r="S702" i="1"/>
  <c r="T702" i="1" s="1"/>
  <c r="S701" i="1"/>
  <c r="T701" i="1" s="1"/>
  <c r="S700" i="1"/>
  <c r="T700" i="1" s="1"/>
  <c r="S699" i="1"/>
  <c r="T699" i="1" s="1"/>
  <c r="S698" i="1"/>
  <c r="T698" i="1" s="1"/>
  <c r="O698" i="1"/>
  <c r="S697" i="1"/>
  <c r="T697" i="1" s="1"/>
  <c r="S696" i="1"/>
  <c r="T696" i="1" s="1"/>
  <c r="S695" i="1"/>
  <c r="T695" i="1" s="1"/>
  <c r="S694" i="1"/>
  <c r="T694" i="1" s="1"/>
  <c r="S693" i="1"/>
  <c r="T693" i="1" s="1"/>
  <c r="S692" i="1"/>
  <c r="T692" i="1" s="1"/>
  <c r="S691" i="1"/>
  <c r="T691" i="1" s="1"/>
  <c r="S690" i="1"/>
  <c r="T690" i="1" s="1"/>
  <c r="S689" i="1"/>
  <c r="T689" i="1" s="1"/>
  <c r="S688" i="1"/>
  <c r="T688" i="1" s="1"/>
  <c r="S687" i="1"/>
  <c r="T687" i="1" s="1"/>
  <c r="S686" i="1"/>
  <c r="T686" i="1" s="1"/>
  <c r="O686" i="1"/>
  <c r="S685" i="1"/>
  <c r="T685" i="1" s="1"/>
  <c r="S684" i="1"/>
  <c r="T684" i="1" s="1"/>
  <c r="O684" i="1"/>
  <c r="S683" i="1"/>
  <c r="T683" i="1" s="1"/>
  <c r="S682" i="1"/>
  <c r="T682" i="1" s="1"/>
  <c r="S681" i="1"/>
  <c r="T681" i="1" s="1"/>
  <c r="S680" i="1"/>
  <c r="T680" i="1" s="1"/>
  <c r="O680" i="1"/>
  <c r="S679" i="1"/>
  <c r="T679" i="1" s="1"/>
  <c r="S678" i="1"/>
  <c r="T678" i="1" s="1"/>
  <c r="S677" i="1"/>
  <c r="T677" i="1" s="1"/>
  <c r="S676" i="1"/>
  <c r="T676" i="1" s="1"/>
  <c r="S675" i="1"/>
  <c r="T675" i="1" s="1"/>
  <c r="S674" i="1"/>
  <c r="T674" i="1" s="1"/>
  <c r="O674" i="1"/>
  <c r="S673" i="1"/>
  <c r="T673" i="1" s="1"/>
  <c r="S672" i="1"/>
  <c r="T672" i="1" s="1"/>
  <c r="S671" i="1"/>
  <c r="T671" i="1" s="1"/>
  <c r="S670" i="1"/>
  <c r="T670" i="1" s="1"/>
  <c r="S669" i="1"/>
  <c r="T669" i="1" s="1"/>
  <c r="S668" i="1"/>
  <c r="T668" i="1" s="1"/>
  <c r="S667" i="1"/>
  <c r="T667" i="1" s="1"/>
  <c r="O667" i="1"/>
  <c r="S644" i="1"/>
  <c r="T644" i="1" s="1"/>
  <c r="S643" i="1"/>
  <c r="T643" i="1" s="1"/>
  <c r="S642" i="1"/>
  <c r="T642" i="1" s="1"/>
  <c r="O642" i="1"/>
  <c r="S641" i="1"/>
  <c r="T641" i="1" s="1"/>
  <c r="S640" i="1"/>
  <c r="T640" i="1" s="1"/>
  <c r="S639" i="1"/>
  <c r="T639" i="1" s="1"/>
  <c r="S638" i="1"/>
  <c r="T638" i="1" s="1"/>
  <c r="S637" i="1"/>
  <c r="T637" i="1" s="1"/>
  <c r="O637" i="1"/>
  <c r="S626" i="1"/>
  <c r="T626" i="1" s="1"/>
  <c r="S625" i="1"/>
  <c r="T625" i="1" s="1"/>
  <c r="S624" i="1"/>
  <c r="T624" i="1" s="1"/>
  <c r="S623" i="1"/>
  <c r="T623" i="1" s="1"/>
  <c r="O623" i="1"/>
  <c r="S622" i="1"/>
  <c r="T622" i="1" s="1"/>
  <c r="S621" i="1"/>
  <c r="T621" i="1" s="1"/>
  <c r="S620" i="1"/>
  <c r="T620" i="1" s="1"/>
  <c r="L619" i="1"/>
  <c r="S617" i="1"/>
  <c r="T617" i="1" s="1"/>
  <c r="S616" i="1"/>
  <c r="T616" i="1" s="1"/>
  <c r="S615" i="1"/>
  <c r="O615" i="1"/>
  <c r="L614" i="1"/>
  <c r="S611" i="1"/>
  <c r="S610" i="1" s="1"/>
  <c r="S608" i="1"/>
  <c r="T608" i="1" s="1"/>
  <c r="S580" i="1"/>
  <c r="T580" i="1" s="1"/>
  <c r="S579" i="1"/>
  <c r="T579" i="1" s="1"/>
  <c r="S578" i="1"/>
  <c r="T578" i="1" s="1"/>
  <c r="S577" i="1"/>
  <c r="T577" i="1" s="1"/>
  <c r="S576" i="1"/>
  <c r="T576" i="1" s="1"/>
  <c r="S575" i="1"/>
  <c r="T575" i="1" s="1"/>
  <c r="S574" i="1"/>
  <c r="T574" i="1" s="1"/>
  <c r="S573" i="1"/>
  <c r="T573" i="1" s="1"/>
  <c r="S572" i="1"/>
  <c r="T572" i="1" s="1"/>
  <c r="S571" i="1"/>
  <c r="T571" i="1" s="1"/>
  <c r="S570" i="1"/>
  <c r="T570" i="1" s="1"/>
  <c r="S569" i="1"/>
  <c r="T569" i="1" s="1"/>
  <c r="S568" i="1"/>
  <c r="T568" i="1" s="1"/>
  <c r="S567" i="1"/>
  <c r="T567" i="1" s="1"/>
  <c r="S566" i="1"/>
  <c r="T566" i="1" s="1"/>
  <c r="S565" i="1"/>
  <c r="T565" i="1" s="1"/>
  <c r="S564" i="1"/>
  <c r="T564" i="1" s="1"/>
  <c r="S563" i="1"/>
  <c r="T563" i="1" s="1"/>
  <c r="O563" i="1"/>
  <c r="S562" i="1"/>
  <c r="T562" i="1" s="1"/>
  <c r="S561" i="1"/>
  <c r="T561" i="1" s="1"/>
  <c r="S560" i="1"/>
  <c r="T560" i="1" s="1"/>
  <c r="S559" i="1"/>
  <c r="T559" i="1" s="1"/>
  <c r="S558" i="1"/>
  <c r="T558" i="1" s="1"/>
  <c r="S557" i="1"/>
  <c r="T557" i="1" s="1"/>
  <c r="S556" i="1"/>
  <c r="T556" i="1" s="1"/>
  <c r="S555" i="1"/>
  <c r="T555" i="1" s="1"/>
  <c r="S554" i="1"/>
  <c r="T554" i="1" s="1"/>
  <c r="S553" i="1"/>
  <c r="T553" i="1" s="1"/>
  <c r="S552" i="1"/>
  <c r="T552" i="1" s="1"/>
  <c r="S551" i="1"/>
  <c r="T551" i="1" s="1"/>
  <c r="S550" i="1"/>
  <c r="T550" i="1" s="1"/>
  <c r="O550" i="1"/>
  <c r="S547" i="1"/>
  <c r="T547" i="1" s="1"/>
  <c r="S546" i="1"/>
  <c r="T546" i="1" s="1"/>
  <c r="S545" i="1"/>
  <c r="O545" i="1"/>
  <c r="S542" i="1"/>
  <c r="T542" i="1" s="1"/>
  <c r="T541" i="1" s="1"/>
  <c r="L541" i="1"/>
  <c r="S506" i="1"/>
  <c r="T506" i="1" s="1"/>
  <c r="S505" i="1"/>
  <c r="T505" i="1" s="1"/>
  <c r="S504" i="1"/>
  <c r="T504" i="1" s="1"/>
  <c r="S503" i="1"/>
  <c r="T503" i="1" s="1"/>
  <c r="S502" i="1"/>
  <c r="T502" i="1" s="1"/>
  <c r="L501" i="1"/>
  <c r="O500" i="1" s="1"/>
  <c r="S500" i="1"/>
  <c r="T500" i="1" s="1"/>
  <c r="S499" i="1"/>
  <c r="T499" i="1" s="1"/>
  <c r="S498" i="1"/>
  <c r="T498" i="1" s="1"/>
  <c r="S497" i="1"/>
  <c r="T497" i="1" s="1"/>
  <c r="S496" i="1"/>
  <c r="T496" i="1" s="1"/>
  <c r="S495" i="1"/>
  <c r="T495" i="1" s="1"/>
  <c r="V494" i="1"/>
  <c r="S494" i="1"/>
  <c r="S493" i="1"/>
  <c r="T493" i="1" s="1"/>
  <c r="S492" i="1"/>
  <c r="T492" i="1" s="1"/>
  <c r="S491" i="1"/>
  <c r="T491" i="1" s="1"/>
  <c r="S490" i="1"/>
  <c r="T490" i="1" s="1"/>
  <c r="S489" i="1"/>
  <c r="T489" i="1" s="1"/>
  <c r="O489" i="1"/>
  <c r="L488" i="1"/>
  <c r="S487" i="1"/>
  <c r="T487" i="1" s="1"/>
  <c r="S486" i="1"/>
  <c r="T486" i="1" s="1"/>
  <c r="S485" i="1"/>
  <c r="T485" i="1" s="1"/>
  <c r="L484" i="1"/>
  <c r="L483" i="1"/>
  <c r="S482" i="1"/>
  <c r="T482" i="1" s="1"/>
  <c r="S481" i="1"/>
  <c r="T481" i="1" s="1"/>
  <c r="S480" i="1"/>
  <c r="T480" i="1" s="1"/>
  <c r="L479" i="1"/>
  <c r="S478" i="1"/>
  <c r="T478" i="1" s="1"/>
  <c r="S477" i="1"/>
  <c r="T477" i="1" s="1"/>
  <c r="S476" i="1"/>
  <c r="T476" i="1" s="1"/>
  <c r="S475" i="1"/>
  <c r="T475" i="1" s="1"/>
  <c r="S474" i="1"/>
  <c r="T474" i="1" s="1"/>
  <c r="S473" i="1"/>
  <c r="T473" i="1" s="1"/>
  <c r="S472" i="1"/>
  <c r="T472" i="1" s="1"/>
  <c r="S471" i="1"/>
  <c r="T471" i="1" s="1"/>
  <c r="S470" i="1"/>
  <c r="T470" i="1" s="1"/>
  <c r="O470" i="1"/>
  <c r="S469" i="1"/>
  <c r="T469" i="1" s="1"/>
  <c r="S468" i="1"/>
  <c r="T468" i="1" s="1"/>
  <c r="S467" i="1"/>
  <c r="T467" i="1" s="1"/>
  <c r="O466" i="1"/>
  <c r="L465" i="1"/>
  <c r="O463" i="1" s="1"/>
  <c r="S464" i="1"/>
  <c r="T464" i="1" s="1"/>
  <c r="S463" i="1"/>
  <c r="T463" i="1" s="1"/>
  <c r="S462" i="1"/>
  <c r="T462" i="1" s="1"/>
  <c r="S461" i="1"/>
  <c r="T461" i="1" s="1"/>
  <c r="S460" i="1"/>
  <c r="T460" i="1" s="1"/>
  <c r="S402" i="1"/>
  <c r="T402" i="1" s="1"/>
  <c r="S401" i="1"/>
  <c r="T401" i="1" s="1"/>
  <c r="S400" i="1"/>
  <c r="T400" i="1" s="1"/>
  <c r="S399" i="1"/>
  <c r="T399" i="1" s="1"/>
  <c r="S398" i="1"/>
  <c r="T398" i="1" s="1"/>
  <c r="S397" i="1"/>
  <c r="T397" i="1" s="1"/>
  <c r="S396" i="1"/>
  <c r="T396" i="1" s="1"/>
  <c r="S395" i="1"/>
  <c r="T395" i="1" s="1"/>
  <c r="S394" i="1"/>
  <c r="T394" i="1" s="1"/>
  <c r="S393" i="1"/>
  <c r="T393" i="1" s="1"/>
  <c r="S392" i="1"/>
  <c r="T392" i="1" s="1"/>
  <c r="S391" i="1"/>
  <c r="T391" i="1" s="1"/>
  <c r="S390" i="1"/>
  <c r="T390" i="1" s="1"/>
  <c r="S389" i="1"/>
  <c r="T389" i="1" s="1"/>
  <c r="S388" i="1"/>
  <c r="T388" i="1" s="1"/>
  <c r="S387" i="1"/>
  <c r="T387" i="1" s="1"/>
  <c r="S386" i="1"/>
  <c r="T386" i="1" s="1"/>
  <c r="S385" i="1"/>
  <c r="T385" i="1" s="1"/>
  <c r="S384" i="1"/>
  <c r="T384" i="1" s="1"/>
  <c r="S383" i="1"/>
  <c r="T383" i="1" s="1"/>
  <c r="S382" i="1"/>
  <c r="T382" i="1" s="1"/>
  <c r="S381" i="1"/>
  <c r="T381" i="1" s="1"/>
  <c r="S380" i="1"/>
  <c r="T380" i="1" s="1"/>
  <c r="S379" i="1"/>
  <c r="T379" i="1" s="1"/>
  <c r="S378" i="1"/>
  <c r="T378" i="1" s="1"/>
  <c r="S377" i="1"/>
  <c r="T377" i="1" s="1"/>
  <c r="S376" i="1"/>
  <c r="T376" i="1" s="1"/>
  <c r="S375" i="1"/>
  <c r="T375" i="1" s="1"/>
  <c r="S374" i="1"/>
  <c r="T374" i="1" s="1"/>
  <c r="S373" i="1"/>
  <c r="T373" i="1" s="1"/>
  <c r="S372" i="1"/>
  <c r="T372" i="1" s="1"/>
  <c r="S371" i="1"/>
  <c r="T371" i="1" s="1"/>
  <c r="S370" i="1"/>
  <c r="T370" i="1" s="1"/>
  <c r="S369" i="1"/>
  <c r="T369" i="1" s="1"/>
  <c r="S368" i="1"/>
  <c r="T368" i="1" s="1"/>
  <c r="S367" i="1"/>
  <c r="T367" i="1" s="1"/>
  <c r="S366" i="1"/>
  <c r="T366" i="1" s="1"/>
  <c r="S365" i="1"/>
  <c r="T365" i="1" s="1"/>
  <c r="S364" i="1"/>
  <c r="T364" i="1" s="1"/>
  <c r="S363" i="1"/>
  <c r="T363" i="1" s="1"/>
  <c r="S362" i="1"/>
  <c r="T362" i="1" s="1"/>
  <c r="L361" i="1"/>
  <c r="S360" i="1"/>
  <c r="T360" i="1" s="1"/>
  <c r="S359" i="1"/>
  <c r="T359" i="1" s="1"/>
  <c r="S358" i="1"/>
  <c r="T358" i="1" s="1"/>
  <c r="S357" i="1"/>
  <c r="T357" i="1" s="1"/>
  <c r="S356" i="1"/>
  <c r="T356" i="1" s="1"/>
  <c r="S355" i="1"/>
  <c r="T355" i="1" s="1"/>
  <c r="S354" i="1"/>
  <c r="T354" i="1" s="1"/>
  <c r="S353" i="1"/>
  <c r="T353" i="1" s="1"/>
  <c r="S352" i="1"/>
  <c r="T352" i="1" s="1"/>
  <c r="S351" i="1"/>
  <c r="T351" i="1" s="1"/>
  <c r="S350" i="1"/>
  <c r="T350" i="1" s="1"/>
  <c r="O350" i="1"/>
  <c r="S349" i="1"/>
  <c r="T349" i="1" s="1"/>
  <c r="S348" i="1"/>
  <c r="T348" i="1" s="1"/>
  <c r="O348" i="1"/>
  <c r="S347" i="1"/>
  <c r="T347" i="1" s="1"/>
  <c r="S346" i="1"/>
  <c r="T346" i="1" s="1"/>
  <c r="S345" i="1"/>
  <c r="T345" i="1" s="1"/>
  <c r="S344" i="1"/>
  <c r="T344" i="1" s="1"/>
  <c r="S343" i="1"/>
  <c r="T343" i="1" s="1"/>
  <c r="S342" i="1"/>
  <c r="T342" i="1" s="1"/>
  <c r="S341" i="1"/>
  <c r="T341" i="1" s="1"/>
  <c r="S340" i="1"/>
  <c r="T340" i="1" s="1"/>
  <c r="S339" i="1"/>
  <c r="T339" i="1" s="1"/>
  <c r="S338" i="1"/>
  <c r="T338" i="1" s="1"/>
  <c r="S337" i="1"/>
  <c r="T337" i="1" s="1"/>
  <c r="S336" i="1"/>
  <c r="T336" i="1" s="1"/>
  <c r="S335" i="1"/>
  <c r="T335" i="1" s="1"/>
  <c r="S334" i="1"/>
  <c r="T334" i="1" s="1"/>
  <c r="S333" i="1"/>
  <c r="T333" i="1" s="1"/>
  <c r="S332" i="1"/>
  <c r="T332" i="1" s="1"/>
  <c r="S331" i="1"/>
  <c r="T331" i="1" s="1"/>
  <c r="S330" i="1"/>
  <c r="T330" i="1" s="1"/>
  <c r="S329" i="1"/>
  <c r="T329" i="1" s="1"/>
  <c r="S328" i="1"/>
  <c r="T328" i="1" s="1"/>
  <c r="S327" i="1"/>
  <c r="T327" i="1" s="1"/>
  <c r="S326" i="1"/>
  <c r="T326" i="1" s="1"/>
  <c r="O326" i="1"/>
  <c r="S325" i="1"/>
  <c r="T325" i="1" s="1"/>
  <c r="S324" i="1"/>
  <c r="T324" i="1" s="1"/>
  <c r="S323" i="1"/>
  <c r="T323" i="1" s="1"/>
  <c r="S322" i="1"/>
  <c r="T322" i="1" s="1"/>
  <c r="S321" i="1"/>
  <c r="T321" i="1" s="1"/>
  <c r="S320" i="1"/>
  <c r="T320" i="1" s="1"/>
  <c r="S319" i="1"/>
  <c r="T319" i="1" s="1"/>
  <c r="S318" i="1"/>
  <c r="T318" i="1" s="1"/>
  <c r="S317" i="1"/>
  <c r="T317" i="1" s="1"/>
  <c r="S316" i="1"/>
  <c r="T316" i="1" s="1"/>
  <c r="S315" i="1"/>
  <c r="T315" i="1" s="1"/>
  <c r="S314" i="1"/>
  <c r="T314" i="1" s="1"/>
  <c r="S313" i="1"/>
  <c r="T313" i="1" s="1"/>
  <c r="S312" i="1"/>
  <c r="T312" i="1" s="1"/>
  <c r="S311" i="1"/>
  <c r="T311" i="1" s="1"/>
  <c r="S310" i="1"/>
  <c r="T310" i="1" s="1"/>
  <c r="S309" i="1"/>
  <c r="T309" i="1" s="1"/>
  <c r="S308" i="1"/>
  <c r="T308" i="1" s="1"/>
  <c r="S307" i="1"/>
  <c r="T307" i="1" s="1"/>
  <c r="S306" i="1"/>
  <c r="T306" i="1" s="1"/>
  <c r="S305" i="1"/>
  <c r="T305" i="1" s="1"/>
  <c r="O305" i="1"/>
  <c r="S304" i="1"/>
  <c r="T304" i="1" s="1"/>
  <c r="S303" i="1"/>
  <c r="T303" i="1" s="1"/>
  <c r="S302" i="1"/>
  <c r="T302" i="1" s="1"/>
  <c r="S301" i="1"/>
  <c r="T301" i="1" s="1"/>
  <c r="S300" i="1"/>
  <c r="T300" i="1" s="1"/>
  <c r="S299" i="1"/>
  <c r="T299" i="1" s="1"/>
  <c r="S298" i="1"/>
  <c r="T298" i="1" s="1"/>
  <c r="S297" i="1"/>
  <c r="T297" i="1" s="1"/>
  <c r="S296" i="1"/>
  <c r="T296" i="1" s="1"/>
  <c r="S295" i="1"/>
  <c r="T295" i="1" s="1"/>
  <c r="S294" i="1"/>
  <c r="T294" i="1" s="1"/>
  <c r="O294" i="1"/>
  <c r="S214" i="1"/>
  <c r="T214" i="1" s="1"/>
  <c r="S213" i="1"/>
  <c r="T213" i="1" s="1"/>
  <c r="S212" i="1"/>
  <c r="T212" i="1" s="1"/>
  <c r="S211" i="1"/>
  <c r="T211" i="1" s="1"/>
  <c r="S210" i="1"/>
  <c r="T210" i="1" s="1"/>
  <c r="S209" i="1"/>
  <c r="T209" i="1" s="1"/>
  <c r="S208" i="1"/>
  <c r="T208" i="1" s="1"/>
  <c r="S207" i="1"/>
  <c r="T207" i="1" s="1"/>
  <c r="S206" i="1"/>
  <c r="T206" i="1" s="1"/>
  <c r="S205" i="1"/>
  <c r="T205" i="1" s="1"/>
  <c r="S204" i="1"/>
  <c r="T204" i="1" s="1"/>
  <c r="S203" i="1"/>
  <c r="T203" i="1" s="1"/>
  <c r="S202" i="1"/>
  <c r="T202" i="1" s="1"/>
  <c r="S201" i="1"/>
  <c r="T201" i="1" s="1"/>
  <c r="S200" i="1"/>
  <c r="T200" i="1" s="1"/>
  <c r="S199" i="1"/>
  <c r="T199" i="1" s="1"/>
  <c r="S198" i="1"/>
  <c r="T198" i="1" s="1"/>
  <c r="O198" i="1"/>
  <c r="S197" i="1"/>
  <c r="T197" i="1" s="1"/>
  <c r="S196" i="1"/>
  <c r="T196" i="1" s="1"/>
  <c r="S195" i="1"/>
  <c r="T195" i="1" s="1"/>
  <c r="S194" i="1"/>
  <c r="T194" i="1" s="1"/>
  <c r="S193" i="1"/>
  <c r="T193" i="1" s="1"/>
  <c r="S192" i="1"/>
  <c r="T192" i="1" s="1"/>
  <c r="S191" i="1"/>
  <c r="T191" i="1" s="1"/>
  <c r="S190" i="1"/>
  <c r="T190" i="1" s="1"/>
  <c r="S189" i="1"/>
  <c r="T189" i="1" s="1"/>
  <c r="S188" i="1"/>
  <c r="T188" i="1" s="1"/>
  <c r="S187" i="1"/>
  <c r="T187" i="1" s="1"/>
  <c r="O187" i="1"/>
  <c r="S186" i="1"/>
  <c r="T186" i="1" s="1"/>
  <c r="S185" i="1"/>
  <c r="T185" i="1" s="1"/>
  <c r="S184" i="1"/>
  <c r="T184" i="1" s="1"/>
  <c r="S183" i="1"/>
  <c r="T183" i="1" s="1"/>
  <c r="S182" i="1"/>
  <c r="T182" i="1" s="1"/>
  <c r="S181" i="1"/>
  <c r="T181" i="1" s="1"/>
  <c r="S180" i="1"/>
  <c r="T180" i="1" s="1"/>
  <c r="S179" i="1"/>
  <c r="T179" i="1" s="1"/>
  <c r="S178" i="1"/>
  <c r="T178" i="1" s="1"/>
  <c r="S177" i="1"/>
  <c r="T177" i="1" s="1"/>
  <c r="S176" i="1"/>
  <c r="T176" i="1" s="1"/>
  <c r="S175" i="1"/>
  <c r="T175" i="1" s="1"/>
  <c r="S174" i="1"/>
  <c r="T174" i="1" s="1"/>
  <c r="S173" i="1"/>
  <c r="T173" i="1" s="1"/>
  <c r="S172" i="1"/>
  <c r="T172" i="1" s="1"/>
  <c r="S171" i="1"/>
  <c r="T171" i="1" s="1"/>
  <c r="S170" i="1"/>
  <c r="T170" i="1" s="1"/>
  <c r="S169" i="1"/>
  <c r="T169" i="1" s="1"/>
  <c r="S168" i="1"/>
  <c r="T168" i="1" s="1"/>
  <c r="S167" i="1"/>
  <c r="T167" i="1" s="1"/>
  <c r="S166" i="1"/>
  <c r="T166" i="1" s="1"/>
  <c r="O166" i="1"/>
  <c r="S165" i="1"/>
  <c r="T165" i="1" s="1"/>
  <c r="S164" i="1"/>
  <c r="T164" i="1" s="1"/>
  <c r="S163" i="1"/>
  <c r="T163" i="1" s="1"/>
  <c r="S162" i="1"/>
  <c r="T162" i="1" s="1"/>
  <c r="S161" i="1"/>
  <c r="T161" i="1" s="1"/>
  <c r="S160" i="1"/>
  <c r="T160" i="1" s="1"/>
  <c r="S159" i="1"/>
  <c r="T159" i="1" s="1"/>
  <c r="S158" i="1"/>
  <c r="T158" i="1" s="1"/>
  <c r="S157" i="1"/>
  <c r="T157" i="1" s="1"/>
  <c r="S156" i="1"/>
  <c r="T156" i="1" s="1"/>
  <c r="S155" i="1"/>
  <c r="T155" i="1" s="1"/>
  <c r="S154" i="1"/>
  <c r="T154" i="1" s="1"/>
  <c r="S153" i="1"/>
  <c r="T153" i="1" s="1"/>
  <c r="S152" i="1"/>
  <c r="T152" i="1" s="1"/>
  <c r="S151" i="1"/>
  <c r="T151" i="1" s="1"/>
  <c r="S150" i="1"/>
  <c r="T150" i="1" s="1"/>
  <c r="S149" i="1"/>
  <c r="T149" i="1" s="1"/>
  <c r="S148" i="1"/>
  <c r="T148" i="1" s="1"/>
  <c r="S147" i="1"/>
  <c r="T147" i="1" s="1"/>
  <c r="L146" i="1"/>
  <c r="S143" i="1"/>
  <c r="L142" i="1"/>
  <c r="L76" i="1"/>
  <c r="O70" i="1" s="1"/>
  <c r="S75" i="1"/>
  <c r="T75" i="1" s="1"/>
  <c r="S74" i="1"/>
  <c r="T74" i="1" s="1"/>
  <c r="S73" i="1"/>
  <c r="T73" i="1" s="1"/>
  <c r="S72" i="1"/>
  <c r="T72" i="1" s="1"/>
  <c r="S71" i="1"/>
  <c r="T71" i="1" s="1"/>
  <c r="S70" i="1"/>
  <c r="T70" i="1" s="1"/>
  <c r="S69" i="1"/>
  <c r="T69" i="1" s="1"/>
  <c r="S68" i="1"/>
  <c r="T68" i="1" s="1"/>
  <c r="O68" i="1"/>
  <c r="S67" i="1"/>
  <c r="T67" i="1" s="1"/>
  <c r="S66" i="1"/>
  <c r="T66" i="1" s="1"/>
  <c r="S65" i="1"/>
  <c r="T65" i="1" s="1"/>
  <c r="S64" i="1"/>
  <c r="T64" i="1" s="1"/>
  <c r="O64" i="1"/>
  <c r="S63" i="1"/>
  <c r="T63" i="1" s="1"/>
  <c r="S62" i="1"/>
  <c r="T62" i="1" s="1"/>
  <c r="S61" i="1"/>
  <c r="T61" i="1" s="1"/>
  <c r="S60" i="1"/>
  <c r="T60" i="1" s="1"/>
  <c r="S59" i="1"/>
  <c r="T59" i="1" s="1"/>
  <c r="S58" i="1"/>
  <c r="T58" i="1" s="1"/>
  <c r="S57" i="1"/>
  <c r="T57" i="1" s="1"/>
  <c r="S56" i="1"/>
  <c r="T56" i="1" s="1"/>
  <c r="S55" i="1"/>
  <c r="T55" i="1" s="1"/>
  <c r="S54" i="1"/>
  <c r="T54" i="1" s="1"/>
  <c r="S53" i="1"/>
  <c r="T53" i="1" s="1"/>
  <c r="L52" i="1"/>
  <c r="O52" i="1" s="1"/>
  <c r="L51" i="1"/>
  <c r="O44" i="1" s="1"/>
  <c r="S50" i="1"/>
  <c r="T50" i="1" s="1"/>
  <c r="S49" i="1"/>
  <c r="T49" i="1" s="1"/>
  <c r="S48" i="1"/>
  <c r="T48" i="1" s="1"/>
  <c r="S47" i="1"/>
  <c r="T47" i="1" s="1"/>
  <c r="S46" i="1"/>
  <c r="T46" i="1" s="1"/>
  <c r="S45" i="1"/>
  <c r="T45" i="1" s="1"/>
  <c r="S44" i="1"/>
  <c r="T44" i="1" s="1"/>
  <c r="S43" i="1"/>
  <c r="T43" i="1" s="1"/>
  <c r="S42" i="1"/>
  <c r="T42" i="1" s="1"/>
  <c r="S41" i="1"/>
  <c r="T41" i="1" s="1"/>
  <c r="S40" i="1"/>
  <c r="T40" i="1" s="1"/>
  <c r="O40" i="1"/>
  <c r="S39" i="1"/>
  <c r="T39" i="1" s="1"/>
  <c r="S38" i="1"/>
  <c r="T38" i="1" s="1"/>
  <c r="L37" i="1"/>
  <c r="S36" i="1"/>
  <c r="T36" i="1" s="1"/>
  <c r="S35" i="1"/>
  <c r="T35" i="1" s="1"/>
  <c r="L34" i="1"/>
  <c r="S33" i="1"/>
  <c r="T33" i="1" s="1"/>
  <c r="S32" i="1"/>
  <c r="T32" i="1" s="1"/>
  <c r="S31" i="1"/>
  <c r="T31" i="1" s="1"/>
  <c r="S30" i="1"/>
  <c r="T30" i="1" s="1"/>
  <c r="S29" i="1"/>
  <c r="T29" i="1" s="1"/>
  <c r="S28" i="1"/>
  <c r="T28" i="1" s="1"/>
  <c r="O28" i="1"/>
  <c r="S25" i="1"/>
  <c r="T25" i="1" s="1"/>
  <c r="S18" i="1"/>
  <c r="T18" i="1" s="1"/>
  <c r="S17" i="1"/>
  <c r="T17" i="1" s="1"/>
  <c r="S16" i="1"/>
  <c r="T16" i="1" s="1"/>
  <c r="S15" i="1"/>
  <c r="S14" i="1"/>
  <c r="T14" i="1" s="1"/>
  <c r="S13" i="1"/>
  <c r="O13" i="1"/>
  <c r="J3" i="1"/>
  <c r="N1760" i="1" s="1"/>
  <c r="H1" i="1"/>
  <c r="T619" i="1" l="1"/>
  <c r="T927" i="1"/>
  <c r="T1458" i="1"/>
  <c r="N2411" i="1"/>
  <c r="N21" i="1"/>
  <c r="T1803" i="1"/>
  <c r="N647" i="1"/>
  <c r="N648" i="1"/>
  <c r="T1109" i="1"/>
  <c r="T842" i="1"/>
  <c r="T1397" i="1"/>
  <c r="T1700" i="1"/>
  <c r="T799" i="1"/>
  <c r="T1440" i="1"/>
  <c r="T1974" i="1"/>
  <c r="T1864" i="1"/>
  <c r="T953" i="1"/>
  <c r="T1486" i="1"/>
  <c r="T1485" i="1" s="1"/>
  <c r="S1485" i="1"/>
  <c r="T1265" i="1"/>
  <c r="N453" i="1"/>
  <c r="N22" i="1"/>
  <c r="N136" i="1"/>
  <c r="N139" i="1"/>
  <c r="N137" i="1"/>
  <c r="N138" i="1"/>
  <c r="N1861" i="1"/>
  <c r="N1062" i="1"/>
  <c r="N2539" i="1"/>
  <c r="N1455" i="1"/>
  <c r="N134" i="1"/>
  <c r="N135" i="1"/>
  <c r="N1255" i="1"/>
  <c r="N1256" i="1"/>
  <c r="N1257" i="1"/>
  <c r="N1258" i="1"/>
  <c r="N1261" i="1"/>
  <c r="N1259" i="1"/>
  <c r="N1260" i="1"/>
  <c r="N1262" i="1"/>
  <c r="N2613" i="1"/>
  <c r="N2727" i="1"/>
  <c r="N607" i="1"/>
  <c r="N606" i="1"/>
  <c r="N1054" i="1"/>
  <c r="N1055" i="1"/>
  <c r="N1056" i="1"/>
  <c r="N1057" i="1"/>
  <c r="N1060" i="1"/>
  <c r="N1058" i="1"/>
  <c r="N1059" i="1"/>
  <c r="N1061" i="1"/>
  <c r="N940" i="1"/>
  <c r="N941" i="1"/>
  <c r="N538" i="1"/>
  <c r="N133" i="1"/>
  <c r="N287" i="1"/>
  <c r="N288" i="1"/>
  <c r="N289" i="1"/>
  <c r="N290" i="1"/>
  <c r="N278" i="1"/>
  <c r="N279" i="1"/>
  <c r="N280" i="1"/>
  <c r="N282" i="1"/>
  <c r="N283" i="1"/>
  <c r="N284" i="1"/>
  <c r="N281" i="1"/>
  <c r="N285" i="1"/>
  <c r="N277" i="1"/>
  <c r="N286" i="1"/>
  <c r="N2612" i="1"/>
  <c r="N2462" i="1"/>
  <c r="N767" i="1"/>
  <c r="N2155" i="1"/>
  <c r="N2263" i="1"/>
  <c r="N2547" i="1"/>
  <c r="N913" i="1"/>
  <c r="N914" i="1"/>
  <c r="N915" i="1"/>
  <c r="N911" i="1"/>
  <c r="N912" i="1"/>
  <c r="N1549" i="1"/>
  <c r="N1550" i="1"/>
  <c r="N1551" i="1"/>
  <c r="N1552" i="1"/>
  <c r="N1553" i="1"/>
  <c r="N1554" i="1"/>
  <c r="N1555" i="1"/>
  <c r="L1972" i="1"/>
  <c r="N1392" i="1"/>
  <c r="N1394" i="1"/>
  <c r="N1393" i="1"/>
  <c r="N1053" i="1"/>
  <c r="N1251" i="1"/>
  <c r="N1252" i="1"/>
  <c r="N1253" i="1"/>
  <c r="N1254" i="1"/>
  <c r="N1480" i="1"/>
  <c r="N1479" i="1"/>
  <c r="N1478" i="1"/>
  <c r="N1481" i="1"/>
  <c r="N1482" i="1"/>
  <c r="N765" i="1"/>
  <c r="N766" i="1"/>
  <c r="N764" i="1"/>
  <c r="N763" i="1"/>
  <c r="N759" i="1"/>
  <c r="N760" i="1"/>
  <c r="N761" i="1"/>
  <c r="N757" i="1"/>
  <c r="N758" i="1"/>
  <c r="N762" i="1"/>
  <c r="N2177" i="1"/>
  <c r="N663" i="1"/>
  <c r="O715" i="1"/>
  <c r="L666" i="1"/>
  <c r="S1662" i="1"/>
  <c r="T1662" i="1" s="1"/>
  <c r="T1658" i="1" s="1"/>
  <c r="L1658" i="1"/>
  <c r="S34" i="1"/>
  <c r="T34" i="1" s="1"/>
  <c r="L27" i="1"/>
  <c r="S361" i="1"/>
  <c r="T361" i="1" s="1"/>
  <c r="T293" i="1" s="1"/>
  <c r="L293" i="1"/>
  <c r="O1354" i="1"/>
  <c r="L1324" i="1"/>
  <c r="N796" i="1"/>
  <c r="N2347" i="1"/>
  <c r="N827" i="1"/>
  <c r="N828" i="1"/>
  <c r="N829" i="1"/>
  <c r="N830" i="1"/>
  <c r="N450" i="1"/>
  <c r="N452" i="1"/>
  <c r="N451" i="1"/>
  <c r="N1798" i="1"/>
  <c r="N1799" i="1"/>
  <c r="N1800" i="1"/>
  <c r="N1797" i="1"/>
  <c r="N1796" i="1"/>
  <c r="N2369" i="1"/>
  <c r="N2210" i="1"/>
  <c r="N2208" i="1"/>
  <c r="N2207" i="1"/>
  <c r="N2209" i="1"/>
  <c r="N2134" i="1"/>
  <c r="N2216" i="1"/>
  <c r="N2395" i="1"/>
  <c r="N2396" i="1"/>
  <c r="N2393" i="1"/>
  <c r="N2394" i="1"/>
  <c r="N2391" i="1"/>
  <c r="N2392" i="1"/>
  <c r="N2389" i="1"/>
  <c r="N2390" i="1"/>
  <c r="N537" i="1"/>
  <c r="N2388" i="1"/>
  <c r="N2610" i="1"/>
  <c r="N2611" i="1"/>
  <c r="N2242" i="1"/>
  <c r="N2181" i="1"/>
  <c r="N2747" i="1"/>
  <c r="N1248" i="1"/>
  <c r="N1246" i="1"/>
  <c r="N1249" i="1"/>
  <c r="N1247" i="1"/>
  <c r="N1250" i="1"/>
  <c r="N276" i="1"/>
  <c r="N2538" i="1"/>
  <c r="N756" i="1"/>
  <c r="N755" i="1"/>
  <c r="N24" i="1"/>
  <c r="N1391" i="1"/>
  <c r="N1389" i="1"/>
  <c r="N1390" i="1"/>
  <c r="N910" i="1"/>
  <c r="N1388" i="1"/>
  <c r="N908" i="1"/>
  <c r="N909" i="1"/>
  <c r="N1245" i="1"/>
  <c r="N2606" i="1"/>
  <c r="N2215" i="1"/>
  <c r="N2262" i="1"/>
  <c r="N2154" i="1"/>
  <c r="N1697" i="1"/>
  <c r="N536" i="1"/>
  <c r="N1696" i="1"/>
  <c r="N2726" i="1"/>
  <c r="N2746" i="1"/>
  <c r="N2761" i="1"/>
  <c r="N2760" i="1"/>
  <c r="N2754" i="1"/>
  <c r="N2753" i="1"/>
  <c r="N657" i="1"/>
  <c r="N2368" i="1"/>
  <c r="N1583" i="1"/>
  <c r="N1584" i="1"/>
  <c r="N826" i="1"/>
  <c r="N2176" i="1"/>
  <c r="N839" i="1"/>
  <c r="N1454" i="1"/>
  <c r="L2290" i="1"/>
  <c r="O2291" i="1"/>
  <c r="S2292" i="1"/>
  <c r="T2292" i="1" s="1"/>
  <c r="N1695" i="1"/>
  <c r="N2514" i="1"/>
  <c r="N1860" i="1"/>
  <c r="N1634" i="1"/>
  <c r="N1633" i="1"/>
  <c r="N2608" i="1"/>
  <c r="N2609" i="1"/>
  <c r="N2607" i="1"/>
  <c r="N291" i="1"/>
  <c r="N658" i="1"/>
  <c r="N656" i="1"/>
  <c r="N655" i="1"/>
  <c r="N2758" i="1"/>
  <c r="N2759" i="1"/>
  <c r="N2762" i="1"/>
  <c r="N2745" i="1"/>
  <c r="N2241" i="1"/>
  <c r="N2725" i="1"/>
  <c r="N1453" i="1"/>
  <c r="N2113" i="1"/>
  <c r="N1321" i="1"/>
  <c r="N1823" i="1"/>
  <c r="N1822" i="1"/>
  <c r="N2153" i="1"/>
  <c r="N1694" i="1"/>
  <c r="N1693" i="1"/>
  <c r="N1880" i="1"/>
  <c r="N1882" i="1"/>
  <c r="N1881" i="1"/>
  <c r="G1842" i="3"/>
  <c r="N2367" i="1"/>
  <c r="N1793" i="1"/>
  <c r="N1792" i="1"/>
  <c r="N1794" i="1"/>
  <c r="N1795" i="1"/>
  <c r="N1791" i="1"/>
  <c r="N2035" i="1"/>
  <c r="N2036" i="1"/>
  <c r="N2037" i="1"/>
  <c r="N2038" i="1"/>
  <c r="N2039" i="1"/>
  <c r="N2040" i="1"/>
  <c r="N2041" i="1"/>
  <c r="N2217" i="1"/>
  <c r="S1901" i="1"/>
  <c r="S1898" i="1" s="1"/>
  <c r="L1898" i="1"/>
  <c r="S2187" i="1"/>
  <c r="V2187" i="1" s="1"/>
  <c r="T1899" i="1"/>
  <c r="N1821" i="1"/>
  <c r="N2175" i="1"/>
  <c r="N2214" i="1"/>
  <c r="N23" i="1"/>
  <c r="N1387" i="1"/>
  <c r="N939" i="1"/>
  <c r="N1820" i="1"/>
  <c r="N838" i="1"/>
  <c r="N1879" i="1"/>
  <c r="T918" i="1"/>
  <c r="T2500" i="1"/>
  <c r="S1265" i="1"/>
  <c r="V1265" i="1" s="1"/>
  <c r="T2481" i="1"/>
  <c r="T2520" i="1"/>
  <c r="S12" i="1"/>
  <c r="T636" i="1"/>
  <c r="S636" i="1"/>
  <c r="T2476" i="1"/>
  <c r="T2475" i="1" s="1"/>
  <c r="S2475" i="1"/>
  <c r="V2475" i="1" s="1"/>
  <c r="S2495" i="1"/>
  <c r="V2495" i="1" s="1"/>
  <c r="T1069" i="1"/>
  <c r="T784" i="1"/>
  <c r="S927" i="1"/>
  <c r="V927" i="1" s="1"/>
  <c r="N2240" i="1"/>
  <c r="N632" i="1"/>
  <c r="N633" i="1"/>
  <c r="N1832" i="1"/>
  <c r="N1433" i="1"/>
  <c r="N1437" i="1"/>
  <c r="N1692" i="1"/>
  <c r="L3062" i="1"/>
  <c r="N2669" i="1"/>
  <c r="N1691" i="1"/>
  <c r="N1320" i="1"/>
  <c r="N2152" i="1"/>
  <c r="N2366" i="1"/>
  <c r="N1790" i="1"/>
  <c r="N1789" i="1"/>
  <c r="N2174" i="1"/>
  <c r="N938" i="1"/>
  <c r="N1452" i="1"/>
  <c r="N1939" i="1"/>
  <c r="N2239" i="1"/>
  <c r="N2151" i="1"/>
  <c r="N1420" i="1"/>
  <c r="N2365" i="1"/>
  <c r="N1690" i="1"/>
  <c r="N1786" i="1"/>
  <c r="N1787" i="1"/>
  <c r="N1784" i="1"/>
  <c r="N1785" i="1"/>
  <c r="N1788" i="1"/>
  <c r="N2346" i="1"/>
  <c r="N1819" i="1"/>
  <c r="N2173" i="1"/>
  <c r="N1316" i="1"/>
  <c r="N1317" i="1"/>
  <c r="N1318" i="1"/>
  <c r="N1319" i="1"/>
  <c r="N1315" i="1"/>
  <c r="N2205" i="1"/>
  <c r="N2206" i="1"/>
  <c r="N2573" i="1"/>
  <c r="N947" i="1"/>
  <c r="N945" i="1"/>
  <c r="N946" i="1"/>
  <c r="N1687" i="1"/>
  <c r="N1689" i="1"/>
  <c r="N1688" i="1"/>
  <c r="N1686" i="1"/>
  <c r="N1435" i="1"/>
  <c r="N1436" i="1"/>
  <c r="N1434" i="1"/>
  <c r="N644" i="1"/>
  <c r="N652" i="1"/>
  <c r="N2513" i="1"/>
  <c r="N651" i="1"/>
  <c r="N837" i="1"/>
  <c r="N2238" i="1"/>
  <c r="N1314" i="1"/>
  <c r="N1313" i="1"/>
  <c r="N2364" i="1"/>
  <c r="N2345" i="1"/>
  <c r="N631" i="1"/>
  <c r="N535" i="1"/>
  <c r="N2344" i="1"/>
  <c r="N2492" i="1"/>
  <c r="N2343" i="1"/>
  <c r="N2342" i="1"/>
  <c r="N2150" i="1"/>
  <c r="N534" i="1"/>
  <c r="N2572" i="1"/>
  <c r="N2146" i="1"/>
  <c r="N1684" i="1"/>
  <c r="N1685" i="1"/>
  <c r="N1683" i="1"/>
  <c r="N1783" i="1"/>
  <c r="N907" i="1"/>
  <c r="N1781" i="1"/>
  <c r="N1782" i="1"/>
  <c r="N532" i="1"/>
  <c r="N533" i="1"/>
  <c r="N1451" i="1"/>
  <c r="N531" i="1"/>
  <c r="N2172" i="1"/>
  <c r="N836" i="1"/>
  <c r="N937" i="1"/>
  <c r="N1067" i="1"/>
  <c r="N1891" i="1"/>
  <c r="N1892" i="1"/>
  <c r="N2412" i="1"/>
  <c r="N2779" i="1"/>
  <c r="N1419" i="1"/>
  <c r="N1312" i="1"/>
  <c r="N529" i="1"/>
  <c r="N530" i="1"/>
  <c r="N528" i="1"/>
  <c r="N527" i="1"/>
  <c r="N951" i="1"/>
  <c r="N526" i="1"/>
  <c r="N950" i="1"/>
  <c r="O2441" i="1"/>
  <c r="S2441" i="1"/>
  <c r="T2441" i="1" s="1"/>
  <c r="N1418" i="1"/>
  <c r="N2236" i="1"/>
  <c r="N2237" i="1"/>
  <c r="N2341" i="1"/>
  <c r="N2363" i="1"/>
  <c r="N2149" i="1"/>
  <c r="N1450" i="1"/>
  <c r="N1778" i="1"/>
  <c r="N1779" i="1"/>
  <c r="N1777" i="1"/>
  <c r="N1780" i="1"/>
  <c r="N630" i="1"/>
  <c r="N2171" i="1"/>
  <c r="N902" i="1"/>
  <c r="N905" i="1"/>
  <c r="N904" i="1"/>
  <c r="N903" i="1"/>
  <c r="N906" i="1"/>
  <c r="N2112" i="1"/>
  <c r="N2111" i="1"/>
  <c r="N2110" i="1"/>
  <c r="N2109" i="1"/>
  <c r="N835" i="1"/>
  <c r="N1311" i="1"/>
  <c r="N1310" i="1"/>
  <c r="N2107" i="1"/>
  <c r="N2108" i="1"/>
  <c r="N2105" i="1"/>
  <c r="N2106" i="1"/>
  <c r="N2340" i="1"/>
  <c r="N2104" i="1"/>
  <c r="N2338" i="1"/>
  <c r="N2339" i="1"/>
  <c r="N2336" i="1"/>
  <c r="N2337" i="1"/>
  <c r="N936" i="1"/>
  <c r="N2571" i="1"/>
  <c r="S2735" i="1"/>
  <c r="T2735" i="1" s="1"/>
  <c r="S2736" i="1"/>
  <c r="T2736" i="1" s="1"/>
  <c r="N10" i="1"/>
  <c r="N2491" i="1"/>
  <c r="N2570" i="1"/>
  <c r="N2148" i="1"/>
  <c r="N2335" i="1"/>
  <c r="N1776" i="1"/>
  <c r="N1775" i="1"/>
  <c r="N664" i="1"/>
  <c r="S501" i="1"/>
  <c r="T501" i="1" s="1"/>
  <c r="N2362" i="1"/>
  <c r="N2102" i="1"/>
  <c r="N2103" i="1"/>
  <c r="N2569" i="1"/>
  <c r="N899" i="1"/>
  <c r="N900" i="1"/>
  <c r="N901" i="1"/>
  <c r="N1417" i="1"/>
  <c r="N2334" i="1"/>
  <c r="N1432" i="1"/>
  <c r="N2568" i="1"/>
  <c r="N2101" i="1"/>
  <c r="N2099" i="1"/>
  <c r="N2100" i="1"/>
  <c r="N2098" i="1"/>
  <c r="L1080" i="1"/>
  <c r="N935" i="1"/>
  <c r="N2333" i="1"/>
  <c r="N2235" i="1"/>
  <c r="N2147" i="1"/>
  <c r="N2332" i="1"/>
  <c r="N1416" i="1"/>
  <c r="N920" i="1"/>
  <c r="N1431" i="1"/>
  <c r="N457" i="1"/>
  <c r="N898" i="1"/>
  <c r="S76" i="1"/>
  <c r="T76" i="1" s="1"/>
  <c r="N2361" i="1"/>
  <c r="N1771" i="1"/>
  <c r="N1774" i="1"/>
  <c r="N1769" i="1"/>
  <c r="N1772" i="1"/>
  <c r="N1773" i="1"/>
  <c r="N1768" i="1"/>
  <c r="N1770" i="1"/>
  <c r="N1959" i="1"/>
  <c r="N2092" i="1"/>
  <c r="N2093" i="1"/>
  <c r="N2095" i="1"/>
  <c r="N2096" i="1"/>
  <c r="N2094" i="1"/>
  <c r="N2097" i="1"/>
  <c r="N1097" i="1"/>
  <c r="N2490" i="1"/>
  <c r="N2331" i="1"/>
  <c r="N1430" i="1"/>
  <c r="O2562" i="1"/>
  <c r="N2087" i="1"/>
  <c r="N2088" i="1"/>
  <c r="N2091" i="1"/>
  <c r="N2089" i="1"/>
  <c r="N2090" i="1"/>
  <c r="N2085" i="1"/>
  <c r="N2086" i="1"/>
  <c r="N2076" i="1"/>
  <c r="N2077" i="1"/>
  <c r="N2078" i="1"/>
  <c r="N2079" i="1"/>
  <c r="N2080" i="1"/>
  <c r="N2081" i="1"/>
  <c r="N2082" i="1"/>
  <c r="N2083" i="1"/>
  <c r="N2084" i="1"/>
  <c r="N2234" i="1"/>
  <c r="N2074" i="1"/>
  <c r="N2069" i="1"/>
  <c r="N2072" i="1"/>
  <c r="N2075" i="1"/>
  <c r="N2070" i="1"/>
  <c r="N2073" i="1"/>
  <c r="N2068" i="1"/>
  <c r="N2071" i="1"/>
  <c r="N2386" i="1"/>
  <c r="N2387" i="1"/>
  <c r="N933" i="1"/>
  <c r="N934" i="1"/>
  <c r="N2330" i="1"/>
  <c r="N1429" i="1"/>
  <c r="N2454" i="1"/>
  <c r="N2461" i="1"/>
  <c r="N2459" i="1"/>
  <c r="N2457" i="1"/>
  <c r="N2452" i="1"/>
  <c r="N2460" i="1"/>
  <c r="N2458" i="1"/>
  <c r="N2453" i="1"/>
  <c r="N2456" i="1"/>
  <c r="N2455" i="1"/>
  <c r="T13" i="1"/>
  <c r="N1096" i="1"/>
  <c r="N2360" i="1"/>
  <c r="N1765" i="1"/>
  <c r="N1767" i="1"/>
  <c r="N1764" i="1"/>
  <c r="N1766" i="1"/>
  <c r="N2329" i="1"/>
  <c r="N1415" i="1"/>
  <c r="T2182" i="1"/>
  <c r="T2180" i="1" s="1"/>
  <c r="T2272" i="1"/>
  <c r="S541" i="1"/>
  <c r="V541" i="1" s="1"/>
  <c r="W541" i="1" s="1"/>
  <c r="S2626" i="1"/>
  <c r="V2626" i="1" s="1"/>
  <c r="W2626" i="1" s="1"/>
  <c r="T2901" i="1"/>
  <c r="V2399" i="1"/>
  <c r="W2399" i="1" s="1"/>
  <c r="T2274" i="1"/>
  <c r="T2734" i="1"/>
  <c r="S479" i="1"/>
  <c r="T479" i="1" s="1"/>
  <c r="S3068" i="1"/>
  <c r="V3068" i="1" s="1"/>
  <c r="O33" i="1"/>
  <c r="O484" i="1"/>
  <c r="S2553" i="1"/>
  <c r="T2553" i="1" s="1"/>
  <c r="S2834" i="1"/>
  <c r="V2834" i="1" s="1"/>
  <c r="V2180" i="1"/>
  <c r="L2865" i="1"/>
  <c r="L145" i="1"/>
  <c r="O361" i="1"/>
  <c r="S3046" i="1"/>
  <c r="V3046" i="1" s="1"/>
  <c r="S1834" i="1"/>
  <c r="V1834" i="1" s="1"/>
  <c r="L2266" i="1"/>
  <c r="S2551" i="1"/>
  <c r="T2551" i="1" s="1"/>
  <c r="S2646" i="1"/>
  <c r="V2646" i="1" s="1"/>
  <c r="S52" i="1"/>
  <c r="T52" i="1" s="1"/>
  <c r="S2643" i="1"/>
  <c r="V2643" i="1" s="1"/>
  <c r="W2643" i="1" s="1"/>
  <c r="L2827" i="1"/>
  <c r="L2673" i="1"/>
  <c r="S3064" i="1"/>
  <c r="T2446" i="1"/>
  <c r="S3016" i="1"/>
  <c r="V3016" i="1" s="1"/>
  <c r="S549" i="1"/>
  <c r="V549" i="1" s="1"/>
  <c r="T549" i="1"/>
  <c r="O475" i="1"/>
  <c r="S483" i="1"/>
  <c r="T483" i="1" s="1"/>
  <c r="S142" i="1"/>
  <c r="V142" i="1" s="1"/>
  <c r="T143" i="1"/>
  <c r="T142" i="1" s="1"/>
  <c r="S784" i="1"/>
  <c r="V784" i="1" s="1"/>
  <c r="S619" i="1"/>
  <c r="V619" i="1" s="1"/>
  <c r="S1803" i="1"/>
  <c r="V1803" i="1" s="1"/>
  <c r="T2518" i="1"/>
  <c r="T2517" i="1" s="1"/>
  <c r="T2222" i="1"/>
  <c r="T2221" i="1" s="1"/>
  <c r="S2221" i="1"/>
  <c r="V2221" i="1" s="1"/>
  <c r="L2730" i="1"/>
  <c r="S918" i="1"/>
  <c r="V918" i="1" s="1"/>
  <c r="T1090" i="1"/>
  <c r="T1080" i="1" s="1"/>
  <c r="S1440" i="1"/>
  <c r="V1440" i="1" s="1"/>
  <c r="S2675" i="1"/>
  <c r="S2731" i="1"/>
  <c r="T2731" i="1" s="1"/>
  <c r="S544" i="1"/>
  <c r="V544" i="1" s="1"/>
  <c r="T1895" i="1"/>
  <c r="T1894" i="1" s="1"/>
  <c r="T2158" i="1"/>
  <c r="S2184" i="1"/>
  <c r="V2184" i="1" s="1"/>
  <c r="T2185" i="1"/>
  <c r="T2184" i="1" s="1"/>
  <c r="T2277" i="1"/>
  <c r="V610" i="1"/>
  <c r="S614" i="1"/>
  <c r="V614" i="1" s="1"/>
  <c r="T923" i="1"/>
  <c r="S1943" i="1"/>
  <c r="S1942" i="1" s="1"/>
  <c r="L1942" i="1"/>
  <c r="S2926" i="1"/>
  <c r="V2926" i="1" s="1"/>
  <c r="T2927" i="1"/>
  <c r="T2926" i="1" s="1"/>
  <c r="S484" i="1"/>
  <c r="T484" i="1" s="1"/>
  <c r="T611" i="1"/>
  <c r="T610" i="1" s="1"/>
  <c r="S770" i="1"/>
  <c r="V770" i="1" s="1"/>
  <c r="S781" i="1"/>
  <c r="T781" i="1" s="1"/>
  <c r="S833" i="1"/>
  <c r="V833" i="1" s="1"/>
  <c r="T1637" i="1"/>
  <c r="S2897" i="1"/>
  <c r="V2897" i="1" s="1"/>
  <c r="T2900" i="1"/>
  <c r="T2986" i="1"/>
  <c r="T3033" i="1"/>
  <c r="T3031" i="1" s="1"/>
  <c r="S3031" i="1"/>
  <c r="V3031" i="1" s="1"/>
  <c r="T834" i="1"/>
  <c r="T833" i="1" s="1"/>
  <c r="S923" i="1"/>
  <c r="V923" i="1" s="1"/>
  <c r="V1885" i="1"/>
  <c r="W1885" i="1" s="1"/>
  <c r="V1894" i="1"/>
  <c r="S2554" i="1"/>
  <c r="T2554" i="1" s="1"/>
  <c r="O2553" i="1"/>
  <c r="T2815" i="1"/>
  <c r="T2811" i="1" s="1"/>
  <c r="S2811" i="1"/>
  <c r="V2811" i="1" s="1"/>
  <c r="T2973" i="1"/>
  <c r="T2971" i="1" s="1"/>
  <c r="S2971" i="1"/>
  <c r="V2971" i="1" s="1"/>
  <c r="T1959" i="1"/>
  <c r="T1951" i="1" s="1"/>
  <c r="S1962" i="1"/>
  <c r="T2273" i="1"/>
  <c r="T2562" i="1"/>
  <c r="S2956" i="1"/>
  <c r="V2956" i="1" s="1"/>
  <c r="V2517" i="1"/>
  <c r="S2542" i="1"/>
  <c r="V2542" i="1" s="1"/>
  <c r="T2646" i="1"/>
  <c r="T2733" i="1"/>
  <c r="T2442" i="1"/>
  <c r="T2543" i="1"/>
  <c r="T2542" i="1" s="1"/>
  <c r="T2559" i="1"/>
  <c r="S2690" i="1"/>
  <c r="V2690" i="1" s="1"/>
  <c r="S2277" i="1"/>
  <c r="V2277" i="1" s="1"/>
  <c r="S2350" i="1"/>
  <c r="V2350" i="1" s="1"/>
  <c r="T2563" i="1"/>
  <c r="L2764" i="1"/>
  <c r="S2781" i="1"/>
  <c r="V2781" i="1" s="1"/>
  <c r="S2986" i="1"/>
  <c r="V2986" i="1" s="1"/>
  <c r="T3047" i="1"/>
  <c r="T3046" i="1" s="1"/>
  <c r="S2137" i="1"/>
  <c r="V2137" i="1" s="1"/>
  <c r="S2911" i="1"/>
  <c r="V2911" i="1" s="1"/>
  <c r="T3068" i="1"/>
  <c r="S2829" i="1"/>
  <c r="V2829" i="1" s="1"/>
  <c r="T15" i="1"/>
  <c r="O146" i="1"/>
  <c r="S51" i="1"/>
  <c r="S37" i="1"/>
  <c r="T37" i="1" s="1"/>
  <c r="S146" i="1"/>
  <c r="T146" i="1" s="1"/>
  <c r="T145" i="1" s="1"/>
  <c r="T615" i="1"/>
  <c r="T614" i="1" s="1"/>
  <c r="T770" i="1"/>
  <c r="S780" i="1"/>
  <c r="S1826" i="1"/>
  <c r="V1826" i="1" s="1"/>
  <c r="T1827" i="1"/>
  <c r="T1826" i="1" s="1"/>
  <c r="L459" i="1"/>
  <c r="L773" i="1"/>
  <c r="S1069" i="1"/>
  <c r="V1069" i="1" s="1"/>
  <c r="T1655" i="1"/>
  <c r="T1654" i="1" s="1"/>
  <c r="S1654" i="1"/>
  <c r="V1654" i="1" s="1"/>
  <c r="S842" i="1"/>
  <c r="S1397" i="1"/>
  <c r="V1397" i="1" s="1"/>
  <c r="T1650" i="1"/>
  <c r="S1650" i="1"/>
  <c r="V1650" i="1" s="1"/>
  <c r="T1834" i="1"/>
  <c r="T1424" i="1"/>
  <c r="T1423" i="1" s="1"/>
  <c r="S1423" i="1"/>
  <c r="V1423" i="1" s="1"/>
  <c r="T2350" i="1"/>
  <c r="S488" i="1"/>
  <c r="T488" i="1" s="1"/>
  <c r="T545" i="1"/>
  <c r="T544" i="1" s="1"/>
  <c r="S715" i="1"/>
  <c r="S666" i="1" s="1"/>
  <c r="S1080" i="1"/>
  <c r="S1100" i="1"/>
  <c r="V1100" i="1" s="1"/>
  <c r="T1101" i="1"/>
  <c r="T1100" i="1" s="1"/>
  <c r="S1458" i="1"/>
  <c r="V1458" i="1" s="1"/>
  <c r="S953" i="1"/>
  <c r="V953" i="1" s="1"/>
  <c r="S799" i="1"/>
  <c r="V799" i="1" s="1"/>
  <c r="S1587" i="1"/>
  <c r="V1587" i="1" s="1"/>
  <c r="S2245" i="1"/>
  <c r="V2245" i="1" s="1"/>
  <c r="T2245" i="1"/>
  <c r="S1637" i="1"/>
  <c r="V1637" i="1" s="1"/>
  <c r="S1864" i="1"/>
  <c r="V1864" i="1" s="1"/>
  <c r="S2116" i="1"/>
  <c r="V2116" i="1" s="1"/>
  <c r="T2116" i="1"/>
  <c r="T1558" i="1"/>
  <c r="S1700" i="1"/>
  <c r="T1910" i="1"/>
  <c r="S1907" i="1"/>
  <c r="V1907" i="1" s="1"/>
  <c r="S1974" i="1"/>
  <c r="S1355" i="1"/>
  <c r="T1355" i="1" s="1"/>
  <c r="T1324" i="1" s="1"/>
  <c r="S1854" i="1"/>
  <c r="V1854" i="1" s="1"/>
  <c r="S2414" i="1"/>
  <c r="T2415" i="1"/>
  <c r="T2414" i="1" s="1"/>
  <c r="T3075" i="1"/>
  <c r="S1558" i="1"/>
  <c r="V1558" i="1" s="1"/>
  <c r="T1587" i="1"/>
  <c r="T1856" i="1"/>
  <c r="T1854" i="1" s="1"/>
  <c r="S2158" i="1"/>
  <c r="V2158" i="1" s="1"/>
  <c r="T2829" i="1"/>
  <c r="S2372" i="1"/>
  <c r="V2372" i="1" s="1"/>
  <c r="L2437" i="1"/>
  <c r="T2436" i="1"/>
  <c r="S2224" i="1"/>
  <c r="V2224" i="1" s="1"/>
  <c r="T2224" i="1"/>
  <c r="L1962" i="1"/>
  <c r="T1965" i="1"/>
  <c r="T1962" i="1" s="1"/>
  <c r="S2266" i="1"/>
  <c r="S2420" i="1"/>
  <c r="V2420" i="1" s="1"/>
  <c r="T2423" i="1"/>
  <c r="T2420" i="1" s="1"/>
  <c r="S2616" i="1"/>
  <c r="V2616" i="1" s="1"/>
  <c r="T2619" i="1"/>
  <c r="T2616" i="1" s="1"/>
  <c r="T2652" i="1"/>
  <c r="S2652" i="1"/>
  <c r="V2652" i="1" s="1"/>
  <c r="T2187" i="1"/>
  <c r="T2850" i="1"/>
  <c r="T2849" i="1" s="1"/>
  <c r="S2849" i="1"/>
  <c r="S1951" i="1"/>
  <c r="V1951" i="1" s="1"/>
  <c r="T2139" i="1"/>
  <c r="T2137" i="1" s="1"/>
  <c r="T2268" i="1"/>
  <c r="T2372" i="1"/>
  <c r="S3001" i="1"/>
  <c r="V3001" i="1" s="1"/>
  <c r="T2496" i="1"/>
  <c r="T2495" i="1" s="1"/>
  <c r="T2954" i="1"/>
  <c r="T2941" i="1" s="1"/>
  <c r="S2941" i="1"/>
  <c r="V2941" i="1" s="1"/>
  <c r="T2956" i="1"/>
  <c r="T3016" i="1"/>
  <c r="T2291" i="1"/>
  <c r="T2290" i="1" s="1"/>
  <c r="S2500" i="1"/>
  <c r="V2500" i="1" s="1"/>
  <c r="S2481" i="1"/>
  <c r="V2481" i="1" s="1"/>
  <c r="T2630" i="1"/>
  <c r="S2630" i="1"/>
  <c r="V2630" i="1" s="1"/>
  <c r="T2690" i="1"/>
  <c r="T2867" i="1"/>
  <c r="S2882" i="1"/>
  <c r="V2882" i="1" s="1"/>
  <c r="L2465" i="1"/>
  <c r="S2472" i="1"/>
  <c r="T2472" i="1" s="1"/>
  <c r="S2520" i="1"/>
  <c r="V2520" i="1" s="1"/>
  <c r="S2558" i="1"/>
  <c r="S2867" i="1"/>
  <c r="V2867" i="1" s="1"/>
  <c r="L2909" i="1"/>
  <c r="T2585" i="1"/>
  <c r="T2576" i="1" s="1"/>
  <c r="S2576" i="1"/>
  <c r="V2576" i="1" s="1"/>
  <c r="T2797" i="1"/>
  <c r="T2796" i="1" s="1"/>
  <c r="S2796" i="1"/>
  <c r="V2796" i="1" s="1"/>
  <c r="T2912" i="1"/>
  <c r="T2911" i="1" s="1"/>
  <c r="T3002" i="1"/>
  <c r="T3001" i="1" s="1"/>
  <c r="T3065" i="1"/>
  <c r="T3064" i="1" s="1"/>
  <c r="S2709" i="1"/>
  <c r="T2782" i="1"/>
  <c r="T2781" i="1" s="1"/>
  <c r="T2835" i="1"/>
  <c r="T2834" i="1" s="1"/>
  <c r="S2470" i="1"/>
  <c r="T2470" i="1" s="1"/>
  <c r="T2676" i="1"/>
  <c r="T2675" i="1" s="1"/>
  <c r="T2883" i="1"/>
  <c r="T2882" i="1" s="1"/>
  <c r="S2561" i="1"/>
  <c r="T2561" i="1" s="1"/>
  <c r="L2550" i="1"/>
  <c r="S1109" i="1"/>
  <c r="V1109" i="1" s="1"/>
  <c r="T494" i="1"/>
  <c r="N140" i="1"/>
  <c r="N25" i="1"/>
  <c r="N831" i="1"/>
  <c r="N1635" i="1"/>
  <c r="N932" i="1"/>
  <c r="N2984" i="1"/>
  <c r="N3059" i="1"/>
  <c r="N2862" i="1"/>
  <c r="N2624" i="1"/>
  <c r="N2348" i="1"/>
  <c r="N2327" i="1"/>
  <c r="N2325" i="1"/>
  <c r="N2323" i="1"/>
  <c r="N2321" i="1"/>
  <c r="N2319" i="1"/>
  <c r="N2317" i="1"/>
  <c r="N2315" i="1"/>
  <c r="N2313" i="1"/>
  <c r="N2311" i="1"/>
  <c r="N2288" i="1"/>
  <c r="N2286" i="1"/>
  <c r="N2284" i="1"/>
  <c r="N2282" i="1"/>
  <c r="N2272" i="1"/>
  <c r="N1970" i="1"/>
  <c r="N1967" i="1"/>
  <c r="N1852" i="1"/>
  <c r="N1763" i="1"/>
  <c r="N1761" i="1"/>
  <c r="N1759" i="1"/>
  <c r="N1756" i="1"/>
  <c r="N1752" i="1"/>
  <c r="N1751" i="1"/>
  <c r="N1749" i="1"/>
  <c r="N1456" i="1"/>
  <c r="N1098" i="1"/>
  <c r="N1094" i="1"/>
  <c r="N1092" i="1"/>
  <c r="N1090" i="1"/>
  <c r="N3066" i="1"/>
  <c r="N3014" i="1"/>
  <c r="N2880" i="1"/>
  <c r="N2518" i="1"/>
  <c r="N2479" i="1"/>
  <c r="N2359" i="1"/>
  <c r="N2243" i="1"/>
  <c r="N2222" i="1"/>
  <c r="N2182" i="1"/>
  <c r="N1896" i="1"/>
  <c r="N1883" i="1"/>
  <c r="N1421" i="1"/>
  <c r="N1413" i="1"/>
  <c r="N1411" i="1"/>
  <c r="N1078" i="1"/>
  <c r="N768" i="1"/>
  <c r="N542" i="1"/>
  <c r="N3070" i="1"/>
  <c r="N2969" i="1"/>
  <c r="N2906" i="1"/>
  <c r="N2895" i="1"/>
  <c r="N2728" i="1"/>
  <c r="N2705" i="1"/>
  <c r="N2628" i="1"/>
  <c r="N2614" i="1"/>
  <c r="N2548" i="1"/>
  <c r="N2397" i="1"/>
  <c r="N2275" i="1"/>
  <c r="N2145" i="1"/>
  <c r="N2114" i="1"/>
  <c r="N2066" i="1"/>
  <c r="N2064" i="1"/>
  <c r="N2062" i="1"/>
  <c r="N2060" i="1"/>
  <c r="N2058" i="1"/>
  <c r="N2056" i="1"/>
  <c r="N2054" i="1"/>
  <c r="N2052" i="1"/>
  <c r="N2050" i="1"/>
  <c r="N2048" i="1"/>
  <c r="N2046" i="1"/>
  <c r="N2044" i="1"/>
  <c r="N2042" i="1"/>
  <c r="N2033" i="1"/>
  <c r="N2031" i="1"/>
  <c r="N2029" i="1"/>
  <c r="N2027" i="1"/>
  <c r="N2025" i="1"/>
  <c r="N2023" i="1"/>
  <c r="N3044" i="1"/>
  <c r="N2999" i="1"/>
  <c r="N2939" i="1"/>
  <c r="N2809" i="1"/>
  <c r="N2665" i="1"/>
  <c r="N2515" i="1"/>
  <c r="N2328" i="1"/>
  <c r="N2326" i="1"/>
  <c r="N2324" i="1"/>
  <c r="N2322" i="1"/>
  <c r="N2320" i="1"/>
  <c r="N2318" i="1"/>
  <c r="N2316" i="1"/>
  <c r="N2314" i="1"/>
  <c r="N2312" i="1"/>
  <c r="N2287" i="1"/>
  <c r="N2285" i="1"/>
  <c r="N2283" i="1"/>
  <c r="N2211" i="1"/>
  <c r="N1969" i="1"/>
  <c r="N1960" i="1"/>
  <c r="N1940" i="1"/>
  <c r="N1905" i="1"/>
  <c r="N1801" i="1"/>
  <c r="N1757" i="1"/>
  <c r="N1762" i="1"/>
  <c r="N1758" i="1"/>
  <c r="N1755" i="1"/>
  <c r="N1754" i="1"/>
  <c r="N1753" i="1"/>
  <c r="N1750" i="1"/>
  <c r="N1263" i="1"/>
  <c r="N1095" i="1"/>
  <c r="N1093" i="1"/>
  <c r="N1091" i="1"/>
  <c r="N1063" i="1"/>
  <c r="N921" i="1"/>
  <c r="N840" i="1"/>
  <c r="N782" i="1"/>
  <c r="N539" i="1"/>
  <c r="N2954" i="1"/>
  <c r="N2824" i="1"/>
  <c r="N2748" i="1"/>
  <c r="N2574" i="1"/>
  <c r="N2473" i="1"/>
  <c r="N2370" i="1"/>
  <c r="N2358" i="1"/>
  <c r="N2271" i="1"/>
  <c r="N2264" i="1"/>
  <c r="N1949" i="1"/>
  <c r="N1895" i="1"/>
  <c r="N1556" i="1"/>
  <c r="N1414" i="1"/>
  <c r="N1412" i="1"/>
  <c r="N1410" i="1"/>
  <c r="N1395" i="1"/>
  <c r="N617" i="1"/>
  <c r="N612" i="1"/>
  <c r="N3029" i="1"/>
  <c r="N2832" i="1"/>
  <c r="N2755" i="1"/>
  <c r="N2641" i="1"/>
  <c r="N2498" i="1"/>
  <c r="N2493" i="1"/>
  <c r="N2423" i="1"/>
  <c r="N2274" i="1"/>
  <c r="N2185" i="1"/>
  <c r="N2156" i="1"/>
  <c r="N2067" i="1"/>
  <c r="N2065" i="1"/>
  <c r="N2063" i="1"/>
  <c r="N2061" i="1"/>
  <c r="N2059" i="1"/>
  <c r="N2057" i="1"/>
  <c r="N2055" i="1"/>
  <c r="N2053" i="1"/>
  <c r="N2051" i="1"/>
  <c r="N2049" i="1"/>
  <c r="N2047" i="1"/>
  <c r="N2045" i="1"/>
  <c r="N2043" i="1"/>
  <c r="N2034" i="1"/>
  <c r="N2032" i="1"/>
  <c r="N2030" i="1"/>
  <c r="N2028" i="1"/>
  <c r="N2026" i="1"/>
  <c r="N2024" i="1"/>
  <c r="N2022" i="1"/>
  <c r="N1886" i="1"/>
  <c r="N1828" i="1"/>
  <c r="N608" i="1"/>
  <c r="N916" i="1"/>
  <c r="N1107" i="1"/>
  <c r="N925" i="1"/>
  <c r="N1427" i="1"/>
  <c r="N1438" i="1"/>
  <c r="N2418" i="1"/>
  <c r="N2688" i="1"/>
  <c r="N547" i="1"/>
  <c r="N1824" i="1"/>
  <c r="N143" i="1"/>
  <c r="N1322" i="1"/>
  <c r="N1862" i="1"/>
  <c r="N2794" i="1"/>
  <c r="N634" i="1"/>
  <c r="N771" i="1"/>
  <c r="N797" i="1"/>
  <c r="N942" i="1"/>
  <c r="N1656" i="1"/>
  <c r="N2847" i="1"/>
  <c r="N2924" i="1"/>
  <c r="N1426" i="1"/>
  <c r="N1428" i="1"/>
  <c r="N1483" i="1"/>
  <c r="N1585" i="1"/>
  <c r="N1698" i="1"/>
  <c r="N2135" i="1"/>
  <c r="N2273" i="1"/>
  <c r="N2540" i="1"/>
  <c r="N2644" i="1"/>
  <c r="T459" i="1" l="1"/>
  <c r="L3" i="1"/>
  <c r="T12" i="1"/>
  <c r="S1658" i="1"/>
  <c r="S293" i="1"/>
  <c r="V293" i="1" s="1"/>
  <c r="W293" i="1" s="1"/>
  <c r="L2219" i="1"/>
  <c r="S2290" i="1"/>
  <c r="V2290" i="1" s="1"/>
  <c r="V2709" i="1"/>
  <c r="L2757" i="1"/>
  <c r="T1901" i="1"/>
  <c r="T1898" i="1" s="1"/>
  <c r="T1972" i="1"/>
  <c r="V1974" i="1"/>
  <c r="W1974" i="1" s="1"/>
  <c r="S1972" i="1"/>
  <c r="V1972" i="1" s="1"/>
  <c r="W2475" i="1"/>
  <c r="L1888" i="1"/>
  <c r="W610" i="1"/>
  <c r="S1888" i="1"/>
  <c r="V2414" i="1"/>
  <c r="W2414" i="1" s="1"/>
  <c r="V5" i="1"/>
  <c r="S2437" i="1"/>
  <c r="T2437" i="1" s="1"/>
  <c r="O2426" i="1"/>
  <c r="V12" i="1"/>
  <c r="V660" i="1"/>
  <c r="V636" i="1"/>
  <c r="V1080" i="1"/>
  <c r="W1080" i="1" s="1"/>
  <c r="W2882" i="1"/>
  <c r="S2730" i="1"/>
  <c r="V2730" i="1" s="1"/>
  <c r="W2277" i="1"/>
  <c r="S3062" i="1"/>
  <c r="V3062" i="1" s="1"/>
  <c r="V3064" i="1"/>
  <c r="W3064" i="1" s="1"/>
  <c r="W918" i="1"/>
  <c r="W2180" i="1"/>
  <c r="V2266" i="1"/>
  <c r="V1485" i="1"/>
  <c r="W1485" i="1" s="1"/>
  <c r="W2811" i="1"/>
  <c r="W799" i="1"/>
  <c r="W3031" i="1"/>
  <c r="W544" i="1"/>
  <c r="W2986" i="1"/>
  <c r="W2781" i="1"/>
  <c r="W619" i="1"/>
  <c r="W770" i="1"/>
  <c r="W3068" i="1"/>
  <c r="T2897" i="1"/>
  <c r="W2897" i="1" s="1"/>
  <c r="V1658" i="1"/>
  <c r="W2420" i="1"/>
  <c r="W2481" i="1"/>
  <c r="W1803" i="1"/>
  <c r="W2542" i="1"/>
  <c r="S2673" i="1"/>
  <c r="V2673" i="1" s="1"/>
  <c r="W2221" i="1"/>
  <c r="V1898" i="1"/>
  <c r="W1854" i="1"/>
  <c r="V2675" i="1"/>
  <c r="W2675" i="1" s="1"/>
  <c r="W2646" i="1"/>
  <c r="W2926" i="1"/>
  <c r="W2971" i="1"/>
  <c r="S773" i="1"/>
  <c r="V773" i="1" s="1"/>
  <c r="W549" i="1"/>
  <c r="S145" i="1"/>
  <c r="V145" i="1" s="1"/>
  <c r="V842" i="1"/>
  <c r="W842" i="1" s="1"/>
  <c r="W2834" i="1"/>
  <c r="W1637" i="1"/>
  <c r="W1826" i="1"/>
  <c r="T2709" i="1"/>
  <c r="S2827" i="1"/>
  <c r="V2827" i="1" s="1"/>
  <c r="W2616" i="1"/>
  <c r="W3001" i="1"/>
  <c r="W1100" i="1"/>
  <c r="W833" i="1"/>
  <c r="W2158" i="1"/>
  <c r="S459" i="1"/>
  <c r="V459" i="1" s="1"/>
  <c r="W2137" i="1"/>
  <c r="W1265" i="1"/>
  <c r="V2849" i="1"/>
  <c r="W2849" i="1" s="1"/>
  <c r="T2266" i="1"/>
  <c r="V666" i="1"/>
  <c r="W953" i="1"/>
  <c r="W142" i="1"/>
  <c r="W1558" i="1"/>
  <c r="W1654" i="1"/>
  <c r="S27" i="1"/>
  <c r="V27" i="1" s="1"/>
  <c r="T2730" i="1"/>
  <c r="W3016" i="1"/>
  <c r="W1864" i="1"/>
  <c r="W2245" i="1"/>
  <c r="W2517" i="1"/>
  <c r="W784" i="1"/>
  <c r="W2520" i="1"/>
  <c r="W2956" i="1"/>
  <c r="W1440" i="1"/>
  <c r="W1069" i="1"/>
  <c r="W3046" i="1"/>
  <c r="V1942" i="1"/>
  <c r="W2184" i="1"/>
  <c r="W2941" i="1"/>
  <c r="T1907" i="1"/>
  <c r="W1907" i="1" s="1"/>
  <c r="T1943" i="1"/>
  <c r="T1942" i="1" s="1"/>
  <c r="W1423" i="1"/>
  <c r="W1650" i="1"/>
  <c r="W614" i="1"/>
  <c r="W923" i="1"/>
  <c r="W1894" i="1"/>
  <c r="W2576" i="1"/>
  <c r="T2465" i="1"/>
  <c r="W2372" i="1"/>
  <c r="S2909" i="1"/>
  <c r="V2909" i="1" s="1"/>
  <c r="W1397" i="1"/>
  <c r="T51" i="1"/>
  <c r="T27" i="1" s="1"/>
  <c r="W2796" i="1"/>
  <c r="S2465" i="1"/>
  <c r="V2465" i="1" s="1"/>
  <c r="T780" i="1"/>
  <c r="T773" i="1" s="1"/>
  <c r="T2764" i="1"/>
  <c r="T2757" i="1" s="1"/>
  <c r="S2550" i="1"/>
  <c r="V2550" i="1" s="1"/>
  <c r="W2690" i="1"/>
  <c r="W2652" i="1"/>
  <c r="W2829" i="1"/>
  <c r="T2827" i="1"/>
  <c r="W1951" i="1"/>
  <c r="W2116" i="1"/>
  <c r="S1324" i="1"/>
  <c r="W1834" i="1"/>
  <c r="T715" i="1"/>
  <c r="T666" i="1" s="1"/>
  <c r="T3062" i="1"/>
  <c r="S2865" i="1"/>
  <c r="V2865" i="1" s="1"/>
  <c r="T2558" i="1"/>
  <c r="T2550" i="1" s="1"/>
  <c r="W2350" i="1"/>
  <c r="W2630" i="1"/>
  <c r="W2187" i="1"/>
  <c r="V1962" i="1"/>
  <c r="W1962" i="1" s="1"/>
  <c r="W1587" i="1"/>
  <c r="W2911" i="1"/>
  <c r="T2909" i="1"/>
  <c r="L2425" i="1"/>
  <c r="L2401" i="1" s="1"/>
  <c r="W1458" i="1"/>
  <c r="W1109" i="1"/>
  <c r="T2673" i="1"/>
  <c r="S2764" i="1"/>
  <c r="S2757" i="1" s="1"/>
  <c r="W2867" i="1"/>
  <c r="W2500" i="1"/>
  <c r="V1700" i="1"/>
  <c r="W927" i="1"/>
  <c r="W2495" i="1"/>
  <c r="W2224" i="1"/>
  <c r="T3" i="1" l="1"/>
  <c r="S3" i="1"/>
  <c r="T1888" i="1"/>
  <c r="W2290" i="1"/>
  <c r="S2219" i="1"/>
  <c r="V2219" i="1" s="1"/>
  <c r="W1898" i="1"/>
  <c r="W2709" i="1"/>
  <c r="V2757" i="1"/>
  <c r="W2757" i="1" s="1"/>
  <c r="L2750" i="1"/>
  <c r="L2707" i="1" s="1"/>
  <c r="V1324" i="1"/>
  <c r="W1324" i="1" s="1"/>
  <c r="S2425" i="1"/>
  <c r="S2401" i="1" s="1"/>
  <c r="W5" i="1"/>
  <c r="T2425" i="1"/>
  <c r="T2401" i="1" s="1"/>
  <c r="W12" i="1"/>
  <c r="W660" i="1"/>
  <c r="W636" i="1"/>
  <c r="W2730" i="1"/>
  <c r="W3062" i="1"/>
  <c r="W2266" i="1"/>
  <c r="T2865" i="1"/>
  <c r="W2865" i="1" s="1"/>
  <c r="W2673" i="1"/>
  <c r="W1658" i="1"/>
  <c r="W2827" i="1"/>
  <c r="W27" i="1"/>
  <c r="W459" i="1"/>
  <c r="T2219" i="1"/>
  <c r="W2909" i="1"/>
  <c r="W666" i="1"/>
  <c r="W1700" i="1"/>
  <c r="W1942" i="1"/>
  <c r="W1972" i="1"/>
  <c r="W145" i="1"/>
  <c r="V1888" i="1"/>
  <c r="W2550" i="1"/>
  <c r="T2750" i="1"/>
  <c r="T2707" i="1" s="1"/>
  <c r="W2465" i="1"/>
  <c r="V2764" i="1"/>
  <c r="W2764" i="1" s="1"/>
  <c r="S2750" i="1"/>
  <c r="S2707" i="1" s="1"/>
  <c r="W773" i="1"/>
  <c r="W2219" i="1" l="1"/>
  <c r="L1" i="1"/>
  <c r="V2425" i="1"/>
  <c r="W2425" i="1" s="1"/>
  <c r="V2401" i="1"/>
  <c r="W2401" i="1" s="1"/>
  <c r="V3" i="1"/>
  <c r="W1888" i="1"/>
  <c r="V2750" i="1"/>
  <c r="W2750" i="1" s="1"/>
  <c r="S1" i="1" l="1"/>
  <c r="V1" i="1" s="1"/>
  <c r="T1" i="1"/>
  <c r="W3" i="1"/>
  <c r="V2707" i="1"/>
  <c r="W2707" i="1" s="1"/>
  <c r="W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L1901" authorId="0" shapeId="0" xr:uid="{00000000-0006-0000-0000-000001000000}">
      <text>
        <r>
          <rPr>
            <sz val="11"/>
            <rFont val="Tahoma"/>
            <family val="2"/>
          </rPr>
          <t>nilai barang 9,626,000
pakai paylater</t>
        </r>
        <r>
          <rPr>
            <sz val="9"/>
            <rFont val="Tahoma"/>
            <family val="2"/>
          </rPr>
          <t xml:space="preserve">
CICIL 3X</t>
        </r>
      </text>
    </comment>
    <comment ref="L1904" authorId="0" shapeId="0" xr:uid="{00000000-0006-0000-0000-000002000000}">
      <text>
        <r>
          <rPr>
            <sz val="9"/>
            <rFont val="Tahoma"/>
            <family val="2"/>
          </rPr>
          <t xml:space="preserve">CICILAN 3X  @ 2,231,902
</t>
        </r>
      </text>
    </comment>
    <comment ref="L1945" authorId="0" shapeId="0" xr:uid="{00000000-0006-0000-0000-000003000000}">
      <text>
        <r>
          <rPr>
            <b/>
            <sz val="9"/>
            <rFont val="Tahoma"/>
            <family val="2"/>
          </rPr>
          <t>CICIL 2 KALI</t>
        </r>
        <r>
          <rPr>
            <sz val="9"/>
            <rFont val="Tahoma"/>
            <family val="2"/>
          </rPr>
          <t xml:space="preserve">
</t>
        </r>
      </text>
    </comment>
    <comment ref="L1948" authorId="0" shapeId="0" xr:uid="{00000000-0006-0000-0000-000004000000}">
      <text>
        <r>
          <rPr>
            <b/>
            <sz val="9"/>
            <rFont val="Tahoma"/>
            <family val="2"/>
          </rPr>
          <t>CICILAN 10 KALI</t>
        </r>
        <r>
          <rPr>
            <sz val="9"/>
            <rFont val="Tahoma"/>
            <family val="2"/>
          </rPr>
          <t xml:space="preserve">
</t>
        </r>
      </text>
    </comment>
    <comment ref="P2702" authorId="0" shapeId="0" xr:uid="{95425A84-FA8C-463D-93B5-967868BD4C33}">
      <text>
        <r>
          <rPr>
            <b/>
            <sz val="9"/>
            <color indexed="81"/>
            <rFont val="Tahoma"/>
            <family val="2"/>
          </rPr>
          <t>1,703,917 dibayar 13/05/2026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706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>======
ID#AAABPWEawL0
    (2023-12-26 23:41:06)
Kekurangan bayar senilai 20.000,- Inv. 2127 karena kesalahan input, seharusnya 466.200,- terinput 446.200,-</t>
        </r>
      </text>
    </comment>
  </commentList>
</comments>
</file>

<file path=xl/sharedStrings.xml><?xml version="1.0" encoding="utf-8"?>
<sst xmlns="http://schemas.openxmlformats.org/spreadsheetml/2006/main" count="27240" uniqueCount="7934">
  <si>
    <t>=</t>
  </si>
  <si>
    <t>0A</t>
  </si>
  <si>
    <t>0V</t>
  </si>
  <si>
    <t>0T</t>
  </si>
  <si>
    <t>0L</t>
  </si>
  <si>
    <t>NA</t>
  </si>
  <si>
    <t>KA</t>
  </si>
  <si>
    <t>A</t>
  </si>
  <si>
    <t>B</t>
  </si>
  <si>
    <t>VENDOR</t>
  </si>
  <si>
    <t>TGL FAKTUR</t>
  </si>
  <si>
    <t>TGL TITIP</t>
  </si>
  <si>
    <t>NOMINAL</t>
  </si>
  <si>
    <t>KETERANGAN</t>
  </si>
  <si>
    <t>UMUR</t>
  </si>
  <si>
    <t>JLH RENC BYR</t>
  </si>
  <si>
    <t>TGL RENC BYR</t>
  </si>
  <si>
    <t>TGL PROSES</t>
  </si>
  <si>
    <t>TGL APP</t>
  </si>
  <si>
    <t>JLH BYR</t>
  </si>
  <si>
    <t>SISA</t>
  </si>
  <si>
    <t>V</t>
  </si>
  <si>
    <t>Z</t>
  </si>
  <si>
    <t xml:space="preserve">OBAT DAN BHP </t>
  </si>
  <si>
    <t>X</t>
  </si>
  <si>
    <t>ALJOEN MAKMUR ABADI, PT</t>
  </si>
  <si>
    <t>JUMLAH</t>
  </si>
  <si>
    <t>L</t>
  </si>
  <si>
    <t>INV NO. 125 (18/02)</t>
  </si>
  <si>
    <t>-</t>
  </si>
  <si>
    <t>INV NO. 525 (27/05)</t>
  </si>
  <si>
    <t>INV NO. 099 (19/06)</t>
  </si>
  <si>
    <t>INV NO. 100 (19/06)</t>
  </si>
  <si>
    <t>INV NO. 625 (10/07)</t>
  </si>
  <si>
    <t>ANTAR MITRA SEMBADA, PT</t>
  </si>
  <si>
    <t>INV NO. 110 (28/01)</t>
  </si>
  <si>
    <t>INV NO. 111 (28/01)</t>
  </si>
  <si>
    <t>INV NO. 380 (28/01)</t>
  </si>
  <si>
    <t>INV NO. 408 (28/01)</t>
  </si>
  <si>
    <t>INV NO. 904 (28/01)</t>
  </si>
  <si>
    <t>INV NO. 677 (28/01)</t>
  </si>
  <si>
    <t>INV NO. 660 (28/01), 237 (RETUR)</t>
  </si>
  <si>
    <t>INV NO. 735 (28/01)</t>
  </si>
  <si>
    <t>INV NO. 1760 (06/02)</t>
  </si>
  <si>
    <t>INV NO. 1772 (06/02), 236 (RETUR)</t>
  </si>
  <si>
    <t>INV NO. 1128 (20/02)</t>
  </si>
  <si>
    <t>INV NO. 1211 (20/02)</t>
  </si>
  <si>
    <t>INV NO. 1286 (20/02)</t>
  </si>
  <si>
    <t>INV NO. 2183 (27/02)</t>
  </si>
  <si>
    <t>INV NO. 2121 (27/02)</t>
  </si>
  <si>
    <t>INV NO. 3441 (11/03)</t>
  </si>
  <si>
    <t>INV NO. 3311 (08/05)</t>
  </si>
  <si>
    <t>INV NO. 620 (20/05)</t>
  </si>
  <si>
    <t>INV NO. 699 (20/05)</t>
  </si>
  <si>
    <t>INV NO. 1109 (20/05)</t>
  </si>
  <si>
    <t>INV NO. 1298 (22/05)</t>
  </si>
  <si>
    <t>INV NO. 1405 (22/05)</t>
  </si>
  <si>
    <t>INV NO. 1790 (03/06)</t>
  </si>
  <si>
    <t>CICILAN I INV NO. 2191 (03/06)</t>
  </si>
  <si>
    <t>PELUNASAN INV NO. 2191 (03/06)</t>
  </si>
  <si>
    <t>INV NO. 3305 (05/06)</t>
  </si>
  <si>
    <t>INV NO. 3383 (05/06)</t>
  </si>
  <si>
    <t>INV NO. 3518 (05/06)</t>
  </si>
  <si>
    <t>INV NO. 197 (12/06)</t>
  </si>
  <si>
    <t>INV NO. 486 (17/06)</t>
  </si>
  <si>
    <t>INV NO. 625 (17/06)</t>
  </si>
  <si>
    <t>INV NO. 722 (17/06)</t>
  </si>
  <si>
    <t>INV NO. 727 (17/06)</t>
  </si>
  <si>
    <t>INV NO. 977 (24/06)</t>
  </si>
  <si>
    <t>INV NO. 1726 (01/07)</t>
  </si>
  <si>
    <t>INV NO. 2337 (01/07)</t>
  </si>
  <si>
    <t>INV NO. 3261 (08/07)</t>
  </si>
  <si>
    <t>INV NO. 3469 (08/07)</t>
  </si>
  <si>
    <t>INV NO. 3544 (08/07)</t>
  </si>
  <si>
    <t>INV NO. 3545 (08/07)</t>
  </si>
  <si>
    <t>INV NO. 2985 (05/08)</t>
  </si>
  <si>
    <t>INV NO. 3031 (05/08)</t>
  </si>
  <si>
    <t>U</t>
  </si>
  <si>
    <t>INV NO. 3972 (04/09)</t>
  </si>
  <si>
    <t>INV NO. 3989 (04/09)</t>
  </si>
  <si>
    <t>INV NO. 4057 (04/09)</t>
  </si>
  <si>
    <t>INV NO. 4124 (04/09)</t>
  </si>
  <si>
    <t>INV NO. 73 (11/09)</t>
  </si>
  <si>
    <t>INV NO. 442 (11/09)</t>
  </si>
  <si>
    <t>INV NO. 485 (11/09), 54, 55, 210, 211 (RETUR)</t>
  </si>
  <si>
    <t>ANUGERAH BORNEO ABADI, PT</t>
  </si>
  <si>
    <t>ANUGERAH PHARMINDO LESTARI, PT</t>
  </si>
  <si>
    <t>INV NO. 1168 (04/03), 2306 (RETUR)</t>
  </si>
  <si>
    <t>INV NO. 1184 (04/03)</t>
  </si>
  <si>
    <t>INV NO. 1185 (04/03)</t>
  </si>
  <si>
    <t>INV NO.1201 (04/03)</t>
  </si>
  <si>
    <t>INV NO. 1319 (04/03)</t>
  </si>
  <si>
    <t>INV NO. 1439 (04/03)</t>
  </si>
  <si>
    <t>INV NO. 1518 (04/03)</t>
  </si>
  <si>
    <t>INV NO. 1545 (04/03)</t>
  </si>
  <si>
    <t>INV NO. 1574 (04/03)</t>
  </si>
  <si>
    <t>INV NO. 1581 (04/03)</t>
  </si>
  <si>
    <t>INV NO. 2107 (04/03)</t>
  </si>
  <si>
    <t>INV NO. 2221 (04/03)</t>
  </si>
  <si>
    <t>INV NO. 3148 (04/03)</t>
  </si>
  <si>
    <t>INV NO. 3255 (04/03)</t>
  </si>
  <si>
    <t>INV NO. 3280 (04/03)</t>
  </si>
  <si>
    <t>INV NO. 3637 (04/03)</t>
  </si>
  <si>
    <t>INV NO. 4006 (13/03)</t>
  </si>
  <si>
    <t>INV NO. 4759 (13/03)</t>
  </si>
  <si>
    <t>INV NO. 5032 (13/03)</t>
  </si>
  <si>
    <t>INV NO. 4742 (13/03)</t>
  </si>
  <si>
    <t>INV NO. 7350 (18/03)</t>
  </si>
  <si>
    <t>INV NO. 7384 (18/03)</t>
  </si>
  <si>
    <t>INV NO. 7519 (18/03)</t>
  </si>
  <si>
    <t>INV NO. 8614 (18/03)</t>
  </si>
  <si>
    <t>INV NO. 8630 (18/03)</t>
  </si>
  <si>
    <t>INV NO. 8852 (05/04)</t>
  </si>
  <si>
    <t>INV NO. 9922 (05/04)</t>
  </si>
  <si>
    <t>INV NO. 9981 (05/04)</t>
  </si>
  <si>
    <t>INV NO. 1572 (10/04)</t>
  </si>
  <si>
    <t>INV NO. 2625 (10/04)</t>
  </si>
  <si>
    <t>INV NO. 4185 (25/04)</t>
  </si>
  <si>
    <t>INV NO. 4339 (25/04)</t>
  </si>
  <si>
    <t>INV NO. 9038 (03/05)</t>
  </si>
  <si>
    <t>INV NO. 9105 (03/05)</t>
  </si>
  <si>
    <t>INV NO. 1344 (08/05)</t>
  </si>
  <si>
    <t>INV NO. 1349 (08/05)</t>
  </si>
  <si>
    <t>INV NO. 1400 (08/05)</t>
  </si>
  <si>
    <t>INV NO. 1409 (08/05)</t>
  </si>
  <si>
    <t>INV NO. 1411 (08/05)</t>
  </si>
  <si>
    <t>INV NO. 1527 (08/05)</t>
  </si>
  <si>
    <t>INV NO. 2233 (08/05)</t>
  </si>
  <si>
    <t>INV NO. 1220 (10/06)</t>
  </si>
  <si>
    <t>INV NO. 80815 (05/08)</t>
  </si>
  <si>
    <t>INV NO. 1014 (05/08)</t>
  </si>
  <si>
    <t>INV NO. 1026 (05/08)</t>
  </si>
  <si>
    <t>INV NO. 1040 (05/08)</t>
  </si>
  <si>
    <t>INV NO. 1053 (05/08)</t>
  </si>
  <si>
    <t>INV NO. 1171 (05/08)</t>
  </si>
  <si>
    <t>INV NO. 1235 (05/08)</t>
  </si>
  <si>
    <t>INV NO. 1269 (05/08)</t>
  </si>
  <si>
    <t>INV NO. 1960 (19/08)</t>
  </si>
  <si>
    <t>INV NO. 3134 (19/08)</t>
  </si>
  <si>
    <t>INV NO. 5539 (19/08)</t>
  </si>
  <si>
    <t>INV NO. 6099 (19/08)</t>
  </si>
  <si>
    <t>INV NO. 7295 (19/08)</t>
  </si>
  <si>
    <t>INV NO. 7441 (19/08)</t>
  </si>
  <si>
    <t>INV NO. 7755 (19/08)</t>
  </si>
  <si>
    <t>INV NO. 7758 (19/08)</t>
  </si>
  <si>
    <t>INV NO. 8358 (19/08)</t>
  </si>
  <si>
    <t>INV NO. 8374 (19/08)</t>
  </si>
  <si>
    <t>INV NO. 9043 (30/08)</t>
  </si>
  <si>
    <t>INV NO. 9773 (30/08)</t>
  </si>
  <si>
    <t>INV NO. 9783 (30/08)</t>
  </si>
  <si>
    <t>INV NO. 2723 (16/09)</t>
  </si>
  <si>
    <t>INV NO. 3890 (16/09)</t>
  </si>
  <si>
    <t>INV NO. 5492 (16/09)</t>
  </si>
  <si>
    <t>INV NO. 5530 (16/09)</t>
  </si>
  <si>
    <t>INV NO. 5593 (16/09)</t>
  </si>
  <si>
    <t>INV NO. 7676 (16/09)</t>
  </si>
  <si>
    <t>ANUGRAH ARGON MEDICA, PT</t>
  </si>
  <si>
    <t>INV NO. 1807 (25/01), JT 17/02/25</t>
  </si>
  <si>
    <t>INV NO. 2026 (25/01), JT 20/02/25</t>
  </si>
  <si>
    <t>INV NO. 2031 (25/01), JT 20/02/25</t>
  </si>
  <si>
    <t>INV NO. 2133 (25/01), JT 21/02/25</t>
  </si>
  <si>
    <t>INV NO. 2162 (25/01), JT 21/02/25</t>
  </si>
  <si>
    <t>INV NO. 2128 (25/01), JT 21/02/25</t>
  </si>
  <si>
    <t>INV NO. 2308 (25/01), JT 22/02/25</t>
  </si>
  <si>
    <t>INV NO. 2313 (25/01), JT 22/02/25</t>
  </si>
  <si>
    <t>INV NO. 2346 (25/01), JT 22/02/25</t>
  </si>
  <si>
    <t>INV NO. 2674 (06/02), JT 27/02/25</t>
  </si>
  <si>
    <t>INV NO. 2857 (06/02), JT 01/03/25</t>
  </si>
  <si>
    <t>INV NO. 3378 (13/02), JT 02/03/25</t>
  </si>
  <si>
    <t>INV NO. 3486 (13/02), JT 05/03/25</t>
  </si>
  <si>
    <t>INV NO. 3548 (13/02), JT 06/03/25</t>
  </si>
  <si>
    <t>INV NO. 3549 (13/02), JT 06/03/25</t>
  </si>
  <si>
    <t>INV NO. 3595 (13/02), JT 06/03/25</t>
  </si>
  <si>
    <t>INV NO. 3819 (13/02), JT 08/03/25</t>
  </si>
  <si>
    <t>INV NO. 3829 (13/02), JT 08/03/25</t>
  </si>
  <si>
    <t>INV NO. 4048 (13/02), JT 10/03/25</t>
  </si>
  <si>
    <t>INV NO. 4073 (13/02), JT 10/03/25</t>
  </si>
  <si>
    <t>INV NO. 4537 (20/02), JT 14/03/25</t>
  </si>
  <si>
    <t>INV NO. 4650 (20/02), JT 15/03/25</t>
  </si>
  <si>
    <t>INV NO. 4653 (20/02), JT 15/03/25</t>
  </si>
  <si>
    <t xml:space="preserve">INV NO. 4844 (20/02), JT 16/03/25 </t>
  </si>
  <si>
    <t>INV NO. 4938 (20/02), JT 17/03/25</t>
  </si>
  <si>
    <t>INV NO. 5011 (22/02), JT 19/03/25</t>
  </si>
  <si>
    <t>INV NO. 5264 (22/02), JT 20/03/25</t>
  </si>
  <si>
    <t>INV NO. 5268 (22/02), JT 20/03/25</t>
  </si>
  <si>
    <t>INV NO. 5409 (04/03), JT 21/03/25</t>
  </si>
  <si>
    <t>INV NO. 5414 (04/03), JT 21/03/25</t>
  </si>
  <si>
    <t>INV NO. 5416 (04/03), JT 21/03/25</t>
  </si>
  <si>
    <t>INV NO. 5422 (04/03), JT 21/03/25</t>
  </si>
  <si>
    <t>INV NO. 6363 (04/03), JT 29/03/25</t>
  </si>
  <si>
    <t>INV NO. 6408 (04/03), JT 29/03/25</t>
  </si>
  <si>
    <t>INV NO. 6444 (04/03), JT 29/03/25</t>
  </si>
  <si>
    <t>INV NO. 6445 (04/03), JT 29/03/25</t>
  </si>
  <si>
    <t>INV NO. 6448 (04/03), JT 29/03/25</t>
  </si>
  <si>
    <t>INV NO. 6443 (06/03), JT 29/03/25</t>
  </si>
  <si>
    <t>INV NO. 6540 (06/03), JT 29/03/25</t>
  </si>
  <si>
    <t>INV NO. 6585 (06/03), JT 30/03/25</t>
  </si>
  <si>
    <t>INV NO. 6615 (06/03), JT 30/03/25</t>
  </si>
  <si>
    <t>INV NO. 6628 (06/03), JT 30/03/25</t>
  </si>
  <si>
    <t>INV NO. 6649 (06/03), JT 30/03/25</t>
  </si>
  <si>
    <t>INV NO. 6931 (06/03), JT 30/03/25</t>
  </si>
  <si>
    <t>INV NO. 6875 (11/03), JT 30/03/25</t>
  </si>
  <si>
    <t>INV NO. 7137 (11/03), JT 02/04/25</t>
  </si>
  <si>
    <t>INV NO. 7139 (11/03), JT 02/04/25</t>
  </si>
  <si>
    <t>INV NO. 9905 (08/04)</t>
  </si>
  <si>
    <t>INV NO. 9960 (08/04)</t>
  </si>
  <si>
    <t>INV NO. 10035 (08/04)</t>
  </si>
  <si>
    <t>INV NO. 10052 (08/04)</t>
  </si>
  <si>
    <t>INV NO. 10060 (08/04)</t>
  </si>
  <si>
    <t>INV NO. 10036 (08/04)</t>
  </si>
  <si>
    <t>KEKURANGAN INV NO. 10036 (08/04)</t>
  </si>
  <si>
    <t>INV NO. 10041 (08/04)</t>
  </si>
  <si>
    <t>INV NO. 10049 (12/04)</t>
  </si>
  <si>
    <t>INV NO. 10173 (08/04)</t>
  </si>
  <si>
    <t>INV NO. 10171 (08/04)</t>
  </si>
  <si>
    <t>INV NO. 10195 (08/04)</t>
  </si>
  <si>
    <t>INV NO. 10367 (08/04)</t>
  </si>
  <si>
    <t>INV NO. 10061 (08/04)</t>
  </si>
  <si>
    <t>INV NO. 10064 (08/04)</t>
  </si>
  <si>
    <t>INV NO. 10059 (08/04)</t>
  </si>
  <si>
    <t>INV NO. 10166 (08/04)</t>
  </si>
  <si>
    <t>INV NO. 1474 (19/04)</t>
  </si>
  <si>
    <t>CICILAN I INV NO. 6367 (31/05)</t>
  </si>
  <si>
    <t>PELUNASAN INV NO. 6367 (31/05)</t>
  </si>
  <si>
    <t>INV NO. 6340 (31/05)</t>
  </si>
  <si>
    <t>INV NO. 6962 (05/06)</t>
  </si>
  <si>
    <t>INV NO. 6920 (05/06)</t>
  </si>
  <si>
    <t>INV NO. 6923 (12/06)</t>
  </si>
  <si>
    <t>INV NO. 3405 (31/07)</t>
  </si>
  <si>
    <t>INV NO. 3407 (31/07)</t>
  </si>
  <si>
    <t>INV NO. 3410 (31/07)</t>
  </si>
  <si>
    <t>INV NO. 3411 (31/07)</t>
  </si>
  <si>
    <t>INV NO. 3412 (31/07)</t>
  </si>
  <si>
    <t>INV NO. 3413 (31/07)</t>
  </si>
  <si>
    <t>INV NO. 3512 (31/07)</t>
  </si>
  <si>
    <t>INV NO. 3915 (31/07)</t>
  </si>
  <si>
    <t>INV NO. 3918 (31/07)</t>
  </si>
  <si>
    <t>INV NO. 3962 (31/07)</t>
  </si>
  <si>
    <t>INV NO. 3963 (31/07)</t>
  </si>
  <si>
    <t>INV NO. 3964 (31/07)</t>
  </si>
  <si>
    <t>INV NO. 3961 (09/08)</t>
  </si>
  <si>
    <t>INV NO. 4043 (09/08)</t>
  </si>
  <si>
    <t>INV NO. 4639 (09/08)</t>
  </si>
  <si>
    <t>INV NO. 4686 (09/08)</t>
  </si>
  <si>
    <t>INV NO. 4687 (09/08)</t>
  </si>
  <si>
    <t>INV NO. 4862 (09/08)</t>
  </si>
  <si>
    <t>INV NO. 4863 (09/08)</t>
  </si>
  <si>
    <t>INV NO. 4879 (09/08)</t>
  </si>
  <si>
    <t>INV NO. 7101 (02/09)</t>
  </si>
  <si>
    <t>INV NO. 7102 (02/09)</t>
  </si>
  <si>
    <t>INV NO. 7119 (02/09)</t>
  </si>
  <si>
    <t>INV NO. 7120 (02/09)</t>
  </si>
  <si>
    <t>INV NO. 7699 (02/09)</t>
  </si>
  <si>
    <t>INV NO. 7890 (02/09)</t>
  </si>
  <si>
    <t>INV NO. 7921 (02/09)</t>
  </si>
  <si>
    <t>INV NO. 8300 (02/09)</t>
  </si>
  <si>
    <t>INV NO. 8301 (02/09)</t>
  </si>
  <si>
    <t>INV NO. 8545 (11/09)</t>
  </si>
  <si>
    <t>INV NO. 8612 (11/09)</t>
  </si>
  <si>
    <t>INV NO. 8617 (11/09)</t>
  </si>
  <si>
    <t>INV NO. 8622 (11/09)</t>
  </si>
  <si>
    <t>INV NO. 8790 (11/09)</t>
  </si>
  <si>
    <t>INV NO. 8791 (11/09)</t>
  </si>
  <si>
    <t>INV NO. 8843 (11/09)</t>
  </si>
  <si>
    <t>INV NO. 8958 (11/09)</t>
  </si>
  <si>
    <t>ARATA PARASOLUSI, PT</t>
  </si>
  <si>
    <t>BINA SAN PRIMA, PT</t>
  </si>
  <si>
    <t>INV NO. 1305 (23/01)</t>
  </si>
  <si>
    <t>INV NO. 1361 (23/01)</t>
  </si>
  <si>
    <t>INV NO. 1307 (23/01)</t>
  </si>
  <si>
    <t>INV NO. 1306 (23/01)</t>
  </si>
  <si>
    <t>INV NO. 1576 (08/02)</t>
  </si>
  <si>
    <t>KEKURANGAN INV NO. 1576 (08/02)</t>
  </si>
  <si>
    <t>INV NO. 1717 (08/02)</t>
  </si>
  <si>
    <t>INV NO. 3006 (08/02)</t>
  </si>
  <si>
    <t>INV NO. 3173 (08/02)</t>
  </si>
  <si>
    <t>INV NO. 3007 (08/02)</t>
  </si>
  <si>
    <t>INV NO. 4155 (08/02)</t>
  </si>
  <si>
    <t>INV NO. 5550 (08/02)</t>
  </si>
  <si>
    <t>INV NO. 5678 (08/02)</t>
  </si>
  <si>
    <t>INV NO. 5686 (08/02)</t>
  </si>
  <si>
    <t>INV NO. 5687 (08/02)</t>
  </si>
  <si>
    <t>INV NO. 5688 (08/02)</t>
  </si>
  <si>
    <t>INV NO. 2502 (15/02)</t>
  </si>
  <si>
    <t>INV NO. 5139 (04/03)</t>
  </si>
  <si>
    <t>INV NO, 5149 (04/03), 003 (RETUR)</t>
  </si>
  <si>
    <t>INV NO. 5150 (04/03)</t>
  </si>
  <si>
    <t>INV NO. 5157 (04/03)</t>
  </si>
  <si>
    <t>INV NO. 5158 (04/03)</t>
  </si>
  <si>
    <t>CICILAN I INV NO. 5190 (04/03)</t>
  </si>
  <si>
    <t>PELUNASAN INV NO. 5190 (04/03)</t>
  </si>
  <si>
    <t>INV NO. 5191 (04/03)</t>
  </si>
  <si>
    <t>INV NO. 5327 (06/03)</t>
  </si>
  <si>
    <t>INV NO. 5480 (06/03)</t>
  </si>
  <si>
    <t>INV NO. 4067 (27/03)</t>
  </si>
  <si>
    <t>INV NO. 4068 (27/03)</t>
  </si>
  <si>
    <t>INV NO. 4069 (27/03)</t>
  </si>
  <si>
    <t>INV NO. 4174 (27/03)</t>
  </si>
  <si>
    <t>INV NO. 4261 (27/03)</t>
  </si>
  <si>
    <t>INV NO. 5625 (12/04)</t>
  </si>
  <si>
    <t>INV NO. 5621 (13/05)</t>
  </si>
  <si>
    <t>INV NO. 5723 (13/05)</t>
  </si>
  <si>
    <t>INV NO. 3858 (28/06)</t>
  </si>
  <si>
    <t>INV NO. 4039 (28/06)</t>
  </si>
  <si>
    <t>INV NO. 4923 (28/06)</t>
  </si>
  <si>
    <t>INV NO. 4924 (28/06)</t>
  </si>
  <si>
    <t>INV NO. 5733 (10/07)</t>
  </si>
  <si>
    <t>INV NO. 5049 (31/07), 60 &amp; 65 (RETUR)</t>
  </si>
  <si>
    <t>INV NO. 5057 (31/07)</t>
  </si>
  <si>
    <t>INV NO. 5091 (31/07)</t>
  </si>
  <si>
    <t>INV NO. 5846 (05/08)</t>
  </si>
  <si>
    <t>INV NO.6125 (07/08)</t>
  </si>
  <si>
    <t>INV NO. 6268 (07/08)</t>
  </si>
  <si>
    <t>BORNEO ETAM MANDIRI</t>
  </si>
  <si>
    <t>BORNEO SENTRAL</t>
  </si>
  <si>
    <t>INV NO. 3217 (18/01)</t>
  </si>
  <si>
    <t>INV NO. 3444 (18/02)</t>
  </si>
  <si>
    <t>BUANA INTI PRIMA USAHA</t>
  </si>
  <si>
    <t>BUANA INTIPRIMA USAHA</t>
  </si>
  <si>
    <t>BUANA INTIPRIMA USAHA (REK BARU)</t>
  </si>
  <si>
    <t>INV NO. 233 (04/02)</t>
  </si>
  <si>
    <t>INV NO. 19 (04/02)</t>
  </si>
  <si>
    <t>INV NO. 320 (04/02)</t>
  </si>
  <si>
    <t>INV NO. 519 (04/02)</t>
  </si>
  <si>
    <t>INV NO. 622 (18/02)</t>
  </si>
  <si>
    <t>INV NO. 725 (18/02)</t>
  </si>
  <si>
    <t>INV NO. 934 (18/02)</t>
  </si>
  <si>
    <t>INV NO. 620 (18/03)</t>
  </si>
  <si>
    <t>INV NO. 688 (18/03)</t>
  </si>
  <si>
    <t>INV NO. 247 (18/03)</t>
  </si>
  <si>
    <t>INV NO. 30195 (06/05)</t>
  </si>
  <si>
    <t>INV NO. 30219 (06/05)</t>
  </si>
  <si>
    <t>INV NO. 30682 (06/05)</t>
  </si>
  <si>
    <t>INV NO. 30068 (08/05)</t>
  </si>
  <si>
    <t>INV NO. 30165 (08/05)</t>
  </si>
  <si>
    <t>INV NO. 387 (28/05)</t>
  </si>
  <si>
    <t>INV NO. 30987 (06/05)</t>
  </si>
  <si>
    <t>INV NO. 30080 (06/05)</t>
  </si>
  <si>
    <t>INV NO. 31001 (06/05)</t>
  </si>
  <si>
    <t>INV NO. 40358 (06/05)</t>
  </si>
  <si>
    <t>INV NO. 339 (28/05)</t>
  </si>
  <si>
    <t>INV NO. 60240 (01/07)</t>
  </si>
  <si>
    <t>INV NO. 60293 (15/07)</t>
  </si>
  <si>
    <t>INV NO. 60439 (15/07)</t>
  </si>
  <si>
    <t>INV NO. 60460 (08/07)</t>
  </si>
  <si>
    <t>INV NO. 60831 (15/07)</t>
  </si>
  <si>
    <t>INV NO. 60582 (08/07)</t>
  </si>
  <si>
    <t>INV NO. 70743 (05/08)</t>
  </si>
  <si>
    <t>INV NO. 1009 (16/09)</t>
  </si>
  <si>
    <t>INV NO. 1240 (16/09)</t>
  </si>
  <si>
    <t>INV NO. 80542 (16/09)</t>
  </si>
  <si>
    <t>CAB DENTAL, PT</t>
  </si>
  <si>
    <t>INV NO. 328 (20/03)</t>
  </si>
  <si>
    <t>CAHAYA SINTESA FARMA, PT</t>
  </si>
  <si>
    <t>INV NO. 90492 (24/10)</t>
  </si>
  <si>
    <t>INV NO. 90493 (24/10)</t>
  </si>
  <si>
    <t>CARENDRA ALKESINDO LESTARI, CV</t>
  </si>
  <si>
    <t>INV NO. 10051 (04/02)</t>
  </si>
  <si>
    <t>INV NO. 20115 (04/03)</t>
  </si>
  <si>
    <t>INV NO. 30174 (08/04)</t>
  </si>
  <si>
    <t>INV NO. 50339 (21/06)</t>
  </si>
  <si>
    <t>INV NO. 50365 (21/06)</t>
  </si>
  <si>
    <t>INV NO. 60419 (29/07)</t>
  </si>
  <si>
    <t>INV NO. 70436 (29/07)</t>
  </si>
  <si>
    <t>COBRA DENTAL INDONESIA, PT</t>
  </si>
  <si>
    <t>INV NO. 6299 (15/03)</t>
  </si>
  <si>
    <t>INV NO. 6840 (17/03)</t>
  </si>
  <si>
    <t>INV NO. 6707 (17/03)</t>
  </si>
  <si>
    <t>INV NO. 9285 (10/04)</t>
  </si>
  <si>
    <t>INV NO. 9294 (09/06)</t>
  </si>
  <si>
    <t>INV NO. 8585 (14/07)</t>
  </si>
  <si>
    <t>INV NO. 4506 (14/08)</t>
  </si>
  <si>
    <t>ENSEVAL PUTERA MEGATRADING, PT</t>
  </si>
  <si>
    <t>INV NO. 1204 (26/11)</t>
  </si>
  <si>
    <t xml:space="preserve">INV NO. 2746 (26/11) </t>
  </si>
  <si>
    <t>INV NO. 2768 (26/11)</t>
  </si>
  <si>
    <t>INV NO. 3054 (26/11)</t>
  </si>
  <si>
    <t>INV NO. 2727 (26/11)</t>
  </si>
  <si>
    <t>INV NO. 2728 (26/11)</t>
  </si>
  <si>
    <t>INV NO. 2703 (26/11)</t>
  </si>
  <si>
    <t>INV NO. 4894 (05/12)</t>
  </si>
  <si>
    <t>INV NO. 9934 (12/12)</t>
  </si>
  <si>
    <t>INV NO. 9935 (12/12)</t>
  </si>
  <si>
    <t>INV NO. 3029 (12/12)</t>
  </si>
  <si>
    <t>INV NO. 3030 (12/12)</t>
  </si>
  <si>
    <t>INV NO. 3032 (24/12)</t>
  </si>
  <si>
    <t>INV NO. 2061 (28/01)</t>
  </si>
  <si>
    <t>INV NO. 27 (28/01)</t>
  </si>
  <si>
    <t>INV NO. 28 (28/01)</t>
  </si>
  <si>
    <t>INV NO. 2778 (28/01)</t>
  </si>
  <si>
    <t>INV NO. 8619 (20/02)</t>
  </si>
  <si>
    <t>INV NO. 177 (20/02)</t>
  </si>
  <si>
    <t>INV NO. 6988 (11/03)</t>
  </si>
  <si>
    <t>INV NO. 7234 (11/03)</t>
  </si>
  <si>
    <t>INV NO. 7539 (11/03)</t>
  </si>
  <si>
    <t>INV NO. 363 (11/03)</t>
  </si>
  <si>
    <t>INV NO. 370 (11/03)</t>
  </si>
  <si>
    <t>INV NO. 8817 (20/03)</t>
  </si>
  <si>
    <t>INV NO. 387 (20/03)</t>
  </si>
  <si>
    <t>INV NO. 401 (20/03)</t>
  </si>
  <si>
    <t>INV NO. 512 (08/04)</t>
  </si>
  <si>
    <t>INV NO. 4261 (08/04)</t>
  </si>
  <si>
    <t>INV NO. 3962 (08/04)</t>
  </si>
  <si>
    <t>INV NO. 6114 (22/04)</t>
  </si>
  <si>
    <t>INV NO. 4350 (13/05)</t>
  </si>
  <si>
    <t>INV NO. 5474 (13/05)</t>
  </si>
  <si>
    <t>INV NO. 853 (13/05)</t>
  </si>
  <si>
    <t>INV NO. 859 (13/05)</t>
  </si>
  <si>
    <t>INV NO. 864 (13/05)</t>
  </si>
  <si>
    <t>INV NO. 993 (28/05)</t>
  </si>
  <si>
    <t>INV NO. 994 (28/05)</t>
  </si>
  <si>
    <t>INV NO. 995 (28/05)</t>
  </si>
  <si>
    <t>INV NO. 996 (28/05)</t>
  </si>
  <si>
    <t>INV NO. 1002 (28/05)</t>
  </si>
  <si>
    <t>INV NO. 9478 (05/06)</t>
  </si>
  <si>
    <t>INV NO. 3894 (19/06)</t>
  </si>
  <si>
    <t>INV NO. 3815 (19/06)</t>
  </si>
  <si>
    <t>INV NO. 1173 (19/06)</t>
  </si>
  <si>
    <t>INV NO. 1182 (19/06)</t>
  </si>
  <si>
    <t>INV NO. 1177 (19/06)</t>
  </si>
  <si>
    <t>INV NO. 1761 (07/08)</t>
  </si>
  <si>
    <t>INV NO. 1833 (04/09), 8870 (RETUR)</t>
  </si>
  <si>
    <t>INV NO. 3414 (18/09)</t>
  </si>
  <si>
    <t>INV NO. 2142 (18/09)</t>
  </si>
  <si>
    <t>INV NO. 2144 (18/09)</t>
  </si>
  <si>
    <t>INV NO. 2210 (18/09)</t>
  </si>
  <si>
    <t>ETAM MANDIRI ALKESINDO, PT</t>
  </si>
  <si>
    <t>FERTOMULIA PRATAMA, PT</t>
  </si>
  <si>
    <t>INV NO. 4621 (08/04)</t>
  </si>
  <si>
    <t>INV NO. 6973 (15/04)</t>
  </si>
  <si>
    <t>INV NO. 20811 (06/05)</t>
  </si>
  <si>
    <t>INV NO. 2402 (13/05)</t>
  </si>
  <si>
    <t>INV NO. 1539 (13/05)</t>
  </si>
  <si>
    <t>INV NO. 3255 (20/05)</t>
  </si>
  <si>
    <t>INV NO. 3748 (22/05), 472,476,477,478,479,480,481,482,483,484,485,486 (RETUR)</t>
  </si>
  <si>
    <t>PPN 486 (RETUR)</t>
  </si>
  <si>
    <t>GLOBAL DENT</t>
  </si>
  <si>
    <t>INV NO. 20078 (15/03)</t>
  </si>
  <si>
    <t>INV NO. 40041 (13/05)</t>
  </si>
  <si>
    <t>INV NO. 36 (23/06)</t>
  </si>
  <si>
    <t>INV NO. 80012 (12/08)</t>
  </si>
  <si>
    <t>GLOPER PRIMA MANDIRI, CV</t>
  </si>
  <si>
    <t>INV NO. 30018 (29/04)</t>
  </si>
  <si>
    <t>INV NO. 30154 (29/04)</t>
  </si>
  <si>
    <t>INV NO. 30160 (29/04)</t>
  </si>
  <si>
    <t>INV NO. 50050 (03/06)</t>
  </si>
  <si>
    <t>INV NO. 60045 (03/07)</t>
  </si>
  <si>
    <t>INV NO. 60066 (03/07)</t>
  </si>
  <si>
    <t>INV NO. 60115 (03/07)</t>
  </si>
  <si>
    <t>INV NO. 70178 (12/08)</t>
  </si>
  <si>
    <t>INV NO. 80101 (02/09)</t>
  </si>
  <si>
    <t>INV NO. 80138 (02/09)</t>
  </si>
  <si>
    <t>INV NO. 80149 (02/09)</t>
  </si>
  <si>
    <t>INV NO. 80177 (02/09)</t>
  </si>
  <si>
    <t>HARUM DEWA, PT</t>
  </si>
  <si>
    <t>INV NO. 948 (28/08)</t>
  </si>
  <si>
    <t>HIDUP BAHAGIA</t>
  </si>
  <si>
    <t>HIDUP BAHAGIA, CV</t>
  </si>
  <si>
    <t>INV NO. 033 (18/02)</t>
  </si>
  <si>
    <t>INV NO. 045 (18/02)</t>
  </si>
  <si>
    <t>INV NO. 106 (18/02)</t>
  </si>
  <si>
    <t>INV NO. 171 (18/02)</t>
  </si>
  <si>
    <t>INV NO. 173 (18/02)</t>
  </si>
  <si>
    <t>INV NO. 193 (18/02)</t>
  </si>
  <si>
    <t>INV NO. 223 (18/02)</t>
  </si>
  <si>
    <t>INV NO. 0018 (18/03)</t>
  </si>
  <si>
    <t>INV NO. 085 (18/03)</t>
  </si>
  <si>
    <t>INV NO. 036 (18/03)</t>
  </si>
  <si>
    <t>INV NO. 200 (18/03)</t>
  </si>
  <si>
    <t>INV NO. 210 (18/03)</t>
  </si>
  <si>
    <t>INV NO. 285 (18/03)</t>
  </si>
  <si>
    <t>INV NO. 311 (18/03)</t>
  </si>
  <si>
    <t>INV NO. 028 (08/04)</t>
  </si>
  <si>
    <t>INV NO. 066 (08/04)</t>
  </si>
  <si>
    <t>INV NO. 206 (08/04)</t>
  </si>
  <si>
    <t>INV NO. 228 (08/04)</t>
  </si>
  <si>
    <t>INV NO. 282 (08/04)</t>
  </si>
  <si>
    <t>INV NO. 021 (13/05)</t>
  </si>
  <si>
    <t>INV NO. 097 (13/05)</t>
  </si>
  <si>
    <t>INV NO. 233 (13/05)</t>
  </si>
  <si>
    <t>INV NO. 254 (13/05)</t>
  </si>
  <si>
    <t>INV NO. 260 (13/05)</t>
  </si>
  <si>
    <t>INV NO. 017 (10/06)</t>
  </si>
  <si>
    <t>INV NO. 039 (10/06)</t>
  </si>
  <si>
    <t>INV NO. 116 (10/06)</t>
  </si>
  <si>
    <t>INV NO. 203 (10/06)</t>
  </si>
  <si>
    <t>INV NO. 279 (10/06)</t>
  </si>
  <si>
    <t>INV NO. 366 (10/06)</t>
  </si>
  <si>
    <t>INV NO. 082 (15/07)</t>
  </si>
  <si>
    <t>INV NO. 132 (15/07)</t>
  </si>
  <si>
    <t>INV NO. 136 (15/07)</t>
  </si>
  <si>
    <t>INV NO. 176 (15/07)</t>
  </si>
  <si>
    <t>INV NO. 186 (15/07)</t>
  </si>
  <si>
    <t>INV NO. 210 (15/07)</t>
  </si>
  <si>
    <t>INV NO. 348 (15/07)</t>
  </si>
  <si>
    <t>INV NO. 015 (12/08)</t>
  </si>
  <si>
    <t>INV NO. 020 (12/08)</t>
  </si>
  <si>
    <t>INV NO. 073 (12/08)</t>
  </si>
  <si>
    <t>INV NO. 115 (12/08)</t>
  </si>
  <si>
    <t>INV NO. 126 (12/08)</t>
  </si>
  <si>
    <t>INV NO. 204 (12/08)</t>
  </si>
  <si>
    <t>INV NO. 225 (12/08)</t>
  </si>
  <si>
    <t>INV NO. 374 (12/08)</t>
  </si>
  <si>
    <t>INV NO. 035 (16/09)</t>
  </si>
  <si>
    <t>INV NO. 113 (16/09)</t>
  </si>
  <si>
    <t>INV NO. 168 (16/09)</t>
  </si>
  <si>
    <t>INV NO. 373 (16/09)</t>
  </si>
  <si>
    <t>HYGEA SUMBER BINTANG, PT</t>
  </si>
  <si>
    <t>INV NO. 97 (28/05)</t>
  </si>
  <si>
    <t>INDOFARMA GLOBAL MEDIKA, PT</t>
  </si>
  <si>
    <t>INV NO. 3240 (31/10)</t>
  </si>
  <si>
    <t xml:space="preserve">INDOMEDIKA SOLUSINDO, PT </t>
  </si>
  <si>
    <t>INV NO. 6768 (20/02)</t>
  </si>
  <si>
    <t>INV NO. 8033 (11/03)</t>
  </si>
  <si>
    <t>INV NO. 8651 (22/03)</t>
  </si>
  <si>
    <t>INV NO. 40280 (29/04)</t>
  </si>
  <si>
    <t>INV NO. 5690 (02/09)</t>
  </si>
  <si>
    <t>KIMIA FARMA, PT</t>
  </si>
  <si>
    <t>INV NO. 4521 (04/02)</t>
  </si>
  <si>
    <t>INV NO. 5413 (04/02)</t>
  </si>
  <si>
    <t>INV NO. 5670 (04/02)</t>
  </si>
  <si>
    <t>INV NO. 2216 (23/01)</t>
  </si>
  <si>
    <t>INV NO. 1752 (23/01)</t>
  </si>
  <si>
    <t>INV NO. 2729 (23/01)</t>
  </si>
  <si>
    <t>INV NO. 4655 (23/01)</t>
  </si>
  <si>
    <t>INV NO. 5529 (23/01)</t>
  </si>
  <si>
    <t>INV NO. 2922 (11/03)</t>
  </si>
  <si>
    <t>INV NO. 2953 (11/03)</t>
  </si>
  <si>
    <t>INV NO. 2925 (11/03)</t>
  </si>
  <si>
    <t>INV NO. 5504 (11/03)</t>
  </si>
  <si>
    <t>INV NO. 2655 (11/03)</t>
  </si>
  <si>
    <t>KURANG BAYAR</t>
  </si>
  <si>
    <t>KEKURANGAN BAYAR TGL 17/04/25</t>
  </si>
  <si>
    <t>INV NO. 2923 (11/03)</t>
  </si>
  <si>
    <t>INV NO. 5505 (11/03)</t>
  </si>
  <si>
    <t>INV NO. 70570 (11/03)</t>
  </si>
  <si>
    <t>INV NO. 1361 (11/03)</t>
  </si>
  <si>
    <t>INV NO. 8036 (11/03)</t>
  </si>
  <si>
    <t>INV NO. 3254 (20/03)</t>
  </si>
  <si>
    <t>INV NO. 7385 (26/04)</t>
  </si>
  <si>
    <t>INV NO. 7384 (26/04)</t>
  </si>
  <si>
    <t>INV NO. 7386 (26/04)</t>
  </si>
  <si>
    <t>INV NO. 7390 (26/04)</t>
  </si>
  <si>
    <t>RETUR NO. 2490 (26/04)</t>
  </si>
  <si>
    <t>RETUR NO. 2491 (26/04)</t>
  </si>
  <si>
    <t>INV NO. 5467 (10/06)</t>
  </si>
  <si>
    <t>INV NO. 7479 (10/06)</t>
  </si>
  <si>
    <t>INV NO. 90706 (10/06)</t>
  </si>
  <si>
    <t>INV NO. 8459 (10/06)</t>
  </si>
  <si>
    <t>INV NO. 2235 (10/06)</t>
  </si>
  <si>
    <t>INV NO. 9832 (10/06)</t>
  </si>
  <si>
    <t>INV NO. 6821 (19/06)</t>
  </si>
  <si>
    <t>INV NO. 8598 (26/06)</t>
  </si>
  <si>
    <t>INV NO. 2454 (10/07)</t>
  </si>
  <si>
    <t>INV NO. 7713 (10/07)</t>
  </si>
  <si>
    <t>INV NO. 7327 (10/07)</t>
  </si>
  <si>
    <t>INV NO. 4416 (17/07)</t>
  </si>
  <si>
    <t>INV NO. 2467 (17/07)</t>
  </si>
  <si>
    <t>INV NO. 3877 (17/07)</t>
  </si>
  <si>
    <t>INV NO. 4745 (24/07)</t>
  </si>
  <si>
    <t>INV NO. 4742 (24/07)</t>
  </si>
  <si>
    <t>INV NO. 9537 (24/07)</t>
  </si>
  <si>
    <t>MAHAKAM SEJAHTERA ABADI, PT</t>
  </si>
  <si>
    <t>MAHAKAM SEJAHTERA ABADI, PT (REK BARU)</t>
  </si>
  <si>
    <t>INV NO. 138 (28/01)</t>
  </si>
  <si>
    <t>INV NO. 2238 (20/02)</t>
  </si>
  <si>
    <t>INV NO. 436 (25/02)</t>
  </si>
  <si>
    <t>INV NO. 437 (25/02)</t>
  </si>
  <si>
    <t>INV NO. 3709 (13/03)</t>
  </si>
  <si>
    <t>INV NO. 4582 (08/04)</t>
  </si>
  <si>
    <t>INV NO. 6716 (13/05)</t>
  </si>
  <si>
    <t>INV NO. 2469 (19/08)</t>
  </si>
  <si>
    <t>MAHAKAM SEJAHTERA ALKESINDO, PT</t>
  </si>
  <si>
    <t>MAHAKAM SEJAHTERA ALKESINDO, PT (REK BARU)</t>
  </si>
  <si>
    <t>INV NO. 195 (11/02)</t>
  </si>
  <si>
    <t>INV NO. 864 (13/03)</t>
  </si>
  <si>
    <t>INV NO. 1068 (15/04)</t>
  </si>
  <si>
    <t>INV NO. 1193 (29/04)</t>
  </si>
  <si>
    <t>INV NO. 1194 (29/04)</t>
  </si>
  <si>
    <t>INV NO. 1216 (29/04)</t>
  </si>
  <si>
    <t>INV NO. 1337 (20/05)</t>
  </si>
  <si>
    <t>INV NO. 1366 (20/05)</t>
  </si>
  <si>
    <t>CICILAN INV NO. 1707 (10/07)</t>
  </si>
  <si>
    <t>INV NO. 1750 (17/07)</t>
  </si>
  <si>
    <t>INV NO. 1829 (29/07)</t>
  </si>
  <si>
    <t>INV NO. 1830 (29/07)</t>
  </si>
  <si>
    <t>INV NO. 2142 (16/09)</t>
  </si>
  <si>
    <t>INV NO. 2145 (16/09)</t>
  </si>
  <si>
    <t>MENSA BINA SUKSES, PT</t>
  </si>
  <si>
    <t>INV NO. 2606 (27/03)</t>
  </si>
  <si>
    <t>INV NO. 4830 (04/09)</t>
  </si>
  <si>
    <t>MERAPI UTAMA PHARMA, PT</t>
  </si>
  <si>
    <t>INV NO. 423 (21/01)</t>
  </si>
  <si>
    <t>INV NO. 597 (30/01)</t>
  </si>
  <si>
    <t>INV NO. 645 (30/01)</t>
  </si>
  <si>
    <t>INV NO. 663 (30/01)</t>
  </si>
  <si>
    <t>INV NO. 1319 (11/02)</t>
  </si>
  <si>
    <t>INV NO. 1657 (18/02)</t>
  </si>
  <si>
    <t>INV NO. 1688 (18/02)</t>
  </si>
  <si>
    <t>INV NO. 2993 (04/03)</t>
  </si>
  <si>
    <t>INV NO. 2979 (04/03)</t>
  </si>
  <si>
    <t>INV NO. 2996 (04/03)</t>
  </si>
  <si>
    <t>INV NO. 3033 (11/03)</t>
  </si>
  <si>
    <t>INV NO. 3068 (11/03)</t>
  </si>
  <si>
    <t>INV NO. 3184 (11/03)</t>
  </si>
  <si>
    <t>INV NO. 3228 (11/03)</t>
  </si>
  <si>
    <t>INV NO. 3317 (11/03)</t>
  </si>
  <si>
    <t>INV NO. 3196 (18/03)</t>
  </si>
  <si>
    <t>INV NO. 3760 (18/03)</t>
  </si>
  <si>
    <t>INV NO. 5350 (29/04)</t>
  </si>
  <si>
    <t>INV NO. 5345 (29/04)</t>
  </si>
  <si>
    <t>INV NO. 5365 (29/04)</t>
  </si>
  <si>
    <t>INV NO. 5366 (29/04)</t>
  </si>
  <si>
    <t>INV NO. 5367 (29/04)</t>
  </si>
  <si>
    <t>INV NO. 5368 (29/04)</t>
  </si>
  <si>
    <t>INV NO. 5454 (29/04)</t>
  </si>
  <si>
    <t>INV NO. 5469 (29/04)</t>
  </si>
  <si>
    <t>INV NO. 5832 (06/05)</t>
  </si>
  <si>
    <t>INV NO. 5850 (06/05)</t>
  </si>
  <si>
    <t>INV NO. 5852 (06/05)</t>
  </si>
  <si>
    <t>INV NO. 5883 (06/05)</t>
  </si>
  <si>
    <t>INV NO. 6183 (06/05)</t>
  </si>
  <si>
    <t>INV NO. 6286 (13/05)</t>
  </si>
  <si>
    <t>INV NO. 6925 (20/05)</t>
  </si>
  <si>
    <t>INV NO. 7023 (28/06)</t>
  </si>
  <si>
    <t>INV NO. 7149 (28/06)</t>
  </si>
  <si>
    <t>INV NO. 8065 (10/06)</t>
  </si>
  <si>
    <t>INV NO. 8396 (10/06)</t>
  </si>
  <si>
    <t>INV NO. 9781 (08/07)</t>
  </si>
  <si>
    <t>INV NO. 9831 (08/07)</t>
  </si>
  <si>
    <t>INV NO. 9836 (08/07)</t>
  </si>
  <si>
    <t>INV NO. 10520 (22/07)</t>
  </si>
  <si>
    <t>INV NO. 10535 (22/07)</t>
  </si>
  <si>
    <t>INV NO. 10660 (22/07)</t>
  </si>
  <si>
    <t>INV NO. 10729 (22/07)</t>
  </si>
  <si>
    <t>INV NO. 10760 (22/07)</t>
  </si>
  <si>
    <t>INV NO. 10959 (29/07)</t>
  </si>
  <si>
    <t>INV NO. 10960 (29/07)</t>
  </si>
  <si>
    <t>INV NO. 1054 (29/07)</t>
  </si>
  <si>
    <t>INV NO. 1143 (05/08)</t>
  </si>
  <si>
    <t>INV NO. 1527 (05/08)</t>
  </si>
  <si>
    <t>INV NO. 1216 (05/08)</t>
  </si>
  <si>
    <t>INV NO. 1520 (05/08)</t>
  </si>
  <si>
    <t>INV NO. 1529 (05/08)</t>
  </si>
  <si>
    <t>INV NO. 1607 (05/08)</t>
  </si>
  <si>
    <t>INV NO. 1629 (12/08)</t>
  </si>
  <si>
    <t>INV NO. 1678 (12/08)</t>
  </si>
  <si>
    <t>INV NO. 1734 (12/08)</t>
  </si>
  <si>
    <t>INV NO. 1934 (12/08)</t>
  </si>
  <si>
    <t>INV NO. 2006 (12/08)</t>
  </si>
  <si>
    <t>INV NO. 2084 (12/08)</t>
  </si>
  <si>
    <t>INV NO. 2166 (19/08)</t>
  </si>
  <si>
    <t>INV NO. 2467 (19/08)</t>
  </si>
  <si>
    <t>INV NO. 2513 (19/08)</t>
  </si>
  <si>
    <t>INV NO. 3061 (26/08)</t>
  </si>
  <si>
    <t>INV NO. 3065 (26/08)</t>
  </si>
  <si>
    <t>INV NO. 3066 (26/08)</t>
  </si>
  <si>
    <t>INV NO. 3159 (26/08)</t>
  </si>
  <si>
    <t>INV NO. 3303 (02/09)</t>
  </si>
  <si>
    <t>INV NO. 3305 (02/09)</t>
  </si>
  <si>
    <t>INV NO. 4069 (16/09)</t>
  </si>
  <si>
    <t>INV NO. 4236 (16/09)</t>
  </si>
  <si>
    <t>INV NO. 4287 (16/09)</t>
  </si>
  <si>
    <t>INV NO. 4338 (16/09)</t>
  </si>
  <si>
    <t>METTA KARYA HUTAMA, PT</t>
  </si>
  <si>
    <t>INV NO. 04 (20/02)</t>
  </si>
  <si>
    <t>INV NO. 0005 (04/03)</t>
  </si>
  <si>
    <t>INV NO. 0017 (04/03)</t>
  </si>
  <si>
    <t>INV NO. 0001 (04/03)</t>
  </si>
  <si>
    <t>INV NO. 0009 (25/03)</t>
  </si>
  <si>
    <t>INV NO. 0006 (08/05)</t>
  </si>
  <si>
    <t>INV NO. 0017 (08/05)</t>
  </si>
  <si>
    <t>INV NO. 0004 (08/05)</t>
  </si>
  <si>
    <t>INV NO. 0008 (20/05)</t>
  </si>
  <si>
    <t>INV NO. 0004 (20/05)</t>
  </si>
  <si>
    <t>INV NO. 0006 (31/05)</t>
  </si>
  <si>
    <t>INV NO. 0012 (31/05)</t>
  </si>
  <si>
    <t>INV NO. 0004 (03/06)</t>
  </si>
  <si>
    <t>INV NO. 0004 (10/06)</t>
  </si>
  <si>
    <t>INV NO. 0003 (17/06)</t>
  </si>
  <si>
    <t>INV NO. 0008 (15/07)</t>
  </si>
  <si>
    <t>INV NO. 0012 (22/07)</t>
  </si>
  <si>
    <t>INV NO. 0015 (22/07)</t>
  </si>
  <si>
    <t>INV NO. 0016 (22/07)</t>
  </si>
  <si>
    <t>INV NO. 0021 (22/07)</t>
  </si>
  <si>
    <t>INV NO. 0014 (22/07)</t>
  </si>
  <si>
    <t>INV NO. 0001 (29/07)</t>
  </si>
  <si>
    <t>INV NO. 0011 (05/08)</t>
  </si>
  <si>
    <t>INV NO. 0004 (19/08)</t>
  </si>
  <si>
    <t>INV NO. 0018 (19/08)</t>
  </si>
  <si>
    <t>INV NO. 0006 (09/09)</t>
  </si>
  <si>
    <t>MILLENIUM PHARMACON INTERNATIONAL, PT</t>
  </si>
  <si>
    <t>INV NO. 112 (11/02)</t>
  </si>
  <si>
    <t>INV NO. 109 (11/02)</t>
  </si>
  <si>
    <t>INV NO. 786 (11/02)</t>
  </si>
  <si>
    <t>INV NO. 862 (11/02)</t>
  </si>
  <si>
    <t>INV NO. 139 (18/02)</t>
  </si>
  <si>
    <t>INV NO. 200 (18/02)</t>
  </si>
  <si>
    <t>INV NO. 1484 (18/02)</t>
  </si>
  <si>
    <t>INV NO. 214 (18/02)</t>
  </si>
  <si>
    <t>INV NO. 1720 (20/02)</t>
  </si>
  <si>
    <t>INV NO. 234 (20/02)</t>
  </si>
  <si>
    <t>INV NO. 1795 (20/02)</t>
  </si>
  <si>
    <t>INV NO. 2203 (20/02)</t>
  </si>
  <si>
    <t>INV NO. 2273 (04/03)</t>
  </si>
  <si>
    <t>INV NO. 2285 (04/03)</t>
  </si>
  <si>
    <t>INV NO. 315 (06/03)</t>
  </si>
  <si>
    <t>INV NO. 322 (06/03)</t>
  </si>
  <si>
    <t>INV NO. 2487 (04/03)</t>
  </si>
  <si>
    <t>INV NO. 336 (04/03)</t>
  </si>
  <si>
    <t>INV NO. 2904 (06/03)</t>
  </si>
  <si>
    <t>INV NO. 402 (06/03)</t>
  </si>
  <si>
    <t>INV NO. 409 (06/03)</t>
  </si>
  <si>
    <t>INV NO. 404 (06/03)</t>
  </si>
  <si>
    <t>INV NO. 406 (06/03)</t>
  </si>
  <si>
    <t>INV NO. 3067 (06/03)</t>
  </si>
  <si>
    <t>INV NO. 426 (06/03)</t>
  </si>
  <si>
    <t>INV NO. 755 (03/05)</t>
  </si>
  <si>
    <t>INV NO. 782 (03/05)</t>
  </si>
  <si>
    <t>INV NO. 9406 (03/07)</t>
  </si>
  <si>
    <t>INV NO. 9407 (03/07)</t>
  </si>
  <si>
    <t>INV NO. 9390 (03/07)</t>
  </si>
  <si>
    <t>CICILAN INV NO. 1284 (03/07)</t>
  </si>
  <si>
    <t>PELUNASAN INV NO. 1284 (03/07)</t>
  </si>
  <si>
    <t>INV NO. 9400 (03/07)</t>
  </si>
  <si>
    <t>INV NO. 9455 (08/07)</t>
  </si>
  <si>
    <t>INV NO. 1292 (08/07)</t>
  </si>
  <si>
    <t>INV NO. 9476 (08/07)</t>
  </si>
  <si>
    <t>INV NO. 1705 (02/09)</t>
  </si>
  <si>
    <t>MIRA CHEN INACI</t>
  </si>
  <si>
    <t>INV NO. 224 (16/07)</t>
  </si>
  <si>
    <t>INV NO. 235 (23/07)</t>
  </si>
  <si>
    <t>INV NO. 268 (01/10)</t>
  </si>
  <si>
    <t>INV NO. 277 (01/10)</t>
  </si>
  <si>
    <t>INV NO. 302 (01/10)</t>
  </si>
  <si>
    <t>INV NO. 318 (05/11)</t>
  </si>
  <si>
    <t>INV NO. 344 (05/11)</t>
  </si>
  <si>
    <t>INV NO. 354 (31/12)</t>
  </si>
  <si>
    <t>INV NO. 381 (31/12)</t>
  </si>
  <si>
    <t>INV NO. 387 (31/12)</t>
  </si>
  <si>
    <t>INV NO. 418 (23/01)</t>
  </si>
  <si>
    <t>INV NO. 426 (23/01)</t>
  </si>
  <si>
    <t>INV NO. 023 (15/04)</t>
  </si>
  <si>
    <t>INV NO. 069 (15/04)</t>
  </si>
  <si>
    <t>INV NO. 033 (20/05)</t>
  </si>
  <si>
    <t>INV NO. 134 (31/07)</t>
  </si>
  <si>
    <t>INV NO. 161 (31/07)</t>
  </si>
  <si>
    <t>MITRA HUSAIN SEJAHTERA</t>
  </si>
  <si>
    <t>INV NO. 0001 (01/08)</t>
  </si>
  <si>
    <t>INV NO. 0001 (17/09)</t>
  </si>
  <si>
    <t>INV NO. 0003 (29/07)</t>
  </si>
  <si>
    <t>INV NO. 0001 (05/08)</t>
  </si>
  <si>
    <t>MITRA MESTIKA SARANA, PT</t>
  </si>
  <si>
    <t>INV NO. 134 (12/03)</t>
  </si>
  <si>
    <t>INV NO. 250 (10/05)</t>
  </si>
  <si>
    <t>INV NO. 269 (13/05)</t>
  </si>
  <si>
    <t>INV NO. 309 (13/05)</t>
  </si>
  <si>
    <t>INV NO. 437 (08/07)</t>
  </si>
  <si>
    <t>MURINDO MULTI SARANA, PT</t>
  </si>
  <si>
    <t>INV NO. 520 (01/07)</t>
  </si>
  <si>
    <t>INV NO. 562 (01/07)</t>
  </si>
  <si>
    <t>INV NO. 791 (01/07)</t>
  </si>
  <si>
    <t>PARIT PADANG GLOBAL, PT</t>
  </si>
  <si>
    <t>INV NO. 9698 (25/01)</t>
  </si>
  <si>
    <t>INV NO. 9815 (25/01)</t>
  </si>
  <si>
    <t>INV NO. 9816 (25/01)</t>
  </si>
  <si>
    <t>INV NO. 50178 (25/01)</t>
  </si>
  <si>
    <t>INV NO. 50232 (25/01)</t>
  </si>
  <si>
    <t>INV NO. 5549 (06/03)</t>
  </si>
  <si>
    <t>INV NO. 5703 (06/03)</t>
  </si>
  <si>
    <t>INV NO. 6185 (06/03)</t>
  </si>
  <si>
    <t>INV NO. 5916 (06/03)</t>
  </si>
  <si>
    <t>INV NO. 6331 (27/03)</t>
  </si>
  <si>
    <t>INV NO. 6728 (27/03)</t>
  </si>
  <si>
    <t>INV NO. 6826 (27/03)</t>
  </si>
  <si>
    <t>INV NO. 7560 (27/03)</t>
  </si>
  <si>
    <t>INV NO. 7779 (27/03)</t>
  </si>
  <si>
    <t>INV NO. 8526 (27/03)</t>
  </si>
  <si>
    <t>INV NO. 60501 (26/04)</t>
  </si>
  <si>
    <t>INV NO. 60636 (26/04)</t>
  </si>
  <si>
    <t>INV NO. 60729 (26/04)</t>
  </si>
  <si>
    <t>INV NO. 60862 (26/04)</t>
  </si>
  <si>
    <t>INV NO. 4255 (19/07)</t>
  </si>
  <si>
    <t>INV NO. 4748 (19/07)</t>
  </si>
  <si>
    <t>INV NO. 4863 (13/09)</t>
  </si>
  <si>
    <t>INV NO. 5189 (13/09)</t>
  </si>
  <si>
    <t>INV NO. 5190 (13/09)</t>
  </si>
  <si>
    <t>INV NO. 5280 (13/09)</t>
  </si>
  <si>
    <t>INV NO. 6812 (13/09)</t>
  </si>
  <si>
    <t>INV NO. 6813 (13/09)</t>
  </si>
  <si>
    <t>INV NO. 6814 (13/09)</t>
  </si>
  <si>
    <t>INV NO. 6815 (13/09)</t>
  </si>
  <si>
    <t>INV NO. 6816 (13/09)</t>
  </si>
  <si>
    <t>PENTA VALENT, PT</t>
  </si>
  <si>
    <t>INV NO. 3747 (22/03)</t>
  </si>
  <si>
    <t>INV NO. 3844 (22/03)</t>
  </si>
  <si>
    <t>INV NO. 4255 (05/04)</t>
  </si>
  <si>
    <t>INV NO. 4593 (12/04)</t>
  </si>
  <si>
    <t>INV NO. 4748 (12/04)</t>
  </si>
  <si>
    <t>INV NO. 4772 (12/04)</t>
  </si>
  <si>
    <t>INV NO. 4773 (12/04)</t>
  </si>
  <si>
    <t>INV NO.5657 (03/05)</t>
  </si>
  <si>
    <t>INV NO. 5725 (03/05)</t>
  </si>
  <si>
    <t>INV NO. 5835 (03/05)</t>
  </si>
  <si>
    <t>INV NO. 5837 (03/05)</t>
  </si>
  <si>
    <t>INV NO. 3094 (02/08)</t>
  </si>
  <si>
    <t>INV NO. 1324 (09/08)</t>
  </si>
  <si>
    <t>INV NO. 1338 (09/08)</t>
  </si>
  <si>
    <t>INV NO. 1681 (16/08)</t>
  </si>
  <si>
    <t>INV NO. 3574 (30/08)</t>
  </si>
  <si>
    <t>INV NO. 3274 (16/09)</t>
  </si>
  <si>
    <t>RAJAWALI NUSINDO, PT</t>
  </si>
  <si>
    <t>RAJAWALI NUSINDO, PT (REK BARU)</t>
  </si>
  <si>
    <t>INV NO. 123 (13/02)</t>
  </si>
  <si>
    <t>INV NO. 154 (13/02)</t>
  </si>
  <si>
    <t>INV NO. 130 (18/02)</t>
  </si>
  <si>
    <t>INV NO. 131 (18/02)</t>
  </si>
  <si>
    <t>INV NO. 206 (25/02)</t>
  </si>
  <si>
    <t>INV NO. 483 (27/03)</t>
  </si>
  <si>
    <t>INV NO. 520 (15/04)</t>
  </si>
  <si>
    <t>INV NO. 587 (22/04)</t>
  </si>
  <si>
    <t>INV NO. 588 (22/04)</t>
  </si>
  <si>
    <t>INV NO. 776 (08/05)</t>
  </si>
  <si>
    <t>INV NO. 1081 (17/06)</t>
  </si>
  <si>
    <t>INV NO. 1082 (17/06)</t>
  </si>
  <si>
    <t>INV NO. 1175 (24/06)</t>
  </si>
  <si>
    <t>INV NO. 1192 (01/07)</t>
  </si>
  <si>
    <t>INV NO. 1250 (08/07)</t>
  </si>
  <si>
    <t>INV NO. 1348 (10/07)</t>
  </si>
  <si>
    <t>INV NO. 1349 (10/07)</t>
  </si>
  <si>
    <t>INV NO. 1384 (17/07)</t>
  </si>
  <si>
    <t>INV NO. 1397 (31/07)</t>
  </si>
  <si>
    <t>INV NO. 1465 (05/08)</t>
  </si>
  <si>
    <t>INV NO. 1470 (05/08)</t>
  </si>
  <si>
    <t>INV NO. 1645 (12/08)</t>
  </si>
  <si>
    <t>INV NO. 1671 (12/08)</t>
  </si>
  <si>
    <t>INV NO. 1716 (21/08)</t>
  </si>
  <si>
    <t>INV NO. 1731 (21/08)</t>
  </si>
  <si>
    <t>INV NO. 1754 (26/08)</t>
  </si>
  <si>
    <t>INV NO. 1759 (26/08)</t>
  </si>
  <si>
    <t>INV NO. 1929 (09/09)</t>
  </si>
  <si>
    <t>SAPTA SARI TAMA, PT</t>
  </si>
  <si>
    <t>INV NO. 650 (28/01)</t>
  </si>
  <si>
    <t>INV NO. 1479 (11/02)</t>
  </si>
  <si>
    <t>INV NO. 10508 (05/06)</t>
  </si>
  <si>
    <t>INV NO. 10786 (10/06)</t>
  </si>
  <si>
    <t>INV NO. 7617 (26/08)</t>
  </si>
  <si>
    <t>SARANA ADHIMUKTI REJEKI, PT</t>
  </si>
  <si>
    <t>INV NO. 35 (25/02)</t>
  </si>
  <si>
    <t>SINAR RODA UTAMA</t>
  </si>
  <si>
    <t>INV NO. 1288 (04/03)</t>
  </si>
  <si>
    <t>STARINDO</t>
  </si>
  <si>
    <t>STARINDO MULTI SUKSES, PT</t>
  </si>
  <si>
    <t>INV NO. 4025 (15/03)</t>
  </si>
  <si>
    <t>INV NO. 4009 (15/03)</t>
  </si>
  <si>
    <t>INV NO. 9003 (15/03)</t>
  </si>
  <si>
    <t>CICILAN INV NO. 9009 (15/03)</t>
  </si>
  <si>
    <t>PELUNASAN INV NO. 9009 (15/03)</t>
  </si>
  <si>
    <t>INV NO. 5013 (15/03)</t>
  </si>
  <si>
    <t>INV NO. 6016 (15/03)</t>
  </si>
  <si>
    <t>INV NO. 3020 (15/03)</t>
  </si>
  <si>
    <t>INV NO. 8009 (03/07)</t>
  </si>
  <si>
    <t>SUMBER REJEKI MEDIKA JAYA, PT</t>
  </si>
  <si>
    <t>INV NO. 2361 (12/10)</t>
  </si>
  <si>
    <t>INV NO. 2615 (12/10)</t>
  </si>
  <si>
    <t>INV NO. 3127 (12/11)</t>
  </si>
  <si>
    <t>INV NO. 3244 (12/11)</t>
  </si>
  <si>
    <t>INV NO. 3345 (12/11)</t>
  </si>
  <si>
    <t>INV NO. 3397 (12/11)</t>
  </si>
  <si>
    <t>INV NO. 3512 (12/11)</t>
  </si>
  <si>
    <t>INV NO. 3520 (12/11)</t>
  </si>
  <si>
    <t>INV NO. 3569 (12/11)</t>
  </si>
  <si>
    <t>INV NO. 3605 (12/11)</t>
  </si>
  <si>
    <t>INV NO. 3720 (12/11)</t>
  </si>
  <si>
    <t>INV NO. 3782 (12/11)</t>
  </si>
  <si>
    <t>INV NO. 3881 (12/11)</t>
  </si>
  <si>
    <t>INV NO. 3882 (12/11)</t>
  </si>
  <si>
    <t>INV NO. 4152 (12/12)</t>
  </si>
  <si>
    <t>INV NO. 4603 (12/12)</t>
  </si>
  <si>
    <t>INV NO. 4655 (12/12)</t>
  </si>
  <si>
    <t>INV NO. 4875 (12/12)</t>
  </si>
  <si>
    <t>INV NO. 4874 (12/12)</t>
  </si>
  <si>
    <t>INV NO. 4897 (12/12)</t>
  </si>
  <si>
    <t>INV NO. 4997 (12/12)</t>
  </si>
  <si>
    <t>INV NO. 5056 (12/12)</t>
  </si>
  <si>
    <t>INV NO. 5580 (14/01)</t>
  </si>
  <si>
    <t>INV NO. 6054 (14/01)</t>
  </si>
  <si>
    <t>INV NO. 4252 (21/01)</t>
  </si>
  <si>
    <t>INV NO. 5457 (21/01)</t>
  </si>
  <si>
    <t>INV NO. 5518 (21/01)</t>
  </si>
  <si>
    <t>INV NO. 5530 (21/01)</t>
  </si>
  <si>
    <t>INV NO. 5566 (21/01)</t>
  </si>
  <si>
    <t>INV NO. 6053 (21/01)</t>
  </si>
  <si>
    <t>INV NO. 5981 (21/01)</t>
  </si>
  <si>
    <t>INV NO. 6202 (21/01)</t>
  </si>
  <si>
    <t>INV NO. 215 (04/02)</t>
  </si>
  <si>
    <t>INV NO. 251 (04/02)</t>
  </si>
  <si>
    <t>INV NO. 252 (04/02)</t>
  </si>
  <si>
    <t>INV NO. 1340 (13/03)</t>
  </si>
  <si>
    <t>INV NO. 1341 (13/03)</t>
  </si>
  <si>
    <t>INV NO. 1399 (13/03)</t>
  </si>
  <si>
    <t>INV NO. 1398 (13/03)</t>
  </si>
  <si>
    <t>INV NO. 1699 (13/03)</t>
  </si>
  <si>
    <t>INV NO. 1471 (13/03)</t>
  </si>
  <si>
    <t>INV NO. 1838 (13/03)</t>
  </si>
  <si>
    <t>INV NO. 1842 (13/03)</t>
  </si>
  <si>
    <t>INV NO. 1902 (13/03)</t>
  </si>
  <si>
    <t>INV NO. 2039 (17/04)</t>
  </si>
  <si>
    <t>INV NO. 2202 (17/04)</t>
  </si>
  <si>
    <t>INV NO. 2720 (17/04)</t>
  </si>
  <si>
    <t>INV NO. 2446 (17/04)</t>
  </si>
  <si>
    <t>INV NO. 3523 (13/05)</t>
  </si>
  <si>
    <t>INV NO. 3524 (13/05)</t>
  </si>
  <si>
    <t>INV NO. 3525 (13/05)</t>
  </si>
  <si>
    <t>INV NO. 4318 (17/06)</t>
  </si>
  <si>
    <t>INV NO. 4309 (17/06)</t>
  </si>
  <si>
    <t>INV NO. 4319 (17/06)</t>
  </si>
  <si>
    <t>INV NO. 6216 (15/07)</t>
  </si>
  <si>
    <t>INV NO. 6217 (15/07)</t>
  </si>
  <si>
    <t>INV NO. 7713 (09/09)</t>
  </si>
  <si>
    <t>INV NO. 8265 (09/09)</t>
  </si>
  <si>
    <t>INV NO. 7509 (09/09)</t>
  </si>
  <si>
    <t>INV NO. 8036 (09/09)</t>
  </si>
  <si>
    <t>INV NO. 8264 (09/09)</t>
  </si>
  <si>
    <t>T E M P O</t>
  </si>
  <si>
    <t>INV NO. 7608 (23/01)</t>
  </si>
  <si>
    <t>INV NO. 8113 (30/01)</t>
  </si>
  <si>
    <t>INV NO. 8229 (30/01)</t>
  </si>
  <si>
    <t>INV NO. 2677 (22/05)</t>
  </si>
  <si>
    <t>INV NO. 2680 (22/05)</t>
  </si>
  <si>
    <t>INV NO. 7070 (19/06)</t>
  </si>
  <si>
    <t>INV NO. 1967 (24/07)</t>
  </si>
  <si>
    <t>INV NO. 6307 (30/08)</t>
  </si>
  <si>
    <t>INV NO. 6872 (04/09)</t>
  </si>
  <si>
    <t>INV NO. 7067 (04/09)</t>
  </si>
  <si>
    <t>INV NO. 8872 (11/09)</t>
  </si>
  <si>
    <t>TIGA PUTRA SUKSES ALKESINDO, PT</t>
  </si>
  <si>
    <t>INV NO. 9182 (19/06)</t>
  </si>
  <si>
    <t>UNITED DICO CITAS, PT</t>
  </si>
  <si>
    <t>INV NO. 1154 (30/01)</t>
  </si>
  <si>
    <t>INV NO. 1497 (11/02)</t>
  </si>
  <si>
    <t>INV NO. 1808 (25/02)</t>
  </si>
  <si>
    <t>INV NO. 1971 (11/03)</t>
  </si>
  <si>
    <t>INV NO. 2010 (11/03)</t>
  </si>
  <si>
    <t>INV NO. 4455 (05/07)</t>
  </si>
  <si>
    <t>INV NO. 4561 (05/07)</t>
  </si>
  <si>
    <t>INV NO. 5319 (12/08)</t>
  </si>
  <si>
    <t>INV NO. 5608 (12/08)</t>
  </si>
  <si>
    <t>INV NO. 5825 (12/08)</t>
  </si>
  <si>
    <t>YAMHATEVY PARAN MANDIRI</t>
  </si>
  <si>
    <t>INV NO. 812 (26/06)</t>
  </si>
  <si>
    <t>INV NO. 811 (26/06)</t>
  </si>
  <si>
    <t>INV NO. 682 (26/06)</t>
  </si>
  <si>
    <t>INV NO. 1225 (02/09)</t>
  </si>
  <si>
    <t>YASA MAHKOTA MULIA, PT</t>
  </si>
  <si>
    <t>INV NO. 772 (26/12)</t>
  </si>
  <si>
    <t>INV NO. 773 (26/12)</t>
  </si>
  <si>
    <t>INV NO. 788 (26/12)</t>
  </si>
  <si>
    <t>INV NO. 840 (13/02)</t>
  </si>
  <si>
    <t>INV NO. 841 (13/02)</t>
  </si>
  <si>
    <t>INV NO. 86 (13/02)</t>
  </si>
  <si>
    <t>INV NO. 861 (13/02)</t>
  </si>
  <si>
    <t>INV NO. 864 (13/02)</t>
  </si>
  <si>
    <t>INV NO. 918 (03/06)</t>
  </si>
  <si>
    <t>INV NO. 919 (03/06)</t>
  </si>
  <si>
    <t>INV NO. 945 (10/07)</t>
  </si>
  <si>
    <t>INV NO. 1042 (07/08)</t>
  </si>
  <si>
    <t>ZIWAN RIZKY, CV</t>
  </si>
  <si>
    <t>ALAT KESEHATAN</t>
  </si>
  <si>
    <t>KARYA INSANI MEDIKA</t>
  </si>
  <si>
    <t>INV NO. 050, PERBAIKAN UNIT X-RAY DAN CR RADIOLOGI RS SAMS (12/08)</t>
  </si>
  <si>
    <t>OKTARIZA RIZKILLAH</t>
  </si>
  <si>
    <t>CICILAN I ALAT NICU DAN FISIOTHERAPY</t>
  </si>
  <si>
    <t>04/12/24</t>
  </si>
  <si>
    <t>CICILAN II ALAT NICU DAN FISIOTHERAPY</t>
  </si>
  <si>
    <t>02/01/25</t>
  </si>
  <si>
    <t>ALAT NICU DAN FISIOTHERAPY</t>
  </si>
  <si>
    <t>CICILAN I SRYNGE PUMP UNTUK PICU NICU (03/12)</t>
  </si>
  <si>
    <t>CICILAN II SRYNGE PUMP UNTUK PICU NICU (03/12)</t>
  </si>
  <si>
    <t>PELUNASAN SRYNGE PUMP UNTUK PICU NICU (03/12)</t>
  </si>
  <si>
    <t>CICILAN TAHAP I LAMPU OPERASI 2 DOUBLE HEAD</t>
  </si>
  <si>
    <t>CICILAN TAHAP II LAMPU OPERASI 2 DOUBLE HEAD</t>
  </si>
  <si>
    <t>CICILAN TAHAP III LAMPU OPERASI 2 DOUBLE HEAD</t>
  </si>
  <si>
    <t>CICILAN TAHAP IV LAMPU OPERASI 2 DOUBLE HEAD</t>
  </si>
  <si>
    <t>CICILAN TAHAP V LAMPU OPERASI 2 DOUBLE HEAD</t>
  </si>
  <si>
    <t>CICILAN TAHAP VI LAMPU OPERASI 2 DOUBLE HEAD</t>
  </si>
  <si>
    <t>CICILAN TAHAP VII LAMPU OPERASI 2 DOUBLE HEAD</t>
  </si>
  <si>
    <t>CICILAN TAHAP VIII LAMPU OPERASI 2 DOUBLE HEAD</t>
  </si>
  <si>
    <t>CICILAN TAHAP IX LAMPU OPERASI 2 DOUBLE HEAD</t>
  </si>
  <si>
    <t>CICILAN TAHAP X LAMPU OPERASI 2 DOUBLE HEAD</t>
  </si>
  <si>
    <t>CICILAN TAHAP XI LAMPU OPERASI 2 DOUBLE HEAD</t>
  </si>
  <si>
    <t>CICILAN TAHAP XII LAMPU OPERASI 2 DOUBLE HEAD</t>
  </si>
  <si>
    <t>CICILAN TAHAP XIII LAMPU OPERASI 2 DOUBLE HEAD</t>
  </si>
  <si>
    <t>CICILAN TAHAP XIV LAMPU OPERASI 2 DOUBLE HEAD</t>
  </si>
  <si>
    <t>CICILAN TAHAP XV LAMPU OPERASI 2 DOUBLE HEAD</t>
  </si>
  <si>
    <t>CICILAN TAHAP XVI LAMPU OPERASI 2 DOUBLE HEAD</t>
  </si>
  <si>
    <t>CICILAN TAHAP XVII LAMPU OPERASI 2 DOUBLE HEAD</t>
  </si>
  <si>
    <t>CICILAN TAHAP XVIII LAMPU OPERASI 2 DOUBLE HEAD</t>
  </si>
  <si>
    <t>CICILAN TAHAP 19 LAMPU OPERASI 2 DOUBLE HEAD</t>
  </si>
  <si>
    <t>CICILAN TAHAP 20 LAMPU OPERASI 2 DOUBLE HEAD</t>
  </si>
  <si>
    <t>INV NO. 3017, PEMBELIAN LAMPU OPERASI DOUBLE HEAD OKLED (11/07)</t>
  </si>
  <si>
    <t>CICILAN I BED TINDAKAN DAN MEJA INV NO. 7332 (13/06)</t>
  </si>
  <si>
    <t>PELUNASAN BED TINDAKAN DAN MEJA INV NO. 7332 (13/06)</t>
  </si>
  <si>
    <t>INV NO. 8954, INCUBATOR BAYI YP-100 GEA (16/07)</t>
  </si>
  <si>
    <t>UUT SAYFUDIN</t>
  </si>
  <si>
    <t>DP INSTALASI OKSIGEN SENTRAL GAS MEDIS (30/04)</t>
  </si>
  <si>
    <t>INSTALASI OKSIGEN SENTRAL GAS MEDIS (30/04)</t>
  </si>
  <si>
    <t>CICILAN I CTG FETAL MONITOR BT-350 (14/05)</t>
  </si>
  <si>
    <t>CICILAN II CTG FETAL MONITOR BT-350 (14/05)</t>
  </si>
  <si>
    <t>INV NO. 504, PEMBELIAN PATIENT MONITOR HK-805 (14/05)</t>
  </si>
  <si>
    <t>INV NO. 549, PEMBELIAN EKG BK-1201A BOSKA (27/06)</t>
  </si>
  <si>
    <t>PELAYANAN RUJUKAN DAN LABORATORIUM</t>
  </si>
  <si>
    <t>RS DIRGAHAYU</t>
  </si>
  <si>
    <t>C</t>
  </si>
  <si>
    <t>INV NO. 4285, PEMERIKSAAN MARDIANA, DJUMRIA, UNTUNG, KARMI (30/09)</t>
  </si>
  <si>
    <t>INV NO. 4385, PEMERIKSAAN NANIK DAN SITI TOYIBATIN (30/09)</t>
  </si>
  <si>
    <t>INV NO. 4430, PEMERIKSAAN AN. SAFIRA, VANESCIA SAVELLA, ALUSTINAWATI DLL(08/10)</t>
  </si>
  <si>
    <t>INV NO. 4493, PEMERIKSAAN AN. MUKSIN (08/10)</t>
  </si>
  <si>
    <t>INV NO. 4506, PEMERIKSAAN AN. GUSTI ROLINA (08/10)</t>
  </si>
  <si>
    <t>INV NO. 4507, PEMERIKSAAN AN. ARPIAH (08/10)</t>
  </si>
  <si>
    <t>INV NO. 4525, PEMERIKSAAN AN. ZAHRAN KHAIRY, EKO JATMIKA DAN USWANTINI (08/10)</t>
  </si>
  <si>
    <t>INV NO. 4540, PEMERIKSAAN AN. JULIUS ARUNGBUA, WINDIANA DAN ROHANA (08/10)</t>
  </si>
  <si>
    <t>INV NO. 4579, PEMERIKSAAN AN. ALI RAHMAN DAN DAHRI (08/10)</t>
  </si>
  <si>
    <t>INV NO. 4745, PEMERIKSAAN AN. AGUS HERMANSYAH (16/10)</t>
  </si>
  <si>
    <t>INV NO. 4763, PEMERIKSAAN AN. JULIAN DAVID, HARIYANI, CHONG KAI DLL (16/10)</t>
  </si>
  <si>
    <t>INV NO. 4669, PEMERIKSAAN AN. IKA RISMA, RESPIYANTI, DWI HERI DLL (16/10)</t>
  </si>
  <si>
    <t>INV NO. 4906, PEMERIKSAAN AN. SUPIANI, SAHIDA, ANWAR BASRAN DLL (16/11)</t>
  </si>
  <si>
    <t>INV NO. 5040, PEMERIKSAAN AN. LASMIATUN, TUGIYEM, MAKMUR DLL (16/11)</t>
  </si>
  <si>
    <t>INV NO. 5187, PEMERIKSAAN AN. AKHMAD FAIZQI, SURATMI, YULIANA (09/12)</t>
  </si>
  <si>
    <t>INV NO. 5217, PEMERIKSAAN AN. ASRIAH (09/12)</t>
  </si>
  <si>
    <t>INV NO. 5234, PEMERIKSAAN AN. SALFANI MAISYA KARUNIA (09/12)</t>
  </si>
  <si>
    <t>INV NO. 5273, PEMERIKSAAN AN. KUSWANTO (09/12)</t>
  </si>
  <si>
    <t>INV NO. 5383, PEMERIKSAAN AN. NANIK PONISRI DAN SALMIAH (09/12)</t>
  </si>
  <si>
    <t>INV NO. 5492, PEMERIKSAAN AN. NUR LELI HIDAYAH (21/01)</t>
  </si>
  <si>
    <t>INV NO. 5644, PEMERIKSAAN AN. NOERSIAH DAN YULIAN (21/01)</t>
  </si>
  <si>
    <t>INV NO. 27, PEMERIKSAAN AN. SITI NORCHANI, NORHIZDJAH DAN BARA FAQIH (21/01)</t>
  </si>
  <si>
    <t>INV NO. 57, PEMERIKSAAN AN. NURDIANI DAN LINAWATI (21/01)</t>
  </si>
  <si>
    <t>INV NO. 71, PEMERIKSAAN AN. AGIL BASRI, SABARIAH, HERLIANA DAN SUWATI (21/01)</t>
  </si>
  <si>
    <t>INV NO. 142, PEMERIKSAAN AN. KARTINI, MASITAH DAN YONO SUJONO (15/03)</t>
  </si>
  <si>
    <t>INV NO. 171, PEMERIKSAAN AN. AINUN JARIAH, NUR AILIN, DAVID DLL (15/03)</t>
  </si>
  <si>
    <t>INV NO. 172, PEMERIKSAAN AN. MUHAMMAD FATHIR, JARKASI, YULIANTO DLL (15/03)</t>
  </si>
  <si>
    <t>INV NO. 211, PEMERIKSAAN AN. ALAYYA AKIFAH DAN RICA PUSPITASARI (15/03)</t>
  </si>
  <si>
    <t>INV NO. 244, PEMERIKSAAN AN. MUHAMMAD BILAL, AHMAD ZAINI, SUMANTI, JOKO SRIWIDODO DLL (15/03)</t>
  </si>
  <si>
    <t>INV NO. 309, PEMERIKSAAN AN. JUNAIDIN, FARIDAH, HARIANTO DLL (15/03)</t>
  </si>
  <si>
    <t>INV NO. 348, PEMERIKSAAN AN. DETTY AFRIANI (15/03)</t>
  </si>
  <si>
    <t>INV NO. 406, PEMERIKSAAN AN. MUHAMMAD MALIK, AINUL JANNAH, SITI AMINAH DLL (15/03)</t>
  </si>
  <si>
    <t>INV NO. 481, PEMERIKSAAN AN. ALYA AZZAHRA, ARBANI, MUHAMMAD ZAYN DLL (15/03)</t>
  </si>
  <si>
    <t>INV NO. 507, PEMERIKSAAN AN. MERDIANTI ROMBEBUA DAN DARLUIN (15/03)</t>
  </si>
  <si>
    <t>INV NO. 484, PEMERIKSAAN AN. HILDAYANTI DAN THIO ELISA (15/03)</t>
  </si>
  <si>
    <t>INV NO. 590, PEMERIKSAAN AN. SITI NORMALA, NUR CHAYATI, PRINCESS DLL (15/03)</t>
  </si>
  <si>
    <t>INV NO. 571, PEMERIKSAAN AN. MAYA PURNAMASARI DAN KARTINI (15/03)</t>
  </si>
  <si>
    <t>INV NO. 662, PEMERIKSAAN AN. MUHAMMAD DAFFA, MUJIATI, MEDELINE EFENDI DLL (15/03)</t>
  </si>
  <si>
    <t>INV NO. 663, PEMERIKSAAN AN. SHAQUEENA AINAYA, SADEMI, MUHAMMAD LUTFI DLL (15/03)</t>
  </si>
  <si>
    <t>INV NO. 113, PEMERIKSAAN AN. FAIZAH SITI, MUHARDIS CHANIAGO DLL (08/04)</t>
  </si>
  <si>
    <t>INV NO. 782, PEMERIKSAAN AN. MUHAMMAD DAYYAN, YULA DWI, RUSTINI (08/04)</t>
  </si>
  <si>
    <t>INV NO. 940, PEMERIKSAAN AN. INDRA, RUSNANI, INSYIRA DLL (08/04)</t>
  </si>
  <si>
    <t>INV NO. 968, PEMERIKSAAN AN. MENTARI AZZAHRA, ANDRI PAIDI DLL (08/04)</t>
  </si>
  <si>
    <t>INV NO. 1028, PEMERIKSAAN AN. DELFIA SHAMARA (12/04)</t>
  </si>
  <si>
    <t>INV NO. 1109, PEMERIKSAAN AN. RASTINA SITI DAN SADIYAH (12/04)</t>
  </si>
  <si>
    <t>INV NO. 246, PEMERIKSAAN AN. RUDDY SCHOE, YISLAM DANESH, ABDILLAH DLL (14/04)</t>
  </si>
  <si>
    <t>INV NO. 702, PEMERIKSAAN AN. SUMARSO, RIZKA MAULINA, PONIRAH DLL (14/04)</t>
  </si>
  <si>
    <t>INV NO. 761, PEMERIKSAAN AN. SITTI ROHANI, MUHAMMAD RAYYAN DLL (14/04)</t>
  </si>
  <si>
    <t>INV NO. 807, PEMERIKSAAN AN. SITTI HASANAH, SAMSURIANTY, RUDY SUGIANTO DLL (14/04)</t>
  </si>
  <si>
    <t>INV NO. 850, PEMERIKSAAN AN. ANDI FAISAL, MASTUR, AZRIL HAIKAL DLL (14/04)</t>
  </si>
  <si>
    <t>INV NO. 893, PEMERIKSAAN AN. HOLAN SITOMPUL, THORIQ HAKIM, NUR AZIZAH DLL (14/04)</t>
  </si>
  <si>
    <t>INV NO. 1014, PEMERIKSAAN AN. ZAHROTI, ABD RAHMAN, AYUB BANOET (14/04)</t>
  </si>
  <si>
    <t>INV NO. 1230, PEMERIKSAAN AN. FAREL MUSOLINI DAN MUHAMMAD FEBRY (29/04)</t>
  </si>
  <si>
    <t>INV NO. 1255, PEMERIKSAAN AN. MARDIANA DAN KATINI (29/04)</t>
  </si>
  <si>
    <t>INV NO. 1290, PEMERIKSAAN AN. ADHA TRISNA DAN ROSITA DEWI (29/04)</t>
  </si>
  <si>
    <t>INV NO. 1302, PEMERIKSAAN AN. LIDIYANTI PATEMPE (29/04)</t>
  </si>
  <si>
    <t>INV NO. 1595, PEMERIKSAAN AN. SUGIYONO, ANNITA HERAWATY DAN ZAHRA (23/05)</t>
  </si>
  <si>
    <t>INV NO. 1641, PEMERIKSAAN AN. ADANG SUDIRMAN DAN GUSTI APRILYA (23/05)</t>
  </si>
  <si>
    <t>INV NO. 1725, PEMERIKSAAN AN. MANOSOR NAINGGOLAN DAN BULAN SAFA RAHMANA (12/06)</t>
  </si>
  <si>
    <t>INV NO. 1792, PEMERIKSAAN AN. JIBRIL PRIBADI, YUDI PRATAMA DAN ARDIANSYAH (12/06)</t>
  </si>
  <si>
    <t>INV NO. 1756, PEMERIKSAAN AN. HARLINDA, ABDULLAH SANI (12/06)</t>
  </si>
  <si>
    <t>INV NO. 1941, PEMERIKSAAN AN. SITI ZALEHA (12/06)</t>
  </si>
  <si>
    <t>INV NO. 1937, PEMERIKSAAN AN. NUR AZMI RAHMAN (12/06)</t>
  </si>
  <si>
    <t>INV NO. 2057, PEMERIKSAAN AN. SURADI, UDIN, RINY EFFENDY, CHOLIPAH DLL (16/07)</t>
  </si>
  <si>
    <t>INV NO. 2116, PEMERIKSAAAN AN. MUHAMMAD ADITYA PRATAMA (16/07)</t>
  </si>
  <si>
    <t>INV NO. 2122, PEMERIKSAAN AN. DILA AMELIA DAN SATRIA (16/07)</t>
  </si>
  <si>
    <t>INV NO. 2157, PEMERIKSAAN AN. AIRIN NURI DAN MUHAMMAD RAYHAN (16/07)</t>
  </si>
  <si>
    <t>INV NO. 2183, PEMERIKSAAN AN. SOFYAN HB (16/07)</t>
  </si>
  <si>
    <t>INV NO. 2206, PEMERIKSAAN AN. MAHRITA (16/07)</t>
  </si>
  <si>
    <t>INV NO. 2232, PEMERIKSAAN AN. AL GINA HIKMAH (16/07)</t>
  </si>
  <si>
    <t>INV NO. 2290, PEMERIKSAAN AN. YASMIAH (16/07)</t>
  </si>
  <si>
    <t>INV NO. 2290A, PEMERIKSAAN AN. SAI (27/08)</t>
  </si>
  <si>
    <t>INV NO. 2407, PEMERIKSAAN AN. SITI ASNAH (27/08)</t>
  </si>
  <si>
    <t>INV NO. 2457, PEMERIKSAAN AN. NURSIAH (27/08)</t>
  </si>
  <si>
    <t>INV NO. 2458, PEMERIKSAAN AN. ABDI SETIAWAN (27/08)</t>
  </si>
  <si>
    <t>INV NO. 2529, PEMERIKSAAN AN. MURNIATI, RAHMANI, DHENADY (27/08)</t>
  </si>
  <si>
    <t>INV NO. 2616, PEMERIKSAAN AN. INDRIA PUSPITA, IDARWATI DAN MARIA ULFAH (27/08)</t>
  </si>
  <si>
    <t>INV NO. 2663, PEMERIKSAAN AN. SOKUWAN (27/08)</t>
  </si>
  <si>
    <t>INV NO. 2664, PEMERIKSAAN AN. MUHAMMAD MATAJI (27/08)</t>
  </si>
  <si>
    <t>INV NO. 2711, PEMERIKSAAN AN. MAMIK TRIWIDAYANTI (27/08)</t>
  </si>
  <si>
    <t>INV NO. 2723, PEMERIKSAAN AN. AMSIYAH (27/08)</t>
  </si>
  <si>
    <t>INV NO. 2718, PEMERIKSAAN AN. TUTI LASMINI (27/08)</t>
  </si>
  <si>
    <t>INV NO. 2836, PEMERIKSAAN AN. MASDALENA DAN DJAINAB (27/08)</t>
  </si>
  <si>
    <t>RS SAMARINDA MEDIKA CITRA</t>
  </si>
  <si>
    <t xml:space="preserve">INV NO. PP 20250131030, PEMERIKSAAN  </t>
  </si>
  <si>
    <t>INV NO. PP20250228041, PEMERIKSAAN AN. SRI ZAHRA, TITIK SUDJIATI, YUMIANINGSIH DLL (12/03)</t>
  </si>
  <si>
    <t>INV NO. PP20250331001, PEMERIKSAAN AN. RIFALDI PRATIDINA, DIANA, RUSMI, DELLA DLL (14/04)</t>
  </si>
  <si>
    <t>INV NO. PP20250430032, PEMERIKSAAN AN. MUHAMMAD AFDHALURRAHMAN, LUCKY, ANA DLL (10/05)</t>
  </si>
  <si>
    <t>INV NO. PP20250531003, PEMERIKSAAN PASIEN AN. JOUSJE ADAM, NAILA ATHA, SABRINA DLL (09/06)</t>
  </si>
  <si>
    <t>INV NO. PP20250630021, PEMERIKSAAN AN. ASMURAN DAN RIAN INDRA (08/07)</t>
  </si>
  <si>
    <t>INV NO. PP20250731038, PEMERIKSAAN AN. SRI SUPARMIATI, ADE IRMA, FEBY ANINDYA DLL (14/08)</t>
  </si>
  <si>
    <t>INV NO. PP20250831009, PEMERIKSAAN AN. ERLYA MUSTIKA, NENDRA HAIKAL, ARIANSYAH NOOR DLL (13/09)</t>
  </si>
  <si>
    <t>RS AW SYAHRANIE</t>
  </si>
  <si>
    <t>INV NO. 900/1671, PEMERIKSAAN LAB JAN-FEB 2025 (01/03)</t>
  </si>
  <si>
    <t>INV NO. 900/2195, PEMERIKSAAN LABORATORIUM PER MARET 2025 (15/04)</t>
  </si>
  <si>
    <t>INV NO. 900/2898, PEMERIKSAAN LABORATORIUM PER APRIL 2025 (17/05)</t>
  </si>
  <si>
    <t>INV NO. 900/4397, PEMERIKSAAN LAB MEI 2025 (19/06)</t>
  </si>
  <si>
    <t>INV NO. 900/5892, PEMERIKSAAN LAB JUNI 2025 (21/07)</t>
  </si>
  <si>
    <t>INV NO. 900/5975, PEMERIKSAAN AN. RIFALDI PRATIDINA AHMAD (22/07)</t>
  </si>
  <si>
    <t>INV NO. 900/7139, PEMERIKSAAN LAB JULI 2025 (22/08)</t>
  </si>
  <si>
    <t>INV NO. 900/7960, PEMERIKSAAN LAB AGUSTUS 2025 (15/09)</t>
  </si>
  <si>
    <t>NUR ASIH KLINIK LABORATORIUM</t>
  </si>
  <si>
    <t>NA-0025</t>
  </si>
  <si>
    <t>INV NO. 703, BIAYA PEMERIKSAAN LABORATORIUM PER DESEMBER 2024 (06/01)</t>
  </si>
  <si>
    <t>NA-0026</t>
  </si>
  <si>
    <t>INV NO. 22, BIAYA PEMERIKSAAN LABORATORIUM PER JANUARI 2025 (06/02)</t>
  </si>
  <si>
    <t>NA-0027</t>
  </si>
  <si>
    <t>INV NO. 71, BIAYA PEMERIKSAAN LABORATORIUM PASIEN PER FEBRUARI 2025 (04/03)</t>
  </si>
  <si>
    <t>NA-0028</t>
  </si>
  <si>
    <t>INV NO. 136, BIAYA PEMERIKSAAN LABORATORIUM PER MARET 2025 (15/04)</t>
  </si>
  <si>
    <t>NA-0029</t>
  </si>
  <si>
    <t>INV NO. 167, BIAYA PEMERIKSAAN LABORATORIUM PER APRIL 2025 (03/05)</t>
  </si>
  <si>
    <t>NA-0030</t>
  </si>
  <si>
    <t>INV NO. 215, BIAYA PEMERIKSAAN LABORATORIUM PER MEI 2025 (04/06)</t>
  </si>
  <si>
    <t>NA-0031</t>
  </si>
  <si>
    <t>INV NO. 258, BIAYA PEMERIKSAAN LABORATORIUM PER JUNI 2025 (10/07)</t>
  </si>
  <si>
    <t>NA-0032</t>
  </si>
  <si>
    <t>INV NO. 296, BIAYA PEMERIKSAAN LAB PER JULI 2025 (05/08)</t>
  </si>
  <si>
    <t>NA-0033</t>
  </si>
  <si>
    <t>INV NO. 373, BIAYA PEMERIKSAAN LAB PER AGUSTUS 2025 (04/09)</t>
  </si>
  <si>
    <t>PRODIA LAB KLINIK SAMARINDA</t>
  </si>
  <si>
    <t>SEKATA MEDICAL CENTER, KLINIK</t>
  </si>
  <si>
    <t>ok</t>
  </si>
  <si>
    <t>BIAYA PEMERIKSAAN LABORATORIUM PER SEPTEMBER 2024 (14/01)</t>
  </si>
  <si>
    <t>BIAYA PEMERIKSAAN LABORATORIUM PER OKTOBER 2024 (14/01)</t>
  </si>
  <si>
    <t>BIAYA PEMERIKSAAN LABORATORIUM PER NOVEMBER 2024 (14/01)</t>
  </si>
  <si>
    <t>BIAYA PEMERIKSAAN LABORATORIUM PER DESEMBER 2024 (06/02)</t>
  </si>
  <si>
    <t>BIAYA PEMERIKSAAN LABORATORIUM PER JANUARI 2025 (17/06)</t>
  </si>
  <si>
    <t>BIAYA PEMERIKSAAN LABORATORIUM PER FEBRUARI 2025 (17/06)</t>
  </si>
  <si>
    <t>BIAYA PEMERIKSAAN LABORATORIUM PER MARET 2025 (17/06)</t>
  </si>
  <si>
    <t>BIAYA PEMERIKSAAN LABORATORIUM PER APRIL 2025 (17/06)</t>
  </si>
  <si>
    <t>BIAYA PEMERIKSAAN LABORATORIUM PER MEI 2025 (16/09)</t>
  </si>
  <si>
    <t>BIAYA PEMERIKSAAN LABORATORIUM PER JULI 2025 (16/09)</t>
  </si>
  <si>
    <t>PENUNJANG PELAYANAN RS</t>
  </si>
  <si>
    <t>BPFK SURABAYA - RADIOLOGI</t>
  </si>
  <si>
    <t>BINTANG JAYA ABADI, PT - SEWA GENSET</t>
  </si>
  <si>
    <t>D</t>
  </si>
  <si>
    <t>BINTANG JAYA ABADI, PT</t>
  </si>
  <si>
    <t>BJ-0025</t>
  </si>
  <si>
    <t>INV NO. 008, BIAYA SEWA GENSET RS SAMS PER DESEMBER 2024 (22/01)</t>
  </si>
  <si>
    <t>BJ-0026</t>
  </si>
  <si>
    <t>INV NO. 013, BIAYA SEWA GENSET RS SAMS PER JANUARI 2025 (19/02)</t>
  </si>
  <si>
    <t>BJ-0027</t>
  </si>
  <si>
    <t>INV NO. 021, BIAYA SEWA GENSET RS SAMS PER FEBRUARI 2025 (18/03)</t>
  </si>
  <si>
    <t>BJ-0028</t>
  </si>
  <si>
    <t>INV NO. 025, BIAYA SEWA GENSET RS SAMS PER MARET 2025 (09/05)</t>
  </si>
  <si>
    <t>BJ-0029</t>
  </si>
  <si>
    <t>INV NO. 031, BIAYA SEWA GENSET RS SAMS PER APRIL 2025 (22/05)</t>
  </si>
  <si>
    <t>BJ-0030</t>
  </si>
  <si>
    <t>INV NO. 033, BIAYA SEWA GENSET RS SAMS PER MEI 2025 (19/06)</t>
  </si>
  <si>
    <t>BJ-0031</t>
  </si>
  <si>
    <t>INV NO. 038, BIAYA SEWA GENSET RS SAM PER JUNI 2025 (17/07)</t>
  </si>
  <si>
    <t>BJ-0032</t>
  </si>
  <si>
    <t>INV NO. 047, BIAYA SEWA GENSET PER JULI 2025 (19/08)</t>
  </si>
  <si>
    <t>BJ-0033</t>
  </si>
  <si>
    <t>INV NO. 052, BIAYA SEWA GENSET PER AGUSTUS 2025 (18/09)</t>
  </si>
  <si>
    <t>JNE MERAK - PENGIRIMAN INVOICE</t>
  </si>
  <si>
    <t>JNE MERAK</t>
  </si>
  <si>
    <t>INV NO. 180, BIAYA PENGIRIMAN INVOICE RS SAMS PER JANUARI 2025 (13/02)</t>
  </si>
  <si>
    <t>INV NO. 339, BIAYA PENGIRIMAN INVOICE RS SAMS PER 14/03)</t>
  </si>
  <si>
    <t>INV NO. 492, BIAYA PENGIRIMAN INVOICE RS SAMS PER MARET 2025 (15/04)</t>
  </si>
  <si>
    <t>INV NO. 634, BIAYA PENGIRIMAN INVOICE RS SAMS PER APRIL 2025 (14/05)</t>
  </si>
  <si>
    <t>INV NO. 775, BIAYA PENGIRIMAN INVOICE RS SAMS PER MEI 2025 (14/06)</t>
  </si>
  <si>
    <t>INV NO. 919, BIAYA PENGIRIMAN INVOICE RS SAMS PER JUNI 2025 (10/07)</t>
  </si>
  <si>
    <t>INV NO. 1085, BIAYA PENGIRIMAN INVOICE RS SAMS PER JULI 2025 (14/08)</t>
  </si>
  <si>
    <t>INV NO. 1243, BIAYA PENGIRIMAN INVOICE RSSAMS PER AGUSTUS 2025 (11/09)</t>
  </si>
  <si>
    <t>KALTIM SARANA SUKSES, PT - LIMBAH MEDIS</t>
  </si>
  <si>
    <t>KALTIM SARANA SUKSES, PT</t>
  </si>
  <si>
    <t>INV NO. 60, BIAYA PEMUSNAHAN LIMBAH MEDIS PER NOVEMBER 2024 (16/01)</t>
  </si>
  <si>
    <t>INV NO. 56, BIAYA PEMUSNAHAN LIMBAH MEDIS PER DESEMBER 2024 (16/01)</t>
  </si>
  <si>
    <t>INV NO. 11, BIAYAPEMUSNAHAN LIMBAH B3 (14/03)</t>
  </si>
  <si>
    <t>INV NO. 14, BIAYA PEMUSNAHAN LIMBAH B3 (14/03)</t>
  </si>
  <si>
    <t>INV NO. 40 (25/04)</t>
  </si>
  <si>
    <t>INV NO. 39 (25/04)</t>
  </si>
  <si>
    <t>INV NO. 36 (25/04)</t>
  </si>
  <si>
    <t>INV NO. 41 (25/04)</t>
  </si>
  <si>
    <t>KARUNIA LUMASINDO PRATAMA, PT - LIMBAH MEDIS</t>
  </si>
  <si>
    <t>KL-0022</t>
  </si>
  <si>
    <t>KARUNIA LUMASINDO PRATAMA, PT</t>
  </si>
  <si>
    <t>INV NO. 1212, BIAYA PEMUSNAHAN LIMBAH B3 PER AGUSTUS 2024 (09/09)</t>
  </si>
  <si>
    <t>KL-0023</t>
  </si>
  <si>
    <t>INV NO. 1337, BIAYA PEMUSNAHAN LIMBAH B3 PER SEPTEMBER 2024 (08/10)</t>
  </si>
  <si>
    <t>KL-0024</t>
  </si>
  <si>
    <t>KL-0025</t>
  </si>
  <si>
    <t>INV NO. 1715, BIAYA PEMUSNAHAN LIMBAH B3 PER NOVEMBER 2024 (06/12)</t>
  </si>
  <si>
    <t>KL-0026</t>
  </si>
  <si>
    <t>INV NO. 440, BIAYA PEMUSNAHAN LIMBAH B3 PER MARET 2025 (21/04)</t>
  </si>
  <si>
    <t>KL-0027</t>
  </si>
  <si>
    <t>INV NO. 603, BIAYA PEMUSNAHAN LIMBAH B3 PER APRIL 2025 (06/05)</t>
  </si>
  <si>
    <t>KL-0028</t>
  </si>
  <si>
    <t>INV NO. 783, BIAYA PEMUSNAHAN LIMBAH B3 PER MEI 2025 (05/06)</t>
  </si>
  <si>
    <t>KL-0029</t>
  </si>
  <si>
    <t>INV NO. 1191, BAIYA PEMUSNAHAN LIMBAH B3 PER JULI 2025 (11/08)</t>
  </si>
  <si>
    <t>MITRA HIJAU, PT - LIMBAH MEDIS</t>
  </si>
  <si>
    <t>MA-0001</t>
  </si>
  <si>
    <t>MITRA HIJAU, PT</t>
  </si>
  <si>
    <t>INV NO. 112, BIAYA PEMUSNAHAN LIMBAH MEDIS PER JANUARI 2025 (24/02)</t>
  </si>
  <si>
    <t>MA-0002</t>
  </si>
  <si>
    <t>INV NO. 114, BIAYA PEMUSNAHAN LIMBAH MEDIS PER FEBRUARI 2025 (24/02)</t>
  </si>
  <si>
    <t>MA-0003</t>
  </si>
  <si>
    <t>INV NO. 207, BIAYA PEMUSNAHAN LIMBAH MEDIS PER FEBRUARI 2025 (05/03)</t>
  </si>
  <si>
    <t>MA-0004</t>
  </si>
  <si>
    <t>INV NO. 206, BIAYA PEMUSNAHAN LIMBAH MEDIS PER FEBRUARI 2025 (05/03)</t>
  </si>
  <si>
    <t>MA-0005</t>
  </si>
  <si>
    <t>INV NO. 290, BIAYA PEMUSNAHAN LIMBAH B3 MARET 2025 (21/03)</t>
  </si>
  <si>
    <t>MA-0006</t>
  </si>
  <si>
    <t>INV NO. 291, BIAYA PEMUSNAHAN LIMBAH B3 MARET 2025 (21/03)</t>
  </si>
  <si>
    <t>MA-0007</t>
  </si>
  <si>
    <t>INV NO. 334, BIAYA PEMUSNAHAN LIMBAH B3 MARET 2025 (26/03)</t>
  </si>
  <si>
    <t>MA-0008</t>
  </si>
  <si>
    <t>INV NO. 439, BIAYA PEMUSNAHAN LIMBAH B3 PER APRIL 2025 (28/04)</t>
  </si>
  <si>
    <t>MA-0009</t>
  </si>
  <si>
    <t>INV NO. 499, BIAYA PEMUSNAHAN LIMBAH B3 PER APRIL 2025 (06/05)</t>
  </si>
  <si>
    <t>MA-0010</t>
  </si>
  <si>
    <t>INV NO. 498 (06/05)</t>
  </si>
  <si>
    <t>MA-0011</t>
  </si>
  <si>
    <t>INV NO. 380 (09/05)</t>
  </si>
  <si>
    <t>MA-0012</t>
  </si>
  <si>
    <t>MA-0013</t>
  </si>
  <si>
    <t>INV NO. 406 (09/05)</t>
  </si>
  <si>
    <t>MA-0014</t>
  </si>
  <si>
    <t>INV NO. 547 (19/05)</t>
  </si>
  <si>
    <t>MA-0015</t>
  </si>
  <si>
    <t>INV NO. 568 (22/05)</t>
  </si>
  <si>
    <t xml:space="preserve"> </t>
  </si>
  <si>
    <t>MA-0016</t>
  </si>
  <si>
    <t>INV NO. 614 (30/05)</t>
  </si>
  <si>
    <t>MA-0017</t>
  </si>
  <si>
    <t>INV NO. 694 (18/06)</t>
  </si>
  <si>
    <t>MA-0018</t>
  </si>
  <si>
    <t>MA-0019</t>
  </si>
  <si>
    <t>INV NO. 777 (23/06)</t>
  </si>
  <si>
    <t>MA-0020</t>
  </si>
  <si>
    <t>INV NO. 812 (30/06)</t>
  </si>
  <si>
    <t>MA-0021</t>
  </si>
  <si>
    <t>INV NO. 811 (30/06)</t>
  </si>
  <si>
    <t>MA-0022</t>
  </si>
  <si>
    <t>INV NO. 901 (18/07)</t>
  </si>
  <si>
    <t>MA-0023</t>
  </si>
  <si>
    <t>INV NO. 898 (18/07)</t>
  </si>
  <si>
    <t>MA-0024</t>
  </si>
  <si>
    <t>INV NO. 944 (21/07)</t>
  </si>
  <si>
    <t>MA-0025</t>
  </si>
  <si>
    <t>INV NO. 943 (21/07)</t>
  </si>
  <si>
    <t>MA-0026</t>
  </si>
  <si>
    <t>INV NO. 949 (21/07)</t>
  </si>
  <si>
    <t>MA-0027</t>
  </si>
  <si>
    <t>INV NO. 993 (01/08)</t>
  </si>
  <si>
    <t>MA-0028</t>
  </si>
  <si>
    <t>INV NO. 1063 (19/08)</t>
  </si>
  <si>
    <t>MA-0029</t>
  </si>
  <si>
    <t>INV NO. 1065 (19/08)</t>
  </si>
  <si>
    <t>MA-0030</t>
  </si>
  <si>
    <t>INV NO. 1089 (30/08)</t>
  </si>
  <si>
    <t>MA-0031</t>
  </si>
  <si>
    <t>INV NO. 1121 (30/08)</t>
  </si>
  <si>
    <t>MA-0032</t>
  </si>
  <si>
    <t>INV NO. 1206 (12/09)</t>
  </si>
  <si>
    <t>MA-0033</t>
  </si>
  <si>
    <t>INV NO. 1229 (12/09)</t>
  </si>
  <si>
    <t>MA-0034</t>
  </si>
  <si>
    <t>INV NO. 1205 (12/09)</t>
  </si>
  <si>
    <t>MA-0035</t>
  </si>
  <si>
    <t>INV NO. 1262 (17/09)</t>
  </si>
  <si>
    <t xml:space="preserve">           </t>
  </si>
  <si>
    <t>PMI SAMARINDA - PERMINTAAN DARAH</t>
  </si>
  <si>
    <t>PMI SAMARINDA</t>
  </si>
  <si>
    <t>PM-0025</t>
  </si>
  <si>
    <t>INV NO. 14, BIAYA PEMAKAIAN DARAH PMI PER DESEMBER 2024 (09/01)</t>
  </si>
  <si>
    <t>PM-0026</t>
  </si>
  <si>
    <t>INV NO. 68, BIAYA PEMAKAIAN DARAH PMI PER JANUARI 2025 (07/02)</t>
  </si>
  <si>
    <t>PM-0027</t>
  </si>
  <si>
    <t>INV NO. 92, BIAYA PEMAKAIAN DARAH PMI PER FEBRUARI 2025 (11/03)</t>
  </si>
  <si>
    <t>PM-0028</t>
  </si>
  <si>
    <t>INV NO. 143, BIAYA PEMAKAIAN DARAH PMI PER MARET 2025 (15/04)</t>
  </si>
  <si>
    <t>PM-0029</t>
  </si>
  <si>
    <t>INV NO. 165, BIAYA PEMAKAIAN DARAH PMI PER APRIL 2025 (08/05)</t>
  </si>
  <si>
    <t>PM-0030</t>
  </si>
  <si>
    <t>INV NO. 189, BIAYA PEMAKAIAN DARAH PMI PER MEI 2025 (05/06)</t>
  </si>
  <si>
    <t>PM-0031</t>
  </si>
  <si>
    <t>INV NO. 215, BIAYA PEMAKAIAN DARAH PMI PER JUNI 2025 (10/07)</t>
  </si>
  <si>
    <t>PM-0032</t>
  </si>
  <si>
    <t>INV NO. 257, BIAYA PEMAKAIAN DARAH PMI JULI 2025 (07/08)</t>
  </si>
  <si>
    <t>PM-0033</t>
  </si>
  <si>
    <t>INV NO. 286, BIAYA PEMERIKSAAN DARAH PMI PER AGUSTUS 2025 (09/09)</t>
  </si>
  <si>
    <t>SUKSES KALTIM - GAS OKSIGEN</t>
  </si>
  <si>
    <t>SUKSES KALTIM</t>
  </si>
  <si>
    <t>BIAYA PEMAKAIAN OXYGEN PER JULI 2024 (26/04)</t>
  </si>
  <si>
    <t>BIAYA PEMAKAIAN OXYGEN PER AGUST 2024 (26/04)</t>
  </si>
  <si>
    <t>BIAYA PEMAKAIAN OXYGEN PER SEPTEMBER 2024 (26/04)</t>
  </si>
  <si>
    <t>BIAYA PEMAKAIAN OXYGEN PER OKTOBER 2024 (26/04)</t>
  </si>
  <si>
    <t>BIAYA PEMAKAIAN OXYGEN PER NOPEMBER 2024 (26/04)</t>
  </si>
  <si>
    <t>BIAYA PEMAKAIAN OXYGEN PER DESEMBER 2024 (26/04)</t>
  </si>
  <si>
    <t>BIAYA PEMAKAIAN OXYGEN PER JANUARI 2025 (26/04)</t>
  </si>
  <si>
    <t>BIAYA PEMAKAIAN OXYGEN PER FEBRUARI 2025 (26/04)</t>
  </si>
  <si>
    <t>BIAYA PEMAKAIAN OXYGEN PER MARET 2025 (26/04)</t>
  </si>
  <si>
    <t>BIAYA PEMAKAIAN OXYGEN PER APRIL 2025 (10/05)</t>
  </si>
  <si>
    <t>BIAYA PEMAKAIAN OXYGEN PER MEI 2025 (03/06)</t>
  </si>
  <si>
    <t>BIAYA PEMAKAIAN OXYGEN PER JUNI 2025 (04/08)</t>
  </si>
  <si>
    <t>BIAYA PEMAKAIAN OXYGEN PER JULI 2025 (04/08)</t>
  </si>
  <si>
    <t>SYARIFAH MANDIRI, CV</t>
  </si>
  <si>
    <t>BIAYA ATK, CETAKAN, BHP RUMAH TANGGA DLL.</t>
  </si>
  <si>
    <t>CRYSTAL ELEKTRONIK</t>
  </si>
  <si>
    <t>E</t>
  </si>
  <si>
    <t>INV NO. 3953, PEMB SET TOP BOX SOGO DAN KIPAS ANGIN MASPION (15/01)</t>
  </si>
  <si>
    <t>INV NO. 5688, PEMB DISPENSER MIYAKO, BATERAI ENERGIZER DAN TESPEN (10/02)</t>
  </si>
  <si>
    <t>INV NO. 6080, CAPASITOR 2UF, STEKER T ARDE DAN KIPAS ANGIN (19/02)</t>
  </si>
  <si>
    <t>FAQIH COMP - KOMPUTER</t>
  </si>
  <si>
    <t xml:space="preserve">FAQIH COMP </t>
  </si>
  <si>
    <t>INV NO. 2004, PEMB MOTHERBOARD ASROCK H610M (02/12)</t>
  </si>
  <si>
    <t>INV NO. 5001, PEMB MOTHERBOARD ASROCK H610, INTEL PROCESSOR I3 12100 (19/02)</t>
  </si>
  <si>
    <t>HARTORA - KOMPUTER, DLL</t>
  </si>
  <si>
    <t>HARTORA</t>
  </si>
  <si>
    <t>HA-0160</t>
  </si>
  <si>
    <t>INV NO. 7772, PEMB POE ADAPTER RG-POE AT30 (30/01)</t>
  </si>
  <si>
    <t>HA-0161</t>
  </si>
  <si>
    <t>INV NO. 7952, PEMB KERTAS STICKER BLUEPRINT (30/01)</t>
  </si>
  <si>
    <t>HA-0162</t>
  </si>
  <si>
    <t>INV NO. 7985, PEMB TEELPON PANASONIC (30/01)</t>
  </si>
  <si>
    <t>HA-0163</t>
  </si>
  <si>
    <t>INV NO. 8207, PEMB TINTA INFUS EPSON (30/01)</t>
  </si>
  <si>
    <t>HA-0164</t>
  </si>
  <si>
    <t>INV NO. 8335, PEMB STICKER LABEL BLUEPRINT (30/01)</t>
  </si>
  <si>
    <t>HA-0165</t>
  </si>
  <si>
    <t>INV NO. 8542, PEMB KURSI BROTHER BR-527 (30/01)</t>
  </si>
  <si>
    <t>HA-0166</t>
  </si>
  <si>
    <t>INV NO. KERTAS THERMAL DAN BATERAI ABC (30/01)</t>
  </si>
  <si>
    <t>HA-0167</t>
  </si>
  <si>
    <t>INV NO. 8610, PEMB SWITCH CLOUD MANAGE (30/01)</t>
  </si>
  <si>
    <t>HA-0168</t>
  </si>
  <si>
    <t>INV NO. 8893, PEMB CARTRIDGE CANON (30/01)</t>
  </si>
  <si>
    <t>HA-0169</t>
  </si>
  <si>
    <t>INV NO. 8985 I, PEMB MONITOR LED LG 20' (30/01)</t>
  </si>
  <si>
    <t>INV NO. 8985 II, PEMB KEYBOARD + MOUSE DAN CARTRIGDE (30/01)</t>
  </si>
  <si>
    <t>INV NO. 8985 III, STICKER LABEL, STAPPLER DAN ISI STAPLES (30/01)</t>
  </si>
  <si>
    <t>HA-0170</t>
  </si>
  <si>
    <t>INV NO. 8993, PEMB MAP L FOLIO (30/01)</t>
  </si>
  <si>
    <t>HA-0171</t>
  </si>
  <si>
    <t>INV NO. 9113, PEMB KERTS PHOTO E-PRINT DAN TINTA BROTHER (30/01)</t>
  </si>
  <si>
    <t>HA-0172</t>
  </si>
  <si>
    <t>INV NO. 9089, PEMB MOUSE WACOM PEN TABLET (30/01)</t>
  </si>
  <si>
    <t>HA-0173</t>
  </si>
  <si>
    <t>HA-0174</t>
  </si>
  <si>
    <t>HA-0175</t>
  </si>
  <si>
    <t>INV NO. 9489 I, PEMB SPEAKER LAD LD18 (30/01)</t>
  </si>
  <si>
    <t>INV NO. 9489 II, PEMB CARTRIDGE, TINTA BOTOL DAN MOUSE PAD (30/01)</t>
  </si>
  <si>
    <t>HA-0176</t>
  </si>
  <si>
    <t>INV NO. 9655, PEMB KERTAS STICKER, PULPEN, KERTAS A4 DLL (30/01)</t>
  </si>
  <si>
    <t>HA-0177</t>
  </si>
  <si>
    <t>INV NO. 315, KERTAS A4, BUKU KWARTO, STAPPLER DLL (30/01)</t>
  </si>
  <si>
    <t>HA-0178</t>
  </si>
  <si>
    <t>INV NO. 502, KERTAS INKJET STICKER, POE INJECTOR DAN BATERAI (30/01)</t>
  </si>
  <si>
    <t>NUANSA DHARMA CIPTA, PT - AC, MESIN CUCI, DLL</t>
  </si>
  <si>
    <t>ND-0017</t>
  </si>
  <si>
    <t>NUANSA DHARMA CIPTA, PT</t>
  </si>
  <si>
    <t>INV NO. 9785 IV, PEMB AC AKARI A18E7 (24/08)</t>
  </si>
  <si>
    <t>ND-0018</t>
  </si>
  <si>
    <t>INV NO. 9785 V, PEMB TV LED SHARP 2T-C32GD (24/08)</t>
  </si>
  <si>
    <t>ND-0019</t>
  </si>
  <si>
    <t>INV NO. 7753 III, PEMB DISPENSER MITO (21/04)</t>
  </si>
  <si>
    <t>INV NO. 7753 I, PEMB LEMARI ES POLYTRON (21/04)</t>
  </si>
  <si>
    <t>INV NO. 7753 II, PEMB 2 PCS AC AKARI (21/04)</t>
  </si>
  <si>
    <t>CICILAN I INV NO. 10975, PEMB AC AKARI (28/04)</t>
  </si>
  <si>
    <t>ND-0020</t>
  </si>
  <si>
    <t>PELUNASAN INV NO. 10975, PEMB AC AKARI (28/04)</t>
  </si>
  <si>
    <t>MASTERPIECE - KOMPUTER</t>
  </si>
  <si>
    <t>MASTERPIECE</t>
  </si>
  <si>
    <t>INV NO. 7638, PEMB RAM KINGSTON FURY BEAST (15/01)</t>
  </si>
  <si>
    <t>INV NO. 9633, PEMB PAKRT PROC INTEL (14/04)</t>
  </si>
  <si>
    <t>INV NO. 2182, PEMBELIAN PRINTER EPSON L3210 DAN L121 (07/08)</t>
  </si>
  <si>
    <t>ARUM PURNOMO - ATK</t>
  </si>
  <si>
    <t>ARUM PURNOMO</t>
  </si>
  <si>
    <t>AP-0023</t>
  </si>
  <si>
    <t>INV NO. 70, PEMBELIAN ALAT TULIS KANTOR PER NOPEMBER 2024 (15/01)</t>
  </si>
  <si>
    <t>AP-0024</t>
  </si>
  <si>
    <t>INV NO. 71, PEMBELIAN ALAT TULIS KANTOR PER JANUARI 2025 (14/02)</t>
  </si>
  <si>
    <t>AP-0025</t>
  </si>
  <si>
    <t>INV NO. 72, PEMBELIAN ALAT TULIS KANTOR PER FEBRUARI 2025 (27/03)</t>
  </si>
  <si>
    <t>AP-0026</t>
  </si>
  <si>
    <t>INV NO. 73, PEMBELIAN ALAT TULIS KANTOR PER MARET 2025 (27/03)</t>
  </si>
  <si>
    <t>AP-0027</t>
  </si>
  <si>
    <t>INV NO. 74, PEMBELIAN ALAT TULIS KANTOR PER APRIL 2025 (06/05)</t>
  </si>
  <si>
    <t>AP-0028</t>
  </si>
  <si>
    <t>INV NO. 75, PEMBELIAN ALAT TULIS KANTOR RS SAMS PER MEI 2025 (02/06)</t>
  </si>
  <si>
    <t>AP-0029</t>
  </si>
  <si>
    <t>INV NO. 76, PEMBELIAN ALAT TULIS KANTOR RS SAMS PER JULI 2025 (06/08)</t>
  </si>
  <si>
    <t>INV NO. 77, PEMBELIAN ALAT TULIS KANTOR PER AGUSTUS 2025 (09/09)</t>
  </si>
  <si>
    <t>BINO MITRA SEJATI, PT - BANTEX</t>
  </si>
  <si>
    <t>INV NO. 8090, PEMBELIAN BANTEX TRENDY LAF (15/02)</t>
  </si>
  <si>
    <t>INV NO. 9224, PEMBELIAN BANTEX RS SAMS PER AGUSTUS 2025 (21/08)</t>
  </si>
  <si>
    <t>CAHAYA KALTIM, CV - PHOTOCOPY</t>
  </si>
  <si>
    <t>CAHAYA KALTIM, CV</t>
  </si>
  <si>
    <t>CK-0022</t>
  </si>
  <si>
    <t>INV NO. 0036, BIAYA FOTOCOPY RS SAMS PER DESEMBER 2024 (06/02)</t>
  </si>
  <si>
    <t>CK-0023</t>
  </si>
  <si>
    <t>INV NO. 122, BIAYA FOTOCOPY RS SAMS PER JANUARI 2025 (25/02)</t>
  </si>
  <si>
    <t>CK-0024</t>
  </si>
  <si>
    <t>INV NO. 216, BIAYA FOTOCOPY RS SAMS PER FEBRUARI 2025 (10/04)</t>
  </si>
  <si>
    <t>CK-0025</t>
  </si>
  <si>
    <t>INV NO. 304, BIAYA FOTOCOPY RS SAMS PER MARET 2025 (03/050</t>
  </si>
  <si>
    <t>CK-0026</t>
  </si>
  <si>
    <t>INV NO. 392, BIAYA FOTOCOPY RS SAMS PER APRIL 2025 (03/06)</t>
  </si>
  <si>
    <t>CK-0027</t>
  </si>
  <si>
    <t>INV NO. 476, BIAYA FOTOCOPY RS SAMS PER MEI 2025 (09/07)</t>
  </si>
  <si>
    <t>CK-0028</t>
  </si>
  <si>
    <t>INV NO. 568, BIAYA FOTOCOPY RS SAMS PER JUNI 2025 (12/08)</t>
  </si>
  <si>
    <t>CK-0029</t>
  </si>
  <si>
    <t>INV NO. 650, BIAYA FOTOCOPY RS SAMS PER JULI 2025 (16/09)</t>
  </si>
  <si>
    <t>DEPO SALIM - AIR MINUM GALON</t>
  </si>
  <si>
    <t>DEPO AIR MINUM GHINA - AIR MINUM GALON</t>
  </si>
  <si>
    <t>DEPO AIR MINUM GHINA</t>
  </si>
  <si>
    <t>BIAYA PEMAKAIAN AIR GALON RS SAMS PER JANUARI 2025 (07/02)</t>
  </si>
  <si>
    <t>BIAYA PEMAKAIAN AIR GALON PER FEBRUARI 2025 (01/03)</t>
  </si>
  <si>
    <t>BIAYA PEMAKAIAN AIR GALON PER MARET 2025 (05/04)</t>
  </si>
  <si>
    <t>BIAYA PEMAKAIAN AIR GALON PER APRIL 2025 (29/04)</t>
  </si>
  <si>
    <t>BIAYA PEMAKAIAN AIR GALON RS SAMS PER MEI 2025 (28/05)</t>
  </si>
  <si>
    <t>BIAYA PEMAKAIAN AIR GALON RS SAMS PER JUNI 2025 (30/06)</t>
  </si>
  <si>
    <t>BIAYA PEMAKAIAN AIR GALON RS SAMS PER JULI 2025 (31/07)</t>
  </si>
  <si>
    <t>BIAYA PEMAKAIAN AIR GALON PER AGUSTUS 2025 (27/08)</t>
  </si>
  <si>
    <t>MENTARI MEGAH, CV - TISSUE</t>
  </si>
  <si>
    <t>MENTARI MEGAH, CV</t>
  </si>
  <si>
    <t>BIAYA PEMBELIAN TISSU RS SAMS PER JUNI 2025 (01/07)</t>
  </si>
  <si>
    <t>BIAYA PEMBELIAN TISSU RS SAMS PER JULI 2025 (28/07)</t>
  </si>
  <si>
    <t>BIAYA PEMBELIAN TISSU RS SAMS PER JULI 2025 (07/08)</t>
  </si>
  <si>
    <t>JAYA MULIA-BAHAN BANGUNAN</t>
  </si>
  <si>
    <t>JAYA MULIA</t>
  </si>
  <si>
    <t>PEMB LAMPU LED, KRAN AIR, CAT, LEM BESI DLL (10/01)</t>
  </si>
  <si>
    <t>PEMB KABEL SUPREME, STOP KONTAK, KUNCI PINTU, LAMPU DLL (10/02)</t>
  </si>
  <si>
    <t>PEMB RODA KARET, BAUT, LAMPU (19/02)</t>
  </si>
  <si>
    <t>PEMB SEMEN TIGA RODA, LAMPU, PAKU (12/03)</t>
  </si>
  <si>
    <t>PEMB LAMPU LED OPPLE DAN KABEL TIES (19/03)</t>
  </si>
  <si>
    <t>PEMB STOP KONTAK, LAMPU LED, KRAN AIR DLL (09/04)</t>
  </si>
  <si>
    <t>PEMB BACKFLOW VALUE, KUNCI PINTU, CAT NO DROP (28/04)</t>
  </si>
  <si>
    <t>PEMB LAMPU LED, WATERMUR, KABEL TIES DLL (23/05)</t>
  </si>
  <si>
    <t>PEMB LAMPU LED, PEGANGAN STAINLEST, KNIE DLL (02/06)</t>
  </si>
  <si>
    <t>PEMB KABEL SUPREME, ISOLASI KABEL, LEM SILICONE (16/06)</t>
  </si>
  <si>
    <t>PEMB PLAFONT PVC PUTIH, LIS PLAFONT, CAT PARAGON DLL (01/07)</t>
  </si>
  <si>
    <t>PEMB KABEL SUPREME, LEM SILICONE, STOP KONTAK (24/07)</t>
  </si>
  <si>
    <t>PIPA PVC, SEMEN, LAMPU DLL(30/08)</t>
  </si>
  <si>
    <t>LAMPU LED, KRAN AIR DLL (15/09)</t>
  </si>
  <si>
    <t>JUANDA, CV-CETAKAN</t>
  </si>
  <si>
    <t>JUANDA, CV</t>
  </si>
  <si>
    <t>BIAYA CETAKAN RS SAMS PER OKTOBER 2024 (09/01)</t>
  </si>
  <si>
    <t>BIAYA CETAKAN RS SAMS PER NOVEMBER 2024 (09/01)</t>
  </si>
  <si>
    <t>BIAYA CETAKAN RS SAMS PER DESEMBER 2024 (09/01)</t>
  </si>
  <si>
    <t>BIAYA CETAKAN RS SAMS PER JANUARI 2025 (09/01)</t>
  </si>
  <si>
    <t>BIAYA CETAKAN PER RS SAMS JANUARI 2025 (06/03)</t>
  </si>
  <si>
    <t>BIAYA CETAKAN PER RS SAMS FEBRUARI 2025 (06/03)</t>
  </si>
  <si>
    <t>BIAYA CETAKAN MAP RM (18/03)</t>
  </si>
  <si>
    <t>BIAYA CETAKAN PER APRIL 2025 (15/04)</t>
  </si>
  <si>
    <t>BIAYA CETAKAN PER MEI 2025 (03/06)</t>
  </si>
  <si>
    <t>BIAYA CETAKAN PER JUNI 2025 (03/07)</t>
  </si>
  <si>
    <t>BIAYA CETAKAN PER JULI 2025 (08/07)</t>
  </si>
  <si>
    <t>BIAYA CETAKAN PER JULI 2025 (17/07)</t>
  </si>
  <si>
    <t>BIAYA CETAKAN PER AGUSTUS 2025 (05/08)</t>
  </si>
  <si>
    <t>BIAYA CETAKAN PER AGUSTUS 2025 (03/09)</t>
  </si>
  <si>
    <t>BIAYA CETAKAN PER SEPTEMBER 2025 (11/09)</t>
  </si>
  <si>
    <t>LINEZA DAMANHURI - CETAKAN</t>
  </si>
  <si>
    <t>LINEZA DAMANHURI</t>
  </si>
  <si>
    <t>INV NO. 4129, CETAKAN DIRGAHAYU (27/08)</t>
  </si>
  <si>
    <t>INV NO. 5026, CETAKAN PARKIR, SELAMAT DATANG DAN PLANG DOKTER  (23/10)</t>
  </si>
  <si>
    <t>INV NO. 5027, CETAKAN TPS LIMBAH DAN SELAMAT DATANG (15/03)</t>
  </si>
  <si>
    <t>INV NO. 5187, CETAKAN SELAMAT DATANG (15/03)</t>
  </si>
  <si>
    <t>INV NO. 5314, CETAKAN RAMADHAN (15/03)</t>
  </si>
  <si>
    <t>PANDAN ALAM-BAHAN BANGUNAN</t>
  </si>
  <si>
    <t>PANDAN ALAM</t>
  </si>
  <si>
    <t>PEMB PIPA, WATER PASS, CAT (05/10)</t>
  </si>
  <si>
    <t>PERDANA FOOD SERVICE - TISSUE</t>
  </si>
  <si>
    <t>PERDANA FOOD SERVICE (REK BARU)</t>
  </si>
  <si>
    <t>PF-0016</t>
  </si>
  <si>
    <t>INV NO. 28, BIAYA PEMBELIAN TISSU PER JANUARI 2025 (16/01)</t>
  </si>
  <si>
    <t>PF-0017</t>
  </si>
  <si>
    <t>INV NO. 219, BIAYA PEMBELIAN TISU RS SAMS PER FEBRUARI 2025 (27/02)</t>
  </si>
  <si>
    <t>PF-0018</t>
  </si>
  <si>
    <t>INV NO. 88, BIAYA PEMBELIAN TISSU RS SAMS PER APRIL 2025 (22/04)</t>
  </si>
  <si>
    <t>PF-0019</t>
  </si>
  <si>
    <t>INV NO. 498, BIAYA PEMBELIAN TISSU RS SAMS PER JULI 2025 (31/07)</t>
  </si>
  <si>
    <t>PF-0020</t>
  </si>
  <si>
    <t>INV NO. 573, BIAYA PEMBELIAN TISSU RS SAMS PER JULI 2025 (31/07)</t>
  </si>
  <si>
    <t>ROYAL NUSANTARA, CV - CETAKAN</t>
  </si>
  <si>
    <t>SURFA MITRA ABADI, CV - CETAKAN</t>
  </si>
  <si>
    <t>SURFA MITRA ABADI, CV</t>
  </si>
  <si>
    <t>SMA-026</t>
  </si>
  <si>
    <t>INV NO. 838, BIAYA CETAKAN FORM LAB, INA-CBG, AMPLOP JAYA DLL PER JAN 2025(30/01)</t>
  </si>
  <si>
    <t>SMA-027</t>
  </si>
  <si>
    <t>INV NO. 396, BIAYA CETAKAN SURAT PERMINTAAN RANAP, PERINTAH LEMBUR, BPM PER FEBRUARI 2025 (01/03)</t>
  </si>
  <si>
    <t>SMA-028</t>
  </si>
  <si>
    <t>INV NO. 402, BIAYA CETAKAN RUJUKAN BALIK, SKDO, INA CBG (01/03)</t>
  </si>
  <si>
    <t>S</t>
  </si>
  <si>
    <t>TOKO ANAS/NABILA - BHP RUMAH TANGGA</t>
  </si>
  <si>
    <t>TOKO ANAS/NABILA (REKENING BARU)</t>
  </si>
  <si>
    <t>PEMB AMDK, SABUN CUCI PIRING, PEWANGI RUANGAN, PEMUTIH DLL (10/01)</t>
  </si>
  <si>
    <t>PEMB AMDK, SABUN CUCI PIRING, PEWANGI RUANGAN, PEMUTIH DLL (19/02)</t>
  </si>
  <si>
    <t>PEMB LE MINERAL, GULA PASIR, THE, PEMUTIH DLL (19/03)</t>
  </si>
  <si>
    <t>PEMB LE MINERAL, SUSU ULTRA, GULA DLL (28/04)</t>
  </si>
  <si>
    <t>PEMB AMDK, PEWANGI, KARBOL, SABUN DLL (23/05)</t>
  </si>
  <si>
    <t>PEMB DETERGEN OPERASIONAL LOUNDRY, CS DAN RUMAH TANGGA PER JULI 2025(01/07)</t>
  </si>
  <si>
    <t>PEMB DETERGEN OPERASIONAL LOUNDRY, CS DAN RUMAH TANGGA PER AGUSTUS 2025(30/08)</t>
  </si>
  <si>
    <t>IURAN BPJS KESEHATAN DAN BPJS KETENAGAKERJAAN</t>
  </si>
  <si>
    <t>BPJS KESEHATAN</t>
  </si>
  <si>
    <t>F</t>
  </si>
  <si>
    <t>BPJS KETENAGAKERJAAN</t>
  </si>
  <si>
    <t>IURAN BPJS KETENAGAKERJAAN RS SAMS PER JUNI 2025</t>
  </si>
  <si>
    <t>KAS NEGARA</t>
  </si>
  <si>
    <t>x</t>
  </si>
  <si>
    <t>KAS NEGARA - PPH 21 DOKTER</t>
  </si>
  <si>
    <t>TOTAL</t>
  </si>
  <si>
    <t>G</t>
  </si>
  <si>
    <t>PPH 21 DOKTER BULAN JANUARI 2025</t>
  </si>
  <si>
    <t>PPH 21 DOKTER BULAN FEBRUARI 2025</t>
  </si>
  <si>
    <t>PPH 21 DOKTER BULAN MARET 2025</t>
  </si>
  <si>
    <t>PPH 21 DOKTER BULAN APRIL 2025</t>
  </si>
  <si>
    <t>PPH 21 DOKTER BULAN MEI 2025</t>
  </si>
  <si>
    <t>KAS NEGARA - PPH 21 KARYAWAN</t>
  </si>
  <si>
    <t>SETORAN PPH 21 KARYAWAN PERIODE JANUARI 2025 (24/01)</t>
  </si>
  <si>
    <t>PPH 21 KARYAWAN RS SAMS PER FEBRUARI 2025</t>
  </si>
  <si>
    <t>PPH 21 KARYAWAN RS SAMS PER MARET 2025</t>
  </si>
  <si>
    <t>PPH 21 KARYAWAN RS SAMS PER APRIL 2025</t>
  </si>
  <si>
    <t>PPH 21 KARYAWAN RS SAMS PER MEI 2025</t>
  </si>
  <si>
    <t>PPH 21 KARYAWAN RS SAMS PER JUNI 2025</t>
  </si>
  <si>
    <t>KAS NEGARA - PPH BADAN TAHUN 2019</t>
  </si>
  <si>
    <t>BIAYA RUTIN GAJI KARYAWAN</t>
  </si>
  <si>
    <t>GAJI KARYAWAN PKWT TGL. 25</t>
  </si>
  <si>
    <t>H</t>
  </si>
  <si>
    <t xml:space="preserve">    GAJI KARYAWAN PKWT TGL. 25 BULAN JANUARI 2023    </t>
  </si>
  <si>
    <t xml:space="preserve">    GAJI KARYAWAN PKWT TGL. 25 BULAN PEBRUARI 2023    </t>
  </si>
  <si>
    <t xml:space="preserve">    GAJI KARYAWAN PKWT TGL. 25 BULAN MARET 2023    </t>
  </si>
  <si>
    <t xml:space="preserve">    GAJI KARYAWAN PKWT TGL. 25 BULAN APRIL 2023    </t>
  </si>
  <si>
    <t xml:space="preserve">    GAJI KARYAWAN PKWT TGL. 25 BULAN MEI 2023    </t>
  </si>
  <si>
    <t xml:space="preserve">    GAJI KARYAWAN PKWT TGL. 25 BULAN JUNI 2023    </t>
  </si>
  <si>
    <t xml:space="preserve">    GAJI KARYAWAN PKWT TGL. 25 BULAN JULI 2023    </t>
  </si>
  <si>
    <t xml:space="preserve">    GAJI KARYAWAN PKWT TGL. 25 BULAN AGUSTUS 2023    </t>
  </si>
  <si>
    <t xml:space="preserve">    GAJI KARYAWAN PKWT TGL. 25 BULAN SEPTEMBER 2023    </t>
  </si>
  <si>
    <t xml:space="preserve">    GAJI KARYAWAN PKWT TGL. 25 BULAN OKTOBER 2023    </t>
  </si>
  <si>
    <t xml:space="preserve">    GAJI KARYAWAN PKWT TGL. 25 BULAN NOPEMBER 2023    </t>
  </si>
  <si>
    <t xml:space="preserve">    GAJI KARYAWAN PKWT TGL. 25 BULAN DESEMBER 2023    </t>
  </si>
  <si>
    <t>GAJI KARYAWAN PKWT TGL. 01</t>
  </si>
  <si>
    <t xml:space="preserve">   GAJI KARYAWAN PKWT TGL. 01 BULAN JANUARI 2023   </t>
  </si>
  <si>
    <t xml:space="preserve">   GAJI KARYAWAN PKWT TGL. 01 BULAN PEBRUARI 2023   </t>
  </si>
  <si>
    <t xml:space="preserve">   GAJI KARYAWAN PKWT TGL. 01 BULAN MARET 2023   </t>
  </si>
  <si>
    <t xml:space="preserve">   GAJI KARYAWAN PKWT TGL. 01 BULAN APRIL 2023   </t>
  </si>
  <si>
    <t xml:space="preserve">   GAJI KARYAWAN PKWT TGL. 01 BULAN MEI 2023   </t>
  </si>
  <si>
    <t xml:space="preserve">   GAJI KARYAWAN PKWT TGL. 01 BULAN JUNI 2023   </t>
  </si>
  <si>
    <t xml:space="preserve">   GAJI KARYAWAN PKWT TGL. 01 BULAN JULI 2023   </t>
  </si>
  <si>
    <t xml:space="preserve">   GAJI KARYAWAN PKWT TGL. 01 BULAN AGUSTUS 2023   </t>
  </si>
  <si>
    <t xml:space="preserve">   GAJI KARYAWAN PKWT TGL. 01 BULAN SEPTEMBER 2023   </t>
  </si>
  <si>
    <t xml:space="preserve">   GAJI KARYAWAN PKWT TGL. 01 BULAN OKTOBER 2023   </t>
  </si>
  <si>
    <t xml:space="preserve">   GAJI KARYAWAN PKWT TGL. 01 BULAN NOPEMBER 2023   </t>
  </si>
  <si>
    <t xml:space="preserve">   GAJI KARYAWAN PKWT TGL. 01 BULAN DESEMBER 2023   </t>
  </si>
  <si>
    <t>GAJI KARYAWAN MITRA TGL. 10</t>
  </si>
  <si>
    <t xml:space="preserve">   GAJI KARYAWAN MITRA TGL. 10 BULAN JANUARI 2023   </t>
  </si>
  <si>
    <t xml:space="preserve">   GAJI KARYAWAN MITRA TGL. 10 BULAN PEBRUARI 2023   </t>
  </si>
  <si>
    <t xml:space="preserve">   GAJI KARYAWAN MITRA TGL. 10 BULAN MARET 2023   </t>
  </si>
  <si>
    <t xml:space="preserve">   GAJI KARYAWAN MITRA TGL. 10 BULAN APRIL 2023   </t>
  </si>
  <si>
    <t xml:space="preserve">   GAJI KARYAWAN MITRA TGL. 10 BULAN MEI 2023   </t>
  </si>
  <si>
    <t xml:space="preserve">   GAJI KARYAWAN MITRA TGL. 10 BULAN JUNI 2023   </t>
  </si>
  <si>
    <t xml:space="preserve">   GAJI KARYAWAN MITRA TGL. 10 BULAN JULI 2023   </t>
  </si>
  <si>
    <t xml:space="preserve">   GAJI KARYAWAN MITRA TGL. 10 BULAN AGUSTUS 2023   </t>
  </si>
  <si>
    <t xml:space="preserve">   GAJI KARYAWAN MITRA TGL. 10 BULAN SEPTEMBER 2023   </t>
  </si>
  <si>
    <t xml:space="preserve">   GAJI KARYAWAN MITRA TGL. 10 BULAN OKTOBER 2023   </t>
  </si>
  <si>
    <t xml:space="preserve">   GAJI KARYAWAN MITRA TGL. 10 BULAN NOPEMBER 2023   </t>
  </si>
  <si>
    <t xml:space="preserve">   GAJI KARYAWAN MITRA TGL. 10 BULAN DESEMBER 2023   </t>
  </si>
  <si>
    <t>GAJI DIREKTUR TGL. 10</t>
  </si>
  <si>
    <t xml:space="preserve">   GAJI DIREKTUR TGL. 10 BULAN JANUARI 2023   </t>
  </si>
  <si>
    <t xml:space="preserve">   GAJI DIREKTUR TGL. 10 BULAN PEBRUARI 2023   </t>
  </si>
  <si>
    <t xml:space="preserve">   GAJI DIREKTUR TGL. 10 BULAN MARET 2023   </t>
  </si>
  <si>
    <t xml:space="preserve">   GAJI DIREKTUR TGL. 10 BULAN APRIL 2023   </t>
  </si>
  <si>
    <t xml:space="preserve">   GAJI DIREKTUR TGL. 10 BULAN MEI 2023   </t>
  </si>
  <si>
    <t xml:space="preserve">   GAJI DIREKTUR TGL. 10 BULAN JUNI 2023   </t>
  </si>
  <si>
    <t xml:space="preserve">   GAJI DIREKTUR TGL. 10 BULAN JULI 2023   </t>
  </si>
  <si>
    <t xml:space="preserve">   GAJI DIREKTUR TGL. 10 BULAN AGUSTUS 2023   </t>
  </si>
  <si>
    <t xml:space="preserve">   GAJI DIREKTUR TGL. 10 BULAN SEPTEMBER 2023   </t>
  </si>
  <si>
    <t xml:space="preserve">   GAJI DIREKTUR TGL. 10 BULAN OKTOBER 2023   </t>
  </si>
  <si>
    <t xml:space="preserve">   GAJI DIREKTUR TGL. 10 BULAN NOPEMBER 2023   </t>
  </si>
  <si>
    <t xml:space="preserve">   GAJI DIREKTUR TGL. 10 BULAN DESEMBER 2023   </t>
  </si>
  <si>
    <t>BIAYA RUTIN JASA MEDIS</t>
  </si>
  <si>
    <t>JASA MEDIS P. BPJS</t>
  </si>
  <si>
    <t>I</t>
  </si>
  <si>
    <t>JASMED P. BPJS</t>
  </si>
  <si>
    <t>JASA MEDIS P. AS - PER</t>
  </si>
  <si>
    <t>JASMED P. AS - PER</t>
  </si>
  <si>
    <t xml:space="preserve">   JASMED P. AS - PER BULAN JANUARI 2023   </t>
  </si>
  <si>
    <t xml:space="preserve">   JASMED P. AS - PER BULAN PEBRUARI 2023   </t>
  </si>
  <si>
    <t xml:space="preserve">   JASMED P. AS - PER BULAN MARET 2023   </t>
  </si>
  <si>
    <t xml:space="preserve">   JASMED P. AS - PER BULAN APRIL 2023   </t>
  </si>
  <si>
    <t xml:space="preserve">   JASMED P. AS - PER BULAN MEI 2023   </t>
  </si>
  <si>
    <t xml:space="preserve">   JASMED P. AS - PER BULAN JUNI 2023   </t>
  </si>
  <si>
    <t xml:space="preserve">   JASMED P. AS - PER BULAN JULI 2023   </t>
  </si>
  <si>
    <t xml:space="preserve">   JASMED P. AS - PER BULAN AGUSTUS 2023   </t>
  </si>
  <si>
    <t xml:space="preserve">   JASMED P. AS - PER BULAN SEPTEMBER 2023   </t>
  </si>
  <si>
    <t xml:space="preserve">   JASMED P. AS - PER BULAN OKTOBER 2023   </t>
  </si>
  <si>
    <t xml:space="preserve">   JASMED P. AS - PER BULAN NOPEMBER 2023   </t>
  </si>
  <si>
    <t xml:space="preserve">   JASMED P. AS - PER BULAN DESEMBER 2023   </t>
  </si>
  <si>
    <t>JASA MEDIS P. CASH</t>
  </si>
  <si>
    <t>JASMED P. CASH</t>
  </si>
  <si>
    <t xml:space="preserve">  JASMED P. CASH BULAN JANUARI 2023  </t>
  </si>
  <si>
    <t xml:space="preserve">  JASMED P. CASH BULAN PEBRUARI 2023  </t>
  </si>
  <si>
    <t xml:space="preserve">  JASMED P. CASH BULAN MARET 2023  </t>
  </si>
  <si>
    <t xml:space="preserve">  JASMED P. CASH BULAN APRIL 2023  </t>
  </si>
  <si>
    <t xml:space="preserve">  JASMED P. CASH BULAN MEI 2023  </t>
  </si>
  <si>
    <t xml:space="preserve">  JASMED P. CASH BULAN JUNI 2023  </t>
  </si>
  <si>
    <t xml:space="preserve">  JASMED P. CASH BULAN JULI 2023  </t>
  </si>
  <si>
    <t xml:space="preserve">  JASMED P. CASH BULAN AGUSTUS 2023  </t>
  </si>
  <si>
    <t xml:space="preserve">  JASMED P. CASH BULAN SEPTEMBER 2023  </t>
  </si>
  <si>
    <t xml:space="preserve">  JASMED P. CASH BULAN OKTOBER 2023  </t>
  </si>
  <si>
    <t xml:space="preserve">  JASMED P. CASH BULAN NOPEMBER 2023  </t>
  </si>
  <si>
    <t xml:space="preserve">  JASMED P. CASH BULAN DESEMBER 2023  </t>
  </si>
  <si>
    <t>BIAYA RUTIN JASA PELAYANAN DLL</t>
  </si>
  <si>
    <t>JASA PELAYANAN P. BPJS</t>
  </si>
  <si>
    <t>J</t>
  </si>
  <si>
    <t>JASPEL P. BPJS</t>
  </si>
  <si>
    <t xml:space="preserve">    JASPEL P. BPJS BULAN JANUARI 2023    </t>
  </si>
  <si>
    <t xml:space="preserve">    JASPEL P. BPJS BULAN PEBRUARI 2023    </t>
  </si>
  <si>
    <t xml:space="preserve">    JASPEL P. BPJS BULAN MARET 2023    </t>
  </si>
  <si>
    <t xml:space="preserve">    JASPEL P. BPJS BULAN APRIL 2023    </t>
  </si>
  <si>
    <t xml:space="preserve">    JASPEL P. BPJS BULAN MEI 2023    </t>
  </si>
  <si>
    <t xml:space="preserve">    JASPEL P. BPJS BULAN JUNI 2023    </t>
  </si>
  <si>
    <t xml:space="preserve">    JASPEL P. BPJS BULAN JULI 2023    </t>
  </si>
  <si>
    <t xml:space="preserve">    JASPEL P. BPJS BULAN AGUSTUS 2023    </t>
  </si>
  <si>
    <t xml:space="preserve">    JASPEL P. BPJS BULAN SEPTEMBER 2023    </t>
  </si>
  <si>
    <t xml:space="preserve">    JASPEL P. BPJS BULAN OKTOBER 2023    </t>
  </si>
  <si>
    <t xml:space="preserve">    JASPEL P. BPJS BULAN NOPEMBER 2023    </t>
  </si>
  <si>
    <t xml:space="preserve">    JASPEL P. BPJS BULAN DESEMBER 2023    </t>
  </si>
  <si>
    <t>JASA PELAYANAN P. NON BPJS</t>
  </si>
  <si>
    <t>JASPEL P. ASURANSI / PERUSAHAAN</t>
  </si>
  <si>
    <t xml:space="preserve">     JASPEL P. NON BPJS BULAN JANUARI 2023     </t>
  </si>
  <si>
    <t xml:space="preserve">     JASPEL P. NON BPJS BULAN PEBRUARI 2023     </t>
  </si>
  <si>
    <t xml:space="preserve">     JASPEL P. NON BPJS BULAN MARET 2023     </t>
  </si>
  <si>
    <t xml:space="preserve">     JASPEL P. NON BPJS BULAN APRIL 2023     </t>
  </si>
  <si>
    <t xml:space="preserve">     JASPEL P. NON BPJS BULAN MEI 2023     </t>
  </si>
  <si>
    <t xml:space="preserve">     JASPEL P. NON BPJS BULAN JUNI 2023     </t>
  </si>
  <si>
    <t xml:space="preserve">     JASPEL P. NON BPJS BULAN JULI 2023     </t>
  </si>
  <si>
    <t xml:space="preserve">     JASPEL P. NON BPJS BULAN AGUSTUS 2023     </t>
  </si>
  <si>
    <t xml:space="preserve">     JASPEL P. NON BPJS BULAN SEPTEMBER 2023     </t>
  </si>
  <si>
    <t xml:space="preserve">     JASPEL P. NON BPJS BULAN OKTOBER 2023     </t>
  </si>
  <si>
    <t xml:space="preserve">     JASPEL P. NON BPJS BULAN NOPEMBER 2023     </t>
  </si>
  <si>
    <t xml:space="preserve">     JASPEL P. NON BPJS BULAN DESEMBER 2023     </t>
  </si>
  <si>
    <t>JASA REMUNERASI</t>
  </si>
  <si>
    <t>REMUNERASI JUNI, JULI DAN AGUSTUS 2024 (11/09)</t>
  </si>
  <si>
    <t>REMUNERASI SEPTEMBER, OKTOBER DAN NOPEMBER 2024 (26/12)</t>
  </si>
  <si>
    <t>REMUNERASI DESEMBER 2024, JANUARI DAN FEBRUARI 2025 (25/03)</t>
  </si>
  <si>
    <t>REMUNERASI MARET, APRIL DAN MEI 2025 (09/07)</t>
  </si>
  <si>
    <t>BIAYA RUTIN BULANAN</t>
  </si>
  <si>
    <t>SEWA BANGUNAN</t>
  </si>
  <si>
    <t>K</t>
  </si>
  <si>
    <t>SEWA BANGUNAN BULAN JANUARI 2023</t>
  </si>
  <si>
    <t>SEWA BANGUNAN BULAN PEBRUARI 2023</t>
  </si>
  <si>
    <t>SEWA BANGUNAN BULAN MARET 2023</t>
  </si>
  <si>
    <t>SEWA BANGUNAN BULAN APRIL 2023</t>
  </si>
  <si>
    <t>SEWA BANGUNAN BULAN MEI 2023</t>
  </si>
  <si>
    <t>SEWA BANGUNAN BULAN JUNI 2023</t>
  </si>
  <si>
    <t>SEWA BANGUNAN BULAN JULI 2023</t>
  </si>
  <si>
    <t>SEWA BANGUNAN BULAN AGUSTUS 2023</t>
  </si>
  <si>
    <t>SEWA BANGUNAN BULAN SEPTEMBER 2023</t>
  </si>
  <si>
    <t>SEWA BANGUNAN BULAN OKTOBER 2023</t>
  </si>
  <si>
    <t>SEWA BANGUNAN BULAN NOPEMBER 2023</t>
  </si>
  <si>
    <t>SEWA BANGUNAN BULAN DESEMBER 2023</t>
  </si>
  <si>
    <t>SEWA AMBULANCE</t>
  </si>
  <si>
    <t>SEWA AMBULANCE BULAN JANUARI 2023</t>
  </si>
  <si>
    <t>SEWA AMBULANCE BULAN PEBRUARI 2023</t>
  </si>
  <si>
    <t>SEWA AMBULANCE BULAN MARET 2023</t>
  </si>
  <si>
    <t>SEWA AMBULANCE BULAN APRIL 2023</t>
  </si>
  <si>
    <t>SEWA AMBULANCE BULAN MEI 2023</t>
  </si>
  <si>
    <t>SEWA AMBULANCE BULAN JUNI 2023</t>
  </si>
  <si>
    <t>SEWA AMBULANCE BULAN JULI 2023</t>
  </si>
  <si>
    <t>SEWA AMBULANCE BULAN AGUSTUS 2023</t>
  </si>
  <si>
    <t>SEWA AMBULANCE BULAN SEPTEMBER 2023</t>
  </si>
  <si>
    <t>SEWA AMBULANCE BULAN OKTOBER 2023</t>
  </si>
  <si>
    <t>SEWA AMBULANCE BULAN NOPEMBER 2023</t>
  </si>
  <si>
    <t>SEWA AMBULANCE BULAN DESEMBER 2023</t>
  </si>
  <si>
    <t>SEWA MOBILIO</t>
  </si>
  <si>
    <t>SEWA MOBILIO BULAN JANUARI 2023</t>
  </si>
  <si>
    <t>SEWA MOBILIO BULAN PEBRUARI 2023</t>
  </si>
  <si>
    <t>SEWA MOBILIO BULAN MARET 2023</t>
  </si>
  <si>
    <t>SEWA MOBILIO BULAN APRIL 2023</t>
  </si>
  <si>
    <t>SEWA MOBILIO BULAN MEI 2023</t>
  </si>
  <si>
    <t>SEWA MOBILIO BULAN JUNI 2023</t>
  </si>
  <si>
    <t>SEWA MOBILIO BULAN JULI 2023</t>
  </si>
  <si>
    <t>SEWA MOBILIO BULAN AGUSTUS 2023</t>
  </si>
  <si>
    <t>SEWA MOBILIO BULAN SEPTEMBER 2023</t>
  </si>
  <si>
    <t>SEWA MOBILIO BULAN OKTOBER 2023</t>
  </si>
  <si>
    <t>SEWA MOBILIO BULAN NOPEMBER 2023</t>
  </si>
  <si>
    <t>SEWA MOBILIO BULAN DESEMBER 2023</t>
  </si>
  <si>
    <t>PLN - LISTRIK</t>
  </si>
  <si>
    <t>PLN - LISTRIK BULAN JANUARI 2023</t>
  </si>
  <si>
    <t>PLN - LISTRIK BULAN PEBRUARI 2023</t>
  </si>
  <si>
    <t>PLN - LISTRIK BULAN MARET 2023</t>
  </si>
  <si>
    <t>PLN - LISTRIK BULAN APRIL 2023</t>
  </si>
  <si>
    <t>PLN - LISTRIK BULAN MEI 2023</t>
  </si>
  <si>
    <t>PLN - LISTRIK BULAN JUNI 2023</t>
  </si>
  <si>
    <t>PLN - LISTRIK BULAN JULI 2023</t>
  </si>
  <si>
    <t>PLN - LISTRIK BULAN AGUSTUS 2023</t>
  </si>
  <si>
    <t>PLN - LISTRIK BULAN SEPTEMBER 2023</t>
  </si>
  <si>
    <t>PLN - LISTRIK BULAN OKTOBER 2023</t>
  </si>
  <si>
    <t>PLN - LISTRIK BULAN NOPEMBER 2023</t>
  </si>
  <si>
    <t>PLN - LISTRIK BULAN DESEMBER 2023</t>
  </si>
  <si>
    <t>PDAM - AIR</t>
  </si>
  <si>
    <t>PDAM - AIR BULAN JANUARI 2023</t>
  </si>
  <si>
    <t>PDAM - AIR BULAN PEBRUARI 2023</t>
  </si>
  <si>
    <t>PDAM - AIR BULAN MARET 2023</t>
  </si>
  <si>
    <t>PDAM - AIR BULAN APRIL 2023</t>
  </si>
  <si>
    <t>PDAM - AIR BULAN MEI 2023</t>
  </si>
  <si>
    <t>PDAM - AIR BULAN JUNI 2023</t>
  </si>
  <si>
    <t>PDAM - AIR BULAN JULI 2023</t>
  </si>
  <si>
    <t>PDAM - AIR BULAN AGUSTUS 2023</t>
  </si>
  <si>
    <t>PDAM - AIR BULAN SEPTEMBER 2023</t>
  </si>
  <si>
    <t>PDAM - AIR BULAN OKTOBER 2023</t>
  </si>
  <si>
    <t>PDAM - AIR BULAN NOPEMBER 2023</t>
  </si>
  <si>
    <t>PDAM - AIR BULAN DESEMBER 2023</t>
  </si>
  <si>
    <t>TELKOM - 0541739772</t>
  </si>
  <si>
    <t>TELKOM - 0541739772 BULAN JANUARI 2023</t>
  </si>
  <si>
    <t>TELKOM - 0541739772 BULAN PEBRUARI 2023</t>
  </si>
  <si>
    <t>TELKOM - 0541739772 BULAN MARET 2023</t>
  </si>
  <si>
    <t>TELKOM - 0541739772 BULAN APRIL 2023</t>
  </si>
  <si>
    <t>TELKOM - 0541739772 BULAN MEI 2023</t>
  </si>
  <si>
    <t>TELKOM - 0541739772 BULAN JUNI 2023</t>
  </si>
  <si>
    <t>TELKOM - 0541739772 BULAN JULI 2023</t>
  </si>
  <si>
    <t>TELKOM - 0541739772 BULAN AGUSTUS 2023</t>
  </si>
  <si>
    <t>TELKOM - 0541739772 BULAN SEPTEMBER 2023</t>
  </si>
  <si>
    <t>TELKOM - 0541739772 BULAN OKTOBER 2023</t>
  </si>
  <si>
    <t>TELKOM - 0541739772 BULAN NOPEMBER 2023</t>
  </si>
  <si>
    <t>TELKOM - 0541739772 BULAN DESEMBER 2023</t>
  </si>
  <si>
    <t>TELKOM - 05417272700</t>
  </si>
  <si>
    <t>TELKOM - 05417272700 BULAN JANUARI 2023</t>
  </si>
  <si>
    <t>TELKOM - 05417272700 BULAN PEBRUARI 2023</t>
  </si>
  <si>
    <t>TELKOM - 05417272700 BULAN MARET 2023</t>
  </si>
  <si>
    <t>TELKOM - 05417272700 BULAN APRIL 2023</t>
  </si>
  <si>
    <t>TELKOM - 05417272700 BULAN MEI 2023</t>
  </si>
  <si>
    <t>TELKOM - 05417272700 BULAN JUNI 2023</t>
  </si>
  <si>
    <t>TELKOM - 05417272700 BULAN JULI 2023</t>
  </si>
  <si>
    <t>TELKOM - 05417272700 BULAN AGUSTUS 2023</t>
  </si>
  <si>
    <t>TELKOM - 05417272700 BULAN SEPTEMBER 2023</t>
  </si>
  <si>
    <t>TELKOM - 05417272700 BULAN OKTOBER 2023</t>
  </si>
  <si>
    <t>TELKOM - 05417272700 BULAN NOPEMBER 2023</t>
  </si>
  <si>
    <t>TELKOM - 05417272700 BULAN DESEMBER 2023</t>
  </si>
  <si>
    <t>TELKOM - 05417272667</t>
  </si>
  <si>
    <t>TELKOM - 05417272667 BULAN JANUARI 2023</t>
  </si>
  <si>
    <t>TELKOM - 05417272667 BULAN PEBRUARI 2023</t>
  </si>
  <si>
    <t>TELKOM - 05417272667 BULAN MARET 2023</t>
  </si>
  <si>
    <t>TELKOM - 05417272667 BULAN APRIL 2023</t>
  </si>
  <si>
    <t>TELKOM - 05417272667 BULAN MEI 2023</t>
  </si>
  <si>
    <t>TELKOM - 05417272667 BULAN JUNI 2023</t>
  </si>
  <si>
    <t>TELKOM - 05417272667 BULAN JULI 2023</t>
  </si>
  <si>
    <t>TELKOM - 05417272667 BULAN AGUSTUS 2023</t>
  </si>
  <si>
    <t>TELKOM - 05417272667 BULAN SEPTEMBER 2023</t>
  </si>
  <si>
    <t>TELKOM - 05417272667 BULAN OKTOBER 2023</t>
  </si>
  <si>
    <t>TELKOM - 05417272667 BULAN NOPEMBER 2023</t>
  </si>
  <si>
    <t>TELKOM - 05417272667 BULAN DESEMBER 2023</t>
  </si>
  <si>
    <t>TELKOM - 162301340311</t>
  </si>
  <si>
    <t>TELKOM - 162301340311 BULAN JANUARI 2023</t>
  </si>
  <si>
    <t>TELKOM - 162301340311 BULAN PEBRUARI 2023</t>
  </si>
  <si>
    <t>TELKOM - 162301340311 BULAN MARET 2023</t>
  </si>
  <si>
    <t>TELKOM - 162301340311 BULAN APRIL 2023</t>
  </si>
  <si>
    <t>TELKOM - 162301340311 BULAN MEI 2023</t>
  </si>
  <si>
    <t>TELKOM - 162301340311 BULAN JUNI 2023</t>
  </si>
  <si>
    <t>TELKOM - 162301340311 BULAN JULI 2023</t>
  </si>
  <si>
    <t>TELKOM - 162301340311 BULAN AGUSTUS 2023</t>
  </si>
  <si>
    <t>TELKOM - 162301340311 BULAN SEPTEMBER 2023</t>
  </si>
  <si>
    <t>TELKOM - 162301340311 BULAN OKTOBER 2023</t>
  </si>
  <si>
    <t>TELKOM - 162301340311 BULAN NOPEMBER 2023</t>
  </si>
  <si>
    <t>TELKOM - 162301340311 BULAN DESEMBER 2023</t>
  </si>
  <si>
    <t>TELKOM - 08115878910</t>
  </si>
  <si>
    <t>TELKOM - 08115878910 BULAN JANUARI 2023</t>
  </si>
  <si>
    <t>TELKOM - 08115878910 BULAN PEBRUARI 2023</t>
  </si>
  <si>
    <t>TELKOM - 08115878910 BULAN MARET 2023</t>
  </si>
  <si>
    <t>TELKOM - 08115878910 BULAN APRIL 2023</t>
  </si>
  <si>
    <t>TELKOM - 08115878910 BULAN MEI 2023</t>
  </si>
  <si>
    <t>TELKOM - 08115878910 BULAN JUNI 2023</t>
  </si>
  <si>
    <t>TELKOM - 08115878910 BULAN JULI 2023</t>
  </si>
  <si>
    <t>TELKOM - 08115878910 BULAN AGUSTUS 2023</t>
  </si>
  <si>
    <t>TELKOM - 08115878910 BULAN SEPTEMBER 2023</t>
  </si>
  <si>
    <t>TELKOM - 08115878910 BULAN OKTOBER 2023</t>
  </si>
  <si>
    <t>TELKOM - 08115878910 BULAN NOPEMBER 2023</t>
  </si>
  <si>
    <t>TELKOM - 08115878910 BULAN DESEMBER 2023</t>
  </si>
  <si>
    <t>BIAYA LAIN-LAIN</t>
  </si>
  <si>
    <t>OBAT / BHP CASH</t>
  </si>
  <si>
    <t>PETTY CASH</t>
  </si>
  <si>
    <t>Total 100 hari ke atas :</t>
  </si>
  <si>
    <t>Total di atas 100 hari :</t>
  </si>
  <si>
    <t>BULAN</t>
  </si>
  <si>
    <t>INV NO. 025 (08/06)</t>
  </si>
  <si>
    <t>INV NO. 012 (07/09)</t>
  </si>
  <si>
    <t>INV NO. 023 (09/11)</t>
  </si>
  <si>
    <t>AMANAH MANDIRI BAHAGIA, PT</t>
  </si>
  <si>
    <t>INV NO. 19 (23/02)</t>
  </si>
  <si>
    <t>INV NO. 323 (09/03)</t>
  </si>
  <si>
    <t>INV NO. 323 (30/03)</t>
  </si>
  <si>
    <t>INV NO. 0332 (27/04)</t>
  </si>
  <si>
    <t>INV  NO. 0423 (13/04)</t>
  </si>
  <si>
    <t>INV NO. 0423 (18/04)</t>
  </si>
  <si>
    <t>INV NO. 0432 (27/04)</t>
  </si>
  <si>
    <t>INV NO. 0423 (09/05)</t>
  </si>
  <si>
    <t>INV NO.0047 (08/06)</t>
  </si>
  <si>
    <t>INV NO. 623 (04/07)</t>
  </si>
  <si>
    <t>INV NO. 723 (13/07)</t>
  </si>
  <si>
    <t>INV NO. 823 (15/08)</t>
  </si>
  <si>
    <t>INV NO. 823 (29/08)</t>
  </si>
  <si>
    <t>INV NO. 2501 (07/03)</t>
  </si>
  <si>
    <t>INV NO. 2932 (07/03)</t>
  </si>
  <si>
    <t>INV NO. 352 (14/03)</t>
  </si>
  <si>
    <t>INV NO. 957 (21/03)</t>
  </si>
  <si>
    <t>INV NO. 1432 (28/03)</t>
  </si>
  <si>
    <t>INV NO. 1760 (28/03)</t>
  </si>
  <si>
    <t>INV NO. 2181 (04/04)</t>
  </si>
  <si>
    <t>INV NO. 3003 (04/04)</t>
  </si>
  <si>
    <t>INV NO. 2953 (04/04)</t>
  </si>
  <si>
    <t>INV  NO. 0359 (18/04)</t>
  </si>
  <si>
    <t>INV NO. 1055 (27/04)</t>
  </si>
  <si>
    <t>INV NO. 2248 (09/05)</t>
  </si>
  <si>
    <t>INV NO. 2684 (09/05)</t>
  </si>
  <si>
    <t>INV NO. 3272 (08/06)</t>
  </si>
  <si>
    <t>INV NO. 3471 (08/06)</t>
  </si>
  <si>
    <t>INV NO. 0015 (15/06)</t>
  </si>
  <si>
    <t>INV NO. 0837 (15/06)</t>
  </si>
  <si>
    <t>INV NO. 0891 (15/06)</t>
  </si>
  <si>
    <t>INV NO. 0928 (15/06)</t>
  </si>
  <si>
    <t>INV NO. 1071 (22/06)</t>
  </si>
  <si>
    <t>INV NO.  1072 (22/06)</t>
  </si>
  <si>
    <t>INV NO. 1149 (22/06)</t>
  </si>
  <si>
    <t>INV NO. 1581 (22/06)</t>
  </si>
  <si>
    <t>INV NO. 1578 (22/06)</t>
  </si>
  <si>
    <t>INV NO. 2279 (04/07)</t>
  </si>
  <si>
    <t>INV NO. 2748 (13/07)</t>
  </si>
  <si>
    <t>INV NO. 2806 (13/07)</t>
  </si>
  <si>
    <t>INV NO. 2842 (13/07)</t>
  </si>
  <si>
    <t>INV NO. 3628 (13/07)</t>
  </si>
  <si>
    <t>INV NO. 3641 (13/07)</t>
  </si>
  <si>
    <t>INV NO. 3517 (13/07)</t>
  </si>
  <si>
    <t>INV NO. 119 (18/07)</t>
  </si>
  <si>
    <t>INV NO. 238 (18/07)</t>
  </si>
  <si>
    <t>INV NO. 375 (18/07)</t>
  </si>
  <si>
    <t>INV NO. 389 (18/07)</t>
  </si>
  <si>
    <t>INV NO. 868 (25/07)</t>
  </si>
  <si>
    <t>INV NO. 867 (25/07)</t>
  </si>
  <si>
    <t>INV NO. 1299 (25/07)</t>
  </si>
  <si>
    <t>INV NO. 1324 (25/07)</t>
  </si>
  <si>
    <t>INV NO. 1602 (25/07)</t>
  </si>
  <si>
    <t>INV NO. 1492 (25/07)</t>
  </si>
  <si>
    <t>INV NO. 2001 (27/07)</t>
  </si>
  <si>
    <t>INV NO. 2193 (27/07)</t>
  </si>
  <si>
    <t>INV NO. 2502 (01/08)</t>
  </si>
  <si>
    <t>INV NO. 2806 (03/08)</t>
  </si>
  <si>
    <t>INV NO. 3210 (08/08)</t>
  </si>
  <si>
    <t>7/5/2023</t>
  </si>
  <si>
    <t>INV NO. 3575 (08/08)</t>
  </si>
  <si>
    <t>INV NO. 186 (15/08)</t>
  </si>
  <si>
    <t>7/10/2023</t>
  </si>
  <si>
    <t>INV NO. 255 (15/08)</t>
  </si>
  <si>
    <t>INV NO. 313 (15/08)</t>
  </si>
  <si>
    <t>7/12/2023</t>
  </si>
  <si>
    <t>INV NO. 629 (15/08)</t>
  </si>
  <si>
    <t>7/13/2023</t>
  </si>
  <si>
    <t>INV NO. 696 (22/08)</t>
  </si>
  <si>
    <t>7/14/2023</t>
  </si>
  <si>
    <t>INV NO. 840 (22/08)</t>
  </si>
  <si>
    <t>INV NO. 1103 (22/08)</t>
  </si>
  <si>
    <t>7/18/2023</t>
  </si>
  <si>
    <t>INV NO. 1735 (29/08)</t>
  </si>
  <si>
    <t>7/20/2023</t>
  </si>
  <si>
    <t>INV NO. 1797 (29/08)</t>
  </si>
  <si>
    <t>7/24/2023</t>
  </si>
  <si>
    <t>INV NO. 1823 (29/08)</t>
  </si>
  <si>
    <t>7/26/2023</t>
  </si>
  <si>
    <t>INV NO. 1786 (29/08)</t>
  </si>
  <si>
    <t>7/28/2023</t>
  </si>
  <si>
    <t>INV NO. 1829 (29/08)</t>
  </si>
  <si>
    <t>7/31/2023</t>
  </si>
  <si>
    <t>INV NO. 1934 (29/08)</t>
  </si>
  <si>
    <t>8/2/2023</t>
  </si>
  <si>
    <t>INV NO. 2105 (29/08)</t>
  </si>
  <si>
    <t>8/3/2023</t>
  </si>
  <si>
    <t>INV NO. 2171 (29/08)</t>
  </si>
  <si>
    <t>8/4/2023</t>
  </si>
  <si>
    <t>INV NO. 2173 (29/08)</t>
  </si>
  <si>
    <t>8/7/2023</t>
  </si>
  <si>
    <t>INV NO. 2369 (29/08)</t>
  </si>
  <si>
    <t>8/8/2023</t>
  </si>
  <si>
    <t>INV NO. 2580 (31/08)</t>
  </si>
  <si>
    <t>INV NO. 2785 (31/08)</t>
  </si>
  <si>
    <t>8/10/2023</t>
  </si>
  <si>
    <t>INV NO. 2818 (31/08)</t>
  </si>
  <si>
    <t>8/15/2023</t>
  </si>
  <si>
    <t>INV NO. 3167 (07/09)</t>
  </si>
  <si>
    <t>INV NO. 3285 (07/09)</t>
  </si>
  <si>
    <t>INV NO. 3763 (14/09)</t>
  </si>
  <si>
    <t>INV NO. 126 (19/09)</t>
  </si>
  <si>
    <t>INV NO. 428 (19/09)</t>
  </si>
  <si>
    <t>8/16/2023</t>
  </si>
  <si>
    <t>INV NO. 306 (19/09)</t>
  </si>
  <si>
    <t>8/18/2023</t>
  </si>
  <si>
    <t>INV NO. 887 (19/09)</t>
  </si>
  <si>
    <t>8/21/2023</t>
  </si>
  <si>
    <t>INV NO. 1003 (26/09)</t>
  </si>
  <si>
    <t>INV NO. 996 (26/09)</t>
  </si>
  <si>
    <t>INV NO. 1172 (26/09)</t>
  </si>
  <si>
    <t>8/23/2023</t>
  </si>
  <si>
    <t>INV NO. 2082 (03/10)</t>
  </si>
  <si>
    <t>8/24/2023</t>
  </si>
  <si>
    <t>INV NO. 2569 (03/10)</t>
  </si>
  <si>
    <t>8/25/2023</t>
  </si>
  <si>
    <t>INV NO. 2629 (03/10)</t>
  </si>
  <si>
    <t>8/28/2023</t>
  </si>
  <si>
    <t>INV NO. 3336 (10/10)</t>
  </si>
  <si>
    <t>8/29/2023</t>
  </si>
  <si>
    <t>INV NO. 3605 (10/10)</t>
  </si>
  <si>
    <t>8/31/2023</t>
  </si>
  <si>
    <t>INV NO. 3713 (10/10), 468, 469 (RETUR)</t>
  </si>
  <si>
    <t>9/4/2023</t>
  </si>
  <si>
    <t>INV NO. 92 (17/10)</t>
  </si>
  <si>
    <t>9/5/2023</t>
  </si>
  <si>
    <t>INV NO. 224 (17/10)</t>
  </si>
  <si>
    <t>INV NO. 566 (17/10)</t>
  </si>
  <si>
    <t>9/8/2023</t>
  </si>
  <si>
    <t>INV NO. 801 (17/10)</t>
  </si>
  <si>
    <t>9/11/2023</t>
  </si>
  <si>
    <t>INV NO. 1130 (24/10)</t>
  </si>
  <si>
    <t>INV NO. 1542 (24/10)</t>
  </si>
  <si>
    <t>INV NO. 2018 (31/10)</t>
  </si>
  <si>
    <t>9/16/2023</t>
  </si>
  <si>
    <t>INV NO. 2167 (31/10)</t>
  </si>
  <si>
    <t>9/20/2023</t>
  </si>
  <si>
    <t>INV NO. 2185 (31/10)</t>
  </si>
  <si>
    <t>INV NO. 2564 (07/11)</t>
  </si>
  <si>
    <t>9/26/2023</t>
  </si>
  <si>
    <t>INV NO. 2842 (07/11)</t>
  </si>
  <si>
    <t>9/29/2023</t>
  </si>
  <si>
    <t>INV NO. 3063 (07/11)</t>
  </si>
  <si>
    <t>INV NO. 3565 (07/11)</t>
  </si>
  <si>
    <t>10/2/2023</t>
  </si>
  <si>
    <t>INV NO. 3575 (07/11)</t>
  </si>
  <si>
    <t>10/4/2023</t>
  </si>
  <si>
    <t>INV NO. 3576 (07/11)</t>
  </si>
  <si>
    <t>10/5/2023</t>
  </si>
  <si>
    <t>INV NO. 3578 (07/11)</t>
  </si>
  <si>
    <t>INV NO. 150 (09/11)</t>
  </si>
  <si>
    <t>INV NO. 348 (09/11)</t>
  </si>
  <si>
    <t>INV NO. 392 (09/11)</t>
  </si>
  <si>
    <t>INV NO. 826 (16/11)</t>
  </si>
  <si>
    <t>INV NO. 1237 (16/11)</t>
  </si>
  <si>
    <t>INV NO. 1672 (30/11)</t>
  </si>
  <si>
    <t>INV NO. 1747 (30/11)</t>
  </si>
  <si>
    <t>INV NO. 2547 (30/11)</t>
  </si>
  <si>
    <t>INV NO. 2546 (30/11)</t>
  </si>
  <si>
    <t>INV NO. 3345 (07/12)</t>
  </si>
  <si>
    <t>INV NO. 3880 (07/12)</t>
  </si>
  <si>
    <t>INV NO. 4132 (07/12)</t>
  </si>
  <si>
    <t>INV NO. 4131 (07/12)</t>
  </si>
  <si>
    <t>INV NO. 47 (07/12)</t>
  </si>
  <si>
    <t>INV NO. 2648 (07/02), JT 01/04/2023</t>
  </si>
  <si>
    <t>INV NO. 3635 (16/02), JT 04/04/2023</t>
  </si>
  <si>
    <t>INV NO. 3772 (16/02), JT 04/04/2023</t>
  </si>
  <si>
    <t>INV NO. 3674 (16/02), JT 04/04/2023</t>
  </si>
  <si>
    <t>INV NO. 3647 (16/02), JT 04/04/2023</t>
  </si>
  <si>
    <t>INV NO. 5353 (28/02), JT 10/04/23</t>
  </si>
  <si>
    <t>INV NO. 6437 (28/02), JT 15/04/23</t>
  </si>
  <si>
    <t>INV NO. 6888 (28/02), JT 17/04/23</t>
  </si>
  <si>
    <t>INV NO. 7417 (28/02), JT 18/04/23</t>
  </si>
  <si>
    <t>INV NO. 7378 (28/02), JT 18/04/23</t>
  </si>
  <si>
    <t>INV NO. 8073 (28/02), JT 22/04/23</t>
  </si>
  <si>
    <t>INV NO. 8882 (28/02), JT 24/04/23</t>
  </si>
  <si>
    <t>INV NO. 9057 (28/02), JT 25/04/23</t>
  </si>
  <si>
    <t>INV NO. 9063 (28/02), JT 25/04/23</t>
  </si>
  <si>
    <t>INV NO. 20704 (09/03), JT 30/03/23</t>
  </si>
  <si>
    <t>INV NO. 20716 (09/03), JT 30/03/23</t>
  </si>
  <si>
    <t>INV NO. 20960 (09/03), JT 30/03/23</t>
  </si>
  <si>
    <t>INV NO. 1259 (09/03), JT 01/05/23</t>
  </si>
  <si>
    <t>INV NO. 1364 (09/03), JT 01/05/23</t>
  </si>
  <si>
    <t>INV NO. 1317 (09/03), JT 01/04/23</t>
  </si>
  <si>
    <t>INV NO. 1751 (09/03), JT 02/04/23</t>
  </si>
  <si>
    <t>INV NO. 1645 (09/03), JT 02/05/23</t>
  </si>
  <si>
    <t>INV NO. 1749 (09/03), JT 02/04/23</t>
  </si>
  <si>
    <t>INV NO. 1660 (09/03), JT 02/05/23</t>
  </si>
  <si>
    <t>INV NO. 1854 (16/03), JT 03/05/23</t>
  </si>
  <si>
    <t>INV NO. 2748 (16/03), JT 07/04/23</t>
  </si>
  <si>
    <t>INV NO. 3250 (16/03), JT 08/05/23</t>
  </si>
  <si>
    <t>INV NO. 3683 (16/03), JT 09/04/23</t>
  </si>
  <si>
    <t>INV NO. 3686 (21/03), JT 09/05/23</t>
  </si>
  <si>
    <t>INV NO. 3687 (16/03), JT 09/05/23</t>
  </si>
  <si>
    <t>INV NO. 3636 (16/03), JT 09/04/23</t>
  </si>
  <si>
    <t>INV NO. 3540 (16/03), JT 09/05/23</t>
  </si>
  <si>
    <t>INV NO. 4719 (04/04)</t>
  </si>
  <si>
    <t>INV NO. 5396 (04/04)</t>
  </si>
  <si>
    <t>INV NO. 5389 (04/04)</t>
  </si>
  <si>
    <t>INV NO. 5721 (04/04)</t>
  </si>
  <si>
    <t>INV NO. 5483 (04/04)</t>
  </si>
  <si>
    <t>INV NO. 5573 (04/04)</t>
  </si>
  <si>
    <t>INV NO. 5569 (04/04)</t>
  </si>
  <si>
    <t>INV NO. 9949 (18/04)</t>
  </si>
  <si>
    <t>INV NO. 7166 (04/04)</t>
  </si>
  <si>
    <t>INV NO. 8432 (04/04)</t>
  </si>
  <si>
    <t>INV NO. 8207 (04/04)</t>
  </si>
  <si>
    <t>INV NO. 8408 (04/04)</t>
  </si>
  <si>
    <t>INV NO. 8370 (04/04)</t>
  </si>
  <si>
    <t>INV NO. 0116 (18/04)</t>
  </si>
  <si>
    <t>INV NO. 9724 (18/04)</t>
  </si>
  <si>
    <t>INV NO. 9669 (18/04)</t>
  </si>
  <si>
    <t>INV NO. 9963 (18/04)</t>
  </si>
  <si>
    <t>INV NO. 0051 (18/04)</t>
  </si>
  <si>
    <t>INV NO. 8646 (04/04)</t>
  </si>
  <si>
    <t>INV NO. 0050 (18/04)</t>
  </si>
  <si>
    <t>INV NO. 0615 (18/04)</t>
  </si>
  <si>
    <t>INV NO. 1902 (02/05)</t>
  </si>
  <si>
    <t>INV NO. 2646 (02/05)</t>
  </si>
  <si>
    <t>INV NO. 2966 (02/05)</t>
  </si>
  <si>
    <t>INV NO. 3079 (02/05)</t>
  </si>
  <si>
    <t>INV NO. 3163 (02/05)</t>
  </si>
  <si>
    <t>INV NO. 3891 (02/05)</t>
  </si>
  <si>
    <t>INV NO. 4167 (02/05)</t>
  </si>
  <si>
    <t>INV NO. 4169 (02/05)</t>
  </si>
  <si>
    <t>INV NO. 4168 (02/05)</t>
  </si>
  <si>
    <t>INV NO. 4627 (09/05)</t>
  </si>
  <si>
    <t>INV NO. 4630 (09/05)</t>
  </si>
  <si>
    <t>INV NO. 4649 (09/05)</t>
  </si>
  <si>
    <t>INV NO. 5575 (09/05)</t>
  </si>
  <si>
    <t>INV NO. 7760 (09/05)</t>
  </si>
  <si>
    <t>INV NO. 7706 (09/05)</t>
  </si>
  <si>
    <t>INV NO. 7765 (09/05)</t>
  </si>
  <si>
    <t>INV NO. 7973 (09/05)</t>
  </si>
  <si>
    <t>INV NO. 9764 (23/05)</t>
  </si>
  <si>
    <t>INV NO. 4317 (23/05)</t>
  </si>
  <si>
    <t>INV NO. 4158 (23/05)</t>
  </si>
  <si>
    <t>INV NO. 4399 (23/05)</t>
  </si>
  <si>
    <t>INV NO. 4160 (23/05)</t>
  </si>
  <si>
    <t>INV NO. 4159 (23/05)</t>
  </si>
  <si>
    <t>INV NO. 4318 (23/05)</t>
  </si>
  <si>
    <t>INV NO. 4329 (23/05)</t>
  </si>
  <si>
    <t>INV NO. 7822 (13/06)</t>
  </si>
  <si>
    <t>INV NO. 4800 (06/06)</t>
  </si>
  <si>
    <t>INV NO. 4895 (06/06)</t>
  </si>
  <si>
    <t>INV NO. 4774 (06/06)</t>
  </si>
  <si>
    <t>INV NO. 4798 (06/06)</t>
  </si>
  <si>
    <t>INV NO. 5202 (06/06)</t>
  </si>
  <si>
    <t>INV NO. 6188 (06/06)</t>
  </si>
  <si>
    <t>INV NO. 6195 (06/06)</t>
  </si>
  <si>
    <t>INV NO. 6190 (06/06)</t>
  </si>
  <si>
    <t>INV NO. 7039 (06/06)</t>
  </si>
  <si>
    <t>INV NO. 7092 (06/06)</t>
  </si>
  <si>
    <t>INV NO. 7336 (13/06)</t>
  </si>
  <si>
    <t>INV NO. 7370 (06/06)</t>
  </si>
  <si>
    <t>INV NO. 7349 (06/06)</t>
  </si>
  <si>
    <t>INV NO. 7393 (06/06)</t>
  </si>
  <si>
    <t>INV NO. 7853 (13/06)</t>
  </si>
  <si>
    <t>INV NO. 7854 (13/06)</t>
  </si>
  <si>
    <t>INV NO. 9326 (13/06)</t>
  </si>
  <si>
    <t>INV NO. 9327 (13/06)</t>
  </si>
  <si>
    <t>INV NO. 9430 (13/06)</t>
  </si>
  <si>
    <t>INV NO. 9505 (13/06)</t>
  </si>
  <si>
    <t>INV NO. 9506 (13/06)</t>
  </si>
  <si>
    <t>INV NO. 0259 (13/06)</t>
  </si>
  <si>
    <t>INV NO. 0522 (22/06)</t>
  </si>
  <si>
    <t>INV NO. 1589 (22/06)</t>
  </si>
  <si>
    <t>INV NO. 1634 (22/06)</t>
  </si>
  <si>
    <t>INV NO. 1967 (22/06)</t>
  </si>
  <si>
    <t>INV NO. 1859 (22/06)</t>
  </si>
  <si>
    <t>INV NO. 2585 (22/06)</t>
  </si>
  <si>
    <t>INV NO. 3146 (27/06)</t>
  </si>
  <si>
    <t>INV NO. 3144 (27/06)</t>
  </si>
  <si>
    <t>INV NO. 3457 (27/06)</t>
  </si>
  <si>
    <t>INV NO. 3458 (27/06)</t>
  </si>
  <si>
    <t>INV NO. 3473 (27/06)</t>
  </si>
  <si>
    <t>INV NO. 5577 (06/07)</t>
  </si>
  <si>
    <t>INV NO. 5548 (06/07)</t>
  </si>
  <si>
    <t>INV NO. 5549 (06/07)</t>
  </si>
  <si>
    <t>INV NO. 5622 (06/07)</t>
  </si>
  <si>
    <t>INV NO. 5508 (06/07)</t>
  </si>
  <si>
    <t>INV NO. 5547 (06/07)</t>
  </si>
  <si>
    <t>INV NO. 6075 (06/07)</t>
  </si>
  <si>
    <t>INV NO. 5943 (06/07)</t>
  </si>
  <si>
    <t>INV NO. 6013 (06/07)</t>
  </si>
  <si>
    <t>INV NO. 6451 (06/07)</t>
  </si>
  <si>
    <t>INV NO. 7841 (03/08)</t>
  </si>
  <si>
    <t>INV NO. 9309 (20/07)</t>
  </si>
  <si>
    <t>INV NO. 9302 (20/07)</t>
  </si>
  <si>
    <t>INV NO. 9880 (20/07)</t>
  </si>
  <si>
    <t>INV NO. 9763 (20/07)</t>
  </si>
  <si>
    <t>INV NO. 9764 (20/07)</t>
  </si>
  <si>
    <t>INV NO. 60325 (20/07)</t>
  </si>
  <si>
    <t>INV NO. 60599 (20/07)</t>
  </si>
  <si>
    <t>INV NO. 60709 (20/07)</t>
  </si>
  <si>
    <t>INV NO. 60711 (20/07)</t>
  </si>
  <si>
    <t>INV NO. 1004 (20/07)</t>
  </si>
  <si>
    <t>INV NO. 1681 (25/07)</t>
  </si>
  <si>
    <t>INV NO. 1682 (25/07)</t>
  </si>
  <si>
    <t>INV NO. 1635(25/07)</t>
  </si>
  <si>
    <t>INV NO. 2122 (25/07)</t>
  </si>
  <si>
    <t>INV NO. 2539 (25/07)</t>
  </si>
  <si>
    <t>INV NO. 4480 (03/08)</t>
  </si>
  <si>
    <t>INV NO. 5034 (03/08)</t>
  </si>
  <si>
    <t>INV NO. 5033 (03/08)</t>
  </si>
  <si>
    <t>INV NO. 5027 (03/08)</t>
  </si>
  <si>
    <t>INV NO. 5016 (03/08)</t>
  </si>
  <si>
    <t>INV NO. 5298 (08/08)</t>
  </si>
  <si>
    <t>INV NO. 5257 (08/08)</t>
  </si>
  <si>
    <t>INV NO. 5321 (08/08)</t>
  </si>
  <si>
    <t>INV NO. 5264 (08/08)</t>
  </si>
  <si>
    <t>INV NO. 5865 (08/08)</t>
  </si>
  <si>
    <t>INV NO. 5864 (08/08)</t>
  </si>
  <si>
    <t>INV NO. 5863 (08/08)</t>
  </si>
  <si>
    <t>INV NO. 6518 (08/08)</t>
  </si>
  <si>
    <t>INV NO. 6184 (08/08)</t>
  </si>
  <si>
    <t>INV NO. 7843 (22/08)</t>
  </si>
  <si>
    <t>INV NO. 8893 (22/08)</t>
  </si>
  <si>
    <t>INV NO. 70093 (22/08)</t>
  </si>
  <si>
    <t>INV NO. 70091 (22/08)</t>
  </si>
  <si>
    <t>INV NO. 70121 (22/08)</t>
  </si>
  <si>
    <t>INV NO. 70102 (22/08)</t>
  </si>
  <si>
    <t>INV NO. 70367 (22/08)</t>
  </si>
  <si>
    <t>INV NO. 70410 (22/08)</t>
  </si>
  <si>
    <t>INV NO. 70616 (22/08)</t>
  </si>
  <si>
    <t>INV NO. 1236 (29/08)</t>
  </si>
  <si>
    <t>INV NO. 1203 (22/08)</t>
  </si>
  <si>
    <t>INV NO. 1528 (29/08)</t>
  </si>
  <si>
    <t>INV NO. 1895 (29/08)</t>
  </si>
  <si>
    <t>INV NO. 1893 (29/08)</t>
  </si>
  <si>
    <t>INV NO. 2022 (29/08)</t>
  </si>
  <si>
    <t>INV NO. 2328 (29/08)</t>
  </si>
  <si>
    <t>INV NO. 2731 (29/08)</t>
  </si>
  <si>
    <t>INV NO. 3092 (29/08)</t>
  </si>
  <si>
    <t>INV NO. 3095 (29/08)</t>
  </si>
  <si>
    <t>INV NO. 4585 (05/09)</t>
  </si>
  <si>
    <t>INV NO. 4576 (05/09)</t>
  </si>
  <si>
    <t>INV NO. 5279 (05/09)</t>
  </si>
  <si>
    <t>INV NO. 5714 (14/09)</t>
  </si>
  <si>
    <t>INV NO. 5686 (14/09)</t>
  </si>
  <si>
    <t>INV NO. 5677 (14/09)</t>
  </si>
  <si>
    <t>INV NO. 5918 (14/09)</t>
  </si>
  <si>
    <t>INV NO. 5902 (14/09)</t>
  </si>
  <si>
    <t>INV NO. 5903 (14/09)</t>
  </si>
  <si>
    <t>INV NO. 6177 (14/09)</t>
  </si>
  <si>
    <t>INV NO. 6354 (14/09)</t>
  </si>
  <si>
    <t>INV NO. 6344 (14/09)</t>
  </si>
  <si>
    <t>INV NO. 6357 (14/09)</t>
  </si>
  <si>
    <t>INV NO. 7567 (19/09)</t>
  </si>
  <si>
    <t>INV NO. 7843 (19/09)</t>
  </si>
  <si>
    <t>INV NO. 7814 (19/09)</t>
  </si>
  <si>
    <t>INV NO. 7844 (19/09)</t>
  </si>
  <si>
    <t>INV NO. 7827 (19/09)</t>
  </si>
  <si>
    <t>INV NO. 8059 (19/09)</t>
  </si>
  <si>
    <t>INV NO. 7875 (19/09)</t>
  </si>
  <si>
    <t>INV NO. 7876 (19/09)</t>
  </si>
  <si>
    <t>INV NO. 8021 (19/09)</t>
  </si>
  <si>
    <t>INV NO. 8471 (19/09)</t>
  </si>
  <si>
    <t>INV NO. 8534 (19/09)</t>
  </si>
  <si>
    <t>INV NO. 8628 (19/09)</t>
  </si>
  <si>
    <t>INV NO. 80396 (26/09)</t>
  </si>
  <si>
    <t>INV NO. 80397 (26/09)</t>
  </si>
  <si>
    <t>INV NO. 80464 (26/09)</t>
  </si>
  <si>
    <t>INV NO. 1795 (26/09)</t>
  </si>
  <si>
    <t>INV NO. 2533 (05/10)</t>
  </si>
  <si>
    <t>INV NO. 2529 (05/10)</t>
  </si>
  <si>
    <t>INV NO. 2523 (05/10)</t>
  </si>
  <si>
    <t>INV NO. 2643 (05/10)</t>
  </si>
  <si>
    <t>INV NO. 2641 (05/10)</t>
  </si>
  <si>
    <t>INV NO. 2644 (05/10)</t>
  </si>
  <si>
    <t>INV NO. 2941 (05/10)</t>
  </si>
  <si>
    <t>INV NO. 3220 (05/10)</t>
  </si>
  <si>
    <t>INV NO. 4311 (05/10)</t>
  </si>
  <si>
    <t>INV NO. 4892 (05/10)</t>
  </si>
  <si>
    <t>INV NO. 4812 (05/10)</t>
  </si>
  <si>
    <t>INV NO. 5303 (10/10)</t>
  </si>
  <si>
    <t>INV NO. 5728 (10/10)</t>
  </si>
  <si>
    <t>INV NO. 6369 (17/10)</t>
  </si>
  <si>
    <t>INV NO. 6562 (17/10)</t>
  </si>
  <si>
    <t>INV NO. 7945 (17/10)</t>
  </si>
  <si>
    <t>INV NO. 7902 (17/10)</t>
  </si>
  <si>
    <t>INV NO. 8391 (26/10)</t>
  </si>
  <si>
    <t>INV NO. 8335 (26/10)</t>
  </si>
  <si>
    <t>INV NO. 8337 (26/10)</t>
  </si>
  <si>
    <t>INV NO. 8697 (26/10)</t>
  </si>
  <si>
    <t>INV NO. 8797 (26/10)</t>
  </si>
  <si>
    <t>INV NO. 8766 (26/10)</t>
  </si>
  <si>
    <t>INV NO. 90317 (02/11)</t>
  </si>
  <si>
    <t>INV NO. 4607 (14/11)</t>
  </si>
  <si>
    <t>INV NO. 5113 (14/11)</t>
  </si>
  <si>
    <t>INV NO. 5270 (28/11)</t>
  </si>
  <si>
    <t>INV NO. 5271 (14/11)</t>
  </si>
  <si>
    <t>INV NO. 5366 (14/11)</t>
  </si>
  <si>
    <t>INV NO. 6798 (28/11)</t>
  </si>
  <si>
    <t>INV NO. 6841 (28/11)</t>
  </si>
  <si>
    <t>INV NO. 7338 (28/11)</t>
  </si>
  <si>
    <t>INV NO. 7270 (28/11)</t>
  </si>
  <si>
    <t>INV NO. 7426 (28/11)</t>
  </si>
  <si>
    <t>INV NO. 8098 (28/11)</t>
  </si>
  <si>
    <t>INV NO. 8647 (28/11)</t>
  </si>
  <si>
    <t>INV NO. 8676 (28/11)</t>
  </si>
  <si>
    <t>INV NO. 9303 (28/11)</t>
  </si>
  <si>
    <t>INV NO. 8913 (28/11)</t>
  </si>
  <si>
    <t>INV NO. 9134 (28/11)</t>
  </si>
  <si>
    <t>INV NO. 9681 (28/11)</t>
  </si>
  <si>
    <t>INV NO. 87 (28/11)</t>
  </si>
  <si>
    <t>INV NO. 9860 (28/11)</t>
  </si>
  <si>
    <t>INV NO. 3473 (27/07)</t>
  </si>
  <si>
    <t>INV NO. 757 (23/02)</t>
  </si>
  <si>
    <t>INV NO. 1403 (23/02)</t>
  </si>
  <si>
    <t>INV NO. 1404 (23/02)</t>
  </si>
  <si>
    <t>INV NO. 2218 (23/02)</t>
  </si>
  <si>
    <t>INV NO. 2219 (23/02)</t>
  </si>
  <si>
    <t>INV NO. 3273 (28/02)</t>
  </si>
  <si>
    <t>INV NO. 3274 (23/02)</t>
  </si>
  <si>
    <t>INV NO. 3334 (23/02)</t>
  </si>
  <si>
    <t>INV NO. 3562 (23/02)</t>
  </si>
  <si>
    <t>INV NO. 5446 (07/03)</t>
  </si>
  <si>
    <t>INV NO. 5782 (07/03)</t>
  </si>
  <si>
    <t>INV NO. 5785 (07/03)</t>
  </si>
  <si>
    <t>INV NO. 5783 (07/03)</t>
  </si>
  <si>
    <t>INV NO. 5784 (07/03)</t>
  </si>
  <si>
    <t>INV NO. 344 (09/03)</t>
  </si>
  <si>
    <t>INV NO. 345 (09/03)</t>
  </si>
  <si>
    <t>INV NO. 2230 (23/03)</t>
  </si>
  <si>
    <t>INV NO. 3064 (23/03)</t>
  </si>
  <si>
    <t>INV NO. 3299 (23/03)</t>
  </si>
  <si>
    <t>INV NO. 3203 (23/03)</t>
  </si>
  <si>
    <t>INV NO. 3202 (23/03)</t>
  </si>
  <si>
    <t>INV NO. 3543 (23/03)</t>
  </si>
  <si>
    <t>INV NO. 5636 (06/04)</t>
  </si>
  <si>
    <t>INV NO. 4080 (28/03)</t>
  </si>
  <si>
    <t>INV NO. 4077 (28/03)</t>
  </si>
  <si>
    <t>INV NO. 4079 (28/03)</t>
  </si>
  <si>
    <t>INV NO. 4178 (28/03)</t>
  </si>
  <si>
    <t>INV NO. 4076 (28/03)</t>
  </si>
  <si>
    <t>INV NO. 4344 (28/03)</t>
  </si>
  <si>
    <t>INV NO. 3898 (28/03)</t>
  </si>
  <si>
    <t>INV NO. 4200 (28/03)</t>
  </si>
  <si>
    <t>INV NO. 4715 (06/04)</t>
  </si>
  <si>
    <t>INV NO. 4716 (06/04)</t>
  </si>
  <si>
    <t>INV NO. 5584 (06/04)</t>
  </si>
  <si>
    <t>INV NO. 4983 (06/04)</t>
  </si>
  <si>
    <t>INV NO. 5511 (06/04)</t>
  </si>
  <si>
    <t>INV NO. 5789 (06/04)</t>
  </si>
  <si>
    <t>INV NO. 6466 (06/04)</t>
  </si>
  <si>
    <t>INV NO. 1867 (18/04)</t>
  </si>
  <si>
    <t>INV NO. 1849 (18/04)</t>
  </si>
  <si>
    <t>INV NO. 1842 (18/04)</t>
  </si>
  <si>
    <t>INV NO. 5566 (09/05)</t>
  </si>
  <si>
    <t>INV NO. 5567 (09/05)</t>
  </si>
  <si>
    <t>INV NO. 5568 (09/05)</t>
  </si>
  <si>
    <t>INV NO. 5510 (16/05)</t>
  </si>
  <si>
    <t>INV NO. 1180 (16/05)</t>
  </si>
  <si>
    <t>INV NO. 1181 (16/05)</t>
  </si>
  <si>
    <t>INV NO. 2931 (29/05)</t>
  </si>
  <si>
    <t>INV NO. 2929 (29/05)</t>
  </si>
  <si>
    <t>INV NO. 6168 (06/06)</t>
  </si>
  <si>
    <t>INV NO. 6395 (06/06)</t>
  </si>
  <si>
    <t>INV NO. 6394 (06/06)</t>
  </si>
  <si>
    <t>INV NO. 6396 (06/06)</t>
  </si>
  <si>
    <t>INV NO. 6514 (13/06)</t>
  </si>
  <si>
    <t>INV NO. 6852 (13/06)</t>
  </si>
  <si>
    <t>INV NO. 6927 (13/06)</t>
  </si>
  <si>
    <t>INV NO. 3942 (27/06)</t>
  </si>
  <si>
    <t>INV NO. 4130 (06/07)</t>
  </si>
  <si>
    <t>INV NO. 6038 (06/07)</t>
  </si>
  <si>
    <t>INV NO. 6040 (06/07)</t>
  </si>
  <si>
    <t>INV NO. 6037 (06/07)</t>
  </si>
  <si>
    <t>INV NO. 6099 (06/07)</t>
  </si>
  <si>
    <t>INV NO. 6126 (06/07)</t>
  </si>
  <si>
    <t>INV NO. 6058 (06/07)</t>
  </si>
  <si>
    <t>INV NO. 6059 (06/07)</t>
  </si>
  <si>
    <t>INV NO. 1998 (18/07)</t>
  </si>
  <si>
    <t>INV NO. 1996 (18/07)</t>
  </si>
  <si>
    <t>INV NO. 1997 (18/07)</t>
  </si>
  <si>
    <t>INV NO. 2444 (18/07)</t>
  </si>
  <si>
    <t>INV NO. 3008 (22/07)</t>
  </si>
  <si>
    <t>INV NO. 3010 (22/07)</t>
  </si>
  <si>
    <t>INV NO. 3287 (25/07)</t>
  </si>
  <si>
    <t>INV NO. 4845 (03/08)</t>
  </si>
  <si>
    <t>INV NO. 4846 (03/08)</t>
  </si>
  <si>
    <t>INV NO. 4847 (03/08)</t>
  </si>
  <si>
    <t>INV NO. 5639 (05/08)</t>
  </si>
  <si>
    <t>INV NO. 5845 (05/08)</t>
  </si>
  <si>
    <t>INV NO. 5844 (05/08)</t>
  </si>
  <si>
    <t>INV NO. 6040 (08/08)</t>
  </si>
  <si>
    <t>INV NO. 6039 (08/08)</t>
  </si>
  <si>
    <t>INV NO. 781 (10/08)</t>
  </si>
  <si>
    <t>INV NO. 3668 (26/08)</t>
  </si>
  <si>
    <t>INV NO. 4284 (26/08)</t>
  </si>
  <si>
    <t>INV NO. 4283 (26/08)</t>
  </si>
  <si>
    <t>INV NO. 4193 (29/08)</t>
  </si>
  <si>
    <t>INV NO. 4799 (31/08)</t>
  </si>
  <si>
    <t>INV NO. 4798 (31/08)</t>
  </si>
  <si>
    <t>INV NO. 5782 (05/09)</t>
  </si>
  <si>
    <t>INV NO. 5786 (05/09)</t>
  </si>
  <si>
    <t>INV NO. 6312 (07/09)</t>
  </si>
  <si>
    <t>INV NO. 6311 (07/09)</t>
  </si>
  <si>
    <t>INV NO. 6293 (07/09)</t>
  </si>
  <si>
    <t>INV NO. 750 (14/09)</t>
  </si>
  <si>
    <t>INV NO. 5831 (12/10)</t>
  </si>
  <si>
    <t>INV NO. 5832 (12/10)</t>
  </si>
  <si>
    <t>INV NO. 5834 (12/10)</t>
  </si>
  <si>
    <t>INV NO. 5836 (12/10)</t>
  </si>
  <si>
    <t>INV NO. 5745 (12/10)</t>
  </si>
  <si>
    <t>INV NO. 5833 (12/10)</t>
  </si>
  <si>
    <t>INV NO. 5829 (12/10)</t>
  </si>
  <si>
    <t>INV NO. 5835 (12/10)</t>
  </si>
  <si>
    <t>INV NO. 6086 (12/10)</t>
  </si>
  <si>
    <t>INV NO. 6010 (12/10)</t>
  </si>
  <si>
    <t>INV NO. 4890 (31/10)</t>
  </si>
  <si>
    <t>INV NO. 6199 (07/11)</t>
  </si>
  <si>
    <t>INV NO. 6102 (07/11)</t>
  </si>
  <si>
    <t>INV NO. 6307 (07/11)</t>
  </si>
  <si>
    <t>INV NO. 6100 (07/11)</t>
  </si>
  <si>
    <t>INV NO. 6098 (07/11)</t>
  </si>
  <si>
    <t>INV NO. 6099 (07/11)</t>
  </si>
  <si>
    <t>INV NO. 6101 (07/11)</t>
  </si>
  <si>
    <t>INV NO. 6097 (07/11)</t>
  </si>
  <si>
    <t>INV NO. 6103 (07/11)</t>
  </si>
  <si>
    <t>INV NO. 6104 (07/11)</t>
  </si>
  <si>
    <t>INV NO. 2023 (16/11), 33 (RETUR)</t>
  </si>
  <si>
    <t>INV NO. 5592 (05/12)</t>
  </si>
  <si>
    <t>INV NO. 5768 (05/12)</t>
  </si>
  <si>
    <t>INV NO. 5783 (05/12)</t>
  </si>
  <si>
    <t>INV NO. 5784 (05/12)</t>
  </si>
  <si>
    <t>INV NO. 5769 (05/12)</t>
  </si>
  <si>
    <t>INV NO. 5799 (05/12)</t>
  </si>
  <si>
    <t>INV NO. 5770 (05/12)</t>
  </si>
  <si>
    <t>INV NO. 5771 (05/12)</t>
  </si>
  <si>
    <t>INV NO. 5800 (05/12)</t>
  </si>
  <si>
    <t>INV NO. 5884 (05/12)</t>
  </si>
  <si>
    <t>INV NO. 6156 (05/12)</t>
  </si>
  <si>
    <t>INV NO. 6188 (05/12)</t>
  </si>
  <si>
    <t>INV NO. 6190 (07/12)</t>
  </si>
  <si>
    <t>INV NO. 6189 (07/12)</t>
  </si>
  <si>
    <t>INV NO. 787 (01/07)</t>
  </si>
  <si>
    <t>INV NO. 934 (01/07)</t>
  </si>
  <si>
    <t>INV NO. 1105 (21/07)</t>
  </si>
  <si>
    <t>INV NO. 1191 (29/08)</t>
  </si>
  <si>
    <t>INV NO. 1228 (29/08)</t>
  </si>
  <si>
    <t>INV NO. 1448 (05/10)</t>
  </si>
  <si>
    <t>INV NO. 1628 (07/11)</t>
  </si>
  <si>
    <t>INV NO. 7468 (17/09)</t>
  </si>
  <si>
    <t>INV NO. 8534 (11/10)</t>
  </si>
  <si>
    <t>INV NO. 8629 (11/10)</t>
  </si>
  <si>
    <t>INV NO. 8696 (11/10)</t>
  </si>
  <si>
    <t>INV NO. 9016 (15/11)</t>
  </si>
  <si>
    <t>INV NO. 9322 (15/11)</t>
  </si>
  <si>
    <t>INV NO. 9409 (15/11)</t>
  </si>
  <si>
    <t>INV NO. 9410 (15/11)</t>
  </si>
  <si>
    <t>INV NO. 3990 (29/07)</t>
  </si>
  <si>
    <t>INV NO. 5985 (28/10)</t>
  </si>
  <si>
    <t>INV NO. 6847 (09/12)</t>
  </si>
  <si>
    <t>INV NO. 64 (21/02)</t>
  </si>
  <si>
    <t>INV NO. 163 (21/02)</t>
  </si>
  <si>
    <t>INV NO. 390 (28/02)</t>
  </si>
  <si>
    <t>INV NO. 520 (28/02)</t>
  </si>
  <si>
    <t>INV NO. 407 (21/02)</t>
  </si>
  <si>
    <t>INV NO. 467 (21/02)</t>
  </si>
  <si>
    <t>INV NO. 69 (28/02)</t>
  </si>
  <si>
    <t>INV NO. 61 (21/02)</t>
  </si>
  <si>
    <t>INV NO. 181 (14/03)</t>
  </si>
  <si>
    <t>INV NO. 277 (28/02)</t>
  </si>
  <si>
    <t>INV NO. 101 (04/04)</t>
  </si>
  <si>
    <t>INV NO. 166 (18/03)</t>
  </si>
  <si>
    <t>INV NO. 180 (18/03)</t>
  </si>
  <si>
    <t>INV NO. 0440 (16/05)</t>
  </si>
  <si>
    <t>INV NO. 0560 (16/05)</t>
  </si>
  <si>
    <t>INV NO. 0398 (06/04)</t>
  </si>
  <si>
    <t>INV NO. 598 (23/03)</t>
  </si>
  <si>
    <t>INV NO. 0628 (16/05)</t>
  </si>
  <si>
    <t>INV NO. 631 (23/03)</t>
  </si>
  <si>
    <t>INV NO. 0753 (16/05)</t>
  </si>
  <si>
    <t>INV NO. 0820 (16/05)</t>
  </si>
  <si>
    <t>INV NO. 0026 (16/5)</t>
  </si>
  <si>
    <t>INV NO. 0082 (16/05)</t>
  </si>
  <si>
    <t>INV NO. 0539 (16/05)</t>
  </si>
  <si>
    <t>INV NO. 0431 (30/05)</t>
  </si>
  <si>
    <t>INV NO. 0685 (16/05)</t>
  </si>
  <si>
    <t>INV NO. 0263 (30/05)</t>
  </si>
  <si>
    <t>INV NO. 0754 (13/06)</t>
  </si>
  <si>
    <t>INV NO. 0851 (27/06)</t>
  </si>
  <si>
    <t>INV NO. 0275 (27/06)</t>
  </si>
  <si>
    <t>INV NO. 280 (01/07)</t>
  </si>
  <si>
    <t>INV NO. 471 (04/07)</t>
  </si>
  <si>
    <t>INV NO. 48 (04/07)</t>
  </si>
  <si>
    <t>INV NO. 0007 (18/07)</t>
  </si>
  <si>
    <t>INV NO. 0112 (18/07)</t>
  </si>
  <si>
    <t>INV NO. 0093 (18/07)</t>
  </si>
  <si>
    <t>INV NO. 180 (15/08)</t>
  </si>
  <si>
    <t>INV NO. 173 (15/08)</t>
  </si>
  <si>
    <t>INV NO. 259 (15/08)</t>
  </si>
  <si>
    <t>INV NO. 412 (15/08)</t>
  </si>
  <si>
    <t>INV NO. 668 (18/07)</t>
  </si>
  <si>
    <t>INV NO. 619 (15/08)</t>
  </si>
  <si>
    <t>INV NO. 464 (15/08)</t>
  </si>
  <si>
    <t>INV NO. 33 (29/08)</t>
  </si>
  <si>
    <t>INV NO. 187 (14/09)</t>
  </si>
  <si>
    <t>INV NO. 565 (03/10)</t>
  </si>
  <si>
    <t>INV NO. 567 (03/10)</t>
  </si>
  <si>
    <t>INV NO. 30 (17/10)</t>
  </si>
  <si>
    <t>INV NO. 182 (03/10)</t>
  </si>
  <si>
    <t>INV NO. 205 (14/9)</t>
  </si>
  <si>
    <t>INV NO. 428 (17/10)</t>
  </si>
  <si>
    <t>INV NO. 530 (17/10)</t>
  </si>
  <si>
    <t>INV NO. 135 (24/10)</t>
  </si>
  <si>
    <t>INV NO. 133 (24/10)</t>
  </si>
  <si>
    <t>INV NO. 281 (31/10)</t>
  </si>
  <si>
    <t>INV NO. 392 (14/11)</t>
  </si>
  <si>
    <t>INV NO. 246 (07/11)</t>
  </si>
  <si>
    <t>INV NO. 418 (31/10)</t>
  </si>
  <si>
    <t>INV NO. 508 (14/11)</t>
  </si>
  <si>
    <t>INV NO. 702 (14/11)</t>
  </si>
  <si>
    <t>INV NO. 73 (05/12)</t>
  </si>
  <si>
    <t>INV NO. 100 (05/12)</t>
  </si>
  <si>
    <t>INV NO. 348 (05/12)</t>
  </si>
  <si>
    <t>INV NO. 371 (05/12)</t>
  </si>
  <si>
    <t>INV NO. 534 (14/11)</t>
  </si>
  <si>
    <t>INV NO. 593 (05/12)</t>
  </si>
  <si>
    <t>INV NO. 10042 (07/02)</t>
  </si>
  <si>
    <t>INV NO. 0483 (06/06)</t>
  </si>
  <si>
    <t>INV NO. 0360 (06/06)</t>
  </si>
  <si>
    <t>INV NO. 60527 (18/07)</t>
  </si>
  <si>
    <t>INV NO. 70641 (12/08)</t>
  </si>
  <si>
    <t>INV NO. 80707 (22/08)</t>
  </si>
  <si>
    <t>INV NO. 80796 (12/09)</t>
  </si>
  <si>
    <t>INV NO. 80798 (12/09)</t>
  </si>
  <si>
    <t>INV NO. 90916 (05/10)</t>
  </si>
  <si>
    <t>INV NO. 973 (24/10)</t>
  </si>
  <si>
    <t>INV NO. 1008 (24/10)</t>
  </si>
  <si>
    <t>INV NO. 1086 (09/11)</t>
  </si>
  <si>
    <t>INV NO. 1213 (09/12)</t>
  </si>
  <si>
    <t>INV NO. 3125 (25/01)</t>
  </si>
  <si>
    <t>INV NO. 3070 (18/03)</t>
  </si>
  <si>
    <t>INV NO. 7483 (05/07)</t>
  </si>
  <si>
    <t>INV NO. 658 (18/07)</t>
  </si>
  <si>
    <t>INV NO. 662 (18/07)</t>
  </si>
  <si>
    <t>INV NO. 5571 (16/09)</t>
  </si>
  <si>
    <t>INV NO. 5253 (28/11)</t>
  </si>
  <si>
    <t>DOS NI ROHA</t>
  </si>
  <si>
    <t>INV NO. 8262 (02/03)</t>
  </si>
  <si>
    <t>INV NO. 1675 (23/03)</t>
  </si>
  <si>
    <t>INV NO. 8591 (06/04)</t>
  </si>
  <si>
    <t>INV NO. 7993 (16/03)</t>
  </si>
  <si>
    <t>INV NO.0625 (30/03)</t>
  </si>
  <si>
    <t>INV NO. 9147 (30/03)</t>
  </si>
  <si>
    <t>INV NO. 0689 (30/03)</t>
  </si>
  <si>
    <t>INV NO. 20818 (23/03)</t>
  </si>
  <si>
    <t>INV NO. 2108 (30/03)</t>
  </si>
  <si>
    <t>INV NO. 0531 (30/03)</t>
  </si>
  <si>
    <t>INV NO. 3406 (06/04)</t>
  </si>
  <si>
    <t>INV NO. 0761 (13/04)</t>
  </si>
  <si>
    <t>INV  NO. 7309 (20/04)</t>
  </si>
  <si>
    <t>INV NO. 0785 (20/04)</t>
  </si>
  <si>
    <t>INV NO. 0807 (18/04)</t>
  </si>
  <si>
    <t>INV NO. 7746 (18/04)</t>
  </si>
  <si>
    <t>INV NO. 9619 (09/05)</t>
  </si>
  <si>
    <t>INV NO. 0698 (09/05)</t>
  </si>
  <si>
    <t>INV NO. 3666 (09/05)</t>
  </si>
  <si>
    <t>INV NO. 0966 (09/05)</t>
  </si>
  <si>
    <t>INV NO. 0092 (23/05)</t>
  </si>
  <si>
    <t>INV NO. 4790 (23/05)</t>
  </si>
  <si>
    <t>INV NO. 1105 (23/05)</t>
  </si>
  <si>
    <t>INV NO. 7661 (23/05)</t>
  </si>
  <si>
    <t>INV NO. 7662 (23/05)</t>
  </si>
  <si>
    <t>INV NO. 8350 (06/06)</t>
  </si>
  <si>
    <t>INV NO. 8336 (06/06)</t>
  </si>
  <si>
    <t>INV NO. 0458 (06/06)</t>
  </si>
  <si>
    <t>INV NO. 1302 (20/06)</t>
  </si>
  <si>
    <t>INV NO. 4939 (20/06)</t>
  </si>
  <si>
    <t>INV NO. 5264 (20/06)</t>
  </si>
  <si>
    <t>INV NO. 1307 (20/06)</t>
  </si>
  <si>
    <t>INV NO. 1395 (27/06)</t>
  </si>
  <si>
    <t>INV NO. 8240 (27/06)</t>
  </si>
  <si>
    <t>INV NO. 8845 (04/07)</t>
  </si>
  <si>
    <t>INV NO. 8867 (04/07)</t>
  </si>
  <si>
    <t>INV NO. 8843 (04/07)</t>
  </si>
  <si>
    <t>INV NO. 9448 (04/07)</t>
  </si>
  <si>
    <t>INV NO. 1479 (11/07)</t>
  </si>
  <si>
    <t>INV NO. 1503 (11/07)</t>
  </si>
  <si>
    <t>INV NO. 1589 (18/07)</t>
  </si>
  <si>
    <t>INV NO. 1588 (18/07)</t>
  </si>
  <si>
    <t>INV NO. 4824 (18/07)</t>
  </si>
  <si>
    <t>INV NO. 1819 (22/08)</t>
  </si>
  <si>
    <t>INV NO. 1823 (22/08)</t>
  </si>
  <si>
    <t>INV NO. 2912 (22/08)</t>
  </si>
  <si>
    <t>INV NO. 1822 (22/08)</t>
  </si>
  <si>
    <t>INV NO. 3293 (24/08)</t>
  </si>
  <si>
    <t>INV NO. 1873 (24/08)</t>
  </si>
  <si>
    <t>INV NO. 7661 (31/08)</t>
  </si>
  <si>
    <t>INV NO. 8309 (31/08)</t>
  </si>
  <si>
    <t>INV NO. 2011 (31/08)</t>
  </si>
  <si>
    <t>INV NO. 70967 (07/09)</t>
  </si>
  <si>
    <t>INV NO. 2095 (07/09)</t>
  </si>
  <si>
    <t>INV NO. 2096 (07/09)</t>
  </si>
  <si>
    <t>INV NO. 1376 (07/09)</t>
  </si>
  <si>
    <t>INV NO. 2236 (21/09)</t>
  </si>
  <si>
    <t>INV NO. 3343 (21/09)</t>
  </si>
  <si>
    <t>INV NO. 2160 (21/09)</t>
  </si>
  <si>
    <t>INV NO. 4545 (21/09)</t>
  </si>
  <si>
    <t>INV NO. 2212 (03/10)</t>
  </si>
  <si>
    <t>INV NO. 2237 (03/10)</t>
  </si>
  <si>
    <t>INV NO. 6183 (03/10)</t>
  </si>
  <si>
    <t>INV NO. 2315 (10/10)</t>
  </si>
  <si>
    <t>INV NO. 9050 (10/10)</t>
  </si>
  <si>
    <t>INV NO. 2340 (10/10)</t>
  </si>
  <si>
    <t>INV NO. 9584 (10/10)</t>
  </si>
  <si>
    <t>INV NO. 2451 (19/10)</t>
  </si>
  <si>
    <t>INV NO. 3283 (19/10)</t>
  </si>
  <si>
    <t>INV NO. 8002 (12/12)</t>
  </si>
  <si>
    <t>INV NO. 2687 (16/11)</t>
  </si>
  <si>
    <t>INV NO. 1505 (16/11)</t>
  </si>
  <si>
    <t>INV NO. 2278 (16/11)</t>
  </si>
  <si>
    <t>INV NO. 2324 (16/11)</t>
  </si>
  <si>
    <t>INV NO. 2764 (05/12)</t>
  </si>
  <si>
    <t>INV NO. 2842 (05/12)</t>
  </si>
  <si>
    <t>INV  NO. 5972 (05/12)</t>
  </si>
  <si>
    <t>INV NO. 6245 (05/12)</t>
  </si>
  <si>
    <t>INV NO. 7833 (07/12)</t>
  </si>
  <si>
    <t>INV NO. 2904 (07/12)</t>
  </si>
  <si>
    <t>INV NO. 549 (26/01)</t>
  </si>
  <si>
    <t>INV NO. 554, 1 PCS PEMBELIAN BENEFUSION SP 5EX SYRINGE PUMO (26/01)</t>
  </si>
  <si>
    <t>INV NO. 0650 (13/04)</t>
  </si>
  <si>
    <t>INV NO.  0653 (13/04)</t>
  </si>
  <si>
    <t>INV NO. 0654 (13/04)</t>
  </si>
  <si>
    <t>INV NO. 0668 (13/04)</t>
  </si>
  <si>
    <t>INV NO. 0679 (13/04)</t>
  </si>
  <si>
    <t>INV NO. 0701 (30/05)</t>
  </si>
  <si>
    <t>INV NO. 0705 (30/05)</t>
  </si>
  <si>
    <t>INV NO. 0716 (30/05)</t>
  </si>
  <si>
    <t>INV NO. 0740 (22/06)</t>
  </si>
  <si>
    <t>INV NO. 0758 (22/06)</t>
  </si>
  <si>
    <t>INV NO. 0772 (22/06)</t>
  </si>
  <si>
    <t>INV NO. 779 (01/08)</t>
  </si>
  <si>
    <t>INV NO. 863 (26/09)</t>
  </si>
  <si>
    <t>INV NO. 880 (26/09)</t>
  </si>
  <si>
    <t>INV NO. 910 (09/11)</t>
  </si>
  <si>
    <t>INV NO. 915 (14/11)</t>
  </si>
  <si>
    <t>INV NO. 944 (09/11)</t>
  </si>
  <si>
    <t>INV NO. 959 (09/11)</t>
  </si>
  <si>
    <t>KELEBIHAN PEMBAYARAN TGL 26/05/23</t>
  </si>
  <si>
    <t>INV NO. 3982 (21/03)</t>
  </si>
  <si>
    <t>INV NO. 3981 (21/03)</t>
  </si>
  <si>
    <t>INV NO. 7256 (28/03)</t>
  </si>
  <si>
    <t>INV NO. 7260 (28/03)</t>
  </si>
  <si>
    <t>INV NO. 1428 (25/04)</t>
  </si>
  <si>
    <t>INV NO. 1819 (25/04)</t>
  </si>
  <si>
    <t>INV NO. 3050 (25/04)</t>
  </si>
  <si>
    <t>INV NO. 2471 (09/05)</t>
  </si>
  <si>
    <t>INV NO. 8471 (30/05)</t>
  </si>
  <si>
    <t>INV NO. 5610 (20/06)</t>
  </si>
  <si>
    <t>INV NO. 8203 (04/07)</t>
  </si>
  <si>
    <t>INV NO. 8204 (04/07)</t>
  </si>
  <si>
    <t>INV NO. 40165 (04/07)</t>
  </si>
  <si>
    <t>INV NO. 40397 (11/07)</t>
  </si>
  <si>
    <t>INV NO. 4374 (25/07)</t>
  </si>
  <si>
    <t>INV NO. 5847 (01/08)</t>
  </si>
  <si>
    <t>INV NO. 5846 (01/08)</t>
  </si>
  <si>
    <t>INV NO. 7405 (08/08)</t>
  </si>
  <si>
    <t>INV NO. 8034 (08/08)</t>
  </si>
  <si>
    <t>INV NO. 9062 (15/08)</t>
  </si>
  <si>
    <t>INV NO. 1095 (29/08)</t>
  </si>
  <si>
    <t>INV NO. 3744 (29/08)</t>
  </si>
  <si>
    <t>INV NO. 4455 (05/09)</t>
  </si>
  <si>
    <t>INV NO. 4797 (05/09)</t>
  </si>
  <si>
    <t>INV NO. 6324 (12/09)</t>
  </si>
  <si>
    <t>INV NO. 7346 (19/09)</t>
  </si>
  <si>
    <t>INV NO. 9581 (26/09)</t>
  </si>
  <si>
    <t>INV NO. 2229 (24/10)</t>
  </si>
  <si>
    <t>INV NO. 6056 (24/10)</t>
  </si>
  <si>
    <t>INV NO. 2199 (28/11)</t>
  </si>
  <si>
    <t>INV NO. 5033 (28/11)</t>
  </si>
  <si>
    <t>INV NO. 6253 (28/11)</t>
  </si>
  <si>
    <t>INV NO. 7211 (05/12)</t>
  </si>
  <si>
    <t>INV NO. 9963 (12/12)</t>
  </si>
  <si>
    <t>GHANIM BERKAH RABBANI</t>
  </si>
  <si>
    <t>INV NO. 001 (27/02)</t>
  </si>
  <si>
    <t>INV NO. 002 (27/02)</t>
  </si>
  <si>
    <t>INV NO. 6253 (14/03)</t>
  </si>
  <si>
    <t>INV NO. 20425 (05/07)</t>
  </si>
  <si>
    <t>INV NO. 20427 (05/07)</t>
  </si>
  <si>
    <t>INV NO. 20542 (05/07)</t>
  </si>
  <si>
    <t>INV NO. 4454 (05/07)</t>
  </si>
  <si>
    <t>INV NO. 3832 (25/08)</t>
  </si>
  <si>
    <t>INV NO. 1512 (26/10)</t>
  </si>
  <si>
    <t>INV NO. 20046 (07/02)</t>
  </si>
  <si>
    <t>INV NO. 20069 (07/02)</t>
  </si>
  <si>
    <t>INV NO. 20132 (07/02)</t>
  </si>
  <si>
    <t>INV NO. 20159 (07/02)</t>
  </si>
  <si>
    <t>INV NO. 10046 (25/02)</t>
  </si>
  <si>
    <t>INV NO. 10051 (25/02)</t>
  </si>
  <si>
    <t>INV NO. 10062 (25/02)</t>
  </si>
  <si>
    <t>INV NO. 10096 (25/02)</t>
  </si>
  <si>
    <t>INV NO. 10098 (25/02)</t>
  </si>
  <si>
    <t>INV NO. 10181 (25/02)</t>
  </si>
  <si>
    <t>INV NO. 20072 (14/03)</t>
  </si>
  <si>
    <t>INV NO. 20102 (14/03)</t>
  </si>
  <si>
    <t>INV NO. 0013 (13/06)</t>
  </si>
  <si>
    <t>INV NO. 0025 (13/06)</t>
  </si>
  <si>
    <t>INV NO. 0038 (13/06)</t>
  </si>
  <si>
    <t>INV NO. 0056 (13/06)</t>
  </si>
  <si>
    <t>INV NO. 0152 (13/06)</t>
  </si>
  <si>
    <t>INV NO. 0180 (13/06)</t>
  </si>
  <si>
    <t>INV NO. 0223 (13/06)</t>
  </si>
  <si>
    <t>INV NO. 0068 (20/05)</t>
  </si>
  <si>
    <t>INV NO. 0230 (13/06)</t>
  </si>
  <si>
    <t>INV NO. 60045 (03/08)</t>
  </si>
  <si>
    <t>INV NO. 60168 (03/08)</t>
  </si>
  <si>
    <t>INV NO. 70056 (15/08)</t>
  </si>
  <si>
    <t>INV NO. 80018 (21/09)</t>
  </si>
  <si>
    <t>INV NO. 80089 (21/09)</t>
  </si>
  <si>
    <t>INV NO. 80087 (21/09)</t>
  </si>
  <si>
    <t>INV NO. 80088 (21/09)</t>
  </si>
  <si>
    <t>INV NO. 80099 (21/09)</t>
  </si>
  <si>
    <t>INV NO. 80164 (21/09)</t>
  </si>
  <si>
    <t>INV NO. 80200 (21/09)</t>
  </si>
  <si>
    <t>INV NO. 80217 (21/09)</t>
  </si>
  <si>
    <t>INV NO. 80225 (21/09)</t>
  </si>
  <si>
    <t>INV NO. 90061 (12/10)</t>
  </si>
  <si>
    <t>INV NO. 90081 (12/10)</t>
  </si>
  <si>
    <t>INV NO. 90105 (12/10)</t>
  </si>
  <si>
    <t>INV NO. 90208 (12/10)</t>
  </si>
  <si>
    <t>INV NO. 73 (09/11)</t>
  </si>
  <si>
    <t>INV NO. 90 (09/11)</t>
  </si>
  <si>
    <t>INV NO. 219 (09/11)</t>
  </si>
  <si>
    <t>INV NO. 227 (09/11)</t>
  </si>
  <si>
    <t>INV NO. 226 (09/11)</t>
  </si>
  <si>
    <t>INV NO. 003 (15/09)</t>
  </si>
  <si>
    <t>INV NO. 018 (15/09)</t>
  </si>
  <si>
    <t>INV NO. 107 (15/09)</t>
  </si>
  <si>
    <t>INV NO. 118 (15/09)</t>
  </si>
  <si>
    <t>INV NO. 489 (15/09)</t>
  </si>
  <si>
    <t>INV NO. 155 (15/09)</t>
  </si>
  <si>
    <t>INV NO. 167 (15/09)</t>
  </si>
  <si>
    <t>INV NO. 042 (13/10)</t>
  </si>
  <si>
    <t>INV NO. 104 (13/10)</t>
  </si>
  <si>
    <t>INV NO. 151 (13/10)</t>
  </si>
  <si>
    <t>INV NO. 038 (17/11)</t>
  </si>
  <si>
    <t>INV NO. 142 (17/11)</t>
  </si>
  <si>
    <t>INV NO. 263 (17/11)</t>
  </si>
  <si>
    <t>INV NO. 024 (15/12)</t>
  </si>
  <si>
    <t>INV NO. 023 (15/12)</t>
  </si>
  <si>
    <t>INV NO. 129 (15/12)</t>
  </si>
  <si>
    <t>INV NO. 194 (15/12)</t>
  </si>
  <si>
    <t>INV NO. 262 (15/12)</t>
  </si>
  <si>
    <t>INV NO. 025 (10/01)</t>
  </si>
  <si>
    <t>INV NO. 064 (10/01)</t>
  </si>
  <si>
    <t>INV NO. 183 (10/01)</t>
  </si>
  <si>
    <t>INV NO. 217 (10/01)</t>
  </si>
  <si>
    <t>INV NO. 236 (14/02)</t>
  </si>
  <si>
    <t>INV NO. 054 (14/02)</t>
  </si>
  <si>
    <t>INV NO. 064 (14/02)</t>
  </si>
  <si>
    <t>INV NO. 215 (14/02)</t>
  </si>
  <si>
    <t>INV NO. 242 (14/02)</t>
  </si>
  <si>
    <t>INV NO. 292 (14/02)</t>
  </si>
  <si>
    <t>INV NO. 087 (07/03)</t>
  </si>
  <si>
    <t>INV NO. 111 (07/03)</t>
  </si>
  <si>
    <t>INV NO. 187 (07/03)</t>
  </si>
  <si>
    <t>INV NO. 219 (07/03)</t>
  </si>
  <si>
    <t>INV NO. 243 (07/03)</t>
  </si>
  <si>
    <t>INV NO. 262 (07/03)</t>
  </si>
  <si>
    <t>INV NO. 272 (07/03)</t>
  </si>
  <si>
    <t>INV NO. 088 (11/04)</t>
  </si>
  <si>
    <t>INV NO. 128 (11/04)</t>
  </si>
  <si>
    <t>INV NO. 181 (11/04)</t>
  </si>
  <si>
    <t>INV NO. 213 (11/04)</t>
  </si>
  <si>
    <t>INV NO. 108 (11/04)</t>
  </si>
  <si>
    <t>INV NO. 266 (11/04)</t>
  </si>
  <si>
    <t>KEKURANGAN INV NO. 266 (11/04)</t>
  </si>
  <si>
    <t>INV NO. 001 (09/5)</t>
  </si>
  <si>
    <t>INV NO. 009 (09/05)</t>
  </si>
  <si>
    <t>INV NO. 179 (09/05)</t>
  </si>
  <si>
    <t>KEKURANGAN INV NO. 179 (09/05)</t>
  </si>
  <si>
    <t>INV NO. 207 (09/05)</t>
  </si>
  <si>
    <t>INV NO. 035 (13/6)</t>
  </si>
  <si>
    <t>INV NO. 0091 (13/06)</t>
  </si>
  <si>
    <t>INV NO. 0111 (13/06)</t>
  </si>
  <si>
    <t>INV NO. 0142 (13/06)</t>
  </si>
  <si>
    <t>INV NO. 0163 (13/06)</t>
  </si>
  <si>
    <t>INV NO. 0302 (13/06)</t>
  </si>
  <si>
    <t>INV NO. 0342 (13/06)</t>
  </si>
  <si>
    <t>INV NO. 077 (11/07)</t>
  </si>
  <si>
    <t>INV NO. 126 (11/07)</t>
  </si>
  <si>
    <t>INV NO. 148 (11/07)</t>
  </si>
  <si>
    <t>INV NO. 255 (11/07)</t>
  </si>
  <si>
    <t>INV NO. 042 (08/08)</t>
  </si>
  <si>
    <t>INV NO. 087 (08/08)</t>
  </si>
  <si>
    <t>INV NO. 152 (08/08)</t>
  </si>
  <si>
    <t>INV NO. 176 (08/08)</t>
  </si>
  <si>
    <t>INV NO. 210 (08/08)</t>
  </si>
  <si>
    <t>INV NO. 267 (08/08)</t>
  </si>
  <si>
    <t>INV NO. 293 (08/08)</t>
  </si>
  <si>
    <t>INV NO. 007 (05/09)</t>
  </si>
  <si>
    <t>INV NO. 061 (05/09)</t>
  </si>
  <si>
    <t>INV NO. 068 (05/09)</t>
  </si>
  <si>
    <t>INV NO. 075 (05/09)</t>
  </si>
  <si>
    <t>INV NO. 109 (05/09)</t>
  </si>
  <si>
    <t>INV NO. 159 (05/09)</t>
  </si>
  <si>
    <t>INV NO. 181 (05/09)</t>
  </si>
  <si>
    <t>INV NO. 216 (05/09)</t>
  </si>
  <si>
    <t>INV NO. 244 (05/09)</t>
  </si>
  <si>
    <t>INV NO. 280 (05/09)</t>
  </si>
  <si>
    <t>INV NO. 289 (05/09)</t>
  </si>
  <si>
    <t>INV NO. 299 (05/09)</t>
  </si>
  <si>
    <t>INV NO. 043 (10/10)</t>
  </si>
  <si>
    <t>INV NO. 076 (10/10)</t>
  </si>
  <si>
    <t>INV NO. 105 (10/10)</t>
  </si>
  <si>
    <t>INV NO. 159 (10/10)</t>
  </si>
  <si>
    <t>INV NO. 199 (10/10)</t>
  </si>
  <si>
    <t>INV NO. 251 (10/10)</t>
  </si>
  <si>
    <t>INV NO. 303 (10/10)</t>
  </si>
  <si>
    <t>INV NO. 080 (14/11)</t>
  </si>
  <si>
    <t>INV NO. 110 (14/11)</t>
  </si>
  <si>
    <t>INV NO. 126 (14/11)</t>
  </si>
  <si>
    <t>INV NO. 139 (14/11)</t>
  </si>
  <si>
    <t>INV NO. 211 (14/11)</t>
  </si>
  <si>
    <t>INV NO. 248 (14/11)</t>
  </si>
  <si>
    <t>INV NO. 278 (14/11)</t>
  </si>
  <si>
    <t>INV NO. 313 (14/11)</t>
  </si>
  <si>
    <t>INV NO. 323 (14/11)</t>
  </si>
  <si>
    <t>INV NO. 340 (14/11)</t>
  </si>
  <si>
    <t>INV NO. 005 (12/12)</t>
  </si>
  <si>
    <t>INV NO. 013 (12/12)</t>
  </si>
  <si>
    <t>INV NO. 117 (12/12)</t>
  </si>
  <si>
    <t>INV NO. 108 (12/12)</t>
  </si>
  <si>
    <t>INV NO. 140 (12/12)</t>
  </si>
  <si>
    <t>INV NO. 153 (12/12)</t>
  </si>
  <si>
    <t>INV NO. 250 (12/12)</t>
  </si>
  <si>
    <t>INV NO. 281 (12/12)</t>
  </si>
  <si>
    <t>INV NO. 285 (12/12)</t>
  </si>
  <si>
    <t>INV NO. 5774 (17/01)</t>
  </si>
  <si>
    <t>INV NO. 6061 (01/04)</t>
  </si>
  <si>
    <t>INV NO. 2514 (18/04)</t>
  </si>
  <si>
    <t>INV NO. 8878 (06/05)</t>
  </si>
  <si>
    <t>INV NO. 9106 (06/05)</t>
  </si>
  <si>
    <t>INV NO. 3100 (25/05)</t>
  </si>
  <si>
    <t>INV NO. 4561 (03/06)</t>
  </si>
  <si>
    <t>INV NO. 6488 (01/08)</t>
  </si>
  <si>
    <t>INV NO. 6493 (01/08)</t>
  </si>
  <si>
    <t>INV NO. 6520 (01/08)</t>
  </si>
  <si>
    <t>INV NO. 6531 (05/08)</t>
  </si>
  <si>
    <t>INV NO. 6593 (15/08)</t>
  </si>
  <si>
    <t>KURANG BAYAR INV NO. 6593 (15/08)</t>
  </si>
  <si>
    <t>INV NO. 6875 (30/11)</t>
  </si>
  <si>
    <t>INV NO. 05551 (19/05)</t>
  </si>
  <si>
    <t>INV NO. 6556 (22/06)</t>
  </si>
  <si>
    <t>INV NO. 7320 (06/07)</t>
  </si>
  <si>
    <t>INV NO. 8132 (10/08)</t>
  </si>
  <si>
    <t>INV NO. 8191 (10/08)</t>
  </si>
  <si>
    <t>INV NO. 9753 (12/10)</t>
  </si>
  <si>
    <t>INV NO. 20029 (12/10)</t>
  </si>
  <si>
    <t>INV NO. 20523 (26/10)</t>
  </si>
  <si>
    <t>INV NO. 20596 (26/10)</t>
  </si>
  <si>
    <t>INV NO. 1306 (07/12)</t>
  </si>
  <si>
    <t>KALLISTA PRIMA, PT</t>
  </si>
  <si>
    <t>INV NO. 4065 (30/03)</t>
  </si>
  <si>
    <t>INV NO. 4016 (30/03)</t>
  </si>
  <si>
    <t>INV NO. 3979 (30/03)</t>
  </si>
  <si>
    <t>INV NO. 4046 (30/03)</t>
  </si>
  <si>
    <t>INV NO. 4958 (13/04)</t>
  </si>
  <si>
    <t>INV NO. 5073 (27/04)</t>
  </si>
  <si>
    <t>INV NO. 5820 (09/05)</t>
  </si>
  <si>
    <t>INV NO. 6540 (06/06)</t>
  </si>
  <si>
    <t>INV NO. 7521 (06/06)</t>
  </si>
  <si>
    <t>INV NO. 8072 (06/06)</t>
  </si>
  <si>
    <t>INV NO. 8058 (06/06)</t>
  </si>
  <si>
    <t>INV NO. 8112 (13/06)</t>
  </si>
  <si>
    <t>INV NO. 8559 (13/06)</t>
  </si>
  <si>
    <t>INV NO. 8906 (20/06)</t>
  </si>
  <si>
    <t>INV NO. 9216 (27/06)</t>
  </si>
  <si>
    <t>INV NO. 9772 (06/07)</t>
  </si>
  <si>
    <t>INV NO. 10684 (25/07)</t>
  </si>
  <si>
    <t>INV NO. 10716 (25/07)</t>
  </si>
  <si>
    <t>INV NO. 1017 (03/08)</t>
  </si>
  <si>
    <t>INV NO. 1626 (08/08)</t>
  </si>
  <si>
    <t>INV NO. 2026 (22/08)</t>
  </si>
  <si>
    <t>INV NO. 3366 (12/09)</t>
  </si>
  <si>
    <t>INV NO. 3481 (12/09)</t>
  </si>
  <si>
    <t>INV NO. 3482 (12/09)</t>
  </si>
  <si>
    <t>INV NO. 3785 (19/09)</t>
  </si>
  <si>
    <t>INV NO. 4183 (26/09)</t>
  </si>
  <si>
    <t>INV NO. 3709 (02/03)</t>
  </si>
  <si>
    <t>INV NO. 9300 (02/03)</t>
  </si>
  <si>
    <t>INV NO. 90868 (02/03)</t>
  </si>
  <si>
    <t>INV NO. 90862 (02/03)</t>
  </si>
  <si>
    <t>INV NO. 7358 (09/03)</t>
  </si>
  <si>
    <t>INV NO. 5028 (09/03)</t>
  </si>
  <si>
    <t>INV NO. 4295 (09/03)</t>
  </si>
  <si>
    <t>INV NO. 7166 (09/03)</t>
  </si>
  <si>
    <t>INV NO. 20305 (14/03)</t>
  </si>
  <si>
    <t>INV NO. 20238 (14/03)</t>
  </si>
  <si>
    <t>INV NO. 3621 (21/03)</t>
  </si>
  <si>
    <t>INV NO. 5878 (11/04)</t>
  </si>
  <si>
    <t>INV NO. 4786 (11/04)</t>
  </si>
  <si>
    <t>INV NO. 2028 (11/04)</t>
  </si>
  <si>
    <t>INV NO 0822 (11/04)</t>
  </si>
  <si>
    <t>INV NO. 1095 (11/04)</t>
  </si>
  <si>
    <t>INV NO. 0012 (11/04)</t>
  </si>
  <si>
    <t>INV NO. 0641 (11/04)</t>
  </si>
  <si>
    <t>INV NO. 6480 (18/04)</t>
  </si>
  <si>
    <t>INV NO. 2332 (18/04)</t>
  </si>
  <si>
    <t>INV NO. 2334 (18/04)</t>
  </si>
  <si>
    <t>INV NO. 2333 (18/04)</t>
  </si>
  <si>
    <t>INV NO. 2335 (18/04)</t>
  </si>
  <si>
    <t>INV NO. 2647 (09/05)</t>
  </si>
  <si>
    <t>INV NO. 2033(04/05)</t>
  </si>
  <si>
    <t>INV NO. 3295 (06/06)</t>
  </si>
  <si>
    <t>INV NO. 3293 (06/06)</t>
  </si>
  <si>
    <t>INV NO. 6476 (06/06)</t>
  </si>
  <si>
    <t>INV NO. 1724 (10/06)</t>
  </si>
  <si>
    <t>INV NO. 80286 (10/06)</t>
  </si>
  <si>
    <t>INV NO. 90615 (18/07)</t>
  </si>
  <si>
    <t>INV NO. 2440 (14/09), 7424 (RETUR)</t>
  </si>
  <si>
    <t>INV NO. 3983 (29/07)</t>
  </si>
  <si>
    <t>INV NO. 10988 (15/07)</t>
  </si>
  <si>
    <t>INV NO. 6366 (29/07)</t>
  </si>
  <si>
    <t>INV NO. 2468 (05/08)</t>
  </si>
  <si>
    <t>INV NO. 2436 (10/08)</t>
  </si>
  <si>
    <t>INV NO. 5407 (22/08)</t>
  </si>
  <si>
    <t>INV NO. 5452 (22/08)</t>
  </si>
  <si>
    <t>INV NO. 5911 (22/08)</t>
  </si>
  <si>
    <t>INV NO. 7855 (22/08)</t>
  </si>
  <si>
    <t>INV NO. 7857 (22/08)</t>
  </si>
  <si>
    <t>INV NO. 4023 (22/08)</t>
  </si>
  <si>
    <t>INV NO. 3548 (22/08)</t>
  </si>
  <si>
    <t>INV NO. 4379 (22/08)</t>
  </si>
  <si>
    <t>INV NO. 4385 (22/08)</t>
  </si>
  <si>
    <t>INV NO. 4383 (22/08)</t>
  </si>
  <si>
    <t>INV NO. 8906 (22/08)</t>
  </si>
  <si>
    <t>INV NO. 4098 (24/08)</t>
  </si>
  <si>
    <t>INV NO. 6815 (24/08)</t>
  </si>
  <si>
    <t>INV NO. 6806 (24/08)</t>
  </si>
  <si>
    <t>INV NO. 10079 (31/08)</t>
  </si>
  <si>
    <t>INV NO. 7211 (31/08)</t>
  </si>
  <si>
    <t>INV NO. 5333 (31/08)</t>
  </si>
  <si>
    <t>INV NO. 8831 (05/09)</t>
  </si>
  <si>
    <t>INV NO. 1151 (05/09)</t>
  </si>
  <si>
    <t>INV NO. 8935 (26/09)</t>
  </si>
  <si>
    <t>INV NO. 7974 (05/10)</t>
  </si>
  <si>
    <t>INV NO. 8019 (05/10)</t>
  </si>
  <si>
    <t>INV NO. 1586 (05/10)</t>
  </si>
  <si>
    <t>INV NO. 1587 (05/10)</t>
  </si>
  <si>
    <t>INV NO. 9108 (10/10)</t>
  </si>
  <si>
    <t>INV NO. 4155 (10/10)</t>
  </si>
  <si>
    <t>INV NO. 7120 (10/10)</t>
  </si>
  <si>
    <t>INV NO. 7114 (10/10)</t>
  </si>
  <si>
    <t>INV NO. 7833 (10/10)</t>
  </si>
  <si>
    <t>INV NO. 2911 (17/10)</t>
  </si>
  <si>
    <t>INV NO. 2916 (17/10)</t>
  </si>
  <si>
    <t>INV NO. 7181 (17/10)</t>
  </si>
  <si>
    <t>INV NO. 1236 (24/10)</t>
  </si>
  <si>
    <t>INV NO. 9179 (17/10)</t>
  </si>
  <si>
    <t>INV NO. 3184 (24/10)</t>
  </si>
  <si>
    <t>INV NO. 5936 (26/10)</t>
  </si>
  <si>
    <t>INV NO. 6359 (02/11)</t>
  </si>
  <si>
    <t>INV NO. 8226 (02/11)</t>
  </si>
  <si>
    <t>INV NO. 3726 (11/11)</t>
  </si>
  <si>
    <t>INV NO. 40167 (11/11)</t>
  </si>
  <si>
    <t>INV NO. 2287 (11/11)</t>
  </si>
  <si>
    <t>INV NO. 1538 (28/11)</t>
  </si>
  <si>
    <t>INV NO. 7243 (28/11)</t>
  </si>
  <si>
    <t>INV NO. 9240 (28/11)</t>
  </si>
  <si>
    <t>INV NO. 9731 (28/11)</t>
  </si>
  <si>
    <t>INV NO. 1575 (28/11)</t>
  </si>
  <si>
    <t>INV NO. 7068 (28/11)</t>
  </si>
  <si>
    <t>INV NO. 2840 (02/12)</t>
  </si>
  <si>
    <t>INV NO. 7589 (02/12)</t>
  </si>
  <si>
    <t>LEBIH BAYAR (FAKTUR IGM) TGL 20/09/23</t>
  </si>
  <si>
    <t>INV NO. 1222 (07/02)</t>
  </si>
  <si>
    <t>INV NO. 1660 (21/02)</t>
  </si>
  <si>
    <t>INV NO. 1717 (21/02)</t>
  </si>
  <si>
    <t>INV NO. 1813 (21/02)</t>
  </si>
  <si>
    <t>INV NO. 2186 (02/03)</t>
  </si>
  <si>
    <t>INV NO. 2498 (11/02)</t>
  </si>
  <si>
    <t>INV NO. 3041 (11/02)</t>
  </si>
  <si>
    <t>INV NO. 3336 (21/03)</t>
  </si>
  <si>
    <t>INV NO. 4259 (11/04)</t>
  </si>
  <si>
    <t>INV NO. 4940 (29/04)</t>
  </si>
  <si>
    <t>INV NO. 6147 (13/05)</t>
  </si>
  <si>
    <t>INV NO. 6226 (23/05)</t>
  </si>
  <si>
    <t>INV NO. 6588 (17/06)</t>
  </si>
  <si>
    <t>INV  NO. 7625 (15/6)</t>
  </si>
  <si>
    <t>INV NO. 7955 (22/06)</t>
  </si>
  <si>
    <t>INV NO. 8317 (22/06)</t>
  </si>
  <si>
    <t>INV NO. 8373 (27/06)</t>
  </si>
  <si>
    <t>INV NO. 9156 (11/07)</t>
  </si>
  <si>
    <t>INV NO. 10216 (25/07)</t>
  </si>
  <si>
    <t>INV NO. 1122 (15/08)</t>
  </si>
  <si>
    <t>INV NO. 1664 (22/08)</t>
  </si>
  <si>
    <t>INV NO. 2380 (23/08)</t>
  </si>
  <si>
    <t>INV NO. 2709 (12/09)</t>
  </si>
  <si>
    <t>INV NO. 2784 (12/09)</t>
  </si>
  <si>
    <t>INV NO. 2878 (12/09)</t>
  </si>
  <si>
    <t>INV NO. 3488 (26/09)</t>
  </si>
  <si>
    <t>INV NO. 4637 (10/10)</t>
  </si>
  <si>
    <t>INV NO. 4757 (10/10)</t>
  </si>
  <si>
    <t>INV NO. 5436 (24/10)</t>
  </si>
  <si>
    <t>INV NO. 5686 (24/10)</t>
  </si>
  <si>
    <t>INV NO. 5933 (31/10), 778 (RETUR)</t>
  </si>
  <si>
    <t>INV NO. 6539 (07/11)</t>
  </si>
  <si>
    <t>INV NO. 6729 (14/11)</t>
  </si>
  <si>
    <t>INV NO. 7057 (14/11)</t>
  </si>
  <si>
    <t>INV NO. 7279 (28/11)</t>
  </si>
  <si>
    <t>INV NO. 7752 (28/11)</t>
  </si>
  <si>
    <t>INV NO. 8269 (05/12)</t>
  </si>
  <si>
    <t>INV NO. 2679 (12/01)</t>
  </si>
  <si>
    <t>INV NO. 8186 (26/01)</t>
  </si>
  <si>
    <t>INV NO. 8706 (06/04)</t>
  </si>
  <si>
    <t>INV NO. 4993 (06/04)</t>
  </si>
  <si>
    <t>INV NO. 9851 (31/08)</t>
  </si>
  <si>
    <t>INV NO. 40323 (19/10)</t>
  </si>
  <si>
    <t>INV NO. 2774 (30/11)</t>
  </si>
  <si>
    <t>INV NO. 3173 (07/03)</t>
  </si>
  <si>
    <t>INV NO. 3129 (07/03)</t>
  </si>
  <si>
    <t>INV NO. 3463 (14/03)</t>
  </si>
  <si>
    <t>INV NO. 3662 (14/03)</t>
  </si>
  <si>
    <t>INV NO. 3883 (14/03)</t>
  </si>
  <si>
    <t>INV NO. 3952 (14/03)</t>
  </si>
  <si>
    <t>INV NO. 4160 (21/03)</t>
  </si>
  <si>
    <t>INV NO. 4681 (28/03)</t>
  </si>
  <si>
    <t>INV NO. 5123 (04/04)</t>
  </si>
  <si>
    <t>INV NO. 5121 (04/04)</t>
  </si>
  <si>
    <t>INV NO. 5630 (11/04)</t>
  </si>
  <si>
    <t>INV NO. 5807 (11/04)</t>
  </si>
  <si>
    <t>INV NO. 6213 (18/04)</t>
  </si>
  <si>
    <t>INV NO. 6257 (18/04)</t>
  </si>
  <si>
    <t>INV NO. 6258 (18/04)</t>
  </si>
  <si>
    <t>INV NO. 6280 (18/04)</t>
  </si>
  <si>
    <t>INV NO. 6542 (25/04)</t>
  </si>
  <si>
    <t>INV NO. 6585 (25/04)</t>
  </si>
  <si>
    <t>INV NO. 6592 (25/04)</t>
  </si>
  <si>
    <t>INV NO. 6724 (25/04)</t>
  </si>
  <si>
    <t>INV NO. 6846 (25/04)</t>
  </si>
  <si>
    <t>INV NO. 6794 (25/04)</t>
  </si>
  <si>
    <t>INV NO. 6334 (25/04)</t>
  </si>
  <si>
    <t>INV NO. 7398 (02/05)</t>
  </si>
  <si>
    <t>INV NO. 7412 (02/05)</t>
  </si>
  <si>
    <t>INV NO. 7496 (02/05)</t>
  </si>
  <si>
    <t>INV NO. 7976 (16/05)</t>
  </si>
  <si>
    <t>INV NO. 8686 (23/05)</t>
  </si>
  <si>
    <t>INV NO. 9106 (30/05)</t>
  </si>
  <si>
    <t>INV NO. 1407 (27/06)</t>
  </si>
  <si>
    <t>INV NO. 2714 (11/07)</t>
  </si>
  <si>
    <t>INV NO. 2707 (11/07)</t>
  </si>
  <si>
    <t>INV NO. 3048 (11/07)</t>
  </si>
  <si>
    <t>INV NO. 3066 (11/07)</t>
  </si>
  <si>
    <t>INV NO. 3051 (11/07)</t>
  </si>
  <si>
    <t>INV NO. 3347 (20/07)</t>
  </si>
  <si>
    <t>INV NO. 3389 (18/07)</t>
  </si>
  <si>
    <t>INV NO. 4879 (01/08)</t>
  </si>
  <si>
    <t>INV NO. 4842 (01/08)</t>
  </si>
  <si>
    <t>INV NO. 5369 (08/08)</t>
  </si>
  <si>
    <t>INV NO. 5363 (08/08)</t>
  </si>
  <si>
    <t>INV NO. 5443 (15/08)</t>
  </si>
  <si>
    <t>INV NO. 5578 (15/08)</t>
  </si>
  <si>
    <t>INV NO. 6719 (29/08)</t>
  </si>
  <si>
    <t>INV NO. 6714 (29/08)</t>
  </si>
  <si>
    <t>INV NO. 6884 (29/08)</t>
  </si>
  <si>
    <t>INV NO. 7021 (29/08)</t>
  </si>
  <si>
    <t>INV NO. 7534 (05/09)</t>
  </si>
  <si>
    <t>INV NO. 7668 (05/09)</t>
  </si>
  <si>
    <t>INV NO. 7667 (05/09)</t>
  </si>
  <si>
    <t>INV NO. 7716 (05/09)</t>
  </si>
  <si>
    <t>INV NO. 7714 (05/09)</t>
  </si>
  <si>
    <t>INV NO. 7785 (05/09)</t>
  </si>
  <si>
    <t>INV NO. 7883 (12/09)</t>
  </si>
  <si>
    <t>INV NO. 7856 (12/09)</t>
  </si>
  <si>
    <t>INV NO. 7860 (12/09)</t>
  </si>
  <si>
    <t>INV NO. 8217 (12/09)</t>
  </si>
  <si>
    <t>INV NO. 8521 (19/09)</t>
  </si>
  <si>
    <t>INV NO. 8727 (19/09)</t>
  </si>
  <si>
    <t>INV NO. 8737 (19/09)</t>
  </si>
  <si>
    <t>INV NO. 8846 (26/09)</t>
  </si>
  <si>
    <t>INV NO. 9586 (05/10)</t>
  </si>
  <si>
    <t>INV NO. 9702 (05/10)</t>
  </si>
  <si>
    <t>INV NO. 9585 (05/10)</t>
  </si>
  <si>
    <t>INV NO. 20514 (10/10)</t>
  </si>
  <si>
    <t>INV NO. 20591 (10/10)</t>
  </si>
  <si>
    <t>INV NO. 1372 (24/10)</t>
  </si>
  <si>
    <t>INV NO. 1339 (24/10)</t>
  </si>
  <si>
    <t>INV NO. 1334 (24/10)</t>
  </si>
  <si>
    <t>INV NO. 2414 (31/10)</t>
  </si>
  <si>
    <t>INV NO. 3061 (07/11)</t>
  </si>
  <si>
    <t>INV NO. 3425 (14/11)</t>
  </si>
  <si>
    <t>INV NO. 3887 (28/11)</t>
  </si>
  <si>
    <t>INV NO. 3906 (28/11)</t>
  </si>
  <si>
    <t>INV NO. 4011 (28/11)</t>
  </si>
  <si>
    <t>INV NO. 4074 (28/11)</t>
  </si>
  <si>
    <t>INV NO. 4742 (28/11)</t>
  </si>
  <si>
    <t>INV NO. 5819 (12/12)</t>
  </si>
  <si>
    <t>INV NO. 5856 (12/12)</t>
  </si>
  <si>
    <t>INV NO. 6123 (12/12)</t>
  </si>
  <si>
    <t>INV NO. 1706 (02/03)</t>
  </si>
  <si>
    <t>INV NO. 176 (02/03)</t>
  </si>
  <si>
    <t>INV NO. 2104 (02/03)</t>
  </si>
  <si>
    <t>INV NO. 2137 (02/03)</t>
  </si>
  <si>
    <t>INV NO. 222 (02/03)</t>
  </si>
  <si>
    <t>INV NO. 2473 (14/03)</t>
  </si>
  <si>
    <t>INV NO. 119 (14/03)</t>
  </si>
  <si>
    <t>INV NO. 3385 (23/03)</t>
  </si>
  <si>
    <t>INV NO. 3615 (23/03)</t>
  </si>
  <si>
    <t>INV NO. 4247 (18/04)</t>
  </si>
  <si>
    <t>INV NO. 3900 (19/09)</t>
  </si>
  <si>
    <t>INV NO. 4162 (19/09)</t>
  </si>
  <si>
    <t>INV NO. 4261 (19/09)</t>
  </si>
  <si>
    <t>INV NO. 5463 (12/10)</t>
  </si>
  <si>
    <t>INV NO. 730 (30/09)</t>
  </si>
  <si>
    <t>INV NO. 5998 (30/09)</t>
  </si>
  <si>
    <t>INV NO. 788 (30/09)</t>
  </si>
  <si>
    <t>INV NO. 6193 (05/10)</t>
  </si>
  <si>
    <t>INV NO. 6351 (05/10)</t>
  </si>
  <si>
    <t>INV NO. 6453 (12/10)</t>
  </si>
  <si>
    <t>INV NO. 890 (12/10)</t>
  </si>
  <si>
    <t>INV NO. 861 (12/10)</t>
  </si>
  <si>
    <t>INV NO. 6735 (12/10)</t>
  </si>
  <si>
    <t>INV NO. 994 (24/10)</t>
  </si>
  <si>
    <t>INV NO. 7630 (31/10)</t>
  </si>
  <si>
    <t>INV NO. 7801 (31/10)</t>
  </si>
  <si>
    <t>INV NO. 708 (09/11)</t>
  </si>
  <si>
    <t>INV NO. 8176 (09/11)</t>
  </si>
  <si>
    <t>INV NO. 8593 (16/11)</t>
  </si>
  <si>
    <t>INV NO. 1144 (16/11)</t>
  </si>
  <si>
    <t>INV NO. 1167 (28/11)</t>
  </si>
  <si>
    <t>INV NO. 1183 (28/11)</t>
  </si>
  <si>
    <t>INV NO. 1187 (28/11)</t>
  </si>
  <si>
    <t>INV NO. 1189 (28/11)</t>
  </si>
  <si>
    <t>INV NO. 9114 (28/11)</t>
  </si>
  <si>
    <t>INV NO. 9587 (07/12)</t>
  </si>
  <si>
    <t>INV NO. 456 (29/12)</t>
  </si>
  <si>
    <t>INV NO. 481 (10/01)</t>
  </si>
  <si>
    <t>INV NO. 029 (28/03)</t>
  </si>
  <si>
    <t>INV NO. 038 (28/03)</t>
  </si>
  <si>
    <t>INV  NO. 097 (06/06)</t>
  </si>
  <si>
    <t>INV NO. 068 (28/03)</t>
  </si>
  <si>
    <t>INV NO. 118 (06/06)</t>
  </si>
  <si>
    <t>INV NO. 142 (06/06)</t>
  </si>
  <si>
    <t>INV NO. 184 (11/07)</t>
  </si>
  <si>
    <t>INV NO. 253 (08/08)</t>
  </si>
  <si>
    <t>INV NO. 247 (08/08)</t>
  </si>
  <si>
    <t>INV NO. 278 (03/10)</t>
  </si>
  <si>
    <t>INV NO. 301 (03/10)</t>
  </si>
  <si>
    <t>INV NO. 325 (16/11)</t>
  </si>
  <si>
    <t>INV NO. 354 (19/10)</t>
  </si>
  <si>
    <t>INV NO. 32 (17/01)</t>
  </si>
  <si>
    <t>INV NO. 37 (21/02)</t>
  </si>
  <si>
    <t>INV NO.1050 (04/04)</t>
  </si>
  <si>
    <t>INV NO. 104 (14/03)</t>
  </si>
  <si>
    <t>INV NO. 512 (07/10)</t>
  </si>
  <si>
    <t>INV NO. 546 (26/10)</t>
  </si>
  <si>
    <t>INV NO. 3369 (28/02)</t>
  </si>
  <si>
    <t>INV NO. 3384 (31/08)</t>
  </si>
  <si>
    <t>INV NO. 187 (10/08)</t>
  </si>
  <si>
    <t>INV NO. 633 (10/08)</t>
  </si>
  <si>
    <t>INV NO. 1309 (10/08)</t>
  </si>
  <si>
    <t>INV NO. 1360 (10/08)</t>
  </si>
  <si>
    <t>INV NO. 1384 (10/08)</t>
  </si>
  <si>
    <t>INV NO. 1604 (10/08)</t>
  </si>
  <si>
    <t>INV NO. 7400 (06/02)</t>
  </si>
  <si>
    <t>INV NO. 7604 (11/02)</t>
  </si>
  <si>
    <t>INV NO. 7733 (11/02)</t>
  </si>
  <si>
    <t>INV NO. 8512 (23/02)</t>
  </si>
  <si>
    <t>INV NO. 8538 (23/02)</t>
  </si>
  <si>
    <t>INV NO. 8664 (23/02)</t>
  </si>
  <si>
    <t>INV NO. 8861 (23/02)</t>
  </si>
  <si>
    <t>INV NO. 8889 (23/02)</t>
  </si>
  <si>
    <t>INV NO. 9056 (23/02)</t>
  </si>
  <si>
    <t>INV NO. 9051 (23/02)</t>
  </si>
  <si>
    <t>INV NO. 9006 (23/02)</t>
  </si>
  <si>
    <t>INV NO. 9045 (23/02)</t>
  </si>
  <si>
    <t>INV NO. 9197 (23/02)</t>
  </si>
  <si>
    <t>INV NO. 9516 (25/02)</t>
  </si>
  <si>
    <t>INV NO. 40103 (25/02)</t>
  </si>
  <si>
    <t>INV NO. 40009 (25/02)</t>
  </si>
  <si>
    <t>INV NO. 40288 (25/02)</t>
  </si>
  <si>
    <t>INV NO. 40435 (09/03)</t>
  </si>
  <si>
    <t>INV NO. 40766 (09/03)</t>
  </si>
  <si>
    <t>INV NO. 40719 (09/03)</t>
  </si>
  <si>
    <t>INV NO. 40896 (09/03)</t>
  </si>
  <si>
    <t>INV NO. 1170 (18/03)</t>
  </si>
  <si>
    <t>INV NO. 1425 (09/03)</t>
  </si>
  <si>
    <t>INV NO. 1626 (09/03)</t>
  </si>
  <si>
    <t>INV NO. 1595 (09/03)</t>
  </si>
  <si>
    <t>INV NO. 1657 (18/03)</t>
  </si>
  <si>
    <t>INV NO. 1758 (18/03)</t>
  </si>
  <si>
    <t>INV NO. 1893 (18/03)</t>
  </si>
  <si>
    <t>INV NO. 1972 (18/03)</t>
  </si>
  <si>
    <t>INV NO. 2001 (18/03)</t>
  </si>
  <si>
    <t>INV NO. 2057 (18/03)</t>
  </si>
  <si>
    <t>INV NO. 2549 (18/03)</t>
  </si>
  <si>
    <t>INV NO. 2979 (18/03)</t>
  </si>
  <si>
    <t>INV NO. 2978 (18/03)</t>
  </si>
  <si>
    <t>INV NO. 4193 (25/03)</t>
  </si>
  <si>
    <t>INV NO. 5673 (15/04)</t>
  </si>
  <si>
    <t>INV NO. 4311 (25/03)</t>
  </si>
  <si>
    <t>INV NO. 4302 (15/04)</t>
  </si>
  <si>
    <t>INV NO. 4922 (01/04)</t>
  </si>
  <si>
    <t>INV NO. 4932 (01/04)</t>
  </si>
  <si>
    <t>INV NO. 4927 (01/04)</t>
  </si>
  <si>
    <t>INV NO. 4738 (01/04)</t>
  </si>
  <si>
    <t>INV NO. 4841 (01/04)</t>
  </si>
  <si>
    <t>INV NO. 5277 (01/04)</t>
  </si>
  <si>
    <t>INV NO. 5301 (01/04)</t>
  </si>
  <si>
    <t>INV NO. 5314 (01/04)</t>
  </si>
  <si>
    <t>INV NO. 5312 (01/04)</t>
  </si>
  <si>
    <t>INV NO. 5661 (01/04)</t>
  </si>
  <si>
    <t>INV NO. 5662 (01/04)</t>
  </si>
  <si>
    <t>INV NO. 5659 (01/04)</t>
  </si>
  <si>
    <t>INV NO. 5603 (01/04)</t>
  </si>
  <si>
    <t>INV NO. 5973 (15/04)</t>
  </si>
  <si>
    <t>INV NO. 5956 (01/04)</t>
  </si>
  <si>
    <t>INV NO. 5831 (01/04)</t>
  </si>
  <si>
    <t>INV NO. 5826 (15/04)</t>
  </si>
  <si>
    <t>INV NO. 6213 (15/04)</t>
  </si>
  <si>
    <t>INV NO. 6314 (15/04)</t>
  </si>
  <si>
    <t>INV NO. 6543 (15/04)</t>
  </si>
  <si>
    <t>INV NO. 6712 (15/04)</t>
  </si>
  <si>
    <t>INV NO. 6670 (15/04)</t>
  </si>
  <si>
    <t>INV NO. 6855 (15/04)</t>
  </si>
  <si>
    <t>INV NO. 7971(15/04)</t>
  </si>
  <si>
    <t>INV NO. 7876 (15/04)</t>
  </si>
  <si>
    <t>INV NO. 8331 (29/04)</t>
  </si>
  <si>
    <t>INV NO. 9420 (29/04)</t>
  </si>
  <si>
    <t>INV NO. 9770 (29/04)</t>
  </si>
  <si>
    <t>INV NO. 9859 (13/05)</t>
  </si>
  <si>
    <t>INV NO. 0210 (13/05)</t>
  </si>
  <si>
    <t>INV NO. 1047 (13/05)</t>
  </si>
  <si>
    <t>INV NO. 1091 (13/05)</t>
  </si>
  <si>
    <t>INV NO. 0983 (13/05)</t>
  </si>
  <si>
    <t>INV NO. 1354 (13/05)</t>
  </si>
  <si>
    <t>INV NO. 2389 (13/05)</t>
  </si>
  <si>
    <t>INV NO. 2295 (13/05)</t>
  </si>
  <si>
    <t>INV NO. 2528 (27/05), 4281 (RETUR)</t>
  </si>
  <si>
    <t>INV NO. 2891 (27/05)</t>
  </si>
  <si>
    <t>INV NO. 2990 (27/05)</t>
  </si>
  <si>
    <t>INV NO. 3161 (27/05)</t>
  </si>
  <si>
    <t>INV NO. 3202 (27/05)</t>
  </si>
  <si>
    <t>INV NO. 3188 (27/05)</t>
  </si>
  <si>
    <t>INV NO. 5329 (03/06)</t>
  </si>
  <si>
    <t>INV NO. 5521 (03/06)</t>
  </si>
  <si>
    <t xml:space="preserve">INV NO. 5738 (03/06) </t>
  </si>
  <si>
    <t>INV NO. 6194 (15/06)</t>
  </si>
  <si>
    <t>INV NO. 6354 (15/06)</t>
  </si>
  <si>
    <t>INV NO. 6355 (15/06)</t>
  </si>
  <si>
    <t>INV NO. 7021 (15/06)</t>
  </si>
  <si>
    <t>INV NO. 7068 (15/06)</t>
  </si>
  <si>
    <t>INV NO. 7371 (15/06)</t>
  </si>
  <si>
    <t>INV NO. 7370 (15/06)</t>
  </si>
  <si>
    <t>INV NO. 7887 (15/06)</t>
  </si>
  <si>
    <t>INV NO. 7794 (15/06)</t>
  </si>
  <si>
    <t>INV NO. 7891 (22/06)</t>
  </si>
  <si>
    <t>INV NO. 8373 (22/06)</t>
  </si>
  <si>
    <t>INV NO. 9519 (06/07)</t>
  </si>
  <si>
    <t>INV NO. 9982 (06/07)</t>
  </si>
  <si>
    <t>INV NO. 60291 (06/07)</t>
  </si>
  <si>
    <t>INV NO. 60285 (06/07)</t>
  </si>
  <si>
    <t>INV NO. 60273 (06/07)</t>
  </si>
  <si>
    <t>INV NO. 60511 (06/07)</t>
  </si>
  <si>
    <t>INV NO. 1273 (06/07)</t>
  </si>
  <si>
    <t>INV NO. 1298 (06/07)</t>
  </si>
  <si>
    <t>INV NO. 1492 (06/07)</t>
  </si>
  <si>
    <t>INV NO. 2117 (27/07)</t>
  </si>
  <si>
    <t>INV NO. 2231 (27/07)</t>
  </si>
  <si>
    <t>INV NO. 2536 (27/07)</t>
  </si>
  <si>
    <t>INV NO. 2625 (27/07)</t>
  </si>
  <si>
    <t>INV NO. 2775 (27/07)</t>
  </si>
  <si>
    <t>INV NO. 2763 (27/07)</t>
  </si>
  <si>
    <t>INV NO. 2880 (27/07)</t>
  </si>
  <si>
    <t>INV NO. 3193 (27/07)</t>
  </si>
  <si>
    <t>INV NO. 3273 (27/07)</t>
  </si>
  <si>
    <t>INV NO. 3628 (27/07)</t>
  </si>
  <si>
    <t>INV NO. 4198 (27/07)</t>
  </si>
  <si>
    <t>INV NO. 4201 (27/07)</t>
  </si>
  <si>
    <t>INV NO. 4344 (10/08)</t>
  </si>
  <si>
    <t>INV NO. 4501 (10/08)</t>
  </si>
  <si>
    <t>INV NO. 6376 (10/08)</t>
  </si>
  <si>
    <t>INV NO. 6640 (10/08)</t>
  </si>
  <si>
    <t>INV NO. 6830 (10/08)</t>
  </si>
  <si>
    <t>INV NO. 9346 (15/08)</t>
  </si>
  <si>
    <t>INV NO. 9348 (22/08)</t>
  </si>
  <si>
    <t>INV NO. 9960 (31/08)</t>
  </si>
  <si>
    <t>INV NO. 70041 (31/08)</t>
  </si>
  <si>
    <t>INV NO. 9892 (31/08)</t>
  </si>
  <si>
    <t>INV NO. 9797 (31/08)</t>
  </si>
  <si>
    <t>INV NO. 70165 (07/09)</t>
  </si>
  <si>
    <t>INV NO. 70227 (31/08)</t>
  </si>
  <si>
    <t>INV NO. 70376 (31/08)</t>
  </si>
  <si>
    <t>INV NO. 70423 (31/08)</t>
  </si>
  <si>
    <t>INV NO. 70514 (31/08)</t>
  </si>
  <si>
    <t>INV NO. 70521 (31/08)</t>
  </si>
  <si>
    <t>INV NO. 70421 (31/08)</t>
  </si>
  <si>
    <t>INV NO. 70656 (31/08)</t>
  </si>
  <si>
    <t>INV NO. 70655 (31/08)</t>
  </si>
  <si>
    <t>INV NO. 1210 (31/08)</t>
  </si>
  <si>
    <t>INV NO. 1236 (07/09)</t>
  </si>
  <si>
    <t>INV NO. 1435 (07/09)</t>
  </si>
  <si>
    <t>INV NO. 1667 (07/09)</t>
  </si>
  <si>
    <t>INV NO. 2664 (07/09)</t>
  </si>
  <si>
    <t>INV NO. 2696 (07/09)</t>
  </si>
  <si>
    <t>INV NO. 3127 (26/09)</t>
  </si>
  <si>
    <t>INV NO. 3720 (26/09)</t>
  </si>
  <si>
    <t>INV NO. 3230 (26/09)</t>
  </si>
  <si>
    <t>INV NO. 4095 (26/09)</t>
  </si>
  <si>
    <t>INV NO. 4632 (26/09)</t>
  </si>
  <si>
    <t>INV NO. 4706 (26/09)</t>
  </si>
  <si>
    <t>INV NO. 4838 (26/09)</t>
  </si>
  <si>
    <t>INV NO. 5061 (26/09)</t>
  </si>
  <si>
    <t>INV NO. 5796 (26/09)</t>
  </si>
  <si>
    <t>INV NO. 6016 (26/09)</t>
  </si>
  <si>
    <t>INV NO. 5963 (26/09)</t>
  </si>
  <si>
    <t>INV NO. 6231 (26/09)</t>
  </si>
  <si>
    <t>INV NO. 8057 (14/10)</t>
  </si>
  <si>
    <t>INV NO. 8569 (14/10)</t>
  </si>
  <si>
    <t>INV NO. 9590 (31/10)</t>
  </si>
  <si>
    <t>INV NO. 9587 (31/10)</t>
  </si>
  <si>
    <t>INV NO. 1263 (31/10)</t>
  </si>
  <si>
    <t>INV NO. 1992 (18/11)</t>
  </si>
  <si>
    <t>INV NO. 3315 (18/11)</t>
  </si>
  <si>
    <t>INV NO. 4093 (18/11)</t>
  </si>
  <si>
    <t>INV NO. 5657 (05/12)</t>
  </si>
  <si>
    <t>INV NO. 5881 (05/12)</t>
  </si>
  <si>
    <t>INV NO. 6021 (05/12)</t>
  </si>
  <si>
    <t>INV NO. 6033 (05/12)</t>
  </si>
  <si>
    <t>INV NO. 6042 (05/12)</t>
  </si>
  <si>
    <t>INV NO. 6022 (05/12)</t>
  </si>
  <si>
    <t>INV NO. 6135 (05/12)</t>
  </si>
  <si>
    <t>INV NO. 6164 (05/12)</t>
  </si>
  <si>
    <t>INV NO. 6519 (05/12)</t>
  </si>
  <si>
    <t>INV NO. 6782 (05/12)</t>
  </si>
  <si>
    <t>INV NO. 7084 (05/12)</t>
  </si>
  <si>
    <t>INV NO. 1657 (24/01)</t>
  </si>
  <si>
    <t>INV NO. 1074 (20/04)</t>
  </si>
  <si>
    <t>INV NO. 5955 (11/05)</t>
  </si>
  <si>
    <t>PUTRA IRMA MEDIKA, PT</t>
  </si>
  <si>
    <t>INV NO. 2058 (08/06)</t>
  </si>
  <si>
    <t>INV NO. 1051 (02/03)</t>
  </si>
  <si>
    <t>INV NO. 1074 (07/03)</t>
  </si>
  <si>
    <t>INV NO. 1085 (07/03)</t>
  </si>
  <si>
    <t>INV NO. 1086 (07/03)</t>
  </si>
  <si>
    <t>INV NO. 1240 (02/03)</t>
  </si>
  <si>
    <t>INV NO. 1239 (02/03)</t>
  </si>
  <si>
    <t>INV NO. 1402 (28/03)</t>
  </si>
  <si>
    <t>INV NO. 1319 (09/03)</t>
  </si>
  <si>
    <t>INV NO. 1442 (28/03)</t>
  </si>
  <si>
    <t>INV NO. 1425 (28/03)</t>
  </si>
  <si>
    <t>INV NO. 1453 (04/04)</t>
  </si>
  <si>
    <t>INV NO. 1517 (28/03)</t>
  </si>
  <si>
    <t>INV NO. 1529 (28/03)</t>
  </si>
  <si>
    <t>INV NO. 1531 (28/03)</t>
  </si>
  <si>
    <t>INV NO. 1530 (28/03)</t>
  </si>
  <si>
    <t>INV NO. 1563 (04/04)</t>
  </si>
  <si>
    <t>INV NO. 1631 (04/04)</t>
  </si>
  <si>
    <t>INV NO. 1732 (18/04)</t>
  </si>
  <si>
    <t>INV NO. 1733 (18/04)</t>
  </si>
  <si>
    <t>INV NO. 1731 (18/04)</t>
  </si>
  <si>
    <t>INV NO. 1840 (18/04)</t>
  </si>
  <si>
    <t>INV NO. 1839 (18/04)</t>
  </si>
  <si>
    <t>INV NO. 2071 (18/04)</t>
  </si>
  <si>
    <t>INV NO. 2125 (18/04)</t>
  </si>
  <si>
    <t>INV NO. 2227 (23/05)</t>
  </si>
  <si>
    <t>INV NO. 2070 (09/05)</t>
  </si>
  <si>
    <t>INV NO. 2368 (09/05)</t>
  </si>
  <si>
    <t>INV NO. 2391 (09/05)</t>
  </si>
  <si>
    <t>INV NO. 2392 (09/05)</t>
  </si>
  <si>
    <t>INV NO. 2407 (09/07)</t>
  </si>
  <si>
    <t>INV NO. 2476 (09/05)</t>
  </si>
  <si>
    <t>INV NO. 2477 (09/05)</t>
  </si>
  <si>
    <t>INV NO. 2541 (23/05)</t>
  </si>
  <si>
    <t>INV NO. 2594 (23/05)</t>
  </si>
  <si>
    <t>INV NO. 2643 (23/05)</t>
  </si>
  <si>
    <t>INV NO. 2704 (23/05)</t>
  </si>
  <si>
    <t>INV NO. 2922 (25/05)</t>
  </si>
  <si>
    <t>INV NO. 2923 (25/05)</t>
  </si>
  <si>
    <t>INV NO. 2930 (25/05)</t>
  </si>
  <si>
    <t>INV NO. 3025 (25/05)</t>
  </si>
  <si>
    <t>INV NO.3037 (06/06)</t>
  </si>
  <si>
    <t>INV NO. 3115 (25/05)</t>
  </si>
  <si>
    <t>INV NO. 3116 (25/05)</t>
  </si>
  <si>
    <t>INV NO. 3425 (08/06)</t>
  </si>
  <si>
    <t>INV NO. 3426 (08/06)</t>
  </si>
  <si>
    <t>INV MO. 2595 (23/05)</t>
  </si>
  <si>
    <t>INV NO. 3499 (08/06)</t>
  </si>
  <si>
    <t>INV NO. 3530 (08/06)</t>
  </si>
  <si>
    <t>INV NO. 3527 (08/06)</t>
  </si>
  <si>
    <t>INV NO. 3690 (13/06)</t>
  </si>
  <si>
    <t>INV NO. 3691 (13/06)</t>
  </si>
  <si>
    <t>INV NO. 3712 (13/06)</t>
  </si>
  <si>
    <t>INV NO. 3711 (13/06)</t>
  </si>
  <si>
    <t>INV NO. 3845 (20/06)</t>
  </si>
  <si>
    <t>INV NO. 3848 (20/06)</t>
  </si>
  <si>
    <t>INV NO. 3993 (22/06)</t>
  </si>
  <si>
    <t>INV NO. 3994 (22/06)</t>
  </si>
  <si>
    <t>INV NO. 4032 (27/06)</t>
  </si>
  <si>
    <t>INV NO. 4033 (27/06)</t>
  </si>
  <si>
    <t>INV NO. 4101 (04/07)</t>
  </si>
  <si>
    <t>INV NO. 4102 (04/07)</t>
  </si>
  <si>
    <t>INV NO. 4160 (04/07)</t>
  </si>
  <si>
    <t>INV NO. 4243 (06/07)</t>
  </si>
  <si>
    <t>INV NO. 4254 (06/07)</t>
  </si>
  <si>
    <t>INV NO. 4253 (06/07)</t>
  </si>
  <si>
    <t>INV NO. 4285 (11/07)</t>
  </si>
  <si>
    <t>INV NO. 4252 (06/07)</t>
  </si>
  <si>
    <t>INV NO. 4298 (18/07)</t>
  </si>
  <si>
    <t>INV NO. 4401 (18/07)</t>
  </si>
  <si>
    <t>INV NO. 4561 (18/07)</t>
  </si>
  <si>
    <t>INV NO. 4562 (18/07)</t>
  </si>
  <si>
    <t>INV NO. 4670 (27/07)</t>
  </si>
  <si>
    <t>INV NO. 4669 (27/07)</t>
  </si>
  <si>
    <t>INV NO. 4738 (27/07)</t>
  </si>
  <si>
    <t>INV NO. 4757 (27/07)</t>
  </si>
  <si>
    <t>INV NO. 4760 (27/07)</t>
  </si>
  <si>
    <t>INV NO. 4825 (01/08)</t>
  </si>
  <si>
    <t>INV NO. 4978 (01/08)</t>
  </si>
  <si>
    <t>INV NO. 5137 (08/08)</t>
  </si>
  <si>
    <t>INV NO. 5138 (08/08)</t>
  </si>
  <si>
    <t>INV NO. 5185 (03/08)</t>
  </si>
  <si>
    <t>INV NO. 5186 (10/08)</t>
  </si>
  <si>
    <t>INV NO. 5230 (10/08)</t>
  </si>
  <si>
    <t>INV NO. 5337 (22/08)</t>
  </si>
  <si>
    <t>INV NO. 5336 (22/08)</t>
  </si>
  <si>
    <t>INV NO. 5331 (22/08)</t>
  </si>
  <si>
    <t>INV NO. 5332 (22/08)</t>
  </si>
  <si>
    <t>INV NO. 5438 (22/08)</t>
  </si>
  <si>
    <t>INV NO. 5442 (22/08)</t>
  </si>
  <si>
    <t>INV NO. 5441 (22/08)</t>
  </si>
  <si>
    <t>INV NO. 5506 (24/08)</t>
  </si>
  <si>
    <t>INV NO. 5501 (24/08)</t>
  </si>
  <si>
    <t>INV NO. 5502 (24/08)</t>
  </si>
  <si>
    <t>INV NO. 5570 (24/08)</t>
  </si>
  <si>
    <t>INV NO. 5711 (05/09)</t>
  </si>
  <si>
    <t>INV NO. 5712 (05/09)</t>
  </si>
  <si>
    <t>INV NO. 5792 (05/09)</t>
  </si>
  <si>
    <t>INV NO. 5794 (05/09)</t>
  </si>
  <si>
    <t>INV NO. 5795 (05/09)</t>
  </si>
  <si>
    <t>INV NO. 5901 (05/09)</t>
  </si>
  <si>
    <t>INV NO. 5898 (05/09)</t>
  </si>
  <si>
    <t>INV NO. 6007 (07/09)</t>
  </si>
  <si>
    <t>INV NO. 6191 (12/09)</t>
  </si>
  <si>
    <t>INV NO. 6190 (12/09)</t>
  </si>
  <si>
    <t>INV NO. 6277 (19/09)</t>
  </si>
  <si>
    <t>INV NO. 6376 (26/09)</t>
  </si>
  <si>
    <t>INV NO. 6375 (26/09)</t>
  </si>
  <si>
    <t>INV NO. 6435 (26/09)</t>
  </si>
  <si>
    <t>INV NO. 6434 (26/09)</t>
  </si>
  <si>
    <t>INV NO. 6459 (26/09)</t>
  </si>
  <si>
    <t>INV NO. 6458 (26/09)</t>
  </si>
  <si>
    <t>INV NO. 6432 (26/09)</t>
  </si>
  <si>
    <t>INV NO. 6526 (03/10)</t>
  </si>
  <si>
    <t>INV NO. 6528 (03/10)</t>
  </si>
  <si>
    <t>INV NO. 6527 (03/10)</t>
  </si>
  <si>
    <t>INV NO. 6543 (03/10)</t>
  </si>
  <si>
    <t>INV NO. 6593 (03/10)</t>
  </si>
  <si>
    <t>INV NO. 6589 (03/10)</t>
  </si>
  <si>
    <t>INV NO. 6732 (05/10)</t>
  </si>
  <si>
    <t>INV NO. 6731 (05/10)</t>
  </si>
  <si>
    <t>INV NO. 6934 (12/10)</t>
  </si>
  <si>
    <t>INV NO. 6928 (12/10)</t>
  </si>
  <si>
    <t>INV NO. 6982 (12/10)</t>
  </si>
  <si>
    <t>INV NO. 6981 (12/10)</t>
  </si>
  <si>
    <t>INV NO. 6983 (12/10)</t>
  </si>
  <si>
    <t>INV NO. 7032 (17/10)</t>
  </si>
  <si>
    <t>INV NO. 7033 (17/10)</t>
  </si>
  <si>
    <t>INV NO. 7122 (19/10)</t>
  </si>
  <si>
    <t>INV NO. 7141 (19/10)</t>
  </si>
  <si>
    <t>INV NO. 7142 (19/10)</t>
  </si>
  <si>
    <t>INV NO. 7143 (166500</t>
  </si>
  <si>
    <t>INV NO. 7343 (26/10)</t>
  </si>
  <si>
    <t>INV NO. 7344 (26/10)</t>
  </si>
  <si>
    <t>INV NO. 7345 (26/10)</t>
  </si>
  <si>
    <t>INV NO. 7372 (02/11)</t>
  </si>
  <si>
    <t>INV NO. 7390 (02/11)</t>
  </si>
  <si>
    <t>INV NO. 7446 (02/11)</t>
  </si>
  <si>
    <t>INV NO. 7581 (07/11)</t>
  </si>
  <si>
    <t>INV NO. 7580 (07/11)</t>
  </si>
  <si>
    <t>INV NO. 7642 (07/11)</t>
  </si>
  <si>
    <t>INV NO. 7643 (07/11)</t>
  </si>
  <si>
    <t>INV NO. 7823 (28/11)</t>
  </si>
  <si>
    <t>INV NO. 7822 (28/11)</t>
  </si>
  <si>
    <t>INV NO. 7861 (28/11)</t>
  </si>
  <si>
    <t>INV NO. 7908 (28/11)</t>
  </si>
  <si>
    <t>INV NO. 7909 (28/11)</t>
  </si>
  <si>
    <t>INV NO. 7932 (28/11)</t>
  </si>
  <si>
    <t>INV NO. 7931 (28/11)</t>
  </si>
  <si>
    <t>INV NO. 8021 (28/11)</t>
  </si>
  <si>
    <t>INV NO. 8020 (28/11)</t>
  </si>
  <si>
    <t>INV NO. 8034 (28/11)</t>
  </si>
  <si>
    <t>INV NO. 8150 (30/11)</t>
  </si>
  <si>
    <t>INV NO. 8148 (30/11)</t>
  </si>
  <si>
    <t>INV NO. 8149 (30/11)</t>
  </si>
  <si>
    <t>INV NO. 8274 (07/12)</t>
  </si>
  <si>
    <t>INV NO. 8348 (07/12)</t>
  </si>
  <si>
    <t>INV NO. 8349 (07/12)</t>
  </si>
  <si>
    <t>INV NO. 8350 (07/12)</t>
  </si>
  <si>
    <t>INV NO. 3486 (07/03)</t>
  </si>
  <si>
    <t>INV NO. 7304 (09/05)</t>
  </si>
  <si>
    <t>INV NO. 8507 (30/05)</t>
  </si>
  <si>
    <t>INV NO. 1251 (04/07)</t>
  </si>
  <si>
    <t>INV NO. 1379 (04/07)</t>
  </si>
  <si>
    <t>INV NO. 5190 (22/08)</t>
  </si>
  <si>
    <t>INV NO. 6434 (12/09)</t>
  </si>
  <si>
    <t>INV NO. 6720 (12/09)</t>
  </si>
  <si>
    <t>INV NO. 7274 (19/09)</t>
  </si>
  <si>
    <t>INV NO. 9854 (19/10)</t>
  </si>
  <si>
    <t>INV NO. 2233 (05/12)</t>
  </si>
  <si>
    <t>INV NO. 4494 (12/12)</t>
  </si>
  <si>
    <t>INV NO. 1324 (17/01)</t>
  </si>
  <si>
    <t>INV NO. 1355 (09/03)</t>
  </si>
  <si>
    <t>INV NO. 1497 (25/02)</t>
  </si>
  <si>
    <t>INV NO. 0056 (09/05)</t>
  </si>
  <si>
    <t>INV NO. 4439 (25/05)</t>
  </si>
  <si>
    <t>INV NO. 1308 (22/06)</t>
  </si>
  <si>
    <t>INV NO. 756 (19/08)</t>
  </si>
  <si>
    <t>INV NO. 1267 (25/10)</t>
  </si>
  <si>
    <t>INV NO. 2172 (30/11)</t>
  </si>
  <si>
    <t>INV NO. 4026 (20/12)</t>
  </si>
  <si>
    <t>INV NO. 7020 (20/12)</t>
  </si>
  <si>
    <t>INV NO. 9031 (20/12)</t>
  </si>
  <si>
    <t>INV NO. 5005 (20/12)</t>
  </si>
  <si>
    <t>INV NO. 8010 (20/12)</t>
  </si>
  <si>
    <t>INV NO. 9017 (20/12)</t>
  </si>
  <si>
    <t>INV NO. 50002 (07/02)</t>
  </si>
  <si>
    <t>INV NO. 6011 (07/02)</t>
  </si>
  <si>
    <t>INV NO. 3004 (07/02)</t>
  </si>
  <si>
    <t>INV NO. 4009 (07/02)</t>
  </si>
  <si>
    <t>INV NO. 8016 (07/02)</t>
  </si>
  <si>
    <t>INV NO. 9001 (07/02)</t>
  </si>
  <si>
    <t>INV NO. 4001 (07/02)</t>
  </si>
  <si>
    <t>INV NO. 6004 (07/02)</t>
  </si>
  <si>
    <t>INV NO. 4005 (07/02)</t>
  </si>
  <si>
    <t>INV NO. 4002 (07/02)</t>
  </si>
  <si>
    <t>INV NO. 6010 (07/02)</t>
  </si>
  <si>
    <t>INV NO. 3005 (07/02)</t>
  </si>
  <si>
    <t>INV NO. 3496 (11/04)</t>
  </si>
  <si>
    <t>INV NO. 3543 (11/04)</t>
  </si>
  <si>
    <t>INV NO. 5717 (11/04)</t>
  </si>
  <si>
    <t>INV NO. 3683 (11/04)</t>
  </si>
  <si>
    <t>INV NO. 4419 (11/04)</t>
  </si>
  <si>
    <t>INV NO. 4447 (11/04)</t>
  </si>
  <si>
    <t>INV NO. 4481 (11/04)</t>
  </si>
  <si>
    <t>INV NO. 4651 (11/04)</t>
  </si>
  <si>
    <t>INV NO. 4865 (11/04)</t>
  </si>
  <si>
    <t>INV NO. 4908 (11/04)</t>
  </si>
  <si>
    <t>INV NO. 5254 (11/04)</t>
  </si>
  <si>
    <t>INV NO. 5424 (11/04)</t>
  </si>
  <si>
    <t>INV NO. 5458 (11/04)</t>
  </si>
  <si>
    <t>INV NO. 5815 (11/04)</t>
  </si>
  <si>
    <t>INV NO. 6036 (13/05)</t>
  </si>
  <si>
    <t>INV NO. 6217 (13/05)</t>
  </si>
  <si>
    <t>INV NO. 6324 (13/05)</t>
  </si>
  <si>
    <t>INV NO. 6614 (13/05)</t>
  </si>
  <si>
    <t>INV NO. 6814 (13/05)</t>
  </si>
  <si>
    <t>INV NO. 6940 (13/05)</t>
  </si>
  <si>
    <t>INV NO. 7010 (13/05)</t>
  </si>
  <si>
    <t>INV NO. 7386 (20/06)</t>
  </si>
  <si>
    <t>INV NO. 7490 (20/06)</t>
  </si>
  <si>
    <t>INV NO. 7597 (20/06)</t>
  </si>
  <si>
    <t>INV NO. 7835 (20/06)</t>
  </si>
  <si>
    <t>INV NO. 7924 (20/06)</t>
  </si>
  <si>
    <t>INV NO. 8004 (20/06)</t>
  </si>
  <si>
    <t>INV NO. 3189 (20/06)</t>
  </si>
  <si>
    <t>INV NO. 8469 (20/06)</t>
  </si>
  <si>
    <t>INV NO. 9002 (11/07)</t>
  </si>
  <si>
    <t>INV NO. 6020 (11/07)</t>
  </si>
  <si>
    <t>INV NO. 6011 (11/07)</t>
  </si>
  <si>
    <t>INV NO. 6009 (11/07)</t>
  </si>
  <si>
    <t>INV NO. 5010 (11/07)</t>
  </si>
  <si>
    <t>INV NO. 1036 (11/07)</t>
  </si>
  <si>
    <t>INV NO. 5013 (11/07)</t>
  </si>
  <si>
    <t>INV NO. 7019 (11/07)</t>
  </si>
  <si>
    <t>INV NO. 6001 (08/08)</t>
  </si>
  <si>
    <t>INV NO. 9022 (08/08)</t>
  </si>
  <si>
    <t>INV NO. 6012 (08/08)</t>
  </si>
  <si>
    <t>INV NO. 1012 (08/08)</t>
  </si>
  <si>
    <t>INV NO. 7009 (08/08)</t>
  </si>
  <si>
    <t>INV NO. 2018 (08/08)</t>
  </si>
  <si>
    <t>INV NO. 7027 (08/08)</t>
  </si>
  <si>
    <t>INV NO. 8004 08/08)</t>
  </si>
  <si>
    <t>INV NO. 1013 (08/08)</t>
  </si>
  <si>
    <t>INV NO. 6008 (08/08)</t>
  </si>
  <si>
    <t>INV NO. 9009 (16/09)</t>
  </si>
  <si>
    <t>INV NO. 1023 (16/09)</t>
  </si>
  <si>
    <t>INV NO. 7003 (16/09)</t>
  </si>
  <si>
    <t>INV NO. 3002 (16/09)</t>
  </si>
  <si>
    <t>INV NO. 1010 (16/09)</t>
  </si>
  <si>
    <t>INV NO. 6024 (16/09)</t>
  </si>
  <si>
    <t>INV NO. 5013 (16/09)</t>
  </si>
  <si>
    <t>INV NO. 40007 (16/09)</t>
  </si>
  <si>
    <t>INV NO. 2007 (16/09)</t>
  </si>
  <si>
    <t>INV NO. 8025 (16/09)</t>
  </si>
  <si>
    <t>INV NO. 8021 (16/09)</t>
  </si>
  <si>
    <t>INV NO. 9003 (16/09)</t>
  </si>
  <si>
    <t>INV NO. 7019 (16/09)</t>
  </si>
  <si>
    <t>INV NO. 1013 (10/10)</t>
  </si>
  <si>
    <t>INV NO. 4018 (10/10)</t>
  </si>
  <si>
    <t>INV NO. 4013 (10/10)</t>
  </si>
  <si>
    <t>INV NO. 5010 (10/10)</t>
  </si>
  <si>
    <t>INV NO. 7002 (10/10)</t>
  </si>
  <si>
    <t>INV NO. 1006 (10/10)</t>
  </si>
  <si>
    <t>INV NO. 50031 (10/10)</t>
  </si>
  <si>
    <t>INV NO. 2006 (10/10)</t>
  </si>
  <si>
    <t>INV NO. 6006 (10/10)</t>
  </si>
  <si>
    <t>INV NO. 8002 (10/10)</t>
  </si>
  <si>
    <t>INV NO. 3015 (10/10)</t>
  </si>
  <si>
    <t>INV NO. 9001 (31/10)</t>
  </si>
  <si>
    <t>INV NO. 6008 (31/10)</t>
  </si>
  <si>
    <t>INV NO. 4016 (31/10)</t>
  </si>
  <si>
    <t>INV NO. 3008 (31/10)</t>
  </si>
  <si>
    <t>INV NO. 7015 (31/10)</t>
  </si>
  <si>
    <t>INV NO. 3029 (07/11)</t>
  </si>
  <si>
    <t>INV NO. 10003 (07/12)</t>
  </si>
  <si>
    <t>INV NO. 5009 (07/12)</t>
  </si>
  <si>
    <t>INV NO. 5002 (07/12)</t>
  </si>
  <si>
    <t>INV NO. 6013 (07/12)</t>
  </si>
  <si>
    <t>INV NO. 3009 (07/12)</t>
  </si>
  <si>
    <t>INV NO. 2013 (07/12)</t>
  </si>
  <si>
    <t>INV NO. 9014 (07/12)</t>
  </si>
  <si>
    <t>INV NO. 6014 (07/12)</t>
  </si>
  <si>
    <t>INV NO. 2037 (07/12)</t>
  </si>
  <si>
    <t>INV NO. 6017 (07/12)</t>
  </si>
  <si>
    <t>INV NO. 2020 (07/12)</t>
  </si>
  <si>
    <t>INV NO. 52 (09/02)</t>
  </si>
  <si>
    <t>INV NO. 249 (09/02)</t>
  </si>
  <si>
    <t>INV NO. 248 (09/02)</t>
  </si>
  <si>
    <t>INV NO. 238 (09/02)</t>
  </si>
  <si>
    <t>INV NO. 481 (09/02)</t>
  </si>
  <si>
    <t>INV NO. 483 (09/02)</t>
  </si>
  <si>
    <t>INV NO. 753 (09/02)</t>
  </si>
  <si>
    <t>INV NO. 892 (09/03)</t>
  </si>
  <si>
    <t>INV NO. 900 (09/03)</t>
  </si>
  <si>
    <t>INV NO. 949 (09/03)</t>
  </si>
  <si>
    <t>INV NO. 983 (09/03)</t>
  </si>
  <si>
    <t>INV NO. 1163 (09/03)</t>
  </si>
  <si>
    <t>INV NO. 1246 (09/03)</t>
  </si>
  <si>
    <t>INV NO. 1229 (09/03)</t>
  </si>
  <si>
    <t>INV NO. 1679 (09/03)</t>
  </si>
  <si>
    <t>INV NO. 2127 (18/04)</t>
  </si>
  <si>
    <t>INV NO. 2140 (18/04)</t>
  </si>
  <si>
    <t>INV NO. 2347 (18/04)</t>
  </si>
  <si>
    <t>INV NO. 2500 (18/04)</t>
  </si>
  <si>
    <t>INV NO. 2685 (18/04)</t>
  </si>
  <si>
    <t>INV NO. 2855 (18/04)</t>
  </si>
  <si>
    <t>INV NO. 2889 (18/04)</t>
  </si>
  <si>
    <t>INV NO. 2927 (16/05)</t>
  </si>
  <si>
    <t>INV NO. 2937 (16/05)</t>
  </si>
  <si>
    <t>INV NO. 3038 (16/05)</t>
  </si>
  <si>
    <t>INV NO. 3484 (16/05)</t>
  </si>
  <si>
    <t>INV NO. 3576 (16/05)</t>
  </si>
  <si>
    <t>INV NO. 3933 (20/06)</t>
  </si>
  <si>
    <t>INV NO. 3940 (20/06)</t>
  </si>
  <si>
    <t>INV NO. 4110 (20/06)</t>
  </si>
  <si>
    <t>INV NO. 4263 (20/06)</t>
  </si>
  <si>
    <t>INV NO. 4408 (20/06)</t>
  </si>
  <si>
    <t>INV NO. 4693 (20/06)</t>
  </si>
  <si>
    <t>INV NO. 4665 (20/06)</t>
  </si>
  <si>
    <t>INV NO. 4664 (20/06)</t>
  </si>
  <si>
    <t>INV NO. 4779 (20/06)</t>
  </si>
  <si>
    <t>INV NO. 4792 (20/06)</t>
  </si>
  <si>
    <t>INV NO. 5035 (20/06)</t>
  </si>
  <si>
    <t>INV NO. 5171 (18/07)</t>
  </si>
  <si>
    <t>INV NO. 5199 (18/07)</t>
  </si>
  <si>
    <t>INV NO. 5347 (18/07)</t>
  </si>
  <si>
    <t>INV NO. 5409 (18/07)</t>
  </si>
  <si>
    <t>INV NO. 5460 (18/07)</t>
  </si>
  <si>
    <t>INV NO. 5533 (18/07)</t>
  </si>
  <si>
    <t>INV NO. 5604 (18/07)</t>
  </si>
  <si>
    <t>INV NO. 5947 (18/07)</t>
  </si>
  <si>
    <t>INV NO. 6099 (18/07)</t>
  </si>
  <si>
    <t>INV NO. 6081 (18/07)</t>
  </si>
  <si>
    <t>INV NO. 6171 (18/07)</t>
  </si>
  <si>
    <t>INV NO. 6247 (18/07)</t>
  </si>
  <si>
    <t>INV NO. 6344 (12/08)</t>
  </si>
  <si>
    <t>INV NO. 6338 (12/08)</t>
  </si>
  <si>
    <t>INV NO. 6549 (12/08)</t>
  </si>
  <si>
    <t>INV NO. 6710 (12/08)</t>
  </si>
  <si>
    <t>INV NO. 6822 (12/08)</t>
  </si>
  <si>
    <t>INV NO. 6950 (12/08)</t>
  </si>
  <si>
    <t>INV NO. 7032 (12/08)</t>
  </si>
  <si>
    <t>INV NO. 7154 (12/08)</t>
  </si>
  <si>
    <t>INV NO. 7179 (12/08)</t>
  </si>
  <si>
    <t>INV NO. 7266 (12/08)</t>
  </si>
  <si>
    <t>INV NO. 7311 (12/08)</t>
  </si>
  <si>
    <t>INV NO. 7310 (12/08)</t>
  </si>
  <si>
    <t>INV NO. 7268 (12/09)</t>
  </si>
  <si>
    <t>INV NO. 7492 (12/08)</t>
  </si>
  <si>
    <t>INV NO. 7542 (12/09)</t>
  </si>
  <si>
    <t>INV NO. 7706 (12/09)</t>
  </si>
  <si>
    <t>INV NO. 7936 (12/09)</t>
  </si>
  <si>
    <t>INV NO. 8015 (12/09)</t>
  </si>
  <si>
    <t>INV NO. 8075 (12/09)</t>
  </si>
  <si>
    <t>INV NO. 8100 (12/09)</t>
  </si>
  <si>
    <t>INV NO. 8142 (12/09)</t>
  </si>
  <si>
    <t>INV NO. 8267 (12/09)</t>
  </si>
  <si>
    <t>INV NO. 8513 (12/09)</t>
  </si>
  <si>
    <t>INV NO. 8692 (12/09)</t>
  </si>
  <si>
    <t>INV NO. 8867 (10/10)</t>
  </si>
  <si>
    <t>INV NO. 8943 (10/10)</t>
  </si>
  <si>
    <t>INV NO. 8939 (10/10)</t>
  </si>
  <si>
    <t>INV NO. 9169 (10/10)</t>
  </si>
  <si>
    <t>INV NO. 9396 (10/10)</t>
  </si>
  <si>
    <t>INV NO. 9480 (10/10)</t>
  </si>
  <si>
    <t>INV NO. 9521 (10/10)</t>
  </si>
  <si>
    <t>INV NO. 9681 (10/10)</t>
  </si>
  <si>
    <t>INV NO. 9662 (10/10)</t>
  </si>
  <si>
    <t>INV NO. 9687 (10/10)</t>
  </si>
  <si>
    <t>INV NO. 9977 (09/11)</t>
  </si>
  <si>
    <t>INV NO. 9978 (09/11)</t>
  </si>
  <si>
    <t>INV NO. 10006 (09/11)</t>
  </si>
  <si>
    <t>INV NO. 10462 (09/11)</t>
  </si>
  <si>
    <t>INV NO. 10514 (09/11)</t>
  </si>
  <si>
    <t>INV NO. 10644 (09/11)</t>
  </si>
  <si>
    <t>INV NO. 10717 (09/11)</t>
  </si>
  <si>
    <t>INV NO. 10750 (09/11)</t>
  </si>
  <si>
    <t>INV NO. 10799 (09/11)</t>
  </si>
  <si>
    <t>INV NO. 10863 (09/11)</t>
  </si>
  <si>
    <t>INV NO. 1015 (09/11)</t>
  </si>
  <si>
    <t>INV NO. 1089 (12/12)</t>
  </si>
  <si>
    <t>INV NO. 1223 (12/12)</t>
  </si>
  <si>
    <t>INV NO. 1532 (12/12)</t>
  </si>
  <si>
    <t>INV NO. 1516 (12/12)</t>
  </si>
  <si>
    <t>INV NO. 1557 (12/12)</t>
  </si>
  <si>
    <t>INV NO. 1722 (12/12)</t>
  </si>
  <si>
    <t>INV NO. 1708 (12/12)</t>
  </si>
  <si>
    <t>INV NO. 1914 (12/12)</t>
  </si>
  <si>
    <t>INV NO. 2052 (12/12)</t>
  </si>
  <si>
    <t>INV NO. 2159 (12/12)</t>
  </si>
  <si>
    <t>INV NO. 4394 (09/02), 261 (RETUR)</t>
  </si>
  <si>
    <t>INV NO. 6381 (23/02)</t>
  </si>
  <si>
    <t>INV NO. 7602 (09/03)</t>
  </si>
  <si>
    <t>INV NO. 0930 (06/04)</t>
  </si>
  <si>
    <t>INV NO. 3314 (04/05)</t>
  </si>
  <si>
    <t>INV NO. 9962 (06/07)</t>
  </si>
  <si>
    <t>INV NO. 9956 (06/07)</t>
  </si>
  <si>
    <t>INV NO. 1037 (11/07)</t>
  </si>
  <si>
    <t>INV NO. 2806 (20/07)</t>
  </si>
  <si>
    <t>INV NO. 8441 (24/08)</t>
  </si>
  <si>
    <t>INV NO. 90051 (07/09)</t>
  </si>
  <si>
    <t>INV NO. 90707 (07/09)</t>
  </si>
  <si>
    <t>INV NO. 5143 (12/10)</t>
  </si>
  <si>
    <t>INV NO. 7936 (07/11)</t>
  </si>
  <si>
    <t>INV NO. 9314 (18/11)</t>
  </si>
  <si>
    <t>INV NO. 9584 (18/11)</t>
  </si>
  <si>
    <t>INV NO. 1802 (30/11)</t>
  </si>
  <si>
    <t>INV NO. 1938 (05/01)</t>
  </si>
  <si>
    <t>INV NO. 2965 (21/02)</t>
  </si>
  <si>
    <t>INV NO. 3426 (09/03)</t>
  </si>
  <si>
    <t>INV NO. 4207 (06/04)</t>
  </si>
  <si>
    <t>INV NO. 4380 (11/04)</t>
  </si>
  <si>
    <t>INV NO. 4523 (11/04)</t>
  </si>
  <si>
    <t>INV NO. 6426 (27/06)</t>
  </si>
  <si>
    <t>INV NO. 6765 (06/07)</t>
  </si>
  <si>
    <t>INV NO. 8095 (12/09)</t>
  </si>
  <si>
    <t>INV NO. 8250 (31/08)</t>
  </si>
  <si>
    <t>INV NO. 8337 (31/08)</t>
  </si>
  <si>
    <t>INV NO. 202 (02/03)</t>
  </si>
  <si>
    <t>INV NO. 224 (02/03)</t>
  </si>
  <si>
    <t>INV NO. 229 (02/03)</t>
  </si>
  <si>
    <t>INV NO. 240 (02/03)</t>
  </si>
  <si>
    <t>INV NO. 0248 (27/04)</t>
  </si>
  <si>
    <t>INV NO. 0261 (27/04)</t>
  </si>
  <si>
    <t>INV NO. 0271 (03/06)</t>
  </si>
  <si>
    <t>INV NO. 0275 (03/06)</t>
  </si>
  <si>
    <t>INV NO. 0285 (22/06)</t>
  </si>
  <si>
    <t>INV NO. 0294 (22/06)</t>
  </si>
  <si>
    <t>INV NO. 304 (19/08)</t>
  </si>
  <si>
    <t>INV NO. 313 (19/08)</t>
  </si>
  <si>
    <t>INV NO. 322 (19/08)</t>
  </si>
  <si>
    <t>INV NO. 340 (21/09)</t>
  </si>
  <si>
    <t>INV NO. 354 (21/09)</t>
  </si>
  <si>
    <t>INV NO. 363 (12/10)</t>
  </si>
  <si>
    <t>(blank)</t>
  </si>
  <si>
    <t>Grand Total</t>
  </si>
  <si>
    <t>2023 Total</t>
  </si>
  <si>
    <t>2024 Total</t>
  </si>
  <si>
    <t>2025 Total</t>
  </si>
  <si>
    <t>(blank) Total</t>
  </si>
  <si>
    <t>OBAT DAN BHP  Total</t>
  </si>
  <si>
    <t>ALAT KESEHATAN Total</t>
  </si>
  <si>
    <t>PELAYANAN RUJUKAN DAN LABORATORIUM Total</t>
  </si>
  <si>
    <t>PENUNJANG PELAYANAN RS Total</t>
  </si>
  <si>
    <t>BIAYA ATK, CETAKAN, BHP RUMAH TANGGA DLL. Total</t>
  </si>
  <si>
    <t>KAS NEGARA Total</t>
  </si>
  <si>
    <t>mami ibu</t>
  </si>
  <si>
    <t>CICILAN INV NO. 1280 (03/07)</t>
  </si>
  <si>
    <t>PELUNASAN INV NO. 1280 (03/07)</t>
  </si>
  <si>
    <t>CICILAN INV NO. 6547 (27/03)</t>
  </si>
  <si>
    <t>PELUNASAN INV NO. 6547 (27/03)</t>
  </si>
  <si>
    <t>CICILAN II INV NO. 1280 (03/07)</t>
  </si>
  <si>
    <t>INV NO. 4488 (23/09)</t>
  </si>
  <si>
    <t>INV NO. 4568 (23/09)</t>
  </si>
  <si>
    <t>INV NO. 90050 (23/09)</t>
  </si>
  <si>
    <t>INV NO. 90045 (23/09)</t>
  </si>
  <si>
    <t>INV NO. 80517 (23/09)</t>
  </si>
  <si>
    <t>INV NO. 80521 (23/09)</t>
  </si>
  <si>
    <t>INV NO. 1754 (23/09)</t>
  </si>
  <si>
    <t>INV NO. 1797 (23/09)</t>
  </si>
  <si>
    <t>INV NO. 1847 (23/09)</t>
  </si>
  <si>
    <t>INV NO. 1851 (23/09)</t>
  </si>
  <si>
    <t>INV NO. 2040 (23/09)</t>
  </si>
  <si>
    <t>INV NO. 204 (23/09)</t>
  </si>
  <si>
    <t>PEMB KUAS CAT, MESIN POMPA, BOX MCB DLL (24/09)</t>
  </si>
  <si>
    <t>INV NO. 6329, CETAKAN SELAMAT DATANG (24/09)</t>
  </si>
  <si>
    <t>INV NO. 6154, CETAKAN HUT RI (24/09)</t>
  </si>
  <si>
    <t>BIAYA PEMAKAIAN AIR GALON PER SEPTEMBER 2025 (24/09)</t>
  </si>
  <si>
    <t>INV NO. 2098 (25/09)</t>
  </si>
  <si>
    <t>INV NO. 1003 (25/09)</t>
  </si>
  <si>
    <t>INV NO. 1008 (25/09)</t>
  </si>
  <si>
    <t>INV NO. 1278 (25/09)</t>
  </si>
  <si>
    <t>INV NO. 1730 (25/09)</t>
  </si>
  <si>
    <t>INV NO. 2131 (25/09)</t>
  </si>
  <si>
    <t>INV NO. 9864 (25/09)</t>
  </si>
  <si>
    <t>INV NO. 2631 (25/09)</t>
  </si>
  <si>
    <t>INV NO. 2295 (25/09)</t>
  </si>
  <si>
    <t>INV NO. 2291 (25/09)</t>
  </si>
  <si>
    <t>INV NO. 80234 (27/09)</t>
  </si>
  <si>
    <t>INV NO. 4319 (27/09)</t>
  </si>
  <si>
    <t>CICILAN I INSTALASI OKSIGEN SENTRAL GAS MEDIS (09/05)</t>
  </si>
  <si>
    <t>INV NO. 2293 (15/10)</t>
  </si>
  <si>
    <t>MA-0036</t>
  </si>
  <si>
    <t>INV NO. 1351 (02/10)</t>
  </si>
  <si>
    <t>INV NO. 2623 (02/10)</t>
  </si>
  <si>
    <t>INV NO. 2628 (02/10)</t>
  </si>
  <si>
    <t>INV NO. 6909 (02/10)</t>
  </si>
  <si>
    <t>INV NO. 7170 (02/10)</t>
  </si>
  <si>
    <t>INV NO. 7234 (02/10)</t>
  </si>
  <si>
    <t>INV NO. 9321 (02/10)</t>
  </si>
  <si>
    <t>INV NO. 848 (02/10)</t>
  </si>
  <si>
    <t>INV NO. 90532 (02/10)</t>
  </si>
  <si>
    <t>INV NO. 90267 (02/10)</t>
  </si>
  <si>
    <t>INV NO. 4752 (04/10)</t>
  </si>
  <si>
    <t>NA-0034</t>
  </si>
  <si>
    <t>INV NO. 410, BIAYA PEMERIKSAAN LAB PER SEPTEMBER 2025 (06/10)</t>
  </si>
  <si>
    <t>INV NO. 044 (07/10)</t>
  </si>
  <si>
    <t>INV NO. 094 (07/10)</t>
  </si>
  <si>
    <t>INV NO. 157 (07/10)</t>
  </si>
  <si>
    <t>INV NO. 183 (07/10)</t>
  </si>
  <si>
    <t>INV NO. 0009 (07/10)</t>
  </si>
  <si>
    <t>INV NO. 0016 (07/10)</t>
  </si>
  <si>
    <t>INV NO. 90042 (07/10)</t>
  </si>
  <si>
    <t>INV NO. 90061 (07/10)</t>
  </si>
  <si>
    <t>INV NO. 90163 (07/10)</t>
  </si>
  <si>
    <t>INV NO. 6931 (07/10), 32 (RETUR)</t>
  </si>
  <si>
    <t>INV NO. 6941 (07/10)</t>
  </si>
  <si>
    <t>INV NO. 6942 (07/10)</t>
  </si>
  <si>
    <t>INV NO. 6943 (07/10)</t>
  </si>
  <si>
    <t>INV NO. 6944 (07/10)</t>
  </si>
  <si>
    <t>INV NO. 6945 (07/10)</t>
  </si>
  <si>
    <t>INV NO. 6946 (07/10)</t>
  </si>
  <si>
    <t>INV NO. 6947 (07/10)</t>
  </si>
  <si>
    <t>INV NO. 6948 (07/10)</t>
  </si>
  <si>
    <t>INV NO. 8614 (07/10)</t>
  </si>
  <si>
    <t>INV NO. 8096 (07/10)</t>
  </si>
  <si>
    <t>INV NO. 8815 (07/10)</t>
  </si>
  <si>
    <t>INV NO. 9749 (07/10)</t>
  </si>
  <si>
    <t>PM-0034</t>
  </si>
  <si>
    <t>INV NO. 311, BIAYA PEMERIKSAAN DARAH PMI PER SEPTEMBER 2025 (07/10)</t>
  </si>
  <si>
    <t>INV NO. 2274 (07/10)</t>
  </si>
  <si>
    <t>INV NO. 187 (07/10)</t>
  </si>
  <si>
    <t>HA-0179</t>
  </si>
  <si>
    <t>HA-0180</t>
  </si>
  <si>
    <t>HA-0181</t>
  </si>
  <si>
    <t>HA-0182</t>
  </si>
  <si>
    <t>HA-0183</t>
  </si>
  <si>
    <t>HA-0184</t>
  </si>
  <si>
    <t>HA-0185</t>
  </si>
  <si>
    <t>HA-0186</t>
  </si>
  <si>
    <t>HA-0187</t>
  </si>
  <si>
    <t>HA-0188</t>
  </si>
  <si>
    <t>HA-0189</t>
  </si>
  <si>
    <t>HA-0190</t>
  </si>
  <si>
    <t>INV NO. 675 I, PEMB CARTRIDGE 4 PCS (07/10</t>
  </si>
  <si>
    <t>INV NO. 675 II, PEMB KURSI BROTHER (07/10</t>
  </si>
  <si>
    <t>INV NO. 778, PEMB PULPEN (07/10)</t>
  </si>
  <si>
    <t>INV NO. 1113, PEMB STICKER LABEL, KERTAS STICKER, KERTAS THERMAL, PENGGARIS DLL (07/10)</t>
  </si>
  <si>
    <t>INV NO. 1338, PEMB PRINTER EPSON L3210 DAN CARTRIDGE (07/10)</t>
  </si>
  <si>
    <t>INV NO. 1346, PEMB HARD DISK EXTERNAL (07/10)</t>
  </si>
  <si>
    <t>INV NO. 1566. PEMB USB HUB (07/10)</t>
  </si>
  <si>
    <t>INV NO. 1766, PEMB KERTAS A4, STAPPLER, PULPEN DLL (07/10)</t>
  </si>
  <si>
    <t>INV NO. 2021, PEMB TINTA EPSON DAN BATERAI ABC (07/10)</t>
  </si>
  <si>
    <t>INV NO. 2131, PEMB SSD WD DAN TINTA EPSON (07/10)</t>
  </si>
  <si>
    <t>INV NO. 2304 II, PEMB PULPEN DAN KERTAS (07/10)</t>
  </si>
  <si>
    <t>INV NO. 2304 I, PEMB CARTRIDGE CANON DAN TINTA BOTOL (07/10)</t>
  </si>
  <si>
    <t>INV NO. 9604 (09/10)</t>
  </si>
  <si>
    <t>INV NO. 2249 (09/10)</t>
  </si>
  <si>
    <t>INV NO. 5234 (09/10)</t>
  </si>
  <si>
    <t>INV NO. 5240 (09/10)</t>
  </si>
  <si>
    <t>INV NO. 3171 (09/10)</t>
  </si>
  <si>
    <t>INV NO. 7243 (09/10)</t>
  </si>
  <si>
    <t>INV NO. 90955 (09/10)</t>
  </si>
  <si>
    <t>INV NO. 2575 (09/10)</t>
  </si>
  <si>
    <t>INV NO. 2380 (09/10)</t>
  </si>
  <si>
    <t>INV NO. 3772 (09/10)</t>
  </si>
  <si>
    <t>INV NO. 2531 (09/10)</t>
  </si>
  <si>
    <t>INV NO. 0001 (09/10)</t>
  </si>
  <si>
    <t>CICILAN TAHAP 21 LAMPU OPERASI 2 DOUBLE HEAD</t>
  </si>
  <si>
    <t>INV NO. PP20250930006, PEMERIKSAAN AN. DITA RAHMADANI, DONI SUCI SUSANTI, EKA PUTRI DLL (11/10)</t>
  </si>
  <si>
    <t>INV NO. 1405, BIAYA PENGIRIMAN INVOICE RS SAMS PER SEPTEMBER 2025 (13/10)</t>
  </si>
  <si>
    <t>MA-0037</t>
  </si>
  <si>
    <t>INV NO. 1398 (13/10)</t>
  </si>
  <si>
    <t>PEMB CANAL, RENG BAJA RINGAN, SENG SPANDEK DLL (13/10)</t>
  </si>
  <si>
    <t>TOKO ANAS/NABILA</t>
  </si>
  <si>
    <t xml:space="preserve">MAHAKAM SEJAHTERA ALKESINDO, PT </t>
  </si>
  <si>
    <t>INV NO. 006 (14/10)</t>
  </si>
  <si>
    <t>INV NO. 0010 (14/10)</t>
  </si>
  <si>
    <t>INV NO. 7978 (14/10)</t>
  </si>
  <si>
    <t>INV NO. 8088 (14/10)</t>
  </si>
  <si>
    <t>INV NO. 2812 (14/10)</t>
  </si>
  <si>
    <t>INV NO. 3288 (14/10)</t>
  </si>
  <si>
    <t>INV NO. 3308 (14/10)</t>
  </si>
  <si>
    <t>INV NO. 3468 (14/10)</t>
  </si>
  <si>
    <t>INV NO. 3469 (14/10)</t>
  </si>
  <si>
    <t>INV NO. 3478 (14/10)</t>
  </si>
  <si>
    <t>INV NO. 3528 (14/10)</t>
  </si>
  <si>
    <t>INV NO. 6012 (14/10)</t>
  </si>
  <si>
    <t>INV NO. 3008 (14/10)</t>
  </si>
  <si>
    <t>INV NO. 6004 (14/10)</t>
  </si>
  <si>
    <t>INV NO. 7007 (14/10)</t>
  </si>
  <si>
    <t>INV NO. 2363 (15/10)</t>
  </si>
  <si>
    <t>INV NO. 2387 (15/10)</t>
  </si>
  <si>
    <t>INV NO. 1098 (16/10)</t>
  </si>
  <si>
    <t>BIAYA PEMAKAIAN OXYGEN PER AGUSTUS 2025 (16/10)</t>
  </si>
  <si>
    <t>BIAYA PEMAKAIAN OXYGEN PER SEPTEMBER 2025 (16/10)</t>
  </si>
  <si>
    <t>INV NO. 5702 (16/10)</t>
  </si>
  <si>
    <t>INV NO. 5891 (16/10)</t>
  </si>
  <si>
    <t>INV NO. 5898 (16/10)</t>
  </si>
  <si>
    <t>BJ-0034</t>
  </si>
  <si>
    <t>INV NO. 056, BIAYA SEWA GENSET PER SEPTEMBER 2025 (16/10)</t>
  </si>
  <si>
    <t>INV NO. 2892, PEMERIKSAAN AN. HAYKAL AKMAL, NUR ANNISA, DLL (17/10)</t>
  </si>
  <si>
    <t>INV NO. 2997, PEMERIKSAAN AN. ROHMAT MAJID (17/10)</t>
  </si>
  <si>
    <t>INV NO. 2976, PEMERIKSAAN AN. WA ODE NUR HAYATI DAN MASNAH (17/10)</t>
  </si>
  <si>
    <t>INV NO. 3002, PEMERIKSAAN AN. MOULIDA MAYANG DAN JUMIATI (17/10)</t>
  </si>
  <si>
    <t>INV NO. 3021, PEMERIKSAAN AN. ESYAH DAN SUCI LESTARI (17/10)</t>
  </si>
  <si>
    <t>INV NO. 3058, PEMERIKSAAN AN. SUWANDI (17/10)</t>
  </si>
  <si>
    <t>INV NO. 3059, PEMERIKSAAN AN. LAILIDA (17/10)</t>
  </si>
  <si>
    <t>INV NO. 3052, PEMERIKSAAN AN. KASDI JAMAN (17/10)</t>
  </si>
  <si>
    <t>INV NO. 3118, PEMERIKSAAN AN. M ARIF (17/10)</t>
  </si>
  <si>
    <t>INV NO. 3192, PEMERIKSAAN AN. RUKANAH (17/10)</t>
  </si>
  <si>
    <t>INV NO. 3238, PEMERIKSAAN AN. ANDIK PRIYO DAN GUSTI ZACHRAH (17/10)</t>
  </si>
  <si>
    <t>INV NO. 2976A, PEMERIKSAAN AN. FENNY BERLIANTI (17/10)</t>
  </si>
  <si>
    <t>INV NO. 3322, PEMERIKSAAN AN. MALIK RIANTO (17/10)</t>
  </si>
  <si>
    <t>INV NO. 3323, PEMERIKSAAN AN. MUHAMMAD RIZKY (17/10)</t>
  </si>
  <si>
    <t>INV NO. 3444, PEMERIKSAAN AN. AGUS SETIAWAN (17/10)</t>
  </si>
  <si>
    <t>INV NO. 3449, PEMERIKSAAN AN. NUR AZIZAH (17/10)</t>
  </si>
  <si>
    <t>INV NO. 3596, PEMERIKSAAN AN. HERLINAWATI (17/10)</t>
  </si>
  <si>
    <t>INV NO. 3619, PEMERIKSAAN AN. FATHIMA (17/10)</t>
  </si>
  <si>
    <t>INV NO. 3618, PEMERIKSAAN AN. ELSETIAWATI (17/10)</t>
  </si>
  <si>
    <t>INV NO. 3617, PEMERIKSAAN AN. SANU (17/10)</t>
  </si>
  <si>
    <t>INV NO. 3616, PEMERIKSAAN AN. SUGIONO (17/10)</t>
  </si>
  <si>
    <t>INV NO. 3569, PEMERIKSAAN AN. RAHMAT KARSONO (17/10)</t>
  </si>
  <si>
    <t>INV NO. 3675, PEMERIKSAAN AN. RUSDI DAN SUYONO (17/10)</t>
  </si>
  <si>
    <t>INV NO. 3658, PEMERIKSAAN AN. RINITA WAHYUNI DAN JAUHAR LATIFAH (17/10)</t>
  </si>
  <si>
    <t>INV NO. 4244 (18/10)</t>
  </si>
  <si>
    <t>INV NO. 4826 (18/10)</t>
  </si>
  <si>
    <t>INV NO. 5082 (18/10)</t>
  </si>
  <si>
    <t>INV NO. 5345 (18/10)</t>
  </si>
  <si>
    <t>INV NO. 7264 (18/10)</t>
  </si>
  <si>
    <t>INV NO. 8036 (18/10)</t>
  </si>
  <si>
    <t>INV NO. 5469 (18/10)</t>
  </si>
  <si>
    <t>INV NO. 90541 (18/10)</t>
  </si>
  <si>
    <t>INV NO. 90156 (07/10)</t>
  </si>
  <si>
    <t>PELUNASAN INV NO. 493, PEMBELIAN CTG FETAL MONITOR BT-350 (14/05)</t>
  </si>
  <si>
    <t>INV NO. 3040 (04/09)</t>
  </si>
  <si>
    <t>CICILAN TAHAP 22 LAMPU OPERASI 2 DOUBLE HEAD</t>
  </si>
  <si>
    <t>INV NO. 5793 (21/10)</t>
  </si>
  <si>
    <t>INV NO. 5871 (21/10)</t>
  </si>
  <si>
    <t xml:space="preserve">INV NO. 1976 (21/10), 111 (RETUR) DAN RETUR LAIN </t>
  </si>
  <si>
    <t>INV NO. 1012 (21/10)</t>
  </si>
  <si>
    <t>INV NO. 3014 (21/10)</t>
  </si>
  <si>
    <t>INV NO. 0001 (21/10)</t>
  </si>
  <si>
    <t>INV NO. 1450 (23/10)</t>
  </si>
  <si>
    <t>INV NO. 1120 (23/10)</t>
  </si>
  <si>
    <t>INV NO. 1116 (23/10)</t>
  </si>
  <si>
    <t>INV NO. 2993 (23/10)</t>
  </si>
  <si>
    <t>INV NO. 4180 (23/10)</t>
  </si>
  <si>
    <t>INV NO. 8968 (23/10)</t>
  </si>
  <si>
    <t>INV NO. 8965 (17/10)</t>
  </si>
  <si>
    <t>INV NO. 8995 (23/10)</t>
  </si>
  <si>
    <t>INV NO. 1025 (23/10)</t>
  </si>
  <si>
    <t>INV NO. 2669 (23/10)</t>
  </si>
  <si>
    <t>MA-0038</t>
  </si>
  <si>
    <t>INV NO. 1503 (24/10)</t>
  </si>
  <si>
    <t>CK-0030</t>
  </si>
  <si>
    <t>CK-0031</t>
  </si>
  <si>
    <t>INV NO. 734, BIAYA FOTOCOPY RS SAMS PER AGUSTUS 2025 (25/10)</t>
  </si>
  <si>
    <t>AP-0030</t>
  </si>
  <si>
    <t>AP-0031</t>
  </si>
  <si>
    <t>INV NO. 78, PEMBELIAN ALAT TULIS KANTOR PER OKTOBER 2025 (27/10)</t>
  </si>
  <si>
    <t>PEMB DETERGEN OPERASIONAL LOUNDRY, CS DAN RUMAH TANGGA PER OKTOBER 2025(13/10)</t>
  </si>
  <si>
    <t>BIAYA PEMAKAIAN AIR GALON PER OKTOBER 2025 (27/10)</t>
  </si>
  <si>
    <t>INV NO. 7518 (28/10)</t>
  </si>
  <si>
    <t>INV NO. 0008 (28/10)</t>
  </si>
  <si>
    <t>INV NO. 0029 (28/10)</t>
  </si>
  <si>
    <t>INV NO. 0022 (28/10)</t>
  </si>
  <si>
    <t>INV NO. 0028 (28/10)</t>
  </si>
  <si>
    <t>INV NO. 0002 (28/10)</t>
  </si>
  <si>
    <t>INV NO. 0009 (28/10)</t>
  </si>
  <si>
    <t>INV NO. 0016 (28/10)</t>
  </si>
  <si>
    <t>INV NO. 7441 (28/10)</t>
  </si>
  <si>
    <t>INV NO. 9845 (28/10)</t>
  </si>
  <si>
    <t>INV NO. 7447 (28/10)</t>
  </si>
  <si>
    <t>INV NO. 7544 (28/10)</t>
  </si>
  <si>
    <t>INV NO. 8762 (28/10)</t>
  </si>
  <si>
    <t>INV NO. 2560 (28/10)</t>
  </si>
  <si>
    <t>INV NO. 2774 (28/10)</t>
  </si>
  <si>
    <t>INV NO. 7446 (28/10)</t>
  </si>
  <si>
    <t>INV NO. 6783 (28/10)</t>
  </si>
  <si>
    <t>INV NO. 6856 (28/10)</t>
  </si>
  <si>
    <t>INV NO. 6858 (28/10)</t>
  </si>
  <si>
    <t>INV NO. 2437 (28/10)</t>
  </si>
  <si>
    <t>INV NO. 40478 (30/10)</t>
  </si>
  <si>
    <t>INV NO. 50946 (30/10)</t>
  </si>
  <si>
    <t>INV NO. 1833 (31/10)</t>
  </si>
  <si>
    <t>INV NO. 3722, PEMERIKSAAN AN. SALSA FARIDAH DAN ERIS AMAL (28/10)</t>
  </si>
  <si>
    <t>INV NO. 3779, PEMERIKSAAN AN. YUANTATRA (28/10)</t>
  </si>
  <si>
    <t>INV NO. 3781, PEMERIKSAAN AN. WIWIN YUSLIANA (28/10)</t>
  </si>
  <si>
    <t>INV NO. 3890, PEMERIKSAAN AN. HERLINA DAN RUSI (28/10)</t>
  </si>
  <si>
    <t>INV NO. 3936, PEMERIKSAAN AN. ACHMAD YANI (28/10)</t>
  </si>
  <si>
    <t>INV NO. 4017, PEMERIKSAAN AN. SHANTY ARDHANA DAN ABDUL KARIM (28/10)</t>
  </si>
  <si>
    <t>CICILAN II INSTALASI OKSIGEN SENTRAL GAS MEDIS (09/05)</t>
  </si>
  <si>
    <t>NA-0035</t>
  </si>
  <si>
    <t>INV NO. 436, BIAYA PEMERIKSAAN LABORATORIUM PER OKTOBER 2025 (03/11)</t>
  </si>
  <si>
    <t>BIAYA CETAKAN PER OKTOBER 2025 (04/11)</t>
  </si>
  <si>
    <t>INV NO. 0010 (04/11)</t>
  </si>
  <si>
    <t>INV NO. 6294 (04/11)</t>
  </si>
  <si>
    <t>INV NO. 6295 (04/11)</t>
  </si>
  <si>
    <t>INV NO. 10098 (04/11)</t>
  </si>
  <si>
    <t>INV NO. 10221 (04/11)</t>
  </si>
  <si>
    <t>INV NO. 10360 (04/11)</t>
  </si>
  <si>
    <t>INV NO. 10513 (04/11)</t>
  </si>
  <si>
    <t>INV NO. 10813 (04/11)</t>
  </si>
  <si>
    <t>INV NO. 10099 (04/11)</t>
  </si>
  <si>
    <t>INV NO. 10222 (04/11)</t>
  </si>
  <si>
    <t>INV NO. 1975 (04/11)</t>
  </si>
  <si>
    <t>INV NO. 2409 (04/11)</t>
  </si>
  <si>
    <t>INV NO. 2550 (04/11)</t>
  </si>
  <si>
    <t>INV NO. 3409 (04/11)</t>
  </si>
  <si>
    <t>INV NO. 3505 (04/11)</t>
  </si>
  <si>
    <t>INV NO. 3543 (04/11)</t>
  </si>
  <si>
    <t>INV NO. 3545 (04/11)</t>
  </si>
  <si>
    <t>INV NO. 2136 (04/11)</t>
  </si>
  <si>
    <t>PM-0035</t>
  </si>
  <si>
    <t>INV NO. 401, BIAYA PEMAKAIAN DARAH PMI PER OKTOBER 2025 (06/11)</t>
  </si>
  <si>
    <t>INV NO. 1900 (06/11)</t>
  </si>
  <si>
    <t>BIAYA CETAKAN PER NOPEMBER 2025 (06/11)</t>
  </si>
  <si>
    <t>INV NO. 3160 (06/11)</t>
  </si>
  <si>
    <t>INV NO. 3389 (06/11), 5112 (RETUR)</t>
  </si>
  <si>
    <t>INV NO. 3370 (06/11), 5109 (RETUR)</t>
  </si>
  <si>
    <t>INV NO. 3406 (06/11), 5111, 5108 (RETUR)</t>
  </si>
  <si>
    <t>PEMB SENG SPANDEK, CANAL, RENG BAJA DLL (10/11)</t>
  </si>
  <si>
    <t>PEMB DETERGEN OPERASIONAL LOUNDRY, CS DAN RUMAH TANGGA PER NOPEMBER 2025(10/11)</t>
  </si>
  <si>
    <t>INV NO. 817, BIAYA FOTOCOPY RS SAMS PER SEPTEMBER 2025 (25/10)</t>
  </si>
  <si>
    <t>PELUNASAN INV NO. 1707 (10/07)</t>
  </si>
  <si>
    <t>BIAYA CETAKAN PER JUNI 2025 (19/06)</t>
  </si>
  <si>
    <t>INV NO. 0011 (11/11)</t>
  </si>
  <si>
    <t>INV NO. 0012 (11/11)</t>
  </si>
  <si>
    <t>INV NO. 0013 (11/11)</t>
  </si>
  <si>
    <t>INV NO. 7137 (11/11)</t>
  </si>
  <si>
    <t>INV NO. 7138 (11/11)</t>
  </si>
  <si>
    <t>INV NO. 8553 (11/11)</t>
  </si>
  <si>
    <t>INV NO. 288 (11/11)</t>
  </si>
  <si>
    <t>INV NO. 318 (11/11)</t>
  </si>
  <si>
    <t>INV NO. 364 (11/11)</t>
  </si>
  <si>
    <t>INV NO. 6954 (11/11)</t>
  </si>
  <si>
    <t>INV NO. 6955 (11/11)</t>
  </si>
  <si>
    <t>INV NO. 6957 (11/11)</t>
  </si>
  <si>
    <t>INV NO. 6967 (11/11)</t>
  </si>
  <si>
    <t>INV NO. 6968 (11/11)</t>
  </si>
  <si>
    <t>INV NO. 6969 (11/11)</t>
  </si>
  <si>
    <t>INV NO. 6970 (11/11)</t>
  </si>
  <si>
    <t>INV NO. 7001 (11/11)</t>
  </si>
  <si>
    <t>INV NO. 7037 (11/11)</t>
  </si>
  <si>
    <t>INV NO. 7099 (11/11)</t>
  </si>
  <si>
    <t>INV NO. 7100 (11/11)</t>
  </si>
  <si>
    <t>INV NO. 7101 (11/11)</t>
  </si>
  <si>
    <t>INV NO. 7102 (11/11)</t>
  </si>
  <si>
    <t>INV NO. 7103 (11/11)</t>
  </si>
  <si>
    <t>INV NO. 94 (11/11)</t>
  </si>
  <si>
    <t>INV NO. 110 (11/11)</t>
  </si>
  <si>
    <t>INV NO. 125 (11/11)</t>
  </si>
  <si>
    <t>INV NO. 185 (11/11)</t>
  </si>
  <si>
    <t>INV NO. 0001 (11/11)</t>
  </si>
  <si>
    <t>INV NO. 8180 (13/11)</t>
  </si>
  <si>
    <t>INV NO. 8715 (13/11)</t>
  </si>
  <si>
    <t>INV NO. 70804 (13/11)</t>
  </si>
  <si>
    <t>INV NO. 7518 (13/11)</t>
  </si>
  <si>
    <t>INV NO. 236 (13/11)</t>
  </si>
  <si>
    <t>INV NO. 258 (13/11)</t>
  </si>
  <si>
    <t>PF-0021</t>
  </si>
  <si>
    <t>INV NO. 1033, BIAYA PEMBELIAN TISSU RS SAMS PER OKTOBER 2025 (13/11)</t>
  </si>
  <si>
    <t>INV NO. 8261 (13/11)</t>
  </si>
  <si>
    <t>INV NO. 8282 (13/11)</t>
  </si>
  <si>
    <t>INV NO. 8568 (13/11)</t>
  </si>
  <si>
    <t>INV NO. 7197 (13/11)</t>
  </si>
  <si>
    <t>INV NO. 7148 (13/11)</t>
  </si>
  <si>
    <t>INV NO. 7127 (13/11)</t>
  </si>
  <si>
    <t>INV NO. 7216 (13/11)</t>
  </si>
  <si>
    <t>INV NO. 2203 (13/11)</t>
  </si>
  <si>
    <t>INV NO. 2205 (13/11)</t>
  </si>
  <si>
    <t>INV NO. 2221 (13/11)</t>
  </si>
  <si>
    <t>INV NO. 900/11222, PEMERIKSAAN LAB OKTOBER 2025 (13/11)</t>
  </si>
  <si>
    <t>MA-0039</t>
  </si>
  <si>
    <t>MA-0040</t>
  </si>
  <si>
    <t>INV NO. 1606 (15/11)</t>
  </si>
  <si>
    <t>INV NO. 1607 (15/11)</t>
  </si>
  <si>
    <t>BJ-0035</t>
  </si>
  <si>
    <t>INV NO. 061, BIAYA SEWA GENSET RS SAMS PER OKTOBER 2025 (15/11)</t>
  </si>
  <si>
    <t>INV NO. 2623 (18/11)</t>
  </si>
  <si>
    <t>INV NO. 7802 (20/11)</t>
  </si>
  <si>
    <t>INV NO. 7859 (20/11)</t>
  </si>
  <si>
    <t>INV NO. 60656 (20/11)</t>
  </si>
  <si>
    <t>INV NO. 4140 (20/11)</t>
  </si>
  <si>
    <t>INV NO. 9294 (20/11)</t>
  </si>
  <si>
    <t>INV NO. 820 (20/11)</t>
  </si>
  <si>
    <t>INV NO. 2158 (20/11)</t>
  </si>
  <si>
    <t>INV NO. 2208 (20/11)</t>
  </si>
  <si>
    <t>INV NO. 2340 (20/11)</t>
  </si>
  <si>
    <t>INV NO. 2392 (20/11)</t>
  </si>
  <si>
    <t>INV NO. 2434 (20/11)</t>
  </si>
  <si>
    <t>INV NO. 2474 (20/11)</t>
  </si>
  <si>
    <t>INV NO. 2500 (20/11)</t>
  </si>
  <si>
    <t>INV NO. 9395 (20/11)</t>
  </si>
  <si>
    <t>CICILAN I INV NO. 9180, ONEMED INFANT BUBBLE CPAP (EC) (16/07)</t>
  </si>
  <si>
    <t>INV NO. PP20251031009, PEMERIKSAAN AN. AHMAD HADI, NABIHAH, JESICA GRESIA DLL (21/11)</t>
  </si>
  <si>
    <t>INV NO. 4370, PEMERIKSAAN AN. FITRIANSYAH (21/11)</t>
  </si>
  <si>
    <t>INV NO. 4028, PEMERIKSAAN AN. SUHARNI DAN SAAMAH (21/11)</t>
  </si>
  <si>
    <t>INV NO. 4056, PEMERIKSAAN AN. ASMARA (21/11)</t>
  </si>
  <si>
    <t>INV NO. 4245, PEMERIKSAAN AN. DOSIK FASTONY DAN RAFIZAR ALDRIC (21/11)</t>
  </si>
  <si>
    <t>INV NO. 10011 (25/11)</t>
  </si>
  <si>
    <t>INV NO. 1018 (25/11)</t>
  </si>
  <si>
    <t>INV NO. 4027 (25/11)</t>
  </si>
  <si>
    <t>INV NO. 0001 (25/11)</t>
  </si>
  <si>
    <t>INV NO. 1556, BIAYA PENGIRIMAN INVOICE RS SAMS PER OKTOBER 2025 (25/11)</t>
  </si>
  <si>
    <t>PEMB SENG SPANDEK, CANAL C, SENG BAJA DLL (27/11)</t>
  </si>
  <si>
    <t>BIAYA CETAKAN PER NOPEMBER 2025 (27/11)</t>
  </si>
  <si>
    <t>PENGEMBALIAN KELEBIHAN POTONG RETUR (06/11)</t>
  </si>
  <si>
    <t>BIAYA PEMAKAIAN AIR GALON PER NOVEMBER 2025 (01/12)</t>
  </si>
  <si>
    <t>MA-0041</t>
  </si>
  <si>
    <t>INV NO. 1732 (12/01)</t>
  </si>
  <si>
    <t>INV NO. 8796 (02/12)</t>
  </si>
  <si>
    <t>INV NO. 8820 (02/12)</t>
  </si>
  <si>
    <t>INV NO. 8825 (02/12)</t>
  </si>
  <si>
    <t>INV NO. 9214 (02/12)</t>
  </si>
  <si>
    <t>INV NO. 9225 (02/12)</t>
  </si>
  <si>
    <t>INV NO. 94 (02/12)</t>
  </si>
  <si>
    <t>INV NO. 1476 (02/12)</t>
  </si>
  <si>
    <t>INV NO. 1522 (02/12)</t>
  </si>
  <si>
    <t>INV NO. 10084 (02/12)</t>
  </si>
  <si>
    <t>INV NO. 10516 (02/12)</t>
  </si>
  <si>
    <t>INV NO. 10760 (02/12)</t>
  </si>
  <si>
    <t>INV NO. 6010 (02/12)</t>
  </si>
  <si>
    <t>INV NO. 6265 (02/12)</t>
  </si>
  <si>
    <t>INV NO. 7658 (02/12)</t>
  </si>
  <si>
    <t>INV NO. 9259 (02/12)</t>
  </si>
  <si>
    <t>INV NO. 9433 (02/12)</t>
  </si>
  <si>
    <t>INV NO. 9394 (02/12)</t>
  </si>
  <si>
    <t>INV NO. 20159 (02/12)</t>
  </si>
  <si>
    <t>NA-0036</t>
  </si>
  <si>
    <t>INV NO. 484, PEMERIKSAAN LABORATORIUM PER NOVEMBER 2025 (03/12)</t>
  </si>
  <si>
    <t>INV NO. 6051 (04/12)</t>
  </si>
  <si>
    <t>INV NO. 6052 (04/12)</t>
  </si>
  <si>
    <t>INV NO. 6054 (04/12)</t>
  </si>
  <si>
    <t>INV NO. 6055 (04/12)</t>
  </si>
  <si>
    <t>INV NO. 6056 (04/12)</t>
  </si>
  <si>
    <t>INV NO. 6057 (04/12)</t>
  </si>
  <si>
    <t>INV NO. 6058 (04/12)</t>
  </si>
  <si>
    <t>INV NO. 282 (04/12)</t>
  </si>
  <si>
    <t>INV NO. 5222 (04/12)</t>
  </si>
  <si>
    <t>INV NO. 2916 (04/12)</t>
  </si>
  <si>
    <t>INV NO. 3601 (04/12)</t>
  </si>
  <si>
    <t>INV NO. 3185 (04/12)</t>
  </si>
  <si>
    <t>INV NO. 10269 (09/12)</t>
  </si>
  <si>
    <t>INV NO. 229 (09/12)</t>
  </si>
  <si>
    <t>INV NO. 244 (09/12)</t>
  </si>
  <si>
    <t>INV NO. 345 (09/12)</t>
  </si>
  <si>
    <t>INV NO. 9290 (09/12)</t>
  </si>
  <si>
    <t>INV NO. 9583 (09/12)</t>
  </si>
  <si>
    <t>INV NO. 9618 (09/12)</t>
  </si>
  <si>
    <t>INV NO. 6499 (09/12)</t>
  </si>
  <si>
    <t>INV NO. 4349 (09/12)</t>
  </si>
  <si>
    <t>PEMB BAUT SPANDEK, SEMEN, KERAMIK, BATA MERAH DLL (10/12)</t>
  </si>
  <si>
    <t>INV NO. 4370A, PEMERIKSAAN AN. ARADU PUTRA ANUGRAH (06/12)</t>
  </si>
  <si>
    <t>INV NO. 4456, PEMERIKSAAN AN. JARKASI DAN LA ENI (06/12)</t>
  </si>
  <si>
    <t>PM-0036</t>
  </si>
  <si>
    <t>INV NO. 518, BIAYA PEMAKAIAN DARAH PMI PER NOVEMBER 2025 (03/12)</t>
  </si>
  <si>
    <t>CICILAN III INSTALASI OKSIGEN SENTRAL GAS MEDIS (09/05)</t>
  </si>
  <si>
    <t>CK-0032</t>
  </si>
  <si>
    <t>INV NO. 896, BIAYA FOTOCOPY RS SAMS PER OKTOBER 2025 (09/12)</t>
  </si>
  <si>
    <t>ENDO INDONESIA, PT</t>
  </si>
  <si>
    <t>INV NO. 10196 (09/12)</t>
  </si>
  <si>
    <t>INV NO. 10218 (09/12)</t>
  </si>
  <si>
    <t>INV NO. 1971 (11/12)</t>
  </si>
  <si>
    <t>INV NO. 1918 (11/12)</t>
  </si>
  <si>
    <t>INV NO. 3424 (11/12)</t>
  </si>
  <si>
    <t>INV NO. 3534 (11/12)</t>
  </si>
  <si>
    <t>INV NO. 200 (11/12)</t>
  </si>
  <si>
    <t>INV NO. 246 (11/12)</t>
  </si>
  <si>
    <t>INV NO. 247 (11/12)</t>
  </si>
  <si>
    <t>INV NO. 5373 (11/12)</t>
  </si>
  <si>
    <t>INV NO. 6100 (11/12)</t>
  </si>
  <si>
    <t>INV NO. 900/12448, PEMERIKSAAN LAB NOVEMBER 2025 (11/12)</t>
  </si>
  <si>
    <t>MA-0042</t>
  </si>
  <si>
    <t>INV NO. 1810 (13/12)</t>
  </si>
  <si>
    <t>INV NO. 1714, BIAYA PENGIRIMAN INVOICE PER NOVEMBER 2025 (13/12)</t>
  </si>
  <si>
    <t>PEMB KABEL SUPREME, PAKU BETON, PIPA PVC (16/12)</t>
  </si>
  <si>
    <t>AP-0032</t>
  </si>
  <si>
    <t>INV NO. 79, PEMBELIAN ALAT TULIS KANTOR PER NOPEMBER 2025 (16/12)</t>
  </si>
  <si>
    <t>INV NO. 2593 (16/12)</t>
  </si>
  <si>
    <t>INV NO. 2786 (16/12)</t>
  </si>
  <si>
    <t>INV NO. 2944 (16/12)</t>
  </si>
  <si>
    <t>INV NO. 1935 (18/12)</t>
  </si>
  <si>
    <t>INV NO. 9491 (18/12)</t>
  </si>
  <si>
    <t>INV NO. 7189 (18/12)</t>
  </si>
  <si>
    <t>INV NO. 1338 (18/12)</t>
  </si>
  <si>
    <t>INV NO. 1339 (18/12)</t>
  </si>
  <si>
    <t>ALEXA MEDIKA, PT</t>
  </si>
  <si>
    <t>INV NO. 1656 (18/12)</t>
  </si>
  <si>
    <t>INV NO. 10996 (18/12)</t>
  </si>
  <si>
    <t>INV NO. 2044 (18/12)</t>
  </si>
  <si>
    <t>INV NO. 20041 (20/12)</t>
  </si>
  <si>
    <t>INV NO. 20064 (20/12)</t>
  </si>
  <si>
    <t>IURAN BPJS KETENAGAKERJAAN RS SAMS PER JULI 2025</t>
  </si>
  <si>
    <t>IURAN BPJS KETENAGAKERJAAN PER AGUSTUS 2025</t>
  </si>
  <si>
    <t>IURAN BPJS KETENAGAKERJAAN PER SEPTEMBER 2025</t>
  </si>
  <si>
    <t>PPH 21 DOKTER BULAN JUNI 2025</t>
  </si>
  <si>
    <t>PPH 21 DOKTER BULAN JULI 2025</t>
  </si>
  <si>
    <t>PPH 21 DOKTER BULAN AGUSTUS 2025</t>
  </si>
  <si>
    <t>PPH 21 DOKTER BULAN SEPTEMBER 2025</t>
  </si>
  <si>
    <t>PPH 21 DOKTER BULAN OKTOBER 2025</t>
  </si>
  <si>
    <t>PPH 21 DOKTER BULAN NOPEMBER 2025</t>
  </si>
  <si>
    <t>PPH 21 KARYAWAN RS SAMS PER JULI 2025</t>
  </si>
  <si>
    <t>PPH 21 KARYAWAN RS SAMS PER AGUSTUS 2025</t>
  </si>
  <si>
    <t>PPH 21 KARYAWAN RS SAMS PER SEPTEMBER 2025</t>
  </si>
  <si>
    <t>PPH 21 KARYAWAN RS SAMS PER OKTOBER 2025</t>
  </si>
  <si>
    <t>PPH 21 KARYAWAN RS SAMS PER NOVEMBER 2025</t>
  </si>
  <si>
    <t>BIAYA PEMAKAIAN AIR GALON PER DESEMBER 2025 (27/12)</t>
  </si>
  <si>
    <t>PEMB VYNYL TACO, LEM KUNING TACO DLL (30/12)</t>
  </si>
  <si>
    <t xml:space="preserve">BUANA INTIPRIMA USAHA </t>
  </si>
  <si>
    <t>INV NO. 20549 (30/12)</t>
  </si>
  <si>
    <t>INV NO. 7316 (30/12)</t>
  </si>
  <si>
    <t>INV NO. 7801 (30/12)</t>
  </si>
  <si>
    <t>INV NO. 1537 (30/12)</t>
  </si>
  <si>
    <t>INV NO. 4523 (30/12)</t>
  </si>
  <si>
    <t>INV NO. 3206 (30/12)</t>
  </si>
  <si>
    <t>INV NO. 3219 (30/12)</t>
  </si>
  <si>
    <t>INV NO. 3237 (30/12), 5546 &amp;5547 (RETUR)</t>
  </si>
  <si>
    <t>MA-0043</t>
  </si>
  <si>
    <t>MA-0044</t>
  </si>
  <si>
    <t>MA-0045</t>
  </si>
  <si>
    <t>MA-0046</t>
  </si>
  <si>
    <t>MA-0047</t>
  </si>
  <si>
    <t>INV NO. 1912 (31/12)</t>
  </si>
  <si>
    <t>INV NO. 1913 (31/12)</t>
  </si>
  <si>
    <t>INV NO. 1914 (31/12)</t>
  </si>
  <si>
    <t>INV NO. 1943 (31/12)</t>
  </si>
  <si>
    <t>INV NO. 1944 (31/12)</t>
  </si>
  <si>
    <t>INV NO. 4540, PEMERIKSAAN AN. MUHAMMAD HUSNI, SUMINI DAN SITI ROMLAH (22/12)</t>
  </si>
  <si>
    <t>INV NO. 4747, PEMERIKSAAN AN. HIKMA TUNISA (22/12)</t>
  </si>
  <si>
    <t>INV NO. 4743, PEMERIKSAAN AN. NUR ALAM DAN SUPARDI (22/12)</t>
  </si>
  <si>
    <t>INV NO. 4684, PEMERIKSAAN AN. JONI GUNAWAN DAN KRAUSIN (22/12)</t>
  </si>
  <si>
    <t>INV NO. 4849, PEMERIKSAAN AN. YETTY SIMON DAN SAMRIA (22/12)</t>
  </si>
  <si>
    <t>BIAYA CETAKAN PER DESEMBER 2025 (18/12)</t>
  </si>
  <si>
    <t>BIAYA CETAKAN PER DESEMBER 2025 (23/12)</t>
  </si>
  <si>
    <t>PEMB DETERGEN OPERASIONAL LOUNDRY, CS DAN RUMAH TANGGA PER DESEMBER 2025(22/12)</t>
  </si>
  <si>
    <t>INV NO. 0009 (23/12)</t>
  </si>
  <si>
    <t>INV NO. 0017 (23/12)</t>
  </si>
  <si>
    <t>BIAYA PEMERIKSAAN LABORATORIUM PER AGUSTUS 2025 (23/12)</t>
  </si>
  <si>
    <t>BIAYA PEMERIKSAAN LABORATORIUM PER OKTOBER 2025 (23/12)</t>
  </si>
  <si>
    <t>INV NO. 1350 (23/12)</t>
  </si>
  <si>
    <t>INV NO. 20168 (23/12)</t>
  </si>
  <si>
    <t>INV NO. 20119 (23/12)</t>
  </si>
  <si>
    <t>INV NO. 20205 (23/12)</t>
  </si>
  <si>
    <t>INV NO. 281 (23/12)</t>
  </si>
  <si>
    <t>INV NO. 2020 (23/12)</t>
  </si>
  <si>
    <t>INV NO. 6002 (23/12)</t>
  </si>
  <si>
    <t>INV NO. 5004 (23/12)</t>
  </si>
  <si>
    <t>INV NO. 4031 (23/12)</t>
  </si>
  <si>
    <t>INV NO. 1452 (23/12)</t>
  </si>
  <si>
    <t>INV NO. 1211 (23/12)</t>
  </si>
  <si>
    <t>INV NO. 20073 (23/12)</t>
  </si>
  <si>
    <t>INV NO. 20106 (23/12)</t>
  </si>
  <si>
    <t>INV NO. 20107 (23/12)</t>
  </si>
  <si>
    <t>INV NO. 20178 (23/12)</t>
  </si>
  <si>
    <t>INV NO. 20194 (23/12)</t>
  </si>
  <si>
    <t>INV NO. 20263 (23/12)</t>
  </si>
  <si>
    <t>INV NO. 20268 (23/12)</t>
  </si>
  <si>
    <t>INV NO. 20377 (23/12)</t>
  </si>
  <si>
    <t>INV NO. 5947 (03/01)</t>
  </si>
  <si>
    <t>INV NO. 4883, PEMERIKSAAN AN. ATHAYA MIFTITAHUL,  ISRANDO, FADILLAH DLL (03/01)</t>
  </si>
  <si>
    <t>INV NO. 4884, PEMERIKSAAN AN. ANDIK PRIYONO (03/01)</t>
  </si>
  <si>
    <t>INV NO. 4938, PEMERIKSAAN AN. ERAWATY, LAMSIAH DAN DIAN SUKMA (03/01)</t>
  </si>
  <si>
    <t>INV NO. 4972, PEMERIKSAAN AN. SUPARDI, NOOR ANSHORI, CAHYATI DLL (03/01)</t>
  </si>
  <si>
    <t>INV NO. 061 (06/01)</t>
  </si>
  <si>
    <t>INV NO. 065 (06/01)</t>
  </si>
  <si>
    <t>INV NO. 064 (06/01)</t>
  </si>
  <si>
    <t>INV NO. 274 (06/01)</t>
  </si>
  <si>
    <t>INV NO. 345 (06/01)</t>
  </si>
  <si>
    <t>INV NO. 2872 (06/01)</t>
  </si>
  <si>
    <t>INV NO. 2873 (06/01)</t>
  </si>
  <si>
    <t>INV NO. 2880 (06/01)</t>
  </si>
  <si>
    <t>INV NO. 2891 (06/01)</t>
  </si>
  <si>
    <t>INV NO. PP20251231008, PEMERIKSAAN AN. RENY OCTARINA, NURKANDI, MEIRINA DLL (07/01)</t>
  </si>
  <si>
    <t>NA-0037</t>
  </si>
  <si>
    <t>INV NO. 525, PEMERIKSAAN LABORATORIUM PER DESEMBER 2025 (07/01)</t>
  </si>
  <si>
    <t>INV NO. 5243 (08/01)</t>
  </si>
  <si>
    <t>INV NO. 5244 (08/01)</t>
  </si>
  <si>
    <t>INV NO. 5245 (08/01)</t>
  </si>
  <si>
    <t>INV NO. 5246 (08/01)</t>
  </si>
  <si>
    <t>INV NO. 5247 (08/01)</t>
  </si>
  <si>
    <t>INV NO. 5248 (08/01)</t>
  </si>
  <si>
    <t>INV NO. 5249 (08/01)</t>
  </si>
  <si>
    <t>INV NO. 5250 (08/01)</t>
  </si>
  <si>
    <t>INV NO. 5251 (08/01)</t>
  </si>
  <si>
    <t>INV NO. 5253 (08/01)</t>
  </si>
  <si>
    <t>INV NO. 20758 (10/01)</t>
  </si>
  <si>
    <t>INV NO. 864 (14/01)</t>
  </si>
  <si>
    <t>INV NO. 625 (14/01)</t>
  </si>
  <si>
    <t>CICILAN II INV NO. 9180, ONEMED INFANT BUBBLE CPAP (EC) (16/07)</t>
  </si>
  <si>
    <t>CICILAN TAHAP 23 LAMPU OPERASI 2 DOUBLE HEAD</t>
  </si>
  <si>
    <t>INV NO. 117, BIAYA PENGIRIMAN INVOICE RS SAMS PER DESEMBER 2025 (12/01)</t>
  </si>
  <si>
    <t>INV NO. 1209, PEMBELIAN TISSU RS SAMS PER DESEMBER 2025 (13/01)</t>
  </si>
  <si>
    <t>INV NO. 2389 (13/01)</t>
  </si>
  <si>
    <t>INV NO. 2874 (13/01)</t>
  </si>
  <si>
    <t>INV NO. 2335 (13/01)</t>
  </si>
  <si>
    <t>INV NO. 2875 (13/01)</t>
  </si>
  <si>
    <t>INV NO. 1156 (13/01)</t>
  </si>
  <si>
    <t>INV NO. 1157 (13/01)</t>
  </si>
  <si>
    <t>INV NO. 1159 (13/01)</t>
  </si>
  <si>
    <t>INV NO. 1208 (13/01)</t>
  </si>
  <si>
    <t>INV NO. 1252 (13/01)</t>
  </si>
  <si>
    <t>INV NO. 1256 (13/01)</t>
  </si>
  <si>
    <t>INV NO. 934 (14/01)</t>
  </si>
  <si>
    <t>INV NO. 986 (14/01)</t>
  </si>
  <si>
    <t>INV NO. 20729 (15/01)</t>
  </si>
  <si>
    <t>PM-0037</t>
  </si>
  <si>
    <t>INV NO. 26, BIAYA PEMAKAIAN DARAH PMI PER DESEMBER 2025 (14/01)</t>
  </si>
  <si>
    <t>INV NO. 168 (15/01)</t>
  </si>
  <si>
    <t>INV NO. 21 (15/01)</t>
  </si>
  <si>
    <t>INV NO. 5440 (15/01)</t>
  </si>
  <si>
    <t>INV NO. 5443 (15/01)</t>
  </si>
  <si>
    <t>INV NO. 5596 (15/01)</t>
  </si>
  <si>
    <t>INV NO. 5602 (15/01)</t>
  </si>
  <si>
    <t>INVNO. 40608 (15/01)</t>
  </si>
  <si>
    <t>INV NO. 40634 (15/01)</t>
  </si>
  <si>
    <t>INV NO. 40657 (15/01)</t>
  </si>
  <si>
    <t>INV NO. 40694 (15/01)</t>
  </si>
  <si>
    <t>INV NO. 6580 (15/01)</t>
  </si>
  <si>
    <t>INV NO. 9154 (15/01)</t>
  </si>
  <si>
    <t>INV NO. 9165 (15/01)</t>
  </si>
  <si>
    <t>INV NO. 9291 (15/01)</t>
  </si>
  <si>
    <t>INV NO. 9674 (15/01)</t>
  </si>
  <si>
    <t>INV NO. 3273 (15/01)</t>
  </si>
  <si>
    <t>INV NO. 3566 (15/01)</t>
  </si>
  <si>
    <t>BJ-0036</t>
  </si>
  <si>
    <t>INV NO. 006, BIAYA SEWA GENSET RS SAMS PER DESEMBER 2025 (19/01)</t>
  </si>
  <si>
    <t>MA-0048</t>
  </si>
  <si>
    <t>INV NO. 023 (19/01)</t>
  </si>
  <si>
    <t>BJ-0037</t>
  </si>
  <si>
    <t>BIAYA CETAKAN PER JANUARI 2026 (20/01)</t>
  </si>
  <si>
    <t>BIAYA CETAKAN PER JANUARI 2026 (10/01)</t>
  </si>
  <si>
    <t>INV NO. 318 (20/01)</t>
  </si>
  <si>
    <t>CK-0033</t>
  </si>
  <si>
    <t>INV NO. 987, BIAYA FOTOCOPY RS SAMS PER NOVEMBER 2025 (20/01)</t>
  </si>
  <si>
    <t>2026 Total</t>
  </si>
  <si>
    <t>INV NO. 069, BIAYA SEWA GENSET RS SAMS PER NOPEMBER 2025 (19/12)</t>
  </si>
  <si>
    <t>COD BATAL (10/01)</t>
  </si>
  <si>
    <t>CICILAN INV NO. 3557 (15/01)</t>
  </si>
  <si>
    <t>PELUNASAN INV NO. 3557 (15/01)</t>
  </si>
  <si>
    <t>PEMB DETERGEN OPERASIONAL LOUNDRY, CS DAN RUMAH TANGGA PER JANUARI 2026 (21/01)</t>
  </si>
  <si>
    <t>INV NO. 21 (22/01)</t>
  </si>
  <si>
    <t>INV NO. 56 (22/01)</t>
  </si>
  <si>
    <t>INV NO. 57 (22/01)</t>
  </si>
  <si>
    <t>INV NO. 346 (22/01)</t>
  </si>
  <si>
    <t xml:space="preserve">KEBAYORAN, PT </t>
  </si>
  <si>
    <t>KEBAYORAN</t>
  </si>
  <si>
    <t>INV NO. 502 (24/01)</t>
  </si>
  <si>
    <t>INV NO. 3982 (27/01)</t>
  </si>
  <si>
    <t>INV NO. 3983 (27/01)</t>
  </si>
  <si>
    <t>INV NO. 3987 (27/01)</t>
  </si>
  <si>
    <t>INV NO. 3988 (27/01)</t>
  </si>
  <si>
    <t>INV NO. 0012 (27/01)</t>
  </si>
  <si>
    <t>INV NO. 1108 (27/01)</t>
  </si>
  <si>
    <t>INV NO. 1117 (27/01)</t>
  </si>
  <si>
    <t>BIAYA PEMAKAIAN AIR GALON PER JANUARI 2026 (27/01)</t>
  </si>
  <si>
    <t>INV NO. 741 (27/01)</t>
  </si>
  <si>
    <t>INV NO. 180 (29/01)</t>
  </si>
  <si>
    <t>INV NO. 10001 (29/01)</t>
  </si>
  <si>
    <t>INV NO. 4621, PEMERIKSAAN AN. SAPRIANAWATI (30/01)</t>
  </si>
  <si>
    <t>BIAYA CETAKAN PER JANUARI 2026 (31/01)</t>
  </si>
  <si>
    <t>INV NO. 1744 (31/01)</t>
  </si>
  <si>
    <t>INV NO. 2025 (31/01)</t>
  </si>
  <si>
    <t>INV NO. 1726 (31/01)</t>
  </si>
  <si>
    <t>INV NO. 122 (29/01), PEMBELIAN TISSU</t>
  </si>
  <si>
    <t>INV NO. 310 (20/01)</t>
  </si>
  <si>
    <t>IURAN BPJS KETENAGAKERJAAN PER OKTOBER 2025</t>
  </si>
  <si>
    <t>PPH 21 KARYAWAN  BULAN JANUARI 2026</t>
  </si>
  <si>
    <t xml:space="preserve">   JASMED P. BPJS BULAN NOPEMBER 2025</t>
  </si>
  <si>
    <t>ADHWA GEMILANG</t>
  </si>
  <si>
    <t>BIAYA CATERING PASIEN RS SAMS PER DESEMBER 2025</t>
  </si>
  <si>
    <t>ETAM MANDIRI</t>
  </si>
  <si>
    <t>PEMBELIAN MEJA OPERASI</t>
  </si>
  <si>
    <t>LAWSIM ZECHA, PT</t>
  </si>
  <si>
    <t>INV NO. 270 (10/02)</t>
  </si>
  <si>
    <t>INV NO. 219 (03/02)</t>
  </si>
  <si>
    <t>INV NO. 232 (03/02)</t>
  </si>
  <si>
    <t>INV NO. 130 (03/02)</t>
  </si>
  <si>
    <t>INV NO. 3306 (03/02)</t>
  </si>
  <si>
    <t>INV NO. PP20260131005, PEMERIKSAAN PASIEN AN. RUSLAN, TEGUH, NABILA DLL (04/02)</t>
  </si>
  <si>
    <t>NA-0038</t>
  </si>
  <si>
    <t>INV NO. 15, PEMERIKSAAN LAB PER JANUARI 2026 (04/02)</t>
  </si>
  <si>
    <t>INV NO. 042 (04/02)</t>
  </si>
  <si>
    <t>INV NO. 5525 (05/02)</t>
  </si>
  <si>
    <t>INV NO. 5526 (05/02), 162 (RETUR)</t>
  </si>
  <si>
    <t>INV NO. 5527 (05/02)</t>
  </si>
  <si>
    <t>INV NO. 10165 (05/02)</t>
  </si>
  <si>
    <t>INV NO. 79 (10/02)</t>
  </si>
  <si>
    <t>INV NO. 80 (10/02)</t>
  </si>
  <si>
    <t>INV NO. 372 (10/02)</t>
  </si>
  <si>
    <t>INV NO. 127 (10/02)</t>
  </si>
  <si>
    <t>INV NO. 1218 (10/02), 1414 (RETUR)</t>
  </si>
  <si>
    <t>INV NO. 1240 (10/02)</t>
  </si>
  <si>
    <t>INV NO. 1378 (10/02)</t>
  </si>
  <si>
    <t>INV NO. 1412 (10/02)</t>
  </si>
  <si>
    <t>INV NO. 1480 (10/02)</t>
  </si>
  <si>
    <t>INV NO. 1502 (10/02)</t>
  </si>
  <si>
    <t>INV NO. 8012 (10/02)</t>
  </si>
  <si>
    <t>INV NO, 5025 (10/02)</t>
  </si>
  <si>
    <t>INV NO. 2021 (10/02)</t>
  </si>
  <si>
    <t>INV NO. 126 (10/02)</t>
  </si>
  <si>
    <t>INV NO. 1418 (10/02)</t>
  </si>
  <si>
    <t>INV NO. 211 (10/02)</t>
  </si>
  <si>
    <t>INV NO. 1379 (10/02)</t>
  </si>
  <si>
    <t>CICILAN IV INSTALASI OKSIGEN SENTRAL GAS MEDIS (09/05)</t>
  </si>
  <si>
    <t>PEMB JET SHOWER, FOOT KLEP (11/02)</t>
  </si>
  <si>
    <t>INV NO. 900/781, PEMERIKSAAN LAB SEPTEMBER 2025 (11/02)</t>
  </si>
  <si>
    <t>INV NO. 289 (12/02)</t>
  </si>
  <si>
    <t>INV NO. 293 (12/02)</t>
  </si>
  <si>
    <t>INV NO. 231 (12/02), 1349 (RETUR)</t>
  </si>
  <si>
    <t>INV NO. 5241 (12/02)</t>
  </si>
  <si>
    <t>INV NO. 6023 (12/02)</t>
  </si>
  <si>
    <t>INV NO. 4877 (12/02)</t>
  </si>
  <si>
    <t>INV NO. 4252 (12/02)</t>
  </si>
  <si>
    <t>INV NO. 4253 (12/02)</t>
  </si>
  <si>
    <t>INV NO. 8657 (12/02)</t>
  </si>
  <si>
    <t>INV NO. 4876 (12/02)</t>
  </si>
  <si>
    <t>INV NO. 9209 (12/02)</t>
  </si>
  <si>
    <t>INV NO. 70394 (12/02)</t>
  </si>
  <si>
    <t>INV NO. 70393 (12/02)</t>
  </si>
  <si>
    <t>INV NO. 2915 (12/02)</t>
  </si>
  <si>
    <t>INV NO. 288, BIAYA PENGIRIMAN INVOICE RS SAMS PER JANUARI 2026 (12/02)</t>
  </si>
  <si>
    <t>INV NO. 900/2308, PEMERIKSAAN LAB JANUARI 2026 (13/02)</t>
  </si>
  <si>
    <t>MA-0049</t>
  </si>
  <si>
    <t>MA-0050</t>
  </si>
  <si>
    <t>INV NO. 117 (13/02)</t>
  </si>
  <si>
    <t>INV NO. 116 (13/02)</t>
  </si>
  <si>
    <t>INV NO. 80, PEMBELIAN ALAT TULIS KANTOR PER JANUARI 2026 (16/02)</t>
  </si>
  <si>
    <t>INV NO. 1033, DOUBLE BAYAR (13/11)</t>
  </si>
  <si>
    <t>PF-0022</t>
  </si>
  <si>
    <t>LEBIH BAYAR 20/12/25 (13/11)</t>
  </si>
  <si>
    <t>PF-0023</t>
  </si>
  <si>
    <t>BIAYA CATERING PASIEN RS SAMS PER JANUARI 2026</t>
  </si>
  <si>
    <t>INV NO. 2598 (08/01), 9308 (RETUR)</t>
  </si>
  <si>
    <t>MA-0051</t>
  </si>
  <si>
    <t>MA-0052</t>
  </si>
  <si>
    <t>INV NO. 163 (18/02)</t>
  </si>
  <si>
    <t>INV NO. 164 (18/02)</t>
  </si>
  <si>
    <t>INV NO. 10029 (19/02)</t>
  </si>
  <si>
    <t>PM-0038</t>
  </si>
  <si>
    <t>INV NO. 59, BIAYA PEMAKAIAN DARAH PMI PER JANUARI 2026 (19/02)</t>
  </si>
  <si>
    <t>INV NO. 103, PEMBELIAN TISSU RS SAMS PER FEBRUARI 2026 (19/02)</t>
  </si>
  <si>
    <t>INV NO. 4573 (19/02)</t>
  </si>
  <si>
    <t>INV NO. 20762 (19/02)</t>
  </si>
  <si>
    <t>INV NO. 9361 I, PEMB MONITOR LED (30/01)</t>
  </si>
  <si>
    <t>INV NO. 9361 II, PEMB KERTAS A4 75GR DAN MOUSE PAD (30/01)</t>
  </si>
  <si>
    <t>INV NO. 9430 I, PEMB PRINTER BROTHER T-220 (30/01)</t>
  </si>
  <si>
    <t>INV NO. 9430 II, PEMB PLASTIK LAMINATING SECURE (30/01)</t>
  </si>
  <si>
    <t>BIAYA CETAKAN PER SEPTEMBER 2025 (30/09)</t>
  </si>
  <si>
    <t>INV NO. 7517 (21/02)</t>
  </si>
  <si>
    <t>INV NO. 7286 (21/02)</t>
  </si>
  <si>
    <t>INV NO. 6982 (21/02)</t>
  </si>
  <si>
    <t>BJ-0038</t>
  </si>
  <si>
    <t>INV NO. 013, BIAYA SEWA GENSET RS SAMS PER JANUARI 2026 (21/02)</t>
  </si>
  <si>
    <t>INV NO. 0002 (24/02)</t>
  </si>
  <si>
    <t>INV NO. 0011 (24/02)</t>
  </si>
  <si>
    <t>INV NO. 19802 (24/02)</t>
  </si>
  <si>
    <t>INV NO. 2009 (24/02)</t>
  </si>
  <si>
    <t>INV NO. 2014 (24/02)</t>
  </si>
  <si>
    <t>INV NO. 2029 (24/02)</t>
  </si>
  <si>
    <t>INV NO. 2106 (24/02)</t>
  </si>
  <si>
    <t>INV NO. 225 (24/02)</t>
  </si>
  <si>
    <t>INV NO. 1331 (24/02)</t>
  </si>
  <si>
    <t>INV NO. 1651 (24/02)</t>
  </si>
  <si>
    <t>INV NO. 1434 (24/02)</t>
  </si>
  <si>
    <t>INV NO. 1961 (24/02)</t>
  </si>
  <si>
    <t>INV NO. 1962 (24/02)</t>
  </si>
  <si>
    <t>INV NO. 2126 (24/02)</t>
  </si>
  <si>
    <t>INV NO. 2140 (24/02)</t>
  </si>
  <si>
    <t>INV NO. 2141 (24/02)</t>
  </si>
  <si>
    <t>CK-0034</t>
  </si>
  <si>
    <t>INV NO. 030, BIAYA FOTOCOPY RS SAMS PER DESEMBER 2025 (24/02)</t>
  </si>
  <si>
    <t>DEMAZ NOER ABADI, PT</t>
  </si>
  <si>
    <t>INV NO. 742 (24/02)</t>
  </si>
  <si>
    <t>BIAYA CETAKAN PER FEBRUARI 2026 (24/02)</t>
  </si>
  <si>
    <t>INV NO. 0003 (24/02)</t>
  </si>
  <si>
    <t>INV NO. 0001 (24/02)</t>
  </si>
  <si>
    <t>INV NO. 243 (24/02)</t>
  </si>
  <si>
    <t>INV NO. 1660 (24/02)</t>
  </si>
  <si>
    <t>INV NO. 9004 (26/02)</t>
  </si>
  <si>
    <t>INV NO. 6005 (26/02)</t>
  </si>
  <si>
    <t>INV NO. 2006 (26/02)</t>
  </si>
  <si>
    <t>INV NO. 9028 (26/02)</t>
  </si>
  <si>
    <t>INV NO. 581 (26/02)</t>
  </si>
  <si>
    <t xml:space="preserve">KALIMANTAN BHAKTI MEDIKA, PT </t>
  </si>
  <si>
    <t>INV NO. 1705 (27/02)</t>
  </si>
  <si>
    <t>INV NO. 1689 (27/02)</t>
  </si>
  <si>
    <t>BIAYA PEMAKAIAN AIR GALON PER FEBRUARI 2026 (27/02)</t>
  </si>
  <si>
    <t>PEMB LAMPU LED, DOUBLE TAPE DAN BATERAI (28/02)</t>
  </si>
  <si>
    <t>PEMB DETERGEN, PEMUTIH, KARBOL, SUSU UHT RADIOLOGI DLL (28/02)</t>
  </si>
  <si>
    <t>INV NO. 1295 (28/02)</t>
  </si>
  <si>
    <t>INV NO. 20144 (28/02)</t>
  </si>
  <si>
    <t>INV NO. 10168 (05/02)</t>
  </si>
  <si>
    <t>DP BIAYA PEMERIKSAAN LABORATORIUM PER JUNI 2025 (16/09)</t>
  </si>
  <si>
    <t>PELUNASAN BIAYA PEMERIKSAAN LABORATORIUM PER JUNI 2025 (16/09)</t>
  </si>
  <si>
    <t>INV NO. 20952 (10/01)</t>
  </si>
  <si>
    <t>INV NO. 453 (02/03)</t>
  </si>
  <si>
    <t>BIAYA PEMERIKSAAN LABORATORIUM PER NOVEMBER 2025 (03/03)</t>
  </si>
  <si>
    <t>BIAYA PEMERIKSAAN LABORATORIUM PER DESEMBER 2025 (03/03)</t>
  </si>
  <si>
    <t>BIAYA PEMERIKSAAN LABORATORIUM PER JANUARI 2026 (03/03)</t>
  </si>
  <si>
    <t>INV NO. 0003 (03/03)</t>
  </si>
  <si>
    <t>INV NO. 0002 (03/03)</t>
  </si>
  <si>
    <t>INV NO. 0004 (03/03)</t>
  </si>
  <si>
    <t>INV NO. 0006 (03/03)</t>
  </si>
  <si>
    <t>INV NO. 2505 (03/03)</t>
  </si>
  <si>
    <t>INV NO. 2506 (03/03)</t>
  </si>
  <si>
    <t>INV NO. 2531 (03/03)</t>
  </si>
  <si>
    <t>NA-0039</t>
  </si>
  <si>
    <t>INV NO. 41, PEMERIKSAAN LABORATORIUM PER FEBRUARI 2026 (03/03)</t>
  </si>
  <si>
    <t>INV NO. 6107 (05/03)</t>
  </si>
  <si>
    <t>INV NO. 6899 (05/03)</t>
  </si>
  <si>
    <t>INV NO. 6914 (05/03)</t>
  </si>
  <si>
    <t>INV NO. 6970 (05/03)</t>
  </si>
  <si>
    <t>INV NO. 7026 (05/03)</t>
  </si>
  <si>
    <t>INV NO. 7749 (05/03)</t>
  </si>
  <si>
    <t>INV NO. 8048 (05/03)</t>
  </si>
  <si>
    <t>INV NO. 8353 (05/03)</t>
  </si>
  <si>
    <t>MA-0053</t>
  </si>
  <si>
    <t>INV NO. 282 (06/03)</t>
  </si>
  <si>
    <t>INV NO. PP20260228005, PEMERIKSAAN AN. SHEVIOLAWAHYU OKTA, MARJUDI, AHMAD MIRZAN DLL (06/03)</t>
  </si>
  <si>
    <t>INV NO. 967 (10/03)</t>
  </si>
  <si>
    <t>INV NO. 1895 (10/03)</t>
  </si>
  <si>
    <t>INV NO. 1935 (10/03)</t>
  </si>
  <si>
    <t>INV NO. 966 (10/03)</t>
  </si>
  <si>
    <t>INV NO. 1733 (10/03)</t>
  </si>
  <si>
    <t>INV NO. 2889 (10/03)</t>
  </si>
  <si>
    <t>INV NO. 20011 (10/03)</t>
  </si>
  <si>
    <t>INV NO. 20018 (10/03)</t>
  </si>
  <si>
    <t>INV NO. 20051 (10/03)</t>
  </si>
  <si>
    <t>PM-0039</t>
  </si>
  <si>
    <t>INV NO. 79, BIAYA PEMAKAIAN DARAH PMI PER FEBRUARI 2026 (05/03)</t>
  </si>
  <si>
    <t>PPH 21 DOKTER DAN KARYAWAN BULAN DESEMBER 2025</t>
  </si>
  <si>
    <t>INV NO. 024 (12/03)</t>
  </si>
  <si>
    <t>INV NO. 446, BIAYA PENGIRIMAN INVOICE RS SAMS PER FEBRUARI 2026 (13/03)</t>
  </si>
  <si>
    <t>INV NO. 7912 (14/03)</t>
  </si>
  <si>
    <t>INV NO. 7846 (14/03)</t>
  </si>
  <si>
    <t>INV NO. 7642 (14/03)</t>
  </si>
  <si>
    <t>INV NO. 7806 (14/03), 1537 (RETUR)</t>
  </si>
  <si>
    <t>INV NO. 7833 (14/03)</t>
  </si>
  <si>
    <t>INV NO. 2843 (14/03)</t>
  </si>
  <si>
    <t>INV NO. 269 (14/03)</t>
  </si>
  <si>
    <t>INV NO. 463 (14/03)</t>
  </si>
  <si>
    <t>INV NO. 2967 (14/03)</t>
  </si>
  <si>
    <t>INV NO. 900/3643, PEMERIKSAAN LAB FEBRUARI 2026 (16/03)</t>
  </si>
  <si>
    <t>INV NO. 9660 (17/03)</t>
  </si>
  <si>
    <t>INV NO. 598 (17/03)</t>
  </si>
  <si>
    <t>BJ-0039</t>
  </si>
  <si>
    <t>INV NO. 017, BIAYA SEWA GENSET RS SAMS PER FEBRUARI 2026 (18/03)</t>
  </si>
  <si>
    <t>BIAYA CATERING PASIEN RS SAMS PER FEBRUARI 2026</t>
  </si>
  <si>
    <t>PELUNASAN INV NO. 2026 (17/04)</t>
  </si>
  <si>
    <t>CICILAN INV NO. 2026 (15/03)</t>
  </si>
  <si>
    <t>kebayoran</t>
  </si>
  <si>
    <t>INV NO. 231 (25/03)</t>
  </si>
  <si>
    <t>INV NO. 700 (26/03)</t>
  </si>
  <si>
    <t>INV NO. 759 (26/03)</t>
  </si>
  <si>
    <t>INV NO. 5619 (31/03)</t>
  </si>
  <si>
    <t>INV NO. 30439 (31/03)</t>
  </si>
  <si>
    <t>BIAYA PEMAKAIAN AIR GALON PER MARET 2026 (31/03)</t>
  </si>
  <si>
    <t>INV NO. 287 (12/02)</t>
  </si>
  <si>
    <t>NA-0040</t>
  </si>
  <si>
    <t>INV NO. 91, PEMERIKSAAN LABORATORIUM MARET 2026 (02/04)</t>
  </si>
  <si>
    <t>INV NO. 9308 (02/04)</t>
  </si>
  <si>
    <t>INV NO. 9465 (02/04)</t>
  </si>
  <si>
    <t>INV NO. 2232 (07/04)</t>
  </si>
  <si>
    <t>INV NO. 2293 (07/04)</t>
  </si>
  <si>
    <t>INV NO. 1960 (07/04)</t>
  </si>
  <si>
    <t>INV NO. 2812 (07/04)</t>
  </si>
  <si>
    <t>INV NO. 2813 (07/04)</t>
  </si>
  <si>
    <t>INV NO. 326 (07/04)</t>
  </si>
  <si>
    <t>PM-0040</t>
  </si>
  <si>
    <t>INV NO. 104, BIAYA PEMAKAIAN DARAH PMI PER MARET 2026 (07/04)</t>
  </si>
  <si>
    <t>INV NO. 30003 (07/04)</t>
  </si>
  <si>
    <t>INV NO. 900/382, PEMERIKSAAN LAB DESEMBER 2025 (14/01)</t>
  </si>
  <si>
    <t>INV NO. 900/4871, PEMERIKSAAN LAB MARET 2026 (10/04)</t>
  </si>
  <si>
    <t>INV NO. 8007 (07/04)</t>
  </si>
  <si>
    <t>INV NO. 0008 (07/04)</t>
  </si>
  <si>
    <t>INV NO. 5236 (08/04)</t>
  </si>
  <si>
    <t>INV NO. 4016 (09/04)</t>
  </si>
  <si>
    <t>INV NO. 1977 (09/04)</t>
  </si>
  <si>
    <t>INV NO. 2402 (09/04)</t>
  </si>
  <si>
    <t>INV NO. 3353 (09/04)</t>
  </si>
  <si>
    <t>INV NO. 3750 (09/04)</t>
  </si>
  <si>
    <t>INV NO. 4449 (09/04)</t>
  </si>
  <si>
    <t>INV NO. 4451 (09/04)</t>
  </si>
  <si>
    <t>INV NO. 4566 (09/04)</t>
  </si>
  <si>
    <t>INV NO. 4637 (09/04)</t>
  </si>
  <si>
    <t>INV NO. 30220 (09/04)</t>
  </si>
  <si>
    <t>INV NO. 30221 (09/04)</t>
  </si>
  <si>
    <t>INV NO. 30235 (09/04)</t>
  </si>
  <si>
    <t>INV NO. 597, BIAYA PENGIRIMAN INVOICE PER MARET 2026 (10/04)</t>
  </si>
  <si>
    <t>INV NO. 2028 (31/01), 176, 177 &amp; 178 (RETUR)</t>
  </si>
  <si>
    <t>INV NO. 2858 (14/03)</t>
  </si>
  <si>
    <t>INV NO. 2103 (31/01), 90, 31 &amp; 53 (RETUR)</t>
  </si>
  <si>
    <t>YAKIN SUKSES INDONESIA, PT - CETAKAN</t>
  </si>
  <si>
    <t>YAKIN SUKSES INDONESIA, PT</t>
  </si>
  <si>
    <t>INV NO. 9089, PEMBELIAN CARTRIDGE PRINTER CANON, SSD VENOM DAN CARTRIDGE CANON (11/04)</t>
  </si>
  <si>
    <t>INV NO. PP20260331055, PEMERIKSAAN AN. RAHMAN, RUSTAM HANAFI, M. ARLAN DLL (11/04)</t>
  </si>
  <si>
    <t>INV NO. PP20260331054, PEMERIKSAAN AN. ASPA ABDUSSAMAD, AISYA ALINE HERMAWAN, MUHAMMAD DIDIK DLL (11/04)</t>
  </si>
  <si>
    <t>INV NO. 1274 (14/04)</t>
  </si>
  <si>
    <t>INV NO. 4339 (14/04)</t>
  </si>
  <si>
    <t>INV NO. 7011 (14/04)</t>
  </si>
  <si>
    <t>INV NO. 60331 (16/04)</t>
  </si>
  <si>
    <t>INV NO. 0003 (16/04)</t>
  </si>
  <si>
    <t>TRIOFARMA MANDIRI SEJAHTERA, PT</t>
  </si>
  <si>
    <t>INV NO. 30426 (16/04)</t>
  </si>
  <si>
    <t>INV NO. 775 (16/04)</t>
  </si>
  <si>
    <t>INV NO. 5009 (16/04)</t>
  </si>
  <si>
    <t>INV NO. 30158 (18/04)</t>
  </si>
  <si>
    <t>INV NO. 30156 (18/04)</t>
  </si>
  <si>
    <t>BJ-0040</t>
  </si>
  <si>
    <t>INV NO. 022, BIAYA SEWA GENSET RS SAMS PER MARET 2026 (20/04)</t>
  </si>
  <si>
    <t>INV NO. 5943 (12/02), 141 (RETUR)</t>
  </si>
  <si>
    <t>0001</t>
  </si>
  <si>
    <t>0000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</si>
  <si>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</si>
  <si>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</si>
  <si>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</si>
  <si>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</si>
  <si>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</si>
  <si>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</si>
  <si>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</si>
  <si>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</si>
  <si>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</si>
  <si>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</si>
  <si>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</si>
  <si>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</si>
  <si>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</si>
  <si>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</si>
  <si>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</si>
  <si>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</si>
  <si>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</si>
  <si>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</si>
  <si>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</si>
  <si>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</si>
  <si>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</si>
  <si>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</si>
  <si>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</si>
  <si>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</si>
  <si>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</si>
  <si>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</si>
  <si>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</si>
  <si>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</si>
  <si>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</si>
  <si>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</si>
  <si>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</si>
  <si>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</si>
  <si>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</si>
  <si>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</si>
  <si>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</si>
  <si>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</si>
  <si>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</si>
  <si>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</si>
  <si>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</si>
  <si>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</si>
  <si>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</si>
  <si>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</si>
  <si>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</si>
  <si>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</si>
  <si>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</si>
  <si>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</si>
  <si>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</si>
  <si>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</si>
  <si>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</si>
  <si>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</si>
  <si>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</si>
  <si>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</si>
  <si>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</si>
  <si>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</si>
  <si>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</si>
  <si>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</si>
  <si>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</si>
  <si>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</si>
  <si>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</si>
  <si>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</si>
  <si>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</si>
  <si>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</si>
  <si>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</si>
  <si>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</si>
  <si>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</si>
  <si>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</si>
  <si>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</si>
  <si>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</si>
  <si>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</si>
  <si>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</si>
  <si>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</si>
  <si>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</si>
  <si>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</si>
  <si>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</si>
  <si>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</si>
  <si>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</si>
  <si>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</si>
  <si>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</si>
  <si>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</si>
  <si>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</si>
  <si>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</si>
  <si>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</si>
  <si>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</si>
  <si>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</si>
  <si>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</si>
  <si>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</si>
  <si>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</si>
  <si>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</si>
  <si>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</si>
  <si>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</si>
  <si>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</si>
  <si>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</si>
  <si>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</si>
  <si>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</si>
  <si>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</si>
  <si>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</si>
  <si>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</si>
  <si>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</si>
  <si>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</si>
  <si>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</si>
  <si>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</si>
  <si>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</si>
  <si>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</si>
  <si>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</si>
  <si>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</si>
  <si>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</si>
  <si>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</si>
  <si>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</si>
  <si>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</si>
  <si>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</si>
  <si>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</si>
  <si>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</si>
  <si>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</si>
  <si>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</si>
  <si>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</si>
  <si>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</si>
  <si>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</si>
  <si>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</si>
  <si>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</si>
  <si>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</si>
  <si>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</si>
  <si>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</si>
  <si>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</si>
  <si>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</si>
  <si>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</si>
  <si>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</si>
  <si>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</si>
  <si>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</si>
  <si>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</si>
  <si>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</si>
  <si>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</si>
  <si>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</si>
  <si>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</si>
  <si>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</si>
  <si>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</si>
  <si>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</si>
  <si>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</si>
  <si>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</si>
  <si>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</si>
  <si>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</si>
  <si>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</si>
  <si>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</si>
  <si>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</si>
  <si>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</si>
  <si>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</si>
  <si>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</si>
  <si>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</si>
  <si>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</si>
  <si>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</si>
  <si>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</si>
  <si>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</si>
  <si>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</si>
  <si>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</si>
  <si>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</si>
  <si>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</si>
  <si>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</si>
  <si>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</si>
  <si>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</si>
  <si>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</si>
  <si>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</si>
  <si>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</si>
  <si>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</si>
  <si>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</si>
  <si>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</si>
  <si>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</si>
  <si>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</si>
  <si>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</si>
  <si>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</si>
  <si>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</si>
  <si>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</si>
  <si>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</si>
  <si>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</si>
  <si>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</si>
  <si>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</si>
  <si>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</si>
  <si>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</si>
  <si>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</si>
  <si>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</si>
  <si>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</si>
  <si>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</si>
  <si>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</si>
  <si>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</si>
  <si>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</si>
  <si>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</si>
  <si>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</si>
  <si>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</si>
  <si>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</si>
  <si>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</si>
  <si>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</si>
  <si>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</si>
  <si>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</si>
  <si>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</si>
  <si>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</si>
  <si>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</si>
  <si>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</si>
  <si>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</si>
  <si>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</si>
  <si>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</si>
  <si>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</si>
  <si>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</si>
  <si>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</si>
  <si>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</si>
  <si>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</si>
  <si>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</si>
  <si>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</si>
  <si>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</si>
  <si>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</si>
  <si>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</si>
  <si>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</si>
  <si>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</si>
  <si>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</si>
  <si>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</si>
  <si>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</si>
  <si>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</si>
  <si>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</si>
  <si>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</si>
  <si>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</si>
  <si>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</si>
  <si>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</si>
  <si>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</si>
  <si>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</si>
  <si>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</si>
  <si>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</si>
  <si>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</si>
  <si>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</si>
  <si>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</si>
  <si>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</si>
  <si>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</si>
  <si>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</si>
  <si>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</si>
  <si>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</si>
  <si>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</si>
  <si>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</si>
  <si>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</si>
  <si>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</si>
  <si>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</si>
  <si>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</si>
  <si>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</si>
  <si>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</si>
  <si>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</si>
  <si>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</si>
  <si>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</si>
  <si>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</si>
  <si>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</si>
  <si>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</si>
  <si>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</si>
  <si>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</si>
  <si>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</si>
  <si>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</si>
  <si>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</si>
  <si>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</si>
  <si>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</si>
  <si>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</si>
  <si>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</si>
  <si>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</si>
  <si>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</si>
  <si>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</si>
  <si>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</si>
  <si>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</si>
  <si>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</si>
  <si>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</si>
  <si>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</si>
  <si>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</si>
  <si>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</si>
  <si>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</si>
  <si>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</si>
  <si>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</si>
  <si>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</si>
  <si>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</si>
  <si>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</si>
  <si>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</si>
  <si>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</si>
  <si>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</si>
  <si>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</si>
  <si>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</si>
  <si>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</si>
  <si>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</si>
  <si>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</si>
  <si>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</si>
  <si>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</si>
  <si>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</si>
  <si>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</si>
  <si>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</si>
  <si>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</si>
  <si>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</si>
  <si>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</si>
  <si>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</si>
  <si>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</si>
  <si>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</si>
  <si>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</si>
  <si>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</si>
  <si>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</si>
  <si>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</si>
  <si>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</si>
  <si>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</si>
  <si>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</si>
  <si>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</si>
  <si>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</si>
  <si>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</si>
  <si>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</si>
  <si>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</si>
  <si>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</si>
  <si>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</si>
  <si>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</si>
  <si>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</si>
  <si>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</si>
  <si>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</si>
  <si>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</si>
  <si>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</si>
  <si>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</si>
  <si>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</si>
  <si>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</si>
  <si>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</si>
  <si>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</si>
  <si>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</si>
  <si>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</si>
  <si>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</si>
  <si>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</si>
  <si>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</si>
  <si>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</si>
  <si>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</si>
  <si>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</si>
  <si>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</si>
  <si>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</si>
  <si>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</si>
  <si>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</si>
  <si>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</si>
  <si>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</si>
  <si>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</si>
  <si>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</si>
  <si>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</si>
  <si>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</si>
  <si>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</si>
  <si>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</si>
  <si>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</si>
  <si>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</si>
  <si>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</si>
  <si>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</si>
  <si>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</si>
  <si>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</si>
  <si>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</si>
  <si>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</si>
  <si>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</si>
  <si>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</si>
  <si>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</si>
  <si>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</si>
  <si>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</si>
  <si>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</si>
  <si>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</si>
  <si>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</si>
  <si>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</si>
  <si>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</si>
  <si>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</si>
  <si>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</si>
  <si>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</si>
  <si>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</si>
  <si>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</si>
  <si>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</si>
  <si>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</si>
  <si>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</si>
  <si>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</si>
  <si>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</si>
  <si>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</si>
  <si>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</si>
  <si>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</si>
  <si>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</si>
  <si>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</si>
  <si>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</si>
  <si>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</si>
  <si>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</si>
  <si>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</si>
  <si>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</si>
  <si>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</si>
  <si>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</si>
  <si>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</si>
  <si>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</si>
  <si>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</si>
  <si>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</si>
  <si>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</si>
  <si>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</si>
  <si>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</si>
  <si>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</si>
  <si>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</si>
  <si>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</si>
  <si>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</si>
  <si>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</si>
  <si>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</si>
  <si>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</si>
  <si>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</si>
  <si>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</si>
  <si>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</si>
  <si>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</si>
  <si>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</si>
  <si>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</si>
  <si>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</si>
  <si>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</si>
  <si>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</si>
  <si>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</si>
  <si>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</si>
  <si>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</si>
  <si>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</si>
  <si>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</si>
  <si>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</si>
  <si>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</si>
  <si>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</si>
  <si>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</si>
  <si>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</si>
  <si>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</si>
  <si>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</si>
  <si>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</si>
  <si>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</si>
  <si>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</si>
  <si>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</si>
  <si>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</si>
  <si>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</si>
  <si>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</si>
  <si>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</si>
  <si>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</si>
  <si>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</si>
  <si>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</si>
  <si>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</si>
  <si>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</si>
  <si>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</si>
  <si>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</si>
  <si>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</si>
  <si>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</si>
  <si>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</si>
  <si>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</si>
  <si>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</si>
  <si>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</si>
  <si>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</si>
  <si>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</si>
  <si>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</si>
  <si>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</si>
  <si>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</si>
  <si>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</si>
  <si>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</si>
  <si>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</si>
  <si>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</si>
  <si>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</si>
  <si>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</si>
  <si>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</si>
  <si>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</si>
  <si>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</si>
  <si>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</si>
  <si>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</si>
  <si>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</si>
  <si>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</si>
  <si>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</si>
  <si>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</si>
  <si>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</si>
  <si>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</si>
  <si>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</si>
  <si>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</si>
  <si>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</si>
  <si>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</si>
  <si>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</si>
  <si>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</si>
  <si>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</si>
  <si>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</si>
  <si>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</si>
  <si>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</si>
  <si>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</si>
  <si>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</si>
  <si>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</si>
  <si>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</si>
  <si>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</si>
  <si>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</si>
  <si>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</si>
  <si>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</si>
  <si>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</si>
  <si>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</si>
  <si>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</si>
  <si>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</si>
  <si>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</si>
  <si>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</si>
  <si>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</si>
  <si>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</si>
  <si>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</si>
  <si>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</si>
  <si>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</si>
  <si>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</si>
  <si>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</si>
  <si>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</si>
  <si>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</si>
  <si>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</si>
  <si>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</si>
  <si>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</si>
  <si>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</si>
  <si>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</si>
  <si>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</si>
  <si>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</si>
  <si>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</si>
  <si>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</si>
  <si>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</si>
  <si>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</si>
  <si>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</si>
  <si>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</si>
  <si>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</si>
  <si>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</si>
  <si>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</si>
  <si>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</si>
  <si>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</si>
  <si>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</si>
  <si>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</si>
  <si>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</si>
  <si>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</si>
  <si>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</si>
  <si>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</si>
  <si>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</si>
  <si>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</si>
  <si>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</si>
  <si>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</si>
  <si>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</si>
  <si>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</si>
  <si>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</si>
  <si>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</si>
  <si>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</si>
  <si>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</si>
  <si>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</si>
  <si>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</si>
  <si>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</si>
  <si>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</si>
  <si>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</si>
  <si>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</si>
  <si>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</si>
  <si>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</si>
  <si>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</si>
  <si>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</si>
  <si>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</si>
  <si>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</si>
  <si>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</si>
  <si>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</si>
  <si>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</si>
  <si>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</si>
  <si>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</si>
  <si>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</si>
  <si>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</si>
  <si>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</si>
  <si>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</si>
  <si>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</si>
  <si>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</si>
  <si>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</si>
  <si>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</si>
  <si>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</si>
  <si>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</si>
  <si>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</si>
  <si>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</si>
  <si>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</si>
  <si>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</si>
  <si>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</si>
  <si>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</si>
  <si>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</si>
  <si>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</si>
  <si>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</si>
  <si>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</si>
  <si>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</si>
  <si>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</si>
  <si>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</si>
  <si>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</si>
  <si>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</si>
  <si>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</si>
  <si>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</si>
  <si>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</si>
  <si>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</si>
  <si>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</si>
  <si>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</si>
  <si>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</si>
  <si>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</si>
  <si>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</si>
  <si>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</si>
  <si>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</si>
  <si>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</si>
  <si>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</si>
  <si>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</si>
  <si>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</si>
  <si>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</si>
  <si>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</si>
  <si>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</si>
  <si>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</si>
  <si>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</si>
  <si>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</si>
  <si>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</si>
  <si>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</si>
  <si>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</si>
  <si>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</si>
  <si>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</si>
  <si>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</si>
  <si>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</si>
  <si>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</si>
  <si>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</si>
  <si>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</si>
  <si>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</si>
  <si>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</si>
  <si>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</si>
  <si>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</si>
  <si>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</si>
  <si>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</si>
  <si>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</si>
  <si>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</si>
  <si>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</si>
  <si>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</si>
  <si>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</si>
  <si>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</si>
  <si>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</si>
  <si>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</si>
  <si>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</si>
  <si>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</si>
  <si>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</si>
  <si>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</si>
  <si>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</si>
  <si>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</si>
  <si>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</si>
  <si>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</si>
  <si>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</si>
  <si>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</si>
  <si>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</si>
  <si>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</si>
  <si>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</si>
  <si>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</si>
  <si>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</si>
  <si>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</si>
  <si>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</si>
  <si>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</si>
  <si>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</si>
  <si>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</si>
  <si>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</si>
  <si>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</si>
  <si>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</si>
  <si>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</si>
  <si>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</si>
  <si>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</si>
  <si>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</si>
  <si>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</si>
  <si>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</si>
  <si>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</si>
  <si>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</si>
  <si>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</si>
  <si>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</si>
  <si>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</si>
  <si>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</si>
  <si>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</si>
  <si>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</si>
  <si>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</si>
  <si>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</si>
  <si>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</si>
  <si>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</si>
  <si>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</si>
  <si>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</si>
  <si>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</si>
  <si>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</si>
  <si>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</si>
  <si>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</si>
  <si>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</si>
  <si>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</si>
  <si>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</si>
  <si>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</si>
  <si>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</si>
  <si>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</si>
  <si>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</si>
  <si>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</si>
  <si>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</si>
  <si>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</si>
  <si>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</si>
  <si>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</si>
  <si>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</si>
  <si>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</si>
  <si>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</si>
  <si>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</si>
  <si>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</si>
  <si>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</si>
  <si>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</si>
  <si>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</si>
  <si>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</si>
  <si>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</si>
  <si>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</si>
  <si>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</si>
  <si>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</si>
  <si>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</si>
  <si>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</si>
  <si>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</si>
  <si>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0829</t>
  </si>
  <si>
    <t>0830</t>
  </si>
  <si>
    <t>0831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</si>
  <si>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</si>
  <si>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</si>
  <si>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</si>
  <si>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</si>
  <si>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</si>
  <si>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</si>
  <si>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</si>
  <si>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</si>
  <si>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</si>
  <si>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</si>
  <si>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</si>
  <si>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</si>
  <si>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</si>
  <si>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</si>
  <si>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</si>
  <si>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</si>
  <si>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</si>
  <si>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</si>
  <si>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</si>
  <si>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</si>
  <si>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</si>
  <si>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</si>
  <si>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</si>
  <si>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</si>
  <si>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</si>
  <si>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</si>
  <si>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</si>
  <si>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</si>
  <si>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</si>
  <si>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</si>
  <si>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</si>
  <si>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</si>
  <si>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</si>
  <si>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</si>
  <si>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</si>
  <si>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</si>
  <si>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</si>
  <si>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</si>
  <si>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</si>
  <si>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</si>
  <si>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</si>
  <si>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</si>
  <si>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</si>
  <si>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</si>
  <si>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</si>
  <si>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</si>
  <si>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</si>
  <si>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</si>
  <si>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</si>
  <si>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</si>
  <si>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</si>
  <si>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</si>
  <si>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</si>
  <si>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</si>
  <si>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</si>
  <si>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</si>
  <si>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</si>
  <si>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</si>
  <si>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</si>
  <si>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</si>
  <si>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</si>
  <si>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</si>
  <si>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</si>
  <si>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</si>
  <si>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</si>
  <si>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</si>
  <si>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</si>
  <si>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</si>
  <si>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</si>
  <si>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</si>
  <si>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</si>
  <si>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</si>
  <si>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</si>
  <si>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</si>
  <si>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</si>
  <si>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</si>
  <si>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</si>
  <si>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</si>
  <si>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</si>
  <si>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</si>
  <si>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</si>
  <si>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</si>
  <si>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</si>
  <si>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</si>
  <si>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</si>
  <si>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</si>
  <si>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</si>
  <si>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</si>
  <si>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</si>
  <si>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</si>
  <si>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</si>
  <si>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</si>
  <si>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</si>
  <si>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</si>
  <si>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</si>
  <si>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</si>
  <si>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</si>
  <si>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</si>
  <si>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</si>
  <si>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</si>
  <si>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</si>
  <si>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</si>
  <si>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</si>
  <si>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</si>
  <si>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</si>
  <si>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</si>
  <si>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</si>
  <si>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</si>
  <si>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</si>
  <si>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</si>
  <si>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</si>
  <si>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</si>
  <si>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</si>
  <si>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</si>
  <si>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</si>
  <si>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</si>
  <si>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</si>
  <si>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</si>
  <si>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</si>
  <si>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</si>
  <si>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</si>
  <si>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</si>
  <si>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</si>
  <si>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</si>
  <si>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</si>
  <si>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</si>
  <si>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</si>
  <si>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</si>
  <si>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</si>
  <si>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</si>
  <si>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</si>
  <si>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</si>
  <si>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</si>
  <si>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</si>
  <si>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</si>
  <si>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</si>
  <si>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</si>
  <si>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</si>
  <si>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</si>
  <si>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</si>
  <si>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</si>
  <si>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</si>
  <si>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</si>
  <si>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</si>
  <si>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</si>
  <si>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</si>
  <si>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</si>
  <si>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</si>
  <si>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</si>
  <si>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</si>
  <si>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</si>
  <si>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</si>
  <si>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</si>
  <si>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</si>
  <si>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</si>
  <si>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</si>
  <si>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</si>
  <si>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</si>
  <si>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</si>
  <si>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</si>
  <si>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</si>
  <si>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</si>
  <si>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</si>
  <si>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</si>
  <si>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</si>
  <si>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</si>
  <si>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</si>
  <si>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</si>
  <si>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</si>
  <si>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</si>
  <si>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</si>
  <si>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</si>
  <si>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</si>
  <si>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</si>
  <si>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</si>
  <si>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</si>
  <si>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</si>
  <si>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</si>
  <si>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</si>
  <si>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</si>
  <si>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</si>
  <si>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</si>
  <si>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</si>
  <si>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</si>
  <si>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</si>
  <si>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</si>
  <si>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</si>
  <si>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</si>
  <si>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</si>
  <si>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</si>
  <si>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</si>
  <si>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</si>
  <si>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</si>
  <si>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</si>
  <si>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</si>
  <si>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</si>
  <si>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</si>
  <si>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</si>
  <si>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</si>
  <si>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</si>
  <si>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</si>
  <si>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</si>
  <si>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</si>
  <si>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</si>
  <si>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</si>
  <si>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</si>
  <si>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</si>
  <si>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</si>
  <si>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</si>
  <si>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</si>
  <si>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</si>
  <si>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</si>
  <si>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</si>
  <si>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</si>
  <si>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</si>
  <si>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</si>
  <si>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</si>
  <si>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</si>
  <si>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</si>
  <si>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</si>
  <si>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</si>
  <si>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</si>
  <si>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</si>
  <si>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</si>
  <si>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</si>
  <si>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</si>
  <si>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</si>
  <si>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</si>
  <si>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</si>
  <si>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</si>
  <si>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</si>
  <si>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</si>
  <si>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</si>
  <si>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</si>
  <si>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</si>
  <si>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</si>
  <si>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</si>
  <si>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</si>
  <si>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</si>
  <si>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</si>
  <si>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</si>
  <si>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</si>
  <si>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</si>
  <si>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</si>
  <si>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</si>
  <si>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</si>
  <si>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</si>
  <si>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</si>
  <si>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</si>
  <si>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</si>
  <si>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</si>
  <si>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</si>
  <si>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</si>
  <si>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</si>
  <si>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</si>
  <si>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</si>
  <si>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</si>
  <si>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</si>
  <si>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</si>
  <si>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</si>
  <si>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</si>
  <si>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</si>
  <si>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</si>
  <si>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</si>
  <si>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</si>
  <si>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</si>
  <si>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</si>
  <si>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</si>
  <si>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</si>
  <si>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</si>
  <si>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</si>
  <si>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</si>
  <si>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</si>
  <si>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</si>
  <si>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</si>
  <si>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</si>
  <si>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</si>
  <si>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</si>
  <si>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</si>
  <si>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</si>
  <si>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</si>
  <si>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</si>
  <si>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</si>
  <si>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</si>
  <si>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</si>
  <si>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</si>
  <si>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</si>
  <si>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</si>
  <si>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</si>
  <si>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</si>
  <si>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</si>
  <si>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</si>
  <si>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</si>
  <si>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</si>
  <si>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</si>
  <si>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</si>
  <si>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</si>
  <si>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</si>
  <si>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</si>
  <si>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</si>
  <si>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</si>
  <si>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</si>
  <si>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</si>
  <si>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</si>
  <si>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</si>
  <si>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</si>
  <si>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</si>
  <si>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</si>
  <si>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</si>
  <si>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</si>
  <si>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</si>
  <si>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</si>
  <si>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</si>
  <si>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</si>
  <si>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</si>
  <si>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</si>
  <si>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</si>
  <si>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</si>
  <si>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</si>
  <si>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</si>
  <si>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</si>
  <si>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</si>
  <si>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</si>
  <si>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</si>
  <si>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</si>
  <si>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</si>
  <si>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</si>
  <si>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</si>
  <si>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</si>
  <si>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</si>
  <si>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</si>
  <si>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</si>
  <si>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</si>
  <si>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</si>
  <si>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</si>
  <si>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</si>
  <si>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</si>
  <si>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</si>
  <si>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</si>
  <si>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</si>
  <si>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</si>
  <si>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</si>
  <si>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</si>
  <si>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</si>
  <si>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</si>
  <si>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</si>
  <si>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</si>
  <si>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</si>
  <si>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</si>
  <si>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</si>
  <si>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</si>
  <si>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</si>
  <si>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</si>
  <si>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</si>
  <si>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</si>
  <si>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</si>
  <si>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</si>
  <si>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</si>
  <si>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</si>
  <si>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</si>
  <si>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</si>
  <si>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</si>
  <si>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</si>
  <si>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</si>
  <si>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</si>
  <si>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</si>
  <si>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</si>
  <si>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</si>
  <si>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</si>
  <si>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</si>
  <si>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</si>
  <si>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</si>
  <si>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</si>
  <si>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</si>
  <si>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</si>
  <si>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</si>
  <si>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</si>
  <si>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</si>
  <si>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</si>
  <si>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</si>
  <si>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</si>
  <si>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</si>
  <si>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</si>
  <si>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</si>
  <si>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</si>
  <si>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</si>
  <si>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</si>
  <si>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</si>
  <si>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</si>
  <si>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</si>
  <si>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</si>
  <si>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</si>
  <si>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</si>
  <si>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</si>
  <si>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</si>
  <si>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</si>
  <si>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</si>
  <si>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</si>
  <si>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</si>
  <si>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</si>
  <si>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</si>
  <si>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</si>
  <si>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</si>
  <si>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</si>
  <si>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</si>
  <si>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</si>
  <si>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</si>
  <si>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</si>
  <si>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</si>
  <si>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</si>
  <si>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</si>
  <si>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</si>
  <si>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</si>
  <si>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</si>
  <si>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</si>
  <si>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</si>
  <si>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</si>
  <si>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</si>
  <si>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</si>
  <si>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</si>
  <si>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</si>
  <si>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</si>
  <si>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</si>
  <si>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</si>
  <si>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</si>
  <si>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</si>
  <si>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</si>
  <si>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</si>
  <si>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</si>
  <si>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</si>
  <si>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</si>
  <si>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</si>
  <si>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</si>
  <si>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</si>
  <si>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</si>
  <si>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</si>
  <si>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</si>
  <si>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</si>
  <si>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</si>
  <si>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</si>
  <si>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</si>
  <si>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</si>
  <si>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</si>
  <si>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</si>
  <si>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</si>
  <si>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</si>
  <si>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</si>
  <si>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</si>
  <si>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</si>
  <si>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</si>
  <si>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</si>
  <si>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</si>
  <si>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</si>
  <si>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</si>
  <si>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</si>
  <si>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</si>
  <si>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</si>
  <si>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</si>
  <si>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</si>
  <si>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</si>
  <si>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</si>
  <si>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</si>
  <si>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</si>
  <si>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</si>
  <si>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</si>
  <si>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</si>
  <si>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</si>
  <si>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</si>
  <si>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</si>
  <si>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</si>
  <si>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</si>
  <si>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</si>
  <si>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</si>
  <si>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</si>
  <si>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</si>
  <si>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</si>
  <si>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</si>
  <si>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</si>
  <si>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</si>
  <si>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</si>
  <si>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</si>
  <si>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</si>
  <si>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</si>
  <si>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</si>
  <si>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</si>
  <si>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</si>
  <si>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</si>
  <si>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</si>
  <si>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</si>
  <si>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</si>
  <si>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</si>
  <si>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</si>
  <si>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</si>
  <si>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</si>
  <si>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</si>
  <si>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</si>
  <si>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</si>
  <si>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</si>
  <si>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</si>
  <si>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</si>
  <si>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</si>
  <si>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</si>
  <si>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</si>
  <si>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</si>
  <si>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</si>
  <si>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</si>
  <si>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</si>
  <si>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</si>
  <si>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</si>
  <si>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</si>
  <si>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</si>
  <si>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</si>
  <si>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</si>
  <si>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</si>
  <si>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</si>
  <si>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</si>
  <si>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</si>
  <si>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</si>
  <si>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</si>
  <si>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</si>
  <si>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</si>
  <si>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</si>
  <si>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</si>
  <si>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</si>
  <si>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</si>
  <si>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</si>
  <si>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</si>
  <si>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</si>
  <si>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</si>
  <si>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</si>
  <si>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</si>
  <si>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</si>
  <si>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</si>
  <si>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</si>
  <si>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</si>
  <si>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</si>
  <si>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</si>
  <si>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</si>
  <si>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</si>
  <si>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</si>
  <si>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</si>
  <si>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</si>
  <si>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</si>
  <si>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</si>
  <si>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</si>
  <si>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</si>
  <si>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</si>
  <si>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</si>
  <si>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</si>
  <si>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</si>
  <si>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</si>
  <si>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</si>
  <si>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</si>
  <si>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</si>
  <si>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</si>
  <si>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</si>
  <si>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</si>
  <si>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</si>
  <si>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</si>
  <si>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</si>
  <si>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</si>
  <si>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</si>
  <si>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</si>
  <si>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</si>
  <si>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</si>
  <si>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</si>
  <si>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</si>
  <si>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</si>
  <si>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</si>
  <si>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</si>
  <si>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</si>
  <si>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</si>
  <si>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</si>
  <si>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</si>
  <si>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</si>
  <si>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</si>
  <si>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</si>
  <si>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</si>
  <si>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</si>
  <si>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</si>
  <si>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</si>
  <si>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</si>
  <si>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</si>
  <si>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</si>
  <si>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</si>
  <si>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</si>
  <si>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</si>
  <si>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</si>
  <si>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</si>
  <si>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</si>
  <si>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</si>
  <si>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</si>
  <si>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</si>
  <si>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</si>
  <si>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</si>
  <si>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</si>
  <si>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</si>
  <si>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</si>
  <si>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</si>
  <si>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</si>
  <si>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</si>
  <si>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</si>
  <si>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</si>
  <si>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</si>
  <si>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</si>
  <si>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</si>
  <si>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</si>
  <si>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</si>
  <si>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</si>
  <si>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</si>
  <si>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</si>
  <si>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</si>
  <si>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</si>
  <si>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</si>
  <si>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</si>
  <si>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</si>
  <si>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</si>
  <si>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</si>
  <si>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</si>
  <si>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</si>
  <si>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</si>
  <si>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</si>
  <si>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</si>
  <si>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</si>
  <si>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</si>
  <si>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</si>
  <si>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</si>
  <si>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</si>
  <si>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</si>
  <si>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</si>
  <si>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</si>
  <si>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</si>
  <si>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</si>
  <si>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</si>
  <si>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</si>
  <si>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</si>
  <si>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</si>
  <si>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</si>
  <si>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</si>
  <si>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</si>
  <si>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</si>
  <si>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</si>
  <si>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</si>
  <si>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</si>
  <si>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</si>
  <si>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</si>
  <si>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</si>
  <si>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</si>
  <si>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</si>
  <si>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</si>
  <si>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</si>
  <si>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</si>
  <si>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</si>
  <si>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</si>
  <si>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</si>
  <si>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</si>
  <si>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</si>
  <si>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</si>
  <si>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</si>
  <si>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</si>
  <si>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</si>
  <si>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</si>
  <si>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</si>
  <si>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</si>
  <si>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</si>
  <si>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</si>
  <si>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</si>
  <si>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</si>
  <si>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</si>
  <si>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</si>
  <si>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</si>
  <si>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</si>
  <si>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</si>
  <si>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</si>
  <si>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</si>
  <si>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</si>
  <si>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</si>
  <si>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</si>
  <si>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</si>
  <si>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</si>
  <si>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</si>
  <si>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</si>
  <si>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</si>
  <si>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</si>
  <si>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</si>
  <si>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</si>
  <si>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</si>
  <si>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</si>
  <si>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</si>
  <si>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</si>
  <si>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</si>
  <si>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</si>
  <si>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</si>
  <si>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</si>
  <si>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</si>
  <si>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</si>
  <si>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</si>
  <si>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</si>
  <si>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</si>
  <si>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</si>
  <si>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</si>
  <si>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</si>
  <si>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</si>
  <si>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</si>
  <si>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</si>
  <si>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</si>
  <si>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</si>
  <si>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</si>
  <si>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</si>
  <si>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</si>
  <si>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</si>
  <si>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</si>
  <si>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</si>
  <si>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</si>
  <si>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</si>
  <si>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</si>
  <si>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</si>
  <si>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</si>
  <si>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</si>
  <si>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</si>
  <si>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</si>
  <si>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</si>
  <si>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</si>
  <si>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</si>
  <si>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</si>
  <si>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</si>
  <si>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</si>
  <si>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</si>
  <si>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</si>
  <si>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</si>
  <si>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</si>
  <si>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</si>
  <si>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</si>
  <si>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</si>
  <si>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</si>
  <si>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</si>
  <si>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</si>
  <si>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</si>
  <si>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</si>
  <si>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</si>
  <si>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</si>
  <si>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</si>
  <si>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</si>
  <si>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</si>
  <si>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</si>
  <si>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</si>
  <si>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</si>
  <si>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</si>
  <si>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</si>
  <si>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</si>
  <si>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</si>
  <si>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</si>
  <si>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</si>
  <si>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</si>
  <si>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</si>
  <si>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</si>
  <si>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</si>
  <si>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</si>
  <si>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</si>
  <si>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</si>
  <si>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</si>
  <si>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</si>
  <si>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</si>
  <si>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</si>
  <si>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</si>
  <si>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</si>
  <si>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</si>
  <si>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</si>
  <si>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</si>
  <si>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</si>
  <si>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</si>
  <si>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</si>
  <si>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</si>
  <si>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</si>
  <si>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</si>
  <si>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</si>
  <si>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</si>
  <si>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</si>
  <si>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</si>
  <si>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1885</t>
  </si>
  <si>
    <t>1886</t>
  </si>
  <si>
    <t>1887</t>
  </si>
  <si>
    <t>1888</t>
  </si>
  <si>
    <t>1890</t>
  </si>
  <si>
    <t>1891</t>
  </si>
  <si>
    <t>1892</t>
  </si>
  <si>
    <t>1893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</si>
  <si>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</si>
  <si>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</si>
  <si>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</si>
  <si>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</si>
  <si>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</si>
  <si>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</si>
  <si>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</si>
  <si>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</si>
  <si>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</si>
  <si>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</si>
  <si>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</si>
  <si>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</si>
  <si>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</si>
  <si>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</si>
  <si>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</si>
  <si>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</si>
  <si>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</si>
  <si>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</si>
  <si>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</si>
  <si>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</si>
  <si>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</si>
  <si>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</si>
  <si>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</si>
  <si>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</si>
  <si>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</si>
  <si>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</si>
  <si>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</si>
  <si>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</si>
  <si>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</si>
  <si>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</si>
  <si>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</si>
  <si>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</si>
  <si>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</si>
  <si>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</si>
  <si>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</si>
  <si>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</si>
  <si>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</si>
  <si>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</si>
  <si>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</si>
  <si>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</si>
  <si>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</si>
  <si>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</si>
  <si>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</si>
  <si>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</si>
  <si>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</si>
  <si>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</si>
  <si>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</si>
  <si>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</si>
  <si>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</si>
  <si>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</si>
  <si>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</si>
  <si>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</si>
  <si>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</si>
  <si>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</si>
  <si>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</si>
  <si>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</si>
  <si>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</si>
  <si>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</si>
  <si>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</si>
  <si>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</si>
  <si>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</si>
  <si>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</si>
  <si>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</si>
  <si>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</si>
  <si>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</si>
  <si>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</si>
  <si>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</si>
  <si>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</si>
  <si>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</si>
  <si>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</si>
  <si>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</si>
  <si>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</si>
  <si>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</si>
  <si>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</si>
  <si>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</si>
  <si>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</si>
  <si>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</si>
  <si>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</si>
  <si>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</si>
  <si>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</si>
  <si>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</si>
  <si>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</si>
  <si>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</si>
  <si>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</si>
  <si>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</si>
  <si>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</si>
  <si>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</si>
  <si>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</si>
  <si>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</si>
  <si>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</si>
  <si>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</si>
  <si>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</si>
  <si>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</si>
  <si>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</si>
  <si>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</si>
  <si>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</si>
  <si>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</si>
  <si>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</si>
  <si>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</si>
  <si>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</si>
  <si>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</si>
  <si>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</si>
  <si>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</si>
  <si>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</si>
  <si>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</si>
  <si>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</si>
  <si>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</si>
  <si>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</si>
  <si>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</si>
  <si>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</si>
  <si>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</si>
  <si>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</si>
  <si>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</si>
  <si>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</si>
  <si>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</si>
  <si>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</si>
  <si>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</si>
  <si>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</si>
  <si>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</si>
  <si>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</si>
  <si>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</si>
  <si>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</si>
  <si>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</si>
  <si>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</si>
  <si>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</si>
  <si>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</si>
  <si>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</si>
  <si>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</si>
  <si>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</si>
  <si>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</si>
  <si>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</si>
  <si>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</si>
  <si>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</si>
  <si>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</si>
  <si>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</si>
  <si>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</si>
  <si>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</si>
  <si>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</si>
  <si>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</si>
  <si>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</si>
  <si>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</si>
  <si>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</si>
  <si>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</si>
  <si>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</si>
  <si>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</si>
  <si>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</si>
  <si>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</si>
  <si>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</si>
  <si>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</si>
  <si>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</si>
  <si>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</si>
  <si>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</si>
  <si>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</si>
  <si>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</si>
  <si>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</si>
  <si>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</si>
  <si>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</si>
  <si>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</si>
  <si>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</si>
  <si>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</si>
  <si>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2125</t>
  </si>
  <si>
    <t>2126</t>
  </si>
  <si>
    <t>2127</t>
  </si>
  <si>
    <t>2128</t>
  </si>
  <si>
    <t>2129</t>
  </si>
  <si>
    <t>2130</t>
  </si>
  <si>
    <t>2131</t>
  </si>
  <si>
    <t>2132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</si>
  <si>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</si>
  <si>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</si>
  <si>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</si>
  <si>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</si>
  <si>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</si>
  <si>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</si>
  <si>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</si>
  <si>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</si>
  <si>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</si>
  <si>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</si>
  <si>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</si>
  <si>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</si>
  <si>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</si>
  <si>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</si>
  <si>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</si>
  <si>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</si>
  <si>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</si>
  <si>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</si>
  <si>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</si>
  <si>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</si>
  <si>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</si>
  <si>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</si>
  <si>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</si>
  <si>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</si>
  <si>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</si>
  <si>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</si>
  <si>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</si>
  <si>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</si>
  <si>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</si>
  <si>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</si>
  <si>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</si>
  <si>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</si>
  <si>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</si>
  <si>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</si>
  <si>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</si>
  <si>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</si>
  <si>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</si>
  <si>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</si>
  <si>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</si>
  <si>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</si>
  <si>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</si>
  <si>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</si>
  <si>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</si>
  <si>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</si>
  <si>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</si>
  <si>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</si>
  <si>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</si>
  <si>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</si>
  <si>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</si>
  <si>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</si>
  <si>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</si>
  <si>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</si>
  <si>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</si>
  <si>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</si>
  <si>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</si>
  <si>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</si>
  <si>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</si>
  <si>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</si>
  <si>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</si>
  <si>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</si>
  <si>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</si>
  <si>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</si>
  <si>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</si>
  <si>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</si>
  <si>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</si>
  <si>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</si>
  <si>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</si>
  <si>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</si>
  <si>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</si>
  <si>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</si>
  <si>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</si>
  <si>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</si>
  <si>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</si>
  <si>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</si>
  <si>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</si>
  <si>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</si>
  <si>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</si>
  <si>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</si>
  <si>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</si>
  <si>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</si>
  <si>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</si>
  <si>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</si>
  <si>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</si>
  <si>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</si>
  <si>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</si>
  <si>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</si>
  <si>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</si>
  <si>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</si>
  <si>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</si>
  <si>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</si>
  <si>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</si>
  <si>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</si>
  <si>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</si>
  <si>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</si>
  <si>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</si>
  <si>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</si>
  <si>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</si>
  <si>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</si>
  <si>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</si>
  <si>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</si>
  <si>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</si>
  <si>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</si>
  <si>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</si>
  <si>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</si>
  <si>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</si>
  <si>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</si>
  <si>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</si>
  <si>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</si>
  <si>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</si>
  <si>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</si>
  <si>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</si>
  <si>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</si>
  <si>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</si>
  <si>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</si>
  <si>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</si>
  <si>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</si>
  <si>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</si>
  <si>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</si>
  <si>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</si>
  <si>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</si>
  <si>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</si>
  <si>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</si>
  <si>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</si>
  <si>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</si>
  <si>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</si>
  <si>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</si>
  <si>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</si>
  <si>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</si>
  <si>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</si>
  <si>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</si>
  <si>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</si>
  <si>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</si>
  <si>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</si>
  <si>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</si>
  <si>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</si>
  <si>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</si>
  <si>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</si>
  <si>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</si>
  <si>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</si>
  <si>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</si>
  <si>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</si>
  <si>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</si>
  <si>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</si>
  <si>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</si>
  <si>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</si>
  <si>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</si>
  <si>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</si>
  <si>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</si>
  <si>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</si>
  <si>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</si>
  <si>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</si>
  <si>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</si>
  <si>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</si>
  <si>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</si>
  <si>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</si>
  <si>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</si>
  <si>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</si>
  <si>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</si>
  <si>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</si>
  <si>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</si>
  <si>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</si>
  <si>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</si>
  <si>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</si>
  <si>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</si>
  <si>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</si>
  <si>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</si>
  <si>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</si>
  <si>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</si>
  <si>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</si>
  <si>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</si>
  <si>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</si>
  <si>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</si>
  <si>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</si>
  <si>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</si>
  <si>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</si>
  <si>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</si>
  <si>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</si>
  <si>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</si>
  <si>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</si>
  <si>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</si>
  <si>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</si>
  <si>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</si>
  <si>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</si>
  <si>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</si>
  <si>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</si>
  <si>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</si>
  <si>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</si>
  <si>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</si>
  <si>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</si>
  <si>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</si>
  <si>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</si>
  <si>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</si>
  <si>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</si>
  <si>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</si>
  <si>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</si>
  <si>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</si>
  <si>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</si>
  <si>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</si>
  <si>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</si>
  <si>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</si>
  <si>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</si>
  <si>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</si>
  <si>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</si>
  <si>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</si>
  <si>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</si>
  <si>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</si>
  <si>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</si>
  <si>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</si>
  <si>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</si>
  <si>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</si>
  <si>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</si>
  <si>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</si>
  <si>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</si>
  <si>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</si>
  <si>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</si>
  <si>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</si>
  <si>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</si>
  <si>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</si>
  <si>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</si>
  <si>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</si>
  <si>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</si>
  <si>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</si>
  <si>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</si>
  <si>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</si>
  <si>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</si>
  <si>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</si>
  <si>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</si>
  <si>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</si>
  <si>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</si>
  <si>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</si>
  <si>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</si>
  <si>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</si>
  <si>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</si>
  <si>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</si>
  <si>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</si>
  <si>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</si>
  <si>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</si>
  <si>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</si>
  <si>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</si>
  <si>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</si>
  <si>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</si>
  <si>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</si>
  <si>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</si>
  <si>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</si>
  <si>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</si>
  <si>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</si>
  <si>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</si>
  <si>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</si>
  <si>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</si>
  <si>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</si>
  <si>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</si>
  <si>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</si>
  <si>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</si>
  <si>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</si>
  <si>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</si>
  <si>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</si>
  <si>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</si>
  <si>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</si>
  <si>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</si>
  <si>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</si>
  <si>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</si>
  <si>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</si>
  <si>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</si>
  <si>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</si>
  <si>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</si>
  <si>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</si>
  <si>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</si>
  <si>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</si>
  <si>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</si>
  <si>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</si>
  <si>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</si>
  <si>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</si>
  <si>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</si>
  <si>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</si>
  <si>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</si>
  <si>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</si>
  <si>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</si>
  <si>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</si>
  <si>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</si>
  <si>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</si>
  <si>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</si>
  <si>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</si>
  <si>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</si>
  <si>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</si>
  <si>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</si>
  <si>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</si>
  <si>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</si>
  <si>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</si>
  <si>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</si>
  <si>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</si>
  <si>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</si>
  <si>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</si>
  <si>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</si>
  <si>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</si>
  <si>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</si>
  <si>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</si>
  <si>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</si>
  <si>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</si>
  <si>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</si>
  <si>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</si>
  <si>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</si>
  <si>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</si>
  <si>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</si>
  <si>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</si>
  <si>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</si>
  <si>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</si>
  <si>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</si>
  <si>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</si>
  <si>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</si>
  <si>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</si>
  <si>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</si>
  <si>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</si>
  <si>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</si>
  <si>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</si>
  <si>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</si>
  <si>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</si>
  <si>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</si>
  <si>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</si>
  <si>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</si>
  <si>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</si>
  <si>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</si>
  <si>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</si>
  <si>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</si>
  <si>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</si>
  <si>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</si>
  <si>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</si>
  <si>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</si>
  <si>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</si>
  <si>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</si>
  <si>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</si>
  <si>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</si>
  <si>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</si>
  <si>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</si>
  <si>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</si>
  <si>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</si>
  <si>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</si>
  <si>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</si>
  <si>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</si>
  <si>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</si>
  <si>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</si>
  <si>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</si>
  <si>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</si>
  <si>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</si>
  <si>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</si>
  <si>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</si>
  <si>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</si>
  <si>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</si>
  <si>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</si>
  <si>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</si>
  <si>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</si>
  <si>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</si>
  <si>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</si>
  <si>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</si>
  <si>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</si>
  <si>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</si>
  <si>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</si>
  <si>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</si>
  <si>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</si>
  <si>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</si>
  <si>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</si>
  <si>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</si>
  <si>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</si>
  <si>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</si>
  <si>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</si>
  <si>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</si>
  <si>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</si>
  <si>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</si>
  <si>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</si>
  <si>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</si>
  <si>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</si>
  <si>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</si>
  <si>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</si>
  <si>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</si>
  <si>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</si>
  <si>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</si>
  <si>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</si>
  <si>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</si>
  <si>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</si>
  <si>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</si>
  <si>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</si>
  <si>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</si>
  <si>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</si>
  <si>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</si>
  <si>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</si>
  <si>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</si>
  <si>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</si>
  <si>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</si>
  <si>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</si>
  <si>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</si>
  <si>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</si>
  <si>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</si>
  <si>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</si>
  <si>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</si>
  <si>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</si>
  <si>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</si>
  <si>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</si>
  <si>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</si>
  <si>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</si>
  <si>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</si>
  <si>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</si>
  <si>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</si>
  <si>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</si>
  <si>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</si>
  <si>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</si>
  <si>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</si>
  <si>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</si>
  <si>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</si>
  <si>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</si>
  <si>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</si>
  <si>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</si>
  <si>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</si>
  <si>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</si>
  <si>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</si>
  <si>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</si>
  <si>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</si>
  <si>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</si>
  <si>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</si>
  <si>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</si>
  <si>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</si>
  <si>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</si>
  <si>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</si>
  <si>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</si>
  <si>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</si>
  <si>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</si>
  <si>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</si>
  <si>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</si>
  <si>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</si>
  <si>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</si>
  <si>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</si>
  <si>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</si>
  <si>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</si>
  <si>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</si>
  <si>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</si>
  <si>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</si>
  <si>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</si>
  <si>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</si>
  <si>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</si>
  <si>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</si>
  <si>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</si>
  <si>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</si>
  <si>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</si>
  <si>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</si>
  <si>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</si>
  <si>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</si>
  <si>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</si>
  <si>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</si>
  <si>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</si>
  <si>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</si>
  <si>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</si>
  <si>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</si>
  <si>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</si>
  <si>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</si>
  <si>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</si>
  <si>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</si>
  <si>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</si>
  <si>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</si>
  <si>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</si>
  <si>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</si>
  <si>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</si>
  <si>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</si>
  <si>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</si>
  <si>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</si>
  <si>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</si>
  <si>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</si>
  <si>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</si>
  <si>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</si>
  <si>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</si>
  <si>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</si>
  <si>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</si>
  <si>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</si>
  <si>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</si>
  <si>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</si>
  <si>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</si>
  <si>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</si>
  <si>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</si>
  <si>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</si>
  <si>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</si>
  <si>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</si>
  <si>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</si>
  <si>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</si>
  <si>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</si>
  <si>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</si>
  <si>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</si>
  <si>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</si>
  <si>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</si>
  <si>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</si>
  <si>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</si>
  <si>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</si>
  <si>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</si>
  <si>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</si>
  <si>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</si>
  <si>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</si>
  <si>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</si>
  <si>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</si>
  <si>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</si>
  <si>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</si>
  <si>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</si>
  <si>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</si>
  <si>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</si>
  <si>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</si>
  <si>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</si>
  <si>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</si>
  <si>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</si>
  <si>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</si>
  <si>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</si>
  <si>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</si>
  <si>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</si>
  <si>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</si>
  <si>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</si>
  <si>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</si>
  <si>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</si>
  <si>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</si>
  <si>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</si>
  <si>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</si>
  <si>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</si>
  <si>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</si>
  <si>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</si>
  <si>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</si>
  <si>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</si>
  <si>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</si>
  <si>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</si>
  <si>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</si>
  <si>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</si>
  <si>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</si>
  <si>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</si>
  <si>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</si>
  <si>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</si>
  <si>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</si>
  <si>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</si>
  <si>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</si>
  <si>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</si>
  <si>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</si>
  <si>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</si>
  <si>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</si>
  <si>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</si>
  <si>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</si>
  <si>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</si>
  <si>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</si>
  <si>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</si>
  <si>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</si>
  <si>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</si>
  <si>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</si>
  <si>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</si>
  <si>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</si>
  <si>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</si>
  <si>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</si>
  <si>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</si>
  <si>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</si>
  <si>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</si>
  <si>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</si>
  <si>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</si>
  <si>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</si>
  <si>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</si>
  <si>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</si>
  <si>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</si>
  <si>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</si>
  <si>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</si>
  <si>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</si>
  <si>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</si>
  <si>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</si>
  <si>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</si>
  <si>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</si>
  <si>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</si>
  <si>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</si>
  <si>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</si>
  <si>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</si>
  <si>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</si>
  <si>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</si>
  <si>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</si>
  <si>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</si>
  <si>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</si>
  <si>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</si>
  <si>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</si>
  <si>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</si>
  <si>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</si>
  <si>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</si>
  <si>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</si>
  <si>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</si>
  <si>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</si>
  <si>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</si>
  <si>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</si>
  <si>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</si>
  <si>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</si>
  <si>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</si>
  <si>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</si>
  <si>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</si>
  <si>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</si>
  <si>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</si>
  <si>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</si>
  <si>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</si>
  <si>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</si>
  <si>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</si>
  <si>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</si>
  <si>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</si>
  <si>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</si>
  <si>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</si>
  <si>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</si>
  <si>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</si>
  <si>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</si>
  <si>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</si>
  <si>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</si>
  <si>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</si>
  <si>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</si>
  <si>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</si>
  <si>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</si>
  <si>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</si>
  <si>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</si>
  <si>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</si>
  <si>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</si>
  <si>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</si>
  <si>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</si>
  <si>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</si>
  <si>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</si>
  <si>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</si>
  <si>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</si>
  <si>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</si>
  <si>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</si>
  <si>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</si>
  <si>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</si>
  <si>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</si>
  <si>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</si>
  <si>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</si>
  <si>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</si>
  <si>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</si>
  <si>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</si>
  <si>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</si>
  <si>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</si>
  <si>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</si>
  <si>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</si>
  <si>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</si>
  <si>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</si>
  <si>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</si>
  <si>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</si>
  <si>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</si>
  <si>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</si>
  <si>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</si>
  <si>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</si>
  <si>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</si>
  <si>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</si>
  <si>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</si>
  <si>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</si>
  <si>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</si>
  <si>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</si>
  <si>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</si>
  <si>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</si>
  <si>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</si>
  <si>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</si>
  <si>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</si>
  <si>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</si>
  <si>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</si>
  <si>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</si>
  <si>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</si>
  <si>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</si>
  <si>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</si>
  <si>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</si>
  <si>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</si>
  <si>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</si>
  <si>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</si>
  <si>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</si>
  <si>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</si>
  <si>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</si>
  <si>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</si>
  <si>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</si>
  <si>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</si>
  <si>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</si>
  <si>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</si>
  <si>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</si>
  <si>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</si>
  <si>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</si>
  <si>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</si>
  <si>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</si>
  <si>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</si>
  <si>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</si>
  <si>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</si>
  <si>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</si>
  <si>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</si>
  <si>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</si>
  <si>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</si>
  <si>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</si>
  <si>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</si>
  <si>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</si>
  <si>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</si>
  <si>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</si>
  <si>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</si>
  <si>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</si>
  <si>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</si>
  <si>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</si>
  <si>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</si>
  <si>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</si>
  <si>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</si>
  <si>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</si>
  <si>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</si>
  <si>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</si>
  <si>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</si>
  <si>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</si>
  <si>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</si>
  <si>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</si>
  <si>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</si>
  <si>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</si>
  <si>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</si>
  <si>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</si>
  <si>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</si>
  <si>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</si>
  <si>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</si>
  <si>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</si>
  <si>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</si>
  <si>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</si>
  <si>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</si>
  <si>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</si>
  <si>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</si>
  <si>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</si>
  <si>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</si>
  <si>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</si>
  <si>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</si>
  <si>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</si>
  <si>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</si>
  <si>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</si>
  <si>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</si>
  <si>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</si>
  <si>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</si>
  <si>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</si>
  <si>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</si>
  <si>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</si>
  <si>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</si>
  <si>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</si>
  <si>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</si>
  <si>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</si>
  <si>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</si>
  <si>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</si>
  <si>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</si>
  <si>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</si>
  <si>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</si>
  <si>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</si>
  <si>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</si>
  <si>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</si>
  <si>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</si>
  <si>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</si>
  <si>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</si>
  <si>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</si>
  <si>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</si>
  <si>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</si>
  <si>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</si>
  <si>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</si>
  <si>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</si>
  <si>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</si>
  <si>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</si>
  <si>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</si>
  <si>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</si>
  <si>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</si>
  <si>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</si>
  <si>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</si>
  <si>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3107</t>
  </si>
  <si>
    <t>3108</t>
  </si>
  <si>
    <t>3109</t>
  </si>
  <si>
    <t>3110</t>
  </si>
  <si>
    <t>3111</t>
  </si>
  <si>
    <t>3112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</si>
  <si>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</si>
  <si>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</si>
  <si>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</si>
  <si>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</si>
  <si>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</si>
  <si>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</si>
  <si>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</si>
  <si>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</si>
  <si>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</si>
  <si>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</si>
  <si>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</si>
  <si>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</si>
  <si>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</si>
  <si>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</si>
  <si>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</si>
  <si>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</si>
  <si>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</si>
  <si>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</si>
  <si>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</si>
  <si>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</si>
  <si>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</si>
  <si>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</si>
  <si>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</si>
  <si>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</si>
  <si>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</si>
  <si>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</si>
  <si>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</si>
  <si>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</si>
  <si>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</si>
  <si>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</si>
  <si>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</si>
  <si>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</si>
  <si>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</si>
  <si>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</si>
  <si>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</si>
  <si>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</si>
  <si>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</si>
  <si>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</si>
  <si>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INV NO. 5559, PEMERIKSAAN AN. MUHAMMAD FAIZ (21/01)</t>
  </si>
  <si>
    <t>INV NO. 522 (21/04)</t>
  </si>
  <si>
    <t>INV NO. 77 (21/04)</t>
  </si>
  <si>
    <t>INV NO. 40129 (21/04)</t>
  </si>
  <si>
    <t>INV NO. 1225 (23/04)</t>
  </si>
  <si>
    <t>INV NO. 6795 (28/04)</t>
  </si>
  <si>
    <t>INV NO. 914 (28/04)</t>
  </si>
  <si>
    <t>INV NO. 5934 (28/04)</t>
  </si>
  <si>
    <t>INV NO. 426 (28/04)</t>
  </si>
  <si>
    <t>BIAYA PEMAKAIAN AIR GALON PER APRIL 2026 (29/04)</t>
  </si>
  <si>
    <t>BIAYA CATERING PASIEN RS SAMS PER MARET 2026 (28/04)</t>
  </si>
  <si>
    <t>INV NO. 1741 (14/04)</t>
  </si>
  <si>
    <t>CICILAN V INSTALASI OKSIGEN SENTRAL GAS MEDIS (09/05)</t>
  </si>
  <si>
    <t>CICILAN INV NO. 90001 (11/11)</t>
  </si>
  <si>
    <t>PELUNASAN INV NO. 90001 (11/11)</t>
  </si>
  <si>
    <t>IURAN BPJS KETENAGAKERJAAN NOVEMBER 2025 DAN DENDA KETERLAMBATAN (23/04)</t>
  </si>
  <si>
    <t>IURAN BPJS KETENAGAKERJAAN DESEMBER 2025</t>
  </si>
  <si>
    <t>IURAN BPJS KETENAGAKERJAAN JANUARI 2026</t>
  </si>
  <si>
    <t>IURAN BPJS KETENAGAKERJAAN FEBRUARI 2026</t>
  </si>
  <si>
    <t>IURAN BPJS KETENAGAKERJAAN MARET 2026</t>
  </si>
  <si>
    <t>IURAN BPJS KETENAGAKERJAAN APRIL 2026</t>
  </si>
  <si>
    <t>IURAN BPJS KETENAGAKERJAAN MEI 2026</t>
  </si>
  <si>
    <t>INV NO. 5601 (05/05)</t>
  </si>
  <si>
    <t>INV NO. 5714 (05/05)</t>
  </si>
  <si>
    <t>INV NO. 5719 (05/05)</t>
  </si>
  <si>
    <t>INV NO. 5746 (05/05)</t>
  </si>
  <si>
    <t>INV NO. 5750 (05/05)</t>
  </si>
  <si>
    <t>INV NO. 5751 (05/05)</t>
  </si>
  <si>
    <t>PF-0024</t>
  </si>
  <si>
    <t>INV NO. 12, PEMBELIAN TISSU RS SAMS PER MEI 2026 (05/05)</t>
  </si>
  <si>
    <t>INV NO. 2238 (05/05)</t>
  </si>
  <si>
    <t>INV NO. 2246 (05/05)</t>
  </si>
  <si>
    <t>INV NO. 2247 (05/05)</t>
  </si>
  <si>
    <t>INV NO. 2264 (05/05)</t>
  </si>
  <si>
    <t>INV NO. 2302 (05/05)</t>
  </si>
  <si>
    <t>INV NO. 2544 (05/05)</t>
  </si>
  <si>
    <t>INV NO. 2621 (05/05)</t>
  </si>
  <si>
    <t>NA-0041</t>
  </si>
  <si>
    <t>INV NO. 131, PEMERIKSAAN LABORATORIUM PER APRIL 2026 (06/05)</t>
  </si>
  <si>
    <t>UPTD LABKESDA SAMARINDA</t>
  </si>
  <si>
    <t>INV NO. 40232 (07/05)</t>
  </si>
  <si>
    <t>INV NO. 4174 (07/05)</t>
  </si>
  <si>
    <t>INV NO. BIAYA PEMERIKSAAN LABORATORIUM APRIL 2026 (06/05)</t>
  </si>
  <si>
    <t>INV NO.6053 (07/05)</t>
  </si>
  <si>
    <t>INV NO. 1137 (07/05)</t>
  </si>
  <si>
    <t>INV NO. 1156 (07/05)</t>
  </si>
  <si>
    <t>INV NO. 1167 (07/05)</t>
  </si>
  <si>
    <t>INV NO. 50039 (09/05)</t>
  </si>
  <si>
    <t>CICILAN TAHAP 24 LAMPU OPERASI 2 DOUBLE HEAD</t>
  </si>
  <si>
    <t>INV NO. RJ0361, PEMERIKSAAN AN. MARDIYAH (20/05)</t>
  </si>
  <si>
    <t>INV NO. RJ1217, PEMERIKSAAN AN. SANIAH (20/05)</t>
  </si>
  <si>
    <t>INV NO. RJ0029, PEMERIKSAAN AN. ABU AFAN AL-GHIFARI (20/05)</t>
  </si>
  <si>
    <t>INV NO. RJ0640, PEMERIKSAAN AN. SITI ROHANA (20/05)</t>
  </si>
  <si>
    <t>INV NO. RJ0155, PEMERIKSAAN AN. ROSIHAN ISMAIL (20/05)</t>
  </si>
  <si>
    <t>INV NO. 6500 (13/05)</t>
  </si>
  <si>
    <t>INV NO. 6667 (13/05)</t>
  </si>
  <si>
    <t>PM-0041</t>
  </si>
  <si>
    <t>INV NO. 142, BIAYA PEMAKAIAN DARAH PMI PER APRIL 2026 (12/05)</t>
  </si>
  <si>
    <t>INV NO. 2820 (12/05)</t>
  </si>
  <si>
    <t>INV NO. 2891 (12/05)</t>
  </si>
  <si>
    <t>INV NO. 3735 (12/05)</t>
  </si>
  <si>
    <t>INV NO. 3663 (12/05)</t>
  </si>
  <si>
    <t>INV NO. 5877 (12/05)</t>
  </si>
  <si>
    <t>INV NO. 5905 (12/05)</t>
  </si>
  <si>
    <t>INV NO. 5952 (12/05)</t>
  </si>
  <si>
    <t>INV NO. 0093 (12/05)</t>
  </si>
  <si>
    <t>INV NO. 0126 (12/05)</t>
  </si>
  <si>
    <t>INV NO. 0137 (12/05)</t>
  </si>
  <si>
    <t>INV NO. 7010 (12/05)</t>
  </si>
  <si>
    <t>INV NO. 3007 (12/05)</t>
  </si>
  <si>
    <t>INV NO. 761, BIAYA PENGIRIMAN INVOICE RS SAMS PER APRIL 2026 (13/05)</t>
  </si>
  <si>
    <t>INV NO. 900/6372, PEMERIKSAAN LAB PER APRIL 2026 (16/05)</t>
  </si>
  <si>
    <t>INV NO. 0002 (19/05)</t>
  </si>
  <si>
    <t>INV NO. 5319 (19/05)</t>
  </si>
  <si>
    <t>INV NO. 6105 (19/05)</t>
  </si>
  <si>
    <t>INV NO. 367 (20/05)</t>
  </si>
  <si>
    <t>BJ-0041</t>
  </si>
  <si>
    <t>INV NO. 028, BIAYA SEWA GENSET RS SAMS PER APRIL 2026 (20/05)</t>
  </si>
  <si>
    <t>PPH 21 DOKTER BULAN JANUARI 2026</t>
  </si>
  <si>
    <t>ESTIMASI PPH 21 KARYAWAN BULAN MARET 2026</t>
  </si>
  <si>
    <t>ESTIMASI PPH 21 KARYAWAN  BULAN FEBRUARI 2026</t>
  </si>
  <si>
    <t>ESTIMASI PPH 21 DOKTER BULAN APRIL 2026</t>
  </si>
  <si>
    <t>KAS NEGARA - PPH BADAN TAHUN 2022</t>
  </si>
  <si>
    <t>KAS NEGARA - PPH PASAL 23</t>
  </si>
  <si>
    <t>KAS NEGARA - PPH BADAN TAHUN 202</t>
  </si>
  <si>
    <t>ESTIMASI PPH PASAL 23 TAHUN 2022</t>
  </si>
  <si>
    <t>ESTIMASI PPH PASAL 23 TAHUN 2023</t>
  </si>
  <si>
    <t>EDY HARI SYAM, PT</t>
  </si>
  <si>
    <t>INV NO. 014 (21/05)</t>
  </si>
  <si>
    <t>INV NO. 015 (21/05)</t>
  </si>
  <si>
    <t>INV NO. 5996 (21/05)</t>
  </si>
  <si>
    <t>INV NO. 6031 (21/05)</t>
  </si>
  <si>
    <t>INV NO. 6032 (21/05)</t>
  </si>
  <si>
    <t>INV NO. 6051 (21/05)</t>
  </si>
  <si>
    <t>INV NO. 9689 (21/05)</t>
  </si>
  <si>
    <t>INV NO. 1527 (21/05)</t>
  </si>
  <si>
    <t>INV NO. 1530 (21/05)</t>
  </si>
  <si>
    <t>INV NO. 1555 (21/05)</t>
  </si>
  <si>
    <t>INV NO. 2024 (21/05)</t>
  </si>
  <si>
    <t>INV NO. 2209 (21/05)</t>
  </si>
  <si>
    <t>INV NO. 2248 (21/05)</t>
  </si>
  <si>
    <t>BIAYA CETAKAN PER MEI 2026 (22/05)</t>
  </si>
  <si>
    <t>INV NO. 4366 (23/05)</t>
  </si>
  <si>
    <t>INV NO. 4367 (23/05)</t>
  </si>
  <si>
    <t>INV NO. 4464 (23/05)</t>
  </si>
  <si>
    <t>INV NO. 4735 (23/05)</t>
  </si>
  <si>
    <t>INV NO. 5277 (23/05)</t>
  </si>
  <si>
    <t>INV NO. 3003 (23/05)</t>
  </si>
  <si>
    <t>INV NO. 704 (26/05)</t>
  </si>
  <si>
    <t>INV NO. 705 (26/05)</t>
  </si>
  <si>
    <t>INV NO. 6752 (26/05)</t>
  </si>
  <si>
    <t>CK-0035</t>
  </si>
  <si>
    <t>INV NO. 0120, BIAYA FOTOCOPY RS SAMS PER JANUARI 2026 (26/05)</t>
  </si>
  <si>
    <t>INV NO. 1447 (28/05), 5601 (RETUR)</t>
  </si>
  <si>
    <t>INV NO. 5944 (12/02), 004 (RETUR)</t>
  </si>
  <si>
    <t>INV NO. PP20260529001, PEMERIKSAAN AN. SUGITO, SUKRAN, FEBBY DIVA SETIAWAN (29/05)</t>
  </si>
  <si>
    <t>CICILAN INV NO. 5519, PEMERIKSAAN AN. RINDIANI DAN SUTANTI (21/01)</t>
  </si>
  <si>
    <t>PELUNASAN INV NO. 5519, PEMERIKSAAN AN. RINDIANI DAN SUTANTI (21/01)</t>
  </si>
  <si>
    <t>INV NO. 1026 (30/05)</t>
  </si>
  <si>
    <t>CICILAN VI INSTALASI OKSIGEN SENTRAL GAS MEDIS (09/05)</t>
  </si>
  <si>
    <t>INV NO. PP20260430002, PEMERIKSAAN AN. SALMIYAH, ADITYA HERLAMBANG, SUKARNADI DLL (04/05)</t>
  </si>
  <si>
    <t>CICILAN BIAYA PEMERIKSAAN LABORATORIUM PER SEPTEMBER 2025 (23/12)</t>
  </si>
  <si>
    <t>PELUNASAN BIAYA PEMERIKSAAN LABORATORIUM PER SEPTEMBER 2025 (23/12)</t>
  </si>
  <si>
    <t>BIAYA CATERING PASIEN RS SAMS PER APRIL 2026 (19/05)</t>
  </si>
  <si>
    <t>INV NO. 113, BIAYA PEMUSNAHAN LIMBAH MEDIS PER JANUARI 2025 (24/02)</t>
  </si>
  <si>
    <t>INV NO. 2221 (05/05)</t>
  </si>
  <si>
    <t>INV NO. 6864 (02/06)</t>
  </si>
  <si>
    <t>INV NO. 6870 (02/06)</t>
  </si>
  <si>
    <t>INV NO. 7406 (02/06)</t>
  </si>
  <si>
    <t>INV NO. 627 (02/06)</t>
  </si>
  <si>
    <t>INV NO. 424 (02/06)</t>
  </si>
  <si>
    <t>NA-0042</t>
  </si>
  <si>
    <t>INV NO. 153, PEMERIKSAAN LABORATORIUM PER MEI 2026 (03/06)</t>
  </si>
  <si>
    <t>BIAYA PEMAKAIAN AIR GALON PER MEI 2026 (03/06)</t>
  </si>
  <si>
    <t>INV NO. 50157 (04/06)</t>
  </si>
  <si>
    <t>INV NO. 7218 (04/06)</t>
  </si>
  <si>
    <t>INV NO. 7222 (04/06)</t>
  </si>
  <si>
    <t>INV NO. 7249 (04/06)</t>
  </si>
  <si>
    <t>INV NO. 1539 (04/06)</t>
  </si>
  <si>
    <t>INV NO. 2164 (06/06)</t>
  </si>
  <si>
    <t>INV NO. 8135 (09/06)</t>
  </si>
  <si>
    <t>INV NO. 2693 (09/06)</t>
  </si>
  <si>
    <t>INV NO. 009 (09/06)</t>
  </si>
  <si>
    <t>INV NO. 4145 (06/06), 8970 &amp; 8823 (RETUR)</t>
  </si>
  <si>
    <t>PM-0042</t>
  </si>
  <si>
    <t>INV NO. 179, BIAYA PEMAKAIAN DARAH PMI PER MEI 2026 (09/06)</t>
  </si>
  <si>
    <t>ESTIMASI PPH BADAN TAHUN 2024</t>
  </si>
  <si>
    <t>ESTIMASI PPH BADAN TAHUN 2025</t>
  </si>
  <si>
    <t>ESTIMASI PPH PASAL 23 TAHUN 2024</t>
  </si>
  <si>
    <t>ESTIMASI PPH PASAL 23 TAHUN 2025</t>
  </si>
  <si>
    <t>31/04/2025</t>
  </si>
  <si>
    <t>REMUNERASI JUN '25, JUL '25 DAN AGU '25 (09/07)</t>
  </si>
  <si>
    <t>REMUNERASI SEP '25, OKT '25 DAN NOV '25 (09/07)</t>
  </si>
  <si>
    <t>REMUNERASI DES '25, JAN '26 DAN FEB '26 (09/07)</t>
  </si>
  <si>
    <t>REMUNERASI MAR '25, APR '26 DAN MEI '26 (09/07)</t>
  </si>
  <si>
    <t>IURAN BPJS KETENAGAKERJAAN PER JUNI 2026</t>
  </si>
  <si>
    <t>ESTIMASI PPH 21 DOKTER BULAN MEI 2026</t>
  </si>
  <si>
    <t>ESTIMASI PPH 21 KARYAWAN BULAN MEI 2026</t>
  </si>
  <si>
    <t>ESTIMASI PPH 21 KARYAWAN BULAN APRIL 2026</t>
  </si>
  <si>
    <t>BIAYA CATERING PASIEN RS SAMS PER MEI 2026 (11/06)</t>
  </si>
  <si>
    <t>CICILAN BIAYA CETAKAN PER MARET 2026 (05/03)</t>
  </si>
  <si>
    <t>PELUNASAN BIAYA CETAKAN PER MARET 2026 (05/03)</t>
  </si>
  <si>
    <t>KAS NEGARA - PPH BADAN TAHUN 2023</t>
  </si>
  <si>
    <t>CICILAN I INV NO. 1531, BIAYA PEMUSNAHAN LIMBAH B3 PER OKTOBER 2024 (07/11)</t>
  </si>
  <si>
    <t>PELUNASAN INV NO. 1531, BIAYA PEMUSNAHAN LIMBAH B3 PER OKTOBER 2024 (07/11)</t>
  </si>
  <si>
    <t>PELUNASAN INV NO. 9180, ONEMED INFANT BUBBLE CPAP (EC) (16/07)</t>
  </si>
  <si>
    <t>INV NO. 8549 (11/06)</t>
  </si>
  <si>
    <t>INV NO. 8706 (11/06)</t>
  </si>
  <si>
    <t>INV NO. 8990 (11/06)</t>
  </si>
  <si>
    <t>INV NO. 8850 (11/06)</t>
  </si>
  <si>
    <t>INV NO. 9648 (11/06)</t>
  </si>
  <si>
    <t>INV NO. 9649 (11/06)</t>
  </si>
  <si>
    <t>INV NO. 6010 (11/06)</t>
  </si>
  <si>
    <t>INV NO. 6023 (11/06)</t>
  </si>
  <si>
    <t>INV NO. 6544 (11/06)</t>
  </si>
  <si>
    <t>INV NO. 924, BIAYA PENGIRIMAN INVOICE RS SAMS PER MEI 2026 (12/06)</t>
  </si>
  <si>
    <t>INV NO. 900/7808, PEMERIKSAAN LAB MEI 2026 (15/06)</t>
  </si>
  <si>
    <t>INV NO. 6871 (02/06)</t>
  </si>
  <si>
    <t>INV NO. 900/168, PEMERIKSAAN LABORATORIUM MEI 2026 (20/06)</t>
  </si>
  <si>
    <t>INV NO. 6380 (20/06)</t>
  </si>
  <si>
    <t>INV NO. 7516 (20/06)</t>
  </si>
  <si>
    <t>INV NO. 7553 (20/06)</t>
  </si>
  <si>
    <t>CICILAN BIAYA CETAKAN PER APRIL 2026 (28/04)</t>
  </si>
  <si>
    <t>PELUNASAN BIAYA CETAKAN PER APRIL 2026 (28/04)</t>
  </si>
  <si>
    <t>CICILAN INV NO. 524, PEMERIKSAAN AN. RISMAYANI, HALIMA, DWI ERFANDI DLL (15/03)</t>
  </si>
  <si>
    <t>PELUNASAN INV NO. 524, PEMERIKSAAN AN. RISMAYANI, HALIMA, DWI ERFANDI DLL (15/03)</t>
  </si>
  <si>
    <t>CICILAN INV NO. 1642 (24/02)</t>
  </si>
  <si>
    <t>PELUNASAN INV NO. 1642 (24/02)</t>
  </si>
  <si>
    <t>CICILAN INV NO. 379 (09/05)</t>
  </si>
  <si>
    <t>PELUNASAN INV NO. 379 (09/05)</t>
  </si>
  <si>
    <t>INV NO. 8023 (25/06)</t>
  </si>
  <si>
    <t>INV NO. 8195 (25/06)</t>
  </si>
  <si>
    <t>INV NO. 8198 (25/06)</t>
  </si>
  <si>
    <t>INV NO. 8210 (25/06)</t>
  </si>
  <si>
    <t>INV NO. 8219 (25/06)</t>
  </si>
  <si>
    <t>INV NO. 8465 (25/06)</t>
  </si>
  <si>
    <t>INV NO. 222 (25/06)</t>
  </si>
  <si>
    <t>INV NO. 081 (25/06)</t>
  </si>
  <si>
    <t>INV NO. 097 (25/06)</t>
  </si>
  <si>
    <t>INV NO. 392 (25/06)</t>
  </si>
  <si>
    <t>INV NO. 1322 (25/06)</t>
  </si>
  <si>
    <t>INV NO. 8467 (25/06)</t>
  </si>
  <si>
    <t>INV NO. 8613 (25/06)</t>
  </si>
  <si>
    <t>INV NO. 1510 (25/06)</t>
  </si>
  <si>
    <t>INV NO. 1526 (25/06), 312 (RETUR)</t>
  </si>
  <si>
    <t>INV NO. 626 (28/04)</t>
  </si>
  <si>
    <t>INV NO. 1722 (25/06)</t>
  </si>
  <si>
    <t>INV NO. 50296 (25/06)</t>
  </si>
  <si>
    <t>INV NO. 4412 (25/06)</t>
  </si>
  <si>
    <t>INV NO. 1757 (25/06)</t>
  </si>
  <si>
    <t>INV NO. 1781 (25/06), 7184 (RETUR)</t>
  </si>
  <si>
    <t>INV NO. 5140 (11/06), 152 &amp; 259 (RETUR)</t>
  </si>
  <si>
    <t>BIAYA PEMAKAIAN AIR GALON PER JUNI 2026 (30/06)</t>
  </si>
  <si>
    <t>INV NO. 9932 (30/06)</t>
  </si>
  <si>
    <t>INV NO. 6270 (30/06)</t>
  </si>
  <si>
    <t>INV NO. 2047 (30/06)</t>
  </si>
  <si>
    <t>INV NO. 2052 (30/06)</t>
  </si>
  <si>
    <t>INV NO. 2083 (30/06)</t>
  </si>
  <si>
    <t>INV NO. 8525 (30/06)</t>
  </si>
  <si>
    <t>INV NO. 8699 (30/06)</t>
  </si>
  <si>
    <t>INV NO. 8700 (30/06)</t>
  </si>
  <si>
    <t>INV NO. 8703 (30/06)</t>
  </si>
  <si>
    <t>INV NO. 8805 (30/06)</t>
  </si>
  <si>
    <t>ESTIMASI PPH 21 KARYAWAN BULAN JUNI 2026</t>
  </si>
  <si>
    <t>CICILAN I INV NO. 3981 (27/01)</t>
  </si>
  <si>
    <t>PELUNASAN INV NO. 3981 (27/01)</t>
  </si>
  <si>
    <t>CICILAN INV NO. 504, PEMBELIAN PATIENT MONITOR HK-805 (14/05)</t>
  </si>
  <si>
    <t>CICILAN INV NO. 549, PEMBELIAN EKG BK-1201A BOSKA (27/06)</t>
  </si>
  <si>
    <t>BJ-0042</t>
  </si>
  <si>
    <t>INV NO. 007, BIAYA SEWA GENSET RS SAMS PER MEI 2026 (01/07)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</si>
  <si>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</si>
  <si>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</si>
  <si>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</si>
  <si>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</si>
  <si>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</si>
  <si>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</si>
  <si>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</si>
  <si>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</si>
  <si>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</si>
  <si>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</si>
  <si>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</si>
  <si>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</si>
  <si>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</si>
  <si>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</si>
  <si>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2637</t>
  </si>
  <si>
    <t>2638</t>
  </si>
  <si>
    <t>2639</t>
  </si>
  <si>
    <t>2640</t>
  </si>
  <si>
    <t>2661</t>
  </si>
  <si>
    <t>2662</t>
  </si>
  <si>
    <t>2663</t>
  </si>
  <si>
    <t>2664</t>
  </si>
  <si>
    <t>2762</t>
  </si>
  <si>
    <t>2763</t>
  </si>
  <si>
    <t>2764</t>
  </si>
  <si>
    <t>2765</t>
  </si>
  <si>
    <t>2786</t>
  </si>
  <si>
    <t>2787</t>
  </si>
  <si>
    <t>2788</t>
  </si>
  <si>
    <t>2789</t>
  </si>
  <si>
    <t>2790</t>
  </si>
  <si>
    <t>2791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</si>
  <si>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</si>
  <si>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</si>
  <si>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</si>
  <si>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</si>
  <si>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</si>
  <si>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</si>
  <si>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</si>
  <si>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</si>
  <si>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</si>
  <si>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</si>
  <si>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</si>
  <si>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</si>
  <si>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</si>
  <si>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</si>
  <si>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</si>
  <si>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</si>
  <si>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</si>
  <si>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</si>
  <si>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</si>
  <si>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</si>
  <si>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</si>
  <si>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</si>
  <si>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</si>
  <si>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</si>
  <si>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</si>
  <si>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</si>
  <si>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</si>
  <si>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</si>
  <si>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</si>
  <si>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</si>
  <si>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</si>
  <si>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</si>
  <si>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</si>
  <si>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</si>
  <si>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</si>
  <si>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</si>
  <si>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</si>
  <si>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</si>
  <si>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</si>
  <si>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</si>
  <si>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</si>
  <si>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</si>
  <si>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</si>
  <si>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</si>
  <si>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</si>
  <si>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</si>
  <si>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</si>
  <si>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</si>
  <si>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</si>
  <si>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</si>
  <si>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</si>
  <si>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</si>
  <si>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</si>
  <si>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2940</t>
  </si>
  <si>
    <t>2960</t>
  </si>
  <si>
    <t>2961</t>
  </si>
  <si>
    <t>2962</t>
  </si>
  <si>
    <t>2982</t>
  </si>
  <si>
    <t>2983</t>
  </si>
  <si>
    <t>3010</t>
  </si>
  <si>
    <t>3011</t>
  </si>
  <si>
    <t>3012</t>
  </si>
  <si>
    <t>3013</t>
  </si>
  <si>
    <t>3014</t>
  </si>
  <si>
    <t>3015</t>
  </si>
  <si>
    <t>3016</t>
  </si>
  <si>
    <t>3088</t>
  </si>
  <si>
    <t>3105</t>
  </si>
  <si>
    <t>3106</t>
  </si>
  <si>
    <t>3113</t>
  </si>
  <si>
    <t>3114</t>
  </si>
  <si>
    <t>3153</t>
  </si>
  <si>
    <t>3154</t>
  </si>
  <si>
    <t>INV NO. 6040, PEMERIKSAAN LAB PER JUNI 2026 (01/07)</t>
  </si>
  <si>
    <t>BIAYA CETAKAN PER JUNI 2026 (02/07)</t>
  </si>
  <si>
    <t>BIAYA CETAKAN PER JULI 2026 (02/07)</t>
  </si>
  <si>
    <t>INV NO. 5207 (02/07)</t>
  </si>
  <si>
    <t>NA-0043</t>
  </si>
  <si>
    <t>BIAYA PEMAKAIAN OXYGEN PER OKTOBER 2025 (02/07)</t>
  </si>
  <si>
    <t>BIAYA PEMAKAIAN OXYGEN PER NOVEMBER 2025 (02/07)</t>
  </si>
  <si>
    <t>BIAYA PEMAKAIAN OXYGEN PER DESEMBER 2025 (02/07)</t>
  </si>
  <si>
    <t>BIAYA PEMAKAIAN OXYGEN PER JANUARI 2026 (02/07)</t>
  </si>
  <si>
    <t>BIAYA PEMAKAIAN OXYGEN PER FEBRUARI 2026 (02/07)</t>
  </si>
  <si>
    <t>BIAYA PEMAKAIAN OXYGEN PER MARET 2026 (02/07)</t>
  </si>
  <si>
    <t>BIAYA PEMAKAIAN OXYGEN PER APRIL 2026 (02/07)</t>
  </si>
  <si>
    <t>BIAYA PEMAKAIAN OXYGEN PER MEI 2026 (02/07)</t>
  </si>
  <si>
    <t>BIAYA PEMAKAIAN OXYGEN PER JUNI 2026 (02/07)</t>
  </si>
  <si>
    <t>INV NO. PP20260630003, PEMERIKSAAN AN. SITI NURMAIDA, FADHILAH ALIYAH, NURATI DLL (04/07)</t>
  </si>
  <si>
    <t>INV NO. 900/184, PEMERIKSAAN LABORATORIUM PER JUNI 2026 (06/07)</t>
  </si>
  <si>
    <t>PM-0043</t>
  </si>
  <si>
    <t>INV NO. 206, BIAYA PEMAKAIAN DARAH PER PMI\ JUNI 2026 (07/07)</t>
  </si>
  <si>
    <t>BIAYA PEMERIKSAAN LABORATORIUM PER FEBRUARI 2026 (07/07)</t>
  </si>
  <si>
    <t>BIAYA PEMERIKSAAN LABORATORIUM PER MARET 2026 (07/07)</t>
  </si>
  <si>
    <t>BIAYA PEMERIKSAAN LABORATORIUM PER APRIL 2026 (07/07)</t>
  </si>
  <si>
    <t>BIAYA PEMERIKSAAN LABORATORIUM PER MEI 2026 (07/07)</t>
  </si>
  <si>
    <t>INV NO. 5085 (07/07)</t>
  </si>
  <si>
    <t>INV NO. 5262 (07/07)</t>
  </si>
  <si>
    <t>INV NO. 5438 (07/07)</t>
  </si>
  <si>
    <t>INV NO. 5258 (07/07)</t>
  </si>
  <si>
    <t>INV NO. 5437 (07/07)</t>
  </si>
  <si>
    <t>INV NO. 5682 (07/07)</t>
  </si>
  <si>
    <t>INV NO. 5594 (07/07)</t>
  </si>
  <si>
    <t>INV NO. 5974 (07/07)</t>
  </si>
  <si>
    <t>INV NO. 2276 (07/07)</t>
  </si>
  <si>
    <t>INV NO. 2277 (07/07)</t>
  </si>
  <si>
    <t>INV NO. 2278 (07/07)</t>
  </si>
  <si>
    <t>INV NO. 2279 (07/07)</t>
  </si>
  <si>
    <t>INV NO. 2199 (07/07)</t>
  </si>
  <si>
    <t>INV NO. 2219 (07/07)</t>
  </si>
  <si>
    <t>INV NO. 2222 (07/07)</t>
  </si>
  <si>
    <t>INV NO. 60049 (07/07)</t>
  </si>
  <si>
    <t>INV NO. 60067 (07/07)</t>
  </si>
  <si>
    <t>INV NO. 60093 (07/07)</t>
  </si>
  <si>
    <t>INV NO. 60185 (07/07)</t>
  </si>
  <si>
    <t>INV NO. 60253 (07/07)</t>
  </si>
  <si>
    <t>MA-0054</t>
  </si>
  <si>
    <t>INV NO. 968 (09/07)</t>
  </si>
  <si>
    <t>INV NO. 208, PEMERIKSAAN LABORATORIUM JUNI 2026 (02/07)</t>
  </si>
  <si>
    <t>INV NO. 6392 (09/12)</t>
  </si>
  <si>
    <t>INV NO. 2905 (11/07)</t>
  </si>
  <si>
    <t>INV NO. 8581 (11/07)</t>
  </si>
  <si>
    <t>INV NO. 1853 (11/07)</t>
  </si>
  <si>
    <t>INV NO. 1856 (11/07)</t>
  </si>
  <si>
    <t>INV NO. 1865 (11/07)</t>
  </si>
  <si>
    <t>INV NO. 1889 (11/07)</t>
  </si>
  <si>
    <t>INV NO. 1945 (11/07)</t>
  </si>
  <si>
    <t>INV NO. 9429 (11/07)</t>
  </si>
  <si>
    <t>INV NO. 1993 (11/07)</t>
  </si>
  <si>
    <t>INV NO. 1994 (11/07)</t>
  </si>
  <si>
    <t>INV NO. 1996 (11/07)</t>
  </si>
  <si>
    <t>INV NO. 832 (11/07)</t>
  </si>
  <si>
    <t>INV NO. 855 (11/07)</t>
  </si>
  <si>
    <t>INV NO. 946 (11/07)</t>
  </si>
  <si>
    <t>INV NO. 998 (11/07)</t>
  </si>
  <si>
    <t>INV NO. 1408 (11/07)</t>
  </si>
  <si>
    <t>INV NO. 8902 (14/07)</t>
  </si>
  <si>
    <t>INV NO. 9068 (14/07)</t>
  </si>
  <si>
    <t>INV NO. 9281 (14/07)</t>
  </si>
  <si>
    <t>INV NO. 9451 (14/07)</t>
  </si>
  <si>
    <t>INV NO. 9355 (14/07)</t>
  </si>
  <si>
    <t>INV NO. 1534 (14/07)</t>
  </si>
  <si>
    <t>INV NO. 1560 (14/07)</t>
  </si>
  <si>
    <t>INV NO. 10086 (14/07)</t>
  </si>
  <si>
    <t>INV NO. 20510 (14/07)</t>
  </si>
  <si>
    <t>INV NO. 20750 (14/07)</t>
  </si>
  <si>
    <t>INV NO. 1063 (14/07)</t>
  </si>
  <si>
    <t>INV NO. 1117 (14/07)</t>
  </si>
  <si>
    <t>INV NO. 1381 (14/07)</t>
  </si>
  <si>
    <t>INV NO. 1982 (14/07)</t>
  </si>
  <si>
    <t>INV NO. 673, PEMBELIAN TISSU RS SAMS PER JUNI 2026 (14/07)</t>
  </si>
  <si>
    <t>INV NO. 169 (14/07)</t>
  </si>
  <si>
    <t>INV NO. 253 (14/07)</t>
  </si>
  <si>
    <t>INV NO. 268 (14/07)</t>
  </si>
  <si>
    <t>INV NO. 329 (14/07)</t>
  </si>
  <si>
    <t>INV NO. 338 (14/07)</t>
  </si>
  <si>
    <t>INV NO. 900/9203, PEMERIKSAAN LABORATORIUM PER JUNI 2026 (15/07)</t>
  </si>
  <si>
    <t>INV NO. 1087, BIAYA PENGIRIMAN INVOICE RS SAMS PER JUNI 2026 (15/07)</t>
  </si>
  <si>
    <t>INV NO. 2047 (16/07)</t>
  </si>
  <si>
    <t>INV NO. 10949 (11/07)</t>
  </si>
  <si>
    <t>BIAYA CETAKAN PER JULI 2026 (18/07)</t>
  </si>
  <si>
    <t>HA-0191</t>
  </si>
  <si>
    <t>INV NO. 2541, PEMB MONITOR SAMSUNG, KEYBOARD DAN MOUSE (20/07)</t>
  </si>
  <si>
    <t>IURAN BPJS KETENAGAKERJAAN PER JULI 2026</t>
  </si>
  <si>
    <t>BIAYA CATERING PASIEN RS SAMS PER JUNI 2026 (23/07)</t>
  </si>
  <si>
    <t>CICILAN INV NO. 695 (18/06)</t>
  </si>
  <si>
    <t>PELUNASAN INV NO. 695 (18/06)</t>
  </si>
  <si>
    <t>CICILAN II INV NO. 1531, BIAYA PEMUSNAHAN LIMBAH B3 PER OKTOBER 2024 (07/11)</t>
  </si>
  <si>
    <t>INV NO. 2663 (14/07)</t>
  </si>
  <si>
    <t>INV NO. 2088 (21/07)</t>
  </si>
  <si>
    <t>INV NO. 90450 (21/07)</t>
  </si>
  <si>
    <t>INV NO. 90451 (21/07)</t>
  </si>
  <si>
    <t>INV NO. 90452 (21/07)</t>
  </si>
  <si>
    <t>INV NO. 90517 (21/07)</t>
  </si>
  <si>
    <t>INV NO. 2101 (21/07)</t>
  </si>
  <si>
    <t>INV NO. 2930 (21/07)</t>
  </si>
  <si>
    <t>INV NO. 5372 (21/07)</t>
  </si>
  <si>
    <t>INV NO. 3675 (21/07)</t>
  </si>
  <si>
    <t>INV NO. 5622 (21/07)</t>
  </si>
  <si>
    <t>INV NO. 7006 (21/07)</t>
  </si>
  <si>
    <t>INV NO. 6939 (21/07)</t>
  </si>
  <si>
    <t>INV NO. 6944 (21/07)</t>
  </si>
  <si>
    <t>INV NO. 6949 (21/07)</t>
  </si>
  <si>
    <t>INV NO. 701 (21/07), 008 (RETUR)</t>
  </si>
  <si>
    <t>INV NO. 3224 (21/07), 56, 57, 58, 89 (RETUR)</t>
  </si>
  <si>
    <t>INV NO. 1104 (23/07)</t>
  </si>
  <si>
    <t>INV NO. 1205 (23/07)</t>
  </si>
  <si>
    <t>INV NO. 2972 (23/07)</t>
  </si>
  <si>
    <t>INV NO. 1620 (23/07)</t>
  </si>
  <si>
    <t>INV NO. 3594 (23/07)</t>
  </si>
  <si>
    <t>INV NO. 2976 (23/07)</t>
  </si>
  <si>
    <t>INV NO. 6166 (23/07)</t>
  </si>
  <si>
    <t>INV NO. 8027 (23/07)</t>
  </si>
  <si>
    <t>INV NO. 8551 (23/07)</t>
  </si>
  <si>
    <t>INV NO. 3830 (23/07)</t>
  </si>
  <si>
    <t>INV NO. 60753 (23/07)</t>
  </si>
  <si>
    <t>INV NO. 60047 (23/07)</t>
  </si>
  <si>
    <t>INV NO. 4227 (23/07)</t>
  </si>
  <si>
    <t>BIAYA CETAKAN PER JULI 2026 (24/07)</t>
  </si>
  <si>
    <t>CICILAN INV NO. 7613 (20/06)</t>
  </si>
  <si>
    <t>PELUNASAN INV NO. 7613 (20/06)</t>
  </si>
  <si>
    <t>INV NO. 20749 (17/07)</t>
  </si>
  <si>
    <t>CICILAN TAHAP 25 LAMPU OPERASI 2 DOUBLE HEAD</t>
  </si>
  <si>
    <t>ESTIMASI PPH 21 DOKTER BULAN JUNI 2026</t>
  </si>
  <si>
    <t>PPH 21 DOKTER BULAN FEBRUARI 2026</t>
  </si>
  <si>
    <t>PPH 21 DOKTER BULAN MARET 2026</t>
  </si>
  <si>
    <t>INV NO. 10084 (28/07)</t>
  </si>
  <si>
    <t>INV NO. 10085 (28/07)</t>
  </si>
  <si>
    <t>INV NO. 10139 (28/07)</t>
  </si>
  <si>
    <t>INV NO. 10173 (28/07)</t>
  </si>
  <si>
    <t>INV NO. 10205 (28/07)</t>
  </si>
  <si>
    <t>INV NO. 10207 (28/07)</t>
  </si>
  <si>
    <t>INV NO. 10238 (28/07)</t>
  </si>
  <si>
    <t>INV NO. 10221 (28/07)</t>
  </si>
  <si>
    <t>INV NO. 1585 (28/07)</t>
  </si>
  <si>
    <t>INV NO. 1587 (28/07)</t>
  </si>
  <si>
    <t>BIAYA PEMAKAIAN AIR GALON PER JULI 2026 (28/07)</t>
  </si>
  <si>
    <t>INV NO. 629 (29/07)</t>
  </si>
  <si>
    <t xml:space="preserve"> PPH BADAN TAHUN 2022</t>
  </si>
  <si>
    <t xml:space="preserve"> PPH BADAN TAHUN 2023</t>
  </si>
  <si>
    <t>INV NO. 880 (30/07)</t>
  </si>
  <si>
    <t>INV NO. 6501 (30/07)</t>
  </si>
  <si>
    <t>INV NO. 2022 (30/07)</t>
  </si>
  <si>
    <t>INV NO. 2034 (30/07)</t>
  </si>
  <si>
    <t>INV NO. 2267 (30/07)</t>
  </si>
  <si>
    <t>INV NO. 2256 (30/07)</t>
  </si>
  <si>
    <t>DAVIKA SEHAT SENTOSA, PT</t>
  </si>
  <si>
    <t>0827</t>
  </si>
  <si>
    <t>0828</t>
  </si>
  <si>
    <t>0832</t>
  </si>
  <si>
    <t>0833</t>
  </si>
  <si>
    <t>0834</t>
  </si>
  <si>
    <t>0835</t>
  </si>
  <si>
    <t>0836</t>
  </si>
  <si>
    <t>0837</t>
  </si>
  <si>
    <t>0849</t>
  </si>
  <si>
    <t>0850</t>
  </si>
  <si>
    <t>0851</t>
  </si>
  <si>
    <t>0852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</si>
  <si>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</si>
  <si>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</si>
  <si>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</si>
  <si>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</si>
  <si>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</si>
  <si>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</si>
  <si>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</si>
  <si>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</si>
  <si>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</si>
  <si>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</si>
  <si>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</si>
  <si>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</si>
  <si>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</si>
  <si>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</si>
  <si>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</si>
  <si>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</si>
  <si>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</si>
  <si>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</si>
  <si>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</si>
  <si>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</si>
  <si>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</si>
  <si>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</si>
  <si>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</si>
  <si>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</si>
  <si>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</si>
  <si>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</si>
  <si>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</si>
  <si>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</si>
  <si>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</si>
  <si>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</si>
  <si>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</si>
  <si>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</si>
  <si>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</si>
  <si>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</si>
  <si>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</si>
  <si>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</si>
  <si>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</si>
  <si>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</si>
  <si>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</si>
  <si>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</si>
  <si>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</si>
  <si>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</si>
  <si>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</si>
  <si>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</si>
  <si>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</si>
  <si>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</si>
  <si>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</si>
  <si>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</si>
  <si>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</si>
  <si>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</si>
  <si>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</si>
  <si>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</si>
  <si>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</si>
  <si>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</si>
  <si>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</si>
  <si>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</si>
  <si>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</si>
  <si>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</si>
  <si>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</si>
  <si>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</si>
  <si>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</si>
  <si>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</si>
  <si>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</si>
  <si>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</si>
  <si>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</si>
  <si>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</si>
  <si>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</si>
  <si>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</si>
  <si>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</si>
  <si>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</si>
  <si>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</si>
  <si>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</si>
  <si>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</si>
  <si>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</si>
  <si>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</si>
  <si>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</si>
  <si>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</si>
  <si>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</si>
  <si>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</si>
  <si>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</si>
  <si>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</si>
  <si>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</si>
  <si>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</si>
  <si>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</si>
  <si>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</si>
  <si>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</si>
  <si>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</si>
  <si>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</si>
  <si>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</si>
  <si>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</si>
  <si>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</si>
  <si>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</si>
  <si>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</si>
  <si>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</si>
  <si>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</si>
  <si>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</si>
  <si>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</si>
  <si>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</si>
  <si>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</si>
  <si>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</si>
  <si>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</si>
  <si>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</si>
  <si>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</si>
  <si>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</si>
  <si>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</si>
  <si>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</si>
  <si>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</si>
  <si>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1210</t>
  </si>
  <si>
    <t>1211</t>
  </si>
  <si>
    <t>1212</t>
  </si>
  <si>
    <t>1213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</si>
  <si>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</si>
  <si>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</si>
  <si>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</si>
  <si>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</si>
  <si>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</si>
  <si>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</si>
  <si>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</si>
  <si>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</si>
  <si>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</si>
  <si>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</si>
  <si>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</si>
  <si>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</si>
  <si>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</si>
  <si>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</si>
  <si>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</si>
  <si>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</si>
  <si>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</si>
  <si>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</si>
  <si>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1404</t>
  </si>
  <si>
    <t>1405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</si>
  <si>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</si>
  <si>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</si>
  <si>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</si>
  <si>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</si>
  <si>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</si>
  <si>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</si>
  <si>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</si>
  <si>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</si>
  <si>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</si>
  <si>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</si>
  <si>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</si>
  <si>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</si>
  <si>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</si>
  <si>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</si>
  <si>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</si>
  <si>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</si>
  <si>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</si>
  <si>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</si>
  <si>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</si>
  <si>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1593</t>
  </si>
  <si>
    <t>1594</t>
  </si>
  <si>
    <t>1595</t>
  </si>
  <si>
    <t>1596</t>
  </si>
  <si>
    <t>1597</t>
  </si>
  <si>
    <t>1598</t>
  </si>
  <si>
    <t>1615</t>
  </si>
  <si>
    <t>1616</t>
  </si>
  <si>
    <t>1617</t>
  </si>
  <si>
    <t>1618</t>
  </si>
  <si>
    <t>1619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</si>
  <si>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</si>
  <si>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</si>
  <si>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</si>
  <si>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</si>
  <si>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</si>
  <si>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</si>
  <si>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</si>
  <si>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</si>
  <si>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</si>
  <si>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</si>
  <si>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</si>
  <si>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</si>
  <si>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</si>
  <si>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</si>
  <si>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</si>
  <si>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</si>
  <si>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</si>
  <si>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</si>
  <si>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</si>
  <si>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</si>
  <si>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</si>
  <si>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</si>
  <si>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</si>
  <si>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</si>
  <si>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</si>
  <si>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</si>
  <si>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</si>
  <si>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</si>
  <si>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</si>
  <si>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</si>
  <si>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</si>
  <si>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</si>
  <si>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</si>
  <si>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</si>
  <si>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</si>
  <si>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</si>
  <si>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</si>
  <si>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</si>
  <si>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</si>
  <si>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</si>
  <si>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</si>
  <si>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</si>
  <si>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</si>
  <si>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</si>
  <si>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</si>
  <si>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</si>
  <si>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</si>
  <si>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</si>
  <si>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</si>
  <si>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</si>
  <si>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</si>
  <si>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</si>
  <si>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</si>
  <si>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</si>
  <si>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</si>
  <si>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</si>
  <si>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</si>
  <si>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</si>
  <si>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</si>
  <si>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</si>
  <si>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</si>
  <si>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</si>
  <si>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</si>
  <si>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</si>
  <si>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</si>
  <si>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</si>
  <si>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</si>
  <si>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</si>
  <si>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</si>
  <si>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</si>
  <si>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</si>
  <si>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</si>
  <si>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</si>
  <si>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</si>
  <si>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</si>
  <si>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</si>
  <si>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</si>
  <si>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</si>
  <si>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</si>
  <si>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</si>
  <si>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</si>
  <si>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</si>
  <si>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</si>
  <si>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</si>
  <si>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</si>
  <si>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</si>
  <si>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1809</t>
  </si>
  <si>
    <t>1810</t>
  </si>
  <si>
    <t>1811</t>
  </si>
  <si>
    <t>1812</t>
  </si>
  <si>
    <t>1813</t>
  </si>
  <si>
    <t>1862</t>
  </si>
  <si>
    <t>1863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</si>
  <si>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</si>
  <si>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</si>
  <si>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</si>
  <si>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</si>
  <si>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</si>
  <si>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</si>
  <si>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</si>
  <si>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</si>
  <si>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</si>
  <si>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1889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</si>
  <si>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</si>
  <si>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</si>
  <si>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</si>
  <si>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</si>
  <si>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</si>
  <si>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</si>
  <si>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</si>
  <si>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</si>
  <si>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</si>
  <si>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</si>
  <si>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</si>
  <si>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</si>
  <si>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</si>
  <si>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</si>
  <si>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</si>
  <si>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</si>
  <si>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</si>
  <si>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</si>
  <si>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</si>
  <si>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</si>
  <si>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</si>
  <si>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</si>
  <si>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</si>
  <si>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</si>
  <si>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</si>
  <si>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</si>
  <si>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</si>
  <si>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</si>
  <si>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</si>
  <si>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</si>
  <si>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</si>
  <si>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</si>
  <si>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</si>
  <si>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</si>
  <si>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</si>
  <si>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</si>
  <si>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</si>
  <si>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</si>
  <si>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</si>
  <si>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</si>
  <si>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</si>
  <si>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</si>
  <si>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</si>
  <si>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</si>
  <si>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</si>
  <si>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</si>
  <si>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</si>
  <si>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</si>
  <si>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</si>
  <si>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</si>
  <si>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</si>
  <si>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</si>
  <si>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</si>
  <si>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</si>
  <si>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</si>
  <si>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</si>
  <si>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</si>
  <si>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</si>
  <si>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</si>
  <si>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</si>
  <si>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</si>
  <si>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</si>
  <si>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</si>
  <si>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</si>
  <si>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2095</t>
  </si>
  <si>
    <t>2096</t>
  </si>
  <si>
    <t>2097</t>
  </si>
  <si>
    <t>2098</t>
  </si>
  <si>
    <t>2099</t>
  </si>
  <si>
    <t>2123</t>
  </si>
  <si>
    <t>2124</t>
  </si>
  <si>
    <t>2133</t>
  </si>
  <si>
    <t>2134</t>
  </si>
  <si>
    <t>2135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</si>
  <si>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</si>
  <si>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</si>
  <si>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</si>
  <si>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</si>
  <si>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</si>
  <si>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</si>
  <si>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</si>
  <si>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</si>
  <si>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</si>
  <si>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</si>
  <si>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</si>
  <si>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</si>
  <si>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</si>
  <si>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</si>
  <si>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</si>
  <si>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</si>
  <si>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</si>
  <si>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</si>
  <si>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</si>
  <si>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</si>
  <si>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</si>
  <si>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</si>
  <si>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</si>
  <si>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</si>
  <si>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</si>
  <si>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</si>
  <si>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</si>
  <si>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</si>
  <si>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</si>
  <si>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</si>
  <si>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</si>
  <si>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</si>
  <si>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</si>
  <si>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</si>
  <si>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</si>
  <si>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</si>
  <si>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</si>
  <si>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</si>
  <si>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</si>
  <si>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</si>
  <si>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</si>
  <si>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</si>
  <si>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</si>
  <si>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</si>
  <si>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</si>
  <si>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</si>
  <si>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</si>
  <si>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</si>
  <si>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</si>
  <si>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</si>
  <si>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</si>
  <si>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</si>
  <si>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</si>
  <si>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</si>
  <si>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</si>
  <si>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</si>
  <si>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</si>
  <si>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</si>
  <si>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</si>
  <si>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</si>
  <si>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</si>
  <si>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</si>
  <si>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</si>
  <si>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</si>
  <si>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</si>
  <si>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</si>
  <si>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</si>
  <si>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</si>
  <si>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</si>
  <si>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</si>
  <si>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</si>
  <si>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</si>
  <si>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</si>
  <si>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</si>
  <si>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</si>
  <si>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</si>
  <si>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</si>
  <si>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</si>
  <si>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</si>
  <si>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</si>
  <si>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</si>
  <si>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</si>
  <si>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</si>
  <si>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</si>
  <si>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</si>
  <si>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</si>
  <si>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</si>
  <si>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</si>
  <si>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</si>
  <si>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</si>
  <si>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</si>
  <si>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</si>
  <si>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</si>
  <si>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</si>
  <si>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</si>
  <si>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</si>
  <si>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</si>
  <si>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</si>
  <si>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</si>
  <si>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</si>
  <si>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</si>
  <si>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</si>
  <si>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</si>
  <si>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</si>
  <si>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</si>
  <si>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</si>
  <si>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</si>
  <si>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</si>
  <si>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</si>
  <si>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</si>
  <si>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</si>
  <si>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</si>
  <si>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</si>
  <si>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</si>
  <si>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</si>
  <si>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</si>
  <si>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2564</t>
  </si>
  <si>
    <t>2565</t>
  </si>
  <si>
    <t>2566</t>
  </si>
  <si>
    <t>INV NO. 184 (31/07)</t>
  </si>
  <si>
    <t>DP BIAYA CATERING PASIEN RS SAMS PER JUNI 2026 (23/07)</t>
  </si>
  <si>
    <t>DP INV NO. 7873 (09/09)</t>
  </si>
  <si>
    <t>PELUNASAN INV NO. 7873 (09/09)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</si>
</sst>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164" formatCode="_(* #,##0_);_(* \(#,##0\);_(* &quot;-&quot;_);_(@_)"/>
    <numFmt numFmtId="165" formatCode="_ * #,##0_ ;_ * \-#,##0_ ;_ * &quot;-&quot;??_ ;_ @_ "/>
    <numFmt numFmtId="166" formatCode="_(* #,##0_);_(* \(#,##0\);_(* &quot;-&quot;??_);_(@_)"/>
    <numFmt numFmtId="167" formatCode="yyyy\-mm\-dd"/>
    <numFmt numFmtId="168" formatCode="[$-409]yyyy\-mmm"/>
    <numFmt numFmtId="169" formatCode="yyyy&quot;-&quot;mm&quot;-&quot;dd"/>
    <numFmt numFmtId="170" formatCode="_-* #,##0_-;\-* #,##0_-;_-* &quot;-&quot;_-;_-@"/>
    <numFmt numFmtId="171" formatCode="0.0"/>
    <numFmt numFmtId="172" formatCode="[$-409]dd\-mmm\-yy"/>
    <numFmt numFmtId="173" formatCode="[$-13809]dd/mm/yyyy"/>
    <numFmt numFmtId="174" formatCode="[$-409]d\-mmm\-yy"/>
    <numFmt numFmtId="175" formatCode="mmm/d/yyyy"/>
  </numFmts>
  <fonts count="32">
    <font>
      <sz val="10"/>
      <color rgb="FF000000"/>
      <name val="Arial"/>
      <charset val="134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</font>
    <font>
      <b/>
      <sz val="12"/>
      <color theme="0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sz val="11"/>
      <color rgb="FFFFFFFF"/>
      <name val="Calibri"/>
      <family val="2"/>
    </font>
    <font>
      <b/>
      <sz val="11"/>
      <color theme="1"/>
      <name val="Calibri"/>
      <family val="2"/>
    </font>
    <font>
      <b/>
      <sz val="26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b/>
      <sz val="24"/>
      <color theme="1"/>
      <name val="Calibri"/>
      <family val="2"/>
    </font>
    <font>
      <b/>
      <sz val="12"/>
      <color theme="1"/>
      <name val="Calibri"/>
      <family val="2"/>
    </font>
    <font>
      <b/>
      <sz val="24"/>
      <color theme="0"/>
      <name val="Calibri"/>
      <family val="2"/>
    </font>
    <font>
      <sz val="24"/>
      <color theme="0"/>
      <name val="Calibri"/>
      <family val="2"/>
    </font>
    <font>
      <b/>
      <sz val="12"/>
      <color rgb="FFFFFFFF"/>
      <name val="Calibri"/>
      <family val="2"/>
    </font>
    <font>
      <b/>
      <sz val="14"/>
      <color theme="1"/>
      <name val="Calibri"/>
      <family val="2"/>
    </font>
    <font>
      <sz val="11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11"/>
      <color theme="1"/>
      <name val="Calibri"/>
      <family val="2"/>
    </font>
    <font>
      <sz val="8"/>
      <name val="Arial"/>
      <family val="2"/>
      <scheme val="minor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92D050"/>
        <bgColor rgb="FF92D050"/>
      </patternFill>
    </fill>
    <fill>
      <patternFill patternType="solid">
        <fgColor rgb="FFB8CCE4"/>
        <bgColor rgb="FFB8CCE4"/>
      </patternFill>
    </fill>
    <fill>
      <patternFill patternType="solid">
        <fgColor rgb="FFC22114"/>
        <bgColor rgb="FFC22114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1498458815271462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41" fontId="4" fillId="0" borderId="0" applyFont="0" applyFill="0" applyBorder="0" applyAlignment="0" applyProtection="0"/>
  </cellStyleXfs>
  <cellXfs count="284">
    <xf numFmtId="0" fontId="0" fillId="0" borderId="0" xfId="0"/>
    <xf numFmtId="41" fontId="0" fillId="0" borderId="0" xfId="1" applyFont="1"/>
    <xf numFmtId="41" fontId="3" fillId="0" borderId="0" xfId="1" applyFont="1"/>
    <xf numFmtId="0" fontId="4" fillId="0" borderId="0" xfId="0" applyFont="1"/>
    <xf numFmtId="165" fontId="5" fillId="0" borderId="0" xfId="0" applyNumberFormat="1" applyFont="1"/>
    <xf numFmtId="0" fontId="0" fillId="0" borderId="1" xfId="0" applyBorder="1"/>
    <xf numFmtId="166" fontId="5" fillId="0" borderId="0" xfId="0" applyNumberFormat="1" applyFont="1"/>
    <xf numFmtId="168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169" fontId="6" fillId="0" borderId="0" xfId="0" applyNumberFormat="1" applyFont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164" fontId="7" fillId="2" borderId="0" xfId="0" applyNumberFormat="1" applyFont="1" applyFill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169" fontId="8" fillId="3" borderId="0" xfId="0" applyNumberFormat="1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169" fontId="6" fillId="4" borderId="0" xfId="0" applyNumberFormat="1" applyFont="1" applyFill="1" applyAlignment="1">
      <alignment horizontal="center" vertical="center"/>
    </xf>
    <xf numFmtId="167" fontId="6" fillId="4" borderId="0" xfId="0" applyNumberFormat="1" applyFont="1" applyFill="1" applyAlignment="1">
      <alignment horizontal="center" vertical="center"/>
    </xf>
    <xf numFmtId="170" fontId="6" fillId="4" borderId="0" xfId="0" applyNumberFormat="1" applyFont="1" applyFill="1" applyAlignment="1">
      <alignment vertical="center"/>
    </xf>
    <xf numFmtId="0" fontId="6" fillId="4" borderId="0" xfId="0" applyFont="1" applyFill="1" applyAlignment="1">
      <alignment vertical="center"/>
    </xf>
    <xf numFmtId="170" fontId="6" fillId="0" borderId="0" xfId="0" applyNumberFormat="1" applyFont="1" applyAlignment="1">
      <alignment vertical="center"/>
    </xf>
    <xf numFmtId="0" fontId="6" fillId="4" borderId="0" xfId="0" applyFont="1" applyFill="1" applyAlignment="1">
      <alignment horizontal="center"/>
    </xf>
    <xf numFmtId="170" fontId="6" fillId="4" borderId="0" xfId="0" applyNumberFormat="1" applyFont="1" applyFill="1" applyAlignment="1">
      <alignment horizontal="right"/>
    </xf>
    <xf numFmtId="0" fontId="6" fillId="4" borderId="0" xfId="0" applyFont="1" applyFill="1" applyAlignment="1">
      <alignment horizontal="left"/>
    </xf>
    <xf numFmtId="170" fontId="6" fillId="0" borderId="0" xfId="0" applyNumberFormat="1" applyFont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171" fontId="6" fillId="0" borderId="0" xfId="0" applyNumberFormat="1" applyFont="1" applyAlignment="1">
      <alignment horizontal="center" vertical="center"/>
    </xf>
    <xf numFmtId="170" fontId="6" fillId="4" borderId="0" xfId="0" applyNumberFormat="1" applyFont="1" applyFill="1" applyAlignment="1">
      <alignment horizontal="left" vertical="center"/>
    </xf>
    <xf numFmtId="172" fontId="6" fillId="4" borderId="0" xfId="0" applyNumberFormat="1" applyFont="1" applyFill="1" applyAlignment="1">
      <alignment horizontal="center"/>
    </xf>
    <xf numFmtId="166" fontId="6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172" fontId="6" fillId="0" borderId="0" xfId="0" applyNumberFormat="1" applyFont="1" applyAlignment="1">
      <alignment horizontal="center"/>
    </xf>
    <xf numFmtId="172" fontId="6" fillId="4" borderId="0" xfId="0" applyNumberFormat="1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5" borderId="0" xfId="0" applyFont="1" applyFill="1" applyAlignment="1">
      <alignment vertical="center"/>
    </xf>
    <xf numFmtId="164" fontId="11" fillId="4" borderId="0" xfId="0" applyNumberFormat="1" applyFont="1" applyFill="1" applyAlignment="1">
      <alignment vertical="center"/>
    </xf>
    <xf numFmtId="164" fontId="6" fillId="4" borderId="0" xfId="0" applyNumberFormat="1" applyFont="1" applyFill="1" applyAlignment="1">
      <alignment vertical="center"/>
    </xf>
    <xf numFmtId="164" fontId="6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164" fontId="6" fillId="4" borderId="0" xfId="0" applyNumberFormat="1" applyFont="1" applyFill="1" applyAlignment="1">
      <alignment horizontal="center" vertical="center"/>
    </xf>
    <xf numFmtId="170" fontId="11" fillId="0" borderId="0" xfId="0" applyNumberFormat="1" applyFont="1" applyAlignment="1">
      <alignment horizontal="left" vertical="center"/>
    </xf>
    <xf numFmtId="172" fontId="6" fillId="0" borderId="0" xfId="0" applyNumberFormat="1" applyFont="1" applyAlignment="1">
      <alignment horizontal="center" vertical="center"/>
    </xf>
    <xf numFmtId="14" fontId="6" fillId="4" borderId="0" xfId="0" applyNumberFormat="1" applyFont="1" applyFill="1" applyAlignment="1">
      <alignment horizontal="center" vertical="center"/>
    </xf>
    <xf numFmtId="166" fontId="6" fillId="4" borderId="0" xfId="0" applyNumberFormat="1" applyFont="1" applyFill="1" applyAlignment="1">
      <alignment vertical="center"/>
    </xf>
    <xf numFmtId="164" fontId="6" fillId="0" borderId="0" xfId="0" applyNumberFormat="1" applyFont="1" applyAlignment="1">
      <alignment vertical="center"/>
    </xf>
    <xf numFmtId="0" fontId="6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169" fontId="6" fillId="6" borderId="0" xfId="0" applyNumberFormat="1" applyFont="1" applyFill="1" applyAlignment="1">
      <alignment horizontal="center" vertical="center"/>
    </xf>
    <xf numFmtId="167" fontId="6" fillId="6" borderId="0" xfId="0" applyNumberFormat="1" applyFont="1" applyFill="1" applyAlignment="1">
      <alignment horizontal="center" vertical="center"/>
    </xf>
    <xf numFmtId="170" fontId="6" fillId="6" borderId="0" xfId="0" applyNumberFormat="1" applyFont="1" applyFill="1" applyAlignment="1">
      <alignment vertical="center"/>
    </xf>
    <xf numFmtId="0" fontId="6" fillId="6" borderId="0" xfId="0" applyFont="1" applyFill="1" applyAlignment="1">
      <alignment vertical="center"/>
    </xf>
    <xf numFmtId="171" fontId="6" fillId="6" borderId="0" xfId="0" applyNumberFormat="1" applyFont="1" applyFill="1" applyAlignment="1">
      <alignment horizontal="center" vertical="center"/>
    </xf>
    <xf numFmtId="172" fontId="6" fillId="6" borderId="0" xfId="0" applyNumberFormat="1" applyFont="1" applyFill="1" applyAlignment="1">
      <alignment horizontal="center"/>
    </xf>
    <xf numFmtId="172" fontId="6" fillId="6" borderId="0" xfId="0" applyNumberFormat="1" applyFont="1" applyFill="1" applyAlignment="1">
      <alignment horizontal="center" vertical="center"/>
    </xf>
    <xf numFmtId="166" fontId="6" fillId="6" borderId="0" xfId="0" applyNumberFormat="1" applyFont="1" applyFill="1" applyAlignment="1">
      <alignment vertical="center"/>
    </xf>
    <xf numFmtId="0" fontId="6" fillId="0" borderId="0" xfId="0" applyFont="1"/>
    <xf numFmtId="169" fontId="6" fillId="4" borderId="0" xfId="0" applyNumberFormat="1" applyFont="1" applyFill="1" applyAlignment="1">
      <alignment horizontal="center"/>
    </xf>
    <xf numFmtId="0" fontId="6" fillId="4" borderId="0" xfId="0" applyFont="1" applyFill="1"/>
    <xf numFmtId="170" fontId="6" fillId="4" borderId="0" xfId="0" applyNumberFormat="1" applyFont="1" applyFill="1"/>
    <xf numFmtId="167" fontId="6" fillId="4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69" fontId="6" fillId="0" borderId="0" xfId="0" applyNumberFormat="1" applyFont="1" applyAlignment="1">
      <alignment horizontal="center"/>
    </xf>
    <xf numFmtId="167" fontId="6" fillId="0" borderId="0" xfId="0" applyNumberFormat="1" applyFont="1" applyAlignment="1">
      <alignment horizontal="center"/>
    </xf>
    <xf numFmtId="170" fontId="6" fillId="0" borderId="0" xfId="0" applyNumberFormat="1" applyFont="1" applyAlignment="1">
      <alignment horizontal="right"/>
    </xf>
    <xf numFmtId="170" fontId="6" fillId="0" borderId="0" xfId="0" applyNumberFormat="1" applyFont="1"/>
    <xf numFmtId="171" fontId="6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right"/>
    </xf>
    <xf numFmtId="170" fontId="6" fillId="7" borderId="0" xfId="0" applyNumberFormat="1" applyFont="1" applyFill="1" applyAlignment="1">
      <alignment vertical="center"/>
    </xf>
    <xf numFmtId="0" fontId="6" fillId="8" borderId="0" xfId="0" applyFont="1" applyFill="1" applyAlignment="1">
      <alignment vertical="center"/>
    </xf>
    <xf numFmtId="0" fontId="6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left" vertical="center"/>
    </xf>
    <xf numFmtId="169" fontId="6" fillId="8" borderId="0" xfId="0" applyNumberFormat="1" applyFont="1" applyFill="1" applyAlignment="1">
      <alignment horizontal="center" vertical="center"/>
    </xf>
    <xf numFmtId="167" fontId="6" fillId="8" borderId="0" xfId="0" applyNumberFormat="1" applyFont="1" applyFill="1" applyAlignment="1">
      <alignment horizontal="center" vertical="center"/>
    </xf>
    <xf numFmtId="164" fontId="6" fillId="8" borderId="0" xfId="0" applyNumberFormat="1" applyFont="1" applyFill="1" applyAlignment="1">
      <alignment vertical="center"/>
    </xf>
    <xf numFmtId="171" fontId="6" fillId="8" borderId="0" xfId="0" applyNumberFormat="1" applyFont="1" applyFill="1" applyAlignment="1">
      <alignment horizontal="center" vertical="center"/>
    </xf>
    <xf numFmtId="172" fontId="6" fillId="8" borderId="0" xfId="0" applyNumberFormat="1" applyFont="1" applyFill="1" applyAlignment="1">
      <alignment horizontal="center"/>
    </xf>
    <xf numFmtId="166" fontId="6" fillId="8" borderId="0" xfId="0" applyNumberFormat="1" applyFont="1" applyFill="1" applyAlignment="1">
      <alignment vertical="center"/>
    </xf>
    <xf numFmtId="164" fontId="11" fillId="0" borderId="0" xfId="0" applyNumberFormat="1" applyFont="1" applyAlignment="1">
      <alignment vertical="center"/>
    </xf>
    <xf numFmtId="167" fontId="5" fillId="0" borderId="0" xfId="0" applyNumberFormat="1" applyFont="1"/>
    <xf numFmtId="164" fontId="5" fillId="0" borderId="0" xfId="0" applyNumberFormat="1" applyFont="1"/>
    <xf numFmtId="0" fontId="14" fillId="0" borderId="0" xfId="0" applyFont="1"/>
    <xf numFmtId="49" fontId="6" fillId="0" borderId="0" xfId="0" applyNumberFormat="1" applyFont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169" fontId="8" fillId="2" borderId="0" xfId="0" applyNumberFormat="1" applyFont="1" applyFill="1" applyAlignment="1">
      <alignment horizontal="center" vertical="center"/>
    </xf>
    <xf numFmtId="169" fontId="12" fillId="2" borderId="0" xfId="0" applyNumberFormat="1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9" borderId="0" xfId="0" applyFont="1" applyFill="1" applyAlignment="1">
      <alignment horizontal="left" vertical="center"/>
    </xf>
    <xf numFmtId="169" fontId="13" fillId="9" borderId="0" xfId="0" applyNumberFormat="1" applyFont="1" applyFill="1" applyAlignment="1">
      <alignment horizontal="center" vertical="center"/>
    </xf>
    <xf numFmtId="164" fontId="16" fillId="9" borderId="0" xfId="0" applyNumberFormat="1" applyFont="1" applyFill="1" applyAlignment="1">
      <alignment vertical="center"/>
    </xf>
    <xf numFmtId="164" fontId="16" fillId="9" borderId="0" xfId="0" applyNumberFormat="1" applyFont="1" applyFill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left" vertical="center"/>
    </xf>
    <xf numFmtId="169" fontId="13" fillId="10" borderId="0" xfId="0" applyNumberFormat="1" applyFont="1" applyFill="1" applyAlignment="1">
      <alignment horizontal="center" vertical="center"/>
    </xf>
    <xf numFmtId="164" fontId="13" fillId="10" borderId="0" xfId="0" applyNumberFormat="1" applyFont="1" applyFill="1" applyAlignment="1">
      <alignment vertical="center"/>
    </xf>
    <xf numFmtId="164" fontId="13" fillId="10" borderId="0" xfId="0" applyNumberFormat="1" applyFont="1" applyFill="1" applyAlignment="1">
      <alignment horizontal="left" vertical="center"/>
    </xf>
    <xf numFmtId="172" fontId="6" fillId="10" borderId="0" xfId="0" applyNumberFormat="1" applyFont="1" applyFill="1" applyAlignment="1">
      <alignment horizontal="center"/>
    </xf>
    <xf numFmtId="171" fontId="6" fillId="2" borderId="0" xfId="0" applyNumberFormat="1" applyFont="1" applyFill="1" applyAlignment="1">
      <alignment horizontal="center" vertical="center"/>
    </xf>
    <xf numFmtId="169" fontId="6" fillId="10" borderId="0" xfId="0" applyNumberFormat="1" applyFont="1" applyFill="1" applyAlignment="1">
      <alignment horizontal="center" vertical="center"/>
    </xf>
    <xf numFmtId="170" fontId="6" fillId="10" borderId="0" xfId="0" applyNumberFormat="1" applyFont="1" applyFill="1" applyAlignment="1">
      <alignment vertical="center"/>
    </xf>
    <xf numFmtId="0" fontId="6" fillId="10" borderId="0" xfId="0" applyFont="1" applyFill="1" applyAlignment="1">
      <alignment vertical="center"/>
    </xf>
    <xf numFmtId="166" fontId="11" fillId="0" borderId="0" xfId="0" applyNumberFormat="1" applyFont="1" applyAlignment="1">
      <alignment vertical="center"/>
    </xf>
    <xf numFmtId="14" fontId="6" fillId="10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10" borderId="0" xfId="0" applyFont="1" applyFill="1" applyAlignment="1">
      <alignment horizontal="left" vertical="center"/>
    </xf>
    <xf numFmtId="14" fontId="6" fillId="0" borderId="0" xfId="0" applyNumberFormat="1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4" fontId="13" fillId="10" borderId="0" xfId="0" applyNumberFormat="1" applyFont="1" applyFill="1" applyAlignment="1">
      <alignment horizontal="center" vertical="center"/>
    </xf>
    <xf numFmtId="164" fontId="6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169" fontId="13" fillId="0" borderId="0" xfId="0" applyNumberFormat="1" applyFont="1" applyAlignment="1">
      <alignment horizontal="center" vertical="center"/>
    </xf>
    <xf numFmtId="164" fontId="13" fillId="0" borderId="0" xfId="0" applyNumberFormat="1" applyFont="1" applyAlignment="1">
      <alignment vertical="center"/>
    </xf>
    <xf numFmtId="171" fontId="6" fillId="11" borderId="0" xfId="0" applyNumberFormat="1" applyFont="1" applyFill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10" borderId="0" xfId="0" applyNumberFormat="1" applyFont="1" applyFill="1" applyAlignment="1">
      <alignment vertical="center"/>
    </xf>
    <xf numFmtId="0" fontId="6" fillId="10" borderId="0" xfId="0" applyFont="1" applyFill="1" applyAlignment="1">
      <alignment horizontal="center"/>
    </xf>
    <xf numFmtId="0" fontId="6" fillId="10" borderId="0" xfId="0" applyFont="1" applyFill="1" applyAlignment="1">
      <alignment horizontal="left"/>
    </xf>
    <xf numFmtId="169" fontId="6" fillId="10" borderId="0" xfId="0" applyNumberFormat="1" applyFont="1" applyFill="1" applyAlignment="1">
      <alignment horizontal="center"/>
    </xf>
    <xf numFmtId="14" fontId="6" fillId="10" borderId="0" xfId="0" applyNumberFormat="1" applyFont="1" applyFill="1" applyAlignment="1">
      <alignment horizontal="center"/>
    </xf>
    <xf numFmtId="170" fontId="6" fillId="10" borderId="0" xfId="0" applyNumberFormat="1" applyFont="1" applyFill="1" applyAlignment="1">
      <alignment horizontal="right"/>
    </xf>
    <xf numFmtId="170" fontId="6" fillId="10" borderId="0" xfId="0" applyNumberFormat="1" applyFont="1" applyFill="1"/>
    <xf numFmtId="14" fontId="6" fillId="0" borderId="0" xfId="0" applyNumberFormat="1" applyFont="1" applyAlignment="1">
      <alignment horizontal="center"/>
    </xf>
    <xf numFmtId="172" fontId="6" fillId="0" borderId="0" xfId="0" applyNumberFormat="1" applyFont="1"/>
    <xf numFmtId="164" fontId="13" fillId="0" borderId="0" xfId="0" applyNumberFormat="1" applyFont="1" applyAlignment="1">
      <alignment horizontal="left" vertical="center"/>
    </xf>
    <xf numFmtId="170" fontId="0" fillId="0" borderId="0" xfId="0" applyNumberFormat="1"/>
    <xf numFmtId="0" fontId="17" fillId="10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173" fontId="13" fillId="10" borderId="0" xfId="0" applyNumberFormat="1" applyFont="1" applyFill="1" applyAlignment="1">
      <alignment horizontal="center" vertical="center"/>
    </xf>
    <xf numFmtId="173" fontId="13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64" fontId="6" fillId="10" borderId="0" xfId="0" applyNumberFormat="1" applyFont="1" applyFill="1" applyAlignment="1">
      <alignment horizontal="left" vertical="center"/>
    </xf>
    <xf numFmtId="170" fontId="13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64" fontId="6" fillId="10" borderId="0" xfId="0" applyNumberFormat="1" applyFont="1" applyFill="1" applyAlignment="1">
      <alignment horizontal="left" vertical="top"/>
    </xf>
    <xf numFmtId="171" fontId="6" fillId="12" borderId="0" xfId="0" applyNumberFormat="1" applyFont="1" applyFill="1" applyAlignment="1">
      <alignment horizontal="center" vertical="center"/>
    </xf>
    <xf numFmtId="171" fontId="6" fillId="13" borderId="0" xfId="0" applyNumberFormat="1" applyFont="1" applyFill="1" applyAlignment="1">
      <alignment horizontal="center" vertical="center"/>
    </xf>
    <xf numFmtId="0" fontId="11" fillId="14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169" fontId="18" fillId="0" borderId="0" xfId="0" applyNumberFormat="1" applyFont="1" applyAlignment="1">
      <alignment horizontal="center" vertical="center"/>
    </xf>
    <xf numFmtId="166" fontId="19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169" fontId="20" fillId="2" borderId="0" xfId="0" applyNumberFormat="1" applyFont="1" applyFill="1" applyAlignment="1">
      <alignment horizontal="center" vertical="center"/>
    </xf>
    <xf numFmtId="166" fontId="7" fillId="2" borderId="0" xfId="0" applyNumberFormat="1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0" fillId="2" borderId="0" xfId="0" applyFont="1" applyFill="1" applyAlignment="1">
      <alignment horizontal="center" vertical="center"/>
    </xf>
    <xf numFmtId="172" fontId="8" fillId="2" borderId="0" xfId="0" applyNumberFormat="1" applyFont="1" applyFill="1" applyAlignment="1">
      <alignment horizontal="center"/>
    </xf>
    <xf numFmtId="41" fontId="6" fillId="10" borderId="0" xfId="1" applyFont="1" applyFill="1" applyAlignment="1">
      <alignment horizontal="center" vertical="center"/>
    </xf>
    <xf numFmtId="170" fontId="6" fillId="10" borderId="0" xfId="0" applyNumberFormat="1" applyFont="1" applyFill="1" applyAlignment="1">
      <alignment horizontal="left" vertical="center"/>
    </xf>
    <xf numFmtId="14" fontId="6" fillId="10" borderId="0" xfId="0" applyNumberFormat="1" applyFont="1" applyFill="1" applyAlignment="1">
      <alignment horizontal="left" vertical="center"/>
    </xf>
    <xf numFmtId="14" fontId="6" fillId="10" borderId="0" xfId="0" applyNumberFormat="1" applyFont="1" applyFill="1" applyAlignment="1">
      <alignment vertical="center"/>
    </xf>
    <xf numFmtId="0" fontId="11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left" vertical="center"/>
    </xf>
    <xf numFmtId="0" fontId="20" fillId="0" borderId="0" xfId="0" applyFont="1" applyAlignment="1">
      <alignment vertical="center"/>
    </xf>
    <xf numFmtId="164" fontId="16" fillId="0" borderId="0" xfId="0" applyNumberFormat="1" applyFont="1" applyAlignment="1">
      <alignment vertical="center"/>
    </xf>
    <xf numFmtId="164" fontId="16" fillId="0" borderId="0" xfId="0" applyNumberFormat="1" applyFont="1" applyAlignment="1">
      <alignment horizontal="center" vertical="center"/>
    </xf>
    <xf numFmtId="14" fontId="17" fillId="4" borderId="0" xfId="0" applyNumberFormat="1" applyFont="1" applyFill="1"/>
    <xf numFmtId="174" fontId="6" fillId="4" borderId="0" xfId="0" applyNumberFormat="1" applyFont="1" applyFill="1" applyAlignment="1">
      <alignment horizontal="center"/>
    </xf>
    <xf numFmtId="49" fontId="5" fillId="0" borderId="0" xfId="0" applyNumberFormat="1" applyFont="1" applyAlignment="1">
      <alignment horizontal="left"/>
    </xf>
    <xf numFmtId="166" fontId="6" fillId="10" borderId="0" xfId="0" applyNumberFormat="1" applyFont="1" applyFill="1" applyAlignment="1">
      <alignment vertical="center"/>
    </xf>
    <xf numFmtId="0" fontId="0" fillId="15" borderId="0" xfId="0" applyFill="1"/>
    <xf numFmtId="0" fontId="16" fillId="10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/>
    </xf>
    <xf numFmtId="172" fontId="6" fillId="10" borderId="0" xfId="0" applyNumberFormat="1" applyFont="1" applyFill="1" applyAlignment="1">
      <alignment horizontal="center" vertical="center"/>
    </xf>
    <xf numFmtId="169" fontId="11" fillId="0" borderId="0" xfId="0" applyNumberFormat="1" applyFont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0" fillId="16" borderId="0" xfId="0" applyFill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169" fontId="13" fillId="16" borderId="0" xfId="0" applyNumberFormat="1" applyFont="1" applyFill="1" applyAlignment="1">
      <alignment horizontal="center" vertical="center"/>
    </xf>
    <xf numFmtId="9" fontId="6" fillId="0" borderId="0" xfId="0" applyNumberFormat="1" applyFont="1" applyAlignment="1">
      <alignment vertical="center"/>
    </xf>
    <xf numFmtId="164" fontId="21" fillId="0" borderId="0" xfId="0" applyNumberFormat="1" applyFont="1" applyAlignment="1">
      <alignment horizontal="left" vertical="center"/>
    </xf>
    <xf numFmtId="169" fontId="21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172" fontId="8" fillId="0" borderId="0" xfId="0" applyNumberFormat="1" applyFont="1" applyAlignment="1">
      <alignment horizontal="center"/>
    </xf>
    <xf numFmtId="164" fontId="21" fillId="2" borderId="0" xfId="0" applyNumberFormat="1" applyFont="1" applyFill="1" applyAlignment="1">
      <alignment horizontal="left" vertical="center"/>
    </xf>
    <xf numFmtId="169" fontId="21" fillId="2" borderId="0" xfId="0" applyNumberFormat="1" applyFont="1" applyFill="1" applyAlignment="1">
      <alignment horizontal="center" vertical="center"/>
    </xf>
    <xf numFmtId="0" fontId="21" fillId="2" borderId="0" xfId="0" applyFont="1" applyFill="1" applyAlignment="1">
      <alignment vertical="center"/>
    </xf>
    <xf numFmtId="0" fontId="21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left" vertical="center"/>
    </xf>
    <xf numFmtId="170" fontId="5" fillId="0" borderId="0" xfId="0" applyNumberFormat="1" applyFont="1"/>
    <xf numFmtId="171" fontId="6" fillId="2" borderId="0" xfId="0" applyNumberFormat="1" applyFont="1" applyFill="1" applyAlignment="1">
      <alignment horizontal="center"/>
    </xf>
    <xf numFmtId="0" fontId="6" fillId="10" borderId="0" xfId="0" applyFont="1" applyFill="1"/>
    <xf numFmtId="164" fontId="16" fillId="9" borderId="0" xfId="0" applyNumberFormat="1" applyFont="1" applyFill="1" applyAlignment="1">
      <alignment horizontal="right" vertical="center"/>
    </xf>
    <xf numFmtId="0" fontId="10" fillId="2" borderId="0" xfId="0" applyFont="1" applyFill="1" applyAlignment="1">
      <alignment horizontal="center"/>
    </xf>
    <xf numFmtId="0" fontId="15" fillId="2" borderId="0" xfId="0" applyFont="1" applyFill="1"/>
    <xf numFmtId="0" fontId="6" fillId="9" borderId="0" xfId="0" applyFont="1" applyFill="1" applyAlignment="1">
      <alignment horizontal="center"/>
    </xf>
    <xf numFmtId="0" fontId="11" fillId="9" borderId="0" xfId="0" applyFont="1" applyFill="1"/>
    <xf numFmtId="169" fontId="6" fillId="0" borderId="0" xfId="0" applyNumberFormat="1" applyFont="1"/>
    <xf numFmtId="164" fontId="6" fillId="0" borderId="0" xfId="0" applyNumberFormat="1" applyFont="1"/>
    <xf numFmtId="0" fontId="6" fillId="2" borderId="0" xfId="0" applyFont="1" applyFill="1"/>
    <xf numFmtId="169" fontId="6" fillId="2" borderId="0" xfId="0" applyNumberFormat="1" applyFont="1" applyFill="1"/>
    <xf numFmtId="166" fontId="22" fillId="2" borderId="0" xfId="0" applyNumberFormat="1" applyFont="1" applyFill="1" applyAlignment="1">
      <alignment horizontal="right"/>
    </xf>
    <xf numFmtId="164" fontId="6" fillId="2" borderId="0" xfId="0" applyNumberFormat="1" applyFont="1" applyFill="1"/>
    <xf numFmtId="172" fontId="6" fillId="2" borderId="0" xfId="0" applyNumberFormat="1" applyFont="1" applyFill="1"/>
    <xf numFmtId="166" fontId="6" fillId="0" borderId="0" xfId="0" applyNumberFormat="1" applyFont="1"/>
    <xf numFmtId="0" fontId="6" fillId="9" borderId="0" xfId="0" applyFont="1" applyFill="1"/>
    <xf numFmtId="169" fontId="6" fillId="9" borderId="0" xfId="0" applyNumberFormat="1" applyFont="1" applyFill="1"/>
    <xf numFmtId="164" fontId="11" fillId="9" borderId="0" xfId="0" applyNumberFormat="1" applyFont="1" applyFill="1" applyAlignment="1">
      <alignment horizontal="right"/>
    </xf>
    <xf numFmtId="164" fontId="6" fillId="9" borderId="0" xfId="0" applyNumberFormat="1" applyFont="1" applyFill="1"/>
    <xf numFmtId="0" fontId="11" fillId="9" borderId="0" xfId="0" applyFont="1" applyFill="1" applyAlignment="1">
      <alignment horizontal="center"/>
    </xf>
    <xf numFmtId="0" fontId="11" fillId="0" borderId="0" xfId="0" applyFont="1"/>
    <xf numFmtId="164" fontId="6" fillId="0" borderId="0" xfId="0" applyNumberFormat="1" applyFont="1" applyAlignment="1">
      <alignment horizontal="right"/>
    </xf>
    <xf numFmtId="171" fontId="6" fillId="0" borderId="0" xfId="0" applyNumberFormat="1" applyFont="1"/>
    <xf numFmtId="171" fontId="11" fillId="9" borderId="0" xfId="0" applyNumberFormat="1" applyFont="1" applyFill="1" applyAlignment="1">
      <alignment horizontal="center"/>
    </xf>
    <xf numFmtId="172" fontId="11" fillId="9" borderId="0" xfId="0" applyNumberFormat="1" applyFont="1" applyFill="1" applyAlignment="1">
      <alignment horizontal="center"/>
    </xf>
    <xf numFmtId="41" fontId="6" fillId="0" borderId="0" xfId="1" applyFont="1" applyAlignment="1">
      <alignment horizontal="right"/>
    </xf>
    <xf numFmtId="175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166" fontId="23" fillId="0" borderId="0" xfId="0" applyNumberFormat="1" applyFont="1" applyAlignment="1">
      <alignment vertical="center"/>
    </xf>
    <xf numFmtId="0" fontId="6" fillId="0" borderId="0" xfId="0" quotePrefix="1" applyFont="1" applyAlignment="1">
      <alignment horizontal="center"/>
    </xf>
    <xf numFmtId="171" fontId="6" fillId="0" borderId="0" xfId="0" quotePrefix="1" applyNumberFormat="1" applyFont="1" applyAlignment="1">
      <alignment horizontal="center"/>
    </xf>
    <xf numFmtId="171" fontId="6" fillId="0" borderId="0" xfId="0" quotePrefix="1" applyNumberFormat="1" applyFont="1" applyAlignment="1">
      <alignment horizontal="center" vertical="center"/>
    </xf>
    <xf numFmtId="171" fontId="11" fillId="0" borderId="0" xfId="0" quotePrefix="1" applyNumberFormat="1" applyFont="1" applyAlignment="1">
      <alignment horizontal="center" vertical="center"/>
    </xf>
    <xf numFmtId="171" fontId="6" fillId="6" borderId="0" xfId="0" quotePrefix="1" applyNumberFormat="1" applyFont="1" applyFill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2" xfId="0" pivotButton="1" applyBorder="1"/>
    <xf numFmtId="0" fontId="0" fillId="0" borderId="3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6" xfId="0" pivotButton="1" applyBorder="1"/>
    <xf numFmtId="167" fontId="0" fillId="0" borderId="6" xfId="0" applyNumberFormat="1" applyBorder="1"/>
    <xf numFmtId="167" fontId="0" fillId="0" borderId="16" xfId="0" applyNumberFormat="1" applyBorder="1"/>
    <xf numFmtId="167" fontId="0" fillId="0" borderId="17" xfId="0" applyNumberFormat="1" applyBorder="1"/>
    <xf numFmtId="0" fontId="27" fillId="10" borderId="0" xfId="0" applyFont="1" applyFill="1" applyAlignment="1">
      <alignment vertical="center"/>
    </xf>
    <xf numFmtId="0" fontId="14" fillId="10" borderId="0" xfId="0" applyFont="1" applyFill="1"/>
    <xf numFmtId="41" fontId="14" fillId="10" borderId="0" xfId="1" applyFont="1" applyFill="1"/>
    <xf numFmtId="170" fontId="16" fillId="0" borderId="0" xfId="0" applyNumberFormat="1" applyFont="1" applyAlignment="1">
      <alignment horizontal="center" vertical="center"/>
    </xf>
    <xf numFmtId="41" fontId="0" fillId="10" borderId="0" xfId="1" applyFont="1" applyFill="1"/>
    <xf numFmtId="0" fontId="0" fillId="10" borderId="0" xfId="0" applyFill="1"/>
    <xf numFmtId="14" fontId="0" fillId="10" borderId="0" xfId="0" applyNumberFormat="1" applyFill="1"/>
    <xf numFmtId="41" fontId="6" fillId="0" borderId="0" xfId="0" applyNumberFormat="1" applyFont="1" applyAlignment="1">
      <alignment horizontal="left" vertical="center"/>
    </xf>
    <xf numFmtId="41" fontId="0" fillId="0" borderId="0" xfId="1" applyFont="1" applyFill="1"/>
    <xf numFmtId="41" fontId="13" fillId="10" borderId="0" xfId="1" applyFont="1" applyFill="1"/>
    <xf numFmtId="0" fontId="13" fillId="10" borderId="0" xfId="0" applyFont="1" applyFill="1"/>
    <xf numFmtId="41" fontId="6" fillId="10" borderId="0" xfId="1" applyFont="1" applyFill="1"/>
    <xf numFmtId="41" fontId="6" fillId="10" borderId="0" xfId="0" applyNumberFormat="1" applyFont="1" applyFill="1" applyAlignment="1">
      <alignment horizontal="left"/>
    </xf>
    <xf numFmtId="41" fontId="2" fillId="10" borderId="0" xfId="1" applyFont="1" applyFill="1"/>
    <xf numFmtId="170" fontId="29" fillId="10" borderId="0" xfId="0" applyNumberFormat="1" applyFont="1" applyFill="1" applyAlignment="1">
      <alignment vertical="center"/>
    </xf>
    <xf numFmtId="0" fontId="29" fillId="10" borderId="0" xfId="0" applyFont="1" applyFill="1" applyAlignment="1">
      <alignment vertical="center"/>
    </xf>
    <xf numFmtId="41" fontId="1" fillId="10" borderId="0" xfId="1" applyFont="1" applyFill="1"/>
    <xf numFmtId="41" fontId="0" fillId="17" borderId="0" xfId="1" applyFont="1" applyFill="1"/>
    <xf numFmtId="0" fontId="16" fillId="15" borderId="0" xfId="0" applyFont="1" applyFill="1" applyAlignment="1">
      <alignment horizontal="left" vertical="center"/>
    </xf>
    <xf numFmtId="0" fontId="4" fillId="10" borderId="0" xfId="0" applyFont="1" applyFill="1"/>
    <xf numFmtId="0" fontId="15" fillId="2" borderId="0" xfId="0" quotePrefix="1" applyFont="1" applyFill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41" fontId="6" fillId="0" borderId="0" xfId="1" applyFont="1" applyFill="1"/>
    <xf numFmtId="14" fontId="0" fillId="0" borderId="0" xfId="0" applyNumberFormat="1"/>
    <xf numFmtId="41" fontId="6" fillId="10" borderId="0" xfId="1" applyFont="1" applyFill="1" applyAlignment="1">
      <alignment vertical="center"/>
    </xf>
    <xf numFmtId="169" fontId="6" fillId="10" borderId="0" xfId="0" applyNumberFormat="1" applyFont="1" applyFill="1"/>
    <xf numFmtId="164" fontId="6" fillId="10" borderId="0" xfId="0" applyNumberFormat="1" applyFont="1" applyFill="1"/>
    <xf numFmtId="14" fontId="6" fillId="10" borderId="0" xfId="0" applyNumberFormat="1" applyFont="1" applyFill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Sheet4!$E$10:$E$21</c:f>
              <c:numCache>
                <c:formatCode>[$-409]yyyy\-mmm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Sheet4!$F$10:$F$21</c:f>
              <c:numCache>
                <c:formatCode>_(* #,##0_);_(* \(#,##0\);_(* "-"??_);_(@_)</c:formatCode>
                <c:ptCount val="12"/>
                <c:pt idx="0">
                  <c:v>138167945</c:v>
                </c:pt>
                <c:pt idx="1">
                  <c:v>287288878</c:v>
                </c:pt>
                <c:pt idx="2">
                  <c:v>442901241</c:v>
                </c:pt>
                <c:pt idx="3">
                  <c:v>212009490</c:v>
                </c:pt>
                <c:pt idx="4">
                  <c:v>325292230</c:v>
                </c:pt>
                <c:pt idx="5">
                  <c:v>364010115</c:v>
                </c:pt>
                <c:pt idx="6">
                  <c:v>332342025</c:v>
                </c:pt>
                <c:pt idx="7">
                  <c:v>515476947</c:v>
                </c:pt>
                <c:pt idx="8">
                  <c:v>425987834</c:v>
                </c:pt>
                <c:pt idx="9">
                  <c:v>420113333</c:v>
                </c:pt>
                <c:pt idx="10">
                  <c:v>469874991</c:v>
                </c:pt>
                <c:pt idx="11">
                  <c:v>11176360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31-4FDE-B87D-E4CE3EECC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3785105"/>
        <c:axId val="1460836932"/>
      </c:lineChart>
      <c:dateAx>
        <c:axId val="9437851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D"/>
              </a:p>
            </c:rich>
          </c:tx>
          <c:overlay val="0"/>
        </c:title>
        <c:numFmt formatCode="[$-409]yyyy\-mmm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836932"/>
        <c:crosses val="autoZero"/>
        <c:auto val="1"/>
        <c:lblOffset val="100"/>
        <c:baseTimeUnit val="months"/>
      </c:dateAx>
      <c:valAx>
        <c:axId val="14608369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D"/>
              </a:p>
            </c:rich>
          </c:tx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785105"/>
        <c:crosses val="autoZero"/>
        <c:crossBetween val="between"/>
      </c:valAx>
    </c:plotArea>
    <c:plotVisOnly val="1"/>
    <c:dispBlanksAs val="zero"/>
    <c:showDLblsOverMax val="1"/>
    <c:extLst>
      <c:ext uri="{0b15fc19-7d7d-44ad-8c2d-2c3a37ce22c3}">
        <chartProps xmlns="https://web.wps.cn/et/2018/main" chartId="{9fe40320-68b0-491b-9def-04ba1d2615c5}"/>
      </c:ext>
    </c:extLst>
  </c:chart>
  <c:spPr>
    <a:solidFill>
      <a:schemeClr val="accent1"/>
    </a:solidFill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1</xdr:row>
      <xdr:rowOff>28575</xdr:rowOff>
    </xdr:from>
    <xdr:ext cx="5629275" cy="3333750"/>
    <xdr:graphicFrame macro="">
      <xdr:nvGraphicFramePr>
        <xdr:cNvPr id="2109035630" name="Chart 1">
          <a:extLst>
            <a:ext uri="{FF2B5EF4-FFF2-40B4-BE49-F238E27FC236}">
              <a16:creationId xmlns:a16="http://schemas.microsoft.com/office/drawing/2014/main" id="{00000000-0008-0000-0200-00006E54B5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er" refreshedDate="46240.337744444441" refreshedVersion="8" recordCount="3068" xr:uid="{00000000-000A-0000-FFFF-FFFF01000000}">
  <cacheSource type="worksheet">
    <worksheetSource ref="A2:L3070" sheet="LIST FAKTUR"/>
  </cacheSource>
  <cacheFields count="12">
    <cacheField name="0A" numFmtId="0">
      <sharedItems/>
    </cacheField>
    <cacheField name="0V" numFmtId="0">
      <sharedItems containsBlank="1"/>
    </cacheField>
    <cacheField name="0T" numFmtId="0">
      <sharedItems containsString="0" containsBlank="1" containsNumber="1" containsInteger="1" minValue="2023" maxValue="2026" count="5">
        <m/>
        <n v="2025"/>
        <n v="2026"/>
        <n v="2024"/>
        <n v="2023"/>
      </sharedItems>
    </cacheField>
    <cacheField name="0L" numFmtId="0">
      <sharedItems containsBlank="1" count="3">
        <m/>
        <s v="L"/>
        <s v="U"/>
      </sharedItems>
    </cacheField>
    <cacheField name="NA" numFmtId="0">
      <sharedItems containsBlank="1" count="14">
        <m/>
        <s v="OBAT DAN BHP "/>
        <s v="ALAT KESEHATAN"/>
        <s v="PELAYANAN RUJUKAN DAN LABORATORIUM"/>
        <s v="PENUNJANG PELAYANAN RS"/>
        <s v="BIAYA ATK, CETAKAN, BHP RUMAH TANGGA DLL."/>
        <s v="IURAN BPJS KESEHATAN DAN BPJS KETENAGAKERJAAN"/>
        <s v="KAS NEGARA"/>
        <s v="BIAYA RUTIN GAJI KARYAWAN"/>
        <s v="BIAYA RUTIN JASA MEDIS"/>
        <s v="BIAYA RUTIN JASA PELAYANAN DLL"/>
        <s v="BIAYA RUTIN BULANAN"/>
        <s v="BIAYA LAIN-LAIN"/>
        <s v="OBAT DAN BHP" u="1"/>
      </sharedItems>
    </cacheField>
    <cacheField name="KA" numFmtId="0">
      <sharedItems containsBlank="1"/>
    </cacheField>
    <cacheField name="A" numFmtId="0">
      <sharedItems containsBlank="1"/>
    </cacheField>
    <cacheField name="B" numFmtId="0">
      <sharedItems containsBlank="1" containsMixedTypes="1" containsNumber="1" containsInteger="1" minValue="1" maxValue="2501212"/>
    </cacheField>
    <cacheField name="VENDOR" numFmtId="0">
      <sharedItems containsBlank="1" count="138">
        <m/>
        <s v="ALEXA MEDIKA, PT"/>
        <s v="ALJOEN MAKMUR ABADI, PT"/>
        <s v="ANTAR MITRA SEMBADA, PT"/>
        <s v="ANUGERAH PHARMINDO LESTARI, PT"/>
        <s v="ANUGRAH ARGON MEDICA, PT"/>
        <s v="BINA SAN PRIMA, PT"/>
        <s v="BORNEO SENTRAL"/>
        <s v="BUANA INTIPRIMA USAHA (REK BARU)"/>
        <s v="BUANA INTIPRIMA USAHA "/>
        <s v="CAB DENTAL, PT"/>
        <s v="CAHAYA SINTESA FARMA, PT"/>
        <s v="CARENDRA ALKESINDO LESTARI, CV"/>
        <s v="COBRA DENTAL INDONESIA, PT"/>
        <s v="DAVIKA SEHAT SENTOSA, PT"/>
        <s v="DEMAZ NOER ABADI, PT"/>
        <s v="EDY HARI SYAM, PT"/>
        <s v="ENDO INDONESIA, PT"/>
        <s v="ENSEVAL PUTERA MEGATRADING, PT"/>
        <s v="FERTOMULIA PRATAMA, PT"/>
        <s v="GLOBAL DENT"/>
        <s v="GLOPER PRIMA MANDIRI, CV"/>
        <s v="HARUM DEWA, PT"/>
        <s v="HIDUP BAHAGIA, CV"/>
        <s v="HYGEA SUMBER BINTANG, PT"/>
        <s v="INDOFARMA GLOBAL MEDIKA, PT"/>
        <s v="INDOMEDIKA SOLUSINDO, PT "/>
        <s v="KALIMANTAN BHAKTI MEDIKA, PT "/>
        <s v="KEBAYORAN"/>
        <s v="KIMIA FARMA, PT"/>
        <s v="LAWSIM ZECHA, PT"/>
        <s v="MAHAKAM SEJAHTERA ABADI, PT (REK BARU)"/>
        <s v="MAHAKAM SEJAHTERA ABADI, PT"/>
        <s v="MAHAKAM SEJAHTERA ALKESINDO, PT (REK BARU)"/>
        <s v="MAHAKAM SEJAHTERA ALKESINDO, PT "/>
        <s v="MENSA BINA SUKSES, PT"/>
        <s v="MERAPI UTAMA PHARMA, PT"/>
        <s v="METTA KARYA HUTAMA, PT"/>
        <s v="MILLENIUM PHARMACON INTERNATIONAL, PT"/>
        <s v="MIRA CHEN INACI"/>
        <s v="MITRA HUSAIN SEJAHTERA"/>
        <s v="MITRA MESTIKA SARANA, PT"/>
        <s v="MURINDO MULTI SARANA, PT"/>
        <s v="PARIT PADANG GLOBAL, PT"/>
        <s v="PENTA VALENT, PT"/>
        <s v="RAJAWALI NUSINDO, PT (REK BARU)"/>
        <s v="RAJAWALI NUSINDO, PT"/>
        <s v="SAPTA SARI TAMA, PT"/>
        <s v="SARANA ADHIMUKTI REJEKI, PT"/>
        <s v="SINAR RODA UTAMA"/>
        <s v="STARINDO MULTI SUKSES, PT"/>
        <s v="SUMBER REJEKI MEDIKA JAYA, PT"/>
        <s v="T E M P O"/>
        <s v="TIGA PUTRA SUKSES ALKESINDO, PT"/>
        <s v="TRIOFARMA MANDIRI SEJAHTERA, PT"/>
        <s v="UNITED DICO CITAS, PT"/>
        <s v="YAMHATEVY PARAN MANDIRI"/>
        <s v="YASA MAHKOTA MULIA, PT"/>
        <s v="ETAM MANDIRI"/>
        <s v="KARYA INSANI MEDIKA"/>
        <s v="OKTARIZA RIZKILLAH"/>
        <s v="UUT SAYFUDIN"/>
        <s v="RS DIRGAHAYU"/>
        <s v="RS SAMARINDA MEDIKA CITRA"/>
        <s v="RS AW SYAHRANIE"/>
        <s v="NUR ASIH KLINIK LABORATORIUM"/>
        <s v="PRODIA LAB KLINIK SAMARINDA"/>
        <s v="UPTD LABKESDA SAMARINDA"/>
        <s v="BINTANG JAYA ABADI, PT"/>
        <s v="JNE MERAK"/>
        <s v="KALTIM SARANA SUKSES, PT"/>
        <s v="KARUNIA LUMASINDO PRATAMA, PT"/>
        <s v="MITRA HIJAU, PT"/>
        <s v="PMI SAMARINDA"/>
        <s v="SUKSES KALTIM"/>
        <s v="ADHWA GEMILANG"/>
        <s v="CRYSTAL ELEKTRONIK"/>
        <s v="FAQIH COMP "/>
        <s v="HARTORA"/>
        <s v="NUANSA DHARMA CIPTA, PT"/>
        <s v="MASTERPIECE"/>
        <s v="ARUM PURNOMO"/>
        <s v="BINO MITRA SEJATI, PT - BANTEX"/>
        <s v="CAHAYA KALTIM, CV"/>
        <s v="DEPO AIR MINUM GHINA"/>
        <s v="MENTARI MEGAH, CV"/>
        <s v="JAYA MULIA"/>
        <s v="JUANDA, CV"/>
        <s v="LINEZA DAMANHURI"/>
        <s v="PANDAN ALAM"/>
        <s v="PERDANA FOOD SERVICE (REK BARU)"/>
        <s v="SURFA MITRA ABADI, CV"/>
        <s v="TOKO ANAS/NABILA (REKENING BARU)"/>
        <s v="TOKO ANAS/NABILA"/>
        <s v="YAKIN SUKSES INDONESIA, PT"/>
        <s v="BPJS KESEHATAN"/>
        <s v="BPJS KETENAGAKERJAAN"/>
        <s v="KAS NEGARA - PPH 21 DOKTER"/>
        <s v="KAS NEGARA - PPH 21 KARYAWAN"/>
        <s v="KAS NEGARA - PPH BADAN TAHUN 2022"/>
        <s v="KAS NEGARA - PPH BADAN TAHUN 2023"/>
        <s v="KAS NEGARA - PPH BADAN TAHUN 202"/>
        <s v="KAS NEGARA - PPH PASAL 23"/>
        <s v="GAJI KARYAWAN PKWT TGL. 25"/>
        <s v="GAJI KARYAWAN PKWT TGL. 01"/>
        <s v="GAJI KARYAWAN MITRA TGL. 10"/>
        <s v="GAJI DIREKTUR TGL. 10"/>
        <s v="JASMED P. BPJS"/>
        <s v="JASMED P. AS - PER"/>
        <s v="JASMED P. CASH"/>
        <s v="JASPEL P. BPJS"/>
        <s v="JASPEL P. ASURANSI / PERUSAHAAN"/>
        <s v="JASA REMUNERASI"/>
        <s v="SEWA BANGUNAN"/>
        <s v="SEWA AMBULANCE"/>
        <s v="SEWA MOBILIO"/>
        <s v="PLN - LISTRIK"/>
        <s v="PDAM - AIR"/>
        <s v="TELKOM - 0541739772"/>
        <s v="TELKOM - 05417272700"/>
        <s v="TELKOM - 05417272667"/>
        <s v="TELKOM - 162301340311"/>
        <s v="TELKOM - 08115878910"/>
        <s v="OBAT / BHP CASH"/>
        <s v="PETTY CASH"/>
        <s v="BUANA INTIPRIMA USAHA" u="1"/>
        <s v="HYGEA SUMBER BINTANG" u="1"/>
        <s v="ARATA PARASOLUSI, PT" u="1"/>
        <s v="BINO MITRA SEJATI, PT" u="1"/>
        <s v="ETAM MANDIRI ALKESINDO, PT" u="1"/>
        <s v="BANI HAKIM FIQRIANTO, DR" u="1"/>
        <s v="BORNEO ETAM MANDIRI" u="1"/>
        <s v="KAS NEGARA - PPH BADAN TAHUN 2019" u="1"/>
        <s v="PERDANA FOOD SERVICE" u="1"/>
        <s v="ROYAL NUSANTARA, CV" u="1"/>
        <s v="ZIWAN RIZKY, CV" u="1"/>
        <s v="AMANAH MANDIRI BAHAGIA, PT" u="1"/>
        <s v="RAHMAT NUR" u="1"/>
      </sharedItems>
    </cacheField>
    <cacheField name="TGL FAKTUR" numFmtId="0">
      <sharedItems containsDate="1" containsBlank="1" containsMixedTypes="1" minDate="2021-07-05T00:00:00" maxDate="2026-08-06T08:06:20"/>
    </cacheField>
    <cacheField name="TGL TITIP" numFmtId="0">
      <sharedItems containsNonDate="0" containsDate="1" containsString="0" containsBlank="1" minDate="2021-08-12T00:00:00" maxDate="2026-08-01T00:00:00"/>
    </cacheField>
    <cacheField name="NOMINAL" numFmtId="0">
      <sharedItems containsBlank="1" containsMixedTypes="1" containsNumber="1" minValue="-21934897" maxValue="69396568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er" refreshedDate="46240.337744675926" refreshedVersion="8" recordCount="1837" xr:uid="{00000000-000A-0000-FFFF-FFFF00000000}">
  <cacheSource type="worksheet">
    <worksheetSource ref="D2:G1839" sheet="LF-Obat-BHP"/>
  </cacheSource>
  <cacheFields count="4">
    <cacheField name="VENDOR" numFmtId="0">
      <sharedItems/>
    </cacheField>
    <cacheField name="TGL FAKTUR" numFmtId="0">
      <sharedItems containsNonDate="0" containsDate="1" containsString="0" containsBlank="1" minDate="2022-07-20T00:00:00" maxDate="2023-12-05T00:00:00"/>
    </cacheField>
    <cacheField name="BULAN" numFmtId="167">
      <sharedItems containsNonDate="0" containsDate="1" containsString="0" containsBlank="1" minDate="2022-07-01T00:00:00" maxDate="2023-12-02T00:00:00" count="19">
        <d v="2023-05-01T00:00:00"/>
        <d v="2023-08-01T00:00:00"/>
        <d v="2023-10-01T00:00:00"/>
        <d v="2023-02-01T00:00:00"/>
        <d v="2023-03-01T00:00:00"/>
        <d v="2023-04-01T00:00:00"/>
        <d v="2023-06-01T00:00:00"/>
        <d v="2023-07-01T00:00:00"/>
        <d v="2023-09-01T00:00:00"/>
        <d v="2023-11-01T00:00:00"/>
        <d v="2023-12-01T00:00:00"/>
        <d v="2023-01-01T00:00:00"/>
        <d v="2022-07-01T00:00:00"/>
        <d v="2022-09-01T00:00:00"/>
        <d v="2022-10-01T00:00:00"/>
        <m/>
        <d v="2022-12-01T00:00:00"/>
        <d v="2022-08-01T00:00:00"/>
        <d v="2022-11-01T00:00:00"/>
      </sharedItems>
    </cacheField>
    <cacheField name="NOMINAL" numFmtId="0">
      <sharedItems containsSemiMixedTypes="0" containsString="0" containsNumber="1" containsInteger="1" minValue="-6660000" maxValue="31430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68">
  <r>
    <s v="0000"/>
    <s v="V"/>
    <x v="0"/>
    <x v="0"/>
    <x v="0"/>
    <m/>
    <s v="Z"/>
    <s v="OBAT DAN BHP "/>
    <x v="0"/>
    <d v="2026-08-06T08:06:20"/>
    <m/>
    <n v="6939656899"/>
  </r>
  <r>
    <s v="0001"/>
    <s v="V"/>
    <x v="0"/>
    <x v="0"/>
    <x v="0"/>
    <m/>
    <m/>
    <m/>
    <x v="0"/>
    <m/>
    <m/>
    <m/>
  </r>
  <r>
    <s v="0002"/>
    <s v="V"/>
    <x v="0"/>
    <x v="0"/>
    <x v="0"/>
    <m/>
    <s v="X"/>
    <s v="ALEXA MEDIKA, PT"/>
    <x v="0"/>
    <m/>
    <m/>
    <n v="11621905"/>
  </r>
  <r>
    <s v="0003"/>
    <s v="V"/>
    <x v="1"/>
    <x v="1"/>
    <x v="1"/>
    <s v="A"/>
    <m/>
    <n v="251176"/>
    <x v="1"/>
    <d v="2025-10-20T00:00:00"/>
    <d v="2025-12-18T00:00:00"/>
    <n v="1412460"/>
  </r>
  <r>
    <s v="0004"/>
    <s v="V"/>
    <x v="1"/>
    <x v="1"/>
    <x v="1"/>
    <s v="A"/>
    <m/>
    <n v="251176"/>
    <x v="1"/>
    <d v="2025-11-06T00:00:00"/>
    <d v="2025-12-18T00:00:00"/>
    <n v="2112299"/>
  </r>
  <r>
    <s v="0005"/>
    <s v="V"/>
    <x v="1"/>
    <x v="1"/>
    <x v="1"/>
    <s v="A"/>
    <m/>
    <n v="251176"/>
    <x v="1"/>
    <d v="2025-11-17T00:00:00"/>
    <d v="2025-12-18T00:00:00"/>
    <n v="3872549"/>
  </r>
  <r>
    <s v="0006"/>
    <s v="V"/>
    <x v="2"/>
    <x v="1"/>
    <x v="1"/>
    <s v="A"/>
    <m/>
    <n v="260038"/>
    <x v="1"/>
    <d v="2026-01-21T00:00:00"/>
    <d v="2026-02-26T00:00:00"/>
    <n v="4224597"/>
  </r>
  <r>
    <s v="0007"/>
    <m/>
    <x v="0"/>
    <x v="0"/>
    <x v="0"/>
    <m/>
    <m/>
    <m/>
    <x v="0"/>
    <m/>
    <m/>
    <m/>
  </r>
  <r>
    <s v="0008"/>
    <m/>
    <x v="0"/>
    <x v="0"/>
    <x v="0"/>
    <m/>
    <m/>
    <m/>
    <x v="0"/>
    <m/>
    <m/>
    <m/>
  </r>
  <r>
    <s v="0009"/>
    <s v="V"/>
    <x v="0"/>
    <x v="0"/>
    <x v="0"/>
    <m/>
    <s v="X"/>
    <s v="ALJOEN MAKMUR ABADI, PT"/>
    <x v="0"/>
    <m/>
    <m/>
    <n v="9151950"/>
  </r>
  <r>
    <s v="0010"/>
    <s v="V"/>
    <x v="1"/>
    <x v="1"/>
    <x v="1"/>
    <s v="A"/>
    <m/>
    <n v="250013"/>
    <x v="2"/>
    <d v="2025-01-07T00:00:00"/>
    <d v="2025-02-18T00:00:00"/>
    <n v="2081250"/>
  </r>
  <r>
    <s v="0011"/>
    <s v="V"/>
    <x v="1"/>
    <x v="1"/>
    <x v="1"/>
    <s v="A"/>
    <m/>
    <n v="250518"/>
    <x v="2"/>
    <d v="2025-05-09T00:00:00"/>
    <d v="2025-05-27T00:00:00"/>
    <n v="299700"/>
  </r>
  <r>
    <s v="0012"/>
    <s v="V"/>
    <x v="1"/>
    <x v="1"/>
    <x v="1"/>
    <s v="A"/>
    <m/>
    <n v="250013"/>
    <x v="2"/>
    <d v="2025-05-14T00:00:00"/>
    <d v="2025-05-27T00:00:00"/>
    <n v="149850"/>
  </r>
  <r>
    <s v="0013"/>
    <s v="V"/>
    <x v="1"/>
    <x v="1"/>
    <x v="1"/>
    <s v="A"/>
    <m/>
    <n v="250545"/>
    <x v="2"/>
    <d v="2025-05-26T00:00:00"/>
    <d v="2025-06-19T00:00:00"/>
    <n v="449550"/>
  </r>
  <r>
    <s v="0014"/>
    <s v="V"/>
    <x v="1"/>
    <x v="1"/>
    <x v="1"/>
    <s v="A"/>
    <m/>
    <n v="250550"/>
    <x v="2"/>
    <d v="2025-05-28T00:00:00"/>
    <d v="2025-06-19T00:00:00"/>
    <n v="482850"/>
  </r>
  <r>
    <s v="0015"/>
    <s v="V"/>
    <x v="1"/>
    <x v="1"/>
    <x v="1"/>
    <s v="A"/>
    <m/>
    <n v="250608"/>
    <x v="2"/>
    <d v="2025-06-17T00:00:00"/>
    <d v="2025-07-10T00:00:00"/>
    <n v="449550"/>
  </r>
  <r>
    <s v="0016"/>
    <s v="V"/>
    <x v="1"/>
    <x v="1"/>
    <x v="1"/>
    <s v="A"/>
    <m/>
    <n v="250963"/>
    <x v="2"/>
    <d v="2025-09-24T00:00:00"/>
    <d v="2025-10-07T00:00:00"/>
    <n v="799200"/>
  </r>
  <r>
    <s v="0017"/>
    <s v="V"/>
    <x v="1"/>
    <x v="1"/>
    <x v="1"/>
    <s v="A"/>
    <m/>
    <n v="251031"/>
    <x v="2"/>
    <d v="2025-10-09T00:00:00"/>
    <d v="2025-10-23T00:00:00"/>
    <n v="1531800"/>
  </r>
  <r>
    <s v="0018"/>
    <s v="V"/>
    <x v="2"/>
    <x v="2"/>
    <x v="1"/>
    <s v="A"/>
    <m/>
    <n v="260039"/>
    <x v="2"/>
    <d v="2026-01-22T00:00:00"/>
    <d v="2026-02-10T00:00:00"/>
    <n v="932400"/>
  </r>
  <r>
    <s v="0019"/>
    <s v="V"/>
    <x v="2"/>
    <x v="2"/>
    <x v="1"/>
    <s v="A"/>
    <m/>
    <n v="260175"/>
    <x v="2"/>
    <d v="2026-03-16T00:00:00"/>
    <d v="2026-04-07T00:00:00"/>
    <n v="899100"/>
  </r>
  <r>
    <s v="0020"/>
    <s v="V"/>
    <x v="2"/>
    <x v="2"/>
    <x v="1"/>
    <s v="A"/>
    <m/>
    <n v="260215"/>
    <x v="2"/>
    <d v="2026-04-16T00:00:00"/>
    <d v="2026-04-28T00:00:00"/>
    <n v="177600"/>
  </r>
  <r>
    <s v="0020"/>
    <s v="V"/>
    <x v="2"/>
    <x v="2"/>
    <x v="1"/>
    <s v="A"/>
    <m/>
    <n v="260331"/>
    <x v="2"/>
    <d v="2026-06-08T00:00:00"/>
    <d v="2026-06-25T00:00:00"/>
    <n v="899100"/>
  </r>
  <r>
    <s v="0021"/>
    <s v="V"/>
    <x v="0"/>
    <x v="0"/>
    <x v="0"/>
    <m/>
    <m/>
    <m/>
    <x v="0"/>
    <m/>
    <m/>
    <m/>
  </r>
  <r>
    <s v="0022"/>
    <s v="V"/>
    <x v="0"/>
    <x v="0"/>
    <x v="0"/>
    <m/>
    <m/>
    <m/>
    <x v="0"/>
    <m/>
    <m/>
    <m/>
  </r>
  <r>
    <s v="0023"/>
    <s v="V"/>
    <x v="0"/>
    <x v="0"/>
    <x v="0"/>
    <m/>
    <s v="X"/>
    <s v="ANTAR MITRA SEMBADA, PT"/>
    <x v="0"/>
    <m/>
    <m/>
    <n v="592327597"/>
  </r>
  <r>
    <s v="0042"/>
    <s v="V"/>
    <x v="1"/>
    <x v="1"/>
    <x v="1"/>
    <s v="A"/>
    <m/>
    <n v="250012"/>
    <x v="3"/>
    <d v="2025-01-04T00:00:00"/>
    <d v="2025-01-28T00:00:00"/>
    <n v="6926400"/>
  </r>
  <r>
    <s v="0043"/>
    <s v="V"/>
    <x v="1"/>
    <x v="1"/>
    <x v="1"/>
    <s v="A"/>
    <m/>
    <n v="250013"/>
    <x v="3"/>
    <d v="2025-01-04T00:00:00"/>
    <d v="2025-01-28T00:00:00"/>
    <n v="1676419"/>
  </r>
  <r>
    <s v="0044"/>
    <s v="V"/>
    <x v="1"/>
    <x v="1"/>
    <x v="1"/>
    <s v="A"/>
    <m/>
    <n v="250015"/>
    <x v="3"/>
    <d v="2025-01-07T00:00:00"/>
    <d v="2025-01-28T00:00:00"/>
    <n v="9475342"/>
  </r>
  <r>
    <s v="0045"/>
    <s v="V"/>
    <x v="1"/>
    <x v="1"/>
    <x v="1"/>
    <s v="A"/>
    <m/>
    <n v="250016"/>
    <x v="3"/>
    <d v="2025-01-07T00:00:00"/>
    <d v="2025-01-28T00:00:00"/>
    <n v="924075"/>
  </r>
  <r>
    <s v="0046"/>
    <s v="V"/>
    <x v="1"/>
    <x v="1"/>
    <x v="1"/>
    <s v="A"/>
    <m/>
    <n v="250035"/>
    <x v="3"/>
    <d v="2025-01-10T00:00:00"/>
    <d v="2025-01-28T00:00:00"/>
    <n v="40279403"/>
  </r>
  <r>
    <s v="0047"/>
    <s v="V"/>
    <x v="1"/>
    <x v="1"/>
    <x v="1"/>
    <s v="A"/>
    <m/>
    <n v="250024"/>
    <x v="3"/>
    <d v="2025-01-09T00:00:00"/>
    <d v="2025-01-28T00:00:00"/>
    <n v="2999997"/>
  </r>
  <r>
    <s v="0048"/>
    <s v="V"/>
    <x v="1"/>
    <x v="1"/>
    <x v="1"/>
    <s v="A"/>
    <m/>
    <n v="250022"/>
    <x v="3"/>
    <d v="2025-01-08T00:00:00"/>
    <d v="2025-01-28T00:00:00"/>
    <n v="980847"/>
  </r>
  <r>
    <s v="0049"/>
    <s v="V"/>
    <x v="1"/>
    <x v="1"/>
    <x v="1"/>
    <s v="A"/>
    <m/>
    <n v="250023"/>
    <x v="3"/>
    <d v="2025-01-09T00:00:00"/>
    <d v="2025-01-28T00:00:00"/>
    <n v="2534160"/>
  </r>
  <r>
    <s v="0050"/>
    <s v="V"/>
    <x v="1"/>
    <x v="1"/>
    <x v="1"/>
    <s v="A"/>
    <m/>
    <n v="250068"/>
    <x v="3"/>
    <d v="2025-01-17T00:00:00"/>
    <d v="2025-02-06T00:00:00"/>
    <n v="15604720"/>
  </r>
  <r>
    <s v="0051"/>
    <s v="V"/>
    <x v="1"/>
    <x v="1"/>
    <x v="1"/>
    <s v="A"/>
    <m/>
    <n v="250081"/>
    <x v="3"/>
    <d v="2025-01-17T00:00:00"/>
    <d v="2025-02-06T00:00:00"/>
    <n v="568764"/>
  </r>
  <r>
    <s v="0052"/>
    <s v="V"/>
    <x v="1"/>
    <x v="1"/>
    <x v="1"/>
    <s v="A"/>
    <m/>
    <n v="250152"/>
    <x v="3"/>
    <d v="2025-02-11T00:00:00"/>
    <d v="2025-02-20T00:00:00"/>
    <n v="4608267"/>
  </r>
  <r>
    <s v="0053"/>
    <s v="V"/>
    <x v="1"/>
    <x v="1"/>
    <x v="1"/>
    <s v="A"/>
    <m/>
    <n v="25153"/>
    <x v="3"/>
    <d v="2025-02-11T00:00:00"/>
    <d v="2025-02-20T00:00:00"/>
    <n v="9157500"/>
  </r>
  <r>
    <s v="0054"/>
    <s v="V"/>
    <x v="1"/>
    <x v="1"/>
    <x v="1"/>
    <s v="A"/>
    <m/>
    <n v="250173"/>
    <x v="3"/>
    <d v="2025-02-12T00:00:00"/>
    <d v="2025-02-20T00:00:00"/>
    <n v="37780637"/>
  </r>
  <r>
    <s v="0055"/>
    <s v="V"/>
    <x v="1"/>
    <x v="1"/>
    <x v="1"/>
    <s v="A"/>
    <m/>
    <n v="250181"/>
    <x v="3"/>
    <d v="2025-02-19T00:00:00"/>
    <d v="2025-02-27T00:00:00"/>
    <n v="9157500"/>
  </r>
  <r>
    <s v="0056"/>
    <s v="V"/>
    <x v="1"/>
    <x v="1"/>
    <x v="1"/>
    <s v="A"/>
    <m/>
    <n v="250183"/>
    <x v="3"/>
    <d v="2025-02-19T00:00:00"/>
    <d v="2025-02-27T00:00:00"/>
    <n v="6350976"/>
  </r>
  <r>
    <s v="0057"/>
    <s v="V"/>
    <x v="1"/>
    <x v="1"/>
    <x v="1"/>
    <s v="A"/>
    <m/>
    <n v="25276"/>
    <x v="3"/>
    <d v="2025-02-28T00:00:00"/>
    <d v="2025-03-11T00:00:00"/>
    <n v="14323450"/>
  </r>
  <r>
    <s v="0058"/>
    <s v="V"/>
    <x v="1"/>
    <x v="1"/>
    <x v="1"/>
    <s v="A"/>
    <m/>
    <n v="250495"/>
    <x v="3"/>
    <d v="2025-04-30T00:00:00"/>
    <d v="2025-05-08T00:00:00"/>
    <n v="11025353"/>
  </r>
  <r>
    <s v="0059"/>
    <s v="V"/>
    <x v="1"/>
    <x v="1"/>
    <x v="1"/>
    <s v="A"/>
    <m/>
    <n v="250507"/>
    <x v="3"/>
    <d v="2025-05-07T00:00:00"/>
    <d v="2025-05-20T00:00:00"/>
    <n v="4836312"/>
  </r>
  <r>
    <s v="0060"/>
    <s v="V"/>
    <x v="1"/>
    <x v="1"/>
    <x v="1"/>
    <s v="A"/>
    <m/>
    <n v="250514"/>
    <x v="3"/>
    <d v="2025-05-08T00:00:00"/>
    <d v="2025-05-20T00:00:00"/>
    <n v="17352308"/>
  </r>
  <r>
    <s v="0061"/>
    <s v="V"/>
    <x v="1"/>
    <x v="1"/>
    <x v="1"/>
    <s v="A"/>
    <m/>
    <n v="250520"/>
    <x v="3"/>
    <d v="2025-05-13T00:00:00"/>
    <d v="2025-05-20T00:00:00"/>
    <n v="8221177"/>
  </r>
  <r>
    <s v="0062"/>
    <s v="V"/>
    <x v="1"/>
    <x v="1"/>
    <x v="1"/>
    <s v="A"/>
    <m/>
    <n v="250523"/>
    <x v="3"/>
    <d v="2025-05-15T00:00:00"/>
    <d v="2025-05-22T00:00:00"/>
    <n v="324675"/>
  </r>
  <r>
    <s v="0063"/>
    <s v="V"/>
    <x v="1"/>
    <x v="1"/>
    <x v="1"/>
    <s v="A"/>
    <m/>
    <n v="250522"/>
    <x v="3"/>
    <d v="2025-05-15T00:00:00"/>
    <d v="2025-05-22T00:00:00"/>
    <n v="689088"/>
  </r>
  <r>
    <s v="0064"/>
    <s v="V"/>
    <x v="1"/>
    <x v="1"/>
    <x v="1"/>
    <s v="A"/>
    <m/>
    <n v="250535"/>
    <x v="3"/>
    <d v="2025-05-19T00:00:00"/>
    <d v="2025-06-03T00:00:00"/>
    <n v="1983015"/>
  </r>
  <r>
    <s v="0065"/>
    <s v="V"/>
    <x v="1"/>
    <x v="1"/>
    <x v="1"/>
    <s v="A"/>
    <m/>
    <n v="250534"/>
    <x v="3"/>
    <d v="2025-05-21T00:00:00"/>
    <d v="2025-06-03T00:00:00"/>
    <n v="10113197"/>
  </r>
  <r>
    <s v="0066"/>
    <s v="V"/>
    <x v="1"/>
    <x v="1"/>
    <x v="1"/>
    <s v="A"/>
    <m/>
    <n v="250534"/>
    <x v="3"/>
    <d v="2025-05-21T00:00:00"/>
    <d v="2025-06-03T00:00:00"/>
    <n v="10113197"/>
  </r>
  <r>
    <s v="0067"/>
    <s v="V"/>
    <x v="1"/>
    <x v="1"/>
    <x v="1"/>
    <s v="A"/>
    <m/>
    <n v="250580"/>
    <x v="3"/>
    <d v="2025-05-31T00:00:00"/>
    <d v="2025-06-05T00:00:00"/>
    <n v="471758"/>
  </r>
  <r>
    <s v="0068"/>
    <s v="V"/>
    <x v="1"/>
    <x v="1"/>
    <x v="1"/>
    <s v="A"/>
    <m/>
    <n v="250579"/>
    <x v="3"/>
    <d v="2025-05-31T00:00:00"/>
    <d v="2025-06-05T00:00:00"/>
    <n v="1783215"/>
  </r>
  <r>
    <s v="0069"/>
    <s v="V"/>
    <x v="1"/>
    <x v="1"/>
    <x v="1"/>
    <s v="A"/>
    <m/>
    <n v="250572"/>
    <x v="3"/>
    <d v="2025-05-31T00:00:00"/>
    <d v="2025-06-05T00:00:00"/>
    <n v="927072"/>
  </r>
  <r>
    <s v="0070"/>
    <s v="V"/>
    <x v="1"/>
    <x v="1"/>
    <x v="1"/>
    <s v="A"/>
    <m/>
    <n v="250571"/>
    <x v="3"/>
    <d v="2025-06-03T00:00:00"/>
    <d v="2025-06-12T00:00:00"/>
    <n v="9306748"/>
  </r>
  <r>
    <s v="0071"/>
    <s v="V"/>
    <x v="1"/>
    <x v="1"/>
    <x v="1"/>
    <s v="A"/>
    <m/>
    <n v="250581"/>
    <x v="3"/>
    <d v="2025-06-05T00:00:00"/>
    <d v="2025-06-17T00:00:00"/>
    <n v="1048950"/>
  </r>
  <r>
    <s v="0072"/>
    <s v="V"/>
    <x v="1"/>
    <x v="1"/>
    <x v="1"/>
    <s v="A"/>
    <m/>
    <n v="250589"/>
    <x v="3"/>
    <d v="2025-06-09T00:00:00"/>
    <d v="2025-06-17T00:00:00"/>
    <n v="495338"/>
  </r>
  <r>
    <s v="0073"/>
    <s v="V"/>
    <x v="1"/>
    <x v="1"/>
    <x v="1"/>
    <s v="A"/>
    <m/>
    <n v="250592"/>
    <x v="3"/>
    <d v="2025-06-09T00:00:00"/>
    <d v="2025-06-17T00:00:00"/>
    <n v="5543176"/>
  </r>
  <r>
    <s v="0074"/>
    <s v="V"/>
    <x v="1"/>
    <x v="1"/>
    <x v="1"/>
    <s v="A"/>
    <m/>
    <n v="250591"/>
    <x v="3"/>
    <d v="2025-06-09T00:00:00"/>
    <d v="2025-06-17T00:00:00"/>
    <n v="446775"/>
  </r>
  <r>
    <s v="0075"/>
    <s v="V"/>
    <x v="1"/>
    <x v="1"/>
    <x v="1"/>
    <s v="A"/>
    <m/>
    <n v="250600"/>
    <x v="3"/>
    <d v="2025-06-12T00:00:00"/>
    <d v="2025-06-24T00:00:00"/>
    <n v="7500825"/>
  </r>
  <r>
    <s v="0076"/>
    <s v="V"/>
    <x v="1"/>
    <x v="1"/>
    <x v="1"/>
    <s v="A"/>
    <m/>
    <n v="250606"/>
    <x v="3"/>
    <d v="2025-06-17T00:00:00"/>
    <d v="2025-07-01T00:00:00"/>
    <n v="186480"/>
  </r>
  <r>
    <s v="0077"/>
    <s v="V"/>
    <x v="1"/>
    <x v="1"/>
    <x v="1"/>
    <s v="A"/>
    <m/>
    <n v="250620"/>
    <x v="3"/>
    <d v="2025-06-23T00:00:00"/>
    <d v="2025-07-01T00:00:00"/>
    <n v="7693688"/>
  </r>
  <r>
    <s v="0078"/>
    <s v="V"/>
    <x v="1"/>
    <x v="1"/>
    <x v="1"/>
    <s v="A"/>
    <m/>
    <n v="250644"/>
    <x v="3"/>
    <d v="2025-06-30T00:00:00"/>
    <d v="2025-07-08T00:00:00"/>
    <n v="14926536"/>
  </r>
  <r>
    <s v="0079"/>
    <s v="V"/>
    <x v="1"/>
    <x v="1"/>
    <x v="1"/>
    <s v="A"/>
    <m/>
    <n v="250654"/>
    <x v="3"/>
    <d v="2025-06-30T00:00:00"/>
    <d v="2025-07-08T00:00:00"/>
    <n v="893550"/>
  </r>
  <r>
    <s v="0080"/>
    <s v="V"/>
    <x v="1"/>
    <x v="1"/>
    <x v="1"/>
    <s v="A"/>
    <m/>
    <n v="250652"/>
    <x v="3"/>
    <d v="2025-06-30T00:00:00"/>
    <d v="2025-07-08T00:00:00"/>
    <n v="6202125"/>
  </r>
  <r>
    <s v="0081"/>
    <s v="V"/>
    <x v="1"/>
    <x v="1"/>
    <x v="1"/>
    <s v="A"/>
    <m/>
    <n v="250653"/>
    <x v="3"/>
    <d v="2025-06-30T00:00:00"/>
    <d v="2025-07-08T00:00:00"/>
    <n v="74925"/>
  </r>
  <r>
    <s v="0082"/>
    <s v="V"/>
    <x v="1"/>
    <x v="1"/>
    <x v="1"/>
    <s v="A"/>
    <m/>
    <n v="250754"/>
    <x v="3"/>
    <d v="2025-07-25T00:00:00"/>
    <d v="2025-08-05T00:00:00"/>
    <n v="2247750"/>
  </r>
  <r>
    <s v="0083"/>
    <s v="V"/>
    <x v="1"/>
    <x v="1"/>
    <x v="1"/>
    <s v="A"/>
    <m/>
    <n v="250753"/>
    <x v="3"/>
    <d v="2025-07-25T00:00:00"/>
    <d v="2025-08-05T00:00:00"/>
    <n v="10396287"/>
  </r>
  <r>
    <s v="0084"/>
    <s v="V"/>
    <x v="1"/>
    <x v="1"/>
    <x v="1"/>
    <s v="A"/>
    <m/>
    <n v="250879"/>
    <x v="3"/>
    <d v="2025-08-30T00:00:00"/>
    <d v="2025-09-04T00:00:00"/>
    <n v="208125"/>
  </r>
  <r>
    <s v="0085"/>
    <s v="V"/>
    <x v="1"/>
    <x v="1"/>
    <x v="1"/>
    <s v="A"/>
    <m/>
    <n v="250880"/>
    <x v="3"/>
    <d v="2025-08-30T00:00:00"/>
    <d v="2025-09-04T00:00:00"/>
    <n v="446775"/>
  </r>
  <r>
    <s v="0086"/>
    <s v="V"/>
    <x v="1"/>
    <x v="1"/>
    <x v="1"/>
    <s v="A"/>
    <m/>
    <n v="250883"/>
    <x v="3"/>
    <d v="2025-08-30T00:00:00"/>
    <d v="2025-09-04T00:00:00"/>
    <n v="22736350"/>
  </r>
  <r>
    <s v="0087"/>
    <s v="V"/>
    <x v="1"/>
    <x v="1"/>
    <x v="1"/>
    <s v="A"/>
    <m/>
    <n v="250881"/>
    <x v="3"/>
    <d v="2025-08-30T00:00:00"/>
    <d v="2025-09-04T00:00:00"/>
    <n v="6060600"/>
  </r>
  <r>
    <s v="0088"/>
    <s v="V"/>
    <x v="1"/>
    <x v="1"/>
    <x v="1"/>
    <s v="A"/>
    <m/>
    <n v="250882"/>
    <x v="3"/>
    <d v="2025-09-01T00:00:00"/>
    <d v="2025-09-11T00:00:00"/>
    <n v="5450655"/>
  </r>
  <r>
    <s v="0089"/>
    <s v="V"/>
    <x v="1"/>
    <x v="1"/>
    <x v="1"/>
    <s v="A"/>
    <m/>
    <n v="250904"/>
    <x v="3"/>
    <d v="2025-09-04T00:00:00"/>
    <d v="2025-09-11T00:00:00"/>
    <n v="381143"/>
  </r>
  <r>
    <s v="0090"/>
    <s v="V"/>
    <x v="1"/>
    <x v="1"/>
    <x v="1"/>
    <s v="A"/>
    <m/>
    <n v="250893"/>
    <x v="3"/>
    <d v="2025-09-04T00:00:00"/>
    <d v="2025-09-11T00:00:00"/>
    <n v="102856"/>
  </r>
  <r>
    <s v="0091"/>
    <s v="V"/>
    <x v="1"/>
    <x v="1"/>
    <x v="1"/>
    <s v="A"/>
    <m/>
    <n v="250919"/>
    <x v="3"/>
    <d v="2025-09-10T00:00:00"/>
    <d v="2025-09-25T00:00:00"/>
    <n v="479520"/>
  </r>
  <r>
    <s v="0092"/>
    <s v="V"/>
    <x v="1"/>
    <x v="1"/>
    <x v="1"/>
    <s v="A"/>
    <m/>
    <n v="250917"/>
    <x v="3"/>
    <d v="2025-09-10T00:00:00"/>
    <d v="2025-09-25T00:00:00"/>
    <n v="1360227"/>
  </r>
  <r>
    <s v="0093"/>
    <s v="V"/>
    <x v="1"/>
    <x v="1"/>
    <x v="1"/>
    <s v="A"/>
    <m/>
    <n v="250929"/>
    <x v="3"/>
    <d v="2025-09-12T00:00:00"/>
    <d v="2025-09-25T00:00:00"/>
    <n v="620780"/>
  </r>
  <r>
    <s v="0094"/>
    <s v="V"/>
    <x v="1"/>
    <x v="1"/>
    <x v="1"/>
    <s v="A"/>
    <m/>
    <n v="250938"/>
    <x v="3"/>
    <d v="2025-09-16T00:00:00"/>
    <d v="2025-09-25T00:00:00"/>
    <n v="777000"/>
  </r>
  <r>
    <s v="0095"/>
    <s v="V"/>
    <x v="1"/>
    <x v="1"/>
    <x v="1"/>
    <s v="A"/>
    <m/>
    <n v="250948"/>
    <x v="3"/>
    <d v="2025-09-19T00:00:00"/>
    <d v="2025-09-25T00:00:00"/>
    <n v="87413"/>
  </r>
  <r>
    <s v="0096"/>
    <s v="V"/>
    <x v="1"/>
    <x v="1"/>
    <x v="1"/>
    <s v="A"/>
    <m/>
    <n v="250962"/>
    <x v="3"/>
    <d v="2025-09-24T00:00:00"/>
    <d v="2025-10-02T00:00:00"/>
    <n v="536130"/>
  </r>
  <r>
    <s v="0097"/>
    <s v="V"/>
    <x v="1"/>
    <x v="1"/>
    <x v="1"/>
    <s v="A"/>
    <m/>
    <n v="250960"/>
    <x v="3"/>
    <d v="2025-09-24T00:00:00"/>
    <d v="2025-10-02T00:00:00"/>
    <n v="2184373"/>
  </r>
  <r>
    <s v="0098"/>
    <s v="V"/>
    <x v="1"/>
    <x v="1"/>
    <x v="1"/>
    <s v="A"/>
    <m/>
    <n v="250968"/>
    <x v="3"/>
    <d v="2025-09-25T00:00:00"/>
    <d v="2025-10-14T00:00:00"/>
    <n v="624375"/>
  </r>
  <r>
    <s v="0099"/>
    <s v="V"/>
    <x v="1"/>
    <x v="1"/>
    <x v="1"/>
    <s v="A"/>
    <m/>
    <n v="250977"/>
    <x v="3"/>
    <d v="2025-09-29T00:00:00"/>
    <d v="2025-10-14T00:00:00"/>
    <n v="858314"/>
  </r>
  <r>
    <s v="0100"/>
    <s v="V"/>
    <x v="1"/>
    <x v="1"/>
    <x v="1"/>
    <s v="A"/>
    <m/>
    <n v="250989"/>
    <x v="3"/>
    <d v="2025-09-30T00:00:00"/>
    <d v="2025-10-14T00:00:00"/>
    <n v="749250"/>
  </r>
  <r>
    <s v="0101"/>
    <s v="V"/>
    <x v="1"/>
    <x v="1"/>
    <x v="1"/>
    <s v="A"/>
    <m/>
    <n v="250986"/>
    <x v="3"/>
    <d v="2025-09-30T00:00:00"/>
    <d v="2025-10-14T00:00:00"/>
    <n v="1048950"/>
  </r>
  <r>
    <s v="0102"/>
    <s v="V"/>
    <x v="1"/>
    <x v="1"/>
    <x v="1"/>
    <s v="A"/>
    <m/>
    <n v="250987"/>
    <x v="3"/>
    <d v="2025-09-30T00:00:00"/>
    <d v="2025-10-14T00:00:00"/>
    <n v="2331000"/>
  </r>
  <r>
    <s v="0103"/>
    <s v="V"/>
    <x v="1"/>
    <x v="1"/>
    <x v="1"/>
    <s v="A"/>
    <m/>
    <n v="250988"/>
    <x v="3"/>
    <d v="2025-09-30T00:00:00"/>
    <d v="2025-10-14T00:00:00"/>
    <n v="12121200"/>
  </r>
  <r>
    <s v="0104"/>
    <s v="V"/>
    <x v="1"/>
    <x v="1"/>
    <x v="1"/>
    <s v="A"/>
    <m/>
    <n v="250992"/>
    <x v="3"/>
    <d v="2025-09-30T00:00:00"/>
    <d v="2025-10-14T00:00:00"/>
    <n v="3007243"/>
  </r>
  <r>
    <s v="0105"/>
    <s v="V"/>
    <x v="1"/>
    <x v="1"/>
    <x v="1"/>
    <s v="A"/>
    <m/>
    <n v="251038"/>
    <x v="3"/>
    <d v="2025-10-11T00:00:00"/>
    <d v="2025-10-23T00:00:00"/>
    <n v="6283044"/>
  </r>
  <r>
    <s v="0106"/>
    <s v="V"/>
    <x v="1"/>
    <x v="1"/>
    <x v="1"/>
    <s v="A"/>
    <m/>
    <n v="251037"/>
    <x v="3"/>
    <d v="2025-10-11T00:00:00"/>
    <d v="2025-10-23T00:00:00"/>
    <n v="749250"/>
  </r>
  <r>
    <s v="0107"/>
    <s v="V"/>
    <x v="1"/>
    <x v="1"/>
    <x v="1"/>
    <s v="A"/>
    <m/>
    <n v="251107"/>
    <x v="3"/>
    <d v="2025-10-18T00:00:00"/>
    <d v="2025-11-04T00:00:00"/>
    <n v="6925357"/>
  </r>
  <r>
    <s v="0108"/>
    <s v="V"/>
    <x v="1"/>
    <x v="1"/>
    <x v="1"/>
    <s v="A"/>
    <m/>
    <n v="251086"/>
    <x v="3"/>
    <d v="2025-10-22T00:00:00"/>
    <d v="2025-11-04T00:00:00"/>
    <n v="3278744"/>
  </r>
  <r>
    <s v="0109"/>
    <s v="V"/>
    <x v="1"/>
    <x v="1"/>
    <x v="1"/>
    <s v="A"/>
    <m/>
    <n v="251146"/>
    <x v="3"/>
    <d v="2025-10-24T00:00:00"/>
    <d v="2025-11-04T00:00:00"/>
    <n v="446775"/>
  </r>
  <r>
    <s v="0110"/>
    <s v="V"/>
    <x v="1"/>
    <x v="1"/>
    <x v="1"/>
    <s v="A"/>
    <m/>
    <n v="251120"/>
    <x v="3"/>
    <d v="2025-10-30T00:00:00"/>
    <d v="2025-11-04T00:00:00"/>
    <n v="7308093"/>
  </r>
  <r>
    <s v="0111"/>
    <s v="V"/>
    <x v="1"/>
    <x v="1"/>
    <x v="1"/>
    <s v="A"/>
    <m/>
    <n v="251091"/>
    <x v="3"/>
    <d v="2025-10-31T00:00:00"/>
    <d v="2025-11-04T00:00:00"/>
    <n v="446775"/>
  </r>
  <r>
    <s v="0112"/>
    <s v="V"/>
    <x v="1"/>
    <x v="1"/>
    <x v="1"/>
    <s v="A"/>
    <m/>
    <n v="251147"/>
    <x v="3"/>
    <d v="2025-10-31T00:00:00"/>
    <d v="2025-11-04T00:00:00"/>
    <n v="1165500"/>
  </r>
  <r>
    <s v="0113"/>
    <s v="V"/>
    <x v="1"/>
    <x v="1"/>
    <x v="1"/>
    <s v="A"/>
    <m/>
    <n v="251148"/>
    <x v="3"/>
    <d v="2025-10-31T00:00:00"/>
    <d v="2025-11-04T00:00:00"/>
    <n v="3636360"/>
  </r>
  <r>
    <s v="0114"/>
    <s v="V"/>
    <x v="1"/>
    <x v="1"/>
    <x v="1"/>
    <s v="A"/>
    <m/>
    <n v="251230"/>
    <x v="3"/>
    <d v="2025-11-29T00:00:00"/>
    <d v="2025-12-11T00:00:00"/>
    <n v="11504734"/>
  </r>
  <r>
    <s v="0115"/>
    <s v="V"/>
    <x v="1"/>
    <x v="1"/>
    <x v="1"/>
    <s v="A"/>
    <m/>
    <n v="251228"/>
    <x v="3"/>
    <d v="2025-11-29T00:00:00"/>
    <d v="2025-12-11T00:00:00"/>
    <n v="349650"/>
  </r>
  <r>
    <s v="0116"/>
    <s v="V"/>
    <x v="1"/>
    <x v="1"/>
    <x v="1"/>
    <s v="A"/>
    <m/>
    <n v="251233"/>
    <x v="3"/>
    <d v="2025-12-03T00:00:00"/>
    <d v="2025-12-11T00:00:00"/>
    <n v="6806021"/>
  </r>
  <r>
    <s v="0117"/>
    <s v="V"/>
    <x v="1"/>
    <x v="1"/>
    <x v="1"/>
    <s v="A"/>
    <m/>
    <n v="251232"/>
    <x v="3"/>
    <d v="2025-12-03T00:00:00"/>
    <d v="2025-12-11T00:00:00"/>
    <n v="241425"/>
  </r>
  <r>
    <s v="0118"/>
    <s v="V"/>
    <x v="1"/>
    <x v="1"/>
    <x v="1"/>
    <s v="A"/>
    <m/>
    <n v="251231"/>
    <x v="3"/>
    <d v="2025-12-03T00:00:00"/>
    <d v="2025-12-11T00:00:00"/>
    <n v="5445987"/>
  </r>
  <r>
    <s v="0119"/>
    <s v="V"/>
    <x v="1"/>
    <x v="1"/>
    <x v="1"/>
    <s v="A"/>
    <m/>
    <n v="251262"/>
    <x v="3"/>
    <d v="2025-12-12T00:00:00"/>
    <d v="2025-12-18T00:00:00"/>
    <n v="89355"/>
  </r>
  <r>
    <s v="0120"/>
    <s v="V"/>
    <x v="1"/>
    <x v="1"/>
    <x v="1"/>
    <s v="A"/>
    <m/>
    <n v="251263"/>
    <x v="3"/>
    <d v="2025-12-12T00:00:00"/>
    <d v="2025-12-18T00:00:00"/>
    <n v="19852373"/>
  </r>
  <r>
    <s v="0121"/>
    <s v="V"/>
    <x v="2"/>
    <x v="1"/>
    <x v="1"/>
    <s v="A"/>
    <m/>
    <n v="260026"/>
    <x v="3"/>
    <d v="2026-01-20T00:00:00"/>
    <d v="2026-01-31T00:00:00"/>
    <n v="40005062"/>
  </r>
  <r>
    <s v="0122"/>
    <s v="V"/>
    <x v="2"/>
    <x v="1"/>
    <x v="1"/>
    <s v="A"/>
    <m/>
    <n v="260025"/>
    <x v="3"/>
    <d v="2026-01-20T00:00:00"/>
    <d v="2026-01-31T00:00:00"/>
    <n v="466938"/>
  </r>
  <r>
    <s v="0123"/>
    <s v="V"/>
    <x v="2"/>
    <x v="1"/>
    <x v="1"/>
    <s v="A"/>
    <m/>
    <n v="260031"/>
    <x v="3"/>
    <d v="2026-01-22T00:00:00"/>
    <d v="2026-01-31T00:00:00"/>
    <n v="853313"/>
  </r>
  <r>
    <s v="0124"/>
    <s v="V"/>
    <x v="2"/>
    <x v="1"/>
    <x v="1"/>
    <s v="A"/>
    <m/>
    <n v="260036"/>
    <x v="3"/>
    <d v="2026-01-22T00:00:00"/>
    <d v="2026-01-31T00:00:00"/>
    <n v="122206"/>
  </r>
  <r>
    <s v="0125"/>
    <s v="V"/>
    <x v="2"/>
    <x v="1"/>
    <x v="1"/>
    <s v="A"/>
    <m/>
    <n v="251263"/>
    <x v="3"/>
    <d v="2026-01-22T00:00:00"/>
    <d v="2026-01-31T00:00:00"/>
    <n v="8233532"/>
  </r>
  <r>
    <s v="0126"/>
    <s v="V"/>
    <x v="2"/>
    <x v="1"/>
    <x v="1"/>
    <s v="A"/>
    <m/>
    <n v="260141"/>
    <x v="3"/>
    <d v="2026-02-27T00:00:00"/>
    <d v="2026-03-14T00:00:00"/>
    <n v="5553545"/>
  </r>
  <r>
    <s v="0127"/>
    <s v="V"/>
    <x v="2"/>
    <x v="1"/>
    <x v="1"/>
    <s v="A"/>
    <m/>
    <n v="260140"/>
    <x v="3"/>
    <d v="2026-02-27T00:00:00"/>
    <d v="2026-03-14T00:00:00"/>
    <n v="245588"/>
  </r>
  <r>
    <s v="0128"/>
    <s v="V"/>
    <x v="2"/>
    <x v="1"/>
    <x v="1"/>
    <s v="A"/>
    <m/>
    <n v="260159"/>
    <x v="3"/>
    <d v="2026-03-04T00:00:00"/>
    <d v="2026-03-14T00:00:00"/>
    <n v="13837297"/>
  </r>
  <r>
    <s v="0129"/>
    <s v="V"/>
    <x v="2"/>
    <x v="1"/>
    <x v="1"/>
    <s v="A"/>
    <m/>
    <n v="260161"/>
    <x v="3"/>
    <d v="2026-03-06T00:00:00"/>
    <d v="2026-03-14T00:00:00"/>
    <n v="2623425"/>
  </r>
  <r>
    <s v="0130"/>
    <s v="V"/>
    <x v="2"/>
    <x v="1"/>
    <x v="1"/>
    <s v="A"/>
    <m/>
    <n v="260163"/>
    <x v="3"/>
    <d v="2026-03-09T00:00:00"/>
    <d v="2026-03-26T00:00:00"/>
    <n v="657675"/>
  </r>
  <r>
    <s v="0131"/>
    <s v="V"/>
    <x v="2"/>
    <x v="1"/>
    <x v="1"/>
    <s v="A"/>
    <m/>
    <n v="260162"/>
    <x v="3"/>
    <d v="2026-03-10T00:00:00"/>
    <d v="2026-03-26T00:00:00"/>
    <n v="239760"/>
  </r>
  <r>
    <s v="0132"/>
    <s v="V"/>
    <x v="2"/>
    <x v="1"/>
    <x v="1"/>
    <s v="A"/>
    <m/>
    <n v="260186"/>
    <x v="3"/>
    <d v="2026-03-26T00:00:00"/>
    <d v="2026-04-07T00:00:00"/>
    <n v="9243525"/>
  </r>
  <r>
    <s v="0133"/>
    <s v="V"/>
    <x v="2"/>
    <x v="1"/>
    <x v="1"/>
    <s v="A"/>
    <m/>
    <n v="260185"/>
    <x v="3"/>
    <d v="2026-03-27T00:00:00"/>
    <d v="2026-04-07T00:00:00"/>
    <n v="5406539"/>
  </r>
  <r>
    <s v="0134"/>
    <s v="V"/>
    <x v="2"/>
    <x v="1"/>
    <x v="1"/>
    <s v="A"/>
    <m/>
    <n v="260224"/>
    <x v="3"/>
    <d v="2026-04-22T00:00:00"/>
    <d v="2026-05-05T00:00:00"/>
    <n v="13869450"/>
  </r>
  <r>
    <s v="0135"/>
    <s v="V"/>
    <x v="2"/>
    <x v="1"/>
    <x v="1"/>
    <s v="A"/>
    <m/>
    <n v="260226"/>
    <x v="3"/>
    <d v="2026-04-22T00:00:00"/>
    <d v="2026-05-05T00:00:00"/>
    <n v="19060991"/>
  </r>
  <r>
    <s v="0136"/>
    <s v="V"/>
    <x v="2"/>
    <x v="1"/>
    <x v="1"/>
    <s v="A"/>
    <m/>
    <n v="260227"/>
    <x v="3"/>
    <d v="2026-04-22T00:00:00"/>
    <d v="2026-05-05T00:00:00"/>
    <n v="1642143"/>
  </r>
  <r>
    <s v="0137"/>
    <s v="V"/>
    <x v="2"/>
    <x v="1"/>
    <x v="1"/>
    <s v="A"/>
    <m/>
    <n v="260225"/>
    <x v="3"/>
    <d v="2026-04-22T00:00:00"/>
    <d v="2026-05-05T00:00:00"/>
    <n v="1810688"/>
  </r>
  <r>
    <s v="0138"/>
    <s v="V"/>
    <x v="2"/>
    <x v="1"/>
    <x v="1"/>
    <s v="A"/>
    <m/>
    <n v="260228"/>
    <x v="3"/>
    <d v="2026-04-22T00:00:00"/>
    <d v="2026-05-05T00:00:00"/>
    <n v="888000"/>
  </r>
  <r>
    <s v="0139"/>
    <s v="V"/>
    <x v="2"/>
    <x v="1"/>
    <x v="1"/>
    <s v="A"/>
    <m/>
    <n v="260229"/>
    <x v="3"/>
    <d v="2026-04-22T00:00:00"/>
    <d v="2026-05-05T00:00:00"/>
    <n v="399600"/>
  </r>
  <r>
    <s v="0140"/>
    <s v="V"/>
    <x v="2"/>
    <x v="1"/>
    <x v="1"/>
    <s v="A"/>
    <m/>
    <n v="260237"/>
    <x v="3"/>
    <d v="2026-04-24T00:00:00"/>
    <d v="2026-05-05T00:00:00"/>
    <n v="893550"/>
  </r>
  <r>
    <s v="0141"/>
    <s v="V"/>
    <x v="2"/>
    <x v="1"/>
    <x v="1"/>
    <s v="A"/>
    <m/>
    <n v="260239"/>
    <x v="3"/>
    <d v="2026-04-25T00:00:00"/>
    <d v="2026-05-05T00:00:00"/>
    <n v="91298"/>
  </r>
  <r>
    <s v="0141"/>
    <s v="V"/>
    <x v="2"/>
    <x v="1"/>
    <x v="1"/>
    <s v="A"/>
    <m/>
    <n v="260362"/>
    <x v="3"/>
    <d v="2026-06-15T00:00:00"/>
    <d v="2026-06-25T00:00:00"/>
    <n v="13819802"/>
  </r>
  <r>
    <s v="0141"/>
    <s v="V"/>
    <x v="2"/>
    <x v="1"/>
    <x v="1"/>
    <s v="A"/>
    <m/>
    <n v="260363"/>
    <x v="3"/>
    <d v="2026-06-15T00:00:00"/>
    <d v="2026-06-25T00:00:00"/>
    <n v="143745"/>
  </r>
  <r>
    <s v="0141"/>
    <s v="V"/>
    <x v="2"/>
    <x v="1"/>
    <x v="1"/>
    <s v="A"/>
    <m/>
    <n v="260383"/>
    <x v="3"/>
    <d v="2026-06-19T00:00:00"/>
    <d v="2026-06-30T00:00:00"/>
    <n v="1482333"/>
  </r>
  <r>
    <s v="0141"/>
    <s v="V"/>
    <x v="2"/>
    <x v="1"/>
    <x v="1"/>
    <s v="A"/>
    <m/>
    <n v="260384"/>
    <x v="3"/>
    <d v="2026-06-19T00:00:00"/>
    <d v="2026-06-30T00:00:00"/>
    <n v="74925"/>
  </r>
  <r>
    <s v="0141"/>
    <s v="V"/>
    <x v="2"/>
    <x v="1"/>
    <x v="1"/>
    <s v="A"/>
    <m/>
    <n v="260382"/>
    <x v="3"/>
    <d v="2026-06-20T00:00:00"/>
    <d v="2026-06-30T00:00:00"/>
    <n v="217560"/>
  </r>
  <r>
    <s v="0141"/>
    <s v="V"/>
    <x v="2"/>
    <x v="2"/>
    <x v="1"/>
    <s v="A"/>
    <m/>
    <n v="260452"/>
    <x v="3"/>
    <d v="2026-07-08T00:00:00"/>
    <d v="2026-07-21T00:00:00"/>
    <n v="3528690"/>
  </r>
  <r>
    <s v="0141"/>
    <s v="V"/>
    <x v="2"/>
    <x v="2"/>
    <x v="1"/>
    <s v="A"/>
    <m/>
    <n v="260477"/>
    <x v="3"/>
    <d v="2026-07-15T00:00:00"/>
    <d v="2026-07-28T00:00:00"/>
    <n v="3727774"/>
  </r>
  <r>
    <s v="0141"/>
    <s v="V"/>
    <x v="2"/>
    <x v="2"/>
    <x v="1"/>
    <s v="A"/>
    <m/>
    <n v="260475"/>
    <x v="3"/>
    <d v="2026-07-15T00:00:00"/>
    <d v="2026-07-28T00:00:00"/>
    <n v="224775"/>
  </r>
  <r>
    <s v="0141"/>
    <s v="V"/>
    <x v="2"/>
    <x v="2"/>
    <x v="1"/>
    <s v="A"/>
    <m/>
    <n v="260505"/>
    <x v="3"/>
    <d v="2026-07-18T00:00:00"/>
    <d v="2026-07-30T00:00:00"/>
    <n v="999999"/>
  </r>
  <r>
    <s v="0141"/>
    <s v="V"/>
    <x v="2"/>
    <x v="2"/>
    <x v="1"/>
    <s v="A"/>
    <m/>
    <n v="260506"/>
    <x v="3"/>
    <d v="2026-07-18T00:00:00"/>
    <d v="2026-07-30T00:00:00"/>
    <n v="2340411"/>
  </r>
  <r>
    <s v="0141"/>
    <s v="V"/>
    <x v="2"/>
    <x v="2"/>
    <x v="1"/>
    <s v="A"/>
    <m/>
    <n v="260513"/>
    <x v="3"/>
    <d v="2026-07-21T00:00:00"/>
    <d v="2026-07-30T00:00:00"/>
    <n v="79920"/>
  </r>
  <r>
    <s v="0141"/>
    <s v="V"/>
    <x v="2"/>
    <x v="2"/>
    <x v="1"/>
    <s v="A"/>
    <m/>
    <n v="260512"/>
    <x v="3"/>
    <d v="2026-07-21T00:00:00"/>
    <d v="2026-07-30T00:00:00"/>
    <n v="4689839"/>
  </r>
  <r>
    <s v="0142"/>
    <s v="V"/>
    <x v="0"/>
    <x v="0"/>
    <x v="0"/>
    <m/>
    <m/>
    <m/>
    <x v="0"/>
    <m/>
    <m/>
    <m/>
  </r>
  <r>
    <s v="0143"/>
    <s v="V"/>
    <x v="0"/>
    <x v="0"/>
    <x v="0"/>
    <m/>
    <m/>
    <m/>
    <x v="0"/>
    <m/>
    <m/>
    <m/>
  </r>
  <r>
    <s v="0144"/>
    <s v="V"/>
    <x v="0"/>
    <x v="0"/>
    <x v="0"/>
    <m/>
    <s v="X"/>
    <s v="ANUGERAH BORNEO ABADI, PT"/>
    <x v="0"/>
    <m/>
    <m/>
    <n v="0"/>
  </r>
  <r>
    <s v="0145"/>
    <s v="V"/>
    <x v="0"/>
    <x v="0"/>
    <x v="0"/>
    <m/>
    <m/>
    <m/>
    <x v="0"/>
    <m/>
    <m/>
    <m/>
  </r>
  <r>
    <s v="0146"/>
    <s v="V"/>
    <x v="0"/>
    <x v="0"/>
    <x v="0"/>
    <m/>
    <m/>
    <m/>
    <x v="0"/>
    <m/>
    <m/>
    <m/>
  </r>
  <r>
    <s v="0147"/>
    <s v="V"/>
    <x v="0"/>
    <x v="0"/>
    <x v="0"/>
    <m/>
    <s v="X"/>
    <s v="ANUGERAH PHARMINDO LESTARI, PT"/>
    <x v="0"/>
    <m/>
    <m/>
    <n v="303613021"/>
  </r>
  <r>
    <s v="0169"/>
    <s v="V"/>
    <x v="1"/>
    <x v="1"/>
    <x v="1"/>
    <s v="A"/>
    <m/>
    <n v="250195"/>
    <x v="4"/>
    <d v="2025-02-17T00:00:00"/>
    <d v="2025-03-04T00:00:00"/>
    <n v="140564"/>
  </r>
  <r>
    <s v="0170"/>
    <s v="V"/>
    <x v="1"/>
    <x v="1"/>
    <x v="1"/>
    <s v="A"/>
    <m/>
    <n v="250197"/>
    <x v="4"/>
    <d v="2025-02-17T00:00:00"/>
    <d v="2025-03-04T00:00:00"/>
    <n v="327771"/>
  </r>
  <r>
    <s v="0171"/>
    <s v="V"/>
    <x v="1"/>
    <x v="1"/>
    <x v="1"/>
    <s v="A"/>
    <m/>
    <n v="250196"/>
    <x v="4"/>
    <d v="2025-02-17T00:00:00"/>
    <d v="2025-03-04T00:00:00"/>
    <n v="219336"/>
  </r>
  <r>
    <s v="0172"/>
    <s v="V"/>
    <x v="1"/>
    <x v="1"/>
    <x v="1"/>
    <s v="A"/>
    <m/>
    <n v="250198"/>
    <x v="4"/>
    <d v="2025-02-17T00:00:00"/>
    <d v="2025-03-04T00:00:00"/>
    <n v="6017499"/>
  </r>
  <r>
    <s v="0173"/>
    <s v="V"/>
    <x v="1"/>
    <x v="1"/>
    <x v="1"/>
    <s v="A"/>
    <m/>
    <n v="250194"/>
    <x v="4"/>
    <d v="2025-02-17T00:00:00"/>
    <d v="2025-03-04T00:00:00"/>
    <n v="6593400"/>
  </r>
  <r>
    <s v="0174"/>
    <s v="V"/>
    <x v="1"/>
    <x v="1"/>
    <x v="1"/>
    <s v="A"/>
    <m/>
    <n v="250189"/>
    <x v="4"/>
    <d v="2025-02-18T00:00:00"/>
    <d v="2025-03-04T00:00:00"/>
    <n v="2008271"/>
  </r>
  <r>
    <s v="0175"/>
    <s v="V"/>
    <x v="1"/>
    <x v="1"/>
    <x v="1"/>
    <s v="A"/>
    <m/>
    <n v="250190"/>
    <x v="4"/>
    <d v="2025-02-18T00:00:00"/>
    <d v="2025-03-04T00:00:00"/>
    <n v="1579502"/>
  </r>
  <r>
    <s v="0176"/>
    <s v="V"/>
    <x v="1"/>
    <x v="1"/>
    <x v="1"/>
    <s v="A"/>
    <m/>
    <n v="250191"/>
    <x v="4"/>
    <d v="2025-02-18T00:00:00"/>
    <d v="2025-03-04T00:00:00"/>
    <n v="135281"/>
  </r>
  <r>
    <s v="0177"/>
    <s v="V"/>
    <x v="1"/>
    <x v="1"/>
    <x v="1"/>
    <s v="A"/>
    <m/>
    <n v="250188"/>
    <x v="4"/>
    <d v="2025-02-18T00:00:00"/>
    <d v="2025-03-04T00:00:00"/>
    <n v="849150"/>
  </r>
  <r>
    <s v="0178"/>
    <s v="V"/>
    <x v="1"/>
    <x v="1"/>
    <x v="1"/>
    <s v="A"/>
    <m/>
    <n v="250187"/>
    <x v="4"/>
    <d v="2025-02-18T00:00:00"/>
    <d v="2025-03-04T00:00:00"/>
    <n v="1573092"/>
  </r>
  <r>
    <s v="0179"/>
    <s v="V"/>
    <x v="1"/>
    <x v="1"/>
    <x v="1"/>
    <s v="A"/>
    <m/>
    <n v="250193"/>
    <x v="4"/>
    <d v="2025-02-20T00:00:00"/>
    <d v="2025-03-04T00:00:00"/>
    <n v="1415250"/>
  </r>
  <r>
    <s v="0180"/>
    <s v="V"/>
    <x v="1"/>
    <x v="1"/>
    <x v="1"/>
    <s v="A"/>
    <m/>
    <n v="250192"/>
    <x v="4"/>
    <d v="2025-02-20T00:00:00"/>
    <d v="2025-03-04T00:00:00"/>
    <n v="392400"/>
  </r>
  <r>
    <s v="0181"/>
    <s v="V"/>
    <x v="1"/>
    <x v="1"/>
    <x v="1"/>
    <s v="A"/>
    <m/>
    <n v="250214"/>
    <x v="4"/>
    <d v="2025-02-24T00:00:00"/>
    <d v="2025-03-04T00:00:00"/>
    <n v="358419"/>
  </r>
  <r>
    <s v="0182"/>
    <s v="V"/>
    <x v="1"/>
    <x v="1"/>
    <x v="1"/>
    <s v="A"/>
    <m/>
    <n v="250228"/>
    <x v="4"/>
    <d v="2025-02-24T00:00:00"/>
    <d v="2025-03-04T00:00:00"/>
    <n v="4899096"/>
  </r>
  <r>
    <s v="0183"/>
    <s v="V"/>
    <x v="1"/>
    <x v="1"/>
    <x v="1"/>
    <s v="A"/>
    <m/>
    <n v="250227"/>
    <x v="4"/>
    <d v="2025-02-24T00:00:00"/>
    <d v="2025-03-04T00:00:00"/>
    <n v="4086909"/>
  </r>
  <r>
    <s v="0184"/>
    <s v="V"/>
    <x v="1"/>
    <x v="1"/>
    <x v="1"/>
    <s v="A"/>
    <m/>
    <n v="250272"/>
    <x v="4"/>
    <d v="2025-02-25T00:00:00"/>
    <d v="2025-03-04T00:00:00"/>
    <n v="1444010"/>
  </r>
  <r>
    <s v="0185"/>
    <s v="V"/>
    <x v="1"/>
    <x v="1"/>
    <x v="1"/>
    <s v="A"/>
    <m/>
    <n v="250273"/>
    <x v="4"/>
    <d v="2025-02-26T00:00:00"/>
    <d v="2025-03-13T00:00:00"/>
    <n v="1766010"/>
  </r>
  <r>
    <s v="0186"/>
    <s v="V"/>
    <x v="1"/>
    <x v="1"/>
    <x v="1"/>
    <s v="A"/>
    <m/>
    <n v="250271"/>
    <x v="4"/>
    <d v="2025-02-28T00:00:00"/>
    <d v="2025-03-13T00:00:00"/>
    <n v="978187"/>
  </r>
  <r>
    <s v="0187"/>
    <s v="V"/>
    <x v="1"/>
    <x v="1"/>
    <x v="1"/>
    <s v="A"/>
    <m/>
    <n v="250304"/>
    <x v="4"/>
    <d v="2025-02-28T00:00:00"/>
    <d v="2025-03-13T00:00:00"/>
    <n v="1935564"/>
  </r>
  <r>
    <s v="0188"/>
    <s v="V"/>
    <x v="1"/>
    <x v="1"/>
    <x v="1"/>
    <s v="A"/>
    <m/>
    <n v="250274"/>
    <x v="4"/>
    <d v="2025-02-28T00:00:00"/>
    <d v="2025-03-13T00:00:00"/>
    <n v="663463"/>
  </r>
  <r>
    <s v="0189"/>
    <s v="V"/>
    <x v="1"/>
    <x v="1"/>
    <x v="1"/>
    <s v="A"/>
    <m/>
    <n v="250300"/>
    <x v="4"/>
    <d v="2025-03-08T00:00:00"/>
    <d v="2025-03-18T00:00:00"/>
    <n v="1179819"/>
  </r>
  <r>
    <s v="0190"/>
    <s v="V"/>
    <x v="1"/>
    <x v="1"/>
    <x v="1"/>
    <s v="A"/>
    <m/>
    <n v="250302"/>
    <x v="4"/>
    <d v="2025-03-08T00:00:00"/>
    <d v="2025-03-18T00:00:00"/>
    <n v="2888020"/>
  </r>
  <r>
    <s v="0191"/>
    <s v="V"/>
    <x v="1"/>
    <x v="1"/>
    <x v="1"/>
    <s v="A"/>
    <m/>
    <n v="250301"/>
    <x v="4"/>
    <d v="2025-03-08T00:00:00"/>
    <d v="2025-03-18T00:00:00"/>
    <n v="6646147"/>
  </r>
  <r>
    <s v="0192"/>
    <s v="V"/>
    <x v="1"/>
    <x v="1"/>
    <x v="1"/>
    <s v="A"/>
    <m/>
    <n v="250345"/>
    <x v="4"/>
    <d v="2025-03-12T00:00:00"/>
    <d v="2025-03-18T00:00:00"/>
    <n v="721500"/>
  </r>
  <r>
    <s v="0193"/>
    <s v="V"/>
    <x v="1"/>
    <x v="1"/>
    <x v="1"/>
    <s v="A"/>
    <m/>
    <n v="250344"/>
    <x v="4"/>
    <d v="2025-03-12T00:00:00"/>
    <d v="2025-03-18T00:00:00"/>
    <n v="4195924"/>
  </r>
  <r>
    <s v="0194"/>
    <s v="V"/>
    <x v="1"/>
    <x v="1"/>
    <x v="1"/>
    <s v="A"/>
    <m/>
    <n v="250339"/>
    <x v="4"/>
    <d v="2025-03-12T00:00:00"/>
    <d v="2025-04-05T00:00:00"/>
    <n v="716301"/>
  </r>
  <r>
    <s v="0195"/>
    <s v="V"/>
    <x v="1"/>
    <x v="1"/>
    <x v="1"/>
    <s v="A"/>
    <m/>
    <n v="250341"/>
    <x v="4"/>
    <d v="2025-03-14T00:00:00"/>
    <d v="2025-04-05T00:00:00"/>
    <n v="624961"/>
  </r>
  <r>
    <s v="0196"/>
    <s v="V"/>
    <x v="1"/>
    <x v="1"/>
    <x v="1"/>
    <s v="A"/>
    <m/>
    <n v="250346"/>
    <x v="4"/>
    <d v="2025-03-14T00:00:00"/>
    <d v="2025-04-05T00:00:00"/>
    <n v="424575"/>
  </r>
  <r>
    <s v="0197"/>
    <s v="V"/>
    <x v="1"/>
    <x v="1"/>
    <x v="1"/>
    <s v="A"/>
    <m/>
    <n v="250395"/>
    <x v="4"/>
    <d v="2025-03-20T00:00:00"/>
    <d v="2025-04-10T00:00:00"/>
    <n v="2667731"/>
  </r>
  <r>
    <s v="0198"/>
    <s v="V"/>
    <x v="1"/>
    <x v="1"/>
    <x v="1"/>
    <s v="A"/>
    <m/>
    <n v="250396"/>
    <x v="4"/>
    <d v="2025-03-24T00:00:00"/>
    <d v="2025-04-10T00:00:00"/>
    <n v="449019"/>
  </r>
  <r>
    <s v="0199"/>
    <s v="V"/>
    <x v="1"/>
    <x v="1"/>
    <x v="1"/>
    <s v="A"/>
    <m/>
    <n v="250403"/>
    <x v="4"/>
    <d v="2025-03-27T00:00:00"/>
    <d v="2025-04-25T00:00:00"/>
    <n v="588600"/>
  </r>
  <r>
    <s v="0200"/>
    <s v="V"/>
    <x v="1"/>
    <x v="1"/>
    <x v="1"/>
    <s v="A"/>
    <m/>
    <n v="250394"/>
    <x v="4"/>
    <d v="2025-03-27T00:00:00"/>
    <d v="2025-04-25T00:00:00"/>
    <n v="4899762"/>
  </r>
  <r>
    <s v="0201"/>
    <s v="V"/>
    <x v="1"/>
    <x v="1"/>
    <x v="1"/>
    <s v="A"/>
    <m/>
    <n v="250437"/>
    <x v="4"/>
    <d v="2025-04-17T00:00:00"/>
    <d v="2025-05-03T00:00:00"/>
    <n v="2414402"/>
  </r>
  <r>
    <s v="0202"/>
    <s v="V"/>
    <x v="1"/>
    <x v="1"/>
    <x v="1"/>
    <s v="A"/>
    <m/>
    <n v="250436"/>
    <x v="4"/>
    <d v="2025-04-17T00:00:00"/>
    <d v="2025-05-03T00:00:00"/>
    <n v="5109574"/>
  </r>
  <r>
    <s v="0203"/>
    <s v="V"/>
    <x v="1"/>
    <x v="1"/>
    <x v="1"/>
    <s v="A"/>
    <m/>
    <n v="250467"/>
    <x v="4"/>
    <d v="2025-04-25T00:00:00"/>
    <d v="2025-05-08T00:00:00"/>
    <n v="568919"/>
  </r>
  <r>
    <s v="0204"/>
    <s v="V"/>
    <x v="1"/>
    <x v="1"/>
    <x v="1"/>
    <s v="A"/>
    <m/>
    <n v="250468"/>
    <x v="4"/>
    <d v="2025-04-25T00:00:00"/>
    <d v="2025-05-08T00:00:00"/>
    <n v="265385"/>
  </r>
  <r>
    <s v="0205"/>
    <s v="V"/>
    <x v="1"/>
    <x v="1"/>
    <x v="1"/>
    <s v="A"/>
    <m/>
    <n v="250469"/>
    <x v="4"/>
    <d v="2025-04-25T00:00:00"/>
    <d v="2025-05-08T00:00:00"/>
    <n v="327771"/>
  </r>
  <r>
    <s v="0206"/>
    <s v="V"/>
    <x v="1"/>
    <x v="1"/>
    <x v="1"/>
    <s v="A"/>
    <m/>
    <n v="250475"/>
    <x v="4"/>
    <d v="2025-04-25T00:00:00"/>
    <d v="2025-05-08T00:00:00"/>
    <n v="1573092"/>
  </r>
  <r>
    <s v="0207"/>
    <s v="V"/>
    <x v="1"/>
    <x v="1"/>
    <x v="1"/>
    <s v="A"/>
    <m/>
    <n v="250476"/>
    <x v="4"/>
    <d v="2025-04-25T00:00:00"/>
    <d v="2025-05-08T00:00:00"/>
    <n v="1306470"/>
  </r>
  <r>
    <s v="0208"/>
    <s v="V"/>
    <x v="1"/>
    <x v="1"/>
    <x v="1"/>
    <s v="A"/>
    <m/>
    <n v="250472"/>
    <x v="4"/>
    <d v="2025-04-25T00:00:00"/>
    <d v="2025-05-08T00:00:00"/>
    <n v="2888020"/>
  </r>
  <r>
    <s v="0209"/>
    <s v="V"/>
    <x v="1"/>
    <x v="1"/>
    <x v="1"/>
    <s v="A"/>
    <m/>
    <n v="250477"/>
    <x v="4"/>
    <d v="2025-04-28T00:00:00"/>
    <d v="2025-05-08T00:00:00"/>
    <n v="2414402"/>
  </r>
  <r>
    <s v="0210"/>
    <s v="V"/>
    <x v="1"/>
    <x v="1"/>
    <x v="1"/>
    <s v="A"/>
    <m/>
    <n v="250544"/>
    <x v="4"/>
    <d v="2025-05-26T00:00:00"/>
    <d v="2025-06-10T00:00:00"/>
    <n v="7935023"/>
  </r>
  <r>
    <s v="0211"/>
    <s v="V"/>
    <x v="1"/>
    <x v="1"/>
    <x v="1"/>
    <s v="A"/>
    <m/>
    <n v="250741"/>
    <x v="4"/>
    <d v="2025-07-22T00:00:00"/>
    <d v="2025-08-05T00:00:00"/>
    <n v="2962421"/>
  </r>
  <r>
    <s v="0212"/>
    <s v="V"/>
    <x v="1"/>
    <x v="1"/>
    <x v="1"/>
    <s v="A"/>
    <m/>
    <n v="250740"/>
    <x v="4"/>
    <d v="2025-07-22T00:00:00"/>
    <d v="2025-08-05T00:00:00"/>
    <n v="125683"/>
  </r>
  <r>
    <s v="0213"/>
    <s v="V"/>
    <x v="1"/>
    <x v="1"/>
    <x v="1"/>
    <s v="A"/>
    <m/>
    <n v="250737"/>
    <x v="4"/>
    <d v="2025-07-22T00:00:00"/>
    <d v="2025-08-05T00:00:00"/>
    <n v="736912"/>
  </r>
  <r>
    <s v="0214"/>
    <s v="V"/>
    <x v="1"/>
    <x v="1"/>
    <x v="1"/>
    <s v="A"/>
    <m/>
    <n v="250738"/>
    <x v="4"/>
    <d v="2025-07-22T00:00:00"/>
    <d v="2025-08-05T00:00:00"/>
    <n v="5650899"/>
  </r>
  <r>
    <s v="0215"/>
    <s v="V"/>
    <x v="1"/>
    <x v="1"/>
    <x v="1"/>
    <s v="A"/>
    <m/>
    <n v="250739"/>
    <x v="4"/>
    <d v="2025-07-22T00:00:00"/>
    <d v="2025-08-05T00:00:00"/>
    <n v="2888042"/>
  </r>
  <r>
    <s v="0216"/>
    <s v="V"/>
    <x v="1"/>
    <x v="1"/>
    <x v="1"/>
    <s v="A"/>
    <m/>
    <n v="250744"/>
    <x v="4"/>
    <d v="2025-07-22T00:00:00"/>
    <d v="2025-08-05T00:00:00"/>
    <n v="2359638"/>
  </r>
  <r>
    <s v="0217"/>
    <s v="V"/>
    <x v="1"/>
    <x v="1"/>
    <x v="1"/>
    <s v="A"/>
    <m/>
    <n v="250743"/>
    <x v="4"/>
    <d v="2025-07-23T00:00:00"/>
    <d v="2025-08-05T00:00:00"/>
    <n v="692098"/>
  </r>
  <r>
    <s v="0218"/>
    <s v="V"/>
    <x v="1"/>
    <x v="1"/>
    <x v="1"/>
    <s v="A"/>
    <m/>
    <n v="250742"/>
    <x v="4"/>
    <d v="2025-07-23T00:00:00"/>
    <d v="2025-08-05T00:00:00"/>
    <n v="8987892"/>
  </r>
  <r>
    <s v="0219"/>
    <s v="V"/>
    <x v="1"/>
    <x v="1"/>
    <x v="1"/>
    <s v="A"/>
    <m/>
    <n v="250705"/>
    <x v="4"/>
    <d v="2025-07-24T00:00:00"/>
    <d v="2025-08-19T00:00:00"/>
    <n v="1285380"/>
  </r>
  <r>
    <s v="0220"/>
    <s v="V"/>
    <x v="1"/>
    <x v="1"/>
    <x v="1"/>
    <s v="A"/>
    <m/>
    <n v="250731"/>
    <x v="4"/>
    <d v="2025-07-28T00:00:00"/>
    <d v="2025-08-19T00:00:00"/>
    <n v="327771"/>
  </r>
  <r>
    <s v="0221"/>
    <s v="V"/>
    <x v="1"/>
    <x v="1"/>
    <x v="1"/>
    <s v="A"/>
    <m/>
    <n v="250779"/>
    <x v="4"/>
    <d v="2025-08-04T00:00:00"/>
    <d v="2025-08-19T00:00:00"/>
    <n v="471922"/>
  </r>
  <r>
    <s v="0222"/>
    <s v="V"/>
    <x v="1"/>
    <x v="1"/>
    <x v="1"/>
    <s v="A"/>
    <m/>
    <n v="250787"/>
    <x v="4"/>
    <d v="2025-08-05T00:00:00"/>
    <d v="2025-08-19T00:00:00"/>
    <n v="699966"/>
  </r>
  <r>
    <s v="0223"/>
    <s v="V"/>
    <x v="1"/>
    <x v="1"/>
    <x v="1"/>
    <s v="A"/>
    <m/>
    <n v="250799"/>
    <x v="4"/>
    <d v="2025-08-07T00:00:00"/>
    <d v="2025-08-19T00:00:00"/>
    <n v="17975784"/>
  </r>
  <r>
    <s v="0224"/>
    <s v="V"/>
    <x v="1"/>
    <x v="1"/>
    <x v="1"/>
    <s v="A"/>
    <m/>
    <n v="250798"/>
    <x v="4"/>
    <d v="2025-08-07T00:00:00"/>
    <d v="2025-08-19T00:00:00"/>
    <n v="2924850"/>
  </r>
  <r>
    <s v="0225"/>
    <s v="V"/>
    <x v="1"/>
    <x v="1"/>
    <x v="1"/>
    <s v="A"/>
    <m/>
    <n v="250797"/>
    <x v="4"/>
    <d v="2025-08-08T00:00:00"/>
    <d v="2025-08-19T00:00:00"/>
    <n v="1249922"/>
  </r>
  <r>
    <s v="0226"/>
    <s v="V"/>
    <x v="1"/>
    <x v="1"/>
    <x v="1"/>
    <s v="A"/>
    <m/>
    <n v="250796"/>
    <x v="4"/>
    <d v="2025-08-08T00:00:00"/>
    <d v="2025-08-19T00:00:00"/>
    <n v="1679918"/>
  </r>
  <r>
    <s v="0227"/>
    <s v="V"/>
    <x v="1"/>
    <x v="1"/>
    <x v="1"/>
    <s v="A"/>
    <m/>
    <n v="250803"/>
    <x v="4"/>
    <d v="2025-08-11T00:00:00"/>
    <d v="2025-08-19T00:00:00"/>
    <n v="326895"/>
  </r>
  <r>
    <s v="0228"/>
    <s v="V"/>
    <x v="1"/>
    <x v="1"/>
    <x v="1"/>
    <s v="A"/>
    <m/>
    <n v="250804"/>
    <x v="4"/>
    <d v="2025-08-11T00:00:00"/>
    <d v="2025-08-19T00:00:00"/>
    <n v="392400"/>
  </r>
  <r>
    <s v="0229"/>
    <s v="V"/>
    <x v="1"/>
    <x v="1"/>
    <x v="1"/>
    <s v="A"/>
    <m/>
    <n v="250809"/>
    <x v="4"/>
    <d v="2025-08-12T00:00:00"/>
    <d v="2025-08-30T00:00:00"/>
    <n v="6593400"/>
  </r>
  <r>
    <s v="0230"/>
    <s v="V"/>
    <x v="1"/>
    <x v="1"/>
    <x v="1"/>
    <s v="A"/>
    <m/>
    <n v="250819"/>
    <x v="4"/>
    <d v="2025-08-14T00:00:00"/>
    <d v="2025-08-30T00:00:00"/>
    <n v="2287432"/>
  </r>
  <r>
    <s v="0231"/>
    <s v="V"/>
    <x v="1"/>
    <x v="1"/>
    <x v="1"/>
    <s v="A"/>
    <m/>
    <n v="250813"/>
    <x v="4"/>
    <d v="2025-08-14T00:00:00"/>
    <d v="2025-08-30T00:00:00"/>
    <n v="740370"/>
  </r>
  <r>
    <s v="0232"/>
    <s v="V"/>
    <x v="1"/>
    <x v="1"/>
    <x v="1"/>
    <s v="A"/>
    <m/>
    <n v="250849"/>
    <x v="4"/>
    <d v="2025-08-23T00:00:00"/>
    <d v="2025-09-16T00:00:00"/>
    <n v="4520719"/>
  </r>
  <r>
    <s v="0233"/>
    <s v="V"/>
    <x v="1"/>
    <x v="1"/>
    <x v="1"/>
    <s v="A"/>
    <m/>
    <n v="250861"/>
    <x v="4"/>
    <d v="2025-08-27T00:00:00"/>
    <d v="2025-09-16T00:00:00"/>
    <n v="1119945"/>
  </r>
  <r>
    <s v="0234"/>
    <s v="V"/>
    <x v="1"/>
    <x v="1"/>
    <x v="1"/>
    <s v="A"/>
    <m/>
    <n v="250870"/>
    <x v="4"/>
    <d v="2025-08-30T00:00:00"/>
    <d v="2025-09-16T00:00:00"/>
    <n v="219336"/>
  </r>
  <r>
    <s v="0235"/>
    <s v="V"/>
    <x v="1"/>
    <x v="1"/>
    <x v="1"/>
    <s v="A"/>
    <m/>
    <n v="250888"/>
    <x v="4"/>
    <d v="2025-08-30T00:00:00"/>
    <d v="2025-09-16T00:00:00"/>
    <n v="586602"/>
  </r>
  <r>
    <s v="0236"/>
    <s v="V"/>
    <x v="1"/>
    <x v="1"/>
    <x v="1"/>
    <s v="A"/>
    <m/>
    <n v="250885"/>
    <x v="4"/>
    <d v="2025-08-30T00:00:00"/>
    <d v="2025-09-16T00:00:00"/>
    <n v="4963864"/>
  </r>
  <r>
    <s v="0237"/>
    <s v="V"/>
    <x v="1"/>
    <x v="1"/>
    <x v="1"/>
    <s v="A"/>
    <m/>
    <n v="250912"/>
    <x v="4"/>
    <d v="2025-09-08T00:00:00"/>
    <d v="2025-09-16T00:00:00"/>
    <n v="6660000"/>
  </r>
  <r>
    <s v="0238"/>
    <s v="V"/>
    <x v="1"/>
    <x v="1"/>
    <x v="1"/>
    <s v="A"/>
    <m/>
    <n v="250922"/>
    <x v="4"/>
    <d v="2025-09-11T00:00:00"/>
    <d v="2025-10-02T00:00:00"/>
    <n v="393326"/>
  </r>
  <r>
    <s v="0239"/>
    <s v="V"/>
    <x v="1"/>
    <x v="1"/>
    <x v="1"/>
    <s v="A"/>
    <m/>
    <n v="250939"/>
    <x v="4"/>
    <d v="2025-09-15T00:00:00"/>
    <d v="2025-10-02T00:00:00"/>
    <n v="1573092"/>
  </r>
  <r>
    <s v="0240"/>
    <s v="V"/>
    <x v="1"/>
    <x v="1"/>
    <x v="1"/>
    <s v="A"/>
    <m/>
    <n v="250967"/>
    <x v="4"/>
    <d v="2025-09-25T00:00:00"/>
    <d v="2025-10-18T00:00:00"/>
    <n v="849454"/>
  </r>
  <r>
    <s v="0241"/>
    <s v="V"/>
    <x v="1"/>
    <x v="1"/>
    <x v="1"/>
    <s v="A"/>
    <m/>
    <n v="250973"/>
    <x v="4"/>
    <d v="2025-09-26T00:00:00"/>
    <d v="2025-10-18T00:00:00"/>
    <n v="736912"/>
  </r>
  <r>
    <s v="0242"/>
    <s v="V"/>
    <x v="1"/>
    <x v="1"/>
    <x v="1"/>
    <s v="A"/>
    <m/>
    <n v="250974"/>
    <x v="4"/>
    <d v="2025-09-27T00:00:00"/>
    <d v="2025-10-18T00:00:00"/>
    <n v="1581750"/>
  </r>
  <r>
    <s v="0243"/>
    <s v="V"/>
    <x v="1"/>
    <x v="1"/>
    <x v="1"/>
    <s v="A"/>
    <m/>
    <n v="250983"/>
    <x v="4"/>
    <d v="2025-09-29T00:00:00"/>
    <d v="2025-10-18T00:00:00"/>
    <n v="22649487"/>
  </r>
  <r>
    <s v="0244"/>
    <s v="V"/>
    <x v="1"/>
    <x v="1"/>
    <x v="1"/>
    <s v="A"/>
    <m/>
    <n v="251022"/>
    <x v="4"/>
    <d v="2025-10-03T00:00:00"/>
    <d v="2025-10-18T00:00:00"/>
    <n v="6329664"/>
  </r>
  <r>
    <s v="0245"/>
    <s v="V"/>
    <x v="1"/>
    <x v="1"/>
    <x v="1"/>
    <s v="A"/>
    <m/>
    <n v="251013"/>
    <x v="4"/>
    <d v="2025-10-06T00:00:00"/>
    <d v="2025-10-18T00:00:00"/>
    <n v="81030"/>
  </r>
  <r>
    <s v="0246"/>
    <s v="V"/>
    <x v="1"/>
    <x v="1"/>
    <x v="1"/>
    <s v="A"/>
    <m/>
    <n v="251067"/>
    <x v="4"/>
    <d v="2025-10-18T00:00:00"/>
    <d v="2025-11-06T00:00:00"/>
    <n v="177000"/>
  </r>
  <r>
    <s v="0247"/>
    <s v="V"/>
    <x v="1"/>
    <x v="1"/>
    <x v="1"/>
    <s v="A"/>
    <m/>
    <n v="251068"/>
    <x v="4"/>
    <d v="2025-10-20T00:00:00"/>
    <d v="2025-11-06T00:00:00"/>
    <n v="286430"/>
  </r>
  <r>
    <s v="0248"/>
    <s v="V"/>
    <x v="1"/>
    <x v="1"/>
    <x v="1"/>
    <s v="A"/>
    <m/>
    <n v="251070"/>
    <x v="4"/>
    <d v="2025-10-20T00:00:00"/>
    <d v="2025-11-06T00:00:00"/>
    <n v="99516"/>
  </r>
  <r>
    <s v="0249"/>
    <s v="V"/>
    <x v="1"/>
    <x v="1"/>
    <x v="1"/>
    <s v="A"/>
    <m/>
    <n v="251071"/>
    <x v="4"/>
    <d v="2025-10-20T00:00:00"/>
    <d v="2025-11-06T00:00:00"/>
    <n v="12786"/>
  </r>
  <r>
    <s v="0250"/>
    <s v="V"/>
    <x v="1"/>
    <x v="1"/>
    <x v="1"/>
    <s v="A"/>
    <m/>
    <n v="251071"/>
    <x v="4"/>
    <d v="2025-10-20T00:00:00"/>
    <d v="2025-11-06T00:00:00"/>
    <n v="137982"/>
  </r>
  <r>
    <s v="0251"/>
    <s v="V"/>
    <x v="1"/>
    <x v="1"/>
    <x v="1"/>
    <s v="A"/>
    <m/>
    <n v="251090"/>
    <x v="4"/>
    <d v="2025-10-25T00:00:00"/>
    <d v="2025-12-02T00:00:00"/>
    <n v="914893"/>
  </r>
  <r>
    <s v="0252"/>
    <s v="V"/>
    <x v="1"/>
    <x v="1"/>
    <x v="1"/>
    <s v="A"/>
    <m/>
    <n v="251103"/>
    <x v="4"/>
    <d v="2025-10-25T00:00:00"/>
    <d v="2025-12-02T00:00:00"/>
    <n v="1966365"/>
  </r>
  <r>
    <s v="0253"/>
    <s v="V"/>
    <x v="1"/>
    <x v="1"/>
    <x v="1"/>
    <s v="A"/>
    <m/>
    <n v="251119"/>
    <x v="4"/>
    <d v="2025-10-29T00:00:00"/>
    <d v="2025-12-02T00:00:00"/>
    <n v="978187"/>
  </r>
  <r>
    <s v="0254"/>
    <s v="V"/>
    <x v="1"/>
    <x v="1"/>
    <x v="1"/>
    <s v="A"/>
    <m/>
    <n v="251152"/>
    <x v="4"/>
    <d v="2025-10-31T00:00:00"/>
    <d v="2025-12-02T00:00:00"/>
    <n v="581699"/>
  </r>
  <r>
    <s v="0255"/>
    <s v="V"/>
    <x v="1"/>
    <x v="1"/>
    <x v="1"/>
    <s v="A"/>
    <m/>
    <n v="251163"/>
    <x v="4"/>
    <d v="2025-10-31T00:00:00"/>
    <d v="2025-12-02T00:00:00"/>
    <n v="1581750"/>
  </r>
  <r>
    <s v="0256"/>
    <s v="V"/>
    <x v="1"/>
    <x v="1"/>
    <x v="1"/>
    <s v="A"/>
    <m/>
    <n v="251164"/>
    <x v="4"/>
    <d v="2025-10-31T00:00:00"/>
    <d v="2025-12-02T00:00:00"/>
    <n v="849454"/>
  </r>
  <r>
    <s v="0257"/>
    <s v="V"/>
    <x v="1"/>
    <x v="1"/>
    <x v="1"/>
    <s v="A"/>
    <m/>
    <n v="251142"/>
    <x v="4"/>
    <d v="2025-10-31T00:00:00"/>
    <d v="2025-12-02T00:00:00"/>
    <n v="653235"/>
  </r>
  <r>
    <s v="0258"/>
    <s v="V"/>
    <x v="1"/>
    <x v="1"/>
    <x v="1"/>
    <s v="A"/>
    <m/>
    <n v="251114"/>
    <x v="4"/>
    <d v="2025-10-28T00:00:00"/>
    <d v="2025-12-30T00:00:00"/>
    <n v="5527433"/>
  </r>
  <r>
    <s v="0259"/>
    <s v="V"/>
    <x v="1"/>
    <x v="1"/>
    <x v="1"/>
    <s v="A"/>
    <m/>
    <n v="251118"/>
    <x v="4"/>
    <d v="2025-10-29T00:00:00"/>
    <d v="2025-12-30T00:00:00"/>
    <n v="9494496"/>
  </r>
  <r>
    <s v="0260"/>
    <s v="V"/>
    <x v="1"/>
    <x v="1"/>
    <x v="1"/>
    <s v="A"/>
    <m/>
    <n v="251273"/>
    <x v="4"/>
    <d v="2025-12-15T00:00:00"/>
    <d v="2026-01-15T00:00:00"/>
    <n v="131108"/>
  </r>
  <r>
    <s v="0261"/>
    <s v="V"/>
    <x v="1"/>
    <x v="1"/>
    <x v="1"/>
    <s v="A"/>
    <m/>
    <n v="251274"/>
    <x v="4"/>
    <d v="2025-12-15T00:00:00"/>
    <d v="2026-01-15T00:00:00"/>
    <n v="53835"/>
  </r>
  <r>
    <s v="0262"/>
    <s v="V"/>
    <x v="1"/>
    <x v="1"/>
    <x v="1"/>
    <s v="A"/>
    <m/>
    <n v="251272"/>
    <x v="4"/>
    <d v="2025-12-16T00:00:00"/>
    <d v="2026-01-15T00:00:00"/>
    <n v="663463"/>
  </r>
  <r>
    <s v="0263"/>
    <s v="V"/>
    <x v="1"/>
    <x v="1"/>
    <x v="1"/>
    <s v="A"/>
    <m/>
    <n v="251275"/>
    <x v="4"/>
    <d v="2025-12-16T00:00:00"/>
    <d v="2026-01-15T00:00:00"/>
    <n v="1130179"/>
  </r>
  <r>
    <s v="0264"/>
    <s v="V"/>
    <x v="1"/>
    <x v="1"/>
    <x v="1"/>
    <s v="A"/>
    <m/>
    <n v="251306"/>
    <x v="4"/>
    <d v="2025-12-29T00:00:00"/>
    <d v="2026-01-15T00:00:00"/>
    <n v="1581750"/>
  </r>
  <r>
    <s v="0265"/>
    <s v="V"/>
    <x v="1"/>
    <x v="1"/>
    <x v="1"/>
    <s v="A"/>
    <m/>
    <n v="251307"/>
    <x v="4"/>
    <d v="2025-12-29T00:00:00"/>
    <d v="2026-01-15T00:00:00"/>
    <n v="631800"/>
  </r>
  <r>
    <s v="0266"/>
    <s v="V"/>
    <x v="1"/>
    <x v="1"/>
    <x v="1"/>
    <s v="A"/>
    <m/>
    <n v="251308"/>
    <x v="4"/>
    <d v="2025-12-29T00:00:00"/>
    <d v="2026-01-15T00:00:00"/>
    <n v="914893"/>
  </r>
  <r>
    <s v="0267"/>
    <s v="V"/>
    <x v="1"/>
    <x v="1"/>
    <x v="1"/>
    <s v="A"/>
    <m/>
    <n v="251325"/>
    <x v="4"/>
    <d v="2025-12-30T00:00:00"/>
    <d v="2026-01-15T00:00:00"/>
    <n v="3418800"/>
  </r>
  <r>
    <s v="0268"/>
    <s v="V"/>
    <x v="1"/>
    <x v="1"/>
    <x v="1"/>
    <s v="A"/>
    <m/>
    <n v="251284"/>
    <x v="4"/>
    <d v="2025-12-18T00:00:00"/>
    <d v="2026-01-15T00:00:00"/>
    <n v="1005660"/>
  </r>
  <r>
    <s v="0269"/>
    <s v="V"/>
    <x v="1"/>
    <x v="1"/>
    <x v="1"/>
    <s v="A"/>
    <m/>
    <n v="251295"/>
    <x v="4"/>
    <d v="2025-12-24T00:00:00"/>
    <d v="2026-01-15T00:00:00"/>
    <n v="1588410"/>
  </r>
  <r>
    <s v="0270"/>
    <s v="V"/>
    <x v="1"/>
    <x v="1"/>
    <x v="1"/>
    <s v="A"/>
    <m/>
    <n v="251296"/>
    <x v="4"/>
    <d v="2025-12-24T00:00:00"/>
    <d v="2026-01-15T00:00:00"/>
    <n v="1588410"/>
  </r>
  <r>
    <s v="0271"/>
    <s v="V"/>
    <x v="1"/>
    <x v="1"/>
    <x v="1"/>
    <s v="A"/>
    <m/>
    <n v="251297"/>
    <x v="4"/>
    <d v="2025-12-24T00:00:00"/>
    <d v="2026-01-15T00:00:00"/>
    <n v="1130179"/>
  </r>
  <r>
    <s v="0272"/>
    <s v="V"/>
    <x v="1"/>
    <x v="1"/>
    <x v="1"/>
    <s v="A"/>
    <m/>
    <n v="251294"/>
    <x v="4"/>
    <d v="2025-12-26T00:00:00"/>
    <d v="2026-01-15T00:00:00"/>
    <n v="1399932"/>
  </r>
  <r>
    <s v="0273"/>
    <s v="V"/>
    <x v="2"/>
    <x v="1"/>
    <x v="1"/>
    <s v="A"/>
    <m/>
    <n v="260003"/>
    <x v="4"/>
    <d v="2026-01-06T00:00:00"/>
    <d v="2026-02-24T00:00:00"/>
    <n v="188524"/>
  </r>
  <r>
    <s v="0274"/>
    <s v="V"/>
    <x v="2"/>
    <x v="1"/>
    <x v="1"/>
    <s v="A"/>
    <m/>
    <n v="260137"/>
    <x v="4"/>
    <d v="2026-02-25T00:00:00"/>
    <d v="2026-03-05T00:00:00"/>
    <n v="1349999"/>
  </r>
  <r>
    <s v="0275"/>
    <s v="V"/>
    <x v="2"/>
    <x v="1"/>
    <x v="1"/>
    <s v="A"/>
    <m/>
    <n v="260136"/>
    <x v="4"/>
    <d v="2026-02-25T00:00:00"/>
    <d v="2026-03-05T00:00:00"/>
    <n v="565090"/>
  </r>
  <r>
    <s v="0276"/>
    <s v="V"/>
    <x v="2"/>
    <x v="1"/>
    <x v="1"/>
    <s v="A"/>
    <m/>
    <n v="260134"/>
    <x v="4"/>
    <d v="2026-02-25T00:00:00"/>
    <d v="2026-03-05T00:00:00"/>
    <n v="2256741"/>
  </r>
  <r>
    <s v="0277"/>
    <s v="V"/>
    <x v="2"/>
    <x v="1"/>
    <x v="1"/>
    <s v="A"/>
    <m/>
    <n v="260135"/>
    <x v="4"/>
    <d v="2026-02-25T00:00:00"/>
    <d v="2026-03-05T00:00:00"/>
    <n v="631801"/>
  </r>
  <r>
    <s v="0278"/>
    <s v="V"/>
    <x v="2"/>
    <x v="1"/>
    <x v="1"/>
    <s v="A"/>
    <m/>
    <n v="260139"/>
    <x v="4"/>
    <d v="2026-02-27T00:00:00"/>
    <d v="2026-03-05T00:00:00"/>
    <n v="131109"/>
  </r>
  <r>
    <s v="0279"/>
    <s v="V"/>
    <x v="2"/>
    <x v="1"/>
    <x v="1"/>
    <s v="A"/>
    <m/>
    <n v="260157"/>
    <x v="4"/>
    <d v="2026-02-28T00:00:00"/>
    <d v="2026-03-05T00:00:00"/>
    <n v="313553"/>
  </r>
  <r>
    <s v="0280"/>
    <s v="V"/>
    <x v="2"/>
    <x v="1"/>
    <x v="1"/>
    <s v="A"/>
    <m/>
    <n v="260148"/>
    <x v="4"/>
    <d v="2026-02-28T00:00:00"/>
    <d v="2026-03-05T00:00:00"/>
    <n v="3907200"/>
  </r>
  <r>
    <s v="0281"/>
    <s v="V"/>
    <x v="2"/>
    <x v="1"/>
    <x v="1"/>
    <s v="A"/>
    <m/>
    <n v="260169"/>
    <x v="4"/>
    <d v="2026-03-11T00:00:00"/>
    <d v="2026-04-09T00:00:00"/>
    <n v="940658"/>
  </r>
  <r>
    <s v="0282"/>
    <s v="V"/>
    <x v="2"/>
    <x v="1"/>
    <x v="1"/>
    <s v="A"/>
    <m/>
    <n v="260171"/>
    <x v="4"/>
    <d v="2026-03-12T00:00:00"/>
    <d v="2026-04-09T00:00:00"/>
    <n v="3838491"/>
  </r>
  <r>
    <s v="0283"/>
    <s v="V"/>
    <x v="2"/>
    <x v="1"/>
    <x v="1"/>
    <s v="A"/>
    <m/>
    <n v="260177"/>
    <x v="4"/>
    <d v="2026-03-16T00:00:00"/>
    <d v="2026-04-09T00:00:00"/>
    <n v="6329664"/>
  </r>
  <r>
    <s v="0284"/>
    <s v="V"/>
    <x v="2"/>
    <x v="1"/>
    <x v="1"/>
    <s v="A"/>
    <m/>
    <n v="260176"/>
    <x v="4"/>
    <d v="2026-03-16T00:00:00"/>
    <d v="2026-04-09T00:00:00"/>
    <n v="162060"/>
  </r>
  <r>
    <s v="0285"/>
    <s v="V"/>
    <x v="2"/>
    <x v="1"/>
    <x v="1"/>
    <s v="A"/>
    <m/>
    <n v="260181"/>
    <x v="4"/>
    <d v="2026-03-18T00:00:00"/>
    <d v="2026-04-09T00:00:00"/>
    <n v="3263755"/>
  </r>
  <r>
    <s v="0286"/>
    <s v="V"/>
    <x v="2"/>
    <x v="1"/>
    <x v="1"/>
    <s v="A"/>
    <m/>
    <n v="260180"/>
    <x v="4"/>
    <d v="2026-03-18T00:00:00"/>
    <d v="2026-04-09T00:00:00"/>
    <n v="586913"/>
  </r>
  <r>
    <s v="0287"/>
    <s v="V"/>
    <x v="2"/>
    <x v="1"/>
    <x v="1"/>
    <s v="A"/>
    <m/>
    <n v="260182"/>
    <x v="4"/>
    <d v="2026-03-18T00:00:00"/>
    <d v="2026-04-09T00:00:00"/>
    <n v="1179819"/>
  </r>
  <r>
    <s v="0288"/>
    <s v="V"/>
    <x v="2"/>
    <x v="1"/>
    <x v="1"/>
    <s v="A"/>
    <m/>
    <n v="260183"/>
    <x v="4"/>
    <d v="2026-03-20T00:00:00"/>
    <d v="2026-04-09T00:00:00"/>
    <n v="947701"/>
  </r>
  <r>
    <s v="0288"/>
    <s v="V"/>
    <x v="2"/>
    <x v="1"/>
    <x v="1"/>
    <s v="A"/>
    <m/>
    <n v="260252"/>
    <x v="4"/>
    <d v="2026-04-30T00:00:00"/>
    <d v="2026-06-11T00:00:00"/>
    <n v="5052010"/>
  </r>
  <r>
    <s v="0288"/>
    <s v="V"/>
    <x v="2"/>
    <x v="1"/>
    <x v="1"/>
    <s v="A"/>
    <m/>
    <n v="260276"/>
    <x v="4"/>
    <d v="2026-05-09T00:00:00"/>
    <d v="2026-05-21T00:00:00"/>
    <n v="333053"/>
  </r>
  <r>
    <s v="0288"/>
    <s v="V"/>
    <x v="2"/>
    <x v="1"/>
    <x v="1"/>
    <s v="A"/>
    <m/>
    <n v="260282"/>
    <x v="4"/>
    <d v="2026-05-13T00:00:00"/>
    <d v="2026-05-21T00:00:00"/>
    <n v="4079694"/>
  </r>
  <r>
    <s v="0288"/>
    <s v="V"/>
    <x v="2"/>
    <x v="1"/>
    <x v="1"/>
    <s v="A"/>
    <m/>
    <n v="260283"/>
    <x v="4"/>
    <d v="2026-05-13T00:00:00"/>
    <d v="2026-05-21T00:00:00"/>
    <n v="85381"/>
  </r>
  <r>
    <s v="0288"/>
    <s v="V"/>
    <x v="2"/>
    <x v="1"/>
    <x v="1"/>
    <s v="A"/>
    <m/>
    <n v="260281"/>
    <x v="4"/>
    <d v="2026-05-13T00:00:00"/>
    <d v="2026-05-21T00:00:00"/>
    <n v="947701"/>
  </r>
  <r>
    <s v="0288"/>
    <s v="V"/>
    <x v="2"/>
    <x v="1"/>
    <x v="1"/>
    <s v="A"/>
    <m/>
    <n v="260286"/>
    <x v="4"/>
    <d v="2026-05-15T00:00:00"/>
    <d v="2026-05-21T00:00:00"/>
    <n v="185437"/>
  </r>
  <r>
    <s v="0288"/>
    <s v="V"/>
    <x v="2"/>
    <x v="1"/>
    <x v="1"/>
    <s v="A"/>
    <m/>
    <n v="260291"/>
    <x v="4"/>
    <d v="2026-05-16T00:00:00"/>
    <d v="2026-05-21T00:00:00"/>
    <n v="2699997"/>
  </r>
  <r>
    <s v="0288"/>
    <s v="V"/>
    <x v="2"/>
    <x v="1"/>
    <x v="1"/>
    <s v="A"/>
    <m/>
    <n v="260290"/>
    <x v="4"/>
    <d v="2026-05-16T00:00:00"/>
    <d v="2026-05-21T00:00:00"/>
    <n v="511882"/>
  </r>
  <r>
    <s v="0288"/>
    <s v="V"/>
    <x v="2"/>
    <x v="1"/>
    <x v="1"/>
    <s v="A"/>
    <m/>
    <n v="260295"/>
    <x v="4"/>
    <d v="2026-05-16T00:00:00"/>
    <d v="2026-06-06T00:00:00"/>
    <n v="1179819"/>
  </r>
  <r>
    <s v="0288"/>
    <s v="V"/>
    <x v="2"/>
    <x v="1"/>
    <x v="1"/>
    <s v="A"/>
    <m/>
    <n v="260302"/>
    <x v="4"/>
    <d v="2026-05-22T00:00:00"/>
    <d v="2026-06-06T00:00:00"/>
    <n v="481515"/>
  </r>
  <r>
    <s v="0288"/>
    <s v="V"/>
    <x v="2"/>
    <x v="2"/>
    <x v="1"/>
    <s v="A"/>
    <m/>
    <n v="260320"/>
    <x v="4"/>
    <d v="2026-05-30T00:00:00"/>
    <d v="2026-06-30T00:00:00"/>
    <n v="4018200"/>
  </r>
  <r>
    <s v="0288"/>
    <s v="V"/>
    <x v="2"/>
    <x v="2"/>
    <x v="1"/>
    <s v="A"/>
    <m/>
    <n v="260353"/>
    <x v="4"/>
    <d v="2026-06-13T00:00:00"/>
    <d v="2026-07-21T00:00:00"/>
    <n v="3263755"/>
  </r>
  <r>
    <s v="0288"/>
    <s v="V"/>
    <x v="2"/>
    <x v="2"/>
    <x v="1"/>
    <s v="A"/>
    <m/>
    <n v="260354"/>
    <x v="4"/>
    <d v="2026-06-13T00:00:00"/>
    <d v="2026-07-21T00:00:00"/>
    <n v="188525"/>
  </r>
  <r>
    <s v="0288"/>
    <s v="V"/>
    <x v="2"/>
    <x v="2"/>
    <x v="1"/>
    <s v="A"/>
    <m/>
    <n v="260355"/>
    <x v="4"/>
    <d v="2026-06-13T00:00:00"/>
    <d v="2026-07-21T00:00:00"/>
    <n v="914891"/>
  </r>
  <r>
    <s v="0288"/>
    <s v="V"/>
    <x v="2"/>
    <x v="2"/>
    <x v="1"/>
    <s v="A"/>
    <m/>
    <n v="260359"/>
    <x v="4"/>
    <d v="2026-06-13T00:00:00"/>
    <d v="2026-07-21T00:00:00"/>
    <n v="393273"/>
  </r>
  <r>
    <s v="0288"/>
    <s v="V"/>
    <x v="2"/>
    <x v="2"/>
    <x v="1"/>
    <s v="A"/>
    <m/>
    <n v="260378"/>
    <x v="4"/>
    <d v="2026-06-19T00:00:00"/>
    <d v="2026-07-21T00:00:00"/>
    <n v="208461"/>
  </r>
  <r>
    <s v="0288"/>
    <s v="V"/>
    <x v="2"/>
    <x v="2"/>
    <x v="1"/>
    <s v="A"/>
    <m/>
    <n v="260377"/>
    <x v="4"/>
    <d v="2026-06-19T00:00:00"/>
    <d v="2026-07-21T00:00:00"/>
    <n v="4105490"/>
  </r>
  <r>
    <s v="0288"/>
    <s v="V"/>
    <x v="2"/>
    <x v="2"/>
    <x v="1"/>
    <s v="A"/>
    <m/>
    <n v="260390"/>
    <x v="4"/>
    <d v="2026-06-22T00:00:00"/>
    <d v="2026-07-21T00:00:00"/>
    <n v="166500"/>
  </r>
  <r>
    <s v="0288"/>
    <s v="V"/>
    <x v="2"/>
    <x v="2"/>
    <x v="1"/>
    <s v="A"/>
    <m/>
    <n v="260396"/>
    <x v="4"/>
    <d v="2026-06-24T00:00:00"/>
    <d v="2026-07-21T00:00:00"/>
    <n v="166500"/>
  </r>
  <r>
    <s v="0288"/>
    <s v="V"/>
    <x v="2"/>
    <x v="2"/>
    <x v="1"/>
    <s v="A"/>
    <m/>
    <n v="260426"/>
    <x v="4"/>
    <d v="2026-06-30T00:00:00"/>
    <d v="2026-07-21T00:00:00"/>
    <n v="372690"/>
  </r>
  <r>
    <s v="0288"/>
    <s v="V"/>
    <x v="2"/>
    <x v="2"/>
    <x v="1"/>
    <s v="A"/>
    <m/>
    <n v="260425"/>
    <x v="4"/>
    <d v="2026-06-30T00:00:00"/>
    <d v="2026-07-21T00:00:00"/>
    <n v="978188"/>
  </r>
  <r>
    <s v="0288"/>
    <s v="V"/>
    <x v="2"/>
    <x v="2"/>
    <x v="1"/>
    <s v="A"/>
    <m/>
    <n v="260439"/>
    <x v="4"/>
    <d v="2026-07-06T00:00:00"/>
    <d v="2026-07-21T00:00:00"/>
    <n v="70640"/>
  </r>
  <r>
    <s v="0288"/>
    <s v="V"/>
    <x v="2"/>
    <x v="2"/>
    <x v="1"/>
    <s v="A"/>
    <m/>
    <n v="260440"/>
    <x v="4"/>
    <d v="2026-07-06T00:00:00"/>
    <d v="2026-07-21T00:00:00"/>
    <n v="786546"/>
  </r>
  <r>
    <s v="0288"/>
    <s v="V"/>
    <x v="2"/>
    <x v="2"/>
    <x v="1"/>
    <s v="A"/>
    <m/>
    <n v="260438"/>
    <x v="4"/>
    <d v="2026-07-06T00:00:00"/>
    <d v="2026-07-21T00:00:00"/>
    <n v="621150"/>
  </r>
  <r>
    <s v="0288"/>
    <s v="V"/>
    <x v="2"/>
    <x v="2"/>
    <x v="1"/>
    <s v="A"/>
    <m/>
    <n v="260441"/>
    <x v="4"/>
    <d v="2026-07-06T00:00:00"/>
    <d v="2026-07-21T00:00:00"/>
    <n v="4895633"/>
  </r>
  <r>
    <s v="0289"/>
    <s v="V"/>
    <x v="0"/>
    <x v="0"/>
    <x v="0"/>
    <m/>
    <m/>
    <m/>
    <x v="0"/>
    <m/>
    <m/>
    <m/>
  </r>
  <r>
    <s v="0290"/>
    <s v="V"/>
    <x v="0"/>
    <x v="0"/>
    <x v="0"/>
    <m/>
    <m/>
    <m/>
    <x v="0"/>
    <m/>
    <m/>
    <m/>
  </r>
  <r>
    <s v="0291"/>
    <s v="V"/>
    <x v="0"/>
    <x v="0"/>
    <x v="0"/>
    <m/>
    <s v="X"/>
    <s v="ANUGRAH ARGON MEDICA, PT"/>
    <x v="0"/>
    <m/>
    <m/>
    <n v="1094073848"/>
  </r>
  <r>
    <s v="0322"/>
    <s v="V"/>
    <x v="1"/>
    <x v="1"/>
    <x v="1"/>
    <s v="A"/>
    <m/>
    <n v="250067"/>
    <x v="5"/>
    <d v="2025-01-18T00:00:00"/>
    <d v="2025-01-25T00:00:00"/>
    <n v="1380680"/>
  </r>
  <r>
    <s v="0323"/>
    <s v="V"/>
    <x v="1"/>
    <x v="1"/>
    <x v="1"/>
    <s v="A"/>
    <m/>
    <n v="250070"/>
    <x v="5"/>
    <d v="2025-01-21T00:00:00"/>
    <d v="2025-01-25T00:00:00"/>
    <n v="733300"/>
  </r>
  <r>
    <s v="0324"/>
    <s v="V"/>
    <x v="1"/>
    <x v="1"/>
    <x v="1"/>
    <s v="A"/>
    <m/>
    <n v="250071"/>
    <x v="5"/>
    <d v="2025-01-21T00:00:00"/>
    <d v="2025-01-25T00:00:00"/>
    <n v="3293250"/>
  </r>
  <r>
    <s v="0325"/>
    <s v="V"/>
    <x v="1"/>
    <x v="1"/>
    <x v="1"/>
    <s v="A"/>
    <m/>
    <n v="250088"/>
    <x v="5"/>
    <d v="2025-01-22T00:00:00"/>
    <d v="2025-01-25T00:00:00"/>
    <n v="4737525"/>
  </r>
  <r>
    <s v="0326"/>
    <s v="V"/>
    <x v="1"/>
    <x v="1"/>
    <x v="1"/>
    <s v="A"/>
    <m/>
    <n v="250087"/>
    <x v="5"/>
    <d v="2025-01-22T00:00:00"/>
    <d v="2025-01-25T00:00:00"/>
    <n v="2383150"/>
  </r>
  <r>
    <s v="0327"/>
    <s v="V"/>
    <x v="1"/>
    <x v="1"/>
    <x v="1"/>
    <s v="A"/>
    <m/>
    <n v="250086"/>
    <x v="5"/>
    <d v="2025-01-22T00:00:00"/>
    <d v="2025-01-25T00:00:00"/>
    <n v="5334200"/>
  </r>
  <r>
    <s v="0328"/>
    <s v="V"/>
    <x v="1"/>
    <x v="1"/>
    <x v="1"/>
    <s v="A"/>
    <m/>
    <n v="250099"/>
    <x v="5"/>
    <d v="2025-01-23T00:00:00"/>
    <d v="2025-01-25T00:00:00"/>
    <n v="797150"/>
  </r>
  <r>
    <s v="0329"/>
    <s v="V"/>
    <x v="1"/>
    <x v="1"/>
    <x v="1"/>
    <s v="A"/>
    <m/>
    <n v="250098"/>
    <x v="5"/>
    <d v="2025-01-23T00:00:00"/>
    <d v="2025-01-25T00:00:00"/>
    <n v="2825450"/>
  </r>
  <r>
    <s v="0330"/>
    <s v="V"/>
    <x v="1"/>
    <x v="1"/>
    <x v="1"/>
    <s v="A"/>
    <m/>
    <n v="250097"/>
    <x v="5"/>
    <d v="2025-01-23T00:00:00"/>
    <d v="2025-01-25T00:00:00"/>
    <n v="2887500"/>
  </r>
  <r>
    <s v="0331"/>
    <s v="V"/>
    <x v="1"/>
    <x v="1"/>
    <x v="1"/>
    <s v="A"/>
    <m/>
    <n v="250105"/>
    <x v="5"/>
    <d v="2025-01-28T00:00:00"/>
    <d v="2025-02-06T00:00:00"/>
    <n v="4060967"/>
  </r>
  <r>
    <s v="0332"/>
    <s v="V"/>
    <x v="1"/>
    <x v="1"/>
    <x v="1"/>
    <s v="A"/>
    <m/>
    <n v="250086"/>
    <x v="5"/>
    <d v="2025-01-30T00:00:00"/>
    <d v="2025-02-06T00:00:00"/>
    <n v="4850550"/>
  </r>
  <r>
    <s v="0333"/>
    <s v="V"/>
    <x v="1"/>
    <x v="1"/>
    <x v="1"/>
    <s v="A"/>
    <m/>
    <n v="250115"/>
    <x v="5"/>
    <d v="2025-01-31T00:00:00"/>
    <d v="2025-02-13T00:00:00"/>
    <n v="610500"/>
  </r>
  <r>
    <s v="0334"/>
    <s v="V"/>
    <x v="1"/>
    <x v="1"/>
    <x v="1"/>
    <s v="A"/>
    <m/>
    <n v="2501212"/>
    <x v="5"/>
    <d v="2025-02-03T00:00:00"/>
    <d v="2025-02-13T00:00:00"/>
    <n v="9394425"/>
  </r>
  <r>
    <s v="0335"/>
    <s v="V"/>
    <x v="1"/>
    <x v="1"/>
    <x v="1"/>
    <s v="A"/>
    <m/>
    <n v="250123"/>
    <x v="5"/>
    <d v="2025-02-04T00:00:00"/>
    <d v="2025-02-13T00:00:00"/>
    <n v="1293860"/>
  </r>
  <r>
    <s v="0336"/>
    <s v="V"/>
    <x v="1"/>
    <x v="1"/>
    <x v="1"/>
    <s v="A"/>
    <m/>
    <n v="250122"/>
    <x v="5"/>
    <d v="2025-02-04T00:00:00"/>
    <d v="2025-02-13T00:00:00"/>
    <n v="1572500"/>
  </r>
  <r>
    <s v="0337"/>
    <s v="V"/>
    <x v="1"/>
    <x v="1"/>
    <x v="1"/>
    <s v="A"/>
    <m/>
    <n v="250124"/>
    <x v="5"/>
    <d v="2025-02-04T00:00:00"/>
    <d v="2025-02-13T00:00:00"/>
    <n v="1013133"/>
  </r>
  <r>
    <s v="0338"/>
    <s v="V"/>
    <x v="1"/>
    <x v="1"/>
    <x v="1"/>
    <s v="A"/>
    <m/>
    <n v="250142"/>
    <x v="5"/>
    <d v="2025-02-06T00:00:00"/>
    <d v="2025-02-13T00:00:00"/>
    <n v="605100"/>
  </r>
  <r>
    <s v="0339"/>
    <s v="V"/>
    <x v="1"/>
    <x v="1"/>
    <x v="1"/>
    <s v="A"/>
    <m/>
    <n v="250141"/>
    <x v="5"/>
    <d v="2025-02-06T00:00:00"/>
    <d v="2025-02-13T00:00:00"/>
    <n v="5665000"/>
  </r>
  <r>
    <s v="0340"/>
    <s v="V"/>
    <x v="1"/>
    <x v="1"/>
    <x v="1"/>
    <s v="A"/>
    <m/>
    <n v="250146"/>
    <x v="5"/>
    <d v="2025-02-08T00:00:00"/>
    <d v="2025-02-13T00:00:00"/>
    <n v="3563100"/>
  </r>
  <r>
    <s v="0341"/>
    <s v="V"/>
    <x v="1"/>
    <x v="1"/>
    <x v="1"/>
    <s v="A"/>
    <m/>
    <n v="250145"/>
    <x v="5"/>
    <d v="2025-02-08T00:00:00"/>
    <d v="2025-02-13T00:00:00"/>
    <n v="2599376"/>
  </r>
  <r>
    <s v="0342"/>
    <s v="V"/>
    <x v="1"/>
    <x v="1"/>
    <x v="1"/>
    <s v="A"/>
    <m/>
    <n v="250154"/>
    <x v="5"/>
    <d v="2025-02-12T00:00:00"/>
    <d v="2025-02-20T00:00:00"/>
    <n v="993000"/>
  </r>
  <r>
    <s v="0343"/>
    <s v="V"/>
    <x v="1"/>
    <x v="1"/>
    <x v="1"/>
    <s v="A"/>
    <m/>
    <n v="250160"/>
    <x v="5"/>
    <d v="2025-02-13T00:00:00"/>
    <d v="2025-02-20T00:00:00"/>
    <n v="1695270"/>
  </r>
  <r>
    <s v="0344"/>
    <s v="V"/>
    <x v="1"/>
    <x v="1"/>
    <x v="1"/>
    <s v="A"/>
    <m/>
    <n v="250161"/>
    <x v="5"/>
    <d v="2025-02-13T00:00:00"/>
    <d v="2025-02-20T00:00:00"/>
    <n v="4009000"/>
  </r>
  <r>
    <s v="0345"/>
    <s v="V"/>
    <x v="1"/>
    <x v="1"/>
    <x v="1"/>
    <s v="A"/>
    <m/>
    <n v="250165"/>
    <x v="5"/>
    <d v="2025-02-14T00:00:00"/>
    <d v="2025-02-20T00:00:00"/>
    <n v="3154000"/>
  </r>
  <r>
    <s v="0346"/>
    <s v="V"/>
    <x v="1"/>
    <x v="1"/>
    <x v="1"/>
    <s v="A"/>
    <m/>
    <n v="250170"/>
    <x v="5"/>
    <d v="2025-02-15T00:00:00"/>
    <d v="2025-02-20T00:00:00"/>
    <n v="5087600"/>
  </r>
  <r>
    <s v="0347"/>
    <s v="V"/>
    <x v="1"/>
    <x v="1"/>
    <x v="1"/>
    <s v="A"/>
    <m/>
    <n v="250205"/>
    <x v="5"/>
    <d v="2025-02-17T00:00:00"/>
    <d v="2025-02-22T00:00:00"/>
    <n v="2407207"/>
  </r>
  <r>
    <s v="0348"/>
    <s v="V"/>
    <x v="1"/>
    <x v="1"/>
    <x v="1"/>
    <s v="A"/>
    <m/>
    <n v="250200"/>
    <x v="5"/>
    <d v="2025-02-18T00:00:00"/>
    <d v="2025-02-22T00:00:00"/>
    <n v="6467399"/>
  </r>
  <r>
    <s v="0349"/>
    <s v="V"/>
    <x v="1"/>
    <x v="1"/>
    <x v="1"/>
    <s v="A"/>
    <m/>
    <n v="250199"/>
    <x v="5"/>
    <d v="2025-02-18T00:00:00"/>
    <d v="2025-02-22T00:00:00"/>
    <n v="1066433"/>
  </r>
  <r>
    <s v="0350"/>
    <s v="V"/>
    <x v="1"/>
    <x v="1"/>
    <x v="1"/>
    <s v="A"/>
    <m/>
    <n v="250202"/>
    <x v="5"/>
    <d v="2025-02-19T00:00:00"/>
    <d v="2025-03-04T00:00:00"/>
    <n v="4302560"/>
  </r>
  <r>
    <s v="0351"/>
    <s v="V"/>
    <x v="1"/>
    <x v="1"/>
    <x v="1"/>
    <s v="A"/>
    <m/>
    <n v="250203"/>
    <x v="5"/>
    <d v="2025-02-19T00:00:00"/>
    <d v="2025-03-04T00:00:00"/>
    <n v="744755"/>
  </r>
  <r>
    <s v="0352"/>
    <s v="V"/>
    <x v="1"/>
    <x v="1"/>
    <x v="1"/>
    <s v="A"/>
    <m/>
    <n v="250201"/>
    <x v="5"/>
    <d v="2025-02-19T00:00:00"/>
    <d v="2025-03-04T00:00:00"/>
    <n v="1294422"/>
  </r>
  <r>
    <s v="0353"/>
    <s v="V"/>
    <x v="1"/>
    <x v="1"/>
    <x v="1"/>
    <s v="A"/>
    <m/>
    <n v="250204"/>
    <x v="5"/>
    <d v="2025-02-19T00:00:00"/>
    <d v="2025-03-04T00:00:00"/>
    <n v="6993000"/>
  </r>
  <r>
    <s v="0354"/>
    <s v="V"/>
    <x v="1"/>
    <x v="1"/>
    <x v="1"/>
    <s v="A"/>
    <m/>
    <n v="250235"/>
    <x v="5"/>
    <d v="2025-02-27T00:00:00"/>
    <d v="2025-03-04T00:00:00"/>
    <n v="402930"/>
  </r>
  <r>
    <s v="0355"/>
    <s v="V"/>
    <x v="1"/>
    <x v="1"/>
    <x v="1"/>
    <s v="A"/>
    <m/>
    <n v="250236"/>
    <x v="5"/>
    <d v="2025-02-27T00:00:00"/>
    <d v="2025-03-04T00:00:00"/>
    <n v="2909000"/>
  </r>
  <r>
    <s v="0356"/>
    <s v="V"/>
    <x v="1"/>
    <x v="1"/>
    <x v="1"/>
    <s v="A"/>
    <m/>
    <n v="250241"/>
    <x v="5"/>
    <d v="2025-02-27T00:00:00"/>
    <d v="2025-03-04T00:00:00"/>
    <n v="2825450"/>
  </r>
  <r>
    <s v="0357"/>
    <s v="V"/>
    <x v="1"/>
    <x v="1"/>
    <x v="1"/>
    <s v="A"/>
    <m/>
    <n v="250242"/>
    <x v="5"/>
    <d v="2025-02-27T00:00:00"/>
    <d v="2025-03-04T00:00:00"/>
    <n v="9532600"/>
  </r>
  <r>
    <s v="0358"/>
    <s v="V"/>
    <x v="1"/>
    <x v="1"/>
    <x v="1"/>
    <s v="A"/>
    <m/>
    <n v="250234"/>
    <x v="5"/>
    <d v="2025-02-27T00:00:00"/>
    <d v="2025-03-04T00:00:00"/>
    <n v="1704283"/>
  </r>
  <r>
    <s v="0359"/>
    <s v="V"/>
    <x v="1"/>
    <x v="1"/>
    <x v="1"/>
    <s v="A"/>
    <m/>
    <n v="250251"/>
    <x v="5"/>
    <d v="2025-02-27T00:00:00"/>
    <d v="2025-03-06T00:00:00"/>
    <n v="900500"/>
  </r>
  <r>
    <s v="0360"/>
    <s v="V"/>
    <x v="1"/>
    <x v="1"/>
    <x v="1"/>
    <s v="A"/>
    <m/>
    <n v="250250"/>
    <x v="5"/>
    <d v="2025-02-27T00:00:00"/>
    <d v="2025-03-06T00:00:00"/>
    <n v="223443"/>
  </r>
  <r>
    <s v="0361"/>
    <s v="V"/>
    <x v="1"/>
    <x v="1"/>
    <x v="1"/>
    <s v="A"/>
    <m/>
    <n v="250255"/>
    <x v="5"/>
    <d v="2025-02-28T00:00:00"/>
    <d v="2025-03-06T00:00:00"/>
    <n v="286000"/>
  </r>
  <r>
    <s v="0362"/>
    <s v="V"/>
    <x v="1"/>
    <x v="1"/>
    <x v="1"/>
    <s v="A"/>
    <m/>
    <n v="250254"/>
    <x v="5"/>
    <d v="2025-02-28T00:00:00"/>
    <d v="2025-03-06T00:00:00"/>
    <n v="2197170"/>
  </r>
  <r>
    <s v="0363"/>
    <s v="V"/>
    <x v="1"/>
    <x v="1"/>
    <x v="1"/>
    <s v="A"/>
    <m/>
    <n v="250253"/>
    <x v="5"/>
    <d v="2025-02-28T00:00:00"/>
    <d v="2025-03-06T00:00:00"/>
    <n v="2899999"/>
  </r>
  <r>
    <s v="0364"/>
    <s v="V"/>
    <x v="1"/>
    <x v="1"/>
    <x v="1"/>
    <s v="A"/>
    <m/>
    <n v="250252"/>
    <x v="5"/>
    <d v="2025-02-28T00:00:00"/>
    <d v="2025-03-06T00:00:00"/>
    <n v="11301800"/>
  </r>
  <r>
    <s v="0365"/>
    <s v="V"/>
    <x v="1"/>
    <x v="1"/>
    <x v="1"/>
    <s v="A"/>
    <m/>
    <n v="250275"/>
    <x v="5"/>
    <d v="2025-02-28T00:00:00"/>
    <d v="2025-03-06T00:00:00"/>
    <n v="8605000"/>
  </r>
  <r>
    <s v="0366"/>
    <s v="V"/>
    <x v="1"/>
    <x v="1"/>
    <x v="1"/>
    <s v="A"/>
    <m/>
    <n v="250294"/>
    <x v="5"/>
    <d v="2025-02-28T00:00:00"/>
    <d v="2025-03-11T00:00:00"/>
    <n v="1186634"/>
  </r>
  <r>
    <s v="0367"/>
    <s v="V"/>
    <x v="1"/>
    <x v="1"/>
    <x v="1"/>
    <s v="A"/>
    <m/>
    <n v="250293"/>
    <x v="5"/>
    <d v="2025-03-03T00:00:00"/>
    <d v="2025-03-11T00:00:00"/>
    <n v="2825450"/>
  </r>
  <r>
    <s v="0368"/>
    <s v="V"/>
    <x v="1"/>
    <x v="1"/>
    <x v="1"/>
    <s v="A"/>
    <m/>
    <n v="250277"/>
    <x v="5"/>
    <d v="2025-03-03T00:00:00"/>
    <d v="2025-03-11T00:00:00"/>
    <n v="4489950"/>
  </r>
  <r>
    <s v="0369"/>
    <s v="V"/>
    <x v="1"/>
    <x v="1"/>
    <x v="1"/>
    <s v="A"/>
    <m/>
    <n v="250384"/>
    <x v="5"/>
    <d v="2025-03-26T00:00:00"/>
    <d v="2025-04-08T00:00:00"/>
    <n v="1293860"/>
  </r>
  <r>
    <s v="0370"/>
    <s v="V"/>
    <x v="1"/>
    <x v="1"/>
    <x v="1"/>
    <s v="A"/>
    <m/>
    <n v="250389"/>
    <x v="5"/>
    <d v="2025-03-26T00:00:00"/>
    <d v="2025-04-08T00:00:00"/>
    <n v="11915750"/>
  </r>
  <r>
    <s v="0371"/>
    <s v="V"/>
    <x v="1"/>
    <x v="1"/>
    <x v="1"/>
    <s v="A"/>
    <m/>
    <n v="250385"/>
    <x v="5"/>
    <d v="2025-03-26T00:00:00"/>
    <d v="2025-04-08T00:00:00"/>
    <n v="9075001"/>
  </r>
  <r>
    <s v="0372"/>
    <s v="V"/>
    <x v="1"/>
    <x v="1"/>
    <x v="1"/>
    <s v="A"/>
    <m/>
    <n v="250391"/>
    <x v="5"/>
    <d v="2025-03-26T00:00:00"/>
    <d v="2025-04-08T00:00:00"/>
    <n v="2693970"/>
  </r>
  <r>
    <s v="0373"/>
    <s v="V"/>
    <x v="1"/>
    <x v="1"/>
    <x v="1"/>
    <s v="A"/>
    <m/>
    <n v="250388"/>
    <x v="5"/>
    <d v="2025-03-26T00:00:00"/>
    <d v="2025-04-08T00:00:00"/>
    <n v="2925000"/>
  </r>
  <r>
    <s v="0374"/>
    <s v="V"/>
    <x v="1"/>
    <x v="1"/>
    <x v="1"/>
    <s v="A"/>
    <m/>
    <n v="250386"/>
    <x v="5"/>
    <d v="2025-03-26T00:00:00"/>
    <d v="2025-04-08T00:00:00"/>
    <n v="23193002"/>
  </r>
  <r>
    <s v="0375"/>
    <s v="V"/>
    <x v="1"/>
    <x v="1"/>
    <x v="1"/>
    <s v="A"/>
    <m/>
    <n v="250386"/>
    <x v="5"/>
    <m/>
    <m/>
    <n v="-21096583"/>
  </r>
  <r>
    <s v="0376"/>
    <s v="V"/>
    <x v="1"/>
    <x v="1"/>
    <x v="1"/>
    <s v="A"/>
    <m/>
    <n v="250386"/>
    <x v="5"/>
    <m/>
    <m/>
    <n v="21096583"/>
  </r>
  <r>
    <s v="0377"/>
    <s v="V"/>
    <x v="1"/>
    <x v="1"/>
    <x v="1"/>
    <s v="A"/>
    <m/>
    <n v="250383"/>
    <x v="5"/>
    <d v="2025-03-26T00:00:00"/>
    <d v="2025-04-08T00:00:00"/>
    <n v="19158500"/>
  </r>
  <r>
    <s v="0378"/>
    <s v="V"/>
    <x v="1"/>
    <x v="1"/>
    <x v="1"/>
    <s v="A"/>
    <m/>
    <n v="250365"/>
    <x v="5"/>
    <d v="2025-03-26T00:00:00"/>
    <d v="2025-04-12T00:00:00"/>
    <n v="9124239"/>
  </r>
  <r>
    <s v="0379"/>
    <s v="V"/>
    <x v="1"/>
    <x v="1"/>
    <x v="1"/>
    <s v="A"/>
    <m/>
    <n v="250366"/>
    <x v="5"/>
    <d v="2025-03-27T00:00:00"/>
    <d v="2025-04-08T00:00:00"/>
    <n v="2310481"/>
  </r>
  <r>
    <s v="0380"/>
    <s v="V"/>
    <x v="1"/>
    <x v="1"/>
    <x v="1"/>
    <s v="A"/>
    <m/>
    <n v="250367"/>
    <x v="5"/>
    <d v="2025-03-27T00:00:00"/>
    <d v="2025-04-08T00:00:00"/>
    <n v="1574535"/>
  </r>
  <r>
    <s v="0381"/>
    <s v="V"/>
    <x v="1"/>
    <x v="1"/>
    <x v="1"/>
    <s v="A"/>
    <m/>
    <n v="250368"/>
    <x v="5"/>
    <d v="2025-03-27T00:00:00"/>
    <d v="2025-04-08T00:00:00"/>
    <n v="9701100"/>
  </r>
  <r>
    <s v="0382"/>
    <s v="V"/>
    <x v="1"/>
    <x v="1"/>
    <x v="1"/>
    <s v="A"/>
    <m/>
    <n v="250369"/>
    <x v="5"/>
    <d v="2025-03-27T00:00:00"/>
    <d v="2025-04-08T00:00:00"/>
    <n v="3501828"/>
  </r>
  <r>
    <s v="0383"/>
    <s v="V"/>
    <x v="1"/>
    <x v="1"/>
    <x v="1"/>
    <s v="A"/>
    <m/>
    <n v="250382"/>
    <x v="5"/>
    <d v="2025-03-26T00:00:00"/>
    <d v="2025-04-08T00:00:00"/>
    <n v="7072500"/>
  </r>
  <r>
    <s v="0384"/>
    <s v="V"/>
    <x v="1"/>
    <x v="1"/>
    <x v="1"/>
    <s v="A"/>
    <m/>
    <n v="250387"/>
    <x v="5"/>
    <d v="2025-03-26T00:00:00"/>
    <d v="2025-04-08T00:00:00"/>
    <n v="9700799"/>
  </r>
  <r>
    <s v="0385"/>
    <s v="V"/>
    <x v="1"/>
    <x v="1"/>
    <x v="1"/>
    <s v="A"/>
    <m/>
    <n v="250390"/>
    <x v="5"/>
    <d v="2025-03-26T00:00:00"/>
    <d v="2025-04-08T00:00:00"/>
    <n v="11301800"/>
  </r>
  <r>
    <s v="0386"/>
    <s v="V"/>
    <x v="1"/>
    <x v="1"/>
    <x v="1"/>
    <s v="A"/>
    <m/>
    <n v="250392"/>
    <x v="5"/>
    <d v="2025-03-27T00:00:00"/>
    <d v="2025-04-08T00:00:00"/>
    <n v="1188000"/>
  </r>
  <r>
    <s v="0387"/>
    <s v="V"/>
    <x v="1"/>
    <x v="1"/>
    <x v="1"/>
    <s v="A"/>
    <m/>
    <n v="250415"/>
    <x v="5"/>
    <d v="2025-04-11T00:00:00"/>
    <d v="2025-04-19T00:00:00"/>
    <n v="1393605"/>
  </r>
  <r>
    <s v="0388"/>
    <s v="V"/>
    <x v="1"/>
    <x v="1"/>
    <x v="1"/>
    <s v="A"/>
    <m/>
    <n v="250551"/>
    <x v="5"/>
    <d v="2025-05-23T00:00:00"/>
    <d v="2025-05-31T00:00:00"/>
    <n v="16131113"/>
  </r>
  <r>
    <s v="0389"/>
    <s v="V"/>
    <x v="1"/>
    <x v="1"/>
    <x v="1"/>
    <s v="A"/>
    <m/>
    <n v="250551"/>
    <x v="5"/>
    <d v="2025-05-23T00:00:00"/>
    <d v="2025-05-31T00:00:00"/>
    <n v="11071863"/>
  </r>
  <r>
    <s v="0390"/>
    <s v="V"/>
    <x v="1"/>
    <x v="1"/>
    <x v="1"/>
    <s v="A"/>
    <m/>
    <n v="250553"/>
    <x v="5"/>
    <d v="2025-05-23T00:00:00"/>
    <d v="2025-05-31T00:00:00"/>
    <n v="3262692"/>
  </r>
  <r>
    <s v="0391"/>
    <s v="V"/>
    <x v="1"/>
    <x v="1"/>
    <x v="1"/>
    <s v="A"/>
    <m/>
    <n v="250557"/>
    <x v="5"/>
    <d v="2025-05-30T00:00:00"/>
    <d v="2025-06-05T00:00:00"/>
    <n v="3757592"/>
  </r>
  <r>
    <s v="0392"/>
    <s v="V"/>
    <x v="1"/>
    <x v="1"/>
    <x v="1"/>
    <s v="A"/>
    <m/>
    <n v="250558"/>
    <x v="5"/>
    <d v="2025-05-30T00:00:00"/>
    <d v="2025-06-05T00:00:00"/>
    <n v="4132800"/>
  </r>
  <r>
    <s v="0393"/>
    <s v="V"/>
    <x v="1"/>
    <x v="1"/>
    <x v="1"/>
    <s v="A"/>
    <m/>
    <n v="250569"/>
    <x v="5"/>
    <d v="2025-05-30T00:00:00"/>
    <d v="2025-06-12T00:00:00"/>
    <n v="51054431"/>
  </r>
  <r>
    <s v="0394"/>
    <s v="V"/>
    <x v="1"/>
    <x v="1"/>
    <x v="1"/>
    <s v="A"/>
    <m/>
    <n v="250708"/>
    <x v="5"/>
    <d v="2025-07-23T00:00:00"/>
    <d v="2025-07-31T00:00:00"/>
    <n v="8574360"/>
  </r>
  <r>
    <s v="0395"/>
    <s v="V"/>
    <x v="1"/>
    <x v="1"/>
    <x v="1"/>
    <s v="A"/>
    <m/>
    <n v="250710"/>
    <x v="5"/>
    <d v="2025-07-23T00:00:00"/>
    <d v="2025-07-31T00:00:00"/>
    <n v="7266500"/>
  </r>
  <r>
    <s v="0396"/>
    <s v="V"/>
    <x v="1"/>
    <x v="1"/>
    <x v="1"/>
    <s v="A"/>
    <m/>
    <n v="250713"/>
    <x v="5"/>
    <d v="2025-07-23T00:00:00"/>
    <d v="2025-07-31T00:00:00"/>
    <n v="33000000"/>
  </r>
  <r>
    <s v="0397"/>
    <s v="V"/>
    <x v="1"/>
    <x v="1"/>
    <x v="1"/>
    <s v="A"/>
    <m/>
    <n v="250714"/>
    <x v="5"/>
    <d v="2025-07-23T00:00:00"/>
    <d v="2025-07-31T00:00:00"/>
    <n v="5550000"/>
  </r>
  <r>
    <s v="0398"/>
    <s v="V"/>
    <x v="1"/>
    <x v="1"/>
    <x v="1"/>
    <s v="A"/>
    <m/>
    <n v="250711"/>
    <x v="5"/>
    <d v="2025-07-23T00:00:00"/>
    <d v="2025-07-31T00:00:00"/>
    <n v="2539680"/>
  </r>
  <r>
    <s v="0399"/>
    <s v="V"/>
    <x v="1"/>
    <x v="1"/>
    <x v="1"/>
    <s v="A"/>
    <m/>
    <n v="250712"/>
    <x v="5"/>
    <d v="2025-07-23T00:00:00"/>
    <d v="2025-07-31T00:00:00"/>
    <n v="3438060"/>
  </r>
  <r>
    <s v="0400"/>
    <s v="V"/>
    <x v="1"/>
    <x v="1"/>
    <x v="1"/>
    <s v="A"/>
    <m/>
    <n v="250709"/>
    <x v="5"/>
    <d v="2025-07-23T00:00:00"/>
    <d v="2025-07-31T00:00:00"/>
    <n v="10148746"/>
  </r>
  <r>
    <s v="0401"/>
    <s v="V"/>
    <x v="1"/>
    <x v="1"/>
    <x v="1"/>
    <s v="A"/>
    <m/>
    <n v="250720"/>
    <x v="5"/>
    <d v="2025-07-26T00:00:00"/>
    <d v="2025-07-31T00:00:00"/>
    <n v="3075000"/>
  </r>
  <r>
    <s v="0402"/>
    <s v="V"/>
    <x v="1"/>
    <x v="1"/>
    <x v="1"/>
    <s v="A"/>
    <m/>
    <n v="250719"/>
    <x v="5"/>
    <d v="2025-07-26T00:00:00"/>
    <d v="2025-07-31T00:00:00"/>
    <n v="1890000"/>
  </r>
  <r>
    <s v="0403"/>
    <s v="V"/>
    <x v="1"/>
    <x v="1"/>
    <x v="1"/>
    <s v="A"/>
    <m/>
    <n v="250715"/>
    <x v="5"/>
    <d v="2025-07-26T00:00:00"/>
    <d v="2025-07-31T00:00:00"/>
    <n v="11301800"/>
  </r>
  <r>
    <s v="0404"/>
    <s v="V"/>
    <x v="1"/>
    <x v="1"/>
    <x v="1"/>
    <s v="A"/>
    <m/>
    <n v="250718"/>
    <x v="5"/>
    <d v="2025-07-26T00:00:00"/>
    <d v="2025-07-31T00:00:00"/>
    <n v="9532600"/>
  </r>
  <r>
    <s v="0405"/>
    <s v="V"/>
    <x v="1"/>
    <x v="1"/>
    <x v="1"/>
    <s v="A"/>
    <m/>
    <n v="250717"/>
    <x v="5"/>
    <d v="2025-07-26T00:00:00"/>
    <d v="2025-07-31T00:00:00"/>
    <n v="8979900"/>
  </r>
  <r>
    <s v="0406"/>
    <s v="V"/>
    <x v="1"/>
    <x v="1"/>
    <x v="1"/>
    <s v="A"/>
    <m/>
    <n v="250716"/>
    <x v="5"/>
    <d v="2025-07-26T00:00:00"/>
    <d v="2025-08-09T00:00:00"/>
    <n v="14764400"/>
  </r>
  <r>
    <s v="0407"/>
    <s v="V"/>
    <x v="1"/>
    <x v="1"/>
    <x v="1"/>
    <s v="A"/>
    <m/>
    <n v="250727"/>
    <x v="5"/>
    <d v="2025-07-28T00:00:00"/>
    <d v="2025-08-09T00:00:00"/>
    <n v="353380"/>
  </r>
  <r>
    <s v="0408"/>
    <s v="V"/>
    <x v="1"/>
    <x v="1"/>
    <x v="1"/>
    <s v="A"/>
    <m/>
    <n v="250762"/>
    <x v="5"/>
    <d v="2025-07-31T00:00:00"/>
    <d v="2025-08-09T00:00:00"/>
    <n v="2099843"/>
  </r>
  <r>
    <s v="0409"/>
    <s v="V"/>
    <x v="1"/>
    <x v="1"/>
    <x v="1"/>
    <s v="A"/>
    <m/>
    <n v="250764"/>
    <x v="5"/>
    <d v="2025-07-31T00:00:00"/>
    <d v="2025-08-09T00:00:00"/>
    <n v="3025500"/>
  </r>
  <r>
    <s v="0410"/>
    <s v="V"/>
    <x v="1"/>
    <x v="1"/>
    <x v="1"/>
    <s v="A"/>
    <m/>
    <n v="250763"/>
    <x v="5"/>
    <d v="2025-07-31T00:00:00"/>
    <d v="2025-08-09T00:00:00"/>
    <n v="4865998"/>
  </r>
  <r>
    <s v="0411"/>
    <s v="V"/>
    <x v="1"/>
    <x v="1"/>
    <x v="1"/>
    <s v="A"/>
    <m/>
    <n v="250776"/>
    <x v="5"/>
    <d v="2025-07-31T00:00:00"/>
    <d v="2025-08-09T00:00:00"/>
    <n v="1002000"/>
  </r>
  <r>
    <s v="0412"/>
    <s v="V"/>
    <x v="1"/>
    <x v="1"/>
    <x v="1"/>
    <s v="A"/>
    <m/>
    <n v="250777"/>
    <x v="5"/>
    <d v="2025-07-31T00:00:00"/>
    <d v="2025-08-09T00:00:00"/>
    <n v="3358860"/>
  </r>
  <r>
    <s v="0413"/>
    <s v="V"/>
    <x v="1"/>
    <x v="1"/>
    <x v="1"/>
    <s v="A"/>
    <m/>
    <n v="250775"/>
    <x v="5"/>
    <d v="2025-07-31T00:00:00"/>
    <d v="2025-08-09T00:00:00"/>
    <n v="4075920"/>
  </r>
  <r>
    <s v="0414"/>
    <s v="V"/>
    <x v="1"/>
    <x v="1"/>
    <x v="1"/>
    <s v="A"/>
    <m/>
    <n v="250832"/>
    <x v="5"/>
    <d v="2025-08-19T00:00:00"/>
    <d v="2025-09-02T00:00:00"/>
    <n v="2567000"/>
  </r>
  <r>
    <s v="0415"/>
    <s v="V"/>
    <x v="1"/>
    <x v="1"/>
    <x v="1"/>
    <s v="A"/>
    <m/>
    <n v="250829"/>
    <x v="5"/>
    <d v="2025-08-19T00:00:00"/>
    <d v="2025-09-02T00:00:00"/>
    <n v="7713201"/>
  </r>
  <r>
    <s v="0416"/>
    <s v="V"/>
    <x v="1"/>
    <x v="1"/>
    <x v="1"/>
    <s v="A"/>
    <m/>
    <n v="250831"/>
    <x v="5"/>
    <d v="2025-08-19T00:00:00"/>
    <d v="2025-09-02T00:00:00"/>
    <n v="6570000"/>
  </r>
  <r>
    <s v="0417"/>
    <s v="V"/>
    <x v="1"/>
    <x v="1"/>
    <x v="1"/>
    <s v="A"/>
    <m/>
    <n v="250835"/>
    <x v="5"/>
    <d v="2025-08-19T00:00:00"/>
    <d v="2025-09-02T00:00:00"/>
    <n v="16099999"/>
  </r>
  <r>
    <s v="0418"/>
    <s v="V"/>
    <x v="1"/>
    <x v="1"/>
    <x v="1"/>
    <s v="A"/>
    <m/>
    <n v="250852"/>
    <x v="5"/>
    <d v="2025-08-25T00:00:00"/>
    <d v="2025-09-02T00:00:00"/>
    <n v="9552000"/>
  </r>
  <r>
    <s v="0419"/>
    <s v="V"/>
    <x v="1"/>
    <x v="1"/>
    <x v="1"/>
    <s v="A"/>
    <m/>
    <n v="250855"/>
    <x v="5"/>
    <d v="2025-08-26T00:00:00"/>
    <d v="2025-09-02T00:00:00"/>
    <n v="5219500"/>
  </r>
  <r>
    <s v="0420"/>
    <s v="V"/>
    <x v="1"/>
    <x v="1"/>
    <x v="1"/>
    <s v="A"/>
    <m/>
    <n v="250854"/>
    <x v="5"/>
    <d v="2025-08-26T00:00:00"/>
    <d v="2025-09-02T00:00:00"/>
    <n v="6113880"/>
  </r>
  <r>
    <s v="0421"/>
    <s v="V"/>
    <x v="1"/>
    <x v="1"/>
    <x v="1"/>
    <s v="A"/>
    <m/>
    <n v="250863"/>
    <x v="5"/>
    <d v="2025-08-28T00:00:00"/>
    <d v="2025-09-02T00:00:00"/>
    <n v="1259906"/>
  </r>
  <r>
    <s v="0422"/>
    <s v="V"/>
    <x v="1"/>
    <x v="1"/>
    <x v="1"/>
    <s v="A"/>
    <m/>
    <n v="250865"/>
    <x v="5"/>
    <d v="2025-08-28T00:00:00"/>
    <d v="2025-09-02T00:00:00"/>
    <n v="4409457"/>
  </r>
  <r>
    <s v="0423"/>
    <s v="V"/>
    <x v="1"/>
    <x v="1"/>
    <x v="1"/>
    <s v="A"/>
    <m/>
    <n v="250900"/>
    <x v="5"/>
    <d v="2025-08-29T00:00:00"/>
    <d v="2025-09-11T00:00:00"/>
    <n v="2205116"/>
  </r>
  <r>
    <s v="0424"/>
    <s v="V"/>
    <x v="1"/>
    <x v="1"/>
    <x v="1"/>
    <s v="A"/>
    <m/>
    <n v="250877"/>
    <x v="5"/>
    <d v="2025-08-29T00:00:00"/>
    <d v="2025-09-11T00:00:00"/>
    <n v="3549600"/>
  </r>
  <r>
    <s v="0425"/>
    <s v="V"/>
    <x v="1"/>
    <x v="1"/>
    <x v="1"/>
    <s v="A"/>
    <m/>
    <n v="250902"/>
    <x v="5"/>
    <d v="2025-08-29T00:00:00"/>
    <d v="2025-09-11T00:00:00"/>
    <n v="8175600"/>
  </r>
  <r>
    <s v="0426"/>
    <s v="V"/>
    <x v="1"/>
    <x v="1"/>
    <x v="1"/>
    <s v="A"/>
    <m/>
    <n v="250876"/>
    <x v="5"/>
    <d v="2025-08-29T00:00:00"/>
    <d v="2025-09-11T00:00:00"/>
    <n v="9532600"/>
  </r>
  <r>
    <s v="0427"/>
    <s v="V"/>
    <x v="1"/>
    <x v="1"/>
    <x v="1"/>
    <s v="A"/>
    <m/>
    <n v="250899"/>
    <x v="5"/>
    <d v="2025-08-30T00:00:00"/>
    <d v="2025-09-11T00:00:00"/>
    <n v="985500"/>
  </r>
  <r>
    <s v="0428"/>
    <s v="V"/>
    <x v="1"/>
    <x v="1"/>
    <x v="1"/>
    <s v="A"/>
    <m/>
    <n v="250895"/>
    <x v="5"/>
    <d v="2025-08-30T00:00:00"/>
    <d v="2025-09-11T00:00:00"/>
    <n v="2155000"/>
  </r>
  <r>
    <s v="0429"/>
    <s v="V"/>
    <x v="1"/>
    <x v="1"/>
    <x v="1"/>
    <s v="A"/>
    <m/>
    <n v="250898"/>
    <x v="5"/>
    <d v="2025-08-30T00:00:00"/>
    <d v="2025-09-11T00:00:00"/>
    <n v="3418800"/>
  </r>
  <r>
    <s v="0430"/>
    <s v="V"/>
    <x v="1"/>
    <x v="1"/>
    <x v="1"/>
    <s v="A"/>
    <m/>
    <n v="250897"/>
    <x v="5"/>
    <d v="2025-08-30T00:00:00"/>
    <d v="2025-09-11T00:00:00"/>
    <n v="21748600"/>
  </r>
  <r>
    <s v="0431"/>
    <s v="V"/>
    <x v="1"/>
    <x v="1"/>
    <x v="1"/>
    <s v="A"/>
    <m/>
    <n v="251128"/>
    <x v="5"/>
    <d v="2025-10-31T00:00:00"/>
    <d v="2025-11-11T00:00:00"/>
    <n v="49111349"/>
  </r>
  <r>
    <s v="0432"/>
    <s v="V"/>
    <x v="1"/>
    <x v="1"/>
    <x v="1"/>
    <s v="A"/>
    <m/>
    <m/>
    <x v="5"/>
    <m/>
    <m/>
    <n v="-1558550"/>
  </r>
  <r>
    <s v="0433"/>
    <s v="V"/>
    <x v="1"/>
    <x v="1"/>
    <x v="1"/>
    <s v="A"/>
    <m/>
    <n v="251129"/>
    <x v="5"/>
    <d v="2025-10-31T00:00:00"/>
    <d v="2025-11-11T00:00:00"/>
    <n v="3178596"/>
  </r>
  <r>
    <s v="0434"/>
    <s v="V"/>
    <x v="1"/>
    <x v="1"/>
    <x v="1"/>
    <s v="A"/>
    <m/>
    <n v="251127"/>
    <x v="5"/>
    <d v="2025-10-31T00:00:00"/>
    <d v="2025-11-11T00:00:00"/>
    <n v="2931577"/>
  </r>
  <r>
    <s v="0435"/>
    <s v="V"/>
    <x v="1"/>
    <x v="1"/>
    <x v="1"/>
    <s v="A"/>
    <m/>
    <n v="251133"/>
    <x v="5"/>
    <d v="2025-10-31T00:00:00"/>
    <d v="2025-11-11T00:00:00"/>
    <n v="1764900"/>
  </r>
  <r>
    <s v="0436"/>
    <s v="V"/>
    <x v="1"/>
    <x v="1"/>
    <x v="1"/>
    <s v="A"/>
    <m/>
    <n v="251131"/>
    <x v="5"/>
    <d v="2025-10-31T00:00:00"/>
    <d v="2025-11-11T00:00:00"/>
    <n v="6150001"/>
  </r>
  <r>
    <s v="0437"/>
    <s v="V"/>
    <x v="1"/>
    <x v="1"/>
    <x v="1"/>
    <s v="A"/>
    <m/>
    <n v="251130"/>
    <x v="5"/>
    <d v="2025-10-31T00:00:00"/>
    <d v="2025-11-11T00:00:00"/>
    <n v="3020000"/>
  </r>
  <r>
    <s v="0438"/>
    <s v="V"/>
    <x v="1"/>
    <x v="1"/>
    <x v="1"/>
    <s v="A"/>
    <m/>
    <n v="251132"/>
    <x v="5"/>
    <d v="2025-10-31T00:00:00"/>
    <d v="2025-11-11T00:00:00"/>
    <n v="802001"/>
  </r>
  <r>
    <s v="0439"/>
    <s v="V"/>
    <x v="1"/>
    <x v="1"/>
    <x v="1"/>
    <s v="A"/>
    <m/>
    <n v="251157"/>
    <x v="5"/>
    <d v="2025-10-31T00:00:00"/>
    <d v="2025-11-11T00:00:00"/>
    <n v="1740000"/>
  </r>
  <r>
    <s v="0440"/>
    <s v="V"/>
    <x v="1"/>
    <x v="1"/>
    <x v="1"/>
    <s v="A"/>
    <m/>
    <n v="251155"/>
    <x v="5"/>
    <d v="2025-10-31T00:00:00"/>
    <d v="2025-11-11T00:00:00"/>
    <n v="1740000"/>
  </r>
  <r>
    <s v="0441"/>
    <s v="V"/>
    <x v="1"/>
    <x v="1"/>
    <x v="1"/>
    <s v="A"/>
    <m/>
    <n v="251154"/>
    <x v="5"/>
    <d v="2025-10-31T00:00:00"/>
    <d v="2025-11-11T00:00:00"/>
    <n v="19964000"/>
  </r>
  <r>
    <s v="0442"/>
    <s v="V"/>
    <x v="1"/>
    <x v="1"/>
    <x v="1"/>
    <s v="A"/>
    <m/>
    <n v="251160"/>
    <x v="5"/>
    <d v="2025-10-31T00:00:00"/>
    <d v="2025-11-11T00:00:00"/>
    <n v="17075500"/>
  </r>
  <r>
    <s v="0443"/>
    <s v="V"/>
    <x v="1"/>
    <x v="1"/>
    <x v="1"/>
    <s v="A"/>
    <m/>
    <n v="251158"/>
    <x v="5"/>
    <d v="2025-10-31T00:00:00"/>
    <d v="2025-11-11T00:00:00"/>
    <n v="2250015"/>
  </r>
  <r>
    <s v="0444"/>
    <s v="V"/>
    <x v="1"/>
    <x v="1"/>
    <x v="1"/>
    <s v="A"/>
    <m/>
    <n v="251159"/>
    <x v="5"/>
    <d v="2025-10-31T00:00:00"/>
    <d v="2025-11-11T00:00:00"/>
    <n v="11352499"/>
  </r>
  <r>
    <s v="0445"/>
    <s v="V"/>
    <x v="1"/>
    <x v="1"/>
    <x v="1"/>
    <s v="A"/>
    <m/>
    <n v="251156"/>
    <x v="5"/>
    <d v="2025-10-31T00:00:00"/>
    <d v="2025-11-11T00:00:00"/>
    <n v="1160000"/>
  </r>
  <r>
    <s v="0446"/>
    <s v="V"/>
    <x v="1"/>
    <x v="1"/>
    <x v="1"/>
    <s v="A"/>
    <m/>
    <n v="251324"/>
    <x v="5"/>
    <d v="2025-12-30T00:00:00"/>
    <d v="2026-01-08T00:00:00"/>
    <n v="7795500"/>
  </r>
  <r>
    <s v="0447"/>
    <s v="V"/>
    <x v="1"/>
    <x v="1"/>
    <x v="1"/>
    <s v="A"/>
    <m/>
    <n v="251322"/>
    <x v="5"/>
    <d v="2025-12-30T00:00:00"/>
    <d v="2026-01-08T00:00:00"/>
    <n v="19354000"/>
  </r>
  <r>
    <s v="0448"/>
    <s v="V"/>
    <x v="1"/>
    <x v="1"/>
    <x v="1"/>
    <s v="A"/>
    <m/>
    <n v="251318"/>
    <x v="5"/>
    <d v="2025-12-30T00:00:00"/>
    <d v="2026-01-08T00:00:00"/>
    <n v="14414500"/>
  </r>
  <r>
    <s v="0449"/>
    <s v="V"/>
    <x v="1"/>
    <x v="1"/>
    <x v="1"/>
    <s v="A"/>
    <m/>
    <n v="251317"/>
    <x v="5"/>
    <d v="2025-12-30T00:00:00"/>
    <d v="2026-01-08T00:00:00"/>
    <n v="8306969"/>
  </r>
  <r>
    <s v="0450"/>
    <s v="V"/>
    <x v="1"/>
    <x v="1"/>
    <x v="1"/>
    <s v="A"/>
    <m/>
    <n v="251319"/>
    <x v="5"/>
    <d v="2025-12-30T00:00:00"/>
    <d v="2026-01-08T00:00:00"/>
    <n v="6199200"/>
  </r>
  <r>
    <s v="0451"/>
    <s v="V"/>
    <x v="1"/>
    <x v="1"/>
    <x v="1"/>
    <s v="A"/>
    <m/>
    <n v="251314"/>
    <x v="5"/>
    <d v="2025-12-30T00:00:00"/>
    <d v="2026-01-08T00:00:00"/>
    <n v="21098000"/>
  </r>
  <r>
    <s v="0452"/>
    <s v="V"/>
    <x v="1"/>
    <x v="1"/>
    <x v="1"/>
    <s v="A"/>
    <m/>
    <n v="251321"/>
    <x v="5"/>
    <d v="2025-12-30T00:00:00"/>
    <d v="2026-01-08T00:00:00"/>
    <n v="2144520"/>
  </r>
  <r>
    <s v="0453"/>
    <s v="V"/>
    <x v="1"/>
    <x v="1"/>
    <x v="1"/>
    <s v="A"/>
    <m/>
    <n v="251320"/>
    <x v="5"/>
    <d v="2025-12-30T00:00:00"/>
    <d v="2026-01-08T00:00:00"/>
    <n v="196200"/>
  </r>
  <r>
    <s v="0454"/>
    <s v="V"/>
    <x v="1"/>
    <x v="1"/>
    <x v="1"/>
    <s v="A"/>
    <m/>
    <n v="251316"/>
    <x v="5"/>
    <d v="2025-12-30T00:00:00"/>
    <d v="2026-01-08T00:00:00"/>
    <n v="16405700"/>
  </r>
  <r>
    <s v="0455"/>
    <s v="V"/>
    <x v="1"/>
    <x v="1"/>
    <x v="1"/>
    <s v="A"/>
    <m/>
    <n v="251315"/>
    <x v="5"/>
    <d v="2025-12-30T00:00:00"/>
    <d v="2026-01-08T00:00:00"/>
    <n v="15270000"/>
  </r>
  <r>
    <s v="0456"/>
    <s v="V"/>
    <x v="2"/>
    <x v="1"/>
    <x v="1"/>
    <s v="A"/>
    <m/>
    <n v="260156"/>
    <x v="5"/>
    <d v="2026-03-02T00:00:00"/>
    <d v="2026-03-14T00:00:00"/>
    <n v="726000"/>
  </r>
  <r>
    <s v="0457"/>
    <s v="V"/>
    <x v="2"/>
    <x v="1"/>
    <x v="1"/>
    <s v="A"/>
    <m/>
    <n v="260153"/>
    <x v="5"/>
    <d v="2026-02-28T00:00:00"/>
    <d v="2026-03-14T00:00:00"/>
    <n v="82168119"/>
  </r>
  <r>
    <s v="0458"/>
    <s v="V"/>
    <x v="2"/>
    <x v="1"/>
    <x v="1"/>
    <s v="A"/>
    <m/>
    <n v="260155"/>
    <x v="5"/>
    <d v="2026-02-28T00:00:00"/>
    <d v="2026-03-14T00:00:00"/>
    <n v="4310000"/>
  </r>
  <r>
    <s v="0459"/>
    <s v="V"/>
    <x v="2"/>
    <x v="1"/>
    <x v="1"/>
    <s v="A"/>
    <m/>
    <n v="260151"/>
    <x v="5"/>
    <d v="2026-02-28T00:00:00"/>
    <d v="2026-03-14T00:00:00"/>
    <n v="255300"/>
  </r>
  <r>
    <s v="0460"/>
    <s v="V"/>
    <x v="2"/>
    <x v="1"/>
    <x v="1"/>
    <s v="A"/>
    <m/>
    <n v="260152"/>
    <x v="5"/>
    <d v="2026-02-28T00:00:00"/>
    <d v="2026-03-14T00:00:00"/>
    <n v="1925400"/>
  </r>
  <r>
    <s v="0461"/>
    <s v="V"/>
    <x v="2"/>
    <x v="1"/>
    <x v="1"/>
    <s v="A"/>
    <m/>
    <n v="260172"/>
    <x v="5"/>
    <d v="2026-03-12T00:00:00"/>
    <d v="2026-04-02T00:00:00"/>
    <n v="2664000"/>
  </r>
  <r>
    <s v="0462"/>
    <s v="V"/>
    <x v="2"/>
    <x v="1"/>
    <x v="1"/>
    <s v="A"/>
    <m/>
    <n v="260174"/>
    <x v="5"/>
    <d v="2026-03-13T00:00:00"/>
    <d v="2026-04-02T00:00:00"/>
    <n v="303030"/>
  </r>
  <r>
    <s v="0463"/>
    <s v="V"/>
    <x v="2"/>
    <x v="1"/>
    <x v="1"/>
    <s v="A"/>
    <m/>
    <n v="260197"/>
    <x v="5"/>
    <d v="2026-03-31T00:00:00"/>
    <d v="2026-04-14T00:00:00"/>
    <n v="4062759"/>
  </r>
  <r>
    <s v="0464"/>
    <s v="V"/>
    <x v="2"/>
    <x v="1"/>
    <x v="1"/>
    <s v="A"/>
    <m/>
    <n v="260263"/>
    <x v="5"/>
    <d v="2026-04-30T00:00:00"/>
    <d v="2026-05-21T00:00:00"/>
    <n v="249750"/>
  </r>
  <r>
    <s v="0465"/>
    <s v="V"/>
    <x v="2"/>
    <x v="1"/>
    <x v="1"/>
    <s v="A"/>
    <m/>
    <n v="260261"/>
    <x v="5"/>
    <d v="2026-04-30T00:00:00"/>
    <d v="2026-05-21T00:00:00"/>
    <n v="3684440"/>
  </r>
  <r>
    <s v="0466"/>
    <s v="V"/>
    <x v="2"/>
    <x v="1"/>
    <x v="1"/>
    <s v="A"/>
    <m/>
    <n v="260258"/>
    <x v="5"/>
    <d v="2026-04-30T00:00:00"/>
    <d v="2026-05-21T00:00:00"/>
    <n v="3461400"/>
  </r>
  <r>
    <s v="0467"/>
    <s v="V"/>
    <x v="2"/>
    <x v="1"/>
    <x v="1"/>
    <s v="A"/>
    <m/>
    <n v="260262"/>
    <x v="5"/>
    <d v="2026-04-30T00:00:00"/>
    <d v="2026-05-21T00:00:00"/>
    <n v="392401"/>
  </r>
  <r>
    <s v="0467"/>
    <s v="V"/>
    <x v="2"/>
    <x v="1"/>
    <x v="1"/>
    <s v="A"/>
    <m/>
    <n v="260272"/>
    <x v="5"/>
    <d v="2026-05-08T00:00:00"/>
    <d v="2026-06-02T00:00:00"/>
    <n v="6958850"/>
  </r>
  <r>
    <s v="0467"/>
    <s v="V"/>
    <x v="2"/>
    <x v="1"/>
    <x v="1"/>
    <s v="A"/>
    <m/>
    <n v="260273"/>
    <x v="5"/>
    <d v="2026-05-08T00:00:00"/>
    <d v="2026-06-02T00:00:00"/>
    <n v="7870471"/>
  </r>
  <r>
    <s v="0467"/>
    <s v="V"/>
    <x v="2"/>
    <x v="1"/>
    <x v="1"/>
    <s v="A"/>
    <m/>
    <n v="260271"/>
    <x v="5"/>
    <d v="2026-05-08T00:00:00"/>
    <d v="2026-06-02T00:00:00"/>
    <n v="4081000"/>
  </r>
  <r>
    <s v="0467"/>
    <s v="V"/>
    <x v="2"/>
    <x v="1"/>
    <x v="1"/>
    <s v="A"/>
    <m/>
    <n v="260280"/>
    <x v="5"/>
    <d v="2026-05-13T00:00:00"/>
    <d v="2026-06-02T00:00:00"/>
    <n v="42218500"/>
  </r>
  <r>
    <s v="0467"/>
    <s v="V"/>
    <x v="2"/>
    <x v="1"/>
    <x v="1"/>
    <s v="A"/>
    <m/>
    <n v="260301"/>
    <x v="5"/>
    <d v="2026-05-22T00:00:00"/>
    <d v="2026-06-11T00:00:00"/>
    <n v="24087375"/>
  </r>
  <r>
    <s v="0467"/>
    <s v="V"/>
    <x v="2"/>
    <x v="1"/>
    <x v="1"/>
    <s v="A"/>
    <m/>
    <n v="260304"/>
    <x v="5"/>
    <d v="2026-05-23T00:00:00"/>
    <d v="2026-06-11T00:00:00"/>
    <n v="1536000"/>
  </r>
  <r>
    <s v="0467"/>
    <s v="V"/>
    <x v="2"/>
    <x v="1"/>
    <x v="1"/>
    <s v="A"/>
    <m/>
    <n v="260305"/>
    <x v="5"/>
    <d v="2026-05-26T00:00:00"/>
    <d v="2026-06-11T00:00:00"/>
    <n v="2181181"/>
  </r>
  <r>
    <s v="0467"/>
    <s v="V"/>
    <x v="2"/>
    <x v="1"/>
    <x v="1"/>
    <s v="A"/>
    <m/>
    <n v="260306"/>
    <x v="5"/>
    <d v="2026-05-25T00:00:00"/>
    <d v="2026-06-11T00:00:00"/>
    <n v="837159"/>
  </r>
  <r>
    <s v="0467"/>
    <s v="V"/>
    <x v="2"/>
    <x v="1"/>
    <x v="1"/>
    <s v="A"/>
    <m/>
    <n v="260315"/>
    <x v="5"/>
    <d v="2026-05-30T00:00:00"/>
    <d v="2026-06-11T00:00:00"/>
    <n v="4320209"/>
  </r>
  <r>
    <s v="0467"/>
    <s v="V"/>
    <x v="2"/>
    <x v="1"/>
    <x v="1"/>
    <s v="A"/>
    <m/>
    <n v="260316"/>
    <x v="5"/>
    <d v="2026-05-30T00:00:00"/>
    <d v="2026-06-11T00:00:00"/>
    <n v="3850800"/>
  </r>
  <r>
    <s v="0467"/>
    <s v="V"/>
    <x v="2"/>
    <x v="2"/>
    <x v="1"/>
    <s v="A"/>
    <m/>
    <n v="260370"/>
    <x v="5"/>
    <d v="2026-06-19T00:00:00"/>
    <d v="2026-07-07T00:00:00"/>
    <n v="392400"/>
  </r>
  <r>
    <s v="0467"/>
    <s v="V"/>
    <x v="2"/>
    <x v="2"/>
    <x v="1"/>
    <s v="A"/>
    <m/>
    <n v="260371"/>
    <x v="5"/>
    <d v="2026-06-19T00:00:00"/>
    <d v="2026-07-07T00:00:00"/>
    <n v="11065240"/>
  </r>
  <r>
    <s v="0467"/>
    <s v="V"/>
    <x v="2"/>
    <x v="2"/>
    <x v="1"/>
    <s v="A"/>
    <m/>
    <n v="260369"/>
    <x v="5"/>
    <d v="2026-06-19T00:00:00"/>
    <d v="2026-07-07T00:00:00"/>
    <n v="14576794"/>
  </r>
  <r>
    <s v="0467"/>
    <s v="V"/>
    <x v="2"/>
    <x v="2"/>
    <x v="1"/>
    <s v="A"/>
    <m/>
    <n v="260416"/>
    <x v="5"/>
    <d v="2026-06-30T00:00:00"/>
    <d v="2026-07-23T00:00:00"/>
    <n v="17270455"/>
  </r>
  <r>
    <s v="0468"/>
    <s v="V"/>
    <x v="0"/>
    <x v="0"/>
    <x v="0"/>
    <m/>
    <m/>
    <m/>
    <x v="0"/>
    <m/>
    <m/>
    <m/>
  </r>
  <r>
    <s v="0469"/>
    <s v="V"/>
    <x v="0"/>
    <x v="0"/>
    <x v="0"/>
    <m/>
    <m/>
    <m/>
    <x v="0"/>
    <m/>
    <m/>
    <m/>
  </r>
  <r>
    <s v="0470"/>
    <s v="V"/>
    <x v="0"/>
    <x v="0"/>
    <x v="0"/>
    <m/>
    <s v="X"/>
    <s v="ARATA PARASOLUSI, PT"/>
    <x v="0"/>
    <m/>
    <m/>
    <n v="0"/>
  </r>
  <r>
    <s v="0471"/>
    <s v="V"/>
    <x v="0"/>
    <x v="0"/>
    <x v="0"/>
    <m/>
    <m/>
    <m/>
    <x v="0"/>
    <m/>
    <m/>
    <m/>
  </r>
  <r>
    <s v="0472"/>
    <s v="V"/>
    <x v="0"/>
    <x v="0"/>
    <x v="0"/>
    <m/>
    <m/>
    <m/>
    <x v="0"/>
    <m/>
    <m/>
    <m/>
  </r>
  <r>
    <s v="0473"/>
    <s v="V"/>
    <x v="0"/>
    <x v="0"/>
    <x v="0"/>
    <m/>
    <s v="X"/>
    <s v="BINA SAN PRIMA, PT"/>
    <x v="0"/>
    <m/>
    <m/>
    <n v="874438929"/>
  </r>
  <r>
    <s v="0499"/>
    <s v="V"/>
    <x v="1"/>
    <x v="1"/>
    <x v="1"/>
    <s v="A"/>
    <m/>
    <n v="250040"/>
    <x v="6"/>
    <d v="2025-01-09T00:00:00"/>
    <d v="2025-01-23T00:00:00"/>
    <n v="249750"/>
  </r>
  <r>
    <s v="0500"/>
    <s v="V"/>
    <x v="1"/>
    <x v="1"/>
    <x v="1"/>
    <s v="A"/>
    <m/>
    <n v="250041"/>
    <x v="6"/>
    <d v="2025-01-09T00:00:00"/>
    <d v="2025-01-23T00:00:00"/>
    <n v="290820"/>
  </r>
  <r>
    <s v="0501"/>
    <s v="V"/>
    <x v="1"/>
    <x v="1"/>
    <x v="1"/>
    <s v="A"/>
    <m/>
    <n v="250038"/>
    <x v="6"/>
    <d v="2025-01-09T00:00:00"/>
    <d v="2025-01-23T00:00:00"/>
    <n v="272672"/>
  </r>
  <r>
    <s v="0502"/>
    <s v="V"/>
    <x v="1"/>
    <x v="1"/>
    <x v="1"/>
    <s v="A"/>
    <m/>
    <n v="250039"/>
    <x v="6"/>
    <d v="2025-01-09T00:00:00"/>
    <d v="2025-01-23T00:00:00"/>
    <n v="15682802"/>
  </r>
  <r>
    <s v="0503"/>
    <s v="V"/>
    <x v="1"/>
    <x v="1"/>
    <x v="1"/>
    <s v="A"/>
    <m/>
    <n v="250037"/>
    <x v="6"/>
    <d v="2025-01-10T00:00:00"/>
    <d v="2025-02-08T00:00:00"/>
    <n v="36252095"/>
  </r>
  <r>
    <s v="0504"/>
    <s v="V"/>
    <x v="1"/>
    <x v="1"/>
    <x v="1"/>
    <s v="A"/>
    <m/>
    <n v="250037"/>
    <x v="6"/>
    <d v="2025-01-10T00:00:00"/>
    <d v="2025-02-08T00:00:00"/>
    <n v="-21934897"/>
  </r>
  <r>
    <s v="0505"/>
    <s v="V"/>
    <x v="1"/>
    <x v="1"/>
    <x v="1"/>
    <s v="A"/>
    <m/>
    <n v="250037"/>
    <x v="6"/>
    <d v="2025-01-10T00:00:00"/>
    <d v="2025-02-08T00:00:00"/>
    <n v="21934897"/>
  </r>
  <r>
    <s v="0506"/>
    <s v="V"/>
    <x v="1"/>
    <x v="1"/>
    <x v="1"/>
    <s v="A"/>
    <m/>
    <n v="250036"/>
    <x v="6"/>
    <d v="2025-01-11T00:00:00"/>
    <d v="2025-02-08T00:00:00"/>
    <n v="5494500"/>
  </r>
  <r>
    <s v="0507"/>
    <s v="V"/>
    <x v="1"/>
    <x v="1"/>
    <x v="1"/>
    <s v="A"/>
    <m/>
    <n v="250069"/>
    <x v="6"/>
    <d v="2025-01-17T00:00:00"/>
    <d v="2025-02-08T00:00:00"/>
    <n v="1163003"/>
  </r>
  <r>
    <s v="0508"/>
    <s v="V"/>
    <x v="1"/>
    <x v="1"/>
    <x v="1"/>
    <s v="A"/>
    <m/>
    <n v="250082"/>
    <x v="6"/>
    <d v="2025-01-18T00:00:00"/>
    <d v="2025-02-08T00:00:00"/>
    <n v="2641800"/>
  </r>
  <r>
    <s v="0509"/>
    <s v="V"/>
    <x v="1"/>
    <x v="1"/>
    <x v="1"/>
    <s v="A"/>
    <m/>
    <n v="250083"/>
    <x v="6"/>
    <d v="2025-01-17T00:00:00"/>
    <d v="2025-02-08T00:00:00"/>
    <n v="13580626"/>
  </r>
  <r>
    <s v="0510"/>
    <s v="V"/>
    <x v="1"/>
    <x v="1"/>
    <x v="1"/>
    <s v="A"/>
    <m/>
    <n v="250094"/>
    <x v="6"/>
    <d v="2025-01-22T00:00:00"/>
    <d v="2025-02-08T00:00:00"/>
    <n v="910246"/>
  </r>
  <r>
    <s v="0511"/>
    <s v="V"/>
    <x v="1"/>
    <x v="1"/>
    <x v="1"/>
    <s v="A"/>
    <m/>
    <n v="250112"/>
    <x v="6"/>
    <d v="2025-01-31T00:00:00"/>
    <d v="2025-02-08T00:00:00"/>
    <n v="22671469"/>
  </r>
  <r>
    <s v="0512"/>
    <s v="V"/>
    <x v="1"/>
    <x v="1"/>
    <x v="1"/>
    <s v="A"/>
    <m/>
    <n v="250094"/>
    <x v="6"/>
    <d v="2025-01-31T00:00:00"/>
    <d v="2025-02-08T00:00:00"/>
    <n v="6118300"/>
  </r>
  <r>
    <s v="0513"/>
    <s v="V"/>
    <x v="1"/>
    <x v="1"/>
    <x v="1"/>
    <s v="A"/>
    <m/>
    <n v="250094"/>
    <x v="6"/>
    <d v="2025-01-31T00:00:00"/>
    <d v="2025-02-08T00:00:00"/>
    <n v="186147"/>
  </r>
  <r>
    <s v="0514"/>
    <s v="V"/>
    <x v="1"/>
    <x v="1"/>
    <x v="1"/>
    <s v="A"/>
    <m/>
    <n v="250094"/>
    <x v="6"/>
    <d v="2025-01-31T00:00:00"/>
    <d v="2025-02-08T00:00:00"/>
    <n v="7348811"/>
  </r>
  <r>
    <s v="0515"/>
    <s v="V"/>
    <x v="1"/>
    <x v="1"/>
    <x v="1"/>
    <s v="A"/>
    <m/>
    <n v="250094"/>
    <x v="6"/>
    <d v="2025-01-31T00:00:00"/>
    <d v="2025-02-08T00:00:00"/>
    <n v="647241"/>
  </r>
  <r>
    <s v="0516"/>
    <s v="V"/>
    <x v="1"/>
    <x v="1"/>
    <x v="1"/>
    <s v="A"/>
    <m/>
    <n v="250143"/>
    <x v="6"/>
    <d v="2025-02-05T00:00:00"/>
    <d v="2025-02-15T00:00:00"/>
    <n v="598845"/>
  </r>
  <r>
    <s v="0517"/>
    <s v="V"/>
    <x v="1"/>
    <x v="1"/>
    <x v="1"/>
    <s v="A"/>
    <m/>
    <n v="250248"/>
    <x v="6"/>
    <d v="2025-02-27T00:00:00"/>
    <d v="2025-03-04T00:00:00"/>
    <n v="366300"/>
  </r>
  <r>
    <s v="0518"/>
    <s v="V"/>
    <x v="1"/>
    <x v="1"/>
    <x v="1"/>
    <s v="A"/>
    <m/>
    <n v="250247"/>
    <x v="6"/>
    <d v="2025-02-27T00:00:00"/>
    <d v="2025-03-04T00:00:00"/>
    <n v="894072"/>
  </r>
  <r>
    <s v="0519"/>
    <s v="V"/>
    <x v="1"/>
    <x v="1"/>
    <x v="1"/>
    <s v="A"/>
    <m/>
    <n v="250249"/>
    <x v="6"/>
    <d v="2025-02-27T00:00:00"/>
    <d v="2025-03-04T00:00:00"/>
    <n v="272672"/>
  </r>
  <r>
    <s v="0520"/>
    <s v="V"/>
    <x v="1"/>
    <x v="1"/>
    <x v="1"/>
    <s v="A"/>
    <m/>
    <n v="250232"/>
    <x v="6"/>
    <d v="2025-02-27T00:00:00"/>
    <d v="2025-03-04T00:00:00"/>
    <n v="4078866"/>
  </r>
  <r>
    <s v="0521"/>
    <s v="V"/>
    <x v="1"/>
    <x v="1"/>
    <x v="1"/>
    <s v="A"/>
    <m/>
    <n v="250231"/>
    <x v="6"/>
    <d v="2025-02-27T00:00:00"/>
    <d v="2025-03-04T00:00:00"/>
    <n v="2039433"/>
  </r>
  <r>
    <s v="0522"/>
    <s v="V"/>
    <x v="1"/>
    <x v="1"/>
    <x v="1"/>
    <s v="A"/>
    <m/>
    <n v="250246"/>
    <x v="6"/>
    <d v="2025-02-27T00:00:00"/>
    <d v="2025-03-04T00:00:00"/>
    <n v="11229703.5"/>
  </r>
  <r>
    <s v="0523"/>
    <s v="V"/>
    <x v="1"/>
    <x v="1"/>
    <x v="1"/>
    <s v="A"/>
    <m/>
    <n v="250246"/>
    <x v="6"/>
    <d v="2025-02-27T00:00:00"/>
    <d v="2025-03-04T00:00:00"/>
    <n v="11229703.5"/>
  </r>
  <r>
    <s v="0524"/>
    <s v="V"/>
    <x v="1"/>
    <x v="1"/>
    <x v="1"/>
    <s v="A"/>
    <m/>
    <n v="250244"/>
    <x v="6"/>
    <d v="2025-02-27T00:00:00"/>
    <d v="2025-03-04T00:00:00"/>
    <n v="9193020"/>
  </r>
  <r>
    <s v="0525"/>
    <s v="V"/>
    <x v="1"/>
    <x v="1"/>
    <x v="1"/>
    <s v="A"/>
    <m/>
    <n v="250245"/>
    <x v="6"/>
    <d v="2025-02-28T00:00:00"/>
    <d v="2025-03-06T00:00:00"/>
    <n v="144300"/>
  </r>
  <r>
    <s v="0526"/>
    <s v="V"/>
    <x v="1"/>
    <x v="1"/>
    <x v="1"/>
    <s v="A"/>
    <m/>
    <n v="250292"/>
    <x v="6"/>
    <d v="2025-02-28T00:00:00"/>
    <d v="2025-03-06T00:00:00"/>
    <n v="6737822"/>
  </r>
  <r>
    <s v="0527"/>
    <s v="V"/>
    <x v="1"/>
    <x v="1"/>
    <x v="1"/>
    <s v="A"/>
    <m/>
    <n v="250402"/>
    <x v="6"/>
    <d v="2025-03-21T00:00:00"/>
    <d v="2025-03-27T00:00:00"/>
    <n v="18176783"/>
  </r>
  <r>
    <s v="0528"/>
    <s v="V"/>
    <x v="1"/>
    <x v="1"/>
    <x v="1"/>
    <s v="A"/>
    <m/>
    <n v="250400"/>
    <x v="6"/>
    <d v="2025-03-21T00:00:00"/>
    <d v="2025-03-27T00:00:00"/>
    <n v="860805"/>
  </r>
  <r>
    <s v="0529"/>
    <s v="V"/>
    <x v="1"/>
    <x v="1"/>
    <x v="1"/>
    <s v="A"/>
    <m/>
    <n v="250397"/>
    <x v="6"/>
    <d v="2025-03-21T00:00:00"/>
    <d v="2025-03-27T00:00:00"/>
    <n v="23707713"/>
  </r>
  <r>
    <s v="0530"/>
    <s v="V"/>
    <x v="1"/>
    <x v="1"/>
    <x v="1"/>
    <s v="A"/>
    <m/>
    <n v="250399"/>
    <x v="6"/>
    <d v="2025-03-22T00:00:00"/>
    <d v="2025-03-27T00:00:00"/>
    <n v="5785320"/>
  </r>
  <r>
    <s v="0531"/>
    <s v="V"/>
    <x v="1"/>
    <x v="1"/>
    <x v="1"/>
    <s v="A"/>
    <m/>
    <n v="250398"/>
    <x v="6"/>
    <d v="2025-03-22T00:00:00"/>
    <d v="2025-03-27T00:00:00"/>
    <n v="598845"/>
  </r>
  <r>
    <s v="0532"/>
    <s v="V"/>
    <x v="1"/>
    <x v="1"/>
    <x v="1"/>
    <s v="A"/>
    <m/>
    <n v="250375"/>
    <x v="6"/>
    <d v="2025-03-28T00:00:00"/>
    <d v="2025-04-12T00:00:00"/>
    <n v="2039433"/>
  </r>
  <r>
    <s v="0533"/>
    <s v="V"/>
    <x v="1"/>
    <x v="1"/>
    <x v="1"/>
    <s v="A"/>
    <m/>
    <n v="250504"/>
    <x v="6"/>
    <d v="2025-04-30T00:00:00"/>
    <d v="2025-05-13T00:00:00"/>
    <n v="6118300"/>
  </r>
  <r>
    <s v="0534"/>
    <s v="V"/>
    <x v="1"/>
    <x v="1"/>
    <x v="1"/>
    <s v="A"/>
    <m/>
    <n v="250492"/>
    <x v="6"/>
    <d v="2025-04-30T00:00:00"/>
    <d v="2025-05-13T00:00:00"/>
    <n v="37063610"/>
  </r>
  <r>
    <s v="0535"/>
    <s v="V"/>
    <x v="1"/>
    <x v="1"/>
    <x v="1"/>
    <s v="A"/>
    <m/>
    <n v="250625"/>
    <x v="6"/>
    <d v="2025-06-20T00:00:00"/>
    <d v="2025-06-28T00:00:00"/>
    <n v="45441957"/>
  </r>
  <r>
    <s v="0536"/>
    <s v="V"/>
    <x v="1"/>
    <x v="1"/>
    <x v="1"/>
    <s v="A"/>
    <m/>
    <n v="250626"/>
    <x v="6"/>
    <d v="2025-06-20T00:00:00"/>
    <d v="2025-06-28T00:00:00"/>
    <n v="5494500"/>
  </r>
  <r>
    <s v="0537"/>
    <s v="V"/>
    <x v="1"/>
    <x v="1"/>
    <x v="1"/>
    <s v="A"/>
    <m/>
    <n v="250618"/>
    <x v="6"/>
    <d v="2025-06-25T00:00:00"/>
    <d v="2025-06-28T00:00:00"/>
    <n v="45256587"/>
  </r>
  <r>
    <s v="0538"/>
    <s v="V"/>
    <x v="1"/>
    <x v="1"/>
    <x v="1"/>
    <s v="A"/>
    <m/>
    <n v="250651"/>
    <x v="6"/>
    <d v="2025-06-25T00:00:00"/>
    <d v="2025-06-28T00:00:00"/>
    <n v="409007"/>
  </r>
  <r>
    <s v="0539"/>
    <s v="V"/>
    <x v="1"/>
    <x v="1"/>
    <x v="1"/>
    <s v="A"/>
    <m/>
    <n v="250645"/>
    <x v="6"/>
    <d v="2025-06-30T00:00:00"/>
    <d v="2025-07-10T00:00:00"/>
    <n v="6118300"/>
  </r>
  <r>
    <s v="0540"/>
    <s v="V"/>
    <x v="1"/>
    <x v="1"/>
    <x v="1"/>
    <s v="A"/>
    <m/>
    <n v="250722"/>
    <x v="6"/>
    <d v="2025-07-25T00:00:00"/>
    <d v="2025-07-31T00:00:00"/>
    <n v="524863"/>
  </r>
  <r>
    <s v="0541"/>
    <s v="V"/>
    <x v="1"/>
    <x v="1"/>
    <x v="1"/>
    <s v="A"/>
    <m/>
    <n v="250723"/>
    <x v="6"/>
    <d v="2025-07-25T00:00:00"/>
    <d v="2025-07-31T00:00:00"/>
    <n v="45223468"/>
  </r>
  <r>
    <s v="0542"/>
    <s v="V"/>
    <x v="1"/>
    <x v="1"/>
    <x v="1"/>
    <s v="A"/>
    <m/>
    <n v="250721"/>
    <x v="6"/>
    <d v="2025-07-25T00:00:00"/>
    <d v="2025-07-31T00:00:00"/>
    <n v="2208123"/>
  </r>
  <r>
    <s v="0543"/>
    <s v="V"/>
    <x v="1"/>
    <x v="1"/>
    <x v="1"/>
    <s v="A"/>
    <m/>
    <n v="250728"/>
    <x v="6"/>
    <d v="2025-07-29T00:00:00"/>
    <d v="2025-08-05T00:00:00"/>
    <n v="22448912"/>
  </r>
  <r>
    <s v="0544"/>
    <s v="V"/>
    <x v="1"/>
    <x v="1"/>
    <x v="1"/>
    <s v="A"/>
    <m/>
    <n v="250756"/>
    <x v="6"/>
    <d v="2025-07-30T00:00:00"/>
    <d v="2025-08-07T00:00:00"/>
    <n v="4917300"/>
  </r>
  <r>
    <s v="0545"/>
    <s v="V"/>
    <x v="1"/>
    <x v="1"/>
    <x v="1"/>
    <s v="A"/>
    <m/>
    <n v="250757"/>
    <x v="6"/>
    <d v="2025-07-31T00:00:00"/>
    <d v="2025-08-07T00:00:00"/>
    <n v="18393322"/>
  </r>
  <r>
    <s v="0546"/>
    <s v="V"/>
    <x v="1"/>
    <x v="1"/>
    <x v="1"/>
    <s v="A"/>
    <m/>
    <n v="251003"/>
    <x v="6"/>
    <d v="2025-09-30T00:00:00"/>
    <d v="2025-10-07T00:00:00"/>
    <n v="913188"/>
  </r>
  <r>
    <s v="0547"/>
    <s v="V"/>
    <x v="1"/>
    <x v="1"/>
    <x v="1"/>
    <s v="A"/>
    <m/>
    <n v="250999"/>
    <x v="6"/>
    <d v="2025-09-30T00:00:00"/>
    <d v="2025-10-07T00:00:00"/>
    <n v="4162500"/>
  </r>
  <r>
    <s v="0548"/>
    <s v="V"/>
    <x v="1"/>
    <x v="1"/>
    <x v="1"/>
    <s v="A"/>
    <m/>
    <n v="250994"/>
    <x v="6"/>
    <d v="2025-09-30T00:00:00"/>
    <d v="2025-10-07T00:00:00"/>
    <n v="77086137"/>
  </r>
  <r>
    <s v="0549"/>
    <s v="V"/>
    <x v="1"/>
    <x v="1"/>
    <x v="1"/>
    <s v="A"/>
    <m/>
    <n v="251000"/>
    <x v="6"/>
    <d v="2025-09-30T00:00:00"/>
    <d v="2025-10-07T00:00:00"/>
    <n v="676545"/>
  </r>
  <r>
    <s v="0550"/>
    <s v="V"/>
    <x v="1"/>
    <x v="1"/>
    <x v="1"/>
    <s v="A"/>
    <m/>
    <n v="251005"/>
    <x v="6"/>
    <d v="2025-09-30T00:00:00"/>
    <d v="2025-10-07T00:00:00"/>
    <n v="7725045"/>
  </r>
  <r>
    <s v="0551"/>
    <s v="V"/>
    <x v="1"/>
    <x v="1"/>
    <x v="1"/>
    <s v="A"/>
    <m/>
    <n v="251004"/>
    <x v="6"/>
    <d v="2025-09-30T00:00:00"/>
    <d v="2025-10-07T00:00:00"/>
    <n v="13769106"/>
  </r>
  <r>
    <s v="0552"/>
    <s v="V"/>
    <x v="1"/>
    <x v="1"/>
    <x v="1"/>
    <s v="A"/>
    <m/>
    <n v="250995"/>
    <x v="6"/>
    <d v="2025-09-30T00:00:00"/>
    <d v="2025-10-07T00:00:00"/>
    <n v="8979565"/>
  </r>
  <r>
    <s v="0553"/>
    <s v="V"/>
    <x v="1"/>
    <x v="1"/>
    <x v="1"/>
    <s v="A"/>
    <m/>
    <n v="250998"/>
    <x v="6"/>
    <d v="2025-09-30T00:00:00"/>
    <d v="2025-10-07T00:00:00"/>
    <n v="388500"/>
  </r>
  <r>
    <s v="0554"/>
    <s v="V"/>
    <x v="1"/>
    <x v="1"/>
    <x v="1"/>
    <s v="A"/>
    <m/>
    <n v="251001"/>
    <x v="6"/>
    <d v="2025-09-30T00:00:00"/>
    <d v="2025-10-07T00:00:00"/>
    <n v="5785320"/>
  </r>
  <r>
    <s v="0555"/>
    <s v="V"/>
    <x v="1"/>
    <x v="1"/>
    <x v="1"/>
    <s v="A"/>
    <m/>
    <n v="251122"/>
    <x v="6"/>
    <d v="2025-10-28T00:00:00"/>
    <d v="2025-11-04T00:00:00"/>
    <n v="11224456"/>
  </r>
  <r>
    <s v="0556"/>
    <s v="V"/>
    <x v="1"/>
    <x v="1"/>
    <x v="1"/>
    <s v="A"/>
    <m/>
    <n v="251121"/>
    <x v="6"/>
    <d v="2025-10-28T00:00:00"/>
    <d v="2025-11-04T00:00:00"/>
    <n v="11495826"/>
  </r>
  <r>
    <s v="0557"/>
    <s v="V"/>
    <x v="1"/>
    <x v="1"/>
    <x v="1"/>
    <s v="A"/>
    <m/>
    <n v="251224"/>
    <x v="6"/>
    <d v="2025-11-29T00:00:00"/>
    <d v="2025-12-04T00:00:00"/>
    <n v="4983900"/>
  </r>
  <r>
    <s v="0558"/>
    <s v="V"/>
    <x v="1"/>
    <x v="1"/>
    <x v="1"/>
    <s v="A"/>
    <m/>
    <n v="251219"/>
    <x v="6"/>
    <d v="2025-11-29T00:00:00"/>
    <d v="2025-12-04T00:00:00"/>
    <n v="144300"/>
  </r>
  <r>
    <s v="0559"/>
    <s v="V"/>
    <x v="1"/>
    <x v="1"/>
    <x v="1"/>
    <s v="A"/>
    <m/>
    <n v="251218"/>
    <x v="6"/>
    <d v="2025-11-29T00:00:00"/>
    <d v="2025-12-04T00:00:00"/>
    <n v="366300"/>
  </r>
  <r>
    <s v="0560"/>
    <s v="V"/>
    <x v="1"/>
    <x v="1"/>
    <x v="1"/>
    <s v="A"/>
    <m/>
    <n v="251221"/>
    <x v="6"/>
    <d v="2025-11-29T00:00:00"/>
    <d v="2025-12-04T00:00:00"/>
    <n v="4427957"/>
  </r>
  <r>
    <s v="0561"/>
    <s v="V"/>
    <x v="1"/>
    <x v="1"/>
    <x v="1"/>
    <s v="A"/>
    <m/>
    <n v="251220"/>
    <x v="6"/>
    <d v="2025-11-29T00:00:00"/>
    <d v="2025-12-04T00:00:00"/>
    <n v="22888644"/>
  </r>
  <r>
    <s v="0562"/>
    <s v="V"/>
    <x v="1"/>
    <x v="1"/>
    <x v="1"/>
    <s v="A"/>
    <m/>
    <n v="251222"/>
    <x v="6"/>
    <d v="2025-11-29T00:00:00"/>
    <d v="2025-12-04T00:00:00"/>
    <n v="598845"/>
  </r>
  <r>
    <s v="0563"/>
    <s v="V"/>
    <x v="1"/>
    <x v="1"/>
    <x v="1"/>
    <s v="A"/>
    <m/>
    <n v="251223"/>
    <x v="6"/>
    <d v="2025-11-29T00:00:00"/>
    <d v="2025-12-04T00:00:00"/>
    <n v="38629907"/>
  </r>
  <r>
    <s v="0564"/>
    <s v="V"/>
    <x v="2"/>
    <x v="1"/>
    <x v="1"/>
    <s v="A"/>
    <m/>
    <n v="260028"/>
    <x v="6"/>
    <d v="2026-01-22T00:00:00"/>
    <d v="2026-01-27T00:00:00"/>
    <n v="38243827"/>
  </r>
  <r>
    <s v="0564"/>
    <s v="V"/>
    <x v="2"/>
    <x v="2"/>
    <x v="1"/>
    <s v="A"/>
    <m/>
    <n v="260028"/>
    <x v="6"/>
    <d v="2026-01-22T00:00:00"/>
    <d v="2026-01-27T00:00:00"/>
    <n v="100000000"/>
  </r>
  <r>
    <s v="0565"/>
    <s v="V"/>
    <x v="2"/>
    <x v="2"/>
    <x v="1"/>
    <s v="A"/>
    <m/>
    <n v="260029"/>
    <x v="6"/>
    <d v="2026-01-22T00:00:00"/>
    <d v="2026-01-27T00:00:00"/>
    <n v="366300"/>
  </r>
  <r>
    <s v="0566"/>
    <s v="V"/>
    <x v="2"/>
    <x v="2"/>
    <x v="1"/>
    <s v="A"/>
    <m/>
    <n v="260030"/>
    <x v="6"/>
    <d v="2026-01-22T00:00:00"/>
    <d v="2026-01-27T00:00:00"/>
    <n v="3989618"/>
  </r>
  <r>
    <s v="0567"/>
    <s v="V"/>
    <x v="2"/>
    <x v="2"/>
    <x v="1"/>
    <s v="A"/>
    <m/>
    <n v="260032"/>
    <x v="6"/>
    <d v="2026-01-22T00:00:00"/>
    <d v="2026-01-27T00:00:00"/>
    <n v="199800"/>
  </r>
  <r>
    <s v="0568"/>
    <s v="V"/>
    <x v="2"/>
    <x v="2"/>
    <x v="1"/>
    <s v="A"/>
    <m/>
    <n v="260037"/>
    <x v="6"/>
    <d v="2026-01-22T00:00:00"/>
    <d v="2026-01-27T00:00:00"/>
    <n v="2036295"/>
  </r>
  <r>
    <s v="0569"/>
    <s v="V"/>
    <x v="2"/>
    <x v="2"/>
    <x v="1"/>
    <s v="A"/>
    <m/>
    <n v="260099"/>
    <x v="6"/>
    <d v="2026-01-30T00:00:00"/>
    <d v="2026-02-05T00:00:00"/>
    <n v="7599060"/>
  </r>
  <r>
    <s v="0570"/>
    <s v="V"/>
    <x v="2"/>
    <x v="2"/>
    <x v="1"/>
    <s v="A"/>
    <m/>
    <n v="260066"/>
    <x v="6"/>
    <d v="2026-01-30T00:00:00"/>
    <d v="2026-02-05T00:00:00"/>
    <n v="5190249"/>
  </r>
  <r>
    <s v="0571"/>
    <s v="V"/>
    <x v="2"/>
    <x v="2"/>
    <x v="1"/>
    <s v="A"/>
    <m/>
    <n v="260067"/>
    <x v="6"/>
    <d v="2026-01-30T00:00:00"/>
    <d v="2026-02-05T00:00:00"/>
    <n v="27648766"/>
  </r>
  <r>
    <s v="0572"/>
    <s v="V"/>
    <x v="2"/>
    <x v="2"/>
    <x v="1"/>
    <s v="A"/>
    <m/>
    <n v="260100"/>
    <x v="6"/>
    <d v="2026-01-31T00:00:00"/>
    <d v="2026-02-12T00:00:00"/>
    <n v="9174297"/>
  </r>
  <r>
    <s v="0573"/>
    <s v="V"/>
    <x v="2"/>
    <x v="2"/>
    <x v="1"/>
    <s v="A"/>
    <m/>
    <n v="260065"/>
    <x v="6"/>
    <d v="2026-01-31T00:00:00"/>
    <d v="2026-02-12T00:00:00"/>
    <n v="7557102"/>
  </r>
  <r>
    <s v="0573"/>
    <s v="V"/>
    <x v="2"/>
    <x v="2"/>
    <x v="1"/>
    <s v="A"/>
    <m/>
    <n v="260330"/>
    <x v="6"/>
    <d v="2026-05-30T00:00:00"/>
    <d v="2026-06-11T00:00:00"/>
    <n v="1395746"/>
  </r>
  <r>
    <s v="0573"/>
    <s v="V"/>
    <x v="2"/>
    <x v="2"/>
    <x v="1"/>
    <s v="A"/>
    <m/>
    <n v="260409"/>
    <x v="6"/>
    <d v="2026-06-26T00:00:00"/>
    <d v="2026-07-02T00:00:00"/>
    <n v="1217409"/>
  </r>
  <r>
    <s v="0573"/>
    <s v="V"/>
    <x v="2"/>
    <x v="2"/>
    <x v="1"/>
    <s v="A"/>
    <m/>
    <n v="260490"/>
    <x v="6"/>
    <d v="2026-07-17T00:00:00"/>
    <d v="2026-07-21T00:00:00"/>
    <n v="4492252"/>
  </r>
  <r>
    <s v="0574"/>
    <s v="V"/>
    <x v="0"/>
    <x v="0"/>
    <x v="0"/>
    <m/>
    <m/>
    <m/>
    <x v="0"/>
    <m/>
    <m/>
    <m/>
  </r>
  <r>
    <s v="0575"/>
    <s v="V"/>
    <x v="0"/>
    <x v="0"/>
    <x v="0"/>
    <m/>
    <m/>
    <m/>
    <x v="0"/>
    <m/>
    <m/>
    <m/>
  </r>
  <r>
    <s v="0576"/>
    <s v="V"/>
    <x v="0"/>
    <x v="0"/>
    <x v="0"/>
    <m/>
    <s v="X"/>
    <s v="BORNEO ETAM MANDIRI"/>
    <x v="0"/>
    <m/>
    <m/>
    <n v="0"/>
  </r>
  <r>
    <s v="0577"/>
    <s v="V"/>
    <x v="0"/>
    <x v="0"/>
    <x v="0"/>
    <m/>
    <m/>
    <m/>
    <x v="0"/>
    <m/>
    <m/>
    <m/>
  </r>
  <r>
    <s v="0578"/>
    <s v="V"/>
    <x v="0"/>
    <x v="0"/>
    <x v="0"/>
    <m/>
    <m/>
    <m/>
    <x v="0"/>
    <m/>
    <m/>
    <m/>
  </r>
  <r>
    <s v="0579"/>
    <s v="V"/>
    <x v="0"/>
    <x v="0"/>
    <x v="0"/>
    <m/>
    <s v="X"/>
    <s v="BORNEO SENTRAL"/>
    <x v="0"/>
    <m/>
    <m/>
    <n v="777000"/>
  </r>
  <r>
    <s v="0580"/>
    <s v="V"/>
    <x v="3"/>
    <x v="1"/>
    <x v="1"/>
    <s v="A"/>
    <m/>
    <n v="242554"/>
    <x v="7"/>
    <d v="2024-12-24T00:00:00"/>
    <d v="2025-01-18T00:00:00"/>
    <n v="310800"/>
  </r>
  <r>
    <s v="0581"/>
    <s v="V"/>
    <x v="1"/>
    <x v="1"/>
    <x v="1"/>
    <s v="A"/>
    <m/>
    <n v="250051"/>
    <x v="7"/>
    <d v="2025-01-15T00:00:00"/>
    <d v="2025-02-18T00:00:00"/>
    <n v="466200"/>
  </r>
  <r>
    <s v="0582"/>
    <s v="V"/>
    <x v="0"/>
    <x v="0"/>
    <x v="0"/>
    <m/>
    <m/>
    <m/>
    <x v="0"/>
    <m/>
    <m/>
    <m/>
  </r>
  <r>
    <s v="0583"/>
    <s v="V"/>
    <x v="0"/>
    <x v="0"/>
    <x v="0"/>
    <m/>
    <m/>
    <m/>
    <x v="0"/>
    <m/>
    <m/>
    <m/>
  </r>
  <r>
    <s v="0584"/>
    <s v="V"/>
    <x v="0"/>
    <x v="0"/>
    <x v="0"/>
    <m/>
    <s v="X"/>
    <s v="BUANA INTI PRIMA USAHA"/>
    <x v="0"/>
    <m/>
    <m/>
    <n v="115791234"/>
  </r>
  <r>
    <s v="0629"/>
    <s v="V"/>
    <x v="1"/>
    <x v="1"/>
    <x v="1"/>
    <s v="A"/>
    <m/>
    <n v="250028"/>
    <x v="8"/>
    <d v="2025-01-03T00:00:00"/>
    <d v="2025-02-04T00:00:00"/>
    <n v="6569153"/>
  </r>
  <r>
    <s v="0630"/>
    <s v="V"/>
    <x v="1"/>
    <x v="1"/>
    <x v="1"/>
    <s v="A"/>
    <m/>
    <n v="250029"/>
    <x v="8"/>
    <d v="2025-01-08T00:00:00"/>
    <d v="2025-02-04T00:00:00"/>
    <n v="300978"/>
  </r>
  <r>
    <s v="0631"/>
    <s v="V"/>
    <x v="1"/>
    <x v="1"/>
    <x v="1"/>
    <s v="A"/>
    <m/>
    <n v="250030"/>
    <x v="8"/>
    <d v="2025-01-10T00:00:00"/>
    <d v="2025-02-04T00:00:00"/>
    <n v="483321"/>
  </r>
  <r>
    <s v="0632"/>
    <s v="V"/>
    <x v="1"/>
    <x v="1"/>
    <x v="1"/>
    <s v="A"/>
    <m/>
    <n v="250057"/>
    <x v="8"/>
    <d v="2025-01-16T00:00:00"/>
    <d v="2025-02-04T00:00:00"/>
    <n v="3559237"/>
  </r>
  <r>
    <s v="0633"/>
    <s v="V"/>
    <x v="1"/>
    <x v="1"/>
    <x v="1"/>
    <s v="A"/>
    <m/>
    <n v="250080"/>
    <x v="8"/>
    <d v="2025-01-20T00:00:00"/>
    <d v="2025-02-18T00:00:00"/>
    <n v="1482272"/>
  </r>
  <r>
    <s v="0634"/>
    <s v="V"/>
    <x v="1"/>
    <x v="1"/>
    <x v="1"/>
    <s v="A"/>
    <m/>
    <n v="250096"/>
    <x v="8"/>
    <d v="2025-01-22T00:00:00"/>
    <d v="2025-02-18T00:00:00"/>
    <n v="858660"/>
  </r>
  <r>
    <s v="0635"/>
    <s v="V"/>
    <x v="1"/>
    <x v="1"/>
    <x v="1"/>
    <s v="A"/>
    <m/>
    <n v="250138"/>
    <x v="8"/>
    <d v="2025-01-30T00:00:00"/>
    <d v="2025-02-18T00:00:00"/>
    <n v="1131732"/>
  </r>
  <r>
    <s v="0636"/>
    <s v="V"/>
    <x v="1"/>
    <x v="1"/>
    <x v="1"/>
    <s v="A"/>
    <m/>
    <n v="250186"/>
    <x v="8"/>
    <d v="2025-02-18T00:00:00"/>
    <d v="2025-03-18T00:00:00"/>
    <n v="1857507"/>
  </r>
  <r>
    <s v="0637"/>
    <s v="V"/>
    <x v="1"/>
    <x v="1"/>
    <x v="1"/>
    <s v="A"/>
    <m/>
    <n v="250353"/>
    <x v="8"/>
    <d v="2025-02-19T00:00:00"/>
    <d v="2025-03-18T00:00:00"/>
    <n v="1803423"/>
  </r>
  <r>
    <s v="0638"/>
    <s v="V"/>
    <x v="1"/>
    <x v="1"/>
    <x v="1"/>
    <s v="A"/>
    <m/>
    <n v="250297"/>
    <x v="8"/>
    <d v="2025-02-25T00:00:00"/>
    <d v="2025-03-18T00:00:00"/>
    <n v="512072"/>
  </r>
  <r>
    <s v="0639"/>
    <s v="V"/>
    <x v="1"/>
    <x v="1"/>
    <x v="1"/>
    <s v="A"/>
    <m/>
    <n v="250296"/>
    <x v="8"/>
    <d v="2025-03-06T00:00:00"/>
    <d v="2025-05-06T00:00:00"/>
    <n v="321737"/>
  </r>
  <r>
    <s v="0640"/>
    <s v="V"/>
    <x v="1"/>
    <x v="1"/>
    <x v="1"/>
    <s v="A"/>
    <m/>
    <n v="250295"/>
    <x v="8"/>
    <d v="2025-03-06T00:00:00"/>
    <d v="2025-05-06T00:00:00"/>
    <n v="577422"/>
  </r>
  <r>
    <s v="0641"/>
    <s v="V"/>
    <x v="1"/>
    <x v="1"/>
    <x v="1"/>
    <s v="A"/>
    <m/>
    <n v="250353"/>
    <x v="8"/>
    <d v="2025-03-19T00:00:00"/>
    <d v="2025-05-06T00:00:00"/>
    <n v="1803824"/>
  </r>
  <r>
    <s v="0642"/>
    <s v="V"/>
    <x v="1"/>
    <x v="1"/>
    <x v="1"/>
    <s v="A"/>
    <m/>
    <n v="250298"/>
    <x v="8"/>
    <d v="2025-03-03T00:00:00"/>
    <d v="2025-05-08T00:00:00"/>
    <n v="2015327"/>
  </r>
  <r>
    <s v="0643"/>
    <s v="V"/>
    <x v="1"/>
    <x v="1"/>
    <x v="1"/>
    <s v="A"/>
    <m/>
    <n v="250280"/>
    <x v="8"/>
    <d v="2025-03-05T00:00:00"/>
    <d v="2025-05-08T00:00:00"/>
    <n v="419814"/>
  </r>
  <r>
    <s v="0644"/>
    <s v="V"/>
    <x v="1"/>
    <x v="1"/>
    <x v="1"/>
    <s v="A"/>
    <m/>
    <n v="250381"/>
    <x v="8"/>
    <d v="2025-03-20T00:00:00"/>
    <d v="2025-05-28T00:00:00"/>
    <n v="470001"/>
  </r>
  <r>
    <s v="0645"/>
    <s v="V"/>
    <x v="1"/>
    <x v="1"/>
    <x v="1"/>
    <s v="A"/>
    <m/>
    <n v="250371"/>
    <x v="8"/>
    <d v="2025-03-26T00:00:00"/>
    <d v="2025-05-06T00:00:00"/>
    <n v="4909066"/>
  </r>
  <r>
    <s v="0646"/>
    <s v="V"/>
    <x v="1"/>
    <x v="1"/>
    <x v="1"/>
    <s v="A"/>
    <m/>
    <n v="250377"/>
    <x v="8"/>
    <d v="2025-03-26T00:00:00"/>
    <d v="2025-05-06T00:00:00"/>
    <n v="121405"/>
  </r>
  <r>
    <s v="0647"/>
    <s v="V"/>
    <x v="1"/>
    <x v="1"/>
    <x v="1"/>
    <s v="A"/>
    <m/>
    <n v="250372"/>
    <x v="8"/>
    <d v="2025-03-26T00:00:00"/>
    <d v="2025-05-06T00:00:00"/>
    <n v="1013855"/>
  </r>
  <r>
    <s v="0648"/>
    <s v="V"/>
    <x v="1"/>
    <x v="1"/>
    <x v="1"/>
    <s v="A"/>
    <m/>
    <n v="250414"/>
    <x v="8"/>
    <d v="2025-04-11T00:00:00"/>
    <d v="2025-05-06T00:00:00"/>
    <n v="2451454"/>
  </r>
  <r>
    <s v="0649"/>
    <s v="V"/>
    <x v="1"/>
    <x v="1"/>
    <x v="1"/>
    <s v="A"/>
    <m/>
    <n v="250455"/>
    <x v="8"/>
    <d v="2025-04-19T00:00:00"/>
    <d v="2025-05-28T00:00:00"/>
    <n v="337500"/>
  </r>
  <r>
    <s v="0650"/>
    <s v="V"/>
    <x v="1"/>
    <x v="1"/>
    <x v="1"/>
    <s v="A"/>
    <m/>
    <n v="250587"/>
    <x v="8"/>
    <d v="2025-06-05T00:00:00"/>
    <d v="2025-07-01T00:00:00"/>
    <n v="4863701"/>
  </r>
  <r>
    <s v="0651"/>
    <s v="V"/>
    <x v="1"/>
    <x v="1"/>
    <x v="1"/>
    <s v="A"/>
    <m/>
    <n v="250593"/>
    <x v="8"/>
    <d v="2025-06-09T00:00:00"/>
    <d v="2025-07-15T00:00:00"/>
    <n v="3523644"/>
  </r>
  <r>
    <s v="0652"/>
    <s v="V"/>
    <x v="1"/>
    <x v="1"/>
    <x v="1"/>
    <s v="A"/>
    <m/>
    <n v="250597"/>
    <x v="8"/>
    <d v="2025-06-11T00:00:00"/>
    <d v="2025-07-15T00:00:00"/>
    <n v="6636450"/>
  </r>
  <r>
    <s v="0653"/>
    <s v="V"/>
    <x v="1"/>
    <x v="1"/>
    <x v="1"/>
    <s v="A"/>
    <m/>
    <n v="250621"/>
    <x v="8"/>
    <d v="2025-06-20T00:00:00"/>
    <d v="2025-07-08T00:00:00"/>
    <n v="555000"/>
  </r>
  <r>
    <s v="0654"/>
    <s v="V"/>
    <x v="1"/>
    <x v="1"/>
    <x v="1"/>
    <s v="A"/>
    <m/>
    <n v="250616"/>
    <x v="8"/>
    <d v="2025-06-20T00:00:00"/>
    <d v="2025-07-15T00:00:00"/>
    <n v="3362279"/>
  </r>
  <r>
    <s v="0655"/>
    <s v="V"/>
    <x v="1"/>
    <x v="1"/>
    <x v="1"/>
    <s v="A"/>
    <m/>
    <n v="250628"/>
    <x v="8"/>
    <d v="2025-06-25T00:00:00"/>
    <d v="2025-07-08T00:00:00"/>
    <n v="525002"/>
  </r>
  <r>
    <s v="0656"/>
    <s v="V"/>
    <x v="1"/>
    <x v="1"/>
    <x v="1"/>
    <s v="A"/>
    <m/>
    <n v="250699"/>
    <x v="8"/>
    <d v="2025-07-17T00:00:00"/>
    <d v="2025-08-05T00:00:00"/>
    <n v="8773897"/>
  </r>
  <r>
    <s v="0657"/>
    <s v="V"/>
    <x v="1"/>
    <x v="1"/>
    <x v="1"/>
    <s v="A"/>
    <m/>
    <n v="250846"/>
    <x v="8"/>
    <d v="2025-08-22T00:00:00"/>
    <d v="2025-09-16T00:00:00"/>
    <n v="7324046"/>
  </r>
  <r>
    <s v="0658"/>
    <s v="V"/>
    <x v="1"/>
    <x v="1"/>
    <x v="1"/>
    <s v="A"/>
    <m/>
    <n v="250873"/>
    <x v="8"/>
    <d v="2025-08-28T00:00:00"/>
    <d v="2025-09-16T00:00:00"/>
    <n v="2395502"/>
  </r>
  <r>
    <s v="0659"/>
    <s v="V"/>
    <x v="1"/>
    <x v="1"/>
    <x v="1"/>
    <s v="A"/>
    <m/>
    <n v="250847"/>
    <x v="8"/>
    <d v="2025-08-22T00:00:00"/>
    <d v="2025-09-16T00:00:00"/>
    <n v="2000009"/>
  </r>
  <r>
    <s v="0660"/>
    <s v="V"/>
    <x v="1"/>
    <x v="1"/>
    <x v="1"/>
    <s v="A"/>
    <m/>
    <n v="250907"/>
    <x v="8"/>
    <d v="2025-09-02T00:00:00"/>
    <d v="2025-09-23T00:00:00"/>
    <n v="118498"/>
  </r>
  <r>
    <s v="0661"/>
    <s v="V"/>
    <x v="1"/>
    <x v="1"/>
    <x v="1"/>
    <s v="A"/>
    <m/>
    <n v="250906"/>
    <x v="8"/>
    <d v="2025-09-02T00:00:00"/>
    <d v="2025-09-23T00:00:00"/>
    <n v="1079999"/>
  </r>
  <r>
    <s v="0662"/>
    <s v="V"/>
    <x v="1"/>
    <x v="1"/>
    <x v="1"/>
    <s v="A"/>
    <m/>
    <n v="250916"/>
    <x v="8"/>
    <d v="2025-09-10T00:00:00"/>
    <d v="2025-10-02T00:00:00"/>
    <n v="1156327"/>
  </r>
  <r>
    <s v="0663"/>
    <s v="V"/>
    <x v="1"/>
    <x v="1"/>
    <x v="1"/>
    <s v="A"/>
    <m/>
    <n v="250933"/>
    <x v="8"/>
    <d v="2025-09-11T00:00:00"/>
    <d v="2025-10-02T00:00:00"/>
    <n v="210001"/>
  </r>
  <r>
    <s v="0664"/>
    <s v="V"/>
    <x v="1"/>
    <x v="1"/>
    <x v="1"/>
    <s v="A"/>
    <m/>
    <n v="251125"/>
    <x v="8"/>
    <d v="2025-10-30T00:00:00"/>
    <d v="2025-11-20T00:00:00"/>
    <n v="1375013"/>
  </r>
  <r>
    <s v="0665"/>
    <s v="V"/>
    <x v="1"/>
    <x v="1"/>
    <x v="1"/>
    <s v="A"/>
    <m/>
    <n v="251124"/>
    <x v="8"/>
    <d v="2025-10-30T00:00:00"/>
    <d v="2025-12-02T00:00:00"/>
    <n v="202342"/>
  </r>
  <r>
    <s v="0666"/>
    <s v="V"/>
    <x v="1"/>
    <x v="1"/>
    <x v="1"/>
    <s v="A"/>
    <m/>
    <n v="251126"/>
    <x v="8"/>
    <d v="2025-10-30T00:00:00"/>
    <d v="2025-12-02T00:00:00"/>
    <n v="9404303"/>
  </r>
  <r>
    <s v="0667"/>
    <s v="V"/>
    <x v="1"/>
    <x v="1"/>
    <x v="1"/>
    <s v="A"/>
    <m/>
    <n v="251151"/>
    <x v="8"/>
    <d v="2025-10-31T00:00:00"/>
    <d v="2025-12-02T00:00:00"/>
    <n v="546769"/>
  </r>
  <r>
    <s v="0668"/>
    <s v="V"/>
    <x v="1"/>
    <x v="1"/>
    <x v="1"/>
    <s v="A"/>
    <m/>
    <n v="251141"/>
    <x v="8"/>
    <d v="2025-11-03T00:00:00"/>
    <d v="2025-12-02T00:00:00"/>
    <n v="1367331"/>
  </r>
  <r>
    <s v="0669"/>
    <s v="V"/>
    <x v="1"/>
    <x v="1"/>
    <x v="1"/>
    <s v="A"/>
    <m/>
    <n v="251181"/>
    <x v="8"/>
    <d v="2025-11-11T00:00:00"/>
    <d v="2025-12-02T00:00:00"/>
    <n v="2300608"/>
  </r>
  <r>
    <s v="0670"/>
    <s v="V"/>
    <x v="1"/>
    <x v="1"/>
    <x v="1"/>
    <s v="A"/>
    <m/>
    <n v="251182"/>
    <x v="8"/>
    <d v="2025-11-11T00:00:00"/>
    <d v="2025-12-09T00:00:00"/>
    <n v="525002"/>
  </r>
  <r>
    <s v="0671"/>
    <s v="V"/>
    <x v="1"/>
    <x v="1"/>
    <x v="1"/>
    <s v="A"/>
    <m/>
    <n v="251184"/>
    <x v="8"/>
    <d v="2025-11-15T00:00:00"/>
    <d v="2025-12-02T00:00:00"/>
    <n v="1316574"/>
  </r>
  <r>
    <s v="0672"/>
    <s v="V"/>
    <x v="1"/>
    <x v="1"/>
    <x v="1"/>
    <s v="A"/>
    <m/>
    <n v="251207"/>
    <x v="9"/>
    <d v="2025-11-28T00:00:00"/>
    <d v="2025-12-23T00:00:00"/>
    <n v="879987"/>
  </r>
  <r>
    <s v="0673"/>
    <s v="V"/>
    <x v="1"/>
    <x v="1"/>
    <x v="1"/>
    <s v="A"/>
    <m/>
    <n v="251240"/>
    <x v="9"/>
    <d v="2025-12-03T00:00:00"/>
    <d v="2025-12-23T00:00:00"/>
    <n v="740588"/>
  </r>
  <r>
    <s v="0674"/>
    <s v="V"/>
    <x v="1"/>
    <x v="1"/>
    <x v="1"/>
    <s v="A"/>
    <m/>
    <n v="251241"/>
    <x v="9"/>
    <d v="2025-12-03T00:00:00"/>
    <d v="2025-12-23T00:00:00"/>
    <n v="960001"/>
  </r>
  <r>
    <s v="0675"/>
    <s v="V"/>
    <x v="1"/>
    <x v="1"/>
    <x v="1"/>
    <s v="A"/>
    <m/>
    <n v="251245"/>
    <x v="9"/>
    <d v="2025-12-05T00:00:00"/>
    <d v="2025-12-23T00:00:00"/>
    <n v="1079999"/>
  </r>
  <r>
    <s v="0676"/>
    <s v="V"/>
    <x v="1"/>
    <x v="1"/>
    <x v="1"/>
    <s v="A"/>
    <m/>
    <n v="251257"/>
    <x v="9"/>
    <d v="2025-12-11T00:00:00"/>
    <d v="2025-12-30T00:00:00"/>
    <n v="303996"/>
  </r>
  <r>
    <s v="0677"/>
    <s v="V"/>
    <x v="1"/>
    <x v="1"/>
    <x v="1"/>
    <s v="A"/>
    <m/>
    <n v="251291"/>
    <x v="9"/>
    <d v="2025-12-24T00:00:00"/>
    <d v="2026-01-15T00:00:00"/>
    <n v="2069998"/>
  </r>
  <r>
    <s v="0678"/>
    <s v="V"/>
    <x v="1"/>
    <x v="1"/>
    <x v="1"/>
    <s v="A"/>
    <m/>
    <n v="251289"/>
    <x v="9"/>
    <d v="2025-12-24T00:00:00"/>
    <d v="2026-01-27T00:00:00"/>
    <n v="1576733"/>
  </r>
  <r>
    <s v="0679"/>
    <s v="V"/>
    <x v="1"/>
    <x v="1"/>
    <x v="1"/>
    <s v="A"/>
    <m/>
    <n v="251293"/>
    <x v="9"/>
    <d v="2025-12-26T00:00:00"/>
    <d v="2026-01-27T00:00:00"/>
    <n v="1469620"/>
  </r>
  <r>
    <s v="0680"/>
    <s v="V"/>
    <x v="1"/>
    <x v="1"/>
    <x v="1"/>
    <s v="A"/>
    <m/>
    <n v="251292"/>
    <x v="9"/>
    <d v="2025-12-26T00:00:00"/>
    <d v="2026-02-19T00:00:00"/>
    <n v="1799998"/>
  </r>
  <r>
    <s v="0681"/>
    <s v="V"/>
    <x v="2"/>
    <x v="1"/>
    <x v="1"/>
    <s v="A"/>
    <m/>
    <n v="260167"/>
    <x v="9"/>
    <d v="2026-03-10T00:00:00"/>
    <d v="2026-03-31T00:00:00"/>
    <n v="2902267"/>
  </r>
  <r>
    <s v="0682"/>
    <s v="V"/>
    <x v="2"/>
    <x v="1"/>
    <x v="1"/>
    <s v="A"/>
    <m/>
    <n v="260166"/>
    <x v="9"/>
    <d v="2026-03-10T00:00:00"/>
    <d v="2026-04-09T00:00:00"/>
    <n v="450000"/>
  </r>
  <r>
    <s v="0683"/>
    <s v="V"/>
    <x v="2"/>
    <x v="1"/>
    <x v="1"/>
    <s v="A"/>
    <m/>
    <n v="260165"/>
    <x v="9"/>
    <d v="2026-03-10T00:00:00"/>
    <d v="2026-04-09T00:00:00"/>
    <n v="2799997"/>
  </r>
  <r>
    <s v="0684"/>
    <s v="V"/>
    <x v="2"/>
    <x v="1"/>
    <x v="1"/>
    <s v="A"/>
    <m/>
    <n v="260170"/>
    <x v="9"/>
    <d v="2026-03-11T00:00:00"/>
    <d v="2026-04-09T00:00:00"/>
    <n v="2159998"/>
  </r>
  <r>
    <s v="0684"/>
    <s v="V"/>
    <x v="2"/>
    <x v="2"/>
    <x v="1"/>
    <s v="A"/>
    <m/>
    <n v="260372"/>
    <x v="9"/>
    <d v="2026-06-17T00:00:00"/>
    <d v="2026-07-23T00:00:00"/>
    <n v="3955058"/>
  </r>
  <r>
    <s v="0684"/>
    <s v="V"/>
    <x v="2"/>
    <x v="2"/>
    <x v="1"/>
    <s v="A"/>
    <m/>
    <n v="260373"/>
    <x v="9"/>
    <d v="2026-06-17T00:00:00"/>
    <d v="2026-07-23T00:00:00"/>
    <n v="80937"/>
  </r>
  <r>
    <s v="0685"/>
    <s v="V"/>
    <x v="0"/>
    <x v="0"/>
    <x v="0"/>
    <m/>
    <m/>
    <m/>
    <x v="0"/>
    <m/>
    <m/>
    <m/>
  </r>
  <r>
    <s v="0686"/>
    <s v="V"/>
    <x v="0"/>
    <x v="0"/>
    <x v="0"/>
    <m/>
    <m/>
    <m/>
    <x v="0"/>
    <m/>
    <m/>
    <m/>
  </r>
  <r>
    <s v="0687"/>
    <s v="V"/>
    <x v="0"/>
    <x v="0"/>
    <x v="0"/>
    <m/>
    <s v="X"/>
    <s v="CAB DENTAL, PT"/>
    <x v="0"/>
    <m/>
    <m/>
    <n v="1776000"/>
  </r>
  <r>
    <s v="0688"/>
    <s v="V"/>
    <x v="1"/>
    <x v="1"/>
    <x v="1"/>
    <s v="A"/>
    <m/>
    <n v="250351"/>
    <x v="10"/>
    <d v="2025-03-07T00:00:00"/>
    <d v="2025-03-20T00:00:00"/>
    <n v="1776000"/>
  </r>
  <r>
    <s v="0689"/>
    <s v="V"/>
    <x v="0"/>
    <x v="0"/>
    <x v="0"/>
    <m/>
    <m/>
    <m/>
    <x v="0"/>
    <m/>
    <m/>
    <m/>
  </r>
  <r>
    <s v="0690"/>
    <s v="V"/>
    <x v="0"/>
    <x v="0"/>
    <x v="0"/>
    <m/>
    <m/>
    <m/>
    <x v="0"/>
    <m/>
    <m/>
    <m/>
  </r>
  <r>
    <s v="0691"/>
    <s v="V"/>
    <x v="0"/>
    <x v="0"/>
    <x v="0"/>
    <m/>
    <s v="X"/>
    <s v="CAHAYA SINTESA FARMA, PT"/>
    <x v="0"/>
    <m/>
    <m/>
    <n v="372560"/>
  </r>
  <r>
    <s v="0692"/>
    <s v="V"/>
    <x v="3"/>
    <x v="1"/>
    <x v="1"/>
    <s v="A"/>
    <m/>
    <n v="242060"/>
    <x v="11"/>
    <d v="2024-09-27T00:00:00"/>
    <d v="2024-10-24T00:00:00"/>
    <n v="155000"/>
  </r>
  <r>
    <s v="0693"/>
    <s v="V"/>
    <x v="3"/>
    <x v="1"/>
    <x v="1"/>
    <s v="A"/>
    <m/>
    <n v="242059"/>
    <x v="11"/>
    <d v="2024-09-27T00:00:00"/>
    <d v="2024-10-24T00:00:00"/>
    <n v="217560"/>
  </r>
  <r>
    <s v="0694"/>
    <s v="V"/>
    <x v="0"/>
    <x v="0"/>
    <x v="0"/>
    <m/>
    <m/>
    <m/>
    <x v="0"/>
    <m/>
    <m/>
    <m/>
  </r>
  <r>
    <s v="0695"/>
    <s v="V"/>
    <x v="0"/>
    <x v="0"/>
    <x v="0"/>
    <m/>
    <m/>
    <m/>
    <x v="0"/>
    <m/>
    <m/>
    <m/>
  </r>
  <r>
    <s v="0696"/>
    <s v="V"/>
    <x v="0"/>
    <x v="0"/>
    <x v="0"/>
    <m/>
    <s v="X"/>
    <s v="CARENDRA ALKESINDO LESTARI, CV"/>
    <x v="0"/>
    <m/>
    <m/>
    <n v="10655445"/>
  </r>
  <r>
    <s v="0702"/>
    <s v="V"/>
    <x v="1"/>
    <x v="1"/>
    <x v="1"/>
    <s v="A"/>
    <m/>
    <n v="250060"/>
    <x v="12"/>
    <d v="2025-01-17T00:00:00"/>
    <d v="2025-02-04T00:00:00"/>
    <n v="424575"/>
  </r>
  <r>
    <s v="0703"/>
    <s v="V"/>
    <x v="1"/>
    <x v="1"/>
    <x v="1"/>
    <s v="A"/>
    <m/>
    <n v="250171"/>
    <x v="12"/>
    <d v="2025-02-15T00:00:00"/>
    <d v="2025-03-04T00:00:00"/>
    <n v="1703850"/>
  </r>
  <r>
    <s v="0704"/>
    <s v="V"/>
    <x v="1"/>
    <x v="1"/>
    <x v="1"/>
    <s v="A"/>
    <m/>
    <n v="250320"/>
    <x v="12"/>
    <d v="2025-03-05T00:00:00"/>
    <d v="2025-04-08T00:00:00"/>
    <n v="166500"/>
  </r>
  <r>
    <s v="0705"/>
    <s v="V"/>
    <x v="1"/>
    <x v="1"/>
    <x v="1"/>
    <s v="A"/>
    <m/>
    <n v="250320"/>
    <x v="12"/>
    <d v="2025-05-21T00:00:00"/>
    <d v="2025-06-21T00:00:00"/>
    <n v="815850"/>
  </r>
  <r>
    <s v="0706"/>
    <s v="V"/>
    <x v="1"/>
    <x v="1"/>
    <x v="1"/>
    <s v="A"/>
    <m/>
    <n v="250320"/>
    <x v="12"/>
    <d v="2025-05-28T00:00:00"/>
    <d v="2025-06-21T00:00:00"/>
    <n v="1007325"/>
  </r>
  <r>
    <s v="0707"/>
    <s v="V"/>
    <x v="1"/>
    <x v="1"/>
    <x v="1"/>
    <s v="A"/>
    <m/>
    <n v="250623"/>
    <x v="12"/>
    <d v="2025-06-25T00:00:00"/>
    <d v="2025-07-29T00:00:00"/>
    <n v="2156175"/>
  </r>
  <r>
    <s v="0708"/>
    <s v="V"/>
    <x v="1"/>
    <x v="1"/>
    <x v="1"/>
    <s v="A"/>
    <m/>
    <n v="250658"/>
    <x v="12"/>
    <d v="2025-07-04T00:00:00"/>
    <d v="2025-07-29T00:00:00"/>
    <n v="233100"/>
  </r>
  <r>
    <s v="0709"/>
    <s v="V"/>
    <x v="1"/>
    <x v="1"/>
    <x v="1"/>
    <s v="A"/>
    <m/>
    <n v="250838"/>
    <x v="12"/>
    <d v="2025-08-21T00:00:00"/>
    <d v="2025-09-23T00:00:00"/>
    <n v="649350"/>
  </r>
  <r>
    <s v="0710"/>
    <s v="V"/>
    <x v="1"/>
    <x v="1"/>
    <x v="1"/>
    <s v="A"/>
    <m/>
    <n v="250842"/>
    <x v="12"/>
    <d v="2025-08-22T00:00:00"/>
    <d v="2025-09-23T00:00:00"/>
    <n v="333000"/>
  </r>
  <r>
    <s v="0711"/>
    <s v="V"/>
    <x v="1"/>
    <x v="1"/>
    <x v="1"/>
    <s v="A"/>
    <m/>
    <n v="250894"/>
    <x v="12"/>
    <d v="2025-09-03T00:00:00"/>
    <d v="2025-10-18T00:00:00"/>
    <n v="299700"/>
  </r>
  <r>
    <s v="0712"/>
    <s v="V"/>
    <x v="1"/>
    <x v="2"/>
    <x v="1"/>
    <s v="A"/>
    <m/>
    <n v="251259"/>
    <x v="12"/>
    <d v="2025-12-12T00:00:00"/>
    <d v="2026-01-10T00:00:00"/>
    <n v="509490"/>
  </r>
  <r>
    <s v="0713"/>
    <s v="V"/>
    <x v="2"/>
    <x v="2"/>
    <x v="1"/>
    <s v="A"/>
    <m/>
    <n v="260033"/>
    <x v="12"/>
    <d v="2026-01-26T00:00:00"/>
    <d v="2026-02-19T00:00:00"/>
    <n v="1505160"/>
  </r>
  <r>
    <s v="0714"/>
    <s v="V"/>
    <x v="2"/>
    <x v="2"/>
    <x v="1"/>
    <s v="A"/>
    <m/>
    <n v="260190"/>
    <x v="12"/>
    <d v="2026-03-31T00:00:00"/>
    <d v="2026-04-18T00:00:00"/>
    <n v="673770"/>
  </r>
  <r>
    <s v="0715"/>
    <s v="V"/>
    <x v="2"/>
    <x v="2"/>
    <x v="1"/>
    <s v="A"/>
    <m/>
    <n v="260194"/>
    <x v="12"/>
    <d v="2026-04-01T00:00:00"/>
    <d v="2026-04-18T00:00:00"/>
    <n v="177600"/>
  </r>
  <r>
    <s v="0716"/>
    <s v="V"/>
    <x v="0"/>
    <x v="0"/>
    <x v="0"/>
    <m/>
    <m/>
    <m/>
    <x v="0"/>
    <m/>
    <m/>
    <m/>
  </r>
  <r>
    <s v="0717"/>
    <s v="V"/>
    <x v="0"/>
    <x v="0"/>
    <x v="0"/>
    <m/>
    <m/>
    <m/>
    <x v="0"/>
    <m/>
    <m/>
    <m/>
  </r>
  <r>
    <s v="0718"/>
    <s v="V"/>
    <x v="0"/>
    <x v="0"/>
    <x v="0"/>
    <m/>
    <s v="X"/>
    <s v="COBRA DENTAL INDONESIA, PT"/>
    <x v="0"/>
    <m/>
    <m/>
    <n v="40565824"/>
  </r>
  <r>
    <s v="0720"/>
    <s v="V"/>
    <x v="1"/>
    <x v="1"/>
    <x v="1"/>
    <s v="A"/>
    <m/>
    <n v="250157"/>
    <x v="13"/>
    <d v="2025-02-11T00:00:00"/>
    <d v="2025-03-15T00:00:00"/>
    <n v="10464920"/>
  </r>
  <r>
    <s v="0721"/>
    <s v="V"/>
    <x v="1"/>
    <x v="1"/>
    <x v="1"/>
    <s v="A"/>
    <m/>
    <n v="250327"/>
    <x v="13"/>
    <d v="2025-03-05T00:00:00"/>
    <d v="2025-03-17T00:00:00"/>
    <n v="2578200"/>
  </r>
  <r>
    <s v="0722"/>
    <s v="V"/>
    <x v="1"/>
    <x v="1"/>
    <x v="1"/>
    <s v="A"/>
    <m/>
    <n v="250325"/>
    <x v="13"/>
    <d v="2025-03-05T00:00:00"/>
    <d v="2025-03-17T00:00:00"/>
    <n v="472344"/>
  </r>
  <r>
    <s v="0723"/>
    <s v="V"/>
    <x v="1"/>
    <x v="1"/>
    <x v="1"/>
    <s v="A"/>
    <m/>
    <n v="250350"/>
    <x v="13"/>
    <d v="2025-03-12T00:00:00"/>
    <d v="2025-04-10T00:00:00"/>
    <n v="1154500"/>
  </r>
  <r>
    <s v="0724"/>
    <s v="V"/>
    <x v="1"/>
    <x v="1"/>
    <x v="1"/>
    <s v="A"/>
    <m/>
    <n v="250517"/>
    <x v="13"/>
    <d v="2025-05-08T00:00:00"/>
    <d v="2025-06-09T00:00:00"/>
    <n v="14506688"/>
  </r>
  <r>
    <s v="0725"/>
    <s v="V"/>
    <x v="1"/>
    <x v="1"/>
    <x v="1"/>
    <s v="A"/>
    <m/>
    <n v="250629"/>
    <x v="13"/>
    <d v="2025-06-24T00:00:00"/>
    <d v="2025-07-14T00:00:00"/>
    <n v="4310928"/>
  </r>
  <r>
    <s v="0726"/>
    <s v="V"/>
    <x v="1"/>
    <x v="1"/>
    <x v="1"/>
    <s v="A"/>
    <m/>
    <n v="250834"/>
    <x v="13"/>
    <d v="2025-07-31T00:00:00"/>
    <d v="2025-08-14T00:00:00"/>
    <n v="7078244"/>
  </r>
  <r>
    <s v="0727"/>
    <s v="V"/>
    <x v="0"/>
    <x v="0"/>
    <x v="0"/>
    <m/>
    <m/>
    <m/>
    <x v="0"/>
    <m/>
    <m/>
    <m/>
  </r>
  <r>
    <s v="0728"/>
    <s v="V"/>
    <x v="0"/>
    <x v="0"/>
    <x v="0"/>
    <m/>
    <m/>
    <m/>
    <x v="0"/>
    <m/>
    <m/>
    <m/>
  </r>
  <r>
    <s v="0729"/>
    <s v="V"/>
    <x v="0"/>
    <x v="0"/>
    <x v="0"/>
    <m/>
    <s v="X"/>
    <s v="DAVIKA SEHAT SENTOSA, PT"/>
    <x v="0"/>
    <m/>
    <m/>
    <n v="1209989"/>
  </r>
  <r>
    <s v="0730"/>
    <s v="V"/>
    <x v="2"/>
    <x v="2"/>
    <x v="1"/>
    <s v="A"/>
    <m/>
    <n v="260410"/>
    <x v="14"/>
    <d v="2026-06-27T00:00:00"/>
    <d v="2026-07-31T00:00:00"/>
    <n v="1209989"/>
  </r>
  <r>
    <s v="0731"/>
    <s v="V"/>
    <x v="0"/>
    <x v="0"/>
    <x v="0"/>
    <m/>
    <m/>
    <m/>
    <x v="0"/>
    <m/>
    <m/>
    <m/>
  </r>
  <r>
    <s v="0732"/>
    <m/>
    <x v="0"/>
    <x v="0"/>
    <x v="0"/>
    <m/>
    <m/>
    <m/>
    <x v="0"/>
    <m/>
    <m/>
    <m/>
  </r>
  <r>
    <s v="0733"/>
    <s v="V"/>
    <x v="0"/>
    <x v="0"/>
    <x v="0"/>
    <m/>
    <s v="X"/>
    <s v="DEMAZ NOER ABADI, PT"/>
    <x v="0"/>
    <m/>
    <m/>
    <n v="1776000"/>
  </r>
  <r>
    <s v="0734"/>
    <s v="V"/>
    <x v="2"/>
    <x v="2"/>
    <x v="1"/>
    <s v="A"/>
    <m/>
    <n v="260125"/>
    <x v="15"/>
    <d v="2026-02-19T00:00:00"/>
    <d v="2026-02-24T00:00:00"/>
    <n v="1776000"/>
  </r>
  <r>
    <s v="0735"/>
    <s v="V"/>
    <x v="0"/>
    <x v="0"/>
    <x v="0"/>
    <m/>
    <m/>
    <m/>
    <x v="0"/>
    <m/>
    <m/>
    <m/>
  </r>
  <r>
    <s v="0736"/>
    <s v="V"/>
    <x v="0"/>
    <x v="0"/>
    <x v="0"/>
    <m/>
    <m/>
    <m/>
    <x v="0"/>
    <m/>
    <m/>
    <m/>
  </r>
  <r>
    <s v="0737"/>
    <s v="V"/>
    <x v="0"/>
    <x v="0"/>
    <x v="0"/>
    <m/>
    <s v="X"/>
    <s v="EDY HARI SYAM, PT"/>
    <x v="0"/>
    <m/>
    <m/>
    <n v="16677772"/>
  </r>
  <r>
    <s v="0738"/>
    <s v="V"/>
    <x v="2"/>
    <x v="2"/>
    <x v="1"/>
    <m/>
    <m/>
    <n v="260222"/>
    <x v="16"/>
    <d v="2026-04-21T00:00:00"/>
    <d v="2026-05-21T00:00:00"/>
    <n v="7939852"/>
  </r>
  <r>
    <s v="0739"/>
    <s v="V"/>
    <x v="2"/>
    <x v="2"/>
    <x v="1"/>
    <m/>
    <m/>
    <n v="260221"/>
    <x v="16"/>
    <d v="2026-04-21T00:00:00"/>
    <d v="2026-05-21T00:00:00"/>
    <n v="532800"/>
  </r>
  <r>
    <s v="0740"/>
    <s v="V"/>
    <x v="2"/>
    <x v="2"/>
    <x v="1"/>
    <m/>
    <m/>
    <n v="260289"/>
    <x v="16"/>
    <d v="2026-05-15T00:00:00"/>
    <d v="2026-06-09T00:00:00"/>
    <n v="8205120"/>
  </r>
  <r>
    <s v="0741"/>
    <s v="V"/>
    <x v="0"/>
    <x v="0"/>
    <x v="0"/>
    <m/>
    <m/>
    <m/>
    <x v="0"/>
    <m/>
    <m/>
    <m/>
  </r>
  <r>
    <s v="0742"/>
    <s v="V"/>
    <x v="0"/>
    <x v="0"/>
    <x v="0"/>
    <m/>
    <m/>
    <m/>
    <x v="0"/>
    <m/>
    <m/>
    <m/>
  </r>
  <r>
    <s v="0743"/>
    <s v="V"/>
    <x v="0"/>
    <x v="0"/>
    <x v="0"/>
    <m/>
    <s v="X"/>
    <s v="ENDO INDONESIA, PT"/>
    <x v="0"/>
    <m/>
    <m/>
    <n v="14414198"/>
  </r>
  <r>
    <s v="0744"/>
    <s v="V"/>
    <x v="1"/>
    <x v="1"/>
    <x v="1"/>
    <m/>
    <m/>
    <n v="251225"/>
    <x v="17"/>
    <d v="2025-11-27T00:00:00"/>
    <d v="2025-12-09T00:00:00"/>
    <n v="3796200"/>
  </r>
  <r>
    <s v="0745"/>
    <s v="V"/>
    <x v="2"/>
    <x v="1"/>
    <x v="1"/>
    <m/>
    <m/>
    <n v="260202"/>
    <x v="17"/>
    <d v="2026-03-30T00:00:00"/>
    <d v="2026-04-08T00:00:00"/>
    <n v="4218000"/>
  </r>
  <r>
    <s v="0746"/>
    <s v="V"/>
    <x v="2"/>
    <x v="2"/>
    <x v="1"/>
    <m/>
    <m/>
    <n v="260456"/>
    <x v="17"/>
    <d v="2026-07-03T00:00:00"/>
    <d v="2026-07-11T00:00:00"/>
    <n v="6399998"/>
  </r>
  <r>
    <s v="0747"/>
    <s v="V"/>
    <x v="0"/>
    <x v="0"/>
    <x v="0"/>
    <m/>
    <m/>
    <m/>
    <x v="0"/>
    <m/>
    <m/>
    <m/>
  </r>
  <r>
    <s v="0748"/>
    <s v="V"/>
    <x v="0"/>
    <x v="0"/>
    <x v="0"/>
    <m/>
    <m/>
    <m/>
    <x v="0"/>
    <m/>
    <m/>
    <m/>
  </r>
  <r>
    <s v="0749"/>
    <s v="V"/>
    <x v="0"/>
    <x v="0"/>
    <x v="0"/>
    <m/>
    <s v="X"/>
    <s v="ENSEVAL PUTERA MEGATRADING, PT"/>
    <x v="0"/>
    <m/>
    <m/>
    <n v="623249748"/>
  </r>
  <r>
    <s v="0750"/>
    <s v="V"/>
    <x v="3"/>
    <x v="1"/>
    <x v="1"/>
    <s v="A"/>
    <m/>
    <n v="242345"/>
    <x v="18"/>
    <d v="2024-11-12T00:00:00"/>
    <d v="2024-11-26T00:00:00"/>
    <n v="985957"/>
  </r>
  <r>
    <s v="0751"/>
    <s v="V"/>
    <x v="3"/>
    <x v="1"/>
    <x v="1"/>
    <s v="A"/>
    <m/>
    <n v="242346"/>
    <x v="18"/>
    <d v="2024-11-12T00:00:00"/>
    <d v="2024-11-26T00:00:00"/>
    <n v="198146"/>
  </r>
  <r>
    <s v="0752"/>
    <s v="V"/>
    <x v="3"/>
    <x v="1"/>
    <x v="1"/>
    <s v="A"/>
    <m/>
    <n v="242344"/>
    <x v="18"/>
    <d v="2024-11-13T00:00:00"/>
    <d v="2024-11-26T00:00:00"/>
    <n v="1418025"/>
  </r>
  <r>
    <s v="0753"/>
    <s v="V"/>
    <x v="3"/>
    <x v="1"/>
    <x v="1"/>
    <s v="A"/>
    <m/>
    <n v="242370"/>
    <x v="18"/>
    <d v="2024-11-16T00:00:00"/>
    <d v="2024-11-26T00:00:00"/>
    <n v="1152646"/>
  </r>
  <r>
    <s v="0754"/>
    <s v="V"/>
    <x v="3"/>
    <x v="1"/>
    <x v="1"/>
    <s v="A"/>
    <m/>
    <n v="242292"/>
    <x v="18"/>
    <d v="2024-11-08T00:00:00"/>
    <d v="2024-11-26T00:00:00"/>
    <n v="2907889"/>
  </r>
  <r>
    <s v="0755"/>
    <s v="V"/>
    <x v="3"/>
    <x v="1"/>
    <x v="1"/>
    <s v="A"/>
    <m/>
    <n v="242281"/>
    <x v="18"/>
    <d v="2024-11-08T00:00:00"/>
    <d v="2024-11-26T00:00:00"/>
    <n v="4515679"/>
  </r>
  <r>
    <s v="0756"/>
    <s v="V"/>
    <x v="3"/>
    <x v="1"/>
    <x v="1"/>
    <s v="A"/>
    <m/>
    <n v="242293"/>
    <x v="18"/>
    <d v="2024-11-05T00:00:00"/>
    <d v="2024-11-26T00:00:00"/>
    <n v="240026"/>
  </r>
  <r>
    <s v="0757"/>
    <s v="V"/>
    <x v="3"/>
    <x v="1"/>
    <x v="1"/>
    <s v="A"/>
    <m/>
    <n v="242401"/>
    <x v="18"/>
    <d v="2024-11-22T00:00:00"/>
    <d v="2024-12-05T00:00:00"/>
    <n v="3500002"/>
  </r>
  <r>
    <s v="0758"/>
    <s v="V"/>
    <x v="3"/>
    <x v="1"/>
    <x v="1"/>
    <s v="A"/>
    <m/>
    <n v="242474"/>
    <x v="18"/>
    <d v="2024-12-07T00:00:00"/>
    <d v="2024-12-12T00:00:00"/>
    <n v="778387"/>
  </r>
  <r>
    <s v="0759"/>
    <s v="V"/>
    <x v="3"/>
    <x v="1"/>
    <x v="1"/>
    <s v="A"/>
    <m/>
    <n v="242473"/>
    <x v="18"/>
    <d v="2024-12-07T00:00:00"/>
    <d v="2024-12-12T00:00:00"/>
    <n v="4307787"/>
  </r>
  <r>
    <s v="0760"/>
    <s v="V"/>
    <x v="3"/>
    <x v="1"/>
    <x v="1"/>
    <s v="A"/>
    <m/>
    <n v="242477"/>
    <x v="18"/>
    <d v="2024-12-07T00:00:00"/>
    <d v="2024-12-12T00:00:00"/>
    <n v="840114"/>
  </r>
  <r>
    <s v="0761"/>
    <s v="V"/>
    <x v="3"/>
    <x v="1"/>
    <x v="1"/>
    <s v="A"/>
    <m/>
    <n v="242475"/>
    <x v="18"/>
    <d v="2024-12-07T00:00:00"/>
    <d v="2024-12-12T00:00:00"/>
    <n v="6109939"/>
  </r>
  <r>
    <s v="0762"/>
    <s v="V"/>
    <x v="3"/>
    <x v="1"/>
    <x v="1"/>
    <s v="A"/>
    <m/>
    <n v="242476"/>
    <x v="18"/>
    <d v="2024-12-09T00:00:00"/>
    <d v="2024-12-24T00:00:00"/>
    <n v="5379408"/>
  </r>
  <r>
    <s v="0763"/>
    <s v="V"/>
    <x v="1"/>
    <x v="1"/>
    <x v="1"/>
    <s v="A"/>
    <m/>
    <n v="250027"/>
    <x v="18"/>
    <d v="2025-01-10T00:00:00"/>
    <d v="2025-01-28T00:00:00"/>
    <n v="2794094"/>
  </r>
  <r>
    <s v="0764"/>
    <s v="V"/>
    <x v="1"/>
    <x v="1"/>
    <x v="1"/>
    <s v="A"/>
    <m/>
    <n v="250025"/>
    <x v="18"/>
    <d v="2025-01-10T00:00:00"/>
    <d v="2025-01-28T00:00:00"/>
    <n v="8965680"/>
  </r>
  <r>
    <s v="0765"/>
    <s v="V"/>
    <x v="1"/>
    <x v="1"/>
    <x v="1"/>
    <s v="A"/>
    <m/>
    <n v="250026"/>
    <x v="18"/>
    <d v="2025-01-10T00:00:00"/>
    <d v="2025-01-28T00:00:00"/>
    <n v="23314473"/>
  </r>
  <r>
    <s v="0766"/>
    <s v="V"/>
    <x v="1"/>
    <x v="1"/>
    <x v="1"/>
    <s v="A"/>
    <m/>
    <n v="250048"/>
    <x v="18"/>
    <d v="2025-01-14T00:00:00"/>
    <d v="2025-01-28T00:00:00"/>
    <n v="3500002"/>
  </r>
  <r>
    <s v="0767"/>
    <s v="V"/>
    <x v="1"/>
    <x v="1"/>
    <x v="1"/>
    <s v="A"/>
    <m/>
    <n v="250114"/>
    <x v="18"/>
    <d v="2025-01-31T00:00:00"/>
    <d v="2025-02-20T00:00:00"/>
    <n v="2445352"/>
  </r>
  <r>
    <s v="0768"/>
    <s v="V"/>
    <x v="1"/>
    <x v="1"/>
    <x v="1"/>
    <s v="A"/>
    <m/>
    <n v="250113"/>
    <x v="18"/>
    <d v="2025-01-31T00:00:00"/>
    <d v="2025-02-20T00:00:00"/>
    <n v="6642717"/>
  </r>
  <r>
    <s v="0769"/>
    <s v="V"/>
    <x v="1"/>
    <x v="1"/>
    <x v="1"/>
    <s v="A"/>
    <m/>
    <n v="250243"/>
    <x v="18"/>
    <d v="2025-02-27T00:00:00"/>
    <d v="2025-03-11T00:00:00"/>
    <n v="498390"/>
  </r>
  <r>
    <s v="0770"/>
    <s v="V"/>
    <x v="1"/>
    <x v="1"/>
    <x v="1"/>
    <s v="A"/>
    <m/>
    <n v="250256"/>
    <x v="18"/>
    <d v="2025-02-28T00:00:00"/>
    <d v="2025-03-11T00:00:00"/>
    <n v="4496782"/>
  </r>
  <r>
    <s v="0771"/>
    <s v="V"/>
    <x v="1"/>
    <x v="1"/>
    <x v="1"/>
    <s v="A"/>
    <m/>
    <n v="250284"/>
    <x v="18"/>
    <d v="2025-02-28T00:00:00"/>
    <d v="2025-03-11T00:00:00"/>
    <n v="7402816"/>
  </r>
  <r>
    <s v="0772"/>
    <s v="V"/>
    <x v="1"/>
    <x v="1"/>
    <x v="1"/>
    <s v="A"/>
    <m/>
    <n v="250257"/>
    <x v="18"/>
    <d v="2025-02-28T00:00:00"/>
    <d v="2025-03-11T00:00:00"/>
    <n v="13481360"/>
  </r>
  <r>
    <s v="0773"/>
    <s v="V"/>
    <x v="1"/>
    <x v="1"/>
    <x v="1"/>
    <s v="A"/>
    <m/>
    <n v="250283"/>
    <x v="18"/>
    <d v="2025-02-28T00:00:00"/>
    <d v="2025-03-11T00:00:00"/>
    <n v="7360417"/>
  </r>
  <r>
    <s v="0774"/>
    <s v="V"/>
    <x v="1"/>
    <x v="1"/>
    <x v="1"/>
    <s v="A"/>
    <m/>
    <n v="250281"/>
    <x v="18"/>
    <d v="2025-03-05T00:00:00"/>
    <d v="2025-03-20T00:00:00"/>
    <n v="1668008"/>
  </r>
  <r>
    <s v="0775"/>
    <s v="V"/>
    <x v="1"/>
    <x v="1"/>
    <x v="1"/>
    <s v="A"/>
    <m/>
    <n v="250282"/>
    <x v="18"/>
    <d v="2025-03-05T00:00:00"/>
    <d v="2025-03-20T00:00:00"/>
    <n v="1243077"/>
  </r>
  <r>
    <s v="0776"/>
    <s v="V"/>
    <x v="1"/>
    <x v="1"/>
    <x v="1"/>
    <s v="A"/>
    <m/>
    <n v="250285"/>
    <x v="18"/>
    <d v="2025-03-06T00:00:00"/>
    <d v="2025-03-20T00:00:00"/>
    <n v="448995"/>
  </r>
  <r>
    <s v="0777"/>
    <s v="V"/>
    <x v="1"/>
    <x v="1"/>
    <x v="1"/>
    <s v="A"/>
    <m/>
    <n v="250355"/>
    <x v="18"/>
    <d v="2025-03-20T00:00:00"/>
    <d v="2025-04-08T00:00:00"/>
    <n v="20426336"/>
  </r>
  <r>
    <s v="0778"/>
    <s v="V"/>
    <x v="1"/>
    <x v="1"/>
    <x v="1"/>
    <s v="A"/>
    <m/>
    <n v="250358"/>
    <x v="18"/>
    <d v="2025-03-20T00:00:00"/>
    <d v="2025-04-08T00:00:00"/>
    <n v="430014"/>
  </r>
  <r>
    <s v="0779"/>
    <s v="V"/>
    <x v="1"/>
    <x v="1"/>
    <x v="1"/>
    <s v="A"/>
    <m/>
    <n v="250356"/>
    <x v="18"/>
    <d v="2025-03-20T00:00:00"/>
    <d v="2025-04-08T00:00:00"/>
    <n v="1591656"/>
  </r>
  <r>
    <s v="0780"/>
    <s v="V"/>
    <x v="1"/>
    <x v="1"/>
    <x v="1"/>
    <s v="A"/>
    <m/>
    <n v="250376"/>
    <x v="18"/>
    <d v="2025-03-28T00:00:00"/>
    <d v="2025-04-22T00:00:00"/>
    <n v="6740680"/>
  </r>
  <r>
    <s v="0781"/>
    <s v="V"/>
    <x v="1"/>
    <x v="1"/>
    <x v="1"/>
    <s v="A"/>
    <m/>
    <n v="250508"/>
    <x v="18"/>
    <d v="2025-04-28T00:00:00"/>
    <d v="2025-05-13T00:00:00"/>
    <n v="954849"/>
  </r>
  <r>
    <s v="0782"/>
    <s v="V"/>
    <x v="1"/>
    <x v="1"/>
    <x v="1"/>
    <s v="A"/>
    <m/>
    <n v="250486"/>
    <x v="18"/>
    <d v="2025-04-30T00:00:00"/>
    <d v="2025-05-13T00:00:00"/>
    <n v="3971182"/>
  </r>
  <r>
    <s v="0783"/>
    <s v="V"/>
    <x v="1"/>
    <x v="1"/>
    <x v="1"/>
    <s v="A"/>
    <m/>
    <n v="250487"/>
    <x v="18"/>
    <d v="2025-04-30T00:00:00"/>
    <d v="2025-05-13T00:00:00"/>
    <n v="13930355"/>
  </r>
  <r>
    <s v="0784"/>
    <s v="V"/>
    <x v="1"/>
    <x v="1"/>
    <x v="1"/>
    <s v="A"/>
    <m/>
    <n v="250488"/>
    <x v="18"/>
    <d v="2025-04-30T00:00:00"/>
    <d v="2025-05-13T00:00:00"/>
    <n v="1950014"/>
  </r>
  <r>
    <s v="0785"/>
    <s v="V"/>
    <x v="1"/>
    <x v="1"/>
    <x v="1"/>
    <s v="A"/>
    <m/>
    <n v="250490"/>
    <x v="18"/>
    <d v="2025-04-30T00:00:00"/>
    <d v="2025-05-13T00:00:00"/>
    <n v="28377364"/>
  </r>
  <r>
    <s v="0786"/>
    <s v="V"/>
    <x v="1"/>
    <x v="1"/>
    <x v="1"/>
    <s v="A"/>
    <m/>
    <n v="250530"/>
    <x v="18"/>
    <d v="2025-05-16T00:00:00"/>
    <d v="2025-05-28T00:00:00"/>
    <n v="900000"/>
  </r>
  <r>
    <s v="0787"/>
    <s v="V"/>
    <x v="1"/>
    <x v="1"/>
    <x v="1"/>
    <s v="A"/>
    <m/>
    <n v="250531"/>
    <x v="18"/>
    <d v="2025-05-16T00:00:00"/>
    <d v="2025-05-28T00:00:00"/>
    <n v="900000"/>
  </r>
  <r>
    <s v="0788"/>
    <s v="V"/>
    <x v="1"/>
    <x v="1"/>
    <x v="1"/>
    <s v="A"/>
    <m/>
    <n v="250532"/>
    <x v="18"/>
    <d v="2025-05-16T00:00:00"/>
    <d v="2025-05-28T00:00:00"/>
    <n v="900000"/>
  </r>
  <r>
    <s v="0789"/>
    <s v="V"/>
    <x v="1"/>
    <x v="1"/>
    <x v="1"/>
    <s v="A"/>
    <m/>
    <n v="250533"/>
    <x v="18"/>
    <d v="2025-05-16T00:00:00"/>
    <d v="2025-05-28T00:00:00"/>
    <n v="900000"/>
  </r>
  <r>
    <s v="0790"/>
    <s v="V"/>
    <x v="1"/>
    <x v="1"/>
    <x v="1"/>
    <s v="A"/>
    <m/>
    <n v="250529"/>
    <x v="18"/>
    <d v="2025-05-16T00:00:00"/>
    <d v="2025-05-28T00:00:00"/>
    <n v="1248511"/>
  </r>
  <r>
    <s v="0791"/>
    <s v="V"/>
    <x v="1"/>
    <x v="1"/>
    <x v="1"/>
    <s v="A"/>
    <m/>
    <n v="250538"/>
    <x v="18"/>
    <d v="2025-05-16T00:00:00"/>
    <d v="2025-06-05T00:00:00"/>
    <n v="666000"/>
  </r>
  <r>
    <s v="0792"/>
    <s v="V"/>
    <x v="1"/>
    <x v="1"/>
    <x v="1"/>
    <s v="A"/>
    <m/>
    <n v="250565"/>
    <x v="18"/>
    <d v="2025-05-31T00:00:00"/>
    <d v="2025-06-19T00:00:00"/>
    <n v="1136862"/>
  </r>
  <r>
    <s v="0793"/>
    <s v="V"/>
    <x v="1"/>
    <x v="1"/>
    <x v="1"/>
    <s v="A"/>
    <m/>
    <n v="250564"/>
    <x v="18"/>
    <d v="2025-05-31T00:00:00"/>
    <d v="2025-06-19T00:00:00"/>
    <n v="333000"/>
  </r>
  <r>
    <s v="0794"/>
    <s v="V"/>
    <x v="1"/>
    <x v="1"/>
    <x v="1"/>
    <s v="A"/>
    <m/>
    <n v="250567"/>
    <x v="18"/>
    <d v="2025-05-31T00:00:00"/>
    <d v="2025-06-19T00:00:00"/>
    <n v="2076343"/>
  </r>
  <r>
    <s v="0795"/>
    <s v="V"/>
    <x v="1"/>
    <x v="1"/>
    <x v="1"/>
    <s v="A"/>
    <m/>
    <n v="250566"/>
    <x v="18"/>
    <d v="2025-05-31T00:00:00"/>
    <d v="2025-06-19T00:00:00"/>
    <n v="2230001"/>
  </r>
  <r>
    <s v="0796"/>
    <s v="V"/>
    <x v="1"/>
    <x v="1"/>
    <x v="1"/>
    <s v="A"/>
    <m/>
    <n v="250568"/>
    <x v="18"/>
    <d v="2025-05-31T00:00:00"/>
    <d v="2025-06-19T00:00:00"/>
    <n v="14446796"/>
  </r>
  <r>
    <s v="0797"/>
    <s v="V"/>
    <x v="1"/>
    <x v="1"/>
    <x v="1"/>
    <s v="A"/>
    <m/>
    <n v="250703"/>
    <x v="18"/>
    <d v="2025-07-24T00:00:00"/>
    <d v="2025-08-07T00:00:00"/>
    <n v="1750000"/>
  </r>
  <r>
    <s v="0798"/>
    <s v="V"/>
    <x v="1"/>
    <x v="1"/>
    <x v="1"/>
    <s v="A"/>
    <m/>
    <n v="250766"/>
    <x v="18"/>
    <d v="2025-07-31T00:00:00"/>
    <d v="2025-09-04T00:00:00"/>
    <n v="10229959"/>
  </r>
  <r>
    <s v="0799"/>
    <s v="V"/>
    <x v="1"/>
    <x v="1"/>
    <x v="1"/>
    <s v="A"/>
    <m/>
    <n v="250872"/>
    <x v="18"/>
    <d v="2025-08-29T00:00:00"/>
    <d v="2025-09-18T00:00:00"/>
    <n v="2864549"/>
  </r>
  <r>
    <s v="0800"/>
    <s v="V"/>
    <x v="1"/>
    <x v="1"/>
    <x v="1"/>
    <s v="A"/>
    <m/>
    <n v="250875"/>
    <x v="18"/>
    <d v="2025-08-29T00:00:00"/>
    <d v="2025-09-18T00:00:00"/>
    <n v="11482572"/>
  </r>
  <r>
    <s v="0801"/>
    <s v="V"/>
    <x v="1"/>
    <x v="1"/>
    <x v="1"/>
    <s v="A"/>
    <m/>
    <n v="250874"/>
    <x v="18"/>
    <d v="2025-08-29T00:00:00"/>
    <d v="2025-09-18T00:00:00"/>
    <n v="5714674"/>
  </r>
  <r>
    <s v="0802"/>
    <s v="V"/>
    <x v="1"/>
    <x v="1"/>
    <x v="1"/>
    <s v="A"/>
    <m/>
    <n v="250884"/>
    <x v="18"/>
    <d v="2025-09-03T00:00:00"/>
    <d v="2025-09-18T00:00:00"/>
    <n v="921599"/>
  </r>
  <r>
    <s v="0803"/>
    <s v="V"/>
    <x v="1"/>
    <x v="1"/>
    <x v="1"/>
    <s v="A"/>
    <m/>
    <n v="250920"/>
    <x v="18"/>
    <d v="2025-09-11T00:00:00"/>
    <d v="2025-09-25T00:00:00"/>
    <n v="2893199"/>
  </r>
  <r>
    <s v="0804"/>
    <s v="V"/>
    <x v="1"/>
    <x v="1"/>
    <x v="1"/>
    <s v="A"/>
    <m/>
    <n v="250921"/>
    <x v="18"/>
    <d v="2025-09-11T00:00:00"/>
    <d v="2025-09-25T00:00:00"/>
    <n v="788111"/>
  </r>
  <r>
    <s v="0805"/>
    <s v="V"/>
    <x v="1"/>
    <x v="1"/>
    <x v="1"/>
    <s v="A"/>
    <m/>
    <n v="250991"/>
    <x v="18"/>
    <d v="2025-09-30T00:00:00"/>
    <d v="2025-10-09T00:00:00"/>
    <n v="3100230"/>
  </r>
  <r>
    <s v="0806"/>
    <s v="V"/>
    <x v="1"/>
    <x v="1"/>
    <x v="1"/>
    <s v="A"/>
    <m/>
    <n v="250981"/>
    <x v="18"/>
    <d v="2025-09-30T00:00:00"/>
    <d v="2025-10-09T00:00:00"/>
    <n v="26065504"/>
  </r>
  <r>
    <s v="0807"/>
    <s v="V"/>
    <x v="1"/>
    <x v="1"/>
    <x v="1"/>
    <s v="A"/>
    <m/>
    <n v="251034"/>
    <x v="18"/>
    <d v="2025-10-09T00:00:00"/>
    <d v="2025-10-23T00:00:00"/>
    <n v="5889999"/>
  </r>
  <r>
    <s v="0808"/>
    <s v="V"/>
    <x v="1"/>
    <x v="1"/>
    <x v="1"/>
    <s v="A"/>
    <m/>
    <n v="251162"/>
    <x v="18"/>
    <d v="2025-10-31T00:00:00"/>
    <d v="2025-12-04T00:00:00"/>
    <n v="648656"/>
  </r>
  <r>
    <s v="0809"/>
    <s v="V"/>
    <x v="1"/>
    <x v="1"/>
    <x v="1"/>
    <s v="A"/>
    <m/>
    <n v="251161"/>
    <x v="18"/>
    <d v="2025-10-31T00:00:00"/>
    <d v="2025-12-04T00:00:00"/>
    <n v="5133087"/>
  </r>
  <r>
    <s v="0810"/>
    <s v="V"/>
    <x v="1"/>
    <x v="1"/>
    <x v="1"/>
    <s v="A"/>
    <m/>
    <n v="251205"/>
    <x v="18"/>
    <d v="2025-11-27T00:00:00"/>
    <d v="2025-12-04T00:00:00"/>
    <n v="1977398"/>
  </r>
  <r>
    <s v="0811"/>
    <s v="V"/>
    <x v="1"/>
    <x v="1"/>
    <x v="1"/>
    <s v="A"/>
    <m/>
    <n v="251206"/>
    <x v="18"/>
    <d v="2025-11-27T00:00:00"/>
    <d v="2025-12-04T00:00:00"/>
    <n v="13521309"/>
  </r>
  <r>
    <s v="0812"/>
    <s v="V"/>
    <x v="1"/>
    <x v="1"/>
    <x v="1"/>
    <s v="A"/>
    <m/>
    <n v="251214"/>
    <x v="18"/>
    <d v="2025-11-29T00:00:00"/>
    <d v="2025-12-30T00:00:00"/>
    <n v="891607"/>
  </r>
  <r>
    <s v="0813"/>
    <s v="V"/>
    <x v="1"/>
    <x v="1"/>
    <x v="1"/>
    <s v="A"/>
    <m/>
    <n v="251208"/>
    <x v="18"/>
    <d v="2025-11-28T00:00:00"/>
    <d v="2025-12-30T00:00:00"/>
    <n v="7656400"/>
  </r>
  <r>
    <s v="0814"/>
    <s v="V"/>
    <x v="1"/>
    <x v="1"/>
    <x v="1"/>
    <s v="A"/>
    <m/>
    <n v="251209"/>
    <x v="18"/>
    <d v="2025-11-29T00:00:00"/>
    <d v="2025-12-30T00:00:00"/>
    <n v="434000"/>
  </r>
  <r>
    <s v="0815"/>
    <s v="V"/>
    <x v="1"/>
    <x v="1"/>
    <x v="1"/>
    <s v="A"/>
    <m/>
    <n v="251217"/>
    <x v="18"/>
    <d v="2025-11-29T00:00:00"/>
    <d v="2025-12-30T00:00:00"/>
    <n v="1740904"/>
  </r>
  <r>
    <s v="0816"/>
    <s v="V"/>
    <x v="1"/>
    <x v="1"/>
    <x v="1"/>
    <s v="A"/>
    <m/>
    <n v="251290"/>
    <x v="18"/>
    <d v="2025-12-26T00:00:00"/>
    <d v="2026-01-15T00:00:00"/>
    <n v="2267829"/>
  </r>
  <r>
    <s v="0817"/>
    <s v="V"/>
    <x v="1"/>
    <x v="1"/>
    <x v="1"/>
    <s v="A"/>
    <m/>
    <n v="251327"/>
    <x v="18"/>
    <d v="2025-12-30T00:00:00"/>
    <d v="2026-01-15T00:00:00"/>
    <n v="582483"/>
  </r>
  <r>
    <s v="0818"/>
    <s v="V"/>
    <x v="1"/>
    <x v="1"/>
    <x v="1"/>
    <s v="A"/>
    <m/>
    <n v="251327"/>
    <x v="18"/>
    <d v="2025-12-30T00:00:00"/>
    <d v="2026-01-15T00:00:00"/>
    <n v="1934817"/>
  </r>
  <r>
    <s v="0819"/>
    <s v="V"/>
    <x v="1"/>
    <x v="1"/>
    <x v="1"/>
    <s v="A"/>
    <m/>
    <n v="251326"/>
    <x v="18"/>
    <d v="2025-12-30T00:00:00"/>
    <d v="2026-01-15T00:00:00"/>
    <n v="5147987"/>
  </r>
  <r>
    <s v="0820"/>
    <s v="V"/>
    <x v="2"/>
    <x v="1"/>
    <x v="1"/>
    <s v="A"/>
    <m/>
    <n v="260086"/>
    <x v="18"/>
    <d v="2026-01-31T00:00:00"/>
    <d v="2026-02-12T00:00:00"/>
    <n v="384615"/>
  </r>
  <r>
    <s v="0821"/>
    <s v="V"/>
    <x v="2"/>
    <x v="1"/>
    <x v="1"/>
    <s v="A"/>
    <m/>
    <n v="260085"/>
    <x v="18"/>
    <d v="2026-01-31T00:00:00"/>
    <d v="2026-02-12T00:00:00"/>
    <n v="6584992"/>
  </r>
  <r>
    <s v="0822"/>
    <s v="V"/>
    <x v="2"/>
    <x v="1"/>
    <x v="1"/>
    <s v="A"/>
    <m/>
    <n v="260084"/>
    <x v="18"/>
    <d v="2026-01-31T00:00:00"/>
    <d v="2026-02-12T00:00:00"/>
    <n v="14829888"/>
  </r>
  <r>
    <s v="0823"/>
    <s v="V"/>
    <x v="2"/>
    <x v="1"/>
    <x v="1"/>
    <s v="A"/>
    <m/>
    <n v="260083"/>
    <x v="18"/>
    <d v="2026-01-31T00:00:00"/>
    <d v="2026-02-12T00:00:00"/>
    <n v="15429999"/>
  </r>
  <r>
    <s v="0824"/>
    <s v="V"/>
    <x v="2"/>
    <x v="1"/>
    <x v="1"/>
    <s v="A"/>
    <m/>
    <n v="260150"/>
    <x v="18"/>
    <d v="2026-02-28T00:00:00"/>
    <d v="2026-03-17T00:00:00"/>
    <n v="732600"/>
  </r>
  <r>
    <s v="0825"/>
    <s v="V"/>
    <x v="2"/>
    <x v="1"/>
    <x v="1"/>
    <s v="A"/>
    <m/>
    <n v="260149"/>
    <x v="18"/>
    <d v="2026-02-28T00:00:00"/>
    <d v="2026-03-17T00:00:00"/>
    <n v="5019216"/>
  </r>
  <r>
    <s v="0826"/>
    <s v="V"/>
    <x v="2"/>
    <x v="1"/>
    <x v="1"/>
    <s v="A"/>
    <m/>
    <n v="260234"/>
    <x v="18"/>
    <d v="2026-04-23T00:00:00"/>
    <d v="2026-05-07T00:00:00"/>
    <n v="2876054"/>
  </r>
  <r>
    <s v="0827"/>
    <s v="V"/>
    <x v="2"/>
    <x v="1"/>
    <x v="1"/>
    <s v="A"/>
    <m/>
    <n v="260235"/>
    <x v="18"/>
    <d v="2026-04-23T00:00:00"/>
    <d v="2026-05-07T00:00:00"/>
    <n v="46651157"/>
  </r>
  <r>
    <s v="0828"/>
    <s v="V"/>
    <x v="2"/>
    <x v="1"/>
    <x v="1"/>
    <s v="A"/>
    <m/>
    <n v="260233"/>
    <x v="18"/>
    <d v="2026-04-23T00:00:00"/>
    <d v="2026-05-07T00:00:00"/>
    <n v="5323192"/>
  </r>
  <r>
    <s v="0829"/>
    <s v="V"/>
    <x v="2"/>
    <x v="1"/>
    <x v="1"/>
    <s v="A"/>
    <m/>
    <n v="260238"/>
    <x v="18"/>
    <d v="2026-04-24T00:00:00"/>
    <d v="2026-05-07T00:00:00"/>
    <n v="1070000"/>
  </r>
  <r>
    <s v="0830"/>
    <s v="V"/>
    <x v="2"/>
    <x v="1"/>
    <x v="1"/>
    <s v="A"/>
    <m/>
    <n v="260299"/>
    <x v="18"/>
    <d v="2026-05-19T00:00:00"/>
    <d v="2026-05-28T00:00:00"/>
    <n v="55088880"/>
  </r>
  <r>
    <s v="0831"/>
    <s v="V"/>
    <x v="2"/>
    <x v="1"/>
    <x v="1"/>
    <s v="A"/>
    <m/>
    <n v="260310"/>
    <x v="18"/>
    <d v="2026-05-28T00:00:00"/>
    <d v="2026-06-04T00:00:00"/>
    <n v="1256058"/>
  </r>
  <r>
    <s v="0832"/>
    <s v="V"/>
    <x v="2"/>
    <x v="1"/>
    <x v="1"/>
    <s v="A"/>
    <m/>
    <n v="260309"/>
    <x v="18"/>
    <d v="2026-05-28T00:00:00"/>
    <d v="2026-06-04T00:00:00"/>
    <n v="1198800"/>
  </r>
  <r>
    <s v="0833"/>
    <s v="V"/>
    <x v="2"/>
    <x v="1"/>
    <x v="1"/>
    <s v="A"/>
    <m/>
    <n v="260308"/>
    <x v="18"/>
    <d v="2026-05-28T00:00:00"/>
    <d v="2026-06-04T00:00:00"/>
    <n v="175324"/>
  </r>
  <r>
    <s v="0834"/>
    <s v="V"/>
    <x v="2"/>
    <x v="1"/>
    <x v="1"/>
    <s v="A"/>
    <m/>
    <n v="260311"/>
    <x v="18"/>
    <d v="2026-05-28T00:00:00"/>
    <d v="2026-06-04T00:00:00"/>
    <n v="53999"/>
  </r>
  <r>
    <s v="0835"/>
    <s v="V"/>
    <x v="2"/>
    <x v="1"/>
    <x v="1"/>
    <s v="A"/>
    <m/>
    <n v="260329"/>
    <x v="18"/>
    <d v="2026-06-06T00:00:00"/>
    <d v="2026-06-25T00:00:00"/>
    <n v="1587300"/>
  </r>
  <r>
    <s v="0836"/>
    <s v="V"/>
    <x v="2"/>
    <x v="1"/>
    <x v="1"/>
    <s v="A"/>
    <m/>
    <n v="260352"/>
    <x v="18"/>
    <d v="2026-06-11T00:00:00"/>
    <d v="2026-06-25T00:00:00"/>
    <n v="50949555"/>
  </r>
  <r>
    <s v="0837"/>
    <s v="V"/>
    <x v="2"/>
    <x v="1"/>
    <x v="1"/>
    <s v="A"/>
    <m/>
    <n v="260364"/>
    <x v="18"/>
    <d v="2026-06-15T00:00:00"/>
    <d v="2026-06-25T00:00:00"/>
    <n v="513999"/>
  </r>
  <r>
    <s v="0838"/>
    <s v="V"/>
    <x v="2"/>
    <x v="2"/>
    <x v="1"/>
    <s v="A"/>
    <m/>
    <n v="260374"/>
    <x v="18"/>
    <d v="2026-06-17T00:00:00"/>
    <d v="2026-06-25T00:00:00"/>
    <n v="1077349"/>
  </r>
  <r>
    <s v="0839"/>
    <s v="V"/>
    <x v="2"/>
    <x v="2"/>
    <x v="1"/>
    <s v="A"/>
    <m/>
    <n v="260374"/>
    <x v="18"/>
    <d v="2026-06-19T00:00:00"/>
    <d v="2026-06-25T00:00:00"/>
    <n v="4978350"/>
  </r>
  <r>
    <s v="0840"/>
    <s v="V"/>
    <x v="2"/>
    <x v="2"/>
    <x v="1"/>
    <s v="A"/>
    <m/>
    <n v="260424"/>
    <x v="18"/>
    <d v="2026-06-30T00:00:00"/>
    <d v="2026-07-11T00:00:00"/>
    <n v="419857"/>
  </r>
  <r>
    <s v="0841"/>
    <s v="V"/>
    <x v="2"/>
    <x v="2"/>
    <x v="1"/>
    <s v="A"/>
    <m/>
    <n v="260395"/>
    <x v="18"/>
    <d v="2026-06-24T00:00:00"/>
    <d v="2026-07-11T00:00:00"/>
    <n v="10534249"/>
  </r>
  <r>
    <s v="0842"/>
    <s v="V"/>
    <x v="2"/>
    <x v="2"/>
    <x v="1"/>
    <s v="A"/>
    <m/>
    <n v="260397"/>
    <x v="18"/>
    <d v="2026-06-24T00:00:00"/>
    <d v="2026-07-11T00:00:00"/>
    <n v="3034948"/>
  </r>
  <r>
    <s v="0843"/>
    <s v="V"/>
    <x v="2"/>
    <x v="2"/>
    <x v="1"/>
    <s v="A"/>
    <m/>
    <n v="260398"/>
    <x v="18"/>
    <d v="2026-06-24T00:00:00"/>
    <d v="2026-07-11T00:00:00"/>
    <n v="1400000"/>
  </r>
  <r>
    <s v="0844"/>
    <s v="V"/>
    <x v="2"/>
    <x v="2"/>
    <x v="1"/>
    <s v="A"/>
    <m/>
    <n v="260405"/>
    <x v="18"/>
    <d v="2026-06-26T00:00:00"/>
    <d v="2026-07-11T00:00:00"/>
    <n v="141819"/>
  </r>
  <r>
    <s v="0845"/>
    <s v="V"/>
    <x v="2"/>
    <x v="2"/>
    <x v="1"/>
    <s v="A"/>
    <m/>
    <n v="260423"/>
    <x v="18"/>
    <d v="2026-06-30T00:00:00"/>
    <d v="2026-07-11T00:00:00"/>
    <n v="7819534"/>
  </r>
  <r>
    <s v="0846"/>
    <s v="V"/>
    <x v="2"/>
    <x v="2"/>
    <x v="1"/>
    <s v="A"/>
    <m/>
    <n v="260431"/>
    <x v="18"/>
    <d v="2026-07-03T00:00:00"/>
    <d v="2026-07-11T00:00:00"/>
    <n v="297202"/>
  </r>
  <r>
    <s v="0847"/>
    <s v="V"/>
    <x v="2"/>
    <x v="2"/>
    <x v="1"/>
    <s v="A"/>
    <m/>
    <n v="260433"/>
    <x v="18"/>
    <d v="2026-07-03T00:00:00"/>
    <d v="2026-07-11T00:00:00"/>
    <n v="169999"/>
  </r>
  <r>
    <s v="0848"/>
    <s v="V"/>
    <x v="2"/>
    <x v="2"/>
    <x v="1"/>
    <s v="A"/>
    <m/>
    <n v="260432"/>
    <x v="18"/>
    <d v="2026-07-03T00:00:00"/>
    <d v="2026-07-11T00:00:00"/>
    <n v="220002"/>
  </r>
  <r>
    <s v="0849"/>
    <s v="V"/>
    <x v="2"/>
    <x v="2"/>
    <x v="1"/>
    <s v="A"/>
    <m/>
    <n v="260434"/>
    <x v="18"/>
    <d v="2026-07-03T00:00:00"/>
    <d v="2026-07-11T00:00:00"/>
    <n v="46199587"/>
  </r>
  <r>
    <s v="0850"/>
    <s v="V"/>
    <x v="2"/>
    <x v="2"/>
    <x v="1"/>
    <s v="A"/>
    <m/>
    <n v="260448"/>
    <x v="18"/>
    <d v="2026-07-07T00:00:00"/>
    <d v="2026-07-16T00:00:00"/>
    <n v="2888220"/>
  </r>
  <r>
    <s v="0851"/>
    <s v="V"/>
    <x v="0"/>
    <x v="0"/>
    <x v="0"/>
    <m/>
    <m/>
    <m/>
    <x v="0"/>
    <m/>
    <m/>
    <m/>
  </r>
  <r>
    <s v="0852"/>
    <s v="V"/>
    <x v="0"/>
    <x v="0"/>
    <x v="0"/>
    <m/>
    <m/>
    <m/>
    <x v="0"/>
    <m/>
    <m/>
    <m/>
  </r>
  <r>
    <s v="0853"/>
    <s v="V"/>
    <x v="0"/>
    <x v="0"/>
    <x v="0"/>
    <m/>
    <s v="X"/>
    <s v="ETAM MANDIRI ALKESINDO, PT"/>
    <x v="0"/>
    <m/>
    <m/>
    <n v="0"/>
  </r>
  <r>
    <s v="0854"/>
    <s v="V"/>
    <x v="0"/>
    <x v="0"/>
    <x v="0"/>
    <m/>
    <m/>
    <m/>
    <x v="0"/>
    <m/>
    <m/>
    <m/>
  </r>
  <r>
    <s v="0855"/>
    <s v="V"/>
    <x v="0"/>
    <x v="0"/>
    <x v="0"/>
    <m/>
    <m/>
    <m/>
    <x v="0"/>
    <m/>
    <m/>
    <m/>
  </r>
  <r>
    <s v="0856"/>
    <s v="V"/>
    <x v="0"/>
    <x v="0"/>
    <x v="0"/>
    <m/>
    <s v="X"/>
    <s v="FERTOMULIA PRATAMA, PT"/>
    <x v="0"/>
    <m/>
    <m/>
    <n v="17096426"/>
  </r>
  <r>
    <s v="0857"/>
    <s v="V"/>
    <x v="1"/>
    <x v="1"/>
    <x v="1"/>
    <s v="A"/>
    <m/>
    <n v="250340"/>
    <x v="19"/>
    <d v="2025-03-13T00:00:00"/>
    <d v="2025-04-08T00:00:00"/>
    <n v="467727"/>
  </r>
  <r>
    <s v="0858"/>
    <s v="V"/>
    <x v="1"/>
    <x v="1"/>
    <x v="1"/>
    <s v="A"/>
    <m/>
    <n v="250360"/>
    <x v="19"/>
    <d v="2025-03-26T00:00:00"/>
    <d v="2025-04-15T00:00:00"/>
    <n v="1448439"/>
  </r>
  <r>
    <s v="0859"/>
    <s v="V"/>
    <x v="1"/>
    <x v="1"/>
    <x v="1"/>
    <s v="A"/>
    <m/>
    <n v="250435"/>
    <x v="19"/>
    <d v="2025-04-17T00:00:00"/>
    <d v="2025-05-06T00:00:00"/>
    <n v="408380"/>
  </r>
  <r>
    <s v="0860"/>
    <s v="V"/>
    <x v="1"/>
    <x v="1"/>
    <x v="1"/>
    <s v="A"/>
    <m/>
    <n v="250462"/>
    <x v="19"/>
    <d v="2025-04-24T00:00:00"/>
    <d v="2025-05-13T00:00:00"/>
    <n v="575326"/>
  </r>
  <r>
    <s v="0861"/>
    <s v="V"/>
    <x v="1"/>
    <x v="1"/>
    <x v="1"/>
    <s v="A"/>
    <m/>
    <n v="250451"/>
    <x v="19"/>
    <d v="2025-04-21T00:00:00"/>
    <d v="2025-05-13T00:00:00"/>
    <n v="1083227"/>
  </r>
  <r>
    <s v="0862"/>
    <s v="V"/>
    <x v="1"/>
    <x v="1"/>
    <x v="1"/>
    <s v="A"/>
    <m/>
    <n v="250481"/>
    <x v="19"/>
    <d v="2025-04-29T00:00:00"/>
    <d v="2025-05-20T00:00:00"/>
    <n v="605628"/>
  </r>
  <r>
    <s v="0863"/>
    <s v="V"/>
    <x v="1"/>
    <x v="1"/>
    <x v="1"/>
    <s v="A"/>
    <m/>
    <n v="250485"/>
    <x v="19"/>
    <d v="2025-04-30T00:00:00"/>
    <d v="2025-05-22T00:00:00"/>
    <n v="12495342"/>
  </r>
  <r>
    <s v="0864"/>
    <s v="V"/>
    <x v="1"/>
    <x v="1"/>
    <x v="1"/>
    <s v="A"/>
    <m/>
    <m/>
    <x v="19"/>
    <d v="2025-04-30T00:00:00"/>
    <d v="2025-05-22T00:00:00"/>
    <n v="12357"/>
  </r>
  <r>
    <s v="0865"/>
    <s v="V"/>
    <x v="0"/>
    <x v="0"/>
    <x v="0"/>
    <m/>
    <m/>
    <m/>
    <x v="0"/>
    <m/>
    <m/>
    <m/>
  </r>
  <r>
    <s v="0866"/>
    <s v="V"/>
    <x v="0"/>
    <x v="0"/>
    <x v="0"/>
    <m/>
    <m/>
    <m/>
    <x v="0"/>
    <m/>
    <m/>
    <m/>
  </r>
  <r>
    <s v="0867"/>
    <s v="V"/>
    <x v="0"/>
    <x v="0"/>
    <x v="0"/>
    <m/>
    <s v="X"/>
    <s v="GLOBAL DENT"/>
    <x v="0"/>
    <m/>
    <m/>
    <n v="61994327"/>
  </r>
  <r>
    <s v="0868"/>
    <s v="V"/>
    <x v="1"/>
    <x v="1"/>
    <x v="1"/>
    <s v="A"/>
    <m/>
    <n v="250225"/>
    <x v="20"/>
    <d v="2025-02-13T00:00:00"/>
    <d v="2025-03-15T00:00:00"/>
    <n v="1894120"/>
  </r>
  <r>
    <s v="0869"/>
    <s v="V"/>
    <x v="1"/>
    <x v="1"/>
    <x v="1"/>
    <s v="A"/>
    <m/>
    <n v="250464"/>
    <x v="20"/>
    <d v="2025-04-15T00:00:00"/>
    <d v="2025-05-13T00:00:00"/>
    <n v="5437742"/>
  </r>
  <r>
    <s v="0870"/>
    <s v="V"/>
    <x v="1"/>
    <x v="1"/>
    <x v="1"/>
    <s v="A"/>
    <m/>
    <n v="250610"/>
    <x v="20"/>
    <d v="2025-06-09T00:00:00"/>
    <d v="2025-06-23T00:00:00"/>
    <n v="4413830"/>
  </r>
  <r>
    <s v="0871"/>
    <s v="V"/>
    <x v="1"/>
    <x v="1"/>
    <x v="1"/>
    <s v="A"/>
    <m/>
    <n v="250806"/>
    <x v="20"/>
    <d v="2025-08-05T00:00:00"/>
    <d v="2025-08-12T00:00:00"/>
    <n v="5864370"/>
  </r>
  <r>
    <s v="0872"/>
    <s v="V"/>
    <x v="1"/>
    <x v="1"/>
    <x v="1"/>
    <s v="A"/>
    <m/>
    <n v="251226"/>
    <x v="20"/>
    <d v="2025-11-27T00:00:00"/>
    <d v="2025-12-09T00:00:00"/>
    <n v="4644480"/>
  </r>
  <r>
    <s v="0873"/>
    <s v="V"/>
    <x v="1"/>
    <x v="1"/>
    <x v="1"/>
    <s v="A"/>
    <m/>
    <n v="251243"/>
    <x v="20"/>
    <d v="2025-11-29T00:00:00"/>
    <d v="2025-12-09T00:00:00"/>
    <n v="2014000"/>
  </r>
  <r>
    <s v="0874"/>
    <s v="V"/>
    <x v="2"/>
    <x v="1"/>
    <x v="1"/>
    <s v="A"/>
    <m/>
    <n v="260013"/>
    <x v="20"/>
    <d v="2026-01-02T00:00:00"/>
    <d v="2026-01-29T00:00:00"/>
    <n v="10162298"/>
  </r>
  <r>
    <s v="0875"/>
    <s v="V"/>
    <x v="2"/>
    <x v="1"/>
    <x v="1"/>
    <s v="A"/>
    <m/>
    <n v="260142"/>
    <x v="20"/>
    <d v="2026-02-23T00:00:00"/>
    <d v="2026-02-28T00:00:00"/>
    <n v="6364092"/>
  </r>
  <r>
    <s v="0876"/>
    <s v="V"/>
    <x v="2"/>
    <x v="1"/>
    <x v="1"/>
    <s v="A"/>
    <m/>
    <n v="260218"/>
    <x v="20"/>
    <d v="2026-04-16T00:00:00"/>
    <d v="2026-04-21T00:00:00"/>
    <n v="9978704"/>
  </r>
  <r>
    <s v="0877"/>
    <s v="V"/>
    <x v="2"/>
    <x v="1"/>
    <x v="1"/>
    <s v="A"/>
    <m/>
    <n v="260265"/>
    <x v="20"/>
    <d v="2026-04-28T00:00:00"/>
    <d v="2026-05-07T00:00:00"/>
    <n v="793000"/>
  </r>
  <r>
    <s v="0878"/>
    <s v="V"/>
    <x v="2"/>
    <x v="1"/>
    <x v="1"/>
    <s v="A"/>
    <m/>
    <n v="260268"/>
    <x v="20"/>
    <d v="2026-05-07T00:00:00"/>
    <d v="2026-05-09T00:00:00"/>
    <n v="3135417"/>
  </r>
  <r>
    <s v="0879"/>
    <s v="V"/>
    <x v="2"/>
    <x v="2"/>
    <x v="1"/>
    <s v="A"/>
    <m/>
    <n v="260437"/>
    <x v="20"/>
    <d v="2026-06-30T00:00:00"/>
    <d v="2026-07-07T00:00:00"/>
    <n v="7292274"/>
  </r>
  <r>
    <s v="0880"/>
    <s v="V"/>
    <x v="0"/>
    <x v="0"/>
    <x v="0"/>
    <m/>
    <m/>
    <m/>
    <x v="0"/>
    <m/>
    <m/>
    <m/>
  </r>
  <r>
    <s v="0881"/>
    <s v="V"/>
    <x v="0"/>
    <x v="0"/>
    <x v="0"/>
    <m/>
    <m/>
    <m/>
    <x v="0"/>
    <m/>
    <m/>
    <m/>
  </r>
  <r>
    <s v="0882"/>
    <s v="V"/>
    <x v="0"/>
    <x v="0"/>
    <x v="0"/>
    <m/>
    <s v="X"/>
    <s v="GLOPER PRIMA MANDIRI, CV"/>
    <x v="0"/>
    <m/>
    <m/>
    <n v="34390908"/>
  </r>
  <r>
    <s v="0883"/>
    <s v="V"/>
    <x v="1"/>
    <x v="1"/>
    <x v="1"/>
    <s v="A"/>
    <m/>
    <n v="250279"/>
    <x v="21"/>
    <d v="2025-03-05T00:00:00"/>
    <d v="2025-04-29T00:00:00"/>
    <n v="1365300"/>
  </r>
  <r>
    <s v="0884"/>
    <s v="V"/>
    <x v="1"/>
    <x v="1"/>
    <x v="1"/>
    <s v="A"/>
    <m/>
    <n v="250407"/>
    <x v="21"/>
    <d v="2025-03-26T00:00:00"/>
    <d v="2025-04-29T00:00:00"/>
    <n v="222000"/>
  </r>
  <r>
    <s v="0885"/>
    <s v="V"/>
    <x v="1"/>
    <x v="1"/>
    <x v="1"/>
    <s v="A"/>
    <m/>
    <n v="250406"/>
    <x v="21"/>
    <d v="2025-03-27T00:00:00"/>
    <d v="2025-04-29T00:00:00"/>
    <n v="610500"/>
  </r>
  <r>
    <s v="0886"/>
    <s v="V"/>
    <x v="1"/>
    <x v="1"/>
    <x v="1"/>
    <s v="A"/>
    <m/>
    <n v="250515"/>
    <x v="21"/>
    <d v="2025-05-09T00:00:00"/>
    <d v="2025-06-03T00:00:00"/>
    <n v="987900"/>
  </r>
  <r>
    <s v="0887"/>
    <s v="V"/>
    <x v="1"/>
    <x v="1"/>
    <x v="1"/>
    <s v="A"/>
    <m/>
    <n v="250585"/>
    <x v="21"/>
    <d v="2025-06-09T00:00:00"/>
    <d v="2025-07-03T00:00:00"/>
    <n v="1282050"/>
  </r>
  <r>
    <s v="0888"/>
    <s v="V"/>
    <x v="1"/>
    <x v="1"/>
    <x v="1"/>
    <s v="A"/>
    <m/>
    <n v="250681"/>
    <x v="21"/>
    <d v="2025-06-11T00:00:00"/>
    <d v="2025-07-03T00:00:00"/>
    <n v="1312020"/>
  </r>
  <r>
    <s v="0889"/>
    <s v="V"/>
    <x v="1"/>
    <x v="1"/>
    <x v="1"/>
    <s v="A"/>
    <m/>
    <n v="250602"/>
    <x v="21"/>
    <d v="2025-06-18T00:00:00"/>
    <d v="2025-07-03T00:00:00"/>
    <n v="1443000"/>
  </r>
  <r>
    <s v="0890"/>
    <s v="V"/>
    <x v="1"/>
    <x v="1"/>
    <x v="1"/>
    <s v="A"/>
    <m/>
    <n v="250755"/>
    <x v="21"/>
    <d v="2025-07-28T00:00:00"/>
    <d v="2025-08-12T00:00:00"/>
    <n v="1221000"/>
  </r>
  <r>
    <s v="0891"/>
    <s v="V"/>
    <x v="1"/>
    <x v="1"/>
    <x v="1"/>
    <s v="A"/>
    <m/>
    <n v="250818"/>
    <x v="21"/>
    <d v="2025-08-15T00:00:00"/>
    <d v="2025-09-02T00:00:00"/>
    <n v="1082250"/>
  </r>
  <r>
    <s v="0892"/>
    <s v="V"/>
    <x v="1"/>
    <x v="1"/>
    <x v="1"/>
    <s v="A"/>
    <m/>
    <n v="250843"/>
    <x v="21"/>
    <d v="2025-08-21T00:00:00"/>
    <d v="2025-09-02T00:00:00"/>
    <n v="372960"/>
  </r>
  <r>
    <s v="0893"/>
    <s v="V"/>
    <x v="1"/>
    <x v="1"/>
    <x v="1"/>
    <s v="A"/>
    <m/>
    <n v="250851"/>
    <x v="21"/>
    <d v="2025-08-25T00:00:00"/>
    <d v="2025-09-02T00:00:00"/>
    <n v="610500"/>
  </r>
  <r>
    <s v="0894"/>
    <s v="V"/>
    <x v="1"/>
    <x v="1"/>
    <x v="1"/>
    <s v="A"/>
    <m/>
    <n v="250864"/>
    <x v="21"/>
    <d v="2025-08-27T00:00:00"/>
    <d v="2025-09-02T00:00:00"/>
    <n v="749916"/>
  </r>
  <r>
    <s v="0895"/>
    <s v="V"/>
    <x v="1"/>
    <x v="1"/>
    <x v="1"/>
    <s v="A"/>
    <m/>
    <n v="250910"/>
    <x v="21"/>
    <d v="2025-09-08T00:00:00"/>
    <d v="2025-10-07T00:00:00"/>
    <n v="1443000"/>
  </r>
  <r>
    <s v="0896"/>
    <s v="V"/>
    <x v="1"/>
    <x v="1"/>
    <x v="1"/>
    <s v="A"/>
    <m/>
    <n v="250923"/>
    <x v="21"/>
    <d v="2025-09-10T00:00:00"/>
    <d v="2025-10-07T00:00:00"/>
    <n v="2104560"/>
  </r>
  <r>
    <s v="0897"/>
    <s v="V"/>
    <x v="1"/>
    <x v="1"/>
    <x v="1"/>
    <s v="A"/>
    <m/>
    <n v="250961"/>
    <x v="21"/>
    <d v="2025-09-24T00:00:00"/>
    <d v="2025-10-07T00:00:00"/>
    <n v="277500"/>
  </r>
  <r>
    <s v="0898"/>
    <s v="V"/>
    <x v="1"/>
    <x v="1"/>
    <x v="1"/>
    <s v="A"/>
    <m/>
    <n v="251069"/>
    <x v="21"/>
    <d v="2025-09-24T00:00:00"/>
    <d v="2025-10-07T00:00:00"/>
    <n v="1793760"/>
  </r>
  <r>
    <s v="0899"/>
    <s v="V"/>
    <x v="1"/>
    <x v="1"/>
    <x v="1"/>
    <s v="A"/>
    <m/>
    <n v="251046"/>
    <x v="21"/>
    <d v="2025-10-15T00:00:00"/>
    <d v="2025-11-11T00:00:00"/>
    <n v="1499832"/>
  </r>
  <r>
    <s v="0900"/>
    <s v="V"/>
    <x v="1"/>
    <x v="1"/>
    <x v="1"/>
    <s v="A"/>
    <m/>
    <n v="251057"/>
    <x v="21"/>
    <d v="2025-10-16T00:00:00"/>
    <d v="2025-11-11T00:00:00"/>
    <n v="1110000"/>
  </r>
  <r>
    <s v="0901"/>
    <s v="V"/>
    <x v="1"/>
    <x v="1"/>
    <x v="1"/>
    <s v="A"/>
    <m/>
    <n v="251079"/>
    <x v="21"/>
    <d v="2025-10-20T00:00:00"/>
    <d v="2025-11-11T00:00:00"/>
    <n v="1254300"/>
  </r>
  <r>
    <s v="0902"/>
    <s v="V"/>
    <x v="1"/>
    <x v="1"/>
    <x v="1"/>
    <s v="A"/>
    <m/>
    <n v="251098"/>
    <x v="21"/>
    <d v="2025-10-27T00:00:00"/>
    <d v="2025-11-11T00:00:00"/>
    <n v="613275"/>
  </r>
  <r>
    <s v="0903"/>
    <s v="V"/>
    <x v="2"/>
    <x v="1"/>
    <x v="1"/>
    <s v="A"/>
    <m/>
    <n v="260055"/>
    <x v="21"/>
    <d v="2026-01-29T00:00:00"/>
    <d v="2026-02-05T00:00:00"/>
    <n v="1234875"/>
  </r>
  <r>
    <s v="0904"/>
    <s v="V"/>
    <x v="2"/>
    <x v="1"/>
    <x v="1"/>
    <s v="A"/>
    <m/>
    <n v="260054"/>
    <x v="21"/>
    <d v="2026-01-29T00:00:00"/>
    <d v="2026-02-05T00:00:00"/>
    <n v="355200"/>
  </r>
  <r>
    <s v="0905"/>
    <s v="V"/>
    <x v="2"/>
    <x v="1"/>
    <x v="1"/>
    <s v="A"/>
    <m/>
    <n v="260093"/>
    <x v="21"/>
    <d v="2026-02-02T00:00:00"/>
    <d v="2026-03-10T00:00:00"/>
    <n v="402930"/>
  </r>
  <r>
    <s v="0906"/>
    <s v="V"/>
    <x v="2"/>
    <x v="1"/>
    <x v="1"/>
    <s v="A"/>
    <m/>
    <n v="260094"/>
    <x v="21"/>
    <d v="2026-02-03T00:00:00"/>
    <d v="2026-03-10T00:00:00"/>
    <n v="1110000"/>
  </r>
  <r>
    <s v="0907"/>
    <s v="V"/>
    <x v="2"/>
    <x v="1"/>
    <x v="1"/>
    <s v="A"/>
    <m/>
    <n v="260103"/>
    <x v="21"/>
    <d v="2026-02-09T00:00:00"/>
    <d v="2026-03-10T00:00:00"/>
    <n v="1243200"/>
  </r>
  <r>
    <s v="0908"/>
    <s v="V"/>
    <x v="2"/>
    <x v="1"/>
    <x v="1"/>
    <s v="A"/>
    <m/>
    <n v="260154"/>
    <x v="21"/>
    <d v="2026-03-02T00:00:00"/>
    <d v="2026-04-07T00:00:00"/>
    <n v="1915860"/>
  </r>
  <r>
    <s v="0909"/>
    <s v="V"/>
    <x v="2"/>
    <x v="2"/>
    <x v="1"/>
    <s v="A"/>
    <m/>
    <n v="260312"/>
    <x v="21"/>
    <d v="2026-05-29T00:00:00"/>
    <d v="2026-06-04T00:00:00"/>
    <n v="1992450"/>
  </r>
  <r>
    <s v="0910"/>
    <s v="V"/>
    <x v="2"/>
    <x v="2"/>
    <x v="1"/>
    <s v="A"/>
    <m/>
    <n v="260336"/>
    <x v="21"/>
    <d v="2026-06-08T00:00:00"/>
    <d v="2026-07-07T00:00:00"/>
    <n v="832500"/>
  </r>
  <r>
    <s v="0911"/>
    <s v="V"/>
    <x v="2"/>
    <x v="2"/>
    <x v="1"/>
    <s v="A"/>
    <m/>
    <n v="260339"/>
    <x v="21"/>
    <d v="2026-06-09T00:00:00"/>
    <d v="2026-07-07T00:00:00"/>
    <n v="783660"/>
  </r>
  <r>
    <s v="0912"/>
    <s v="V"/>
    <x v="2"/>
    <x v="2"/>
    <x v="1"/>
    <s v="A"/>
    <m/>
    <n v="260360"/>
    <x v="21"/>
    <d v="2026-06-15T00:00:00"/>
    <d v="2026-07-07T00:00:00"/>
    <n v="1914750"/>
  </r>
  <r>
    <s v="0913"/>
    <s v="V"/>
    <x v="2"/>
    <x v="2"/>
    <x v="1"/>
    <s v="A"/>
    <m/>
    <n v="260412"/>
    <x v="21"/>
    <d v="2026-06-29T00:00:00"/>
    <d v="2026-07-07T00:00:00"/>
    <n v="1249860"/>
  </r>
  <r>
    <s v="0914"/>
    <s v="V"/>
    <x v="0"/>
    <x v="0"/>
    <x v="0"/>
    <m/>
    <m/>
    <m/>
    <x v="0"/>
    <m/>
    <m/>
    <m/>
  </r>
  <r>
    <s v="0915"/>
    <s v="V"/>
    <x v="0"/>
    <x v="0"/>
    <x v="0"/>
    <m/>
    <m/>
    <m/>
    <x v="0"/>
    <m/>
    <m/>
    <m/>
  </r>
  <r>
    <s v="0916"/>
    <s v="V"/>
    <x v="0"/>
    <x v="0"/>
    <x v="0"/>
    <m/>
    <s v="X"/>
    <s v="HARUM DEWA, PT"/>
    <x v="0"/>
    <m/>
    <m/>
    <n v="24939118"/>
  </r>
  <r>
    <s v="0917"/>
    <s v="V"/>
    <x v="1"/>
    <x v="1"/>
    <x v="1"/>
    <s v="A"/>
    <m/>
    <n v="250862"/>
    <x v="22"/>
    <d v="2025-08-26T00:00:00"/>
    <d v="2025-08-28T00:00:00"/>
    <n v="5550000"/>
  </r>
  <r>
    <s v="0918"/>
    <s v="V"/>
    <x v="1"/>
    <x v="2"/>
    <x v="1"/>
    <s v="A"/>
    <m/>
    <n v="251280"/>
    <x v="22"/>
    <d v="2025-12-10T00:00:00"/>
    <d v="2025-12-23T00:00:00"/>
    <n v="4195800"/>
  </r>
  <r>
    <s v="0919"/>
    <s v="V"/>
    <x v="2"/>
    <x v="2"/>
    <x v="1"/>
    <s v="A"/>
    <m/>
    <n v="260081"/>
    <x v="22"/>
    <d v="2026-01-28T00:00:00"/>
    <d v="2026-02-03T00:00:00"/>
    <n v="4700017"/>
  </r>
  <r>
    <s v="0920"/>
    <s v="V"/>
    <x v="2"/>
    <x v="2"/>
    <x v="1"/>
    <s v="A"/>
    <m/>
    <n v="260124"/>
    <x v="22"/>
    <d v="2026-02-12T00:00:00"/>
    <d v="2026-02-24T00:00:00"/>
    <n v="4662000"/>
  </r>
  <r>
    <s v="0921"/>
    <s v="V"/>
    <x v="2"/>
    <x v="2"/>
    <x v="1"/>
    <s v="A"/>
    <m/>
    <n v="260220"/>
    <x v="22"/>
    <d v="2026-04-14T00:00:00"/>
    <d v="2026-04-21T00:00:00"/>
    <n v="3263400"/>
  </r>
  <r>
    <s v="0922"/>
    <s v="V"/>
    <x v="2"/>
    <x v="2"/>
    <x v="1"/>
    <s v="A"/>
    <m/>
    <n v="260318"/>
    <x v="22"/>
    <d v="2026-04-30T00:00:00"/>
    <d v="2026-06-02T00:00:00"/>
    <n v="2567901"/>
  </r>
  <r>
    <s v="0923"/>
    <m/>
    <x v="0"/>
    <x v="0"/>
    <x v="0"/>
    <m/>
    <m/>
    <m/>
    <x v="0"/>
    <m/>
    <m/>
    <m/>
  </r>
  <r>
    <s v="0924"/>
    <m/>
    <x v="0"/>
    <x v="0"/>
    <x v="0"/>
    <m/>
    <m/>
    <m/>
    <x v="0"/>
    <m/>
    <m/>
    <m/>
  </r>
  <r>
    <s v="0925"/>
    <s v="V"/>
    <x v="0"/>
    <x v="0"/>
    <x v="0"/>
    <m/>
    <s v="X"/>
    <s v="HIDUP BAHAGIA"/>
    <x v="0"/>
    <m/>
    <m/>
    <n v="145137495"/>
  </r>
  <r>
    <s v="0926"/>
    <s v="V"/>
    <x v="1"/>
    <x v="1"/>
    <x v="1"/>
    <s v="A"/>
    <m/>
    <n v="250011"/>
    <x v="23"/>
    <d v="2025-01-04T00:00:00"/>
    <d v="2025-02-18T00:00:00"/>
    <n v="546120"/>
  </r>
  <r>
    <s v="0927"/>
    <s v="V"/>
    <x v="1"/>
    <x v="1"/>
    <x v="1"/>
    <s v="A"/>
    <m/>
    <n v="250014"/>
    <x v="23"/>
    <d v="2025-01-06T00:00:00"/>
    <d v="2025-02-18T00:00:00"/>
    <n v="1731600"/>
  </r>
  <r>
    <s v="0928"/>
    <s v="V"/>
    <x v="1"/>
    <x v="1"/>
    <x v="1"/>
    <s v="A"/>
    <m/>
    <n v="250042"/>
    <x v="23"/>
    <d v="2025-01-11T00:00:00"/>
    <d v="2025-02-18T00:00:00"/>
    <n v="1365300"/>
  </r>
  <r>
    <s v="0929"/>
    <s v="V"/>
    <x v="1"/>
    <x v="1"/>
    <x v="1"/>
    <s v="A"/>
    <m/>
    <n v="250064"/>
    <x v="23"/>
    <d v="2025-01-16T00:00:00"/>
    <d v="2025-02-18T00:00:00"/>
    <n v="3421575"/>
  </r>
  <r>
    <s v="0930"/>
    <s v="V"/>
    <x v="1"/>
    <x v="1"/>
    <x v="1"/>
    <s v="A"/>
    <m/>
    <n v="250059"/>
    <x v="23"/>
    <d v="2025-01-16T00:00:00"/>
    <d v="2025-02-18T00:00:00"/>
    <n v="2275500"/>
  </r>
  <r>
    <s v="0931"/>
    <s v="V"/>
    <x v="1"/>
    <x v="1"/>
    <x v="1"/>
    <s v="A"/>
    <m/>
    <n v="250085"/>
    <x v="23"/>
    <d v="2025-01-18T00:00:00"/>
    <d v="2025-02-18T00:00:00"/>
    <n v="2358750"/>
  </r>
  <r>
    <s v="0932"/>
    <s v="V"/>
    <x v="1"/>
    <x v="1"/>
    <x v="1"/>
    <s v="A"/>
    <m/>
    <n v="250072"/>
    <x v="23"/>
    <d v="2025-01-21T00:00:00"/>
    <d v="2025-02-18T00:00:00"/>
    <n v="1452990"/>
  </r>
  <r>
    <s v="0933"/>
    <s v="V"/>
    <x v="1"/>
    <x v="1"/>
    <x v="1"/>
    <s v="A"/>
    <m/>
    <n v="250139"/>
    <x v="23"/>
    <d v="2025-02-03T00:00:00"/>
    <d v="2025-03-18T00:00:00"/>
    <n v="2106447"/>
  </r>
  <r>
    <s v="0934"/>
    <s v="V"/>
    <x v="1"/>
    <x v="1"/>
    <x v="1"/>
    <s v="A"/>
    <m/>
    <n v="250147"/>
    <x v="23"/>
    <d v="2025-02-08T00:00:00"/>
    <d v="2025-03-18T00:00:00"/>
    <n v="1931400"/>
  </r>
  <r>
    <s v="0935"/>
    <s v="V"/>
    <x v="1"/>
    <x v="1"/>
    <x v="1"/>
    <s v="A"/>
    <m/>
    <n v="250125"/>
    <x v="23"/>
    <d v="2025-02-05T00:00:00"/>
    <d v="2025-03-18T00:00:00"/>
    <n v="4562988"/>
  </r>
  <r>
    <s v="0936"/>
    <s v="V"/>
    <x v="1"/>
    <x v="1"/>
    <x v="1"/>
    <s v="A"/>
    <m/>
    <n v="250215"/>
    <x v="23"/>
    <d v="2025-02-18T00:00:00"/>
    <d v="2025-03-18T00:00:00"/>
    <n v="1040958"/>
  </r>
  <r>
    <s v="0937"/>
    <s v="V"/>
    <x v="1"/>
    <x v="1"/>
    <x v="1"/>
    <s v="A"/>
    <m/>
    <n v="250213"/>
    <x v="23"/>
    <d v="2025-02-18T00:00:00"/>
    <d v="2025-03-18T00:00:00"/>
    <n v="469974"/>
  </r>
  <r>
    <s v="0938"/>
    <s v="V"/>
    <x v="1"/>
    <x v="1"/>
    <x v="1"/>
    <s v="A"/>
    <m/>
    <n v="250323"/>
    <x v="23"/>
    <d v="2025-02-26T00:00:00"/>
    <d v="2025-03-18T00:00:00"/>
    <n v="2471304"/>
  </r>
  <r>
    <s v="0939"/>
    <s v="V"/>
    <x v="1"/>
    <x v="1"/>
    <x v="1"/>
    <s v="A"/>
    <m/>
    <n v="250324"/>
    <x v="23"/>
    <d v="2025-02-28T00:00:00"/>
    <d v="2025-03-18T00:00:00"/>
    <n v="844932"/>
  </r>
  <r>
    <s v="0940"/>
    <s v="V"/>
    <x v="1"/>
    <x v="1"/>
    <x v="1"/>
    <s v="A"/>
    <m/>
    <n v="250322"/>
    <x v="23"/>
    <d v="2025-03-04T00:00:00"/>
    <d v="2025-04-08T00:00:00"/>
    <n v="1273392"/>
  </r>
  <r>
    <s v="0941"/>
    <s v="V"/>
    <x v="1"/>
    <x v="1"/>
    <x v="1"/>
    <s v="A"/>
    <m/>
    <n v="250321"/>
    <x v="23"/>
    <d v="2025-03-06T00:00:00"/>
    <d v="2025-04-08T00:00:00"/>
    <n v="941835"/>
  </r>
  <r>
    <s v="0942"/>
    <s v="V"/>
    <x v="1"/>
    <x v="1"/>
    <x v="1"/>
    <s v="A"/>
    <m/>
    <n v="250347"/>
    <x v="23"/>
    <d v="2025-03-18T00:00:00"/>
    <d v="2025-04-08T00:00:00"/>
    <n v="1835052"/>
  </r>
  <r>
    <s v="0943"/>
    <s v="V"/>
    <x v="1"/>
    <x v="1"/>
    <x v="1"/>
    <s v="A"/>
    <m/>
    <n v="250359"/>
    <x v="23"/>
    <d v="2025-03-20T00:00:00"/>
    <d v="2025-04-08T00:00:00"/>
    <n v="517260"/>
  </r>
  <r>
    <s v="0944"/>
    <s v="V"/>
    <x v="1"/>
    <x v="1"/>
    <x v="1"/>
    <s v="A"/>
    <m/>
    <n v="250409"/>
    <x v="23"/>
    <d v="2025-03-26T00:00:00"/>
    <d v="2025-04-08T00:00:00"/>
    <n v="3151623"/>
  </r>
  <r>
    <s v="0945"/>
    <s v="V"/>
    <x v="1"/>
    <x v="1"/>
    <x v="1"/>
    <s v="A"/>
    <m/>
    <n v="250408"/>
    <x v="23"/>
    <d v="2025-04-05T00:00:00"/>
    <d v="2025-05-13T00:00:00"/>
    <n v="2486400"/>
  </r>
  <r>
    <s v="0946"/>
    <s v="V"/>
    <x v="1"/>
    <x v="1"/>
    <x v="1"/>
    <s v="A"/>
    <m/>
    <n v="250429"/>
    <x v="23"/>
    <d v="2025-04-14T00:00:00"/>
    <d v="2025-05-13T00:00:00"/>
    <n v="6804078"/>
  </r>
  <r>
    <s v="0947"/>
    <s v="V"/>
    <x v="1"/>
    <x v="1"/>
    <x v="1"/>
    <s v="A"/>
    <m/>
    <n v="250463"/>
    <x v="23"/>
    <d v="2025-04-24T00:00:00"/>
    <d v="2025-05-13T00:00:00"/>
    <n v="3625260"/>
  </r>
  <r>
    <s v="0948"/>
    <s v="V"/>
    <x v="1"/>
    <x v="1"/>
    <x v="1"/>
    <s v="A"/>
    <m/>
    <n v="250473"/>
    <x v="23"/>
    <d v="2025-04-26T00:00:00"/>
    <d v="2025-05-13T00:00:00"/>
    <n v="287601"/>
  </r>
  <r>
    <s v="0949"/>
    <s v="V"/>
    <x v="1"/>
    <x v="1"/>
    <x v="1"/>
    <s v="A"/>
    <m/>
    <n v="250483"/>
    <x v="23"/>
    <d v="2025-04-28T00:00:00"/>
    <d v="2025-05-13T00:00:00"/>
    <n v="2670216"/>
  </r>
  <r>
    <s v="0950"/>
    <s v="V"/>
    <x v="1"/>
    <x v="1"/>
    <x v="1"/>
    <s v="A"/>
    <m/>
    <n v="250491"/>
    <x v="23"/>
    <d v="2025-05-03T00:00:00"/>
    <d v="2025-06-10T00:00:00"/>
    <n v="754911"/>
  </r>
  <r>
    <s v="0951"/>
    <s v="V"/>
    <x v="1"/>
    <x v="1"/>
    <x v="1"/>
    <s v="A"/>
    <m/>
    <n v="250501"/>
    <x v="23"/>
    <d v="2025-05-05T00:00:00"/>
    <d v="2025-06-10T00:00:00"/>
    <n v="3464199"/>
  </r>
  <r>
    <s v="0952"/>
    <s v="V"/>
    <x v="1"/>
    <x v="1"/>
    <x v="1"/>
    <s v="A"/>
    <m/>
    <n v="250528"/>
    <x v="23"/>
    <d v="2025-05-17T00:00:00"/>
    <d v="2025-06-10T00:00:00"/>
    <n v="1869018"/>
  </r>
  <r>
    <s v="0953"/>
    <s v="V"/>
    <x v="1"/>
    <x v="1"/>
    <x v="1"/>
    <s v="A"/>
    <m/>
    <n v="250516"/>
    <x v="23"/>
    <d v="2025-05-10T00:00:00"/>
    <d v="2025-06-10T00:00:00"/>
    <n v="2730600"/>
  </r>
  <r>
    <s v="0954"/>
    <s v="V"/>
    <x v="1"/>
    <x v="1"/>
    <x v="1"/>
    <s v="A"/>
    <m/>
    <n v="250541"/>
    <x v="23"/>
    <d v="2025-05-22T00:00:00"/>
    <d v="2025-06-10T00:00:00"/>
    <n v="470640"/>
  </r>
  <r>
    <s v="0955"/>
    <s v="V"/>
    <x v="1"/>
    <x v="1"/>
    <x v="1"/>
    <s v="A"/>
    <m/>
    <n v="250555"/>
    <x v="23"/>
    <d v="2025-05-28T00:00:00"/>
    <d v="2025-06-10T00:00:00"/>
    <n v="4900650"/>
  </r>
  <r>
    <s v="0956"/>
    <s v="V"/>
    <x v="1"/>
    <x v="1"/>
    <x v="1"/>
    <s v="A"/>
    <m/>
    <n v="250586"/>
    <x v="23"/>
    <d v="2025-06-07T00:00:00"/>
    <d v="2025-07-15T00:00:00"/>
    <n v="721500"/>
  </r>
  <r>
    <s v="0957"/>
    <s v="V"/>
    <x v="1"/>
    <x v="1"/>
    <x v="1"/>
    <s v="A"/>
    <m/>
    <n v="250599"/>
    <x v="23"/>
    <d v="2025-06-12T00:00:00"/>
    <d v="2025-07-15T00:00:00"/>
    <n v="3846372"/>
  </r>
  <r>
    <s v="0958"/>
    <s v="V"/>
    <x v="1"/>
    <x v="1"/>
    <x v="1"/>
    <s v="A"/>
    <m/>
    <n v="250598"/>
    <x v="23"/>
    <d v="2025-06-12T00:00:00"/>
    <d v="2025-07-15T00:00:00"/>
    <n v="164502"/>
  </r>
  <r>
    <s v="0959"/>
    <s v="V"/>
    <x v="1"/>
    <x v="1"/>
    <x v="1"/>
    <s v="A"/>
    <m/>
    <n v="250601"/>
    <x v="23"/>
    <d v="2025-06-14T00:00:00"/>
    <d v="2025-07-15T00:00:00"/>
    <n v="3119100"/>
  </r>
  <r>
    <s v="0960"/>
    <s v="V"/>
    <x v="1"/>
    <x v="1"/>
    <x v="1"/>
    <s v="A"/>
    <m/>
    <n v="250604"/>
    <x v="23"/>
    <d v="2025-06-16T00:00:00"/>
    <d v="2025-07-15T00:00:00"/>
    <n v="632700"/>
  </r>
  <r>
    <s v="0961"/>
    <s v="V"/>
    <x v="1"/>
    <x v="1"/>
    <x v="1"/>
    <s v="A"/>
    <m/>
    <n v="250603"/>
    <x v="23"/>
    <d v="2025-06-18T00:00:00"/>
    <d v="2025-07-15T00:00:00"/>
    <n v="1188144"/>
  </r>
  <r>
    <s v="0962"/>
    <s v="V"/>
    <x v="1"/>
    <x v="1"/>
    <x v="1"/>
    <s v="A"/>
    <m/>
    <n v="250632"/>
    <x v="23"/>
    <d v="2025-06-28T00:00:00"/>
    <d v="2025-07-15T00:00:00"/>
    <n v="2103450"/>
  </r>
  <r>
    <s v="0963"/>
    <s v="V"/>
    <x v="1"/>
    <x v="1"/>
    <x v="1"/>
    <s v="A"/>
    <m/>
    <n v="250656"/>
    <x v="23"/>
    <d v="2025-07-02T00:00:00"/>
    <d v="2025-08-12T00:00:00"/>
    <n v="1355310"/>
  </r>
  <r>
    <s v="0964"/>
    <s v="V"/>
    <x v="1"/>
    <x v="1"/>
    <x v="1"/>
    <s v="A"/>
    <m/>
    <n v="250655"/>
    <x v="23"/>
    <d v="2025-07-02T00:00:00"/>
    <d v="2025-08-12T00:00:00"/>
    <n v="470640"/>
  </r>
  <r>
    <s v="0965"/>
    <s v="V"/>
    <x v="1"/>
    <x v="1"/>
    <x v="1"/>
    <s v="A"/>
    <m/>
    <n v="250657"/>
    <x v="23"/>
    <d v="2025-07-07T00:00:00"/>
    <d v="2025-08-12T00:00:00"/>
    <n v="902652"/>
  </r>
  <r>
    <s v="0966"/>
    <s v="V"/>
    <x v="1"/>
    <x v="1"/>
    <x v="1"/>
    <s v="A"/>
    <m/>
    <n v="250667"/>
    <x v="23"/>
    <d v="2025-07-09T00:00:00"/>
    <d v="2025-08-12T00:00:00"/>
    <n v="1352979"/>
  </r>
  <r>
    <s v="0967"/>
    <s v="V"/>
    <x v="1"/>
    <x v="1"/>
    <x v="1"/>
    <s v="A"/>
    <m/>
    <n v="250666"/>
    <x v="23"/>
    <d v="2025-07-10T00:00:00"/>
    <d v="2025-08-12T00:00:00"/>
    <n v="1776000"/>
  </r>
  <r>
    <s v="0968"/>
    <s v="V"/>
    <x v="1"/>
    <x v="1"/>
    <x v="1"/>
    <s v="A"/>
    <m/>
    <n v="250696"/>
    <x v="23"/>
    <d v="2025-07-16T00:00:00"/>
    <d v="2025-08-12T00:00:00"/>
    <n v="7632360"/>
  </r>
  <r>
    <s v="0969"/>
    <s v="V"/>
    <x v="1"/>
    <x v="1"/>
    <x v="1"/>
    <s v="A"/>
    <m/>
    <n v="250701"/>
    <x v="23"/>
    <d v="2025-07-18T00:00:00"/>
    <d v="2025-08-12T00:00:00"/>
    <n v="2344320"/>
  </r>
  <r>
    <s v="0970"/>
    <s v="V"/>
    <x v="1"/>
    <x v="1"/>
    <x v="1"/>
    <s v="A"/>
    <m/>
    <n v="250758"/>
    <x v="23"/>
    <d v="2025-07-31T00:00:00"/>
    <d v="2025-08-12T00:00:00"/>
    <n v="2624706"/>
  </r>
  <r>
    <s v="0971"/>
    <s v="V"/>
    <x v="1"/>
    <x v="1"/>
    <x v="1"/>
    <s v="A"/>
    <m/>
    <n v="250786"/>
    <x v="23"/>
    <d v="2025-08-04T00:00:00"/>
    <d v="2025-09-16T00:00:00"/>
    <n v="2125872"/>
  </r>
  <r>
    <s v="0972"/>
    <s v="V"/>
    <x v="1"/>
    <x v="1"/>
    <x v="1"/>
    <s v="A"/>
    <m/>
    <n v="250802"/>
    <x v="23"/>
    <d v="2025-08-09T00:00:00"/>
    <d v="2025-09-16T00:00:00"/>
    <n v="1633920"/>
  </r>
  <r>
    <s v="0973"/>
    <s v="V"/>
    <x v="1"/>
    <x v="1"/>
    <x v="1"/>
    <s v="A"/>
    <m/>
    <n v="250810"/>
    <x v="23"/>
    <d v="2025-08-13T00:00:00"/>
    <d v="2025-09-16T00:00:00"/>
    <n v="560772"/>
  </r>
  <r>
    <s v="0974"/>
    <s v="V"/>
    <x v="1"/>
    <x v="1"/>
    <x v="1"/>
    <s v="A"/>
    <m/>
    <n v="250868"/>
    <x v="23"/>
    <d v="2025-08-30T00:00:00"/>
    <d v="2025-09-16T00:00:00"/>
    <n v="5132307"/>
  </r>
  <r>
    <s v="0975"/>
    <s v="V"/>
    <x v="1"/>
    <x v="1"/>
    <x v="1"/>
    <s v="A"/>
    <m/>
    <n v="250905"/>
    <x v="23"/>
    <d v="2025-09-03T00:00:00"/>
    <d v="2025-10-07T00:00:00"/>
    <n v="1077033"/>
  </r>
  <r>
    <s v="0976"/>
    <s v="V"/>
    <x v="1"/>
    <x v="1"/>
    <x v="1"/>
    <s v="A"/>
    <m/>
    <n v="250915"/>
    <x v="23"/>
    <d v="2025-09-09T00:00:00"/>
    <d v="2025-10-07T00:00:00"/>
    <n v="854700"/>
  </r>
  <r>
    <s v="0977"/>
    <s v="V"/>
    <x v="1"/>
    <x v="1"/>
    <x v="1"/>
    <s v="A"/>
    <m/>
    <n v="250928"/>
    <x v="23"/>
    <d v="2025-09-13T00:00:00"/>
    <d v="2025-10-07T00:00:00"/>
    <n v="494505"/>
  </r>
  <r>
    <s v="0978"/>
    <s v="V"/>
    <x v="1"/>
    <x v="1"/>
    <x v="1"/>
    <s v="A"/>
    <m/>
    <n v="250940"/>
    <x v="23"/>
    <d v="2025-09-17T00:00:00"/>
    <d v="2025-10-07T00:00:00"/>
    <n v="2550558"/>
  </r>
  <r>
    <s v="0979"/>
    <s v="V"/>
    <x v="1"/>
    <x v="1"/>
    <x v="1"/>
    <s v="A"/>
    <m/>
    <n v="251087"/>
    <x v="23"/>
    <d v="2025-10-22T00:00:00"/>
    <d v="2025-11-11T00:00:00"/>
    <n v="3071925"/>
  </r>
  <r>
    <s v="0980"/>
    <s v="V"/>
    <x v="1"/>
    <x v="1"/>
    <x v="1"/>
    <s v="A"/>
    <m/>
    <n v="251094"/>
    <x v="23"/>
    <d v="2025-10-25T00:00:00"/>
    <d v="2025-11-11T00:00:00"/>
    <n v="546120"/>
  </r>
  <r>
    <s v="0981"/>
    <s v="V"/>
    <x v="1"/>
    <x v="2"/>
    <x v="1"/>
    <s v="A"/>
    <m/>
    <n v="251108"/>
    <x v="23"/>
    <d v="2025-10-30T00:00:00"/>
    <d v="2025-11-11T00:00:00"/>
    <n v="1484958"/>
  </r>
  <r>
    <s v="0982"/>
    <s v="V"/>
    <x v="1"/>
    <x v="2"/>
    <x v="1"/>
    <s v="A"/>
    <m/>
    <n v="251190"/>
    <x v="23"/>
    <d v="2025-11-20T00:00:00"/>
    <d v="2025-12-09T00:00:00"/>
    <n v="805305"/>
  </r>
  <r>
    <s v="0983"/>
    <s v="V"/>
    <x v="1"/>
    <x v="2"/>
    <x v="1"/>
    <s v="A"/>
    <m/>
    <n v="251192"/>
    <x v="23"/>
    <d v="2025-11-21T00:00:00"/>
    <d v="2025-12-09T00:00:00"/>
    <n v="312243"/>
  </r>
  <r>
    <s v="0984"/>
    <s v="V"/>
    <x v="1"/>
    <x v="2"/>
    <x v="1"/>
    <s v="A"/>
    <m/>
    <n v="251210"/>
    <x v="23"/>
    <d v="2025-11-29T00:00:00"/>
    <d v="2025-12-09T00:00:00"/>
    <n v="2705958"/>
  </r>
  <r>
    <s v="0985"/>
    <s v="V"/>
    <x v="1"/>
    <x v="2"/>
    <x v="1"/>
    <s v="A"/>
    <m/>
    <n v="251242"/>
    <x v="23"/>
    <d v="2025-12-05T00:00:00"/>
    <d v="2026-01-06T00:00:00"/>
    <n v="744921"/>
  </r>
  <r>
    <s v="0986"/>
    <s v="V"/>
    <x v="1"/>
    <x v="2"/>
    <x v="1"/>
    <s v="A"/>
    <m/>
    <n v="251237"/>
    <x v="23"/>
    <d v="2025-12-05T00:00:00"/>
    <d v="2026-01-06T00:00:00"/>
    <n v="399045"/>
  </r>
  <r>
    <s v="0987"/>
    <s v="V"/>
    <x v="1"/>
    <x v="2"/>
    <x v="1"/>
    <s v="A"/>
    <m/>
    <n v="251254"/>
    <x v="23"/>
    <d v="2025-12-09T00:00:00"/>
    <d v="2026-01-06T00:00:00"/>
    <n v="1663335"/>
  </r>
  <r>
    <s v="0988"/>
    <s v="V"/>
    <x v="1"/>
    <x v="2"/>
    <x v="1"/>
    <s v="A"/>
    <m/>
    <n v="251288"/>
    <x v="23"/>
    <d v="2025-12-23T00:00:00"/>
    <d v="2026-01-06T00:00:00"/>
    <n v="5341320"/>
  </r>
  <r>
    <s v="0989"/>
    <s v="V"/>
    <x v="1"/>
    <x v="2"/>
    <x v="1"/>
    <s v="A"/>
    <m/>
    <n v="251305"/>
    <x v="23"/>
    <d v="2025-12-29T00:00:00"/>
    <d v="2026-01-06T00:00:00"/>
    <n v="211677"/>
  </r>
  <r>
    <s v="0990"/>
    <s v="V"/>
    <x v="2"/>
    <x v="2"/>
    <x v="1"/>
    <s v="A"/>
    <m/>
    <n v="260012"/>
    <x v="23"/>
    <d v="2026-01-12T00:00:00"/>
    <d v="2026-02-10T00:00:00"/>
    <n v="720834"/>
  </r>
  <r>
    <s v="0991"/>
    <s v="V"/>
    <x v="2"/>
    <x v="2"/>
    <x v="1"/>
    <s v="A"/>
    <m/>
    <n v="260297"/>
    <x v="23"/>
    <d v="2026-05-19T00:00:00"/>
    <d v="2026-06-25T00:00:00"/>
    <n v="7764672"/>
  </r>
  <r>
    <s v="0992"/>
    <s v="V"/>
    <x v="2"/>
    <x v="2"/>
    <x v="1"/>
    <s v="A"/>
    <m/>
    <n v="260335"/>
    <x v="23"/>
    <d v="2026-06-08T00:00:00"/>
    <d v="2026-06-25T00:00:00"/>
    <n v="2777997"/>
  </r>
  <r>
    <s v="0993"/>
    <s v="V"/>
    <x v="2"/>
    <x v="2"/>
    <x v="1"/>
    <s v="A"/>
    <m/>
    <n v="260337"/>
    <x v="23"/>
    <d v="2026-06-09T00:00:00"/>
    <d v="2026-06-25T00:00:00"/>
    <n v="1110000"/>
  </r>
  <r>
    <s v="0994"/>
    <s v="V"/>
    <x v="2"/>
    <x v="2"/>
    <x v="1"/>
    <s v="A"/>
    <m/>
    <n v="260358"/>
    <x v="23"/>
    <d v="2026-06-15T00:00:00"/>
    <d v="2026-07-14T00:00:00"/>
    <n v="966255"/>
  </r>
  <r>
    <s v="0995"/>
    <s v="V"/>
    <x v="2"/>
    <x v="2"/>
    <x v="1"/>
    <s v="A"/>
    <m/>
    <n v="260386"/>
    <x v="23"/>
    <d v="2026-06-22T00:00:00"/>
    <d v="2026-07-14T00:00:00"/>
    <n v="3543675"/>
  </r>
  <r>
    <s v="0996"/>
    <s v="V"/>
    <x v="2"/>
    <x v="2"/>
    <x v="1"/>
    <s v="A"/>
    <m/>
    <n v="260388"/>
    <x v="23"/>
    <d v="2026-06-23T00:00:00"/>
    <d v="2026-07-14T00:00:00"/>
    <n v="300033"/>
  </r>
  <r>
    <s v="0997"/>
    <s v="V"/>
    <x v="2"/>
    <x v="2"/>
    <x v="1"/>
    <s v="A"/>
    <m/>
    <n v="260401"/>
    <x v="23"/>
    <d v="2026-06-26T00:00:00"/>
    <d v="2026-07-14T00:00:00"/>
    <n v="854700"/>
  </r>
  <r>
    <s v="0998"/>
    <s v="V"/>
    <x v="2"/>
    <x v="2"/>
    <x v="1"/>
    <s v="A"/>
    <m/>
    <n v="260414"/>
    <x v="23"/>
    <d v="2026-06-29T00:00:00"/>
    <d v="2026-07-14T00:00:00"/>
    <n v="785547"/>
  </r>
  <r>
    <s v="0999"/>
    <s v="V"/>
    <x v="0"/>
    <x v="0"/>
    <x v="0"/>
    <m/>
    <m/>
    <m/>
    <x v="0"/>
    <m/>
    <m/>
    <m/>
  </r>
  <r>
    <s v="1000"/>
    <s v="V"/>
    <x v="0"/>
    <x v="0"/>
    <x v="0"/>
    <m/>
    <m/>
    <m/>
    <x v="0"/>
    <m/>
    <m/>
    <m/>
  </r>
  <r>
    <s v="1001"/>
    <s v="V"/>
    <x v="0"/>
    <x v="0"/>
    <x v="0"/>
    <m/>
    <s v="X"/>
    <s v="HYGEA SUMBER BINTANG, PT"/>
    <x v="0"/>
    <m/>
    <m/>
    <n v="4517700"/>
  </r>
  <r>
    <s v="1002"/>
    <s v="V"/>
    <x v="1"/>
    <x v="1"/>
    <x v="1"/>
    <s v="A"/>
    <m/>
    <n v="250570"/>
    <x v="24"/>
    <d v="2025-04-14T00:00:00"/>
    <d v="2025-05-28T00:00:00"/>
    <n v="1794870"/>
  </r>
  <r>
    <s v="1003"/>
    <s v="V"/>
    <x v="1"/>
    <x v="2"/>
    <x v="1"/>
    <s v="A"/>
    <m/>
    <n v="251066"/>
    <x v="24"/>
    <d v="2025-10-20T00:00:00"/>
    <d v="2025-11-13T00:00:00"/>
    <n v="2722830"/>
  </r>
  <r>
    <s v="1004"/>
    <s v="V"/>
    <x v="0"/>
    <x v="0"/>
    <x v="0"/>
    <m/>
    <m/>
    <m/>
    <x v="0"/>
    <m/>
    <m/>
    <m/>
  </r>
  <r>
    <s v="1005"/>
    <s v="V"/>
    <x v="0"/>
    <x v="0"/>
    <x v="0"/>
    <m/>
    <m/>
    <m/>
    <x v="0"/>
    <m/>
    <m/>
    <m/>
  </r>
  <r>
    <s v="1006"/>
    <s v="V"/>
    <x v="0"/>
    <x v="0"/>
    <x v="0"/>
    <m/>
    <s v="X"/>
    <s v="INDOFARMA GLOBAL MEDIKA, PT"/>
    <x v="0"/>
    <m/>
    <m/>
    <n v="715950"/>
  </r>
  <r>
    <s v="1007"/>
    <s v="V"/>
    <x v="3"/>
    <x v="1"/>
    <x v="1"/>
    <s v="A"/>
    <m/>
    <n v="242197"/>
    <x v="25"/>
    <d v="2024-10-19T00:00:00"/>
    <d v="2024-10-31T00:00:00"/>
    <n v="715950"/>
  </r>
  <r>
    <s v="1008"/>
    <s v="V"/>
    <x v="0"/>
    <x v="0"/>
    <x v="0"/>
    <m/>
    <m/>
    <m/>
    <x v="0"/>
    <m/>
    <m/>
    <m/>
  </r>
  <r>
    <s v="1009"/>
    <s v="V"/>
    <x v="0"/>
    <x v="0"/>
    <x v="0"/>
    <m/>
    <m/>
    <m/>
    <x v="0"/>
    <m/>
    <m/>
    <m/>
  </r>
  <r>
    <s v="1010"/>
    <s v="V"/>
    <x v="0"/>
    <x v="0"/>
    <x v="0"/>
    <m/>
    <s v="X"/>
    <s v="INDOMEDIKA SOLUSINDO, PT "/>
    <x v="0"/>
    <m/>
    <m/>
    <n v="22633869"/>
  </r>
  <r>
    <s v="1011"/>
    <s v="V"/>
    <x v="1"/>
    <x v="1"/>
    <x v="1"/>
    <s v="A"/>
    <m/>
    <n v="250047"/>
    <x v="26"/>
    <d v="2025-01-13T00:00:00"/>
    <d v="2025-02-20T00:00:00"/>
    <n v="558441"/>
  </r>
  <r>
    <s v="1012"/>
    <s v="V"/>
    <x v="1"/>
    <x v="1"/>
    <x v="1"/>
    <s v="A"/>
    <m/>
    <n v="250216"/>
    <x v="26"/>
    <d v="2025-02-13T00:00:00"/>
    <d v="2025-03-11T00:00:00"/>
    <n v="916333"/>
  </r>
  <r>
    <s v="1013"/>
    <s v="V"/>
    <x v="1"/>
    <x v="1"/>
    <x v="1"/>
    <s v="A"/>
    <m/>
    <n v="250329"/>
    <x v="26"/>
    <d v="2025-02-27T00:00:00"/>
    <d v="2025-03-22T00:00:00"/>
    <n v="2895546"/>
  </r>
  <r>
    <s v="1014"/>
    <s v="V"/>
    <x v="1"/>
    <x v="1"/>
    <x v="1"/>
    <s v="A"/>
    <m/>
    <n v="250411"/>
    <x v="26"/>
    <d v="2025-04-11T00:00:00"/>
    <d v="2025-04-29T00:00:00"/>
    <n v="780948"/>
  </r>
  <r>
    <s v="1015"/>
    <s v="V"/>
    <x v="1"/>
    <x v="2"/>
    <x v="1"/>
    <s v="A"/>
    <m/>
    <n v="250816"/>
    <x v="26"/>
    <d v="2025-08-15T00:00:00"/>
    <d v="2025-09-02T00:00:00"/>
    <n v="2136750"/>
  </r>
  <r>
    <s v="1016"/>
    <s v="V"/>
    <x v="1"/>
    <x v="2"/>
    <x v="1"/>
    <s v="A"/>
    <m/>
    <n v="251016"/>
    <x v="26"/>
    <d v="2025-10-01T00:00:00"/>
    <d v="2025-10-14T00:00:00"/>
    <n v="859140"/>
  </r>
  <r>
    <s v="1017"/>
    <s v="V"/>
    <x v="1"/>
    <x v="2"/>
    <x v="1"/>
    <s v="A"/>
    <m/>
    <n v="251029"/>
    <x v="26"/>
    <d v="2025-10-03T00:00:00"/>
    <d v="2025-10-14T00:00:00"/>
    <n v="2131200"/>
  </r>
  <r>
    <s v="1018"/>
    <s v="V"/>
    <x v="1"/>
    <x v="2"/>
    <x v="1"/>
    <s v="A"/>
    <m/>
    <n v="251123"/>
    <x v="26"/>
    <d v="2025-10-30T00:00:00"/>
    <d v="2025-11-20T00:00:00"/>
    <n v="715950"/>
  </r>
  <r>
    <s v="1019"/>
    <s v="V"/>
    <x v="1"/>
    <x v="2"/>
    <x v="1"/>
    <s v="A"/>
    <m/>
    <n v="251271"/>
    <x v="26"/>
    <d v="2025-12-15T00:00:00"/>
    <d v="2025-12-30T00:00:00"/>
    <n v="955950"/>
  </r>
  <r>
    <s v="1020"/>
    <s v="V"/>
    <x v="2"/>
    <x v="2"/>
    <x v="1"/>
    <s v="A"/>
    <m/>
    <n v="251271"/>
    <x v="26"/>
    <d v="2026-01-22T00:00:00"/>
    <d v="2026-02-03T00:00:00"/>
    <n v="5890770"/>
  </r>
  <r>
    <s v="1021"/>
    <s v="V"/>
    <x v="2"/>
    <x v="2"/>
    <x v="1"/>
    <s v="A"/>
    <m/>
    <n v="260164"/>
    <x v="26"/>
    <d v="2026-03-10T00:00:00"/>
    <d v="2026-03-31T00:00:00"/>
    <n v="859140"/>
  </r>
  <r>
    <s v="1022"/>
    <s v="V"/>
    <x v="2"/>
    <x v="2"/>
    <x v="1"/>
    <s v="A"/>
    <m/>
    <n v="260204"/>
    <x v="26"/>
    <d v="2026-04-08T00:00:00"/>
    <d v="2026-04-28T00:00:00"/>
    <n v="1404566"/>
  </r>
  <r>
    <s v="1023"/>
    <s v="V"/>
    <x v="2"/>
    <x v="2"/>
    <x v="1"/>
    <s v="A"/>
    <m/>
    <n v="260430"/>
    <x v="26"/>
    <d v="2026-07-02T00:00:00"/>
    <d v="2026-07-23T00:00:00"/>
    <n v="619935"/>
  </r>
  <r>
    <s v="1024"/>
    <s v="V"/>
    <x v="2"/>
    <x v="2"/>
    <x v="1"/>
    <s v="A"/>
    <m/>
    <n v="260442"/>
    <x v="26"/>
    <d v="2026-07-04T00:00:00"/>
    <d v="2026-07-23T00:00:00"/>
    <n v="1909200"/>
  </r>
  <r>
    <s v="1025"/>
    <s v="V"/>
    <x v="0"/>
    <x v="0"/>
    <x v="0"/>
    <m/>
    <m/>
    <m/>
    <x v="0"/>
    <m/>
    <m/>
    <m/>
  </r>
  <r>
    <s v="1026"/>
    <s v="V"/>
    <x v="0"/>
    <x v="0"/>
    <x v="0"/>
    <m/>
    <m/>
    <m/>
    <x v="0"/>
    <m/>
    <m/>
    <m/>
  </r>
  <r>
    <s v="1027"/>
    <s v="V"/>
    <x v="0"/>
    <x v="0"/>
    <x v="0"/>
    <m/>
    <s v="X"/>
    <s v="KALIMANTAN BHAKTI MEDIKA, PT "/>
    <x v="0"/>
    <m/>
    <m/>
    <n v="6121650"/>
  </r>
  <r>
    <s v="1028"/>
    <s v="V"/>
    <x v="2"/>
    <x v="2"/>
    <x v="1"/>
    <s v="A"/>
    <m/>
    <n v="260131"/>
    <x v="27"/>
    <d v="2026-02-23T00:00:00"/>
    <d v="2026-02-27T00:00:00"/>
    <n v="388500"/>
  </r>
  <r>
    <s v="1029"/>
    <s v="V"/>
    <x v="2"/>
    <x v="2"/>
    <x v="1"/>
    <s v="A"/>
    <m/>
    <n v="260112"/>
    <x v="27"/>
    <d v="2026-02-11T00:00:00"/>
    <d v="2026-02-27T00:00:00"/>
    <n v="5733150"/>
  </r>
  <r>
    <s v="1030"/>
    <s v="V"/>
    <x v="0"/>
    <x v="0"/>
    <x v="0"/>
    <m/>
    <m/>
    <m/>
    <x v="0"/>
    <m/>
    <m/>
    <m/>
  </r>
  <r>
    <s v="1031"/>
    <s v="V"/>
    <x v="0"/>
    <x v="0"/>
    <x v="0"/>
    <m/>
    <m/>
    <m/>
    <x v="0"/>
    <m/>
    <m/>
    <m/>
  </r>
  <r>
    <s v="1032"/>
    <s v="V"/>
    <x v="0"/>
    <x v="0"/>
    <x v="0"/>
    <m/>
    <s v="X"/>
    <s v="KEBAYORAN, PT "/>
    <x v="0"/>
    <m/>
    <m/>
    <n v="1300032"/>
  </r>
  <r>
    <s v="1033"/>
    <s v="V"/>
    <x v="2"/>
    <x v="2"/>
    <x v="1"/>
    <s v="A"/>
    <m/>
    <n v="260020"/>
    <x v="28"/>
    <d v="2026-01-15T00:00:00"/>
    <d v="2026-01-24T00:00:00"/>
    <n v="1300032"/>
  </r>
  <r>
    <s v="1034"/>
    <s v="V"/>
    <x v="0"/>
    <x v="0"/>
    <x v="0"/>
    <m/>
    <m/>
    <m/>
    <x v="0"/>
    <m/>
    <m/>
    <m/>
  </r>
  <r>
    <s v="1035"/>
    <s v="V"/>
    <x v="0"/>
    <x v="0"/>
    <x v="0"/>
    <m/>
    <m/>
    <m/>
    <x v="0"/>
    <m/>
    <m/>
    <m/>
  </r>
  <r>
    <s v="1036"/>
    <s v="V"/>
    <x v="0"/>
    <x v="0"/>
    <x v="0"/>
    <m/>
    <s v="X"/>
    <s v="KIMIA FARMA, PT"/>
    <x v="0"/>
    <m/>
    <m/>
    <n v="433611104"/>
  </r>
  <r>
    <s v="1037"/>
    <s v="V"/>
    <x v="1"/>
    <x v="1"/>
    <x v="1"/>
    <s v="A"/>
    <m/>
    <n v="250093"/>
    <x v="29"/>
    <d v="2025-01-21T00:00:00"/>
    <d v="2025-02-04T00:00:00"/>
    <n v="622499"/>
  </r>
  <r>
    <s v="1038"/>
    <s v="V"/>
    <x v="1"/>
    <x v="1"/>
    <x v="1"/>
    <s v="A"/>
    <m/>
    <n v="250092"/>
    <x v="29"/>
    <d v="2025-01-22T00:00:00"/>
    <d v="2025-02-04T00:00:00"/>
    <n v="1368031"/>
  </r>
  <r>
    <s v="1039"/>
    <s v="V"/>
    <x v="1"/>
    <x v="1"/>
    <x v="1"/>
    <s v="A"/>
    <m/>
    <n v="250104"/>
    <x v="29"/>
    <d v="2025-01-25T00:00:00"/>
    <d v="2025-02-04T00:00:00"/>
    <n v="251998"/>
  </r>
  <r>
    <s v="1040"/>
    <s v="V"/>
    <x v="1"/>
    <x v="1"/>
    <x v="1"/>
    <s v="A"/>
    <m/>
    <n v="250062"/>
    <x v="29"/>
    <d v="2025-01-16T00:00:00"/>
    <d v="2025-01-23T00:00:00"/>
    <n v="110889"/>
  </r>
  <r>
    <s v="1041"/>
    <s v="V"/>
    <x v="1"/>
    <x v="1"/>
    <x v="1"/>
    <s v="A"/>
    <m/>
    <n v="250061"/>
    <x v="29"/>
    <d v="2025-01-16T00:00:00"/>
    <d v="2025-01-23T00:00:00"/>
    <n v="5823704"/>
  </r>
  <r>
    <s v="1042"/>
    <s v="V"/>
    <x v="1"/>
    <x v="1"/>
    <x v="1"/>
    <s v="A"/>
    <m/>
    <n v="250063"/>
    <x v="29"/>
    <d v="2025-01-16T00:00:00"/>
    <d v="2025-01-23T00:00:00"/>
    <n v="80475"/>
  </r>
  <r>
    <s v="1043"/>
    <s v="V"/>
    <x v="1"/>
    <x v="1"/>
    <x v="1"/>
    <s v="A"/>
    <m/>
    <n v="250073"/>
    <x v="29"/>
    <d v="2025-01-17T00:00:00"/>
    <d v="2025-01-23T00:00:00"/>
    <n v="865963"/>
  </r>
  <r>
    <s v="1044"/>
    <s v="V"/>
    <x v="1"/>
    <x v="1"/>
    <x v="1"/>
    <s v="A"/>
    <m/>
    <n v="250074"/>
    <x v="29"/>
    <d v="2025-01-17T00:00:00"/>
    <d v="2025-01-23T00:00:00"/>
    <n v="15920009"/>
  </r>
  <r>
    <s v="1045"/>
    <s v="V"/>
    <x v="1"/>
    <x v="1"/>
    <x v="1"/>
    <s v="A"/>
    <m/>
    <n v="250258"/>
    <x v="29"/>
    <d v="2025-02-26T00:00:00"/>
    <d v="2025-03-11T00:00:00"/>
    <n v="12635685"/>
  </r>
  <r>
    <s v="1046"/>
    <s v="V"/>
    <x v="1"/>
    <x v="1"/>
    <x v="1"/>
    <s v="A"/>
    <m/>
    <n v="250260"/>
    <x v="29"/>
    <d v="2025-02-26T00:00:00"/>
    <d v="2025-03-11T00:00:00"/>
    <n v="4662000"/>
  </r>
  <r>
    <s v="1047"/>
    <s v="V"/>
    <x v="1"/>
    <x v="1"/>
    <x v="1"/>
    <s v="A"/>
    <m/>
    <n v="250261"/>
    <x v="29"/>
    <d v="2025-02-26T00:00:00"/>
    <d v="2025-03-11T00:00:00"/>
    <n v="3848412"/>
  </r>
  <r>
    <s v="1048"/>
    <s v="V"/>
    <x v="1"/>
    <x v="1"/>
    <x v="1"/>
    <s v="A"/>
    <m/>
    <n v="250230"/>
    <x v="29"/>
    <d v="2025-02-27T00:00:00"/>
    <d v="2025-03-11T00:00:00"/>
    <n v="3915525"/>
  </r>
  <r>
    <s v="1049"/>
    <s v="V"/>
    <x v="1"/>
    <x v="1"/>
    <x v="1"/>
    <s v="A"/>
    <m/>
    <n v="250264"/>
    <x v="29"/>
    <d v="2025-02-28T00:00:00"/>
    <d v="2025-03-11T00:00:00"/>
    <n v="582750"/>
  </r>
  <r>
    <s v="1050"/>
    <s v="V"/>
    <x v="1"/>
    <x v="1"/>
    <x v="1"/>
    <s v="A"/>
    <m/>
    <m/>
    <x v="0"/>
    <m/>
    <m/>
    <n v="-8139"/>
  </r>
  <r>
    <s v="1051"/>
    <s v="V"/>
    <x v="1"/>
    <x v="1"/>
    <x v="1"/>
    <s v="A"/>
    <m/>
    <m/>
    <x v="0"/>
    <m/>
    <m/>
    <n v="8139"/>
  </r>
  <r>
    <s v="1052"/>
    <s v="V"/>
    <x v="1"/>
    <x v="1"/>
    <x v="1"/>
    <s v="A"/>
    <m/>
    <n v="250259"/>
    <x v="29"/>
    <d v="2025-02-26T00:00:00"/>
    <d v="2025-03-11T00:00:00"/>
    <n v="11849988"/>
  </r>
  <r>
    <s v="1053"/>
    <s v="V"/>
    <x v="1"/>
    <x v="1"/>
    <x v="1"/>
    <s v="A"/>
    <m/>
    <n v="250265"/>
    <x v="29"/>
    <d v="2025-02-27T00:00:00"/>
    <d v="2025-03-11T00:00:00"/>
    <n v="7091568"/>
  </r>
  <r>
    <s v="1054"/>
    <s v="V"/>
    <x v="1"/>
    <x v="1"/>
    <x v="1"/>
    <s v="A"/>
    <m/>
    <n v="250266"/>
    <x v="29"/>
    <d v="2025-02-28T00:00:00"/>
    <d v="2025-03-11T00:00:00"/>
    <n v="410700"/>
  </r>
  <r>
    <s v="1055"/>
    <s v="V"/>
    <x v="1"/>
    <x v="1"/>
    <x v="1"/>
    <s v="A"/>
    <m/>
    <n v="250263"/>
    <x v="29"/>
    <d v="2025-02-28T00:00:00"/>
    <d v="2025-03-11T00:00:00"/>
    <n v="447552"/>
  </r>
  <r>
    <s v="1056"/>
    <s v="V"/>
    <x v="1"/>
    <x v="1"/>
    <x v="1"/>
    <s v="A"/>
    <m/>
    <n v="250307"/>
    <x v="29"/>
    <d v="2025-03-04T00:00:00"/>
    <d v="2025-03-11T00:00:00"/>
    <n v="2804393"/>
  </r>
  <r>
    <s v="1057"/>
    <s v="V"/>
    <x v="1"/>
    <x v="1"/>
    <x v="1"/>
    <s v="A"/>
    <m/>
    <n v="250305"/>
    <x v="29"/>
    <d v="2025-03-06T00:00:00"/>
    <d v="2025-03-20T00:00:00"/>
    <n v="188700"/>
  </r>
  <r>
    <s v="1058"/>
    <s v="V"/>
    <x v="1"/>
    <x v="1"/>
    <x v="1"/>
    <s v="A"/>
    <m/>
    <n v="250438"/>
    <x v="29"/>
    <d v="2025-04-17T00:00:00"/>
    <d v="2025-04-26T00:00:00"/>
    <n v="577999"/>
  </r>
  <r>
    <s v="1059"/>
    <s v="V"/>
    <x v="1"/>
    <x v="1"/>
    <x v="1"/>
    <s v="A"/>
    <m/>
    <n v="250450"/>
    <x v="29"/>
    <d v="2025-04-17T00:00:00"/>
    <d v="2025-04-26T00:00:00"/>
    <n v="450005"/>
  </r>
  <r>
    <s v="1060"/>
    <s v="V"/>
    <x v="1"/>
    <x v="1"/>
    <x v="1"/>
    <s v="A"/>
    <m/>
    <n v="250440"/>
    <x v="29"/>
    <d v="2025-04-17T00:00:00"/>
    <d v="2025-04-26T00:00:00"/>
    <n v="1298944"/>
  </r>
  <r>
    <s v="1061"/>
    <s v="V"/>
    <x v="1"/>
    <x v="1"/>
    <x v="1"/>
    <s v="A"/>
    <m/>
    <n v="250439"/>
    <x v="29"/>
    <d v="2025-04-17T00:00:00"/>
    <d v="2025-04-26T00:00:00"/>
    <n v="224282"/>
  </r>
  <r>
    <s v="1062"/>
    <s v="V"/>
    <x v="1"/>
    <x v="1"/>
    <x v="1"/>
    <s v="A"/>
    <m/>
    <m/>
    <x v="29"/>
    <d v="2025-04-21T00:00:00"/>
    <d v="2025-04-26T00:00:00"/>
    <n v="-2909998"/>
  </r>
  <r>
    <s v="1063"/>
    <s v="V"/>
    <x v="1"/>
    <x v="1"/>
    <x v="1"/>
    <s v="A"/>
    <m/>
    <m/>
    <x v="29"/>
    <d v="2025-04-21T00:00:00"/>
    <d v="2025-04-26T00:00:00"/>
    <n v="-2093295"/>
  </r>
  <r>
    <s v="1064"/>
    <s v="V"/>
    <x v="1"/>
    <x v="1"/>
    <x v="1"/>
    <s v="A"/>
    <m/>
    <n v="250552"/>
    <x v="29"/>
    <d v="2025-05-21T00:00:00"/>
    <d v="2025-06-10T00:00:00"/>
    <n v="10894206"/>
  </r>
  <r>
    <s v="1065"/>
    <s v="V"/>
    <x v="1"/>
    <x v="1"/>
    <x v="1"/>
    <s v="A"/>
    <m/>
    <n v="250546"/>
    <x v="29"/>
    <d v="2025-05-26T00:00:00"/>
    <d v="2025-06-10T00:00:00"/>
    <n v="3786432"/>
  </r>
  <r>
    <s v="1066"/>
    <s v="V"/>
    <x v="1"/>
    <x v="1"/>
    <x v="1"/>
    <s v="A"/>
    <m/>
    <n v="250562"/>
    <x v="29"/>
    <d v="2025-05-30T00:00:00"/>
    <d v="2025-06-10T00:00:00"/>
    <n v="3160376"/>
  </r>
  <r>
    <s v="1067"/>
    <s v="V"/>
    <x v="1"/>
    <x v="1"/>
    <x v="1"/>
    <s v="A"/>
    <m/>
    <n v="250577"/>
    <x v="29"/>
    <d v="2025-05-30T00:00:00"/>
    <d v="2025-06-10T00:00:00"/>
    <n v="205350"/>
  </r>
  <r>
    <s v="1068"/>
    <s v="V"/>
    <x v="1"/>
    <x v="1"/>
    <x v="1"/>
    <s v="A"/>
    <m/>
    <n v="250578"/>
    <x v="29"/>
    <d v="2025-05-31T00:00:00"/>
    <d v="2025-06-10T00:00:00"/>
    <n v="75003"/>
  </r>
  <r>
    <s v="1069"/>
    <s v="V"/>
    <x v="1"/>
    <x v="1"/>
    <x v="1"/>
    <s v="A"/>
    <m/>
    <n v="250548"/>
    <x v="29"/>
    <d v="2025-05-27T00:00:00"/>
    <d v="2025-06-10T00:00:00"/>
    <n v="2117880"/>
  </r>
  <r>
    <s v="1070"/>
    <s v="V"/>
    <x v="1"/>
    <x v="1"/>
    <x v="1"/>
    <s v="A"/>
    <m/>
    <n v="250588"/>
    <x v="29"/>
    <d v="2025-06-05T00:00:00"/>
    <d v="2025-06-19T00:00:00"/>
    <n v="3696300"/>
  </r>
  <r>
    <s v="1071"/>
    <s v="V"/>
    <x v="1"/>
    <x v="1"/>
    <x v="1"/>
    <s v="A"/>
    <m/>
    <n v="250611"/>
    <x v="29"/>
    <d v="2025-06-19T00:00:00"/>
    <d v="2025-06-26T00:00:00"/>
    <n v="200000"/>
  </r>
  <r>
    <s v="1072"/>
    <s v="V"/>
    <x v="1"/>
    <x v="1"/>
    <x v="1"/>
    <s v="A"/>
    <m/>
    <n v="250627"/>
    <x v="29"/>
    <d v="2025-06-25T00:00:00"/>
    <d v="2025-07-10T00:00:00"/>
    <n v="6160500"/>
  </r>
  <r>
    <s v="1073"/>
    <s v="V"/>
    <x v="1"/>
    <x v="1"/>
    <x v="1"/>
    <s v="A"/>
    <m/>
    <n v="250648"/>
    <x v="29"/>
    <d v="2025-06-26T00:00:00"/>
    <d v="2025-07-10T00:00:00"/>
    <n v="878621"/>
  </r>
  <r>
    <s v="1074"/>
    <s v="V"/>
    <x v="1"/>
    <x v="1"/>
    <x v="1"/>
    <s v="A"/>
    <m/>
    <n v="250647"/>
    <x v="29"/>
    <d v="2025-06-26T00:00:00"/>
    <d v="2025-07-10T00:00:00"/>
    <n v="300000"/>
  </r>
  <r>
    <s v="1075"/>
    <s v="V"/>
    <x v="1"/>
    <x v="1"/>
    <x v="1"/>
    <s v="A"/>
    <m/>
    <n v="250663"/>
    <x v="29"/>
    <d v="2025-07-05T00:00:00"/>
    <d v="2025-07-17T00:00:00"/>
    <n v="350527"/>
  </r>
  <r>
    <s v="1076"/>
    <s v="V"/>
    <x v="1"/>
    <x v="1"/>
    <x v="1"/>
    <s v="A"/>
    <m/>
    <n v="250668"/>
    <x v="29"/>
    <d v="2025-07-09T00:00:00"/>
    <d v="2025-07-17T00:00:00"/>
    <n v="3117467"/>
  </r>
  <r>
    <s v="1077"/>
    <s v="V"/>
    <x v="1"/>
    <x v="1"/>
    <x v="1"/>
    <s v="A"/>
    <m/>
    <n v="250669"/>
    <x v="29"/>
    <d v="2025-07-09T00:00:00"/>
    <d v="2025-07-17T00:00:00"/>
    <n v="2054344"/>
  </r>
  <r>
    <s v="1078"/>
    <s v="V"/>
    <x v="1"/>
    <x v="1"/>
    <x v="1"/>
    <s v="A"/>
    <m/>
    <n v="250700"/>
    <x v="29"/>
    <d v="2025-07-09T00:00:00"/>
    <d v="2025-07-24T00:00:00"/>
    <n v="8880000"/>
  </r>
  <r>
    <s v="1079"/>
    <s v="V"/>
    <x v="1"/>
    <x v="1"/>
    <x v="1"/>
    <s v="A"/>
    <m/>
    <n v="250688"/>
    <x v="29"/>
    <d v="2025-07-09T00:00:00"/>
    <d v="2025-07-24T00:00:00"/>
    <n v="200000"/>
  </r>
  <r>
    <s v="1080"/>
    <s v="V"/>
    <x v="1"/>
    <x v="1"/>
    <x v="1"/>
    <s v="A"/>
    <m/>
    <n v="250691"/>
    <x v="29"/>
    <d v="2025-07-15T00:00:00"/>
    <d v="2025-07-24T00:00:00"/>
    <n v="4025027"/>
  </r>
  <r>
    <s v="1081"/>
    <s v="V"/>
    <x v="1"/>
    <x v="1"/>
    <x v="1"/>
    <s v="A"/>
    <m/>
    <n v="250950"/>
    <x v="29"/>
    <d v="2025-09-22T00:00:00"/>
    <d v="2025-10-09T00:00:00"/>
    <n v="815850"/>
  </r>
  <r>
    <s v="1082"/>
    <s v="V"/>
    <x v="1"/>
    <x v="1"/>
    <x v="1"/>
    <s v="A"/>
    <m/>
    <n v="250957"/>
    <x v="29"/>
    <d v="2025-09-23T00:00:00"/>
    <d v="2025-10-09T00:00:00"/>
    <n v="2685904"/>
  </r>
  <r>
    <s v="1083"/>
    <s v="V"/>
    <x v="1"/>
    <x v="1"/>
    <x v="1"/>
    <s v="A"/>
    <m/>
    <n v="250964"/>
    <x v="29"/>
    <d v="2025-09-24T00:00:00"/>
    <d v="2025-10-09T00:00:00"/>
    <n v="466200"/>
  </r>
  <r>
    <s v="1084"/>
    <s v="V"/>
    <x v="1"/>
    <x v="1"/>
    <x v="1"/>
    <s v="A"/>
    <m/>
    <n v="250965"/>
    <x v="29"/>
    <d v="2025-09-24T00:00:00"/>
    <d v="2025-10-09T00:00:00"/>
    <n v="1402196"/>
  </r>
  <r>
    <s v="1085"/>
    <s v="V"/>
    <x v="1"/>
    <x v="1"/>
    <x v="1"/>
    <s v="A"/>
    <m/>
    <n v="250980"/>
    <x v="29"/>
    <d v="2025-09-24T00:00:00"/>
    <d v="2025-10-09T00:00:00"/>
    <n v="17234398"/>
  </r>
  <r>
    <s v="1086"/>
    <s v="V"/>
    <x v="1"/>
    <x v="1"/>
    <x v="1"/>
    <s v="A"/>
    <m/>
    <n v="250978"/>
    <x v="29"/>
    <d v="2025-09-24T00:00:00"/>
    <d v="2025-10-09T00:00:00"/>
    <n v="1946770"/>
  </r>
  <r>
    <s v="1087"/>
    <s v="V"/>
    <x v="1"/>
    <x v="1"/>
    <x v="1"/>
    <s v="A"/>
    <m/>
    <n v="250997"/>
    <x v="29"/>
    <d v="2025-09-24T00:00:00"/>
    <d v="2025-10-09T00:00:00"/>
    <n v="2078312"/>
  </r>
  <r>
    <s v="1088"/>
    <s v="V"/>
    <x v="1"/>
    <x v="1"/>
    <x v="1"/>
    <s v="A"/>
    <m/>
    <n v="250996"/>
    <x v="29"/>
    <d v="2025-09-24T00:00:00"/>
    <d v="2025-10-09T00:00:00"/>
    <n v="2175006"/>
  </r>
  <r>
    <s v="1089"/>
    <s v="V"/>
    <x v="1"/>
    <x v="1"/>
    <x v="1"/>
    <s v="A"/>
    <m/>
    <n v="251017"/>
    <x v="29"/>
    <d v="2025-10-06T00:00:00"/>
    <d v="2025-10-28T00:00:00"/>
    <n v="1398600"/>
  </r>
  <r>
    <s v="1090"/>
    <s v="V"/>
    <x v="1"/>
    <x v="1"/>
    <x v="1"/>
    <s v="A"/>
    <m/>
    <n v="251021"/>
    <x v="29"/>
    <d v="2025-10-06T00:00:00"/>
    <d v="2025-10-28T00:00:00"/>
    <n v="8350641"/>
  </r>
  <r>
    <s v="1091"/>
    <s v="V"/>
    <x v="1"/>
    <x v="1"/>
    <x v="1"/>
    <s v="A"/>
    <m/>
    <n v="251019"/>
    <x v="29"/>
    <d v="2025-10-06T00:00:00"/>
    <d v="2025-10-28T00:00:00"/>
    <n v="114552"/>
  </r>
  <r>
    <s v="1092"/>
    <s v="V"/>
    <x v="1"/>
    <x v="1"/>
    <x v="1"/>
    <s v="A"/>
    <m/>
    <n v="251018"/>
    <x v="29"/>
    <d v="2025-10-06T00:00:00"/>
    <d v="2025-10-28T00:00:00"/>
    <n v="699300"/>
  </r>
  <r>
    <s v="1093"/>
    <s v="V"/>
    <x v="1"/>
    <x v="1"/>
    <x v="1"/>
    <s v="A"/>
    <m/>
    <n v="251020"/>
    <x v="29"/>
    <d v="2025-10-06T00:00:00"/>
    <d v="2025-10-28T00:00:00"/>
    <n v="932400"/>
  </r>
  <r>
    <s v="1094"/>
    <s v="V"/>
    <x v="1"/>
    <x v="1"/>
    <x v="1"/>
    <s v="A"/>
    <m/>
    <n v="251028"/>
    <x v="29"/>
    <d v="2025-10-07T00:00:00"/>
    <d v="2025-10-28T00:00:00"/>
    <n v="8320005"/>
  </r>
  <r>
    <s v="1095"/>
    <s v="V"/>
    <x v="1"/>
    <x v="1"/>
    <x v="1"/>
    <s v="A"/>
    <m/>
    <n v="251027"/>
    <x v="29"/>
    <d v="2025-10-07T00:00:00"/>
    <d v="2025-10-28T00:00:00"/>
    <n v="501105"/>
  </r>
  <r>
    <s v="1096"/>
    <s v="V"/>
    <x v="1"/>
    <x v="1"/>
    <x v="1"/>
    <s v="A"/>
    <m/>
    <n v="251040"/>
    <x v="29"/>
    <d v="2025-10-10T00:00:00"/>
    <d v="2025-10-23T00:00:00"/>
    <n v="925019"/>
  </r>
  <r>
    <s v="1097"/>
    <s v="V"/>
    <x v="1"/>
    <x v="1"/>
    <x v="1"/>
    <s v="A"/>
    <m/>
    <n v="251039"/>
    <x v="29"/>
    <d v="2025-10-11T00:00:00"/>
    <d v="2025-10-23T00:00:00"/>
    <n v="6926400"/>
  </r>
  <r>
    <s v="1098"/>
    <s v="V"/>
    <x v="1"/>
    <x v="1"/>
    <x v="1"/>
    <s v="A"/>
    <m/>
    <n v="251075"/>
    <x v="29"/>
    <d v="2025-10-17T00:00:00"/>
    <d v="2025-10-23T00:00:00"/>
    <n v="6798528"/>
  </r>
  <r>
    <s v="1099"/>
    <s v="V"/>
    <x v="1"/>
    <x v="1"/>
    <x v="1"/>
    <s v="A"/>
    <m/>
    <n v="251074"/>
    <x v="29"/>
    <d v="2025-10-17T00:00:00"/>
    <d v="2025-10-23T00:00:00"/>
    <n v="97991"/>
  </r>
  <r>
    <s v="1100"/>
    <s v="V"/>
    <x v="1"/>
    <x v="1"/>
    <x v="1"/>
    <s v="A"/>
    <m/>
    <n v="251073"/>
    <x v="29"/>
    <d v="2025-10-17T00:00:00"/>
    <d v="2025-10-23T00:00:00"/>
    <n v="6160500"/>
  </r>
  <r>
    <s v="1101"/>
    <s v="V"/>
    <x v="1"/>
    <x v="1"/>
    <x v="1"/>
    <s v="A"/>
    <m/>
    <n v="251088"/>
    <x v="29"/>
    <d v="2025-10-22T00:00:00"/>
    <d v="2025-10-30T00:00:00"/>
    <n v="2078312"/>
  </r>
  <r>
    <s v="1102"/>
    <s v="V"/>
    <x v="1"/>
    <x v="1"/>
    <x v="1"/>
    <s v="A"/>
    <m/>
    <n v="251095"/>
    <x v="29"/>
    <d v="2025-10-24T00:00:00"/>
    <d v="2025-10-28T00:00:00"/>
    <n v="699811"/>
  </r>
  <r>
    <s v="1103"/>
    <s v="V"/>
    <x v="1"/>
    <x v="1"/>
    <x v="1"/>
    <s v="A"/>
    <m/>
    <n v="251101"/>
    <x v="29"/>
    <d v="2025-10-27T00:00:00"/>
    <d v="2025-10-30T00:00:00"/>
    <n v="4350012"/>
  </r>
  <r>
    <s v="1104"/>
    <s v="V"/>
    <x v="1"/>
    <x v="1"/>
    <x v="1"/>
    <s v="A"/>
    <m/>
    <n v="251165"/>
    <x v="29"/>
    <d v="2025-10-31T00:00:00"/>
    <d v="2025-11-13T00:00:00"/>
    <n v="12938160"/>
  </r>
  <r>
    <s v="1105"/>
    <s v="V"/>
    <x v="1"/>
    <x v="1"/>
    <x v="1"/>
    <s v="A"/>
    <m/>
    <n v="251174"/>
    <x v="29"/>
    <d v="2025-11-03T00:00:00"/>
    <d v="2025-11-13T00:00:00"/>
    <n v="1651200"/>
  </r>
  <r>
    <s v="1106"/>
    <s v="V"/>
    <x v="1"/>
    <x v="1"/>
    <x v="1"/>
    <s v="A"/>
    <m/>
    <n v="251153"/>
    <x v="29"/>
    <d v="2025-10-27T00:00:00"/>
    <d v="2025-11-20T00:00:00"/>
    <n v="849150"/>
  </r>
  <r>
    <s v="1107"/>
    <s v="V"/>
    <x v="1"/>
    <x v="1"/>
    <x v="1"/>
    <s v="A"/>
    <m/>
    <n v="251116"/>
    <x v="29"/>
    <d v="2025-10-28T00:00:00"/>
    <d v="2025-11-20T00:00:00"/>
    <n v="16410240"/>
  </r>
  <r>
    <s v="1108"/>
    <s v="V"/>
    <x v="1"/>
    <x v="1"/>
    <x v="1"/>
    <s v="A"/>
    <m/>
    <n v="251236"/>
    <x v="29"/>
    <d v="2025-12-03T00:00:00"/>
    <d v="2025-12-11T00:00:00"/>
    <n v="8078580"/>
  </r>
  <r>
    <s v="1109"/>
    <s v="V"/>
    <x v="1"/>
    <x v="1"/>
    <x v="1"/>
    <s v="A"/>
    <m/>
    <n v="251239"/>
    <x v="29"/>
    <d v="2025-12-03T00:00:00"/>
    <d v="2025-12-11T00:00:00"/>
    <n v="5600000"/>
  </r>
  <r>
    <s v="1110"/>
    <s v="V"/>
    <x v="1"/>
    <x v="1"/>
    <x v="1"/>
    <s v="A"/>
    <m/>
    <n v="251247"/>
    <x v="29"/>
    <d v="2025-12-05T00:00:00"/>
    <d v="2025-12-18T00:00:00"/>
    <n v="9374672"/>
  </r>
  <r>
    <s v="1111"/>
    <s v="V"/>
    <x v="1"/>
    <x v="1"/>
    <x v="1"/>
    <s v="A"/>
    <m/>
    <n v="251278"/>
    <x v="29"/>
    <d v="2025-12-12T00:00:00"/>
    <d v="2025-12-18T00:00:00"/>
    <n v="625923"/>
  </r>
  <r>
    <s v="1112"/>
    <s v="V"/>
    <x v="1"/>
    <x v="1"/>
    <x v="1"/>
    <s v="A"/>
    <m/>
    <n v="251287"/>
    <x v="29"/>
    <d v="2025-12-23T00:00:00"/>
    <d v="2026-01-08T00:00:00"/>
    <n v="1789553"/>
  </r>
  <r>
    <s v="1113"/>
    <s v="V"/>
    <x v="2"/>
    <x v="1"/>
    <x v="1"/>
    <s v="A"/>
    <m/>
    <n v="251309"/>
    <x v="29"/>
    <d v="2025-12-24T00:00:00"/>
    <d v="2026-02-12T00:00:00"/>
    <n v="542679"/>
  </r>
  <r>
    <s v="1114"/>
    <s v="V"/>
    <x v="2"/>
    <x v="1"/>
    <x v="1"/>
    <s v="A"/>
    <m/>
    <n v="260045"/>
    <x v="29"/>
    <d v="2026-01-23T00:00:00"/>
    <d v="2026-02-12T00:00:00"/>
    <n v="1582767"/>
  </r>
  <r>
    <s v="1115"/>
    <s v="V"/>
    <x v="2"/>
    <x v="1"/>
    <x v="1"/>
    <s v="A"/>
    <m/>
    <n v="260046"/>
    <x v="29"/>
    <d v="2026-01-23T00:00:00"/>
    <d v="2026-02-12T00:00:00"/>
    <n v="27324375"/>
  </r>
  <r>
    <s v="1116"/>
    <s v="V"/>
    <x v="2"/>
    <x v="1"/>
    <x v="1"/>
    <s v="A"/>
    <m/>
    <n v="260047"/>
    <x v="29"/>
    <d v="2026-01-23T00:00:00"/>
    <d v="2026-02-12T00:00:00"/>
    <n v="499500"/>
  </r>
  <r>
    <s v="1117"/>
    <s v="V"/>
    <x v="2"/>
    <x v="1"/>
    <x v="1"/>
    <s v="A"/>
    <m/>
    <n v="260048"/>
    <x v="29"/>
    <d v="2026-01-23T00:00:00"/>
    <d v="2026-02-12T00:00:00"/>
    <n v="19500036"/>
  </r>
  <r>
    <s v="1118"/>
    <s v="V"/>
    <x v="2"/>
    <x v="1"/>
    <x v="1"/>
    <s v="A"/>
    <m/>
    <n v="260049"/>
    <x v="29"/>
    <d v="2026-01-28T00:00:00"/>
    <d v="2026-02-12T00:00:00"/>
    <n v="10091232"/>
  </r>
  <r>
    <s v="1119"/>
    <s v="V"/>
    <x v="2"/>
    <x v="1"/>
    <x v="1"/>
    <s v="A"/>
    <m/>
    <n v="260050"/>
    <x v="29"/>
    <d v="2026-01-28T00:00:00"/>
    <d v="2026-02-12T00:00:00"/>
    <n v="13634352"/>
  </r>
  <r>
    <s v="1120"/>
    <s v="V"/>
    <x v="1"/>
    <x v="1"/>
    <x v="1"/>
    <s v="A"/>
    <m/>
    <n v="260097"/>
    <x v="29"/>
    <d v="2026-01-29T00:00:00"/>
    <d v="2026-02-12T00:00:00"/>
    <n v="8205120"/>
  </r>
  <r>
    <s v="1121"/>
    <s v="V"/>
    <x v="2"/>
    <x v="1"/>
    <x v="1"/>
    <s v="A"/>
    <m/>
    <n v="260096"/>
    <x v="29"/>
    <d v="2026-02-03T00:00:00"/>
    <d v="2026-02-12T00:00:00"/>
    <n v="20851087"/>
  </r>
  <r>
    <s v="1122"/>
    <s v="V"/>
    <x v="2"/>
    <x v="1"/>
    <x v="1"/>
    <s v="A"/>
    <m/>
    <n v="260095"/>
    <x v="29"/>
    <d v="2026-02-03T00:00:00"/>
    <d v="2026-02-12T00:00:00"/>
    <n v="6623925"/>
  </r>
  <r>
    <s v="1123"/>
    <s v="V"/>
    <x v="2"/>
    <x v="1"/>
    <x v="1"/>
    <s v="A"/>
    <m/>
    <n v="260098"/>
    <x v="29"/>
    <d v="2026-02-04T00:00:00"/>
    <d v="2026-02-12T00:00:00"/>
    <n v="9363072"/>
  </r>
  <r>
    <s v="1124"/>
    <s v="V"/>
    <x v="2"/>
    <x v="1"/>
    <x v="1"/>
    <s v="A"/>
    <m/>
    <n v="260108"/>
    <x v="29"/>
    <d v="2026-02-11T00:00:00"/>
    <d v="2026-02-21T00:00:00"/>
    <n v="8008650"/>
  </r>
  <r>
    <s v="1125"/>
    <s v="V"/>
    <x v="2"/>
    <x v="1"/>
    <x v="1"/>
    <s v="A"/>
    <m/>
    <n v="260110"/>
    <x v="29"/>
    <d v="2026-02-11T00:00:00"/>
    <d v="2026-02-21T00:00:00"/>
    <n v="3385825"/>
  </r>
  <r>
    <s v="1126"/>
    <s v="V"/>
    <x v="2"/>
    <x v="1"/>
    <x v="1"/>
    <s v="A"/>
    <m/>
    <n v="260109"/>
    <x v="29"/>
    <d v="2026-02-11T00:00:00"/>
    <d v="2026-02-21T00:00:00"/>
    <n v="2497500"/>
  </r>
  <r>
    <s v="1127"/>
    <s v="V"/>
    <x v="2"/>
    <x v="1"/>
    <x v="1"/>
    <s v="A"/>
    <m/>
    <n v="260115"/>
    <x v="29"/>
    <d v="2026-02-12T00:00:00"/>
    <d v="2026-02-28T00:00:00"/>
    <n v="2528910"/>
  </r>
  <r>
    <s v="1128"/>
    <s v="V"/>
    <x v="2"/>
    <x v="1"/>
    <x v="1"/>
    <s v="A"/>
    <m/>
    <n v="260399"/>
    <x v="29"/>
    <d v="2026-06-25T00:00:00"/>
    <d v="2026-06-30T00:00:00"/>
    <n v="17374275"/>
  </r>
  <r>
    <s v="1129"/>
    <s v="V"/>
    <x v="2"/>
    <x v="1"/>
    <x v="1"/>
    <s v="A"/>
    <m/>
    <n v="260406"/>
    <x v="29"/>
    <d v="2026-06-27T00:00:00"/>
    <d v="2026-07-07T00:00:00"/>
    <n v="419025"/>
  </r>
  <r>
    <s v="1130"/>
    <s v="V"/>
    <x v="2"/>
    <x v="1"/>
    <x v="1"/>
    <s v="A"/>
    <m/>
    <n v="260407"/>
    <x v="29"/>
    <d v="2026-06-27T00:00:00"/>
    <d v="2026-07-07T00:00:00"/>
    <n v="5045501"/>
  </r>
  <r>
    <s v="1131"/>
    <s v="V"/>
    <x v="2"/>
    <x v="1"/>
    <x v="1"/>
    <s v="A"/>
    <m/>
    <n v="260408"/>
    <x v="29"/>
    <d v="2026-06-27T00:00:00"/>
    <d v="2026-07-07T00:00:00"/>
    <n v="638138"/>
  </r>
  <r>
    <s v="1132"/>
    <s v="V"/>
    <x v="2"/>
    <x v="1"/>
    <x v="1"/>
    <s v="A"/>
    <m/>
    <n v="260417"/>
    <x v="29"/>
    <d v="2026-06-30T00:00:00"/>
    <d v="2026-07-07T00:00:00"/>
    <n v="3962700"/>
  </r>
  <r>
    <s v="1133"/>
    <s v="V"/>
    <x v="2"/>
    <x v="1"/>
    <x v="1"/>
    <s v="A"/>
    <m/>
    <n v="260418"/>
    <x v="29"/>
    <d v="2026-06-30T00:00:00"/>
    <d v="2026-07-07T00:00:00"/>
    <n v="3763011"/>
  </r>
  <r>
    <s v="1134"/>
    <s v="V"/>
    <x v="2"/>
    <x v="1"/>
    <x v="1"/>
    <s v="A"/>
    <m/>
    <n v="260419"/>
    <x v="29"/>
    <d v="2026-06-30T00:00:00"/>
    <d v="2026-07-07T00:00:00"/>
    <n v="17999"/>
  </r>
  <r>
    <s v="1135"/>
    <s v="V"/>
    <x v="2"/>
    <x v="1"/>
    <x v="1"/>
    <s v="A"/>
    <m/>
    <n v="260420"/>
    <x v="29"/>
    <d v="2026-06-30T00:00:00"/>
    <d v="2026-07-07T00:00:00"/>
    <n v="499500"/>
  </r>
  <r>
    <s v="1136"/>
    <s v="V"/>
    <x v="2"/>
    <x v="2"/>
    <x v="1"/>
    <s v="A"/>
    <m/>
    <n v="260436"/>
    <x v="29"/>
    <d v="2026-07-04T00:00:00"/>
    <d v="2026-07-14T00:00:00"/>
    <n v="244200"/>
  </r>
  <r>
    <s v="1137"/>
    <s v="V"/>
    <x v="2"/>
    <x v="2"/>
    <x v="1"/>
    <s v="A"/>
    <m/>
    <n v="260480"/>
    <x v="29"/>
    <d v="2026-07-14T00:00:00"/>
    <d v="2026-07-23T00:00:00"/>
    <n v="172522"/>
  </r>
  <r>
    <s v="1138"/>
    <s v="V"/>
    <x v="2"/>
    <x v="2"/>
    <x v="1"/>
    <s v="A"/>
    <m/>
    <n v="260462"/>
    <x v="29"/>
    <d v="2026-07-14T00:00:00"/>
    <d v="2026-07-23T00:00:00"/>
    <n v="2953128"/>
  </r>
  <r>
    <s v="1139"/>
    <s v="V"/>
    <x v="2"/>
    <x v="2"/>
    <x v="1"/>
    <s v="A"/>
    <m/>
    <n v="260482"/>
    <x v="29"/>
    <d v="2026-07-14T00:00:00"/>
    <d v="2026-07-23T00:00:00"/>
    <n v="750360"/>
  </r>
  <r>
    <s v="1140"/>
    <s v="V"/>
    <x v="2"/>
    <x v="2"/>
    <x v="1"/>
    <s v="A"/>
    <m/>
    <n v="260481"/>
    <x v="29"/>
    <d v="2026-07-14T00:00:00"/>
    <d v="2026-07-23T00:00:00"/>
    <n v="164280"/>
  </r>
  <r>
    <s v="1141"/>
    <s v="V"/>
    <x v="2"/>
    <x v="2"/>
    <x v="1"/>
    <s v="A"/>
    <m/>
    <n v="260484"/>
    <x v="29"/>
    <d v="2026-07-15T00:00:00"/>
    <d v="2026-07-23T00:00:00"/>
    <n v="167610"/>
  </r>
  <r>
    <s v="1142"/>
    <s v="V"/>
    <x v="2"/>
    <x v="2"/>
    <x v="1"/>
    <s v="A"/>
    <m/>
    <n v="260496"/>
    <x v="29"/>
    <d v="2026-07-16T00:00:00"/>
    <d v="2026-07-23T00:00:00"/>
    <n v="1470342"/>
  </r>
  <r>
    <s v="1143"/>
    <s v="V"/>
    <x v="2"/>
    <x v="2"/>
    <x v="1"/>
    <s v="A"/>
    <m/>
    <n v="260495"/>
    <x v="29"/>
    <d v="2026-07-16T00:00:00"/>
    <d v="2026-07-23T00:00:00"/>
    <n v="1402152"/>
  </r>
  <r>
    <s v="1144"/>
    <s v="V"/>
    <x v="2"/>
    <x v="2"/>
    <x v="1"/>
    <s v="A"/>
    <m/>
    <n v="260508"/>
    <x v="29"/>
    <d v="2026-07-18T00:00:00"/>
    <d v="2026-07-23T00:00:00"/>
    <n v="357420"/>
  </r>
  <r>
    <s v="1145"/>
    <s v="V"/>
    <x v="2"/>
    <x v="2"/>
    <x v="1"/>
    <s v="A"/>
    <m/>
    <n v="260510"/>
    <x v="29"/>
    <d v="2026-07-20T00:00:00"/>
    <d v="2026-07-30T00:00:00"/>
    <n v="3963810"/>
  </r>
  <r>
    <s v="1146"/>
    <s v="V"/>
    <x v="0"/>
    <x v="0"/>
    <x v="0"/>
    <m/>
    <m/>
    <m/>
    <x v="0"/>
    <m/>
    <m/>
    <m/>
  </r>
  <r>
    <s v="1147"/>
    <s v="V"/>
    <x v="0"/>
    <x v="0"/>
    <x v="0"/>
    <m/>
    <m/>
    <m/>
    <x v="0"/>
    <m/>
    <m/>
    <m/>
  </r>
  <r>
    <s v="1148"/>
    <s v="V"/>
    <x v="0"/>
    <x v="0"/>
    <x v="0"/>
    <m/>
    <s v="X"/>
    <s v="LAWSIM ZECHA, PT"/>
    <x v="0"/>
    <m/>
    <m/>
    <n v="1457152"/>
  </r>
  <r>
    <s v="1149"/>
    <s v="V"/>
    <x v="2"/>
    <x v="0"/>
    <x v="1"/>
    <s v="A"/>
    <m/>
    <n v="260101"/>
    <x v="30"/>
    <d v="2026-01-06T00:00:00"/>
    <d v="2026-02-10T00:00:00"/>
    <n v="1457152"/>
  </r>
  <r>
    <s v="1150"/>
    <s v="V"/>
    <x v="0"/>
    <x v="0"/>
    <x v="0"/>
    <m/>
    <m/>
    <m/>
    <x v="0"/>
    <m/>
    <m/>
    <m/>
  </r>
  <r>
    <s v="1151"/>
    <s v="V"/>
    <x v="0"/>
    <x v="0"/>
    <x v="0"/>
    <m/>
    <m/>
    <m/>
    <x v="0"/>
    <m/>
    <m/>
    <m/>
  </r>
  <r>
    <s v="1152"/>
    <s v="V"/>
    <x v="0"/>
    <x v="0"/>
    <x v="0"/>
    <m/>
    <s v="X"/>
    <s v="MAHAKAM SEJAHTERA ABADI, PT"/>
    <x v="0"/>
    <m/>
    <m/>
    <n v="22005039"/>
  </r>
  <r>
    <s v="1153"/>
    <s v="V"/>
    <x v="1"/>
    <x v="1"/>
    <x v="1"/>
    <s v="A"/>
    <m/>
    <n v="250046"/>
    <x v="31"/>
    <d v="2025-01-09T00:00:00"/>
    <d v="2025-01-28T00:00:00"/>
    <n v="4009286"/>
  </r>
  <r>
    <s v="1154"/>
    <s v="V"/>
    <x v="1"/>
    <x v="1"/>
    <x v="1"/>
    <s v="A"/>
    <m/>
    <n v="250049"/>
    <x v="31"/>
    <d v="2025-02-06T00:00:00"/>
    <d v="2025-02-20T00:00:00"/>
    <n v="1864800"/>
  </r>
  <r>
    <s v="1155"/>
    <s v="V"/>
    <x v="1"/>
    <x v="1"/>
    <x v="1"/>
    <s v="A"/>
    <m/>
    <n v="250130"/>
    <x v="31"/>
    <d v="2025-02-04T00:00:00"/>
    <d v="2025-02-25T00:00:00"/>
    <n v="8247289"/>
  </r>
  <r>
    <s v="1156"/>
    <s v="V"/>
    <x v="1"/>
    <x v="1"/>
    <x v="1"/>
    <s v="A"/>
    <m/>
    <n v="250129"/>
    <x v="31"/>
    <d v="2025-02-04T00:00:00"/>
    <d v="2025-02-25T00:00:00"/>
    <n v="288600"/>
  </r>
  <r>
    <s v="1157"/>
    <s v="V"/>
    <x v="1"/>
    <x v="1"/>
    <x v="1"/>
    <s v="A"/>
    <m/>
    <n v="250299"/>
    <x v="31"/>
    <d v="2025-03-03T00:00:00"/>
    <d v="2025-03-13T00:00:00"/>
    <n v="285048"/>
  </r>
  <r>
    <s v="1158"/>
    <s v="V"/>
    <x v="1"/>
    <x v="1"/>
    <x v="1"/>
    <s v="A"/>
    <m/>
    <n v="250352"/>
    <x v="31"/>
    <d v="2025-03-19T00:00:00"/>
    <d v="2025-04-08T00:00:00"/>
    <n v="1827504"/>
  </r>
  <r>
    <s v="1159"/>
    <s v="V"/>
    <x v="1"/>
    <x v="1"/>
    <x v="1"/>
    <s v="A"/>
    <m/>
    <n v="250496"/>
    <x v="31"/>
    <d v="2025-04-30T00:00:00"/>
    <d v="2025-05-13T00:00:00"/>
    <n v="1827504"/>
  </r>
  <r>
    <s v="1160"/>
    <s v="V"/>
    <x v="1"/>
    <x v="1"/>
    <x v="1"/>
    <s v="A"/>
    <m/>
    <n v="250774"/>
    <x v="32"/>
    <d v="2025-08-01T00:00:00"/>
    <d v="2025-08-19T00:00:00"/>
    <n v="3655008"/>
  </r>
  <r>
    <s v="1161"/>
    <s v="V"/>
    <x v="0"/>
    <x v="0"/>
    <x v="0"/>
    <m/>
    <m/>
    <m/>
    <x v="0"/>
    <m/>
    <m/>
    <m/>
  </r>
  <r>
    <s v="1162"/>
    <s v="V"/>
    <x v="0"/>
    <x v="0"/>
    <x v="0"/>
    <m/>
    <m/>
    <m/>
    <x v="0"/>
    <m/>
    <m/>
    <m/>
  </r>
  <r>
    <s v="1163"/>
    <s v="V"/>
    <x v="0"/>
    <x v="0"/>
    <x v="0"/>
    <m/>
    <s v="X"/>
    <s v="MAHAKAM SEJAHTERA ALKESINDO, PT"/>
    <x v="0"/>
    <m/>
    <m/>
    <n v="43790782"/>
  </r>
  <r>
    <s v="1164"/>
    <s v="V"/>
    <x v="1"/>
    <x v="1"/>
    <x v="1"/>
    <s v="A"/>
    <m/>
    <n v="250049"/>
    <x v="33"/>
    <d v="2025-01-13T00:00:00"/>
    <d v="2025-02-11T00:00:00"/>
    <n v="2119001"/>
  </r>
  <r>
    <s v="1165"/>
    <s v="V"/>
    <x v="1"/>
    <x v="1"/>
    <x v="1"/>
    <s v="A"/>
    <m/>
    <n v="250328"/>
    <x v="33"/>
    <d v="2025-03-06T00:00:00"/>
    <d v="2025-03-13T00:00:00"/>
    <n v="1807835"/>
  </r>
  <r>
    <s v="1166"/>
    <s v="V"/>
    <x v="1"/>
    <x v="1"/>
    <x v="1"/>
    <s v="A"/>
    <m/>
    <n v="250370"/>
    <x v="33"/>
    <d v="2025-03-25T00:00:00"/>
    <d v="2025-04-15T00:00:00"/>
    <n v="2119002"/>
  </r>
  <r>
    <s v="1167"/>
    <s v="V"/>
    <x v="1"/>
    <x v="1"/>
    <x v="1"/>
    <s v="A"/>
    <m/>
    <n v="250412"/>
    <x v="33"/>
    <d v="2025-04-11T00:00:00"/>
    <d v="2025-04-29T00:00:00"/>
    <n v="1665000"/>
  </r>
  <r>
    <s v="1168"/>
    <s v="V"/>
    <x v="1"/>
    <x v="1"/>
    <x v="1"/>
    <s v="A"/>
    <m/>
    <n v="250413"/>
    <x v="33"/>
    <d v="2025-04-11T00:00:00"/>
    <d v="2025-04-29T00:00:00"/>
    <n v="2402142"/>
  </r>
  <r>
    <s v="1169"/>
    <s v="V"/>
    <x v="1"/>
    <x v="1"/>
    <x v="1"/>
    <s v="A"/>
    <m/>
    <n v="250427"/>
    <x v="33"/>
    <d v="2025-04-14T00:00:00"/>
    <d v="2025-04-29T00:00:00"/>
    <n v="6414859"/>
  </r>
  <r>
    <s v="1170"/>
    <s v="V"/>
    <x v="1"/>
    <x v="1"/>
    <x v="1"/>
    <s v="A"/>
    <m/>
    <n v="250482"/>
    <x v="33"/>
    <d v="2025-04-29T00:00:00"/>
    <d v="2025-05-20T00:00:00"/>
    <n v="2170050"/>
  </r>
  <r>
    <s v="1171"/>
    <s v="V"/>
    <x v="1"/>
    <x v="1"/>
    <x v="1"/>
    <s v="A"/>
    <m/>
    <n v="250497"/>
    <x v="33"/>
    <d v="2025-05-05T00:00:00"/>
    <d v="2025-05-20T00:00:00"/>
    <n v="2119002"/>
  </r>
  <r>
    <s v="1172"/>
    <s v="V"/>
    <x v="1"/>
    <x v="1"/>
    <x v="1"/>
    <s v="A"/>
    <m/>
    <n v="250622"/>
    <x v="33"/>
    <d v="2025-06-24T00:00:00"/>
    <d v="2025-07-10T00:00:00"/>
    <n v="3991214"/>
  </r>
  <r>
    <s v="1173"/>
    <s v="V"/>
    <x v="1"/>
    <x v="2"/>
    <x v="1"/>
    <s v="A"/>
    <m/>
    <n v="250622"/>
    <x v="33"/>
    <d v="2025-06-24T00:00:00"/>
    <d v="2025-07-10T00:00:00"/>
    <n v="3178641"/>
  </r>
  <r>
    <s v="1174"/>
    <s v="V"/>
    <x v="1"/>
    <x v="2"/>
    <x v="1"/>
    <s v="A"/>
    <m/>
    <n v="250682"/>
    <x v="33"/>
    <d v="2025-07-02T00:00:00"/>
    <d v="2025-07-17T00:00:00"/>
    <n v="1387500"/>
  </r>
  <r>
    <s v="1175"/>
    <s v="V"/>
    <x v="1"/>
    <x v="2"/>
    <x v="1"/>
    <s v="A"/>
    <m/>
    <n v="250684"/>
    <x v="33"/>
    <d v="2025-07-14T00:00:00"/>
    <d v="2025-07-29T00:00:00"/>
    <n v="999999"/>
  </r>
  <r>
    <s v="1176"/>
    <s v="V"/>
    <x v="1"/>
    <x v="2"/>
    <x v="1"/>
    <s v="A"/>
    <m/>
    <n v="250690"/>
    <x v="33"/>
    <d v="2025-07-14T00:00:00"/>
    <d v="2025-07-29T00:00:00"/>
    <n v="1603715"/>
  </r>
  <r>
    <s v="1177"/>
    <s v="V"/>
    <x v="1"/>
    <x v="2"/>
    <x v="1"/>
    <s v="A"/>
    <m/>
    <n v="250890"/>
    <x v="33"/>
    <d v="2025-09-03T00:00:00"/>
    <d v="2025-09-16T00:00:00"/>
    <n v="7288713"/>
  </r>
  <r>
    <s v="1178"/>
    <s v="V"/>
    <x v="1"/>
    <x v="2"/>
    <x v="1"/>
    <s v="A"/>
    <m/>
    <n v="250913"/>
    <x v="33"/>
    <d v="2025-09-03T00:00:00"/>
    <d v="2025-09-16T00:00:00"/>
    <n v="832500"/>
  </r>
  <r>
    <s v="1179"/>
    <s v="V"/>
    <x v="1"/>
    <x v="2"/>
    <x v="1"/>
    <s v="A"/>
    <m/>
    <n v="250955"/>
    <x v="34"/>
    <d v="2025-09-23T00:00:00"/>
    <d v="2025-10-07T00:00:00"/>
    <n v="1686965"/>
  </r>
  <r>
    <s v="1180"/>
    <s v="V"/>
    <x v="1"/>
    <x v="2"/>
    <x v="1"/>
    <s v="A"/>
    <m/>
    <n v="251055"/>
    <x v="34"/>
    <d v="2025-10-16T00:00:00"/>
    <d v="2025-10-28T00:00:00"/>
    <n v="2004644"/>
  </r>
  <r>
    <s v="1181"/>
    <m/>
    <x v="0"/>
    <x v="0"/>
    <x v="0"/>
    <m/>
    <m/>
    <m/>
    <x v="0"/>
    <m/>
    <m/>
    <m/>
  </r>
  <r>
    <s v="1182"/>
    <m/>
    <x v="0"/>
    <x v="0"/>
    <x v="0"/>
    <m/>
    <m/>
    <m/>
    <x v="0"/>
    <m/>
    <m/>
    <m/>
  </r>
  <r>
    <s v="1183"/>
    <s v="V"/>
    <x v="0"/>
    <x v="0"/>
    <x v="0"/>
    <m/>
    <s v="X"/>
    <s v="MENSA BINA SUKSES, PT"/>
    <x v="0"/>
    <m/>
    <m/>
    <n v="2061294"/>
  </r>
  <r>
    <s v="1184"/>
    <s v="V"/>
    <x v="1"/>
    <x v="1"/>
    <x v="1"/>
    <s v="A"/>
    <m/>
    <n v="250335"/>
    <x v="35"/>
    <d v="2025-03-13T00:00:00"/>
    <d v="2025-03-27T00:00:00"/>
    <n v="125874"/>
  </r>
  <r>
    <s v="1185"/>
    <s v="V"/>
    <x v="1"/>
    <x v="1"/>
    <x v="1"/>
    <s v="A"/>
    <m/>
    <n v="250869"/>
    <x v="35"/>
    <d v="2025-08-30T00:00:00"/>
    <d v="2025-09-04T00:00:00"/>
    <n v="123076"/>
  </r>
  <r>
    <s v="1186"/>
    <s v="V"/>
    <x v="1"/>
    <x v="1"/>
    <x v="1"/>
    <s v="A"/>
    <m/>
    <n v="250925"/>
    <x v="35"/>
    <d v="2025-09-11T00:00:00"/>
    <d v="2025-09-25T00:00:00"/>
    <n v="311910"/>
  </r>
  <r>
    <s v="1187"/>
    <s v="V"/>
    <x v="1"/>
    <x v="1"/>
    <x v="1"/>
    <s v="A"/>
    <m/>
    <n v="250935"/>
    <x v="35"/>
    <d v="2025-09-15T00:00:00"/>
    <d v="2025-09-25T00:00:00"/>
    <n v="525422"/>
  </r>
  <r>
    <s v="1188"/>
    <s v="V"/>
    <x v="1"/>
    <x v="1"/>
    <x v="1"/>
    <s v="A"/>
    <m/>
    <n v="251115"/>
    <x v="35"/>
    <d v="2025-10-28T00:00:00"/>
    <d v="2025-11-06T00:00:00"/>
    <n v="810910"/>
  </r>
  <r>
    <s v="1189"/>
    <s v="V"/>
    <x v="2"/>
    <x v="1"/>
    <x v="1"/>
    <s v="A"/>
    <m/>
    <n v="260063"/>
    <x v="35"/>
    <d v="2026-01-31T00:00:00"/>
    <d v="2026-02-19T00:00:00"/>
    <n v="164102"/>
  </r>
  <r>
    <s v="1190"/>
    <s v="V"/>
    <x v="0"/>
    <x v="0"/>
    <x v="0"/>
    <m/>
    <m/>
    <m/>
    <x v="0"/>
    <m/>
    <m/>
    <m/>
  </r>
  <r>
    <s v="1191"/>
    <s v="V"/>
    <x v="0"/>
    <x v="0"/>
    <x v="0"/>
    <m/>
    <m/>
    <m/>
    <x v="0"/>
    <m/>
    <m/>
    <m/>
  </r>
  <r>
    <s v="1192"/>
    <s v="V"/>
    <x v="0"/>
    <x v="0"/>
    <x v="0"/>
    <m/>
    <s v="X"/>
    <s v="MERAPI UTAMA PHARMA, PT"/>
    <x v="0"/>
    <m/>
    <m/>
    <n v="582844036"/>
  </r>
  <r>
    <s v="1193"/>
    <s v="V"/>
    <x v="1"/>
    <x v="1"/>
    <x v="1"/>
    <s v="A"/>
    <m/>
    <n v="250031"/>
    <x v="36"/>
    <d v="2025-01-10T00:00:00"/>
    <d v="2025-01-21T00:00:00"/>
    <n v="5524869"/>
  </r>
  <r>
    <s v="1194"/>
    <s v="V"/>
    <x v="1"/>
    <x v="1"/>
    <x v="1"/>
    <s v="A"/>
    <m/>
    <n v="250050"/>
    <x v="36"/>
    <d v="2025-01-14T00:00:00"/>
    <d v="2025-01-30T00:00:00"/>
    <n v="1598400"/>
  </r>
  <r>
    <s v="1195"/>
    <s v="V"/>
    <x v="1"/>
    <x v="1"/>
    <x v="1"/>
    <s v="A"/>
    <m/>
    <n v="250056"/>
    <x v="36"/>
    <d v="2025-01-15T00:00:00"/>
    <d v="2025-01-30T00:00:00"/>
    <n v="512820"/>
  </r>
  <r>
    <s v="1196"/>
    <s v="V"/>
    <x v="1"/>
    <x v="1"/>
    <x v="1"/>
    <s v="A"/>
    <m/>
    <n v="250055"/>
    <x v="36"/>
    <d v="2025-01-15T00:00:00"/>
    <d v="2025-01-30T00:00:00"/>
    <n v="6725268"/>
  </r>
  <r>
    <s v="1197"/>
    <s v="V"/>
    <x v="1"/>
    <x v="1"/>
    <x v="1"/>
    <s v="A"/>
    <m/>
    <n v="250103"/>
    <x v="36"/>
    <d v="2025-01-28T00:00:00"/>
    <d v="2025-02-11T00:00:00"/>
    <n v="6394499"/>
  </r>
  <r>
    <s v="1198"/>
    <s v="V"/>
    <x v="1"/>
    <x v="1"/>
    <x v="1"/>
    <s v="A"/>
    <m/>
    <n v="250149"/>
    <x v="36"/>
    <d v="2025-02-03T00:00:00"/>
    <d v="2025-02-18T00:00:00"/>
    <n v="6725268"/>
  </r>
  <r>
    <s v="1199"/>
    <s v="V"/>
    <x v="1"/>
    <x v="1"/>
    <x v="1"/>
    <s v="A"/>
    <m/>
    <n v="250126"/>
    <x v="36"/>
    <d v="2025-02-03T00:00:00"/>
    <d v="2025-02-18T00:00:00"/>
    <n v="995004"/>
  </r>
  <r>
    <s v="1200"/>
    <s v="V"/>
    <x v="1"/>
    <x v="1"/>
    <x v="1"/>
    <s v="A"/>
    <m/>
    <n v="250224"/>
    <x v="36"/>
    <d v="2025-02-24T00:00:00"/>
    <d v="2025-03-04T00:00:00"/>
    <n v="12894903"/>
  </r>
  <r>
    <s v="1201"/>
    <s v="V"/>
    <x v="1"/>
    <x v="1"/>
    <x v="1"/>
    <s v="A"/>
    <m/>
    <n v="250226"/>
    <x v="36"/>
    <d v="2025-02-24T00:00:00"/>
    <d v="2025-03-04T00:00:00"/>
    <n v="610000"/>
  </r>
  <r>
    <s v="1202"/>
    <s v="V"/>
    <x v="1"/>
    <x v="1"/>
    <x v="1"/>
    <s v="A"/>
    <m/>
    <n v="250223"/>
    <x v="36"/>
    <d v="2025-02-24T00:00:00"/>
    <d v="2025-03-04T00:00:00"/>
    <n v="1249478"/>
  </r>
  <r>
    <s v="1203"/>
    <s v="V"/>
    <x v="1"/>
    <x v="1"/>
    <x v="1"/>
    <s v="A"/>
    <m/>
    <n v="250267"/>
    <x v="36"/>
    <d v="2025-02-25T00:00:00"/>
    <d v="2025-03-11T00:00:00"/>
    <n v="1658340"/>
  </r>
  <r>
    <s v="1204"/>
    <s v="V"/>
    <x v="1"/>
    <x v="1"/>
    <x v="1"/>
    <s v="A"/>
    <m/>
    <n v="250268"/>
    <x v="36"/>
    <d v="2025-02-25T00:00:00"/>
    <d v="2025-03-11T00:00:00"/>
    <n v="833987"/>
  </r>
  <r>
    <s v="1205"/>
    <s v="V"/>
    <x v="1"/>
    <x v="1"/>
    <x v="1"/>
    <s v="A"/>
    <m/>
    <n v="250270"/>
    <x v="36"/>
    <d v="2025-02-27T00:00:00"/>
    <d v="2025-03-11T00:00:00"/>
    <n v="199600"/>
  </r>
  <r>
    <s v="1206"/>
    <s v="V"/>
    <x v="1"/>
    <x v="1"/>
    <x v="1"/>
    <s v="A"/>
    <m/>
    <n v="250269"/>
    <x v="36"/>
    <d v="2025-02-28T00:00:00"/>
    <d v="2025-03-11T00:00:00"/>
    <n v="1198800"/>
  </r>
  <r>
    <s v="1207"/>
    <s v="V"/>
    <x v="1"/>
    <x v="1"/>
    <x v="1"/>
    <s v="A"/>
    <m/>
    <n v="250291"/>
    <x v="36"/>
    <d v="2025-02-28T00:00:00"/>
    <d v="2025-03-11T00:00:00"/>
    <n v="666000"/>
  </r>
  <r>
    <s v="1208"/>
    <s v="V"/>
    <x v="1"/>
    <x v="1"/>
    <x v="1"/>
    <s v="A"/>
    <m/>
    <n v="250343"/>
    <x v="36"/>
    <d v="2025-02-27T00:00:00"/>
    <d v="2025-03-18T00:00:00"/>
    <n v="6725268"/>
  </r>
  <r>
    <s v="1209"/>
    <s v="V"/>
    <x v="1"/>
    <x v="1"/>
    <x v="1"/>
    <s v="A"/>
    <m/>
    <n v="250330"/>
    <x v="36"/>
    <d v="2025-03-10T00:00:00"/>
    <d v="2025-03-18T00:00:00"/>
    <n v="315990"/>
  </r>
  <r>
    <s v="1210"/>
    <s v="V"/>
    <x v="1"/>
    <x v="1"/>
    <x v="1"/>
    <s v="A"/>
    <m/>
    <n v="250425"/>
    <x v="36"/>
    <d v="2025-04-12T00:00:00"/>
    <d v="2025-04-29T00:00:00"/>
    <n v="2819400"/>
  </r>
  <r>
    <s v="1211"/>
    <s v="V"/>
    <x v="1"/>
    <x v="1"/>
    <x v="1"/>
    <s v="A"/>
    <m/>
    <n v="250422"/>
    <x v="36"/>
    <d v="2025-04-12T00:00:00"/>
    <d v="2025-04-29T00:00:00"/>
    <n v="10657498"/>
  </r>
  <r>
    <s v="1212"/>
    <s v="V"/>
    <x v="1"/>
    <x v="1"/>
    <x v="1"/>
    <s v="A"/>
    <m/>
    <n v="250419"/>
    <x v="36"/>
    <d v="2025-04-14T00:00:00"/>
    <d v="2025-04-29T00:00:00"/>
    <n v="1038000"/>
  </r>
  <r>
    <s v="1213"/>
    <s v="V"/>
    <x v="1"/>
    <x v="1"/>
    <x v="1"/>
    <s v="A"/>
    <m/>
    <n v="250418"/>
    <x v="36"/>
    <d v="2025-04-14T00:00:00"/>
    <d v="2025-04-29T00:00:00"/>
    <n v="142800"/>
  </r>
  <r>
    <s v="1214"/>
    <s v="V"/>
    <x v="1"/>
    <x v="1"/>
    <x v="1"/>
    <s v="A"/>
    <m/>
    <n v="250424"/>
    <x v="36"/>
    <d v="2025-04-14T00:00:00"/>
    <d v="2025-04-29T00:00:00"/>
    <n v="3330000"/>
  </r>
  <r>
    <s v="1215"/>
    <s v="V"/>
    <x v="1"/>
    <x v="1"/>
    <x v="1"/>
    <s v="A"/>
    <m/>
    <n v="250423"/>
    <x v="36"/>
    <d v="2025-04-14T00:00:00"/>
    <d v="2025-04-29T00:00:00"/>
    <n v="2085024"/>
  </r>
  <r>
    <s v="1216"/>
    <s v="V"/>
    <x v="1"/>
    <x v="1"/>
    <x v="1"/>
    <s v="A"/>
    <m/>
    <n v="250432"/>
    <x v="36"/>
    <d v="2025-04-15T00:00:00"/>
    <d v="2025-04-29T00:00:00"/>
    <n v="155844"/>
  </r>
  <r>
    <s v="1217"/>
    <s v="V"/>
    <x v="1"/>
    <x v="1"/>
    <x v="1"/>
    <s v="A"/>
    <m/>
    <n v="250431"/>
    <x v="36"/>
    <d v="2025-04-15T00:00:00"/>
    <d v="2025-04-29T00:00:00"/>
    <n v="208791"/>
  </r>
  <r>
    <s v="1218"/>
    <s v="V"/>
    <x v="1"/>
    <x v="1"/>
    <x v="1"/>
    <s v="A"/>
    <m/>
    <n v="250457"/>
    <x v="36"/>
    <d v="2025-04-22T00:00:00"/>
    <d v="2025-05-06T00:00:00"/>
    <n v="972080"/>
  </r>
  <r>
    <s v="1219"/>
    <s v="V"/>
    <x v="1"/>
    <x v="1"/>
    <x v="1"/>
    <s v="A"/>
    <m/>
    <n v="250456"/>
    <x v="36"/>
    <d v="2025-04-22T00:00:00"/>
    <d v="2025-05-06T00:00:00"/>
    <n v="155844"/>
  </r>
  <r>
    <s v="1220"/>
    <s v="V"/>
    <x v="1"/>
    <x v="1"/>
    <x v="1"/>
    <s v="A"/>
    <m/>
    <n v="250459"/>
    <x v="36"/>
    <d v="2025-04-22T00:00:00"/>
    <d v="2025-05-06T00:00:00"/>
    <n v="3180000"/>
  </r>
  <r>
    <s v="1221"/>
    <s v="V"/>
    <x v="1"/>
    <x v="1"/>
    <x v="1"/>
    <s v="A"/>
    <m/>
    <n v="250458"/>
    <x v="36"/>
    <d v="2025-04-22T00:00:00"/>
    <d v="2025-05-06T00:00:00"/>
    <n v="14920497"/>
  </r>
  <r>
    <s v="1222"/>
    <s v="V"/>
    <x v="1"/>
    <x v="1"/>
    <x v="1"/>
    <s v="A"/>
    <m/>
    <n v="250471"/>
    <x v="36"/>
    <d v="2025-04-22T00:00:00"/>
    <d v="2025-05-06T00:00:00"/>
    <n v="259977"/>
  </r>
  <r>
    <s v="1223"/>
    <s v="V"/>
    <x v="1"/>
    <x v="1"/>
    <x v="1"/>
    <s v="A"/>
    <m/>
    <n v="250474"/>
    <x v="36"/>
    <d v="2025-04-26T00:00:00"/>
    <d v="2025-05-13T00:00:00"/>
    <n v="2220000"/>
  </r>
  <r>
    <s v="1224"/>
    <s v="V"/>
    <x v="1"/>
    <x v="1"/>
    <x v="1"/>
    <s v="A"/>
    <m/>
    <n v="250512"/>
    <x v="36"/>
    <d v="2025-05-08T00:00:00"/>
    <d v="2025-05-20T00:00:00"/>
    <n v="6725268"/>
  </r>
  <r>
    <s v="1225"/>
    <s v="V"/>
    <x v="1"/>
    <x v="1"/>
    <x v="1"/>
    <s v="A"/>
    <m/>
    <n v="250513"/>
    <x v="36"/>
    <d v="2025-05-09T00:00:00"/>
    <d v="2025-06-28T00:00:00"/>
    <n v="10657498"/>
  </r>
  <r>
    <s v="1226"/>
    <s v="V"/>
    <x v="1"/>
    <x v="1"/>
    <x v="1"/>
    <s v="A"/>
    <m/>
    <n v="250526"/>
    <x v="36"/>
    <d v="2025-05-14T00:00:00"/>
    <d v="2025-06-28T00:00:00"/>
    <n v="7346424"/>
  </r>
  <r>
    <s v="1227"/>
    <s v="V"/>
    <x v="1"/>
    <x v="1"/>
    <x v="1"/>
    <s v="A"/>
    <m/>
    <n v="250561"/>
    <x v="36"/>
    <d v="2025-05-28T00:00:00"/>
    <d v="2025-06-10T00:00:00"/>
    <n v="6500404"/>
  </r>
  <r>
    <s v="1228"/>
    <s v="V"/>
    <x v="1"/>
    <x v="1"/>
    <x v="1"/>
    <s v="A"/>
    <m/>
    <n v="250576"/>
    <x v="36"/>
    <d v="2025-05-31T00:00:00"/>
    <d v="2025-06-10T00:00:00"/>
    <n v="9750606"/>
  </r>
  <r>
    <s v="1229"/>
    <s v="V"/>
    <x v="1"/>
    <x v="1"/>
    <x v="1"/>
    <s v="A"/>
    <m/>
    <n v="250631"/>
    <x v="36"/>
    <d v="2025-06-25T00:00:00"/>
    <d v="2025-07-08T00:00:00"/>
    <n v="999999"/>
  </r>
  <r>
    <s v="1230"/>
    <s v="V"/>
    <x v="1"/>
    <x v="1"/>
    <x v="1"/>
    <s v="A"/>
    <m/>
    <n v="250630"/>
    <x v="36"/>
    <d v="2025-06-25T00:00:00"/>
    <d v="2025-07-08T00:00:00"/>
    <n v="90948"/>
  </r>
  <r>
    <s v="1231"/>
    <s v="V"/>
    <x v="1"/>
    <x v="1"/>
    <x v="1"/>
    <s v="A"/>
    <m/>
    <n v="250646"/>
    <x v="36"/>
    <d v="2025-06-26T00:00:00"/>
    <d v="2025-07-08T00:00:00"/>
    <n v="6725268"/>
  </r>
  <r>
    <s v="1232"/>
    <s v="V"/>
    <x v="1"/>
    <x v="1"/>
    <x v="1"/>
    <s v="A"/>
    <m/>
    <n v="250672"/>
    <x v="36"/>
    <d v="2025-07-10T00:00:00"/>
    <d v="2025-07-22T00:00:00"/>
    <n v="972080"/>
  </r>
  <r>
    <s v="1233"/>
    <s v="V"/>
    <x v="1"/>
    <x v="1"/>
    <x v="1"/>
    <s v="A"/>
    <m/>
    <n v="250671"/>
    <x v="36"/>
    <d v="2025-07-10T00:00:00"/>
    <d v="2025-07-22T00:00:00"/>
    <n v="507847"/>
  </r>
  <r>
    <s v="1234"/>
    <s v="V"/>
    <x v="1"/>
    <x v="1"/>
    <x v="1"/>
    <s v="A"/>
    <m/>
    <n v="250678"/>
    <x v="36"/>
    <d v="2025-07-11T00:00:00"/>
    <d v="2025-07-22T00:00:00"/>
    <n v="1899853"/>
  </r>
  <r>
    <s v="1235"/>
    <s v="V"/>
    <x v="1"/>
    <x v="1"/>
    <x v="1"/>
    <s v="A"/>
    <m/>
    <n v="250687"/>
    <x v="36"/>
    <d v="2025-07-14T00:00:00"/>
    <d v="2025-07-22T00:00:00"/>
    <n v="949926"/>
  </r>
  <r>
    <s v="1236"/>
    <s v="V"/>
    <x v="1"/>
    <x v="1"/>
    <x v="1"/>
    <s v="A"/>
    <m/>
    <n v="250686"/>
    <x v="36"/>
    <d v="2025-07-14T00:00:00"/>
    <d v="2025-07-22T00:00:00"/>
    <n v="2143193"/>
  </r>
  <r>
    <s v="1237"/>
    <s v="V"/>
    <x v="1"/>
    <x v="1"/>
    <x v="1"/>
    <s v="A"/>
    <m/>
    <n v="250692"/>
    <x v="36"/>
    <d v="2025-07-16T00:00:00"/>
    <d v="2025-07-29T00:00:00"/>
    <n v="444000"/>
  </r>
  <r>
    <s v="1238"/>
    <s v="V"/>
    <x v="1"/>
    <x v="1"/>
    <x v="1"/>
    <s v="A"/>
    <m/>
    <n v="250693"/>
    <x v="36"/>
    <d v="2025-07-16T00:00:00"/>
    <d v="2025-07-29T00:00:00"/>
    <n v="2220000"/>
  </r>
  <r>
    <s v="1239"/>
    <s v="V"/>
    <x v="1"/>
    <x v="1"/>
    <x v="1"/>
    <s v="A"/>
    <m/>
    <n v="250697"/>
    <x v="36"/>
    <d v="2025-07-17T00:00:00"/>
    <d v="2025-07-29T00:00:00"/>
    <n v="799200"/>
  </r>
  <r>
    <s v="1240"/>
    <s v="V"/>
    <x v="1"/>
    <x v="1"/>
    <x v="1"/>
    <s v="A"/>
    <m/>
    <n v="250736"/>
    <x v="36"/>
    <d v="2025-07-18T00:00:00"/>
    <d v="2025-08-05T00:00:00"/>
    <n v="610000"/>
  </r>
  <r>
    <s v="1241"/>
    <s v="V"/>
    <x v="1"/>
    <x v="1"/>
    <x v="1"/>
    <s v="A"/>
    <m/>
    <n v="250707"/>
    <x v="36"/>
    <d v="2025-07-24T00:00:00"/>
    <d v="2025-08-05T00:00:00"/>
    <n v="10657498"/>
  </r>
  <r>
    <s v="1242"/>
    <s v="V"/>
    <x v="1"/>
    <x v="1"/>
    <x v="1"/>
    <s v="A"/>
    <m/>
    <n v="250733"/>
    <x v="36"/>
    <d v="2025-07-19T00:00:00"/>
    <d v="2025-08-05T00:00:00"/>
    <n v="528000"/>
  </r>
  <r>
    <s v="1243"/>
    <s v="V"/>
    <x v="1"/>
    <x v="1"/>
    <x v="1"/>
    <s v="A"/>
    <m/>
    <n v="250734"/>
    <x v="36"/>
    <d v="2025-07-24T00:00:00"/>
    <d v="2025-08-05T00:00:00"/>
    <n v="1072704"/>
  </r>
  <r>
    <s v="1244"/>
    <s v="V"/>
    <x v="1"/>
    <x v="1"/>
    <x v="1"/>
    <s v="A"/>
    <m/>
    <n v="250706"/>
    <x v="36"/>
    <d v="2025-07-24T00:00:00"/>
    <d v="2025-08-05T00:00:00"/>
    <n v="237995"/>
  </r>
  <r>
    <s v="1245"/>
    <s v="V"/>
    <x v="1"/>
    <x v="1"/>
    <x v="1"/>
    <s v="A"/>
    <m/>
    <n v="250735"/>
    <x v="36"/>
    <d v="2025-07-26T00:00:00"/>
    <d v="2025-08-05T00:00:00"/>
    <n v="955493"/>
  </r>
  <r>
    <s v="1246"/>
    <s v="V"/>
    <x v="1"/>
    <x v="1"/>
    <x v="1"/>
    <s v="A"/>
    <m/>
    <n v="250725"/>
    <x v="36"/>
    <d v="2025-07-28T00:00:00"/>
    <d v="2025-08-12T00:00:00"/>
    <n v="213075"/>
  </r>
  <r>
    <s v="1247"/>
    <s v="V"/>
    <x v="1"/>
    <x v="1"/>
    <x v="1"/>
    <s v="A"/>
    <m/>
    <n v="250726"/>
    <x v="36"/>
    <d v="2025-07-28T00:00:00"/>
    <d v="2025-08-12T00:00:00"/>
    <n v="110511"/>
  </r>
  <r>
    <s v="1248"/>
    <s v="V"/>
    <x v="1"/>
    <x v="1"/>
    <x v="1"/>
    <s v="A"/>
    <m/>
    <n v="250732"/>
    <x v="36"/>
    <d v="2025-07-29T00:00:00"/>
    <d v="2025-08-12T00:00:00"/>
    <n v="2502028"/>
  </r>
  <r>
    <s v="1249"/>
    <s v="V"/>
    <x v="1"/>
    <x v="1"/>
    <x v="1"/>
    <s v="A"/>
    <m/>
    <n v="250765"/>
    <x v="36"/>
    <d v="2025-07-31T00:00:00"/>
    <d v="2025-08-12T00:00:00"/>
    <n v="6394499"/>
  </r>
  <r>
    <s v="1250"/>
    <s v="V"/>
    <x v="1"/>
    <x v="1"/>
    <x v="1"/>
    <s v="A"/>
    <m/>
    <n v="250782"/>
    <x v="36"/>
    <d v="2025-07-31T00:00:00"/>
    <d v="2025-08-12T00:00:00"/>
    <n v="7472520"/>
  </r>
  <r>
    <s v="1251"/>
    <s v="V"/>
    <x v="1"/>
    <x v="1"/>
    <x v="1"/>
    <s v="A"/>
    <m/>
    <n v="250761"/>
    <x v="36"/>
    <d v="2025-07-31T00:00:00"/>
    <d v="2025-08-12T00:00:00"/>
    <n v="874968"/>
  </r>
  <r>
    <s v="1252"/>
    <s v="V"/>
    <x v="1"/>
    <x v="1"/>
    <x v="1"/>
    <s v="A"/>
    <m/>
    <n v="250781"/>
    <x v="36"/>
    <d v="2025-08-04T00:00:00"/>
    <d v="2025-08-19T00:00:00"/>
    <n v="567032"/>
  </r>
  <r>
    <s v="1253"/>
    <s v="V"/>
    <x v="1"/>
    <x v="1"/>
    <x v="1"/>
    <s v="A"/>
    <m/>
    <n v="250790"/>
    <x v="36"/>
    <d v="2025-08-07T00:00:00"/>
    <d v="2025-08-19T00:00:00"/>
    <n v="610000"/>
  </r>
  <r>
    <s v="1254"/>
    <s v="V"/>
    <x v="1"/>
    <x v="1"/>
    <x v="1"/>
    <s v="A"/>
    <m/>
    <n v="250801"/>
    <x v="36"/>
    <d v="2025-08-08T00:00:00"/>
    <d v="2025-08-19T00:00:00"/>
    <n v="603768"/>
  </r>
  <r>
    <s v="1255"/>
    <s v="V"/>
    <x v="1"/>
    <x v="1"/>
    <x v="1"/>
    <s v="A"/>
    <m/>
    <n v="250821"/>
    <x v="36"/>
    <d v="2025-08-15T00:00:00"/>
    <d v="2025-08-26T00:00:00"/>
    <n v="239993"/>
  </r>
  <r>
    <s v="1256"/>
    <s v="V"/>
    <x v="1"/>
    <x v="1"/>
    <x v="1"/>
    <s v="A"/>
    <m/>
    <n v="250822"/>
    <x v="36"/>
    <d v="2025-08-15T00:00:00"/>
    <d v="2025-08-26T00:00:00"/>
    <n v="17051997"/>
  </r>
  <r>
    <s v="1257"/>
    <s v="V"/>
    <x v="1"/>
    <x v="1"/>
    <x v="1"/>
    <s v="A"/>
    <m/>
    <n v="250823"/>
    <x v="36"/>
    <d v="2025-08-16T00:00:00"/>
    <d v="2025-08-26T00:00:00"/>
    <n v="2629023"/>
  </r>
  <r>
    <s v="1258"/>
    <s v="V"/>
    <x v="1"/>
    <x v="1"/>
    <x v="1"/>
    <s v="A"/>
    <m/>
    <n v="250827"/>
    <x v="36"/>
    <d v="2025-08-19T00:00:00"/>
    <d v="2025-08-26T00:00:00"/>
    <n v="1118702"/>
  </r>
  <r>
    <s v="1259"/>
    <s v="V"/>
    <x v="1"/>
    <x v="1"/>
    <x v="1"/>
    <s v="A"/>
    <m/>
    <n v="250837"/>
    <x v="36"/>
    <d v="2025-08-20T00:00:00"/>
    <d v="2025-09-02T00:00:00"/>
    <n v="875013"/>
  </r>
  <r>
    <s v="1260"/>
    <s v="V"/>
    <x v="1"/>
    <x v="1"/>
    <x v="1"/>
    <s v="A"/>
    <m/>
    <n v="250836"/>
    <x v="36"/>
    <d v="2025-08-20T00:00:00"/>
    <d v="2025-09-02T00:00:00"/>
    <n v="14183136"/>
  </r>
  <r>
    <s v="1261"/>
    <s v="V"/>
    <x v="1"/>
    <x v="1"/>
    <x v="1"/>
    <s v="A"/>
    <m/>
    <n v="250903"/>
    <x v="36"/>
    <d v="2025-09-02T00:00:00"/>
    <d v="2025-09-16T00:00:00"/>
    <n v="3836715"/>
  </r>
  <r>
    <s v="1262"/>
    <s v="V"/>
    <x v="1"/>
    <x v="1"/>
    <x v="1"/>
    <s v="A"/>
    <m/>
    <n v="250909"/>
    <x v="36"/>
    <d v="2025-09-04T00:00:00"/>
    <d v="2025-09-16T00:00:00"/>
    <n v="1976688"/>
  </r>
  <r>
    <s v="1263"/>
    <s v="V"/>
    <x v="1"/>
    <x v="1"/>
    <x v="1"/>
    <s v="A"/>
    <m/>
    <n v="250911"/>
    <x v="36"/>
    <d v="2025-09-08T00:00:00"/>
    <d v="2025-09-16T00:00:00"/>
    <n v="391630"/>
  </r>
  <r>
    <s v="1264"/>
    <s v="V"/>
    <x v="1"/>
    <x v="1"/>
    <x v="1"/>
    <s v="A"/>
    <m/>
    <n v="250914"/>
    <x v="36"/>
    <d v="2025-09-09T00:00:00"/>
    <d v="2025-09-16T00:00:00"/>
    <n v="874968"/>
  </r>
  <r>
    <s v="1265"/>
    <s v="V"/>
    <x v="1"/>
    <x v="1"/>
    <x v="1"/>
    <s v="A"/>
    <m/>
    <n v="250931"/>
    <x v="36"/>
    <d v="2025-09-10T00:00:00"/>
    <d v="2025-09-23T00:00:00"/>
    <n v="5550000"/>
  </r>
  <r>
    <s v="1266"/>
    <s v="V"/>
    <x v="1"/>
    <x v="1"/>
    <x v="1"/>
    <s v="A"/>
    <m/>
    <n v="250930"/>
    <x v="36"/>
    <d v="2025-09-11T00:00:00"/>
    <d v="2025-09-23T00:00:00"/>
    <n v="116396"/>
  </r>
  <r>
    <s v="1267"/>
    <s v="V"/>
    <x v="1"/>
    <x v="1"/>
    <x v="1"/>
    <s v="A"/>
    <m/>
    <n v="250990"/>
    <x v="36"/>
    <d v="2025-09-30T00:00:00"/>
    <d v="2025-10-16T00:00:00"/>
    <n v="2237404"/>
  </r>
  <r>
    <s v="1268"/>
    <s v="V"/>
    <x v="1"/>
    <x v="1"/>
    <x v="1"/>
    <s v="A"/>
    <m/>
    <n v="251008"/>
    <x v="36"/>
    <d v="2025-09-30T00:00:00"/>
    <d v="2025-10-16T00:00:00"/>
    <n v="444000"/>
  </r>
  <r>
    <s v="1269"/>
    <s v="V"/>
    <x v="1"/>
    <x v="1"/>
    <x v="1"/>
    <s v="A"/>
    <m/>
    <n v="251009"/>
    <x v="36"/>
    <d v="2025-09-30T00:00:00"/>
    <d v="2025-10-16T00:00:00"/>
    <n v="804528"/>
  </r>
  <r>
    <s v="1270"/>
    <s v="V"/>
    <x v="1"/>
    <x v="1"/>
    <x v="1"/>
    <s v="A"/>
    <m/>
    <n v="251024"/>
    <x v="36"/>
    <d v="2025-09-30T00:00:00"/>
    <d v="2025-10-21T00:00:00"/>
    <n v="6725268"/>
  </r>
  <r>
    <s v="1271"/>
    <s v="V"/>
    <x v="1"/>
    <x v="1"/>
    <x v="1"/>
    <s v="A"/>
    <m/>
    <n v="251007"/>
    <x v="36"/>
    <d v="2025-09-30T00:00:00"/>
    <d v="2025-10-21T00:00:00"/>
    <n v="10657498"/>
  </r>
  <r>
    <s v="1272"/>
    <s v="V"/>
    <x v="1"/>
    <x v="1"/>
    <x v="1"/>
    <s v="A"/>
    <m/>
    <n v="251144"/>
    <x v="36"/>
    <d v="2025-10-31T00:00:00"/>
    <d v="2025-11-20T00:00:00"/>
    <n v="16145105"/>
  </r>
  <r>
    <s v="1273"/>
    <s v="V"/>
    <x v="1"/>
    <x v="1"/>
    <x v="1"/>
    <s v="A"/>
    <m/>
    <n v="251143"/>
    <x v="36"/>
    <d v="2025-10-31T00:00:00"/>
    <d v="2025-11-20T00:00:00"/>
    <n v="4262999"/>
  </r>
  <r>
    <s v="1274"/>
    <s v="V"/>
    <x v="1"/>
    <x v="1"/>
    <x v="1"/>
    <s v="A"/>
    <m/>
    <n v="251187"/>
    <x v="36"/>
    <d v="2025-11-18T00:00:00"/>
    <d v="2025-12-02T00:00:00"/>
    <n v="154001"/>
  </r>
  <r>
    <s v="1275"/>
    <s v="V"/>
    <x v="1"/>
    <x v="1"/>
    <x v="1"/>
    <s v="A"/>
    <m/>
    <n v="251188"/>
    <x v="36"/>
    <d v="2025-11-18T00:00:00"/>
    <d v="2025-12-02T00:00:00"/>
    <n v="2765498"/>
  </r>
  <r>
    <s v="1276"/>
    <s v="V"/>
    <x v="1"/>
    <x v="1"/>
    <x v="1"/>
    <s v="A"/>
    <m/>
    <n v="251189"/>
    <x v="36"/>
    <d v="2025-11-18T00:00:00"/>
    <d v="2025-12-02T00:00:00"/>
    <n v="15026403"/>
  </r>
  <r>
    <s v="1277"/>
    <s v="V"/>
    <x v="1"/>
    <x v="1"/>
    <x v="1"/>
    <s v="A"/>
    <m/>
    <n v="251194"/>
    <x v="36"/>
    <d v="2025-11-24T00:00:00"/>
    <d v="2025-12-02T00:00:00"/>
    <n v="173160"/>
  </r>
  <r>
    <s v="1278"/>
    <s v="V"/>
    <x v="1"/>
    <x v="1"/>
    <x v="1"/>
    <s v="A"/>
    <m/>
    <n v="251195"/>
    <x v="36"/>
    <d v="2025-11-24T00:00:00"/>
    <d v="2025-12-02T00:00:00"/>
    <n v="2850036"/>
  </r>
  <r>
    <s v="1279"/>
    <s v="V"/>
    <x v="1"/>
    <x v="1"/>
    <x v="1"/>
    <s v="A"/>
    <m/>
    <n v="251197"/>
    <x v="36"/>
    <d v="2025-11-25T00:00:00"/>
    <d v="2025-12-09T00:00:00"/>
    <n v="1273991"/>
  </r>
  <r>
    <s v="1280"/>
    <s v="V"/>
    <x v="1"/>
    <x v="1"/>
    <x v="1"/>
    <s v="A"/>
    <m/>
    <n v="251212"/>
    <x v="36"/>
    <d v="2025-11-28T00:00:00"/>
    <d v="2025-12-09T00:00:00"/>
    <n v="1340880"/>
  </r>
  <r>
    <s v="1281"/>
    <s v="V"/>
    <x v="1"/>
    <x v="1"/>
    <x v="1"/>
    <s v="A"/>
    <m/>
    <n v="251211"/>
    <x v="36"/>
    <d v="2025-11-29T00:00:00"/>
    <d v="2025-12-09T00:00:00"/>
    <n v="2194958"/>
  </r>
  <r>
    <s v="1282"/>
    <s v="V"/>
    <x v="1"/>
    <x v="1"/>
    <x v="1"/>
    <s v="A"/>
    <m/>
    <n v="251251"/>
    <x v="36"/>
    <d v="2025-12-09T00:00:00"/>
    <d v="2025-12-23T00:00:00"/>
    <n v="8498160"/>
  </r>
  <r>
    <s v="1283"/>
    <s v="V"/>
    <x v="1"/>
    <x v="1"/>
    <x v="1"/>
    <s v="A"/>
    <m/>
    <n v="251250"/>
    <x v="36"/>
    <d v="2025-12-10T00:00:00"/>
    <d v="2025-12-23T00:00:00"/>
    <n v="165834"/>
  </r>
  <r>
    <s v="1284"/>
    <s v="V"/>
    <x v="1"/>
    <x v="1"/>
    <x v="1"/>
    <s v="A"/>
    <m/>
    <n v="251252"/>
    <x v="36"/>
    <d v="2025-12-10T00:00:00"/>
    <d v="2025-12-23T00:00:00"/>
    <n v="1056000"/>
  </r>
  <r>
    <s v="1285"/>
    <s v="V"/>
    <x v="1"/>
    <x v="1"/>
    <x v="1"/>
    <s v="A"/>
    <m/>
    <n v="251256"/>
    <x v="36"/>
    <d v="2025-12-10T00:00:00"/>
    <d v="2025-12-23T00:00:00"/>
    <n v="237995"/>
  </r>
  <r>
    <s v="1286"/>
    <s v="V"/>
    <x v="1"/>
    <x v="1"/>
    <x v="1"/>
    <s v="A"/>
    <m/>
    <n v="251267"/>
    <x v="36"/>
    <d v="2025-12-11T00:00:00"/>
    <d v="2025-12-23T00:00:00"/>
    <n v="6725268"/>
  </r>
  <r>
    <s v="1287"/>
    <s v="V"/>
    <x v="1"/>
    <x v="1"/>
    <x v="1"/>
    <s v="A"/>
    <m/>
    <n v="251261"/>
    <x v="36"/>
    <d v="2025-12-12T00:00:00"/>
    <d v="2025-12-23T00:00:00"/>
    <n v="11186513"/>
  </r>
  <r>
    <s v="1288"/>
    <s v="V"/>
    <x v="1"/>
    <x v="1"/>
    <x v="1"/>
    <s v="A"/>
    <m/>
    <n v="251268"/>
    <x v="36"/>
    <d v="2025-12-12T00:00:00"/>
    <d v="2025-12-23T00:00:00"/>
    <n v="1241512"/>
  </r>
  <r>
    <s v="1289"/>
    <s v="V"/>
    <x v="1"/>
    <x v="1"/>
    <x v="1"/>
    <s v="A"/>
    <m/>
    <n v="251266"/>
    <x v="36"/>
    <d v="2025-12-13T00:00:00"/>
    <d v="2025-12-23T00:00:00"/>
    <n v="663336"/>
  </r>
  <r>
    <s v="1290"/>
    <s v="V"/>
    <x v="1"/>
    <x v="1"/>
    <x v="1"/>
    <s v="A"/>
    <m/>
    <n v="251311"/>
    <x v="36"/>
    <d v="2025-12-30T00:00:00"/>
    <d v="2026-01-13T00:00:00"/>
    <n v="7255043"/>
  </r>
  <r>
    <s v="1291"/>
    <s v="V"/>
    <x v="1"/>
    <x v="1"/>
    <x v="1"/>
    <s v="A"/>
    <m/>
    <n v="251310"/>
    <x v="36"/>
    <d v="2025-12-30T00:00:00"/>
    <d v="2026-01-13T00:00:00"/>
    <n v="1928514"/>
  </r>
  <r>
    <s v="1292"/>
    <s v="V"/>
    <x v="1"/>
    <x v="1"/>
    <x v="1"/>
    <s v="A"/>
    <m/>
    <n v="251312"/>
    <x v="36"/>
    <d v="2025-12-30T00:00:00"/>
    <d v="2026-01-13T00:00:00"/>
    <n v="3663000"/>
  </r>
  <r>
    <s v="1293"/>
    <s v="V"/>
    <x v="1"/>
    <x v="1"/>
    <x v="1"/>
    <s v="A"/>
    <m/>
    <n v="251328"/>
    <x v="36"/>
    <d v="2025-12-30T00:00:00"/>
    <d v="2026-01-13T00:00:00"/>
    <n v="5655339"/>
  </r>
  <r>
    <s v="1294"/>
    <s v="V"/>
    <x v="1"/>
    <x v="1"/>
    <x v="1"/>
    <s v="A"/>
    <m/>
    <n v="251330"/>
    <x v="36"/>
    <d v="2025-12-30T00:00:00"/>
    <d v="2026-01-13T00:00:00"/>
    <n v="5669807"/>
  </r>
  <r>
    <s v="1295"/>
    <s v="V"/>
    <x v="1"/>
    <x v="1"/>
    <x v="1"/>
    <s v="A"/>
    <m/>
    <n v="251329"/>
    <x v="36"/>
    <d v="2025-12-30T00:00:00"/>
    <d v="2026-01-13T00:00:00"/>
    <n v="5879325"/>
  </r>
  <r>
    <s v="1296"/>
    <s v="V"/>
    <x v="2"/>
    <x v="1"/>
    <x v="1"/>
    <s v="A"/>
    <m/>
    <n v="260059"/>
    <x v="36"/>
    <d v="2026-01-28T00:00:00"/>
    <d v="2026-02-10T00:00:00"/>
    <n v="3807589"/>
  </r>
  <r>
    <s v="1297"/>
    <s v="V"/>
    <x v="2"/>
    <x v="1"/>
    <x v="1"/>
    <s v="A"/>
    <m/>
    <n v="260058"/>
    <x v="36"/>
    <d v="2026-01-28T00:00:00"/>
    <d v="2026-02-10T00:00:00"/>
    <n v="2502028"/>
  </r>
  <r>
    <s v="1298"/>
    <s v="V"/>
    <x v="2"/>
    <x v="1"/>
    <x v="1"/>
    <s v="A"/>
    <m/>
    <n v="260090"/>
    <x v="36"/>
    <d v="2026-01-30T00:00:00"/>
    <d v="2026-02-10T00:00:00"/>
    <n v="15026403"/>
  </r>
  <r>
    <s v="1299"/>
    <s v="V"/>
    <x v="2"/>
    <x v="1"/>
    <x v="1"/>
    <s v="A"/>
    <m/>
    <n v="260092"/>
    <x v="36"/>
    <d v="2026-01-31T00:00:00"/>
    <d v="2026-02-10T00:00:00"/>
    <n v="888000"/>
  </r>
  <r>
    <s v="1300"/>
    <s v="V"/>
    <x v="2"/>
    <x v="1"/>
    <x v="1"/>
    <s v="A"/>
    <m/>
    <n v="260091"/>
    <x v="36"/>
    <d v="2026-01-31T00:00:00"/>
    <d v="2026-02-10T00:00:00"/>
    <n v="14005957"/>
  </r>
  <r>
    <s v="1301"/>
    <s v="V"/>
    <x v="2"/>
    <x v="1"/>
    <x v="1"/>
    <s v="A"/>
    <m/>
    <n v="260089"/>
    <x v="36"/>
    <d v="2026-01-31T00:00:00"/>
    <d v="2026-02-10T00:00:00"/>
    <n v="8287704"/>
  </r>
  <r>
    <s v="1302"/>
    <s v="V"/>
    <x v="2"/>
    <x v="1"/>
    <x v="1"/>
    <s v="A"/>
    <m/>
    <n v="260111"/>
    <x v="36"/>
    <d v="2026-02-10T00:00:00"/>
    <d v="2026-02-24T00:00:00"/>
    <n v="50283"/>
  </r>
  <r>
    <s v="1303"/>
    <s v="V"/>
    <x v="2"/>
    <x v="1"/>
    <x v="1"/>
    <s v="A"/>
    <m/>
    <n v="260107"/>
    <x v="36"/>
    <d v="2026-02-10T00:00:00"/>
    <d v="2026-02-24T00:00:00"/>
    <n v="5045838"/>
  </r>
  <r>
    <s v="1304"/>
    <s v="V"/>
    <x v="2"/>
    <x v="1"/>
    <x v="1"/>
    <s v="A"/>
    <m/>
    <n v="260105"/>
    <x v="36"/>
    <d v="2026-02-10T00:00:00"/>
    <d v="2026-02-24T00:00:00"/>
    <n v="16643961"/>
  </r>
  <r>
    <s v="1305"/>
    <s v="V"/>
    <x v="2"/>
    <x v="1"/>
    <x v="1"/>
    <s v="A"/>
    <m/>
    <n v="260106"/>
    <x v="36"/>
    <d v="2026-02-10T00:00:00"/>
    <d v="2026-02-24T00:00:00"/>
    <n v="2944852"/>
  </r>
  <r>
    <s v="1306"/>
    <s v="V"/>
    <x v="2"/>
    <x v="1"/>
    <x v="1"/>
    <s v="A"/>
    <m/>
    <n v="260113"/>
    <x v="36"/>
    <d v="2026-02-11T00:00:00"/>
    <d v="2026-02-24T00:00:00"/>
    <n v="1687200"/>
  </r>
  <r>
    <s v="1307"/>
    <s v="V"/>
    <x v="2"/>
    <x v="1"/>
    <x v="1"/>
    <s v="A"/>
    <m/>
    <n v="260126"/>
    <x v="36"/>
    <d v="2026-02-20T00:00:00"/>
    <d v="2026-03-03T00:00:00"/>
    <n v="348540"/>
  </r>
  <r>
    <s v="1308"/>
    <s v="V"/>
    <x v="2"/>
    <x v="1"/>
    <x v="1"/>
    <s v="A"/>
    <m/>
    <n v="260127"/>
    <x v="36"/>
    <d v="2026-02-20T00:00:00"/>
    <d v="2026-03-03T00:00:00"/>
    <n v="2504160"/>
  </r>
  <r>
    <s v="1309"/>
    <s v="V"/>
    <x v="2"/>
    <x v="1"/>
    <x v="1"/>
    <s v="A"/>
    <m/>
    <n v="260130"/>
    <x v="36"/>
    <d v="2026-02-23T00:00:00"/>
    <d v="2026-03-03T00:00:00"/>
    <n v="4162500"/>
  </r>
  <r>
    <s v="1310"/>
    <s v="V"/>
    <x v="2"/>
    <x v="1"/>
    <x v="1"/>
    <s v="A"/>
    <m/>
    <n v="260146"/>
    <x v="36"/>
    <d v="2026-02-28T00:00:00"/>
    <d v="2026-03-10T00:00:00"/>
    <n v="2237404"/>
  </r>
  <r>
    <s v="1311"/>
    <s v="V"/>
    <x v="2"/>
    <x v="1"/>
    <x v="1"/>
    <s v="A"/>
    <m/>
    <n v="260195"/>
    <x v="36"/>
    <d v="2026-03-31T00:00:00"/>
    <d v="2026-04-14T00:00:00"/>
    <n v="10657498"/>
  </r>
  <r>
    <s v="1312"/>
    <s v="V"/>
    <x v="2"/>
    <x v="1"/>
    <x v="1"/>
    <s v="A"/>
    <m/>
    <n v="260196"/>
    <x v="36"/>
    <d v="2026-03-31T00:00:00"/>
    <d v="2026-04-14T00:00:00"/>
    <n v="66600"/>
  </r>
  <r>
    <s v="1313"/>
    <s v="V"/>
    <x v="2"/>
    <x v="1"/>
    <x v="1"/>
    <s v="A"/>
    <m/>
    <n v="260230"/>
    <x v="36"/>
    <d v="2026-04-22T00:00:00"/>
    <d v="2026-05-05T00:00:00"/>
    <n v="9007650"/>
  </r>
  <r>
    <s v="1314"/>
    <s v="V"/>
    <x v="2"/>
    <x v="1"/>
    <x v="1"/>
    <s v="A"/>
    <m/>
    <n v="260241"/>
    <x v="36"/>
    <d v="2026-04-24T00:00:00"/>
    <d v="2026-05-05T00:00:00"/>
    <n v="8680200"/>
  </r>
  <r>
    <s v="1315"/>
    <s v="V"/>
    <x v="2"/>
    <x v="1"/>
    <x v="1"/>
    <s v="A"/>
    <m/>
    <n v="260245"/>
    <x v="36"/>
    <d v="2026-04-24T00:00:00"/>
    <d v="2026-05-05T00:00:00"/>
    <n v="11682809"/>
  </r>
  <r>
    <s v="1316"/>
    <s v="V"/>
    <x v="2"/>
    <x v="1"/>
    <x v="1"/>
    <s v="A"/>
    <m/>
    <n v="260243"/>
    <x v="36"/>
    <d v="2026-04-24T00:00:00"/>
    <d v="2026-05-05T00:00:00"/>
    <n v="6725268"/>
  </r>
  <r>
    <s v="1317"/>
    <s v="V"/>
    <x v="2"/>
    <x v="1"/>
    <x v="1"/>
    <s v="A"/>
    <m/>
    <n v="260244"/>
    <x v="36"/>
    <d v="2026-04-24T00:00:00"/>
    <d v="2026-05-05T00:00:00"/>
    <n v="142524"/>
  </r>
  <r>
    <s v="1318"/>
    <s v="V"/>
    <x v="2"/>
    <x v="1"/>
    <x v="1"/>
    <s v="A"/>
    <m/>
    <n v="260242"/>
    <x v="36"/>
    <d v="2026-04-24T00:00:00"/>
    <d v="2026-05-05T00:00:00"/>
    <n v="888000"/>
  </r>
  <r>
    <s v="1319"/>
    <s v="V"/>
    <x v="2"/>
    <x v="1"/>
    <x v="1"/>
    <s v="A"/>
    <m/>
    <n v="260248"/>
    <x v="36"/>
    <d v="2026-04-28T00:00:00"/>
    <d v="2026-05-12T00:00:00"/>
    <n v="1749937"/>
  </r>
  <r>
    <s v="1320"/>
    <s v="V"/>
    <x v="2"/>
    <x v="1"/>
    <x v="1"/>
    <s v="A"/>
    <m/>
    <n v="260249"/>
    <x v="36"/>
    <d v="2026-04-29T00:00:00"/>
    <d v="2026-05-12T00:00:00"/>
    <n v="2640001"/>
  </r>
  <r>
    <s v="1321"/>
    <s v="V"/>
    <x v="2"/>
    <x v="1"/>
    <x v="1"/>
    <s v="A"/>
    <m/>
    <n v="260257"/>
    <x v="36"/>
    <d v="2026-04-29T00:00:00"/>
    <d v="2026-05-12T00:00:00"/>
    <n v="1931400"/>
  </r>
  <r>
    <s v="1322"/>
    <s v="V"/>
    <x v="2"/>
    <x v="1"/>
    <x v="1"/>
    <s v="A"/>
    <m/>
    <n v="260288"/>
    <x v="36"/>
    <d v="2026-05-15T00:00:00"/>
    <d v="2026-05-26T00:00:00"/>
    <n v="122100"/>
  </r>
  <r>
    <s v="1323"/>
    <s v="V"/>
    <x v="2"/>
    <x v="1"/>
    <x v="1"/>
    <s v="A"/>
    <m/>
    <n v="260340"/>
    <x v="36"/>
    <d v="2026-06-09T00:00:00"/>
    <d v="2026-06-25T00:00:00"/>
    <n v="6660000"/>
  </r>
  <r>
    <s v="1324"/>
    <s v="V"/>
    <x v="2"/>
    <x v="1"/>
    <x v="1"/>
    <s v="A"/>
    <m/>
    <n v="260345"/>
    <x v="36"/>
    <d v="2026-06-10T00:00:00"/>
    <d v="2026-06-25T00:00:00"/>
    <n v="7554438"/>
  </r>
  <r>
    <s v="1325"/>
    <s v="V"/>
    <x v="2"/>
    <x v="1"/>
    <x v="1"/>
    <s v="A"/>
    <m/>
    <n v="260350"/>
    <x v="36"/>
    <d v="2026-06-10T00:00:00"/>
    <d v="2026-06-25T00:00:00"/>
    <n v="260850"/>
  </r>
  <r>
    <s v="1326"/>
    <s v="V"/>
    <x v="2"/>
    <x v="1"/>
    <x v="1"/>
    <s v="A"/>
    <m/>
    <n v="260347"/>
    <x v="36"/>
    <d v="2026-06-10T00:00:00"/>
    <d v="2026-06-25T00:00:00"/>
    <n v="2427592"/>
  </r>
  <r>
    <s v="1327"/>
    <s v="V"/>
    <x v="2"/>
    <x v="1"/>
    <x v="1"/>
    <s v="A"/>
    <m/>
    <n v="260346"/>
    <x v="36"/>
    <d v="2026-06-10T00:00:00"/>
    <d v="2026-06-25T00:00:00"/>
    <n v="8950958"/>
  </r>
  <r>
    <s v="1328"/>
    <s v="V"/>
    <x v="2"/>
    <x v="2"/>
    <x v="1"/>
    <s v="A"/>
    <m/>
    <n v="260356"/>
    <x v="36"/>
    <d v="2026-06-13T00:00:00"/>
    <d v="2026-06-25T00:00:00"/>
    <n v="1931400"/>
  </r>
  <r>
    <s v="1329"/>
    <s v="V"/>
    <x v="2"/>
    <x v="2"/>
    <x v="1"/>
    <s v="A"/>
    <m/>
    <n v="260368"/>
    <x v="36"/>
    <d v="2026-06-15T00:00:00"/>
    <d v="2026-06-30T00:00:00"/>
    <n v="1274280"/>
  </r>
  <r>
    <s v="1330"/>
    <s v="V"/>
    <x v="2"/>
    <x v="2"/>
    <x v="1"/>
    <s v="A"/>
    <m/>
    <n v="260380"/>
    <x v="36"/>
    <d v="2026-06-19T00:00:00"/>
    <d v="2026-06-30T00:00:00"/>
    <n v="6365228"/>
  </r>
  <r>
    <s v="1331"/>
    <s v="V"/>
    <x v="2"/>
    <x v="2"/>
    <x v="1"/>
    <s v="A"/>
    <m/>
    <n v="260381"/>
    <x v="36"/>
    <d v="2026-06-19T00:00:00"/>
    <d v="2026-06-30T00:00:00"/>
    <n v="4143852"/>
  </r>
  <r>
    <s v="1332"/>
    <s v="V"/>
    <x v="2"/>
    <x v="2"/>
    <x v="1"/>
    <s v="A"/>
    <m/>
    <n v="260379"/>
    <x v="36"/>
    <d v="2026-06-19T00:00:00"/>
    <d v="2026-06-30T00:00:00"/>
    <n v="1227021"/>
  </r>
  <r>
    <s v="1333"/>
    <s v="V"/>
    <x v="2"/>
    <x v="2"/>
    <x v="1"/>
    <s v="A"/>
    <m/>
    <n v="260387"/>
    <x v="36"/>
    <d v="2026-06-22T00:00:00"/>
    <d v="2026-06-30T00:00:00"/>
    <n v="8312848"/>
  </r>
  <r>
    <s v="1334"/>
    <s v="V"/>
    <x v="2"/>
    <x v="2"/>
    <x v="1"/>
    <s v="A"/>
    <m/>
    <n v="260394"/>
    <x v="36"/>
    <d v="2026-06-24T00:00:00"/>
    <d v="2026-07-14T00:00:00"/>
    <n v="1626816"/>
  </r>
  <r>
    <s v="1335"/>
    <s v="V"/>
    <x v="2"/>
    <x v="2"/>
    <x v="1"/>
    <s v="A"/>
    <m/>
    <n v="260404"/>
    <x v="36"/>
    <d v="2026-06-26T00:00:00"/>
    <d v="2026-07-14T00:00:00"/>
    <n v="6066327"/>
  </r>
  <r>
    <s v="1336"/>
    <s v="V"/>
    <x v="2"/>
    <x v="2"/>
    <x v="1"/>
    <s v="A"/>
    <m/>
    <n v="260421"/>
    <x v="36"/>
    <d v="2026-06-30T00:00:00"/>
    <d v="2026-07-14T00:00:00"/>
    <n v="2131499"/>
  </r>
  <r>
    <s v="1337"/>
    <s v="V"/>
    <x v="2"/>
    <x v="2"/>
    <x v="1"/>
    <s v="A"/>
    <m/>
    <n v="260435"/>
    <x v="36"/>
    <d v="2026-07-04T00:00:00"/>
    <d v="2026-07-14T00:00:00"/>
    <n v="2910697"/>
  </r>
  <r>
    <s v="1338"/>
    <s v="V"/>
    <x v="2"/>
    <x v="2"/>
    <x v="1"/>
    <s v="A"/>
    <m/>
    <n v="260472"/>
    <x v="36"/>
    <d v="2026-07-15T00:00:00"/>
    <d v="2026-07-28T00:00:00"/>
    <n v="2968628"/>
  </r>
  <r>
    <s v="1339"/>
    <s v="V"/>
    <x v="2"/>
    <x v="2"/>
    <x v="1"/>
    <s v="A"/>
    <m/>
    <n v="260473"/>
    <x v="36"/>
    <d v="2026-07-15T00:00:00"/>
    <d v="2026-07-28T00:00:00"/>
    <n v="1636029"/>
  </r>
  <r>
    <s v="1340"/>
    <s v="V"/>
    <x v="2"/>
    <x v="2"/>
    <x v="1"/>
    <s v="A"/>
    <m/>
    <n v="260474"/>
    <x v="36"/>
    <d v="2026-07-16T00:00:00"/>
    <d v="2026-07-28T00:00:00"/>
    <n v="8686449"/>
  </r>
  <r>
    <s v="1341"/>
    <s v="V"/>
    <x v="2"/>
    <x v="2"/>
    <x v="1"/>
    <s v="A"/>
    <m/>
    <n v="260487"/>
    <x v="36"/>
    <d v="2026-07-16T00:00:00"/>
    <d v="2026-07-28T00:00:00"/>
    <n v="251415"/>
  </r>
  <r>
    <s v="1342"/>
    <s v="V"/>
    <x v="2"/>
    <x v="2"/>
    <x v="1"/>
    <s v="A"/>
    <m/>
    <n v="260498"/>
    <x v="36"/>
    <d v="2026-07-17T00:00:00"/>
    <d v="2026-07-28T00:00:00"/>
    <n v="518925"/>
  </r>
  <r>
    <s v="1343"/>
    <s v="V"/>
    <x v="2"/>
    <x v="2"/>
    <x v="1"/>
    <s v="A"/>
    <m/>
    <n v="260499"/>
    <x v="36"/>
    <d v="2026-07-17T00:00:00"/>
    <d v="2026-07-28T00:00:00"/>
    <n v="535020"/>
  </r>
  <r>
    <s v="1344"/>
    <s v="V"/>
    <x v="2"/>
    <x v="2"/>
    <x v="1"/>
    <s v="A"/>
    <m/>
    <n v="260500"/>
    <x v="36"/>
    <d v="2026-07-17T00:00:00"/>
    <d v="2026-07-28T00:00:00"/>
    <n v="6725268"/>
  </r>
  <r>
    <s v="1345"/>
    <s v="V"/>
    <x v="2"/>
    <x v="2"/>
    <x v="1"/>
    <s v="A"/>
    <m/>
    <n v="260497"/>
    <x v="36"/>
    <d v="2026-07-17T00:00:00"/>
    <d v="2026-07-28T00:00:00"/>
    <n v="399600"/>
  </r>
  <r>
    <s v="1346"/>
    <m/>
    <x v="0"/>
    <x v="0"/>
    <x v="0"/>
    <m/>
    <m/>
    <m/>
    <x v="0"/>
    <m/>
    <m/>
    <m/>
  </r>
  <r>
    <s v="1347"/>
    <s v="V"/>
    <x v="0"/>
    <x v="0"/>
    <x v="0"/>
    <m/>
    <m/>
    <m/>
    <x v="0"/>
    <m/>
    <m/>
    <m/>
  </r>
  <r>
    <s v="1348"/>
    <s v="V"/>
    <x v="0"/>
    <x v="0"/>
    <x v="0"/>
    <m/>
    <s v="X"/>
    <s v="METTA KARYA HUTAMA, PT"/>
    <x v="0"/>
    <m/>
    <m/>
    <n v="35339930"/>
  </r>
  <r>
    <s v="1349"/>
    <s v="V"/>
    <x v="1"/>
    <x v="1"/>
    <x v="1"/>
    <s v="A"/>
    <m/>
    <n v="250091"/>
    <x v="37"/>
    <d v="2025-01-17T00:00:00"/>
    <d v="2025-02-20T00:00:00"/>
    <n v="169275"/>
  </r>
  <r>
    <s v="1350"/>
    <s v="V"/>
    <x v="1"/>
    <x v="1"/>
    <x v="1"/>
    <s v="A"/>
    <m/>
    <n v="250167"/>
    <x v="37"/>
    <d v="2025-02-15T00:00:00"/>
    <d v="2025-03-04T00:00:00"/>
    <n v="475794"/>
  </r>
  <r>
    <s v="1351"/>
    <s v="V"/>
    <x v="1"/>
    <x v="1"/>
    <x v="1"/>
    <s v="A"/>
    <m/>
    <n v="250180"/>
    <x v="37"/>
    <d v="2025-02-19T00:00:00"/>
    <d v="2025-03-04T00:00:00"/>
    <n v="336433"/>
  </r>
  <r>
    <s v="1352"/>
    <s v="V"/>
    <x v="1"/>
    <x v="1"/>
    <x v="1"/>
    <s v="A"/>
    <m/>
    <n v="250178"/>
    <x v="37"/>
    <d v="2025-02-20T00:00:00"/>
    <d v="2025-03-04T00:00:00"/>
    <n v="437575"/>
  </r>
  <r>
    <s v="1353"/>
    <s v="V"/>
    <x v="1"/>
    <x v="1"/>
    <x v="1"/>
    <s v="A"/>
    <m/>
    <n v="250357"/>
    <x v="37"/>
    <d v="2025-03-19T00:00:00"/>
    <d v="2025-03-25T00:00:00"/>
    <n v="343656"/>
  </r>
  <r>
    <s v="1354"/>
    <s v="V"/>
    <x v="1"/>
    <x v="1"/>
    <x v="1"/>
    <s v="A"/>
    <m/>
    <n v="250426"/>
    <x v="37"/>
    <d v="2025-04-14T00:00:00"/>
    <d v="2025-05-08T00:00:00"/>
    <n v="1180946"/>
  </r>
  <r>
    <s v="1355"/>
    <s v="V"/>
    <x v="1"/>
    <x v="1"/>
    <x v="1"/>
    <s v="A"/>
    <m/>
    <n v="250434"/>
    <x v="37"/>
    <d v="2025-04-17T00:00:00"/>
    <d v="2025-05-08T00:00:00"/>
    <n v="1063247"/>
  </r>
  <r>
    <s v="1356"/>
    <s v="V"/>
    <x v="1"/>
    <x v="1"/>
    <x v="1"/>
    <s v="A"/>
    <m/>
    <n v="250452"/>
    <x v="37"/>
    <d v="2025-04-21T00:00:00"/>
    <d v="2025-05-08T00:00:00"/>
    <n v="1923190"/>
  </r>
  <r>
    <s v="1357"/>
    <s v="V"/>
    <x v="1"/>
    <x v="1"/>
    <x v="1"/>
    <s v="A"/>
    <m/>
    <n v="250466"/>
    <x v="37"/>
    <d v="2025-04-25T00:00:00"/>
    <d v="2025-05-08T00:00:00"/>
    <n v="483356"/>
  </r>
  <r>
    <s v="1358"/>
    <s v="V"/>
    <x v="1"/>
    <x v="1"/>
    <x v="1"/>
    <s v="A"/>
    <m/>
    <n v="250543"/>
    <x v="37"/>
    <d v="2025-04-26T00:00:00"/>
    <d v="2025-05-20T00:00:00"/>
    <n v="483356"/>
  </r>
  <r>
    <s v="1359"/>
    <s v="V"/>
    <x v="1"/>
    <x v="1"/>
    <x v="1"/>
    <s v="A"/>
    <m/>
    <n v="250494"/>
    <x v="37"/>
    <d v="2025-04-29T00:00:00"/>
    <d v="2025-05-20T00:00:00"/>
    <n v="329657"/>
  </r>
  <r>
    <s v="1360"/>
    <s v="V"/>
    <x v="1"/>
    <x v="1"/>
    <x v="1"/>
    <s v="A"/>
    <m/>
    <n v="250524"/>
    <x v="37"/>
    <d v="2025-05-13T00:00:00"/>
    <d v="2025-05-31T00:00:00"/>
    <n v="269175"/>
  </r>
  <r>
    <s v="1361"/>
    <s v="V"/>
    <x v="1"/>
    <x v="1"/>
    <x v="1"/>
    <s v="A"/>
    <m/>
    <n v="250539"/>
    <x v="37"/>
    <d v="2025-05-19T00:00:00"/>
    <d v="2025-05-31T00:00:00"/>
    <n v="473804"/>
  </r>
  <r>
    <s v="1362"/>
    <s v="V"/>
    <x v="1"/>
    <x v="1"/>
    <x v="1"/>
    <s v="A"/>
    <m/>
    <n v="250540"/>
    <x v="37"/>
    <d v="2025-05-21T00:00:00"/>
    <d v="2025-05-31T00:00:00"/>
    <n v="379602"/>
  </r>
  <r>
    <s v="1363"/>
    <s v="V"/>
    <x v="1"/>
    <x v="1"/>
    <x v="1"/>
    <s v="A"/>
    <m/>
    <n v="250547"/>
    <x v="37"/>
    <d v="2025-05-26T00:00:00"/>
    <d v="2025-06-03T00:00:00"/>
    <n v="910502"/>
  </r>
  <r>
    <s v="1364"/>
    <s v="V"/>
    <x v="1"/>
    <x v="1"/>
    <x v="1"/>
    <s v="A"/>
    <m/>
    <n v="250560"/>
    <x v="37"/>
    <d v="2025-05-23T00:00:00"/>
    <d v="2025-06-10T00:00:00"/>
    <n v="422066"/>
  </r>
  <r>
    <s v="1365"/>
    <s v="V"/>
    <x v="1"/>
    <x v="1"/>
    <x v="1"/>
    <s v="A"/>
    <m/>
    <n v="250594"/>
    <x v="37"/>
    <d v="2025-06-10T00:00:00"/>
    <d v="2025-06-17T00:00:00"/>
    <n v="1275539"/>
  </r>
  <r>
    <s v="1366"/>
    <s v="V"/>
    <x v="1"/>
    <x v="1"/>
    <x v="1"/>
    <s v="A"/>
    <m/>
    <n v="250624"/>
    <x v="37"/>
    <d v="2025-06-24T00:00:00"/>
    <d v="2025-07-15T00:00:00"/>
    <n v="152514"/>
  </r>
  <r>
    <s v="1367"/>
    <s v="V"/>
    <x v="1"/>
    <x v="1"/>
    <x v="1"/>
    <s v="A"/>
    <m/>
    <n v="250664"/>
    <x v="37"/>
    <d v="2025-07-03T00:00:00"/>
    <d v="2025-07-22T00:00:00"/>
    <n v="603252"/>
  </r>
  <r>
    <s v="1368"/>
    <s v="V"/>
    <x v="1"/>
    <x v="1"/>
    <x v="1"/>
    <s v="A"/>
    <m/>
    <n v="250665"/>
    <x v="37"/>
    <d v="2025-07-04T00:00:00"/>
    <d v="2025-07-22T00:00:00"/>
    <n v="233100"/>
  </r>
  <r>
    <s v="1369"/>
    <s v="V"/>
    <x v="1"/>
    <x v="1"/>
    <x v="1"/>
    <s v="A"/>
    <m/>
    <n v="250670"/>
    <x v="37"/>
    <d v="2025-07-08T00:00:00"/>
    <d v="2025-07-22T00:00:00"/>
    <n v="211355"/>
  </r>
  <r>
    <s v="1370"/>
    <s v="V"/>
    <x v="1"/>
    <x v="1"/>
    <x v="1"/>
    <s v="A"/>
    <m/>
    <n v="250683"/>
    <x v="37"/>
    <d v="2025-07-14T00:00:00"/>
    <d v="2025-07-22T00:00:00"/>
    <n v="840399"/>
  </r>
  <r>
    <s v="1371"/>
    <s v="V"/>
    <x v="1"/>
    <x v="1"/>
    <x v="1"/>
    <s v="A"/>
    <m/>
    <n v="250695"/>
    <x v="37"/>
    <d v="2025-07-17T00:00:00"/>
    <d v="2025-07-22T00:00:00"/>
    <n v="1001664"/>
  </r>
  <r>
    <s v="1372"/>
    <s v="V"/>
    <x v="1"/>
    <x v="1"/>
    <x v="1"/>
    <s v="A"/>
    <m/>
    <n v="250704"/>
    <x v="37"/>
    <d v="2025-07-24T00:00:00"/>
    <d v="2025-07-29T00:00:00"/>
    <n v="816699"/>
  </r>
  <r>
    <s v="1373"/>
    <s v="V"/>
    <x v="1"/>
    <x v="1"/>
    <x v="1"/>
    <s v="A"/>
    <m/>
    <n v="250759"/>
    <x v="37"/>
    <d v="2025-07-28T00:00:00"/>
    <d v="2025-06-05T00:00:00"/>
    <n v="1533891"/>
  </r>
  <r>
    <s v="1374"/>
    <s v="V"/>
    <x v="1"/>
    <x v="1"/>
    <x v="1"/>
    <s v="A"/>
    <m/>
    <n v="250795"/>
    <x v="37"/>
    <d v="2025-08-07T00:00:00"/>
    <d v="2025-08-19T00:00:00"/>
    <n v="419801"/>
  </r>
  <r>
    <s v="1375"/>
    <s v="V"/>
    <x v="1"/>
    <x v="1"/>
    <x v="1"/>
    <s v="A"/>
    <m/>
    <n v="250808"/>
    <x v="37"/>
    <d v="2025-08-12T00:00:00"/>
    <d v="2025-08-19T00:00:00"/>
    <n v="689033"/>
  </r>
  <r>
    <s v="1376"/>
    <s v="V"/>
    <x v="1"/>
    <x v="1"/>
    <x v="1"/>
    <s v="A"/>
    <m/>
    <n v="250825"/>
    <x v="37"/>
    <d v="2025-08-16T00:00:00"/>
    <d v="2025-09-09T00:00:00"/>
    <n v="860983"/>
  </r>
  <r>
    <s v="1377"/>
    <s v="V"/>
    <x v="1"/>
    <x v="1"/>
    <x v="1"/>
    <s v="A"/>
    <m/>
    <n v="250927"/>
    <x v="37"/>
    <d v="2025-09-13T00:00:00"/>
    <d v="2025-10-07T00:00:00"/>
    <n v="311428"/>
  </r>
  <r>
    <s v="1378"/>
    <s v="V"/>
    <x v="1"/>
    <x v="1"/>
    <x v="1"/>
    <s v="A"/>
    <m/>
    <n v="250944"/>
    <x v="37"/>
    <d v="2025-09-16T00:00:00"/>
    <d v="2025-10-07T00:00:00"/>
    <n v="211538"/>
  </r>
  <r>
    <s v="1379"/>
    <s v="V"/>
    <x v="1"/>
    <x v="1"/>
    <x v="1"/>
    <s v="A"/>
    <m/>
    <n v="250958"/>
    <x v="37"/>
    <d v="2025-09-24T00:00:00"/>
    <d v="2025-10-14T00:00:00"/>
    <n v="1307102"/>
  </r>
  <r>
    <s v="1380"/>
    <s v="V"/>
    <x v="1"/>
    <x v="1"/>
    <x v="1"/>
    <s v="A"/>
    <m/>
    <n v="250972"/>
    <x v="37"/>
    <d v="2025-09-25T00:00:00"/>
    <d v="2025-10-14T00:00:00"/>
    <n v="1486838"/>
  </r>
  <r>
    <s v="1381"/>
    <s v="V"/>
    <x v="1"/>
    <x v="1"/>
    <x v="1"/>
    <s v="A"/>
    <m/>
    <n v="250984"/>
    <x v="37"/>
    <d v="2025-10-01T00:00:00"/>
    <d v="2025-10-28T00:00:00"/>
    <n v="617622"/>
  </r>
  <r>
    <s v="1382"/>
    <s v="V"/>
    <x v="1"/>
    <x v="1"/>
    <x v="1"/>
    <s v="A"/>
    <m/>
    <n v="251014"/>
    <x v="37"/>
    <d v="2025-10-06T00:00:00"/>
    <d v="2025-10-28T00:00:00"/>
    <n v="582138"/>
  </r>
  <r>
    <s v="1383"/>
    <s v="V"/>
    <x v="1"/>
    <x v="1"/>
    <x v="1"/>
    <s v="A"/>
    <m/>
    <n v="251036"/>
    <x v="37"/>
    <d v="2025-10-10T00:00:00"/>
    <d v="2025-10-28T00:00:00"/>
    <n v="212963"/>
  </r>
  <r>
    <s v="1384"/>
    <s v="V"/>
    <x v="1"/>
    <x v="1"/>
    <x v="1"/>
    <s v="A"/>
    <m/>
    <n v="251035"/>
    <x v="37"/>
    <d v="2025-10-10T00:00:00"/>
    <d v="2025-10-28T00:00:00"/>
    <n v="103985"/>
  </r>
  <r>
    <s v="1385"/>
    <s v="V"/>
    <x v="1"/>
    <x v="1"/>
    <x v="1"/>
    <s v="A"/>
    <m/>
    <n v="251053"/>
    <x v="37"/>
    <d v="2025-10-14T00:00:00"/>
    <d v="2025-10-28T00:00:00"/>
    <n v="817254"/>
  </r>
  <r>
    <s v="1386"/>
    <s v="V"/>
    <x v="1"/>
    <x v="1"/>
    <x v="1"/>
    <s v="A"/>
    <m/>
    <n v="251063"/>
    <x v="37"/>
    <d v="2025-10-17T00:00:00"/>
    <d v="2025-10-28T00:00:00"/>
    <n v="157487"/>
  </r>
  <r>
    <s v="1387"/>
    <s v="V"/>
    <x v="1"/>
    <x v="1"/>
    <x v="1"/>
    <s v="A"/>
    <m/>
    <n v="251081"/>
    <x v="37"/>
    <d v="2025-10-21T00:00:00"/>
    <d v="2025-10-28T00:00:00"/>
    <n v="1457679"/>
  </r>
  <r>
    <s v="1388"/>
    <s v="V"/>
    <x v="1"/>
    <x v="1"/>
    <x v="1"/>
    <s v="A"/>
    <m/>
    <n v="251092"/>
    <x v="37"/>
    <d v="2025-10-24T00:00:00"/>
    <d v="2025-10-28T00:00:00"/>
    <n v="160200"/>
  </r>
  <r>
    <s v="1389"/>
    <s v="V"/>
    <x v="1"/>
    <x v="1"/>
    <x v="1"/>
    <s v="A"/>
    <m/>
    <n v="251104"/>
    <x v="37"/>
    <d v="2025-10-28T00:00:00"/>
    <d v="2025-11-04T00:00:00"/>
    <n v="461223"/>
  </r>
  <r>
    <s v="1390"/>
    <s v="V"/>
    <x v="1"/>
    <x v="1"/>
    <x v="1"/>
    <s v="A"/>
    <m/>
    <n v="251171"/>
    <x v="37"/>
    <d v="2025-11-06T00:00:00"/>
    <d v="2025-11-11T00:00:00"/>
    <n v="104515"/>
  </r>
  <r>
    <s v="1391"/>
    <s v="V"/>
    <x v="1"/>
    <x v="1"/>
    <x v="1"/>
    <s v="A"/>
    <m/>
    <n v="251172"/>
    <x v="37"/>
    <d v="2025-11-06T00:00:00"/>
    <d v="2025-11-11T00:00:00"/>
    <n v="281213"/>
  </r>
  <r>
    <s v="1392"/>
    <s v="V"/>
    <x v="1"/>
    <x v="1"/>
    <x v="1"/>
    <s v="A"/>
    <m/>
    <n v="251170"/>
    <x v="37"/>
    <d v="2025-11-06T00:00:00"/>
    <d v="2025-11-11T00:00:00"/>
    <n v="142990"/>
  </r>
  <r>
    <s v="1393"/>
    <s v="V"/>
    <x v="1"/>
    <x v="2"/>
    <x v="1"/>
    <s v="A"/>
    <m/>
    <n v="251202"/>
    <x v="37"/>
    <d v="2025-11-26T00:00:00"/>
    <d v="2025-12-23T00:00:00"/>
    <n v="467675"/>
  </r>
  <r>
    <s v="1394"/>
    <s v="V"/>
    <x v="1"/>
    <x v="2"/>
    <x v="1"/>
    <s v="A"/>
    <m/>
    <n v="251170"/>
    <x v="37"/>
    <d v="2025-12-11T00:00:00"/>
    <d v="2025-12-23T00:00:00"/>
    <n v="197112"/>
  </r>
  <r>
    <s v="1395"/>
    <s v="V"/>
    <x v="2"/>
    <x v="2"/>
    <x v="1"/>
    <s v="A"/>
    <m/>
    <n v="260010"/>
    <x v="37"/>
    <d v="2026-01-07T00:00:00"/>
    <d v="2026-01-27T00:00:00"/>
    <n v="821026"/>
  </r>
  <r>
    <s v="1396"/>
    <s v="V"/>
    <x v="2"/>
    <x v="2"/>
    <x v="1"/>
    <s v="A"/>
    <m/>
    <n v="260060"/>
    <x v="37"/>
    <d v="2026-01-29T00:00:00"/>
    <d v="2026-02-24T00:00:00"/>
    <n v="1440297"/>
  </r>
  <r>
    <s v="1397"/>
    <s v="V"/>
    <x v="2"/>
    <x v="2"/>
    <x v="1"/>
    <s v="A"/>
    <m/>
    <n v="260082"/>
    <x v="37"/>
    <d v="2026-01-31T00:00:00"/>
    <d v="2026-02-24T00:00:00"/>
    <n v="404063"/>
  </r>
  <r>
    <s v="1398"/>
    <s v="V"/>
    <x v="2"/>
    <x v="2"/>
    <x v="1"/>
    <s v="A"/>
    <m/>
    <n v="260079"/>
    <x v="37"/>
    <d v="2026-02-04T00:00:00"/>
    <d v="2026-03-03T00:00:00"/>
    <n v="1269716"/>
  </r>
  <r>
    <s v="1399"/>
    <s v="V"/>
    <x v="2"/>
    <x v="2"/>
    <x v="1"/>
    <s v="A"/>
    <m/>
    <n v="260121"/>
    <x v="37"/>
    <d v="2026-02-14T00:00:00"/>
    <d v="2026-03-03T00:00:00"/>
    <n v="1224523"/>
  </r>
  <r>
    <s v="1400"/>
    <s v="V"/>
    <x v="2"/>
    <x v="2"/>
    <x v="1"/>
    <s v="A"/>
    <m/>
    <n v="260122"/>
    <x v="37"/>
    <d v="2026-02-14T00:00:00"/>
    <d v="2026-03-03T00:00:00"/>
    <n v="104515"/>
  </r>
  <r>
    <s v="1401"/>
    <s v="V"/>
    <x v="2"/>
    <x v="2"/>
    <x v="1"/>
    <s v="A"/>
    <m/>
    <n v="260132"/>
    <x v="37"/>
    <d v="2026-02-24T00:00:00"/>
    <d v="2026-03-03T00:00:00"/>
    <n v="285980"/>
  </r>
  <r>
    <s v="1402"/>
    <s v="V"/>
    <x v="2"/>
    <x v="2"/>
    <x v="1"/>
    <s v="A"/>
    <m/>
    <n v="260133"/>
    <x v="37"/>
    <d v="2026-02-25T00:00:00"/>
    <d v="2026-03-03T00:00:00"/>
    <n v="167521"/>
  </r>
  <r>
    <s v="1403"/>
    <s v="V"/>
    <x v="2"/>
    <x v="2"/>
    <x v="1"/>
    <s v="A"/>
    <m/>
    <n v="260173"/>
    <x v="37"/>
    <d v="2026-03-18T00:00:00"/>
    <d v="2026-04-07T00:00:00"/>
    <n v="937506"/>
  </r>
  <r>
    <s v="1404"/>
    <s v="V"/>
    <x v="2"/>
    <x v="2"/>
    <x v="1"/>
    <s v="A"/>
    <m/>
    <n v="260211"/>
    <x v="37"/>
    <d v="2026-04-10T00:00:00"/>
    <d v="2026-05-19T00:00:00"/>
    <n v="1283957"/>
  </r>
  <r>
    <s v="1405"/>
    <s v="V"/>
    <x v="0"/>
    <x v="0"/>
    <x v="0"/>
    <m/>
    <m/>
    <m/>
    <x v="0"/>
    <m/>
    <m/>
    <m/>
  </r>
  <r>
    <s v="1406"/>
    <s v="V"/>
    <x v="0"/>
    <x v="0"/>
    <x v="0"/>
    <m/>
    <m/>
    <m/>
    <x v="0"/>
    <m/>
    <m/>
    <m/>
  </r>
  <r>
    <s v="1407"/>
    <s v="V"/>
    <x v="0"/>
    <x v="0"/>
    <x v="0"/>
    <m/>
    <s v="X"/>
    <s v="MILLENIUM PHARMACON INTERNATIONAL, PT"/>
    <x v="0"/>
    <m/>
    <m/>
    <n v="427477281"/>
  </r>
  <r>
    <s v="1408"/>
    <s v="V"/>
    <x v="1"/>
    <x v="1"/>
    <x v="1"/>
    <s v="A"/>
    <m/>
    <n v="250079"/>
    <x v="38"/>
    <d v="2025-01-17T00:00:00"/>
    <d v="2025-02-11T00:00:00"/>
    <n v="2264400"/>
  </r>
  <r>
    <s v="1409"/>
    <s v="V"/>
    <x v="1"/>
    <x v="1"/>
    <x v="1"/>
    <s v="A"/>
    <m/>
    <n v="250078"/>
    <x v="38"/>
    <d v="2025-01-16T00:00:00"/>
    <d v="2025-02-11T00:00:00"/>
    <n v="5325114"/>
  </r>
  <r>
    <s v="1410"/>
    <s v="V"/>
    <x v="1"/>
    <x v="1"/>
    <x v="1"/>
    <s v="A"/>
    <m/>
    <n v="250077"/>
    <x v="38"/>
    <d v="2025-01-17T00:00:00"/>
    <d v="2025-02-11T00:00:00"/>
    <n v="4426125"/>
  </r>
  <r>
    <s v="1411"/>
    <s v="V"/>
    <x v="1"/>
    <x v="1"/>
    <x v="1"/>
    <s v="A"/>
    <m/>
    <n v="250075"/>
    <x v="38"/>
    <d v="2025-01-20T00:00:00"/>
    <d v="2025-02-11T00:00:00"/>
    <n v="284715"/>
  </r>
  <r>
    <s v="1412"/>
    <s v="V"/>
    <x v="1"/>
    <x v="1"/>
    <x v="1"/>
    <s v="A"/>
    <m/>
    <n v="250076"/>
    <x v="38"/>
    <d v="2025-01-21T00:00:00"/>
    <d v="2025-02-18T00:00:00"/>
    <n v="13273158"/>
  </r>
  <r>
    <s v="1413"/>
    <s v="V"/>
    <x v="1"/>
    <x v="1"/>
    <x v="1"/>
    <s v="A"/>
    <m/>
    <n v="250133"/>
    <x v="38"/>
    <d v="2025-01-31T00:00:00"/>
    <d v="2025-02-18T00:00:00"/>
    <n v="9786981"/>
  </r>
  <r>
    <s v="1414"/>
    <s v="V"/>
    <x v="1"/>
    <x v="1"/>
    <x v="1"/>
    <s v="A"/>
    <m/>
    <n v="250134"/>
    <x v="38"/>
    <d v="2025-01-31T00:00:00"/>
    <d v="2025-02-18T00:00:00"/>
    <n v="2367630"/>
  </r>
  <r>
    <s v="1415"/>
    <s v="V"/>
    <x v="1"/>
    <x v="1"/>
    <x v="1"/>
    <s v="A"/>
    <m/>
    <n v="250132"/>
    <x v="38"/>
    <d v="2025-01-31T00:00:00"/>
    <d v="2025-02-18T00:00:00"/>
    <n v="1660182"/>
  </r>
  <r>
    <s v="1416"/>
    <s v="V"/>
    <x v="1"/>
    <x v="1"/>
    <x v="1"/>
    <s v="A"/>
    <m/>
    <n v="250128"/>
    <x v="38"/>
    <d v="2025-02-04T00:00:00"/>
    <d v="2025-02-20T00:00:00"/>
    <n v="1542622"/>
  </r>
  <r>
    <s v="1417"/>
    <s v="V"/>
    <x v="1"/>
    <x v="1"/>
    <x v="1"/>
    <s v="A"/>
    <m/>
    <n v="250127"/>
    <x v="38"/>
    <d v="2025-02-04T00:00:00"/>
    <d v="2025-02-20T00:00:00"/>
    <n v="540625"/>
  </r>
  <r>
    <s v="1418"/>
    <s v="V"/>
    <x v="1"/>
    <x v="1"/>
    <x v="1"/>
    <s v="A"/>
    <m/>
    <n v="250120"/>
    <x v="38"/>
    <d v="2025-02-05T00:00:00"/>
    <d v="2025-02-20T00:00:00"/>
    <n v="377400"/>
  </r>
  <r>
    <s v="1419"/>
    <s v="V"/>
    <x v="1"/>
    <x v="1"/>
    <x v="1"/>
    <s v="A"/>
    <m/>
    <n v="250172"/>
    <x v="38"/>
    <d v="2025-02-12T00:00:00"/>
    <d v="2025-02-20T00:00:00"/>
    <n v="382950"/>
  </r>
  <r>
    <s v="1420"/>
    <s v="V"/>
    <x v="1"/>
    <x v="1"/>
    <x v="1"/>
    <s v="A"/>
    <m/>
    <n v="250162"/>
    <x v="38"/>
    <d v="2025-02-14T00:00:00"/>
    <d v="2025-03-04T00:00:00"/>
    <n v="1455210"/>
  </r>
  <r>
    <s v="1421"/>
    <s v="V"/>
    <x v="1"/>
    <x v="1"/>
    <x v="1"/>
    <s v="A"/>
    <m/>
    <n v="250163"/>
    <x v="38"/>
    <d v="2025-02-14T00:00:00"/>
    <d v="2025-03-04T00:00:00"/>
    <n v="990675"/>
  </r>
  <r>
    <s v="1422"/>
    <s v="V"/>
    <x v="1"/>
    <x v="1"/>
    <x v="1"/>
    <s v="A"/>
    <m/>
    <n v="250168"/>
    <x v="38"/>
    <d v="2025-02-15T00:00:00"/>
    <d v="2025-03-06T00:00:00"/>
    <n v="6267670"/>
  </r>
  <r>
    <s v="1423"/>
    <s v="V"/>
    <x v="1"/>
    <x v="1"/>
    <x v="1"/>
    <s v="A"/>
    <m/>
    <n v="250207"/>
    <x v="38"/>
    <d v="2025-02-17T00:00:00"/>
    <d v="2025-03-06T00:00:00"/>
    <n v="8116875"/>
  </r>
  <r>
    <s v="1424"/>
    <s v="V"/>
    <x v="1"/>
    <x v="1"/>
    <x v="1"/>
    <s v="A"/>
    <m/>
    <n v="250208"/>
    <x v="38"/>
    <d v="2025-02-18T00:00:00"/>
    <d v="2025-03-04T00:00:00"/>
    <n v="2907090"/>
  </r>
  <r>
    <s v="1425"/>
    <s v="V"/>
    <x v="1"/>
    <x v="1"/>
    <x v="1"/>
    <s v="A"/>
    <m/>
    <n v="250206"/>
    <x v="38"/>
    <d v="2025-02-19T00:00:00"/>
    <d v="2025-03-04T00:00:00"/>
    <n v="2910697"/>
  </r>
  <r>
    <s v="1426"/>
    <s v="V"/>
    <x v="1"/>
    <x v="1"/>
    <x v="1"/>
    <s v="A"/>
    <m/>
    <n v="250229"/>
    <x v="38"/>
    <d v="2025-02-26T00:00:00"/>
    <d v="2025-03-06T00:00:00"/>
    <n v="1723275"/>
  </r>
  <r>
    <s v="1427"/>
    <s v="V"/>
    <x v="1"/>
    <x v="1"/>
    <x v="1"/>
    <s v="A"/>
    <m/>
    <n v="250237"/>
    <x v="38"/>
    <d v="2025-02-28T00:00:00"/>
    <d v="2025-03-06T00:00:00"/>
    <n v="684981"/>
  </r>
  <r>
    <s v="1428"/>
    <s v="V"/>
    <x v="1"/>
    <x v="1"/>
    <x v="1"/>
    <s v="A"/>
    <m/>
    <n v="250290"/>
    <x v="38"/>
    <d v="2025-02-28T00:00:00"/>
    <d v="2025-03-06T00:00:00"/>
    <n v="297202"/>
  </r>
  <r>
    <s v="1429"/>
    <s v="V"/>
    <x v="1"/>
    <x v="1"/>
    <x v="1"/>
    <s v="A"/>
    <m/>
    <n v="250288"/>
    <x v="38"/>
    <d v="2025-02-28T00:00:00"/>
    <d v="2025-03-06T00:00:00"/>
    <n v="14150915"/>
  </r>
  <r>
    <s v="1430"/>
    <s v="V"/>
    <x v="1"/>
    <x v="1"/>
    <x v="1"/>
    <s v="A"/>
    <m/>
    <n v="250286"/>
    <x v="38"/>
    <d v="2025-02-28T00:00:00"/>
    <d v="2025-03-06T00:00:00"/>
    <n v="2737660"/>
  </r>
  <r>
    <s v="1431"/>
    <s v="V"/>
    <x v="1"/>
    <x v="1"/>
    <x v="1"/>
    <s v="A"/>
    <m/>
    <n v="250289"/>
    <x v="38"/>
    <d v="2025-02-28T00:00:00"/>
    <d v="2025-03-06T00:00:00"/>
    <n v="3176820"/>
  </r>
  <r>
    <s v="1432"/>
    <s v="V"/>
    <x v="1"/>
    <x v="1"/>
    <x v="1"/>
    <s v="A"/>
    <m/>
    <n v="250287"/>
    <x v="38"/>
    <d v="2025-03-01T00:00:00"/>
    <d v="2025-03-06T00:00:00"/>
    <n v="134996"/>
  </r>
  <r>
    <s v="1433"/>
    <s v="V"/>
    <x v="1"/>
    <x v="1"/>
    <x v="1"/>
    <s v="A"/>
    <m/>
    <n v="250465"/>
    <x v="38"/>
    <d v="2025-04-24T00:00:00"/>
    <d v="2025-05-03T00:00:00"/>
    <n v="21649151"/>
  </r>
  <r>
    <s v="1434"/>
    <s v="V"/>
    <x v="1"/>
    <x v="1"/>
    <x v="1"/>
    <s v="A"/>
    <m/>
    <n v="250479"/>
    <x v="38"/>
    <d v="2025-04-28T00:00:00"/>
    <d v="2025-05-03T00:00:00"/>
    <n v="1660183"/>
  </r>
  <r>
    <s v="1435"/>
    <s v="V"/>
    <x v="1"/>
    <x v="1"/>
    <x v="1"/>
    <s v="A"/>
    <m/>
    <n v="250640"/>
    <x v="38"/>
    <d v="2025-06-26T00:00:00"/>
    <d v="2025-07-03T00:00:00"/>
    <n v="11141348"/>
  </r>
  <r>
    <s v="1436"/>
    <s v="V"/>
    <x v="1"/>
    <x v="1"/>
    <x v="1"/>
    <s v="A"/>
    <m/>
    <n v="250638"/>
    <x v="38"/>
    <d v="2025-06-26T00:00:00"/>
    <d v="2025-07-03T00:00:00"/>
    <n v="12654000"/>
  </r>
  <r>
    <s v="1437"/>
    <s v="V"/>
    <x v="1"/>
    <x v="1"/>
    <x v="1"/>
    <s v="A"/>
    <m/>
    <n v="250639"/>
    <x v="38"/>
    <d v="2025-06-26T00:00:00"/>
    <d v="2025-07-03T00:00:00"/>
    <n v="16430220"/>
  </r>
  <r>
    <s v="1438"/>
    <s v="V"/>
    <x v="1"/>
    <x v="1"/>
    <x v="1"/>
    <s v="A"/>
    <m/>
    <n v="250637"/>
    <x v="38"/>
    <d v="2025-06-26T00:00:00"/>
    <d v="2025-07-03T00:00:00"/>
    <n v="4906750"/>
  </r>
  <r>
    <s v="1439"/>
    <s v="V"/>
    <x v="1"/>
    <x v="1"/>
    <x v="1"/>
    <s v="A"/>
    <m/>
    <n v="250637"/>
    <x v="38"/>
    <d v="2025-06-26T00:00:00"/>
    <d v="2025-07-03T00:00:00"/>
    <n v="5000000"/>
  </r>
  <r>
    <s v="1440"/>
    <s v="V"/>
    <x v="1"/>
    <x v="1"/>
    <x v="1"/>
    <s v="A"/>
    <m/>
    <n v="250641"/>
    <x v="38"/>
    <d v="2025-06-26T00:00:00"/>
    <d v="2025-07-03T00:00:00"/>
    <n v="1273725"/>
  </r>
  <r>
    <s v="1441"/>
    <s v="V"/>
    <x v="1"/>
    <x v="1"/>
    <x v="1"/>
    <s v="A"/>
    <m/>
    <n v="250642"/>
    <x v="38"/>
    <d v="2025-06-26T00:00:00"/>
    <d v="2025-07-03T00:00:00"/>
    <n v="23726275"/>
  </r>
  <r>
    <s v="1442"/>
    <s v="V"/>
    <x v="1"/>
    <x v="1"/>
    <x v="1"/>
    <s v="A"/>
    <m/>
    <n v="250642"/>
    <x v="38"/>
    <d v="2025-06-26T00:00:00"/>
    <d v="2025-07-03T00:00:00"/>
    <n v="13500000"/>
  </r>
  <r>
    <s v="1443"/>
    <s v="V"/>
    <x v="1"/>
    <x v="1"/>
    <x v="1"/>
    <s v="A"/>
    <m/>
    <n v="250642"/>
    <x v="38"/>
    <d v="2025-06-26T00:00:00"/>
    <d v="2025-07-03T00:00:00"/>
    <n v="20379251"/>
  </r>
  <r>
    <s v="1444"/>
    <s v="V"/>
    <x v="1"/>
    <x v="1"/>
    <x v="1"/>
    <s v="A"/>
    <m/>
    <n v="250633"/>
    <x v="38"/>
    <d v="2025-06-28T00:00:00"/>
    <d v="2025-07-08T00:00:00"/>
    <n v="126540"/>
  </r>
  <r>
    <s v="1445"/>
    <s v="V"/>
    <x v="1"/>
    <x v="1"/>
    <x v="1"/>
    <s v="A"/>
    <m/>
    <n v="250635"/>
    <x v="38"/>
    <d v="2025-06-28T00:00:00"/>
    <d v="2025-07-08T00:00:00"/>
    <n v="342490"/>
  </r>
  <r>
    <s v="1446"/>
    <s v="V"/>
    <x v="1"/>
    <x v="1"/>
    <x v="1"/>
    <s v="A"/>
    <m/>
    <n v="250634"/>
    <x v="38"/>
    <d v="2025-06-28T00:00:00"/>
    <d v="2025-07-08T00:00:00"/>
    <n v="3020643"/>
  </r>
  <r>
    <s v="1447"/>
    <s v="V"/>
    <x v="1"/>
    <x v="1"/>
    <x v="1"/>
    <s v="A"/>
    <m/>
    <n v="250857"/>
    <x v="38"/>
    <d v="2025-08-26T00:00:00"/>
    <d v="2025-09-02T00:00:00"/>
    <n v="11251803"/>
  </r>
  <r>
    <s v="1448"/>
    <s v="V"/>
    <x v="1"/>
    <x v="1"/>
    <x v="1"/>
    <s v="A"/>
    <m/>
    <n v="250853"/>
    <x v="38"/>
    <d v="2025-08-26T00:00:00"/>
    <d v="2025-09-04T00:00:00"/>
    <n v="3821175"/>
  </r>
  <r>
    <s v="1449"/>
    <s v="V"/>
    <x v="1"/>
    <x v="1"/>
    <x v="1"/>
    <s v="A"/>
    <m/>
    <n v="250982"/>
    <x v="38"/>
    <d v="2025-09-30T00:00:00"/>
    <d v="2025-10-21T00:00:00"/>
    <n v="17672155"/>
  </r>
  <r>
    <s v="1450"/>
    <s v="V"/>
    <x v="1"/>
    <x v="1"/>
    <x v="1"/>
    <s v="A"/>
    <m/>
    <n v="250144"/>
    <x v="38"/>
    <d v="2025-02-06T00:00:00"/>
    <d v="2025-10-31T00:00:00"/>
    <n v="363802"/>
  </r>
  <r>
    <s v="1451"/>
    <s v="V"/>
    <x v="1"/>
    <x v="1"/>
    <x v="1"/>
    <s v="A"/>
    <m/>
    <n v="251102"/>
    <x v="38"/>
    <d v="2025-10-22T00:00:00"/>
    <d v="2025-11-04T00:00:00"/>
    <n v="2507351"/>
  </r>
  <r>
    <s v="1452"/>
    <s v="V"/>
    <x v="1"/>
    <x v="1"/>
    <x v="1"/>
    <s v="A"/>
    <m/>
    <n v="251138"/>
    <x v="38"/>
    <d v="2025-10-31T00:00:00"/>
    <d v="2025-11-13T00:00:00"/>
    <n v="3806543"/>
  </r>
  <r>
    <s v="1453"/>
    <s v="V"/>
    <x v="1"/>
    <x v="1"/>
    <x v="1"/>
    <s v="A"/>
    <m/>
    <n v="251134"/>
    <x v="38"/>
    <d v="2025-10-31T00:00:00"/>
    <d v="2025-11-13T00:00:00"/>
    <n v="14159160"/>
  </r>
  <r>
    <s v="1454"/>
    <s v="V"/>
    <x v="1"/>
    <x v="1"/>
    <x v="1"/>
    <s v="A"/>
    <m/>
    <n v="251139"/>
    <x v="38"/>
    <d v="2025-10-31T00:00:00"/>
    <d v="2025-11-13T00:00:00"/>
    <n v="14721264"/>
  </r>
  <r>
    <s v="1455"/>
    <s v="V"/>
    <x v="1"/>
    <x v="1"/>
    <x v="1"/>
    <s v="A"/>
    <m/>
    <n v="251137"/>
    <x v="38"/>
    <d v="2025-10-31T00:00:00"/>
    <d v="2025-11-13T00:00:00"/>
    <n v="10684305"/>
  </r>
  <r>
    <s v="1456"/>
    <s v="V"/>
    <x v="1"/>
    <x v="1"/>
    <x v="1"/>
    <s v="A"/>
    <m/>
    <n v="251136"/>
    <x v="38"/>
    <d v="2025-11-01T00:00:00"/>
    <d v="2025-11-13T00:00:00"/>
    <n v="31147460"/>
  </r>
  <r>
    <s v="1457"/>
    <s v="V"/>
    <x v="1"/>
    <x v="1"/>
    <x v="1"/>
    <s v="A"/>
    <m/>
    <n v="251140"/>
    <x v="38"/>
    <d v="2025-11-03T00:00:00"/>
    <d v="2025-11-13T00:00:00"/>
    <n v="2054943"/>
  </r>
  <r>
    <s v="1458"/>
    <s v="V"/>
    <x v="1"/>
    <x v="1"/>
    <x v="1"/>
    <s v="A"/>
    <m/>
    <n v="251135"/>
    <x v="38"/>
    <d v="2025-11-03T00:00:00"/>
    <d v="2025-11-13T00:00:00"/>
    <n v="1660183"/>
  </r>
  <r>
    <s v="1459"/>
    <s v="V"/>
    <x v="1"/>
    <x v="1"/>
    <x v="1"/>
    <s v="A"/>
    <m/>
    <n v="260002"/>
    <x v="38"/>
    <d v="2026-01-06T00:00:00"/>
    <d v="2026-01-15T00:00:00"/>
    <n v="6368625"/>
  </r>
  <r>
    <s v="1460"/>
    <s v="V"/>
    <x v="1"/>
    <x v="1"/>
    <x v="1"/>
    <s v="A"/>
    <m/>
    <n v="260004"/>
    <x v="38"/>
    <d v="2026-01-06T00:00:00"/>
    <d v="2026-01-15T00:00:00"/>
    <n v="9353082"/>
  </r>
  <r>
    <s v="1461"/>
    <s v="V"/>
    <x v="2"/>
    <x v="1"/>
    <x v="1"/>
    <s v="A"/>
    <m/>
    <n v="260011"/>
    <x v="38"/>
    <d v="2026-01-08T00:00:00"/>
    <d v="2026-01-22T00:00:00"/>
    <n v="527250"/>
  </r>
  <r>
    <s v="1462"/>
    <s v="V"/>
    <x v="2"/>
    <x v="1"/>
    <x v="1"/>
    <s v="A"/>
    <m/>
    <n v="260022"/>
    <x v="38"/>
    <d v="2026-01-17T00:00:00"/>
    <d v="2026-01-27T00:00:00"/>
    <n v="263736"/>
  </r>
  <r>
    <s v="1463"/>
    <s v="V"/>
    <x v="2"/>
    <x v="1"/>
    <x v="1"/>
    <s v="A"/>
    <m/>
    <n v="260051"/>
    <x v="38"/>
    <d v="2026-01-29T00:00:00"/>
    <d v="2026-02-10T00:00:00"/>
    <n v="2415804"/>
  </r>
  <r>
    <s v="1464"/>
    <s v="V"/>
    <x v="2"/>
    <x v="1"/>
    <x v="1"/>
    <s v="A"/>
    <m/>
    <n v="260052"/>
    <x v="38"/>
    <d v="2026-01-29T00:00:00"/>
    <d v="2026-02-10T00:00:00"/>
    <n v="18669978"/>
  </r>
  <r>
    <s v="1465"/>
    <s v="V"/>
    <x v="2"/>
    <x v="1"/>
    <x v="1"/>
    <s v="A"/>
    <m/>
    <n v="260053"/>
    <x v="38"/>
    <d v="2026-01-29T00:00:00"/>
    <d v="2026-02-10T00:00:00"/>
    <n v="3821175"/>
  </r>
  <r>
    <s v="1466"/>
    <s v="V"/>
    <x v="2"/>
    <x v="1"/>
    <x v="1"/>
    <s v="A"/>
    <m/>
    <n v="260120"/>
    <x v="38"/>
    <d v="2026-01-31T00:00:00"/>
    <d v="2026-02-24T00:00:00"/>
    <n v="2173380"/>
  </r>
  <r>
    <s v="1467"/>
    <s v="V"/>
    <x v="2"/>
    <x v="1"/>
    <x v="1"/>
    <s v="A"/>
    <m/>
    <n v="260205"/>
    <x v="38"/>
    <d v="2026-04-08T00:00:00"/>
    <d v="2026-04-16T00:00:00"/>
    <n v="15290111"/>
  </r>
  <r>
    <s v="1468"/>
    <s v="V"/>
    <x v="2"/>
    <x v="1"/>
    <x v="1"/>
    <s v="A"/>
    <m/>
    <n v="260206"/>
    <x v="38"/>
    <d v="2026-04-08T00:00:00"/>
    <d v="2026-04-16T00:00:00"/>
    <n v="3779550"/>
  </r>
  <r>
    <s v="1469"/>
    <s v="V"/>
    <x v="2"/>
    <x v="1"/>
    <x v="1"/>
    <s v="A"/>
    <m/>
    <n v="260232"/>
    <x v="38"/>
    <d v="2026-04-23T00:00:00"/>
    <d v="2026-04-28T00:00:00"/>
    <n v="4658348"/>
  </r>
  <r>
    <s v="1470"/>
    <s v="V"/>
    <x v="2"/>
    <x v="2"/>
    <x v="1"/>
    <s v="A"/>
    <m/>
    <n v="260231"/>
    <x v="38"/>
    <d v="2026-04-23T00:00:00"/>
    <d v="2026-04-28T00:00:00"/>
    <n v="3095901"/>
  </r>
  <r>
    <s v="1471"/>
    <s v="V"/>
    <x v="2"/>
    <x v="2"/>
    <x v="1"/>
    <s v="A"/>
    <m/>
    <n v="260341"/>
    <x v="38"/>
    <d v="2026-06-08T00:00:00"/>
    <d v="2026-06-25T00:00:00"/>
    <n v="297202"/>
  </r>
  <r>
    <s v="1472"/>
    <s v="V"/>
    <x v="2"/>
    <x v="2"/>
    <x v="1"/>
    <s v="A"/>
    <m/>
    <n v="260344"/>
    <x v="38"/>
    <d v="2026-06-09T00:00:00"/>
    <d v="2026-06-25T00:00:00"/>
    <n v="3440472"/>
  </r>
  <r>
    <s v="1473"/>
    <s v="V"/>
    <x v="2"/>
    <x v="2"/>
    <x v="1"/>
    <s v="A"/>
    <m/>
    <n v="260343"/>
    <x v="38"/>
    <d v="2026-06-09T00:00:00"/>
    <d v="2026-06-25T00:00:00"/>
    <n v="4435171"/>
  </r>
  <r>
    <s v="1474"/>
    <s v="V"/>
    <x v="2"/>
    <x v="2"/>
    <x v="1"/>
    <s v="A"/>
    <m/>
    <n v="260351"/>
    <x v="38"/>
    <d v="2026-06-11T00:00:00"/>
    <d v="2026-06-25T00:00:00"/>
    <n v="3821175"/>
  </r>
  <r>
    <s v="1475"/>
    <s v="V"/>
    <x v="2"/>
    <x v="2"/>
    <x v="1"/>
    <s v="A"/>
    <m/>
    <n v="260428"/>
    <x v="38"/>
    <d v="2026-07-02T00:00:00"/>
    <d v="2026-07-14T00:00:00"/>
    <n v="1660182"/>
  </r>
  <r>
    <s v="1476"/>
    <s v="V"/>
    <x v="2"/>
    <x v="2"/>
    <x v="1"/>
    <s v="A"/>
    <m/>
    <n v="260445"/>
    <x v="38"/>
    <d v="2026-07-07T00:00:00"/>
    <d v="2026-07-14T00:00:00"/>
    <n v="5785625"/>
  </r>
  <r>
    <s v="1477"/>
    <s v="V"/>
    <x v="2"/>
    <x v="2"/>
    <x v="1"/>
    <s v="A"/>
    <m/>
    <n v="260449"/>
    <x v="38"/>
    <d v="2026-07-07T00:00:00"/>
    <d v="2026-07-14T00:00:00"/>
    <n v="173826"/>
  </r>
  <r>
    <s v="1478"/>
    <s v="V"/>
    <x v="0"/>
    <x v="0"/>
    <x v="0"/>
    <m/>
    <m/>
    <m/>
    <x v="0"/>
    <m/>
    <m/>
    <m/>
  </r>
  <r>
    <s v="1479"/>
    <s v="V"/>
    <x v="0"/>
    <x v="0"/>
    <x v="0"/>
    <m/>
    <m/>
    <m/>
    <x v="0"/>
    <m/>
    <m/>
    <m/>
  </r>
  <r>
    <s v="1480"/>
    <s v="V"/>
    <x v="0"/>
    <x v="0"/>
    <x v="0"/>
    <m/>
    <s v="X"/>
    <s v="MIRA CHEN INACI"/>
    <x v="0"/>
    <m/>
    <m/>
    <n v="46329847"/>
  </r>
  <r>
    <s v="1481"/>
    <s v="V"/>
    <x v="3"/>
    <x v="1"/>
    <x v="1"/>
    <s v="A"/>
    <m/>
    <n v="241473"/>
    <x v="39"/>
    <d v="2024-07-03T00:00:00"/>
    <d v="2024-07-16T00:00:00"/>
    <n v="285381"/>
  </r>
  <r>
    <s v="1482"/>
    <s v="V"/>
    <x v="3"/>
    <x v="1"/>
    <x v="1"/>
    <s v="A"/>
    <m/>
    <n v="241474"/>
    <x v="39"/>
    <d v="2024-07-15T00:00:00"/>
    <d v="2024-07-23T00:00:00"/>
    <n v="1994115"/>
  </r>
  <r>
    <s v="1483"/>
    <s v="V"/>
    <x v="3"/>
    <x v="1"/>
    <x v="1"/>
    <s v="A"/>
    <m/>
    <n v="241837"/>
    <x v="39"/>
    <d v="2024-08-08T00:00:00"/>
    <d v="2024-10-01T00:00:00"/>
    <n v="2146740"/>
  </r>
  <r>
    <s v="1484"/>
    <s v="V"/>
    <x v="3"/>
    <x v="1"/>
    <x v="1"/>
    <s v="A"/>
    <m/>
    <n v="241800"/>
    <x v="39"/>
    <d v="2024-08-16T00:00:00"/>
    <d v="2024-10-01T00:00:00"/>
    <n v="1793316"/>
  </r>
  <r>
    <s v="1485"/>
    <s v="V"/>
    <x v="3"/>
    <x v="1"/>
    <x v="1"/>
    <s v="A"/>
    <m/>
    <n v="241944"/>
    <x v="39"/>
    <d v="2024-09-09T00:00:00"/>
    <d v="2024-10-01T00:00:00"/>
    <n v="570762"/>
  </r>
  <r>
    <s v="1486"/>
    <s v="V"/>
    <x v="3"/>
    <x v="1"/>
    <x v="1"/>
    <s v="A"/>
    <m/>
    <n v="242071"/>
    <x v="39"/>
    <d v="2024-09-24T00:00:00"/>
    <d v="2024-11-05T00:00:00"/>
    <n v="3043398"/>
  </r>
  <r>
    <s v="1487"/>
    <s v="V"/>
    <x v="3"/>
    <x v="1"/>
    <x v="1"/>
    <s v="A"/>
    <m/>
    <n v="242214"/>
    <x v="39"/>
    <d v="2024-10-21T00:00:00"/>
    <d v="2024-11-05T00:00:00"/>
    <n v="200799"/>
  </r>
  <r>
    <s v="1488"/>
    <s v="V"/>
    <x v="3"/>
    <x v="1"/>
    <x v="1"/>
    <s v="A"/>
    <m/>
    <n v="242363"/>
    <x v="39"/>
    <d v="2024-10-30T00:00:00"/>
    <d v="2024-12-31T00:00:00"/>
    <n v="896658"/>
  </r>
  <r>
    <s v="1489"/>
    <s v="V"/>
    <x v="3"/>
    <x v="1"/>
    <x v="1"/>
    <s v="A"/>
    <m/>
    <n v="242415"/>
    <x v="39"/>
    <d v="2024-11-18T00:00:00"/>
    <d v="2024-12-31T00:00:00"/>
    <n v="1579974"/>
  </r>
  <r>
    <s v="1490"/>
    <s v="V"/>
    <x v="3"/>
    <x v="1"/>
    <x v="1"/>
    <s v="A"/>
    <m/>
    <n v="242416"/>
    <x v="39"/>
    <d v="2024-11-25T00:00:00"/>
    <d v="2024-12-31T00:00:00"/>
    <n v="1793316"/>
  </r>
  <r>
    <s v="1491"/>
    <s v="V"/>
    <x v="3"/>
    <x v="1"/>
    <x v="1"/>
    <s v="A"/>
    <m/>
    <n v="242544"/>
    <x v="39"/>
    <d v="2024-12-18T00:00:00"/>
    <d v="2025-01-23T00:00:00"/>
    <n v="595515"/>
  </r>
  <r>
    <s v="1492"/>
    <s v="V"/>
    <x v="3"/>
    <x v="1"/>
    <x v="1"/>
    <s v="A"/>
    <m/>
    <n v="242579"/>
    <x v="39"/>
    <d v="2024-12-24T00:00:00"/>
    <d v="2025-01-23T00:00:00"/>
    <n v="3940056"/>
  </r>
  <r>
    <s v="1493"/>
    <s v="V"/>
    <x v="1"/>
    <x v="2"/>
    <x v="1"/>
    <s v="A"/>
    <m/>
    <n v="250220"/>
    <x v="39"/>
    <d v="2025-02-04T00:00:00"/>
    <d v="2025-04-15T00:00:00"/>
    <n v="401598"/>
  </r>
  <r>
    <s v="1494"/>
    <s v="V"/>
    <x v="1"/>
    <x v="2"/>
    <x v="1"/>
    <s v="A"/>
    <m/>
    <n v="242579"/>
    <x v="39"/>
    <d v="2025-03-20T00:00:00"/>
    <d v="2025-04-15T00:00:00"/>
    <n v="4535571"/>
  </r>
  <r>
    <s v="1495"/>
    <s v="V"/>
    <x v="1"/>
    <x v="2"/>
    <x v="1"/>
    <s v="A"/>
    <m/>
    <n v="250221"/>
    <x v="39"/>
    <d v="2025-04-30T00:00:00"/>
    <d v="2025-05-20T00:00:00"/>
    <n v="2462535"/>
  </r>
  <r>
    <s v="1496"/>
    <s v="V"/>
    <x v="1"/>
    <x v="2"/>
    <x v="1"/>
    <s v="A"/>
    <m/>
    <n v="250680"/>
    <x v="39"/>
    <d v="2025-06-10T00:00:00"/>
    <d v="2025-07-31T00:00:00"/>
    <n v="1040958"/>
  </r>
  <r>
    <s v="1497"/>
    <s v="V"/>
    <x v="1"/>
    <x v="2"/>
    <x v="1"/>
    <s v="A"/>
    <m/>
    <n v="250679"/>
    <x v="39"/>
    <d v="2025-07-08T00:00:00"/>
    <d v="2025-07-31T00:00:00"/>
    <n v="4163832"/>
  </r>
  <r>
    <s v="1498"/>
    <s v="V"/>
    <x v="1"/>
    <x v="2"/>
    <x v="1"/>
    <s v="A"/>
    <m/>
    <n v="250924"/>
    <x v="39"/>
    <d v="2025-08-25T00:00:00"/>
    <d v="2025-09-23T00:00:00"/>
    <n v="3610275"/>
  </r>
  <r>
    <s v="1499"/>
    <s v="V"/>
    <x v="1"/>
    <x v="2"/>
    <x v="1"/>
    <s v="A"/>
    <m/>
    <n v="251076"/>
    <x v="39"/>
    <d v="2025-10-03T00:00:00"/>
    <d v="2025-11-13T00:00:00"/>
    <n v="3589296"/>
  </r>
  <r>
    <s v="1500"/>
    <s v="V"/>
    <x v="1"/>
    <x v="2"/>
    <x v="1"/>
    <s v="A"/>
    <m/>
    <n v="251191"/>
    <x v="39"/>
    <d v="2025-11-21T00:00:00"/>
    <d v="2025-12-04T00:00:00"/>
    <n v="1865688"/>
  </r>
  <r>
    <s v="1501"/>
    <s v="V"/>
    <x v="1"/>
    <x v="2"/>
    <x v="1"/>
    <s v="A"/>
    <m/>
    <n v="260007"/>
    <x v="39"/>
    <d v="2025-12-24T00:00:00"/>
    <d v="2025-01-20T00:00:00"/>
    <n v="1436340"/>
  </r>
  <r>
    <s v="1502"/>
    <s v="V"/>
    <x v="1"/>
    <x v="2"/>
    <x v="1"/>
    <s v="A"/>
    <m/>
    <n v="260070"/>
    <x v="39"/>
    <d v="2025-12-15T00:00:00"/>
    <d v="2025-01-20T00:00:00"/>
    <n v="297758"/>
  </r>
  <r>
    <s v="1503"/>
    <s v="V"/>
    <x v="2"/>
    <x v="2"/>
    <x v="1"/>
    <s v="A"/>
    <m/>
    <n v="260064"/>
    <x v="39"/>
    <d v="2026-01-29T00:00:00"/>
    <d v="2026-03-12T00:00:00"/>
    <n v="4085966"/>
  </r>
  <r>
    <s v="1504"/>
    <s v="V"/>
    <x v="0"/>
    <x v="0"/>
    <x v="0"/>
    <m/>
    <m/>
    <m/>
    <x v="0"/>
    <m/>
    <m/>
    <m/>
  </r>
  <r>
    <s v="1505"/>
    <s v="V"/>
    <x v="0"/>
    <x v="0"/>
    <x v="0"/>
    <m/>
    <m/>
    <m/>
    <x v="0"/>
    <m/>
    <m/>
    <m/>
  </r>
  <r>
    <s v="1506"/>
    <s v="V"/>
    <x v="0"/>
    <x v="0"/>
    <x v="0"/>
    <m/>
    <s v="X"/>
    <s v="MITRA HUSAIN SEJAHTERA"/>
    <x v="0"/>
    <m/>
    <m/>
    <n v="38517333"/>
  </r>
  <r>
    <s v="1507"/>
    <s v="V"/>
    <x v="3"/>
    <x v="1"/>
    <x v="1"/>
    <s v="A"/>
    <m/>
    <n v="241575"/>
    <x v="40"/>
    <d v="2024-07-30T00:00:00"/>
    <d v="2024-08-01T00:00:00"/>
    <n v="4795200"/>
  </r>
  <r>
    <s v="1508"/>
    <s v="V"/>
    <x v="3"/>
    <x v="1"/>
    <x v="1"/>
    <s v="A"/>
    <m/>
    <n v="241892"/>
    <x v="40"/>
    <d v="2024-09-03T00:00:00"/>
    <d v="2024-09-17T00:00:00"/>
    <n v="4795200"/>
  </r>
  <r>
    <s v="1509"/>
    <s v="V"/>
    <x v="1"/>
    <x v="2"/>
    <x v="1"/>
    <s v="A"/>
    <m/>
    <n v="250590"/>
    <x v="40"/>
    <d v="2025-06-10T00:00:00"/>
    <d v="2025-07-29T00:00:00"/>
    <n v="1318680"/>
  </r>
  <r>
    <s v="1510"/>
    <s v="V"/>
    <x v="1"/>
    <x v="2"/>
    <x v="1"/>
    <s v="A"/>
    <m/>
    <n v="250702"/>
    <x v="40"/>
    <d v="2025-07-18T00:00:00"/>
    <d v="2025-08-05T00:00:00"/>
    <n v="2395380"/>
  </r>
  <r>
    <s v="1511"/>
    <s v="V"/>
    <x v="1"/>
    <x v="2"/>
    <x v="1"/>
    <s v="A"/>
    <m/>
    <n v="250773"/>
    <x v="40"/>
    <d v="2025-07-27T00:00:00"/>
    <d v="2025-08-05T00:00:00"/>
    <n v="5128200"/>
  </r>
  <r>
    <s v="1512"/>
    <s v="V"/>
    <x v="1"/>
    <x v="2"/>
    <x v="1"/>
    <s v="A"/>
    <m/>
    <n v="250945"/>
    <x v="40"/>
    <d v="2025-09-17T00:00:00"/>
    <d v="2025-10-09T00:00:00"/>
    <n v="1249305"/>
  </r>
  <r>
    <s v="1513"/>
    <s v="V"/>
    <x v="1"/>
    <x v="2"/>
    <x v="1"/>
    <s v="A"/>
    <m/>
    <n v="251032"/>
    <x v="40"/>
    <d v="2025-10-08T00:00:00"/>
    <d v="2025-10-21T00:00:00"/>
    <n v="2236428"/>
  </r>
  <r>
    <s v="1514"/>
    <s v="V"/>
    <x v="1"/>
    <x v="2"/>
    <x v="1"/>
    <s v="A"/>
    <m/>
    <n v="251169"/>
    <x v="40"/>
    <d v="2025-11-05T00:00:00"/>
    <d v="2025-11-11T00:00:00"/>
    <n v="5328000"/>
  </r>
  <r>
    <s v="1515"/>
    <s v="V"/>
    <x v="1"/>
    <x v="2"/>
    <x v="1"/>
    <s v="A"/>
    <m/>
    <n v="251185"/>
    <x v="40"/>
    <d v="2025-11-17T00:00:00"/>
    <d v="2025-11-25T00:00:00"/>
    <n v="1771560"/>
  </r>
  <r>
    <s v="1516"/>
    <s v="V"/>
    <x v="2"/>
    <x v="2"/>
    <x v="1"/>
    <s v="A"/>
    <m/>
    <n v="251282"/>
    <x v="40"/>
    <d v="2025-12-19T00:00:00"/>
    <d v="2026-04-16T00:00:00"/>
    <n v="399600"/>
  </r>
  <r>
    <s v="1517"/>
    <s v="V"/>
    <x v="2"/>
    <x v="2"/>
    <x v="1"/>
    <s v="A"/>
    <m/>
    <n v="260102"/>
    <x v="40"/>
    <d v="2026-02-05T00:00:00"/>
    <d v="2026-02-24T00:00:00"/>
    <n v="510600"/>
  </r>
  <r>
    <s v="1518"/>
    <s v="V"/>
    <x v="2"/>
    <x v="2"/>
    <x v="1"/>
    <s v="A"/>
    <m/>
    <n v="260078"/>
    <x v="40"/>
    <d v="2026-02-05T00:00:00"/>
    <d v="2026-02-24T00:00:00"/>
    <n v="666000"/>
  </r>
  <r>
    <s v="1519"/>
    <s v="V"/>
    <x v="2"/>
    <x v="2"/>
    <x v="1"/>
    <s v="A"/>
    <m/>
    <n v="26077"/>
    <x v="40"/>
    <d v="2026-02-04T00:00:00"/>
    <d v="2026-02-24T00:00:00"/>
    <n v="2595180"/>
  </r>
  <r>
    <s v="1520"/>
    <s v="V"/>
    <x v="2"/>
    <x v="2"/>
    <x v="1"/>
    <s v="A"/>
    <m/>
    <n v="260189"/>
    <x v="40"/>
    <d v="2026-03-31T00:00:00"/>
    <d v="2026-04-16T00:00:00"/>
    <n v="5328000"/>
  </r>
  <r>
    <s v="1521"/>
    <s v="V"/>
    <x v="0"/>
    <x v="0"/>
    <x v="0"/>
    <m/>
    <m/>
    <m/>
    <x v="0"/>
    <m/>
    <m/>
    <m/>
  </r>
  <r>
    <s v="1522"/>
    <s v="V"/>
    <x v="0"/>
    <x v="0"/>
    <x v="0"/>
    <m/>
    <m/>
    <m/>
    <x v="0"/>
    <m/>
    <m/>
    <m/>
  </r>
  <r>
    <s v="1523"/>
    <s v="V"/>
    <x v="0"/>
    <x v="0"/>
    <x v="0"/>
    <m/>
    <s v="X"/>
    <s v="MITRA MESTIKA SARANA, PT"/>
    <x v="0"/>
    <m/>
    <m/>
    <n v="77704000"/>
  </r>
  <r>
    <s v="1524"/>
    <s v="V"/>
    <x v="1"/>
    <x v="1"/>
    <x v="1"/>
    <s v="A"/>
    <m/>
    <n v="250182"/>
    <x v="41"/>
    <d v="2025-02-18T00:00:00"/>
    <d v="2025-03-12T00:00:00"/>
    <n v="8532000"/>
  </r>
  <r>
    <s v="1525"/>
    <s v="V"/>
    <x v="1"/>
    <x v="1"/>
    <x v="1"/>
    <s v="A"/>
    <m/>
    <n v="250416"/>
    <x v="41"/>
    <d v="2025-04-11T00:00:00"/>
    <d v="2025-05-10T00:00:00"/>
    <n v="2410000"/>
  </r>
  <r>
    <s v="1526"/>
    <s v="V"/>
    <x v="1"/>
    <x v="1"/>
    <x v="1"/>
    <s v="A"/>
    <m/>
    <n v="250460"/>
    <x v="41"/>
    <d v="2025-04-21T00:00:00"/>
    <d v="2025-05-13T00:00:00"/>
    <n v="1500000"/>
  </r>
  <r>
    <s v="1527"/>
    <s v="V"/>
    <x v="1"/>
    <x v="1"/>
    <x v="1"/>
    <s v="A"/>
    <m/>
    <n v="250502"/>
    <x v="41"/>
    <d v="2025-05-06T00:00:00"/>
    <d v="2025-05-13T00:00:00"/>
    <n v="4000000"/>
  </r>
  <r>
    <s v="1528"/>
    <s v="V"/>
    <x v="1"/>
    <x v="1"/>
    <x v="1"/>
    <s v="A"/>
    <m/>
    <n v="250617"/>
    <x v="41"/>
    <d v="2025-06-20T00:00:00"/>
    <d v="2025-07-08T00:00:00"/>
    <n v="4000000"/>
  </r>
  <r>
    <s v="1529"/>
    <s v="V"/>
    <x v="1"/>
    <x v="1"/>
    <x v="1"/>
    <s v="A"/>
    <m/>
    <n v="250858"/>
    <x v="41"/>
    <d v="2025-08-22T00:00:00"/>
    <d v="2026-01-14T00:00:00"/>
    <n v="1110000"/>
  </r>
  <r>
    <s v="1530"/>
    <s v="V"/>
    <x v="1"/>
    <x v="1"/>
    <x v="1"/>
    <s v="A"/>
    <m/>
    <n v="251180"/>
    <x v="41"/>
    <d v="2025-11-10T00:00:00"/>
    <d v="2026-01-14T00:00:00"/>
    <n v="5866000"/>
  </r>
  <r>
    <s v="1531"/>
    <s v="V"/>
    <x v="1"/>
    <x v="1"/>
    <x v="1"/>
    <s v="A"/>
    <m/>
    <n v="250694"/>
    <x v="41"/>
    <d v="2025-06-26T00:00:00"/>
    <d v="2026-03-02T00:00:00"/>
    <n v="9110000"/>
  </r>
  <r>
    <s v="1532"/>
    <s v="V"/>
    <x v="1"/>
    <x v="1"/>
    <x v="1"/>
    <s v="A"/>
    <m/>
    <n v="251229"/>
    <x v="41"/>
    <d v="2025-12-02T00:00:00"/>
    <d v="2026-01-14T00:00:00"/>
    <n v="6000000"/>
  </r>
  <r>
    <s v="1533"/>
    <s v="V"/>
    <x v="2"/>
    <x v="2"/>
    <x v="1"/>
    <s v="A"/>
    <m/>
    <n v="251180"/>
    <x v="41"/>
    <d v="2025-12-19T00:00:00"/>
    <d v="2026-01-14T00:00:00"/>
    <n v="6400000"/>
  </r>
  <r>
    <s v="1534"/>
    <s v="V"/>
    <x v="2"/>
    <x v="2"/>
    <x v="1"/>
    <s v="A"/>
    <m/>
    <n v="260024"/>
    <x v="41"/>
    <d v="2026-01-15T00:00:00"/>
    <d v="2026-02-04T00:00:00"/>
    <n v="1110000"/>
  </r>
  <r>
    <s v="1535"/>
    <s v="V"/>
    <x v="2"/>
    <x v="2"/>
    <x v="1"/>
    <s v="A"/>
    <m/>
    <n v="260184"/>
    <x v="41"/>
    <d v="2026-03-17T00:00:00"/>
    <d v="2026-03-25T00:00:00"/>
    <n v="6860000"/>
  </r>
  <r>
    <s v="1536"/>
    <s v="V"/>
    <x v="2"/>
    <x v="2"/>
    <x v="1"/>
    <s v="A"/>
    <m/>
    <n v="260259"/>
    <x v="41"/>
    <d v="2026-05-02T00:00:00"/>
    <d v="2026-05-20T00:00:00"/>
    <n v="3582000"/>
  </r>
  <r>
    <s v="1537"/>
    <s v="V"/>
    <x v="2"/>
    <x v="2"/>
    <x v="1"/>
    <s v="A"/>
    <m/>
    <n v="260300"/>
    <x v="41"/>
    <d v="2026-05-19T00:00:00"/>
    <d v="2026-06-02T00:00:00"/>
    <n v="7396000"/>
  </r>
  <r>
    <s v="1538"/>
    <s v="V"/>
    <x v="2"/>
    <x v="2"/>
    <x v="1"/>
    <s v="A"/>
    <m/>
    <n v="260516"/>
    <x v="41"/>
    <d v="2026-07-21T00:00:00"/>
    <d v="2026-07-29T00:00:00"/>
    <n v="9828000"/>
  </r>
  <r>
    <s v="1539"/>
    <s v="V"/>
    <x v="0"/>
    <x v="0"/>
    <x v="0"/>
    <m/>
    <m/>
    <m/>
    <x v="0"/>
    <m/>
    <m/>
    <m/>
  </r>
  <r>
    <s v="1540"/>
    <s v="V"/>
    <x v="0"/>
    <x v="0"/>
    <x v="0"/>
    <m/>
    <m/>
    <m/>
    <x v="0"/>
    <m/>
    <m/>
    <m/>
  </r>
  <r>
    <s v="1541"/>
    <s v="V"/>
    <x v="0"/>
    <x v="0"/>
    <x v="0"/>
    <m/>
    <s v="X"/>
    <s v="MURINDO MULTI SARANA, PT"/>
    <x v="0"/>
    <m/>
    <m/>
    <n v="57631981"/>
  </r>
  <r>
    <s v="1542"/>
    <s v="V"/>
    <x v="1"/>
    <x v="1"/>
    <x v="1"/>
    <s v="A"/>
    <m/>
    <n v="250334"/>
    <x v="42"/>
    <d v="2025-03-12T00:00:00"/>
    <d v="2025-07-01T00:00:00"/>
    <n v="747558"/>
  </r>
  <r>
    <s v="1543"/>
    <s v="V"/>
    <x v="1"/>
    <x v="1"/>
    <x v="1"/>
    <s v="A"/>
    <m/>
    <n v="250349"/>
    <x v="42"/>
    <d v="2025-03-17T00:00:00"/>
    <d v="2025-07-01T00:00:00"/>
    <n v="747558"/>
  </r>
  <r>
    <s v="1544"/>
    <s v="V"/>
    <x v="1"/>
    <x v="1"/>
    <x v="1"/>
    <s v="A"/>
    <m/>
    <n v="250461"/>
    <x v="42"/>
    <d v="2025-04-23T00:00:00"/>
    <d v="2025-07-01T00:00:00"/>
    <n v="747558"/>
  </r>
  <r>
    <s v="1545"/>
    <s v="V"/>
    <x v="1"/>
    <x v="1"/>
    <x v="1"/>
    <s v="A"/>
    <m/>
    <n v="250791"/>
    <x v="42"/>
    <d v="2025-08-07T00:00:00"/>
    <d v="2025-09-23T00:00:00"/>
    <n v="2242661"/>
  </r>
  <r>
    <s v="1546"/>
    <s v="V"/>
    <x v="1"/>
    <x v="1"/>
    <x v="1"/>
    <s v="A"/>
    <m/>
    <n v="250807"/>
    <x v="42"/>
    <d v="2025-08-12T00:00:00"/>
    <d v="2025-09-23T00:00:00"/>
    <n v="679586"/>
  </r>
  <r>
    <s v="1547"/>
    <s v="V"/>
    <x v="1"/>
    <x v="1"/>
    <x v="1"/>
    <s v="A"/>
    <m/>
    <n v="250826"/>
    <x v="42"/>
    <d v="2025-08-19T00:00:00"/>
    <d v="2025-09-23T00:00:00"/>
    <n v="747558"/>
  </r>
  <r>
    <s v="1548"/>
    <s v="V"/>
    <x v="1"/>
    <x v="1"/>
    <x v="1"/>
    <s v="A"/>
    <m/>
    <n v="250833"/>
    <x v="42"/>
    <d v="2025-08-20T00:00:00"/>
    <d v="2025-09-23T00:00:00"/>
    <n v="3450002"/>
  </r>
  <r>
    <s v="1549"/>
    <s v="V"/>
    <x v="1"/>
    <x v="1"/>
    <x v="1"/>
    <s v="A"/>
    <m/>
    <n v="250932"/>
    <x v="42"/>
    <d v="2025-09-12T00:00:00"/>
    <d v="2025-09-23T00:00:00"/>
    <n v="2361582"/>
  </r>
  <r>
    <s v="1550"/>
    <s v="V"/>
    <x v="1"/>
    <x v="1"/>
    <x v="1"/>
    <s v="A"/>
    <m/>
    <n v="250975"/>
    <x v="42"/>
    <d v="2025-09-26T00:00:00"/>
    <d v="2025-11-20T00:00:00"/>
    <n v="1900146"/>
  </r>
  <r>
    <s v="1551"/>
    <s v="V"/>
    <x v="1"/>
    <x v="1"/>
    <x v="1"/>
    <s v="A"/>
    <m/>
    <n v="250985"/>
    <x v="42"/>
    <d v="2025-10-01T00:00:00"/>
    <d v="2025-11-20T00:00:00"/>
    <n v="4485323"/>
  </r>
  <r>
    <s v="1552"/>
    <s v="V"/>
    <x v="1"/>
    <x v="1"/>
    <x v="1"/>
    <s v="A"/>
    <m/>
    <n v="251052"/>
    <x v="42"/>
    <d v="2025-10-14T00:00:00"/>
    <d v="2025-11-20T00:00:00"/>
    <n v="991785"/>
  </r>
  <r>
    <s v="1553"/>
    <s v="V"/>
    <x v="1"/>
    <x v="1"/>
    <x v="1"/>
    <s v="A"/>
    <m/>
    <n v="251077"/>
    <x v="42"/>
    <d v="2025-10-20T00:00:00"/>
    <d v="2025-11-20T00:00:00"/>
    <n v="1495116"/>
  </r>
  <r>
    <s v="1554"/>
    <s v="V"/>
    <x v="1"/>
    <x v="1"/>
    <x v="1"/>
    <s v="A"/>
    <m/>
    <n v="251093"/>
    <x v="42"/>
    <d v="2025-10-24T00:00:00"/>
    <d v="2025-11-20T00:00:00"/>
    <n v="2094570"/>
  </r>
  <r>
    <s v="1555"/>
    <s v="V"/>
    <x v="1"/>
    <x v="1"/>
    <x v="1"/>
    <s v="A"/>
    <m/>
    <n v="251113"/>
    <x v="42"/>
    <d v="2025-10-28T00:00:00"/>
    <d v="2025-11-20T00:00:00"/>
    <n v="3450002"/>
  </r>
  <r>
    <s v="1556"/>
    <s v="V"/>
    <x v="1"/>
    <x v="1"/>
    <x v="1"/>
    <s v="A"/>
    <m/>
    <n v="251111"/>
    <x v="42"/>
    <d v="2025-10-30T00:00:00"/>
    <d v="2025-11-20T00:00:00"/>
    <n v="4382402"/>
  </r>
  <r>
    <s v="1557"/>
    <s v="V"/>
    <x v="1"/>
    <x v="1"/>
    <x v="1"/>
    <s v="A"/>
    <m/>
    <n v="251179"/>
    <x v="42"/>
    <d v="2025-11-10T00:00:00"/>
    <d v="2025-12-16T00:00:00"/>
    <n v="1121330"/>
  </r>
  <r>
    <s v="1558"/>
    <s v="V"/>
    <x v="1"/>
    <x v="1"/>
    <x v="1"/>
    <s v="A"/>
    <m/>
    <n v="251203"/>
    <x v="42"/>
    <d v="2025-11-27T00:00:00"/>
    <d v="2025-12-16T00:00:00"/>
    <n v="1477410"/>
  </r>
  <r>
    <s v="1559"/>
    <s v="V"/>
    <x v="1"/>
    <x v="1"/>
    <x v="1"/>
    <s v="A"/>
    <m/>
    <n v="251269"/>
    <x v="42"/>
    <d v="2025-12-12T00:00:00"/>
    <d v="2025-12-16T00:00:00"/>
    <n v="3450002"/>
  </r>
  <r>
    <s v="1560"/>
    <s v="V"/>
    <x v="1"/>
    <x v="1"/>
    <x v="1"/>
    <s v="A"/>
    <m/>
    <n v="251276"/>
    <x v="42"/>
    <d v="2025-12-16T00:00:00"/>
    <d v="2026-03-14T00:00:00"/>
    <n v="1495116"/>
  </r>
  <r>
    <s v="1561"/>
    <s v="V"/>
    <x v="1"/>
    <x v="2"/>
    <x v="1"/>
    <s v="A"/>
    <m/>
    <n v="260214"/>
    <x v="42"/>
    <d v="2026-04-14T00:00:00"/>
    <d v="2026-07-11T00:00:00"/>
    <n v="4017969"/>
  </r>
  <r>
    <s v="1562"/>
    <s v="V"/>
    <x v="1"/>
    <x v="2"/>
    <x v="1"/>
    <s v="A"/>
    <m/>
    <n v="260217"/>
    <x v="42"/>
    <d v="2026-04-16T00:00:00"/>
    <d v="2026-07-11T00:00:00"/>
    <n v="747558"/>
  </r>
  <r>
    <s v="1563"/>
    <s v="V"/>
    <x v="1"/>
    <x v="2"/>
    <x v="1"/>
    <s v="A"/>
    <m/>
    <n v="260253"/>
    <x v="42"/>
    <d v="2026-04-27T00:00:00"/>
    <d v="2026-07-11T00:00:00"/>
    <n v="2760001"/>
  </r>
  <r>
    <s v="1564"/>
    <s v="V"/>
    <x v="1"/>
    <x v="2"/>
    <x v="1"/>
    <s v="A"/>
    <m/>
    <n v="260254"/>
    <x v="42"/>
    <d v="2026-04-30T00:00:00"/>
    <d v="2026-07-11T00:00:00"/>
    <n v="5139184"/>
  </r>
  <r>
    <s v="1565"/>
    <s v="V"/>
    <x v="1"/>
    <x v="2"/>
    <x v="1"/>
    <s v="A"/>
    <m/>
    <n v="260361"/>
    <x v="42"/>
    <d v="2026-06-10T00:00:00"/>
    <d v="2026-07-11T00:00:00"/>
    <n v="6900004"/>
  </r>
  <r>
    <s v="1566"/>
    <s v="V"/>
    <x v="0"/>
    <x v="0"/>
    <x v="0"/>
    <m/>
    <m/>
    <m/>
    <x v="0"/>
    <m/>
    <m/>
    <m/>
  </r>
  <r>
    <s v="1567"/>
    <s v="V"/>
    <x v="0"/>
    <x v="0"/>
    <x v="0"/>
    <m/>
    <m/>
    <m/>
    <x v="0"/>
    <m/>
    <m/>
    <m/>
  </r>
  <r>
    <s v="1568"/>
    <s v="V"/>
    <x v="0"/>
    <x v="0"/>
    <x v="0"/>
    <m/>
    <s v="X"/>
    <s v="PARIT PADANG GLOBAL, PT"/>
    <x v="0"/>
    <m/>
    <m/>
    <n v="417926648"/>
  </r>
  <r>
    <s v="1569"/>
    <s v="V"/>
    <x v="1"/>
    <x v="1"/>
    <x v="1"/>
    <s v="A"/>
    <m/>
    <n v="250017"/>
    <x v="43"/>
    <d v="2025-01-07T00:00:00"/>
    <d v="2025-01-25T00:00:00"/>
    <n v="3846899"/>
  </r>
  <r>
    <s v="1570"/>
    <s v="V"/>
    <x v="1"/>
    <x v="1"/>
    <x v="1"/>
    <s v="A"/>
    <m/>
    <n v="250018"/>
    <x v="43"/>
    <d v="2025-01-08T00:00:00"/>
    <d v="2025-01-25T00:00:00"/>
    <n v="1635952"/>
  </r>
  <r>
    <s v="1571"/>
    <s v="V"/>
    <x v="1"/>
    <x v="1"/>
    <x v="1"/>
    <s v="A"/>
    <m/>
    <n v="250019"/>
    <x v="43"/>
    <d v="2025-01-08T00:00:00"/>
    <d v="2025-01-25T00:00:00"/>
    <n v="5785920"/>
  </r>
  <r>
    <s v="1572"/>
    <s v="V"/>
    <x v="1"/>
    <x v="1"/>
    <x v="1"/>
    <s v="A"/>
    <m/>
    <n v="250034"/>
    <x v="43"/>
    <d v="2025-01-10T00:00:00"/>
    <d v="2025-01-25T00:00:00"/>
    <n v="3997110"/>
  </r>
  <r>
    <s v="1573"/>
    <s v="V"/>
    <x v="1"/>
    <x v="1"/>
    <x v="1"/>
    <s v="A"/>
    <m/>
    <n v="250033"/>
    <x v="43"/>
    <d v="2025-01-10T00:00:00"/>
    <d v="2025-01-25T00:00:00"/>
    <n v="19096997"/>
  </r>
  <r>
    <s v="1574"/>
    <s v="V"/>
    <x v="1"/>
    <x v="1"/>
    <x v="1"/>
    <s v="A"/>
    <m/>
    <n v="250211"/>
    <x v="43"/>
    <d v="2025-02-20T00:00:00"/>
    <d v="2025-03-06T00:00:00"/>
    <n v="14665875"/>
  </r>
  <r>
    <s v="1575"/>
    <s v="V"/>
    <x v="1"/>
    <x v="1"/>
    <x v="1"/>
    <s v="A"/>
    <m/>
    <n v="250184"/>
    <x v="43"/>
    <d v="2025-02-21T00:00:00"/>
    <d v="2025-03-06T00:00:00"/>
    <n v="4365630"/>
  </r>
  <r>
    <s v="1576"/>
    <s v="V"/>
    <x v="1"/>
    <x v="1"/>
    <x v="1"/>
    <s v="A"/>
    <m/>
    <n v="250310"/>
    <x v="43"/>
    <d v="2025-02-25T00:00:00"/>
    <d v="2025-03-06T00:00:00"/>
    <n v="2575200"/>
  </r>
  <r>
    <s v="1577"/>
    <s v="V"/>
    <x v="1"/>
    <x v="1"/>
    <x v="1"/>
    <s v="A"/>
    <m/>
    <n v="250212"/>
    <x v="43"/>
    <d v="2025-02-22T00:00:00"/>
    <d v="2025-03-06T00:00:00"/>
    <n v="25681159"/>
  </r>
  <r>
    <s v="1578"/>
    <s v="V"/>
    <x v="1"/>
    <x v="1"/>
    <x v="1"/>
    <s v="A"/>
    <m/>
    <n v="250312"/>
    <x v="43"/>
    <d v="2025-02-26T00:00:00"/>
    <d v="2025-03-27T00:00:00"/>
    <n v="2927520"/>
  </r>
  <r>
    <s v="1579"/>
    <s v="V"/>
    <x v="1"/>
    <x v="1"/>
    <x v="1"/>
    <s v="A"/>
    <m/>
    <n v="250233"/>
    <x v="43"/>
    <d v="2025-02-27T00:00:00"/>
    <d v="2025-03-27T00:00:00"/>
    <n v="6391321"/>
  </r>
  <r>
    <s v="1580"/>
    <s v="V"/>
    <x v="1"/>
    <x v="1"/>
    <x v="1"/>
    <s v="A"/>
    <m/>
    <n v="250233"/>
    <x v="43"/>
    <d v="2025-02-27T00:00:00"/>
    <d v="2025-03-27T00:00:00"/>
    <n v="7010375"/>
  </r>
  <r>
    <s v="1581"/>
    <s v="V"/>
    <x v="1"/>
    <x v="1"/>
    <x v="1"/>
    <s v="A"/>
    <m/>
    <n v="250239"/>
    <x v="43"/>
    <d v="2025-02-28T00:00:00"/>
    <d v="2025-03-27T00:00:00"/>
    <n v="6323148"/>
  </r>
  <r>
    <s v="1582"/>
    <s v="V"/>
    <x v="1"/>
    <x v="1"/>
    <x v="1"/>
    <s v="A"/>
    <m/>
    <n v="250311"/>
    <x v="43"/>
    <d v="2025-02-28T00:00:00"/>
    <d v="2025-03-27T00:00:00"/>
    <n v="1470000"/>
  </r>
  <r>
    <s v="1583"/>
    <s v="V"/>
    <x v="1"/>
    <x v="1"/>
    <x v="1"/>
    <s v="A"/>
    <m/>
    <n v="250308"/>
    <x v="43"/>
    <d v="2025-03-07T00:00:00"/>
    <d v="2025-03-27T00:00:00"/>
    <n v="4278884"/>
  </r>
  <r>
    <s v="1584"/>
    <s v="V"/>
    <x v="1"/>
    <x v="1"/>
    <x v="1"/>
    <s v="A"/>
    <m/>
    <n v="250309"/>
    <x v="43"/>
    <d v="2025-03-06T00:00:00"/>
    <d v="2025-03-27T00:00:00"/>
    <n v="12436265"/>
  </r>
  <r>
    <s v="1585"/>
    <s v="V"/>
    <x v="1"/>
    <x v="1"/>
    <x v="1"/>
    <s v="A"/>
    <m/>
    <n v="250336"/>
    <x v="43"/>
    <d v="2025-03-13T00:00:00"/>
    <d v="2025-03-27T00:00:00"/>
    <n v="2250104"/>
  </r>
  <r>
    <s v="1586"/>
    <s v="V"/>
    <x v="1"/>
    <x v="1"/>
    <x v="1"/>
    <s v="A"/>
    <m/>
    <n v="250380"/>
    <x v="43"/>
    <d v="2025-03-26T00:00:00"/>
    <d v="2025-04-26T00:00:00"/>
    <n v="10477512"/>
  </r>
  <r>
    <s v="1587"/>
    <s v="V"/>
    <x v="1"/>
    <x v="1"/>
    <x v="1"/>
    <s v="A"/>
    <m/>
    <n v="250393"/>
    <x v="43"/>
    <d v="2025-03-27T00:00:00"/>
    <d v="2025-04-26T00:00:00"/>
    <n v="19469947"/>
  </r>
  <r>
    <s v="1588"/>
    <s v="V"/>
    <x v="1"/>
    <x v="1"/>
    <x v="1"/>
    <s v="A"/>
    <m/>
    <n v="250417"/>
    <x v="43"/>
    <d v="2025-03-27T00:00:00"/>
    <d v="2025-04-26T00:00:00"/>
    <n v="4074588"/>
  </r>
  <r>
    <s v="1589"/>
    <s v="V"/>
    <x v="1"/>
    <x v="1"/>
    <x v="1"/>
    <s v="A"/>
    <m/>
    <n v="250362"/>
    <x v="43"/>
    <d v="2025-03-28T00:00:00"/>
    <d v="2025-04-26T00:00:00"/>
    <n v="9992775"/>
  </r>
  <r>
    <s v="1590"/>
    <s v="V"/>
    <x v="1"/>
    <x v="1"/>
    <x v="1"/>
    <s v="A"/>
    <m/>
    <n v="250493"/>
    <x v="43"/>
    <d v="2025-04-30T00:00:00"/>
    <d v="2025-07-19T00:00:00"/>
    <n v="2997000"/>
  </r>
  <r>
    <s v="1591"/>
    <s v="V"/>
    <x v="1"/>
    <x v="1"/>
    <x v="1"/>
    <s v="A"/>
    <m/>
    <n v="250503"/>
    <x v="43"/>
    <d v="2025-05-06T00:00:00"/>
    <d v="2025-07-19T00:00:00"/>
    <n v="3705005"/>
  </r>
  <r>
    <s v="1592"/>
    <s v="V"/>
    <x v="1"/>
    <x v="1"/>
    <x v="1"/>
    <s v="A"/>
    <m/>
    <n v="250748"/>
    <x v="43"/>
    <d v="2025-07-21T00:00:00"/>
    <d v="2025-09-13T00:00:00"/>
    <n v="3391050"/>
  </r>
  <r>
    <s v="1593"/>
    <s v="V"/>
    <x v="1"/>
    <x v="1"/>
    <x v="1"/>
    <s v="A"/>
    <m/>
    <n v="250745"/>
    <x v="43"/>
    <d v="2025-07-23T00:00:00"/>
    <d v="2025-09-13T00:00:00"/>
    <n v="5995665"/>
  </r>
  <r>
    <s v="1594"/>
    <s v="V"/>
    <x v="1"/>
    <x v="1"/>
    <x v="1"/>
    <s v="A"/>
    <m/>
    <n v="250746"/>
    <x v="43"/>
    <d v="2025-07-23T00:00:00"/>
    <d v="2025-09-13T00:00:00"/>
    <n v="9842761"/>
  </r>
  <r>
    <s v="1595"/>
    <s v="V"/>
    <x v="1"/>
    <x v="1"/>
    <x v="1"/>
    <s v="A"/>
    <m/>
    <n v="250747"/>
    <x v="43"/>
    <d v="2025-07-23T00:00:00"/>
    <d v="2025-09-13T00:00:00"/>
    <n v="1738260"/>
  </r>
  <r>
    <s v="1596"/>
    <s v="V"/>
    <x v="1"/>
    <x v="1"/>
    <x v="1"/>
    <s v="A"/>
    <m/>
    <n v="250771"/>
    <x v="43"/>
    <d v="2025-07-31T00:00:00"/>
    <d v="2025-09-13T00:00:00"/>
    <n v="4773981"/>
  </r>
  <r>
    <s v="1597"/>
    <s v="V"/>
    <x v="1"/>
    <x v="1"/>
    <x v="1"/>
    <s v="A"/>
    <m/>
    <n v="250767"/>
    <x v="43"/>
    <d v="2025-07-31T00:00:00"/>
    <d v="2025-09-13T00:00:00"/>
    <n v="5995665"/>
  </r>
  <r>
    <s v="1598"/>
    <s v="V"/>
    <x v="1"/>
    <x v="1"/>
    <x v="1"/>
    <s v="A"/>
    <m/>
    <n v="250769"/>
    <x v="43"/>
    <d v="2025-07-31T00:00:00"/>
    <d v="2025-09-13T00:00:00"/>
    <n v="5477131"/>
  </r>
  <r>
    <s v="1599"/>
    <s v="V"/>
    <x v="1"/>
    <x v="1"/>
    <x v="1"/>
    <s v="A"/>
    <m/>
    <n v="250770"/>
    <x v="43"/>
    <d v="2025-07-31T00:00:00"/>
    <d v="2025-09-13T00:00:00"/>
    <n v="3903026"/>
  </r>
  <r>
    <s v="1600"/>
    <s v="V"/>
    <x v="1"/>
    <x v="1"/>
    <x v="1"/>
    <s v="A"/>
    <m/>
    <n v="250768"/>
    <x v="43"/>
    <d v="2025-07-31T00:00:00"/>
    <d v="2025-09-13T00:00:00"/>
    <n v="200739"/>
  </r>
  <r>
    <s v="1601"/>
    <s v="V"/>
    <x v="1"/>
    <x v="1"/>
    <x v="1"/>
    <s v="A"/>
    <m/>
    <n v="250859"/>
    <x v="43"/>
    <d v="2025-08-28T00:00:00"/>
    <d v="2025-09-27T00:00:00"/>
    <n v="18257105"/>
  </r>
  <r>
    <s v="1602"/>
    <s v="V"/>
    <x v="1"/>
    <x v="1"/>
    <x v="1"/>
    <s v="A"/>
    <m/>
    <n v="251042"/>
    <x v="43"/>
    <d v="2025-10-13T00:00:00"/>
    <d v="2025-10-28T00:00:00"/>
    <n v="1004550"/>
  </r>
  <r>
    <s v="1603"/>
    <s v="V"/>
    <x v="1"/>
    <x v="1"/>
    <x v="1"/>
    <s v="A"/>
    <m/>
    <n v="251043"/>
    <x v="43"/>
    <d v="2025-10-13T00:00:00"/>
    <d v="2025-10-28T00:00:00"/>
    <n v="233100"/>
  </r>
  <r>
    <s v="1604"/>
    <s v="V"/>
    <x v="1"/>
    <x v="1"/>
    <x v="1"/>
    <s v="A"/>
    <m/>
    <n v="251041"/>
    <x v="43"/>
    <d v="2025-10-13T00:00:00"/>
    <d v="2025-10-28T00:00:00"/>
    <n v="3607500"/>
  </r>
  <r>
    <s v="1605"/>
    <s v="V"/>
    <x v="1"/>
    <x v="1"/>
    <x v="1"/>
    <s v="A"/>
    <m/>
    <n v="251045"/>
    <x v="43"/>
    <d v="2025-10-15T00:00:00"/>
    <d v="2025-11-11T00:00:00"/>
    <n v="323564"/>
  </r>
  <r>
    <s v="1606"/>
    <s v="V"/>
    <x v="1"/>
    <x v="1"/>
    <x v="1"/>
    <s v="A"/>
    <m/>
    <n v="251044"/>
    <x v="43"/>
    <d v="2025-10-15T00:00:00"/>
    <d v="2025-11-11T00:00:00"/>
    <n v="15894356"/>
  </r>
  <r>
    <s v="1607"/>
    <s v="V"/>
    <x v="1"/>
    <x v="1"/>
    <x v="1"/>
    <s v="A"/>
    <m/>
    <n v="251089"/>
    <x v="43"/>
    <d v="2025-10-24T00:00:00"/>
    <d v="2025-11-11T00:00:00"/>
    <n v="21254178"/>
  </r>
  <r>
    <s v="1608"/>
    <s v="V"/>
    <x v="1"/>
    <x v="1"/>
    <x v="1"/>
    <s v="A"/>
    <m/>
    <n v="251145"/>
    <x v="43"/>
    <d v="2025-10-31T00:00:00"/>
    <d v="2025-11-11T00:00:00"/>
    <n v="4920402"/>
  </r>
  <r>
    <s v="1609"/>
    <s v="V"/>
    <x v="1"/>
    <x v="1"/>
    <x v="1"/>
    <s v="A"/>
    <m/>
    <n v="251145"/>
    <x v="43"/>
    <d v="2025-10-31T00:00:00"/>
    <d v="2025-11-11T00:00:00"/>
    <n v="10165378"/>
  </r>
  <r>
    <s v="1610"/>
    <s v="V"/>
    <x v="1"/>
    <x v="1"/>
    <x v="1"/>
    <s v="A"/>
    <m/>
    <n v="251213"/>
    <x v="43"/>
    <d v="2025-11-29T00:00:00"/>
    <d v="2025-12-09T00:00:00"/>
    <n v="5557617"/>
  </r>
  <r>
    <s v="1611"/>
    <s v="V"/>
    <x v="2"/>
    <x v="1"/>
    <x v="1"/>
    <s v="A"/>
    <m/>
    <n v="260040"/>
    <x v="43"/>
    <d v="2026-01-28T00:00:00"/>
    <d v="2026-02-24T00:00:00"/>
    <n v="4467750"/>
  </r>
  <r>
    <s v="1612"/>
    <s v="V"/>
    <x v="2"/>
    <x v="1"/>
    <x v="1"/>
    <s v="A"/>
    <m/>
    <n v="260072"/>
    <x v="43"/>
    <d v="2026-01-30T00:00:00"/>
    <d v="2026-02-24T00:00:00"/>
    <n v="1460005"/>
  </r>
  <r>
    <s v="1613"/>
    <s v="V"/>
    <x v="2"/>
    <x v="1"/>
    <x v="1"/>
    <s v="A"/>
    <m/>
    <n v="260057"/>
    <x v="43"/>
    <d v="2026-01-29T00:00:00"/>
    <d v="2026-02-24T00:00:00"/>
    <n v="21064096"/>
  </r>
  <r>
    <s v="1614"/>
    <s v="V"/>
    <x v="2"/>
    <x v="1"/>
    <x v="1"/>
    <s v="A"/>
    <m/>
    <n v="260074"/>
    <x v="43"/>
    <d v="2026-01-31T00:00:00"/>
    <d v="2026-02-24T00:00:00"/>
    <n v="8731260"/>
  </r>
  <r>
    <s v="1615"/>
    <s v="V"/>
    <x v="2"/>
    <x v="1"/>
    <x v="1"/>
    <s v="A"/>
    <m/>
    <n v="260076"/>
    <x v="43"/>
    <d v="2026-01-31T00:00:00"/>
    <d v="2026-02-24T00:00:00"/>
    <n v="1690200"/>
  </r>
  <r>
    <s v="1616"/>
    <s v="V"/>
    <x v="2"/>
    <x v="1"/>
    <x v="1"/>
    <s v="A"/>
    <m/>
    <n v="260080"/>
    <x v="43"/>
    <d v="2026-01-31T00:00:00"/>
    <d v="2026-02-24T00:00:00"/>
    <n v="1358640"/>
  </r>
  <r>
    <s v="1617"/>
    <s v="V"/>
    <x v="2"/>
    <x v="1"/>
    <x v="1"/>
    <s v="A"/>
    <m/>
    <n v="260071"/>
    <x v="43"/>
    <d v="2026-01-31T00:00:00"/>
    <d v="2026-02-24T00:00:00"/>
    <n v="5820840"/>
  </r>
  <r>
    <s v="1618"/>
    <s v="V"/>
    <x v="2"/>
    <x v="1"/>
    <x v="1"/>
    <s v="A"/>
    <m/>
    <n v="260075"/>
    <x v="43"/>
    <d v="2026-01-31T00:00:00"/>
    <d v="2026-02-24T00:00:00"/>
    <n v="8731260"/>
  </r>
  <r>
    <s v="1619"/>
    <s v="V"/>
    <x v="2"/>
    <x v="1"/>
    <x v="1"/>
    <s v="A"/>
    <m/>
    <n v="260269"/>
    <x v="43"/>
    <d v="2026-05-08T00:00:00"/>
    <d v="2026-05-23T00:00:00"/>
    <n v="4972867"/>
  </r>
  <r>
    <s v="1620"/>
    <s v="V"/>
    <x v="2"/>
    <x v="1"/>
    <x v="1"/>
    <s v="A"/>
    <m/>
    <n v="260270"/>
    <x v="43"/>
    <d v="2026-05-08T00:00:00"/>
    <d v="2026-05-23T00:00:00"/>
    <n v="4762920"/>
  </r>
  <r>
    <s v="1621"/>
    <s v="V"/>
    <x v="2"/>
    <x v="1"/>
    <x v="1"/>
    <s v="A"/>
    <m/>
    <n v="260274"/>
    <x v="43"/>
    <d v="2026-05-09T00:00:00"/>
    <d v="2026-05-23T00:00:00"/>
    <n v="3836854"/>
  </r>
  <r>
    <s v="1622"/>
    <s v="V"/>
    <x v="2"/>
    <x v="1"/>
    <x v="1"/>
    <s v="A"/>
    <m/>
    <n v="260072"/>
    <x v="43"/>
    <d v="2026-01-30T00:00:00"/>
    <d v="2026-02-24T00:00:00"/>
    <n v="2397275"/>
  </r>
  <r>
    <s v="1623"/>
    <s v="V"/>
    <x v="2"/>
    <x v="1"/>
    <x v="1"/>
    <s v="A"/>
    <m/>
    <n v="260073"/>
    <x v="43"/>
    <d v="2026-01-30T00:00:00"/>
    <d v="2026-02-24T00:00:00"/>
    <n v="9621413"/>
  </r>
  <r>
    <s v="1624"/>
    <s v="V"/>
    <x v="2"/>
    <x v="1"/>
    <x v="1"/>
    <s v="A"/>
    <m/>
    <n v="260278"/>
    <x v="43"/>
    <d v="2026-05-11T00:00:00"/>
    <d v="2026-05-23T00:00:00"/>
    <n v="611294"/>
  </r>
  <r>
    <s v="1625"/>
    <s v="V"/>
    <x v="2"/>
    <x v="1"/>
    <x v="1"/>
    <s v="A"/>
    <m/>
    <n v="260285"/>
    <x v="43"/>
    <d v="2026-05-15T00:00:00"/>
    <d v="2026-05-23T00:00:00"/>
    <n v="4155327"/>
  </r>
  <r>
    <s v="1626"/>
    <s v="V"/>
    <x v="2"/>
    <x v="1"/>
    <x v="1"/>
    <s v="A"/>
    <m/>
    <n v="260303"/>
    <x v="43"/>
    <d v="2026-05-23T00:00:00"/>
    <d v="2026-06-20T00:00:00"/>
    <n v="2400028"/>
  </r>
  <r>
    <s v="1627"/>
    <s v="V"/>
    <x v="2"/>
    <x v="1"/>
    <x v="1"/>
    <s v="A"/>
    <m/>
    <n v="260322"/>
    <x v="43"/>
    <d v="2026-05-30T00:00:00"/>
    <d v="2026-06-20T00:00:00"/>
    <n v="3503160"/>
  </r>
  <r>
    <s v="1628"/>
    <s v="V"/>
    <x v="2"/>
    <x v="1"/>
    <x v="1"/>
    <s v="A"/>
    <m/>
    <n v="260332"/>
    <x v="43"/>
    <d v="2026-05-30T00:00:00"/>
    <d v="2026-06-20T00:00:00"/>
    <n v="2400028"/>
  </r>
  <r>
    <s v="1629"/>
    <s v="V"/>
    <x v="2"/>
    <x v="1"/>
    <x v="1"/>
    <s v="A"/>
    <m/>
    <n v="260332"/>
    <x v="43"/>
    <d v="2026-06-24T00:00:00"/>
    <d v="2026-07-17T00:00:00"/>
    <n v="3424905"/>
  </r>
  <r>
    <s v="1630"/>
    <s v="V"/>
    <x v="2"/>
    <x v="1"/>
    <x v="1"/>
    <s v="A"/>
    <m/>
    <n v="260334"/>
    <x v="43"/>
    <d v="2026-05-30T00:00:00"/>
    <d v="2026-06-20T00:00:00"/>
    <n v="808825"/>
  </r>
  <r>
    <s v="1631"/>
    <s v="V"/>
    <x v="2"/>
    <x v="2"/>
    <x v="1"/>
    <s v="A"/>
    <m/>
    <n v="260334"/>
    <x v="43"/>
    <d v="2026-05-30T00:00:00"/>
    <d v="2026-06-20T00:00:00"/>
    <n v="3424905"/>
  </r>
  <r>
    <s v="1632"/>
    <s v="V"/>
    <x v="2"/>
    <x v="2"/>
    <x v="1"/>
    <s v="A"/>
    <m/>
    <n v="260389"/>
    <x v="43"/>
    <d v="2026-06-23T00:00:00"/>
    <d v="2026-07-14T00:00:00"/>
    <n v="964320"/>
  </r>
  <r>
    <s v="1633"/>
    <s v="V"/>
    <x v="2"/>
    <x v="2"/>
    <x v="1"/>
    <s v="A"/>
    <m/>
    <n v="260392"/>
    <x v="43"/>
    <d v="2026-06-24T00:00:00"/>
    <d v="2026-07-14T00:00:00"/>
    <n v="1479288"/>
  </r>
  <r>
    <s v="1634"/>
    <s v="V"/>
    <x v="2"/>
    <x v="2"/>
    <x v="1"/>
    <s v="A"/>
    <m/>
    <n v="260403"/>
    <x v="43"/>
    <d v="2026-06-26T00:00:00"/>
    <d v="2026-07-14T00:00:00"/>
    <n v="2384378"/>
  </r>
  <r>
    <s v="1635"/>
    <s v="V"/>
    <x v="2"/>
    <x v="2"/>
    <x v="1"/>
    <s v="A"/>
    <m/>
    <n v="260402"/>
    <x v="43"/>
    <d v="2026-06-26T00:00:00"/>
    <d v="2026-07-14T00:00:00"/>
    <n v="599999"/>
  </r>
  <r>
    <s v="1636"/>
    <s v="V"/>
    <x v="2"/>
    <x v="2"/>
    <x v="1"/>
    <s v="A"/>
    <m/>
    <n v="260413"/>
    <x v="43"/>
    <d v="2026-06-29T00:00:00"/>
    <d v="2026-07-14T00:00:00"/>
    <n v="7346490"/>
  </r>
  <r>
    <s v="1637"/>
    <s v="V"/>
    <x v="2"/>
    <x v="2"/>
    <x v="1"/>
    <s v="A"/>
    <m/>
    <n v="260422"/>
    <x v="43"/>
    <d v="2026-06-30T00:00:00"/>
    <d v="2026-07-14T00:00:00"/>
    <n v="6517830"/>
  </r>
  <r>
    <s v="1638"/>
    <s v="V"/>
    <x v="2"/>
    <x v="2"/>
    <x v="1"/>
    <s v="A"/>
    <m/>
    <n v="260444"/>
    <x v="43"/>
    <d v="2026-07-07T00:00:00"/>
    <d v="2026-07-14T00:00:00"/>
    <n v="999277"/>
  </r>
  <r>
    <s v="1639"/>
    <s v="V"/>
    <x v="0"/>
    <x v="0"/>
    <x v="0"/>
    <m/>
    <m/>
    <m/>
    <x v="0"/>
    <m/>
    <m/>
    <m/>
  </r>
  <r>
    <s v="1640"/>
    <s v="V"/>
    <x v="0"/>
    <x v="0"/>
    <x v="0"/>
    <m/>
    <m/>
    <m/>
    <x v="0"/>
    <m/>
    <m/>
    <m/>
  </r>
  <r>
    <s v="1641"/>
    <s v="V"/>
    <x v="0"/>
    <x v="0"/>
    <x v="0"/>
    <m/>
    <s v="X"/>
    <s v="PENTA VALENT, PT"/>
    <x v="0"/>
    <m/>
    <m/>
    <n v="125912067"/>
  </r>
  <r>
    <s v="1642"/>
    <s v="V"/>
    <x v="1"/>
    <x v="1"/>
    <x v="1"/>
    <s v="A"/>
    <m/>
    <n v="250342"/>
    <x v="44"/>
    <d v="2025-03-11T00:00:00"/>
    <d v="2025-03-22T00:00:00"/>
    <n v="723606"/>
  </r>
  <r>
    <s v="1643"/>
    <s v="V"/>
    <x v="1"/>
    <x v="1"/>
    <x v="1"/>
    <s v="A"/>
    <m/>
    <n v="250338"/>
    <x v="44"/>
    <d v="2025-03-12T00:00:00"/>
    <d v="2025-03-22T00:00:00"/>
    <n v="8323890"/>
  </r>
  <r>
    <s v="1644"/>
    <s v="V"/>
    <x v="1"/>
    <x v="1"/>
    <x v="1"/>
    <s v="A"/>
    <m/>
    <n v="250404"/>
    <x v="44"/>
    <d v="2025-03-21T00:00:00"/>
    <d v="2025-04-05T00:00:00"/>
    <n v="757575"/>
  </r>
  <r>
    <s v="1645"/>
    <s v="V"/>
    <x v="1"/>
    <x v="1"/>
    <x v="1"/>
    <s v="A"/>
    <m/>
    <n v="250363"/>
    <x v="44"/>
    <d v="2025-03-26T00:00:00"/>
    <d v="2025-04-12T00:00:00"/>
    <n v="809190"/>
  </r>
  <r>
    <s v="1646"/>
    <s v="V"/>
    <x v="1"/>
    <x v="1"/>
    <x v="1"/>
    <s v="A"/>
    <m/>
    <n v="250364"/>
    <x v="44"/>
    <d v="2025-03-27T00:00:00"/>
    <d v="2025-04-12T00:00:00"/>
    <n v="1651125"/>
  </r>
  <r>
    <s v="1647"/>
    <s v="V"/>
    <x v="1"/>
    <x v="1"/>
    <x v="1"/>
    <s v="A"/>
    <m/>
    <n v="250373"/>
    <x v="44"/>
    <d v="2025-03-27T00:00:00"/>
    <d v="2025-04-12T00:00:00"/>
    <n v="10854135"/>
  </r>
  <r>
    <s v="1648"/>
    <s v="V"/>
    <x v="1"/>
    <x v="1"/>
    <x v="1"/>
    <s v="A"/>
    <m/>
    <n v="250374"/>
    <x v="44"/>
    <d v="2025-03-27T00:00:00"/>
    <d v="2025-04-12T00:00:00"/>
    <n v="509490"/>
  </r>
  <r>
    <s v="1649"/>
    <s v="V"/>
    <x v="1"/>
    <x v="1"/>
    <x v="1"/>
    <s v="A"/>
    <m/>
    <n v="250433"/>
    <x v="44"/>
    <d v="2025-04-16T00:00:00"/>
    <d v="2025-05-03T00:00:00"/>
    <n v="1990785"/>
  </r>
  <r>
    <s v="1650"/>
    <s v="V"/>
    <x v="1"/>
    <x v="1"/>
    <x v="1"/>
    <s v="A"/>
    <m/>
    <n v="250443"/>
    <x v="44"/>
    <d v="2025-04-17T00:00:00"/>
    <d v="2025-05-03T00:00:00"/>
    <n v="266400"/>
  </r>
  <r>
    <s v="1651"/>
    <s v="V"/>
    <x v="1"/>
    <x v="1"/>
    <x v="1"/>
    <s v="A"/>
    <m/>
    <n v="250453"/>
    <x v="44"/>
    <d v="2025-04-21T00:00:00"/>
    <d v="2025-05-03T00:00:00"/>
    <n v="5399040"/>
  </r>
  <r>
    <s v="1652"/>
    <s v="V"/>
    <x v="1"/>
    <x v="1"/>
    <x v="1"/>
    <s v="A"/>
    <m/>
    <n v="250454"/>
    <x v="44"/>
    <d v="2025-04-22T00:00:00"/>
    <d v="2025-05-03T00:00:00"/>
    <n v="8098560"/>
  </r>
  <r>
    <s v="1653"/>
    <s v="V"/>
    <x v="1"/>
    <x v="1"/>
    <x v="1"/>
    <s v="A"/>
    <m/>
    <n v="250724"/>
    <x v="44"/>
    <d v="2025-07-23T00:00:00"/>
    <d v="2025-08-02T00:00:00"/>
    <n v="863733"/>
  </r>
  <r>
    <s v="1654"/>
    <s v="V"/>
    <x v="1"/>
    <x v="1"/>
    <x v="1"/>
    <s v="A"/>
    <m/>
    <n v="250730"/>
    <x v="44"/>
    <d v="2025-07-19T00:00:00"/>
    <d v="2025-08-09T00:00:00"/>
    <n v="390165"/>
  </r>
  <r>
    <s v="1655"/>
    <s v="V"/>
    <x v="1"/>
    <x v="1"/>
    <x v="1"/>
    <s v="A"/>
    <m/>
    <n v="250760"/>
    <x v="44"/>
    <d v="2025-07-29T00:00:00"/>
    <d v="2025-08-09T00:00:00"/>
    <n v="2403594"/>
  </r>
  <r>
    <s v="1656"/>
    <s v="V"/>
    <x v="1"/>
    <x v="1"/>
    <x v="1"/>
    <s v="A"/>
    <m/>
    <n v="250780"/>
    <x v="44"/>
    <d v="2025-08-01T00:00:00"/>
    <d v="2025-08-16T00:00:00"/>
    <n v="10549440"/>
  </r>
  <r>
    <s v="1657"/>
    <s v="V"/>
    <x v="1"/>
    <x v="1"/>
    <x v="1"/>
    <s v="A"/>
    <m/>
    <n v="250850"/>
    <x v="44"/>
    <d v="2025-08-21T00:00:00"/>
    <d v="2025-08-30T00:00:00"/>
    <n v="1428669"/>
  </r>
  <r>
    <s v="1658"/>
    <s v="V"/>
    <x v="1"/>
    <x v="1"/>
    <x v="1"/>
    <s v="A"/>
    <m/>
    <n v="250878"/>
    <x v="44"/>
    <d v="2025-08-30T00:00:00"/>
    <d v="2025-09-16T00:00:00"/>
    <n v="3656340"/>
  </r>
  <r>
    <s v="1659"/>
    <s v="V"/>
    <x v="1"/>
    <x v="1"/>
    <x v="1"/>
    <s v="A"/>
    <m/>
    <n v="250941"/>
    <x v="44"/>
    <d v="2025-09-16T00:00:00"/>
    <d v="2025-09-27T00:00:00"/>
    <n v="3446550"/>
  </r>
  <r>
    <s v="1660"/>
    <s v="V"/>
    <x v="1"/>
    <x v="1"/>
    <x v="1"/>
    <s v="A"/>
    <m/>
    <n v="250954"/>
    <x v="44"/>
    <d v="2025-09-23T00:00:00"/>
    <d v="2025-10-04T00:00:00"/>
    <n v="12654000"/>
  </r>
  <r>
    <s v="1661"/>
    <s v="V"/>
    <x v="1"/>
    <x v="1"/>
    <x v="1"/>
    <s v="A"/>
    <m/>
    <n v="251033"/>
    <x v="44"/>
    <d v="2025-10-03T00:00:00"/>
    <d v="2025-10-18T00:00:00"/>
    <n v="12151725"/>
  </r>
  <r>
    <s v="1662"/>
    <s v="V"/>
    <x v="1"/>
    <x v="1"/>
    <x v="1"/>
    <s v="A"/>
    <m/>
    <n v="251270"/>
    <x v="44"/>
    <d v="2025-12-11T00:00:00"/>
    <d v="2025-12-20T00:00:00"/>
    <n v="949050"/>
  </r>
  <r>
    <s v="1663"/>
    <s v="V"/>
    <x v="1"/>
    <x v="1"/>
    <x v="1"/>
    <s v="A"/>
    <m/>
    <n v="251265"/>
    <x v="44"/>
    <d v="2025-12-12T00:00:00"/>
    <d v="2025-12-20T00:00:00"/>
    <n v="1146352"/>
  </r>
  <r>
    <s v="1664"/>
    <s v="V"/>
    <x v="1"/>
    <x v="1"/>
    <x v="1"/>
    <s v="A"/>
    <m/>
    <n v="251285"/>
    <x v="44"/>
    <d v="2025-12-20T00:00:00"/>
    <d v="2026-01-03T00:00:00"/>
    <n v="857201"/>
  </r>
  <r>
    <s v="1665"/>
    <s v="V"/>
    <x v="1"/>
    <x v="1"/>
    <x v="1"/>
    <s v="A"/>
    <m/>
    <n v="251313"/>
    <x v="44"/>
    <d v="2025-12-29T00:00:00"/>
    <d v="2026-01-10T00:00:00"/>
    <n v="25734240"/>
  </r>
  <r>
    <s v="1666"/>
    <s v="V"/>
    <x v="2"/>
    <x v="2"/>
    <x v="1"/>
    <s v="A"/>
    <m/>
    <n v="260314"/>
    <x v="44"/>
    <d v="2026-05-28T00:00:00"/>
    <d v="2026-06-09T00:00:00"/>
    <n v="10011479"/>
  </r>
  <r>
    <s v="1667"/>
    <s v="V"/>
    <x v="2"/>
    <x v="2"/>
    <x v="1"/>
    <s v="A"/>
    <m/>
    <n v="260319"/>
    <x v="44"/>
    <d v="2026-05-30T00:00:00"/>
    <d v="2026-06-09T00:00:00"/>
    <n v="285733"/>
  </r>
  <r>
    <s v="1668"/>
    <s v="V"/>
    <x v="0"/>
    <x v="0"/>
    <x v="0"/>
    <m/>
    <m/>
    <m/>
    <x v="0"/>
    <m/>
    <m/>
    <m/>
  </r>
  <r>
    <s v="1669"/>
    <s v="V"/>
    <x v="0"/>
    <x v="0"/>
    <x v="0"/>
    <m/>
    <m/>
    <m/>
    <x v="0"/>
    <m/>
    <m/>
    <m/>
  </r>
  <r>
    <s v="1670"/>
    <s v="V"/>
    <x v="0"/>
    <x v="0"/>
    <x v="0"/>
    <m/>
    <s v="X"/>
    <s v="RAJAWALI NUSINDO, PT"/>
    <x v="0"/>
    <m/>
    <m/>
    <n v="58997027"/>
  </r>
  <r>
    <s v="1671"/>
    <s v="V"/>
    <x v="1"/>
    <x v="1"/>
    <x v="1"/>
    <s v="A"/>
    <m/>
    <n v="250118"/>
    <x v="45"/>
    <d v="2025-02-03T00:00:00"/>
    <d v="2025-02-13T00:00:00"/>
    <n v="699300"/>
  </r>
  <r>
    <s v="1672"/>
    <s v="V"/>
    <x v="1"/>
    <x v="1"/>
    <x v="1"/>
    <s v="A"/>
    <m/>
    <n v="250135"/>
    <x v="45"/>
    <d v="2025-02-06T00:00:00"/>
    <d v="2025-02-13T00:00:00"/>
    <n v="1174550"/>
  </r>
  <r>
    <s v="1673"/>
    <s v="V"/>
    <x v="1"/>
    <x v="1"/>
    <x v="1"/>
    <s v="A"/>
    <m/>
    <n v="250136"/>
    <x v="45"/>
    <d v="2025-02-04T00:00:00"/>
    <d v="2025-02-18T00:00:00"/>
    <n v="5106000"/>
  </r>
  <r>
    <s v="1674"/>
    <s v="V"/>
    <x v="1"/>
    <x v="1"/>
    <x v="1"/>
    <s v="A"/>
    <m/>
    <n v="250117"/>
    <x v="45"/>
    <d v="2025-02-04T00:00:00"/>
    <d v="2025-02-18T00:00:00"/>
    <n v="6293700"/>
  </r>
  <r>
    <s v="1675"/>
    <s v="V"/>
    <x v="1"/>
    <x v="1"/>
    <x v="1"/>
    <s v="A"/>
    <m/>
    <n v="250219"/>
    <x v="45"/>
    <d v="2025-02-18T00:00:00"/>
    <d v="2025-02-25T00:00:00"/>
    <n v="221232"/>
  </r>
  <r>
    <s v="1676"/>
    <s v="V"/>
    <x v="1"/>
    <x v="1"/>
    <x v="1"/>
    <s v="A"/>
    <m/>
    <n v="250354"/>
    <x v="45"/>
    <d v="2025-03-19T00:00:00"/>
    <d v="2025-03-27T00:00:00"/>
    <n v="936659"/>
  </r>
  <r>
    <s v="1677"/>
    <s v="V"/>
    <x v="1"/>
    <x v="1"/>
    <x v="1"/>
    <s v="A"/>
    <m/>
    <n v="250378"/>
    <x v="45"/>
    <d v="2025-03-26T00:00:00"/>
    <d v="2025-04-15T00:00:00"/>
    <n v="3829500"/>
  </r>
  <r>
    <s v="1678"/>
    <s v="V"/>
    <x v="1"/>
    <x v="1"/>
    <x v="1"/>
    <s v="A"/>
    <m/>
    <n v="250421"/>
    <x v="45"/>
    <d v="2025-04-11T00:00:00"/>
    <d v="2025-04-22T00:00:00"/>
    <n v="449999"/>
  </r>
  <r>
    <s v="1679"/>
    <s v="V"/>
    <x v="1"/>
    <x v="1"/>
    <x v="1"/>
    <s v="A"/>
    <m/>
    <m/>
    <x v="45"/>
    <d v="2025-04-11T00:00:00"/>
    <d v="2025-04-22T00:00:00"/>
    <n v="307289"/>
  </r>
  <r>
    <s v="1680"/>
    <s v="V"/>
    <x v="1"/>
    <x v="1"/>
    <x v="1"/>
    <s v="A"/>
    <m/>
    <n v="250480"/>
    <x v="45"/>
    <d v="2025-04-28T00:00:00"/>
    <d v="2025-05-08T00:00:00"/>
    <n v="604720"/>
  </r>
  <r>
    <s v="1681"/>
    <s v="V"/>
    <x v="1"/>
    <x v="1"/>
    <x v="1"/>
    <s v="A"/>
    <m/>
    <n v="250595"/>
    <x v="45"/>
    <d v="2025-06-10T00:00:00"/>
    <d v="2025-06-17T00:00:00"/>
    <n v="631012"/>
  </r>
  <r>
    <s v="1682"/>
    <s v="V"/>
    <x v="1"/>
    <x v="1"/>
    <x v="1"/>
    <s v="A"/>
    <m/>
    <n v="250596"/>
    <x v="45"/>
    <d v="2025-06-10T00:00:00"/>
    <d v="2025-06-17T00:00:00"/>
    <n v="1787100"/>
  </r>
  <r>
    <s v="1683"/>
    <s v="V"/>
    <x v="1"/>
    <x v="1"/>
    <x v="1"/>
    <s v="A"/>
    <m/>
    <n v="250607"/>
    <x v="45"/>
    <d v="2025-06-17T00:00:00"/>
    <d v="2025-06-24T00:00:00"/>
    <n v="614579"/>
  </r>
  <r>
    <s v="1684"/>
    <s v="V"/>
    <x v="1"/>
    <x v="1"/>
    <x v="1"/>
    <s v="A"/>
    <m/>
    <n v="250609"/>
    <x v="45"/>
    <d v="2025-06-18T00:00:00"/>
    <d v="2025-07-01T00:00:00"/>
    <n v="920226"/>
  </r>
  <r>
    <s v="1685"/>
    <s v="V"/>
    <x v="1"/>
    <x v="1"/>
    <x v="1"/>
    <s v="A"/>
    <m/>
    <n v="250615"/>
    <x v="45"/>
    <d v="2025-06-24T00:00:00"/>
    <d v="2025-07-08T00:00:00"/>
    <n v="1694789"/>
  </r>
  <r>
    <s v="1686"/>
    <s v="V"/>
    <x v="1"/>
    <x v="1"/>
    <x v="1"/>
    <s v="A"/>
    <m/>
    <n v="250660"/>
    <x v="45"/>
    <d v="2025-07-07T00:00:00"/>
    <d v="2025-07-10T00:00:00"/>
    <n v="631012"/>
  </r>
  <r>
    <s v="1687"/>
    <s v="V"/>
    <x v="1"/>
    <x v="1"/>
    <x v="1"/>
    <s v="A"/>
    <m/>
    <n v="250659"/>
    <x v="45"/>
    <d v="2025-07-07T00:00:00"/>
    <d v="2025-07-10T00:00:00"/>
    <n v="738150"/>
  </r>
  <r>
    <s v="1688"/>
    <s v="V"/>
    <x v="1"/>
    <x v="1"/>
    <x v="1"/>
    <s v="A"/>
    <m/>
    <n v="250675"/>
    <x v="45"/>
    <d v="2025-07-11T00:00:00"/>
    <d v="2025-07-17T00:00:00"/>
    <n v="307289"/>
  </r>
  <r>
    <s v="1689"/>
    <s v="V"/>
    <x v="1"/>
    <x v="1"/>
    <x v="1"/>
    <s v="A"/>
    <m/>
    <n v="250685"/>
    <x v="45"/>
    <d v="2025-07-14T00:00:00"/>
    <d v="2025-07-31T00:00:00"/>
    <n v="155400"/>
  </r>
  <r>
    <s v="1690"/>
    <s v="V"/>
    <x v="1"/>
    <x v="1"/>
    <x v="1"/>
    <s v="A"/>
    <m/>
    <n v="250751"/>
    <x v="45"/>
    <d v="2025-07-22T00:00:00"/>
    <d v="2025-08-05T00:00:00"/>
    <n v="5594400"/>
  </r>
  <r>
    <s v="1691"/>
    <s v="V"/>
    <x v="1"/>
    <x v="1"/>
    <x v="1"/>
    <s v="A"/>
    <m/>
    <n v="250750"/>
    <x v="45"/>
    <d v="2025-07-22T00:00:00"/>
    <d v="2025-08-05T00:00:00"/>
    <n v="4195800"/>
  </r>
  <r>
    <s v="1692"/>
    <s v="V"/>
    <x v="1"/>
    <x v="1"/>
    <x v="1"/>
    <s v="A"/>
    <m/>
    <n v="250785"/>
    <x v="45"/>
    <d v="2025-08-06T00:00:00"/>
    <d v="2025-08-12T00:00:00"/>
    <n v="247274"/>
  </r>
  <r>
    <s v="1693"/>
    <s v="V"/>
    <x v="1"/>
    <x v="1"/>
    <x v="1"/>
    <s v="A"/>
    <m/>
    <n v="250792"/>
    <x v="45"/>
    <d v="2025-08-07T00:00:00"/>
    <d v="2025-08-12T00:00:00"/>
    <n v="299072"/>
  </r>
  <r>
    <s v="1694"/>
    <s v="V"/>
    <x v="1"/>
    <x v="1"/>
    <x v="1"/>
    <s v="A"/>
    <m/>
    <n v="250811"/>
    <x v="45"/>
    <d v="2025-08-13T00:00:00"/>
    <d v="2025-08-21T00:00:00"/>
    <n v="194250"/>
  </r>
  <r>
    <s v="1695"/>
    <s v="V"/>
    <x v="1"/>
    <x v="1"/>
    <x v="1"/>
    <s v="A"/>
    <m/>
    <n v="250792"/>
    <x v="45"/>
    <d v="2025-08-14T00:00:00"/>
    <d v="2025-08-21T00:00:00"/>
    <n v="1739999"/>
  </r>
  <r>
    <s v="1696"/>
    <s v="V"/>
    <x v="1"/>
    <x v="1"/>
    <x v="1"/>
    <s v="A"/>
    <m/>
    <n v="250824"/>
    <x v="45"/>
    <d v="2025-08-19T00:00:00"/>
    <d v="2025-08-26T00:00:00"/>
    <n v="614579"/>
  </r>
  <r>
    <s v="1697"/>
    <s v="V"/>
    <x v="1"/>
    <x v="1"/>
    <x v="1"/>
    <s v="A"/>
    <m/>
    <n v="250828"/>
    <x v="45"/>
    <d v="2025-08-19T00:00:00"/>
    <d v="2025-08-26T00:00:00"/>
    <n v="611293"/>
  </r>
  <r>
    <s v="1698"/>
    <s v="V"/>
    <x v="1"/>
    <x v="1"/>
    <x v="1"/>
    <s v="A"/>
    <m/>
    <n v="250889"/>
    <x v="45"/>
    <d v="2025-09-02T00:00:00"/>
    <d v="2025-09-09T00:00:00"/>
    <n v="332953"/>
  </r>
  <r>
    <s v="1699"/>
    <s v="V"/>
    <x v="1"/>
    <x v="1"/>
    <x v="1"/>
    <s v="A"/>
    <m/>
    <n v="250937"/>
    <x v="45"/>
    <d v="2025-09-16T00:00:00"/>
    <d v="2025-09-25T00:00:00"/>
    <n v="666592"/>
  </r>
  <r>
    <s v="1700"/>
    <s v="V"/>
    <x v="1"/>
    <x v="1"/>
    <x v="1"/>
    <s v="A"/>
    <m/>
    <n v="250979"/>
    <x v="46"/>
    <d v="2025-09-30T00:00:00"/>
    <d v="2025-10-15T00:00:00"/>
    <n v="64053"/>
  </r>
  <r>
    <s v="1701"/>
    <s v="V"/>
    <x v="1"/>
    <x v="1"/>
    <x v="1"/>
    <s v="A"/>
    <m/>
    <n v="251015"/>
    <x v="46"/>
    <d v="2025-10-06T00:00:00"/>
    <d v="2025-10-15T00:00:00"/>
    <n v="6993000"/>
  </r>
  <r>
    <s v="1702"/>
    <s v="V"/>
    <x v="1"/>
    <x v="1"/>
    <x v="1"/>
    <s v="A"/>
    <m/>
    <n v="251023"/>
    <x v="46"/>
    <d v="2025-10-07T00:00:00"/>
    <d v="2025-10-15T00:00:00"/>
    <n v="58231"/>
  </r>
  <r>
    <s v="1703"/>
    <s v="V"/>
    <x v="1"/>
    <x v="1"/>
    <x v="1"/>
    <s v="A"/>
    <m/>
    <n v="251168"/>
    <x v="46"/>
    <d v="2025-11-06T00:00:00"/>
    <d v="2025-11-18T00:00:00"/>
    <n v="1461991"/>
  </r>
  <r>
    <s v="1704"/>
    <s v="V"/>
    <x v="1"/>
    <x v="1"/>
    <x v="1"/>
    <s v="A"/>
    <m/>
    <n v="251258"/>
    <x v="46"/>
    <d v="2025-12-11T00:00:00"/>
    <d v="2025-12-23T00:00:00"/>
    <n v="266399"/>
  </r>
  <r>
    <s v="1705"/>
    <s v="V"/>
    <x v="1"/>
    <x v="1"/>
    <x v="1"/>
    <s v="A"/>
    <m/>
    <n v="251303"/>
    <x v="46"/>
    <d v="2025-12-29T00:00:00"/>
    <d v="2026-01-06T00:00:00"/>
    <n v="146198"/>
  </r>
  <r>
    <s v="1706"/>
    <s v="V"/>
    <x v="1"/>
    <x v="1"/>
    <x v="1"/>
    <s v="A"/>
    <m/>
    <n v="251301"/>
    <x v="46"/>
    <d v="2025-12-29T00:00:00"/>
    <d v="2026-01-06T00:00:00"/>
    <n v="388500"/>
  </r>
  <r>
    <s v="1707"/>
    <s v="V"/>
    <x v="1"/>
    <x v="1"/>
    <x v="1"/>
    <s v="A"/>
    <m/>
    <n v="251302"/>
    <x v="46"/>
    <d v="2025-12-30T00:00:00"/>
    <d v="2026-01-06T00:00:00"/>
    <n v="11100"/>
  </r>
  <r>
    <s v="1708"/>
    <s v="V"/>
    <x v="1"/>
    <x v="1"/>
    <x v="1"/>
    <s v="A"/>
    <m/>
    <n v="260001"/>
    <x v="46"/>
    <d v="2025-12-31T00:00:00"/>
    <d v="2026-01-06T00:00:00"/>
    <n v="1546999"/>
  </r>
  <r>
    <s v="1709"/>
    <s v="V"/>
    <x v="2"/>
    <x v="1"/>
    <x v="1"/>
    <s v="A"/>
    <m/>
    <n v="260009"/>
    <x v="46"/>
    <d v="2026-01-07T00:00:00"/>
    <d v="2026-01-22T00:00:00"/>
    <n v="130536"/>
  </r>
  <r>
    <s v="1710"/>
    <s v="V"/>
    <x v="2"/>
    <x v="1"/>
    <x v="1"/>
    <s v="A"/>
    <m/>
    <n v="260014"/>
    <x v="46"/>
    <d v="2026-01-14T00:00:00"/>
    <d v="2026-01-22T00:00:00"/>
    <n v="869999"/>
  </r>
  <r>
    <s v="1711"/>
    <s v="V"/>
    <x v="2"/>
    <x v="1"/>
    <x v="1"/>
    <s v="A"/>
    <m/>
    <n v="260019"/>
    <x v="46"/>
    <d v="2026-01-14T00:00:00"/>
    <d v="2026-01-22T00:00:00"/>
    <n v="155980"/>
  </r>
  <r>
    <s v="1712"/>
    <s v="V"/>
    <x v="2"/>
    <x v="1"/>
    <x v="1"/>
    <s v="A"/>
    <m/>
    <n v="260042"/>
    <x v="46"/>
    <d v="2026-01-22T00:00:00"/>
    <d v="2026-01-29T00:00:00"/>
    <n v="730995"/>
  </r>
  <r>
    <s v="1713"/>
    <s v="V"/>
    <x v="2"/>
    <x v="1"/>
    <x v="1"/>
    <s v="A"/>
    <m/>
    <m/>
    <x v="46"/>
    <d v="2026-01-21T00:00:00"/>
    <d v="2026-01-29T00:00:00"/>
    <n v="2528202"/>
  </r>
  <r>
    <s v="1714"/>
    <s v="V"/>
    <x v="2"/>
    <x v="1"/>
    <x v="1"/>
    <s v="A"/>
    <m/>
    <n v="260041"/>
    <x v="46"/>
    <d v="2026-01-27T00:00:00"/>
    <d v="2026-02-03T00:00:00"/>
    <n v="332953"/>
  </r>
  <r>
    <s v="1715"/>
    <s v="V"/>
    <x v="2"/>
    <x v="1"/>
    <x v="1"/>
    <s v="A"/>
    <m/>
    <n v="260061"/>
    <x v="46"/>
    <d v="2026-01-29T00:00:00"/>
    <d v="2026-02-03T00:00:00"/>
    <n v="190009"/>
  </r>
  <r>
    <s v="1716"/>
    <s v="V"/>
    <x v="2"/>
    <x v="2"/>
    <x v="1"/>
    <s v="A"/>
    <m/>
    <n v="260294"/>
    <x v="46"/>
    <d v="2026-05-18T00:00:00"/>
    <d v="2026-05-26T00:00:00"/>
    <n v="658230"/>
  </r>
  <r>
    <s v="1717"/>
    <s v="V"/>
    <x v="2"/>
    <x v="2"/>
    <x v="1"/>
    <s v="A"/>
    <m/>
    <n v="260993"/>
    <x v="46"/>
    <d v="2026-05-19T00:00:00"/>
    <d v="2026-05-26T00:00:00"/>
    <n v="864934"/>
  </r>
  <r>
    <s v="1718"/>
    <s v="V"/>
    <x v="0"/>
    <x v="0"/>
    <x v="0"/>
    <m/>
    <m/>
    <m/>
    <x v="0"/>
    <m/>
    <m/>
    <m/>
  </r>
  <r>
    <s v="1719"/>
    <s v="V"/>
    <x v="0"/>
    <x v="0"/>
    <x v="0"/>
    <m/>
    <m/>
    <m/>
    <x v="0"/>
    <m/>
    <m/>
    <m/>
  </r>
  <r>
    <s v="1720"/>
    <s v="V"/>
    <x v="0"/>
    <x v="0"/>
    <x v="0"/>
    <m/>
    <s v="X"/>
    <s v="SAPTA SARI TAMA, PT"/>
    <x v="0"/>
    <m/>
    <m/>
    <n v="25450481"/>
  </r>
  <r>
    <s v="1721"/>
    <s v="V"/>
    <x v="1"/>
    <x v="1"/>
    <x v="1"/>
    <s v="A"/>
    <m/>
    <n v="250052"/>
    <x v="47"/>
    <d v="2025-01-13T00:00:00"/>
    <d v="2025-01-28T00:00:00"/>
    <n v="992975"/>
  </r>
  <r>
    <s v="1722"/>
    <s v="V"/>
    <x v="1"/>
    <x v="1"/>
    <x v="1"/>
    <s v="A"/>
    <m/>
    <n v="250090"/>
    <x v="47"/>
    <d v="2025-01-22T00:00:00"/>
    <d v="2025-02-11T00:00:00"/>
    <n v="119880"/>
  </r>
  <r>
    <s v="1723"/>
    <s v="V"/>
    <x v="1"/>
    <x v="1"/>
    <x v="1"/>
    <s v="A"/>
    <m/>
    <n v="250537"/>
    <x v="47"/>
    <d v="2025-05-19T00:00:00"/>
    <d v="2025-06-05T00:00:00"/>
    <n v="888999"/>
  </r>
  <r>
    <s v="1724"/>
    <s v="V"/>
    <x v="1"/>
    <x v="1"/>
    <x v="1"/>
    <s v="A"/>
    <m/>
    <n v="250556"/>
    <x v="47"/>
    <d v="2025-05-22T00:00:00"/>
    <d v="2025-06-10T00:00:00"/>
    <n v="738150"/>
  </r>
  <r>
    <s v="1725"/>
    <s v="V"/>
    <x v="1"/>
    <x v="1"/>
    <x v="1"/>
    <s v="A"/>
    <m/>
    <n v="250817"/>
    <x v="47"/>
    <d v="2025-08-14T00:00:00"/>
    <d v="2025-08-26T00:00:00"/>
    <n v="11795470"/>
  </r>
  <r>
    <s v="1726"/>
    <s v="V"/>
    <x v="1"/>
    <x v="1"/>
    <x v="1"/>
    <s v="A"/>
    <m/>
    <n v="251204"/>
    <x v="47"/>
    <d v="2025-11-24T00:00:00"/>
    <d v="2025-12-09T00:00:00"/>
    <n v="3170160"/>
  </r>
  <r>
    <s v="1727"/>
    <s v="V"/>
    <x v="1"/>
    <x v="1"/>
    <x v="1"/>
    <s v="A"/>
    <m/>
    <n v="251215"/>
    <x v="47"/>
    <d v="2025-11-29T00:00:00"/>
    <d v="2025-12-18T00:00:00"/>
    <n v="2022281"/>
  </r>
  <r>
    <s v="1728"/>
    <s v="V"/>
    <x v="2"/>
    <x v="1"/>
    <x v="1"/>
    <s v="A"/>
    <m/>
    <n v="260207"/>
    <x v="47"/>
    <d v="2026-04-06T00:00:00"/>
    <d v="2026-05-14T00:00:00"/>
    <n v="1698300"/>
  </r>
  <r>
    <s v="1729"/>
    <s v="V"/>
    <x v="2"/>
    <x v="1"/>
    <x v="1"/>
    <s v="A"/>
    <m/>
    <n v="260208"/>
    <x v="47"/>
    <d v="2026-04-08T00:00:00"/>
    <d v="2026-05-14T00:00:00"/>
    <n v="379620"/>
  </r>
  <r>
    <s v="1730"/>
    <s v="V"/>
    <x v="2"/>
    <x v="1"/>
    <x v="1"/>
    <s v="A"/>
    <m/>
    <n v="260338"/>
    <x v="47"/>
    <d v="2026-06-08T00:00:00"/>
    <d v="2026-07-11T00:00:00"/>
    <n v="3644646"/>
  </r>
  <r>
    <s v="1731"/>
    <s v="V"/>
    <x v="0"/>
    <x v="0"/>
    <x v="0"/>
    <m/>
    <m/>
    <m/>
    <x v="0"/>
    <m/>
    <m/>
    <m/>
  </r>
  <r>
    <s v="1732"/>
    <m/>
    <x v="0"/>
    <x v="0"/>
    <x v="0"/>
    <m/>
    <m/>
    <m/>
    <x v="0"/>
    <m/>
    <m/>
    <m/>
  </r>
  <r>
    <s v="1733"/>
    <s v="V"/>
    <x v="0"/>
    <x v="0"/>
    <x v="0"/>
    <m/>
    <s v="X"/>
    <s v="SARANA ADHIMUKTI REJEKI, PT"/>
    <x v="0"/>
    <m/>
    <m/>
    <n v="769104"/>
  </r>
  <r>
    <s v="1734"/>
    <s v="V"/>
    <x v="1"/>
    <x v="1"/>
    <x v="1"/>
    <s v="A"/>
    <m/>
    <n v="250066"/>
    <x v="48"/>
    <d v="2025-01-13T00:00:00"/>
    <d v="2025-02-25T00:00:00"/>
    <n v="769104"/>
  </r>
  <r>
    <s v="1735"/>
    <s v="V"/>
    <x v="0"/>
    <x v="0"/>
    <x v="0"/>
    <m/>
    <m/>
    <m/>
    <x v="0"/>
    <m/>
    <m/>
    <m/>
  </r>
  <r>
    <s v="1736"/>
    <s v="V"/>
    <x v="0"/>
    <x v="0"/>
    <x v="0"/>
    <m/>
    <m/>
    <m/>
    <x v="0"/>
    <m/>
    <m/>
    <m/>
  </r>
  <r>
    <s v="1737"/>
    <s v="V"/>
    <x v="0"/>
    <x v="0"/>
    <x v="0"/>
    <m/>
    <s v="X"/>
    <s v="SINAR RODA UTAMA"/>
    <x v="0"/>
    <m/>
    <m/>
    <n v="3696300"/>
  </r>
  <r>
    <s v="1738"/>
    <s v="V"/>
    <x v="1"/>
    <x v="1"/>
    <x v="1"/>
    <s v="A"/>
    <m/>
    <n v="250175"/>
    <x v="49"/>
    <d v="2025-02-13T00:00:00"/>
    <d v="2025-03-04T00:00:00"/>
    <n v="3696300"/>
  </r>
  <r>
    <s v="1739"/>
    <s v="V"/>
    <x v="0"/>
    <x v="0"/>
    <x v="0"/>
    <m/>
    <m/>
    <m/>
    <x v="0"/>
    <m/>
    <m/>
    <m/>
  </r>
  <r>
    <s v="1740"/>
    <s v="V"/>
    <x v="0"/>
    <x v="0"/>
    <x v="0"/>
    <m/>
    <m/>
    <m/>
    <x v="0"/>
    <m/>
    <m/>
    <m/>
  </r>
  <r>
    <s v="1741"/>
    <s v="V"/>
    <x v="0"/>
    <x v="0"/>
    <x v="0"/>
    <m/>
    <s v="X"/>
    <s v="STARINDO"/>
    <x v="0"/>
    <m/>
    <m/>
    <n v="100792160"/>
  </r>
  <r>
    <s v="1742"/>
    <s v="V"/>
    <x v="1"/>
    <x v="1"/>
    <x v="1"/>
    <s v="A"/>
    <m/>
    <n v="250119"/>
    <x v="50"/>
    <d v="2025-02-05T00:00:00"/>
    <d v="2025-03-15T00:00:00"/>
    <n v="210900"/>
  </r>
  <r>
    <s v="1743"/>
    <s v="V"/>
    <x v="1"/>
    <x v="1"/>
    <x v="1"/>
    <s v="A"/>
    <m/>
    <n v="250140"/>
    <x v="50"/>
    <d v="2025-02-07T00:00:00"/>
    <d v="2025-03-15T00:00:00"/>
    <n v="1831500"/>
  </r>
  <r>
    <s v="1744"/>
    <s v="V"/>
    <x v="1"/>
    <x v="1"/>
    <x v="1"/>
    <s v="A"/>
    <m/>
    <n v="250148"/>
    <x v="50"/>
    <d v="2025-02-08T00:00:00"/>
    <d v="2025-03-15T00:00:00"/>
    <n v="1040070"/>
  </r>
  <r>
    <s v="1745"/>
    <s v="V"/>
    <x v="1"/>
    <x v="1"/>
    <x v="1"/>
    <s v="A"/>
    <m/>
    <n v="250151"/>
    <x v="50"/>
    <d v="2025-02-10T00:00:00"/>
    <d v="2025-03-15T00:00:00"/>
    <n v="3983200"/>
  </r>
  <r>
    <s v="1746"/>
    <s v="V"/>
    <x v="1"/>
    <x v="1"/>
    <x v="1"/>
    <s v="A"/>
    <m/>
    <n v="250151"/>
    <x v="50"/>
    <d v="2025-02-10T00:00:00"/>
    <d v="2025-03-15T00:00:00"/>
    <n v="1700000"/>
  </r>
  <r>
    <s v="1747"/>
    <s v="V"/>
    <x v="1"/>
    <x v="1"/>
    <x v="1"/>
    <s v="A"/>
    <m/>
    <n v="250217"/>
    <x v="50"/>
    <d v="2025-02-14T00:00:00"/>
    <d v="2025-03-15T00:00:00"/>
    <n v="421800"/>
  </r>
  <r>
    <s v="1748"/>
    <s v="V"/>
    <x v="1"/>
    <x v="1"/>
    <x v="1"/>
    <s v="A"/>
    <m/>
    <n v="250218"/>
    <x v="50"/>
    <d v="2025-02-21T00:00:00"/>
    <d v="2025-03-15T00:00:00"/>
    <n v="7548000"/>
  </r>
  <r>
    <s v="1749"/>
    <s v="V"/>
    <x v="1"/>
    <x v="1"/>
    <x v="1"/>
    <s v="A"/>
    <m/>
    <n v="250316"/>
    <x v="50"/>
    <d v="2025-02-26T00:00:00"/>
    <d v="2025-03-15T00:00:00"/>
    <n v="583860"/>
  </r>
  <r>
    <s v="1750"/>
    <s v="V"/>
    <x v="1"/>
    <x v="1"/>
    <x v="1"/>
    <s v="A"/>
    <m/>
    <n v="250315"/>
    <x v="50"/>
    <d v="2025-03-06T00:00:00"/>
    <d v="2025-04-17T00:00:00"/>
    <n v="270000"/>
  </r>
  <r>
    <s v="1751"/>
    <s v="V"/>
    <x v="1"/>
    <x v="1"/>
    <x v="1"/>
    <s v="A"/>
    <m/>
    <n v="250315"/>
    <x v="50"/>
    <d v="2025-03-06T00:00:00"/>
    <d v="2025-04-17T00:00:00"/>
    <n v="5571650"/>
  </r>
  <r>
    <s v="1752"/>
    <s v="V"/>
    <x v="1"/>
    <x v="1"/>
    <x v="1"/>
    <s v="A"/>
    <m/>
    <n v="250619"/>
    <x v="50"/>
    <d v="2025-06-24T00:00:00"/>
    <d v="2025-07-03T00:00:00"/>
    <n v="7179480"/>
  </r>
  <r>
    <s v="1753"/>
    <s v="V"/>
    <x v="1"/>
    <x v="1"/>
    <x v="1"/>
    <s v="A"/>
    <m/>
    <n v="250969"/>
    <x v="50"/>
    <d v="2025-09-25T00:00:00"/>
    <d v="2025-10-14T00:00:00"/>
    <n v="510600"/>
  </r>
  <r>
    <s v="1754"/>
    <s v="V"/>
    <x v="1"/>
    <x v="1"/>
    <x v="1"/>
    <s v="A"/>
    <m/>
    <n v="251006"/>
    <x v="50"/>
    <d v="2025-10-02T00:00:00"/>
    <d v="2025-10-14T00:00:00"/>
    <n v="502830"/>
  </r>
  <r>
    <s v="1755"/>
    <s v="V"/>
    <x v="1"/>
    <x v="1"/>
    <x v="1"/>
    <s v="A"/>
    <m/>
    <n v="250946"/>
    <x v="50"/>
    <d v="2025-09-18T00:00:00"/>
    <d v="2025-10-14T00:00:00"/>
    <n v="6723825"/>
  </r>
  <r>
    <s v="1756"/>
    <s v="V"/>
    <x v="1"/>
    <x v="1"/>
    <x v="1"/>
    <s v="A"/>
    <m/>
    <n v="250956"/>
    <x v="50"/>
    <d v="2025-09-23T00:00:00"/>
    <d v="2025-10-14T00:00:00"/>
    <n v="1803750"/>
  </r>
  <r>
    <s v="1757"/>
    <s v="V"/>
    <x v="1"/>
    <x v="1"/>
    <x v="1"/>
    <s v="A"/>
    <m/>
    <n v="251012"/>
    <x v="50"/>
    <d v="2025-10-04T00:00:00"/>
    <d v="2025-10-21T00:00:00"/>
    <n v="549450"/>
  </r>
  <r>
    <s v="1758"/>
    <s v="V"/>
    <x v="1"/>
    <x v="1"/>
    <x v="1"/>
    <s v="A"/>
    <m/>
    <n v="251051"/>
    <x v="50"/>
    <d v="2025-10-11T00:00:00"/>
    <d v="2025-10-21T00:00:00"/>
    <n v="1526250"/>
  </r>
  <r>
    <s v="1759"/>
    <s v="V"/>
    <x v="1"/>
    <x v="1"/>
    <x v="1"/>
    <s v="A"/>
    <m/>
    <n v="251072"/>
    <x v="50"/>
    <d v="2025-10-21T00:00:00"/>
    <d v="2025-11-25T00:00:00"/>
    <n v="1612275"/>
  </r>
  <r>
    <s v="1760"/>
    <s v="V"/>
    <x v="1"/>
    <x v="1"/>
    <x v="1"/>
    <s v="A"/>
    <m/>
    <n v="251112"/>
    <x v="50"/>
    <d v="2025-10-28T00:00:00"/>
    <d v="2025-11-25T00:00:00"/>
    <n v="1282050"/>
  </r>
  <r>
    <s v="1761"/>
    <s v="V"/>
    <x v="1"/>
    <x v="1"/>
    <x v="1"/>
    <s v="A"/>
    <m/>
    <n v="251117"/>
    <x v="50"/>
    <d v="2025-10-29T00:00:00"/>
    <d v="2025-11-25T00:00:00"/>
    <n v="1694415"/>
  </r>
  <r>
    <s v="1762"/>
    <s v="V"/>
    <x v="1"/>
    <x v="1"/>
    <x v="1"/>
    <s v="A"/>
    <m/>
    <n v="251255"/>
    <x v="50"/>
    <d v="2025-12-10T00:00:00"/>
    <d v="2025-12-23T00:00:00"/>
    <n v="3002550"/>
  </r>
  <r>
    <s v="1763"/>
    <s v="V"/>
    <x v="1"/>
    <x v="1"/>
    <x v="1"/>
    <s v="A"/>
    <m/>
    <n v="251264"/>
    <x v="50"/>
    <d v="2025-12-12T00:00:00"/>
    <d v="2025-12-23T00:00:00"/>
    <n v="540015"/>
  </r>
  <r>
    <s v="1764"/>
    <s v="V"/>
    <x v="1"/>
    <x v="1"/>
    <x v="1"/>
    <s v="A"/>
    <m/>
    <n v="251183"/>
    <x v="50"/>
    <d v="2025-11-12T00:00:00"/>
    <d v="2025-12-23T00:00:00"/>
    <n v="2269950"/>
  </r>
  <r>
    <s v="1765"/>
    <s v="V"/>
    <x v="1"/>
    <x v="1"/>
    <x v="1"/>
    <s v="A"/>
    <m/>
    <n v="251201"/>
    <x v="50"/>
    <d v="2025-11-25T00:00:00"/>
    <d v="2025-12-23T00:00:00"/>
    <n v="2497500"/>
  </r>
  <r>
    <s v="1766"/>
    <s v="V"/>
    <x v="2"/>
    <x v="2"/>
    <x v="1"/>
    <s v="A"/>
    <m/>
    <n v="260015"/>
    <x v="50"/>
    <d v="2026-01-19T00:00:00"/>
    <d v="2026-02-10T00:00:00"/>
    <n v="3947160"/>
  </r>
  <r>
    <s v="1767"/>
    <s v="V"/>
    <x v="2"/>
    <x v="2"/>
    <x v="1"/>
    <s v="A"/>
    <m/>
    <n v="260035"/>
    <x v="50"/>
    <d v="2026-01-21T00:00:00"/>
    <d v="2026-02-10T00:00:00"/>
    <n v="4431675"/>
  </r>
  <r>
    <s v="1768"/>
    <s v="V"/>
    <x v="2"/>
    <x v="2"/>
    <x v="1"/>
    <s v="A"/>
    <m/>
    <n v="260034"/>
    <x v="50"/>
    <d v="2026-01-26T00:00:00"/>
    <d v="2026-02-10T00:00:00"/>
    <n v="3330000"/>
  </r>
  <r>
    <s v="1769"/>
    <s v="V"/>
    <x v="2"/>
    <x v="2"/>
    <x v="1"/>
    <s v="A"/>
    <m/>
    <n v="260068"/>
    <x v="50"/>
    <d v="2026-01-30T00:00:00"/>
    <d v="2026-02-26T00:00:00"/>
    <n v="193140"/>
  </r>
  <r>
    <s v="1770"/>
    <s v="V"/>
    <x v="2"/>
    <x v="2"/>
    <x v="1"/>
    <s v="A"/>
    <m/>
    <n v="260069"/>
    <x v="50"/>
    <d v="2026-01-31T00:00:00"/>
    <d v="2026-02-26T00:00:00"/>
    <n v="4442220"/>
  </r>
  <r>
    <s v="1771"/>
    <s v="V"/>
    <x v="2"/>
    <x v="2"/>
    <x v="1"/>
    <s v="A"/>
    <m/>
    <n v="260119"/>
    <x v="50"/>
    <d v="2026-02-16T00:00:00"/>
    <d v="2026-02-26T00:00:00"/>
    <n v="1465200"/>
  </r>
  <r>
    <s v="1772"/>
    <s v="V"/>
    <x v="2"/>
    <x v="2"/>
    <x v="1"/>
    <s v="A"/>
    <m/>
    <n v="260104"/>
    <x v="50"/>
    <d v="2026-02-09T00:00:00"/>
    <d v="2026-02-26T00:00:00"/>
    <n v="6046170"/>
  </r>
  <r>
    <s v="1773"/>
    <s v="V"/>
    <x v="2"/>
    <x v="2"/>
    <x v="1"/>
    <s v="A"/>
    <m/>
    <n v="260158"/>
    <x v="50"/>
    <d v="2026-03-04T00:00:00"/>
    <d v="2026-04-07T00:00:00"/>
    <n v="1761015"/>
  </r>
  <r>
    <s v="1774"/>
    <s v="V"/>
    <x v="2"/>
    <x v="2"/>
    <x v="1"/>
    <s v="A"/>
    <m/>
    <n v="260187"/>
    <x v="50"/>
    <d v="2026-03-27T00:00:00"/>
    <d v="2026-04-09T00:00:00"/>
    <n v="4850700"/>
  </r>
  <r>
    <s v="1775"/>
    <s v="V"/>
    <x v="2"/>
    <x v="2"/>
    <x v="1"/>
    <s v="A"/>
    <m/>
    <n v="260201"/>
    <x v="50"/>
    <d v="2026-04-06T00:00:00"/>
    <d v="2026-04-14T00:00:00"/>
    <n v="326340"/>
  </r>
  <r>
    <s v="1776"/>
    <s v="V"/>
    <x v="2"/>
    <x v="2"/>
    <x v="1"/>
    <s v="A"/>
    <m/>
    <n v="260256"/>
    <x v="50"/>
    <d v="2026-04-29T00:00:00"/>
    <d v="2026-05-12T00:00:00"/>
    <n v="11138850"/>
  </r>
  <r>
    <s v="1777"/>
    <s v="V"/>
    <x v="2"/>
    <x v="2"/>
    <x v="1"/>
    <s v="A"/>
    <m/>
    <n v="260255"/>
    <x v="50"/>
    <d v="2026-04-30T00:00:00"/>
    <d v="2026-05-12T00:00:00"/>
    <n v="175380"/>
  </r>
  <r>
    <s v="1778"/>
    <s v="V"/>
    <x v="2"/>
    <x v="2"/>
    <x v="1"/>
    <s v="A"/>
    <m/>
    <n v="260298"/>
    <x v="50"/>
    <d v="2026-05-19T00:00:00"/>
    <d v="2026-05-30T00:00:00"/>
    <n v="1691640"/>
  </r>
  <r>
    <s v="1779"/>
    <s v="V"/>
    <x v="2"/>
    <x v="2"/>
    <x v="1"/>
    <s v="A"/>
    <m/>
    <n v="260323"/>
    <x v="50"/>
    <d v="2026-05-29T00:00:00"/>
    <d v="2026-06-11T00:00:00"/>
    <n v="804750"/>
  </r>
  <r>
    <s v="1780"/>
    <s v="V"/>
    <x v="2"/>
    <x v="2"/>
    <x v="1"/>
    <s v="A"/>
    <m/>
    <n v="260328"/>
    <x v="50"/>
    <d v="2026-06-05T00:00:00"/>
    <d v="2026-06-11T00:00:00"/>
    <n v="1332000"/>
  </r>
  <r>
    <s v="1781"/>
    <s v="V"/>
    <x v="0"/>
    <x v="0"/>
    <x v="0"/>
    <m/>
    <m/>
    <m/>
    <x v="0"/>
    <m/>
    <m/>
    <m/>
  </r>
  <r>
    <s v="1782"/>
    <s v="V"/>
    <x v="0"/>
    <x v="0"/>
    <x v="0"/>
    <m/>
    <m/>
    <m/>
    <x v="0"/>
    <m/>
    <m/>
    <m/>
  </r>
  <r>
    <s v="1783"/>
    <s v="V"/>
    <x v="0"/>
    <x v="0"/>
    <x v="0"/>
    <m/>
    <s v="X"/>
    <s v="SUMBER REJEKI MEDIKA JAYA, PT"/>
    <x v="0"/>
    <m/>
    <m/>
    <n v="271284481"/>
  </r>
  <r>
    <s v="1784"/>
    <s v="V"/>
    <x v="3"/>
    <x v="1"/>
    <x v="1"/>
    <s v="A"/>
    <m/>
    <n v="242274"/>
    <x v="51"/>
    <d v="2024-09-17T00:00:00"/>
    <d v="2024-10-12T00:00:00"/>
    <n v="2931544"/>
  </r>
  <r>
    <s v="1785"/>
    <s v="V"/>
    <x v="3"/>
    <x v="1"/>
    <x v="1"/>
    <s v="A"/>
    <m/>
    <n v="242037"/>
    <x v="51"/>
    <d v="2024-09-23T00:00:00"/>
    <d v="2024-10-12T00:00:00"/>
    <n v="600088"/>
  </r>
  <r>
    <s v="1786"/>
    <s v="V"/>
    <x v="3"/>
    <x v="1"/>
    <x v="1"/>
    <s v="A"/>
    <m/>
    <n v="242106"/>
    <x v="51"/>
    <d v="2024-10-07T00:00:00"/>
    <d v="2024-11-12T00:00:00"/>
    <n v="3597981"/>
  </r>
  <r>
    <s v="1787"/>
    <s v="V"/>
    <x v="3"/>
    <x v="1"/>
    <x v="1"/>
    <s v="A"/>
    <m/>
    <n v="242124"/>
    <x v="51"/>
    <d v="2024-10-09T00:00:00"/>
    <d v="2024-11-12T00:00:00"/>
    <n v="151404"/>
  </r>
  <r>
    <s v="1788"/>
    <s v="V"/>
    <x v="3"/>
    <x v="1"/>
    <x v="1"/>
    <s v="A"/>
    <m/>
    <n v="242137"/>
    <x v="51"/>
    <d v="2024-10-12T00:00:00"/>
    <d v="2024-11-12T00:00:00"/>
    <n v="6131862"/>
  </r>
  <r>
    <s v="1789"/>
    <s v="V"/>
    <x v="3"/>
    <x v="1"/>
    <x v="1"/>
    <s v="A"/>
    <m/>
    <n v="242152"/>
    <x v="51"/>
    <d v="2024-10-14T00:00:00"/>
    <d v="2024-11-12T00:00:00"/>
    <n v="1879119"/>
  </r>
  <r>
    <s v="1790"/>
    <s v="V"/>
    <x v="3"/>
    <x v="1"/>
    <x v="1"/>
    <s v="A"/>
    <m/>
    <n v="242181"/>
    <x v="51"/>
    <d v="2024-10-17T00:00:00"/>
    <d v="2024-11-12T00:00:00"/>
    <n v="760350"/>
  </r>
  <r>
    <s v="1791"/>
    <s v="V"/>
    <x v="3"/>
    <x v="1"/>
    <x v="1"/>
    <s v="A"/>
    <m/>
    <n v="242180"/>
    <x v="51"/>
    <d v="2024-10-17T00:00:00"/>
    <d v="2024-11-12T00:00:00"/>
    <n v="2442000"/>
  </r>
  <r>
    <s v="1792"/>
    <s v="V"/>
    <x v="3"/>
    <x v="1"/>
    <x v="1"/>
    <s v="A"/>
    <m/>
    <n v="242188"/>
    <x v="51"/>
    <d v="2024-10-18T00:00:00"/>
    <d v="2024-11-12T00:00:00"/>
    <n v="3270143"/>
  </r>
  <r>
    <s v="1793"/>
    <s v="V"/>
    <x v="3"/>
    <x v="1"/>
    <x v="1"/>
    <s v="A"/>
    <m/>
    <n v="242196"/>
    <x v="51"/>
    <d v="2024-10-19T00:00:00"/>
    <d v="2024-11-12T00:00:00"/>
    <n v="917326"/>
  </r>
  <r>
    <s v="1794"/>
    <s v="V"/>
    <x v="3"/>
    <x v="1"/>
    <x v="1"/>
    <s v="A"/>
    <m/>
    <n v="242195"/>
    <x v="51"/>
    <d v="2024-10-22T00:00:00"/>
    <d v="2024-11-12T00:00:00"/>
    <n v="6105000"/>
  </r>
  <r>
    <s v="1795"/>
    <s v="V"/>
    <x v="3"/>
    <x v="1"/>
    <x v="1"/>
    <s v="A"/>
    <m/>
    <n v="242228"/>
    <x v="51"/>
    <d v="2024-10-24T00:00:00"/>
    <d v="2024-11-12T00:00:00"/>
    <n v="366300"/>
  </r>
  <r>
    <s v="1796"/>
    <s v="V"/>
    <x v="3"/>
    <x v="1"/>
    <x v="1"/>
    <s v="A"/>
    <m/>
    <n v="242241"/>
    <x v="51"/>
    <d v="2024-10-28T00:00:00"/>
    <d v="2024-11-12T00:00:00"/>
    <n v="620556"/>
  </r>
  <r>
    <s v="1797"/>
    <s v="V"/>
    <x v="3"/>
    <x v="1"/>
    <x v="1"/>
    <s v="A"/>
    <m/>
    <n v="242242"/>
    <x v="51"/>
    <d v="2024-10-28T00:00:00"/>
    <d v="2024-11-12T00:00:00"/>
    <n v="288600"/>
  </r>
  <r>
    <s v="1798"/>
    <s v="V"/>
    <x v="3"/>
    <x v="1"/>
    <x v="1"/>
    <s v="A"/>
    <m/>
    <n v="242324"/>
    <x v="51"/>
    <d v="2024-11-05T00:00:00"/>
    <d v="2024-12-12T00:00:00"/>
    <n v="662403"/>
  </r>
  <r>
    <s v="1799"/>
    <s v="V"/>
    <x v="3"/>
    <x v="1"/>
    <x v="1"/>
    <s v="A"/>
    <m/>
    <n v="242356"/>
    <x v="51"/>
    <d v="2024-11-16T00:00:00"/>
    <d v="2024-12-12T00:00:00"/>
    <n v="1498789"/>
  </r>
  <r>
    <s v="1800"/>
    <s v="V"/>
    <x v="3"/>
    <x v="1"/>
    <x v="1"/>
    <s v="A"/>
    <m/>
    <n v="242548"/>
    <x v="51"/>
    <d v="2024-11-19T00:00:00"/>
    <d v="2024-12-12T00:00:00"/>
    <n v="245643"/>
  </r>
  <r>
    <s v="1801"/>
    <s v="V"/>
    <x v="3"/>
    <x v="1"/>
    <x v="1"/>
    <s v="A"/>
    <m/>
    <n v="242406"/>
    <x v="51"/>
    <d v="2024-11-22T00:00:00"/>
    <d v="2024-12-12T00:00:00"/>
    <n v="417360"/>
  </r>
  <r>
    <s v="1802"/>
    <s v="V"/>
    <x v="3"/>
    <x v="1"/>
    <x v="1"/>
    <s v="A"/>
    <m/>
    <n v="242405"/>
    <x v="51"/>
    <d v="2024-11-22T00:00:00"/>
    <d v="2024-12-12T00:00:00"/>
    <n v="743739"/>
  </r>
  <r>
    <s v="1803"/>
    <s v="V"/>
    <x v="3"/>
    <x v="1"/>
    <x v="1"/>
    <s v="A"/>
    <m/>
    <n v="242407"/>
    <x v="51"/>
    <d v="2024-11-23T00:00:00"/>
    <d v="2024-12-12T00:00:00"/>
    <n v="1779680"/>
  </r>
  <r>
    <s v="1804"/>
    <s v="V"/>
    <x v="3"/>
    <x v="1"/>
    <x v="1"/>
    <s v="A"/>
    <m/>
    <n v="242420"/>
    <x v="51"/>
    <d v="2024-11-28T00:00:00"/>
    <d v="2024-12-12T00:00:00"/>
    <n v="1266954"/>
  </r>
  <r>
    <s v="1805"/>
    <s v="V"/>
    <x v="3"/>
    <x v="1"/>
    <x v="1"/>
    <s v="A"/>
    <m/>
    <n v="242430"/>
    <x v="51"/>
    <d v="2024-11-30T00:00:00"/>
    <d v="2024-12-12T00:00:00"/>
    <n v="8547000"/>
  </r>
  <r>
    <s v="1806"/>
    <s v="V"/>
    <x v="3"/>
    <x v="1"/>
    <x v="1"/>
    <s v="A"/>
    <m/>
    <n v="242546"/>
    <x v="51"/>
    <d v="2024-12-21T00:00:00"/>
    <d v="2025-01-14T00:00:00"/>
    <n v="4916051"/>
  </r>
  <r>
    <s v="1807"/>
    <s v="V"/>
    <x v="3"/>
    <x v="1"/>
    <x v="1"/>
    <s v="A"/>
    <m/>
    <n v="242560"/>
    <x v="51"/>
    <d v="2024-12-24T00:00:00"/>
    <d v="2025-01-14T00:00:00"/>
    <n v="3222498"/>
  </r>
  <r>
    <s v="1808"/>
    <s v="V"/>
    <x v="3"/>
    <x v="1"/>
    <x v="1"/>
    <s v="A"/>
    <m/>
    <n v="242462"/>
    <x v="51"/>
    <d v="2024-12-06T00:00:00"/>
    <d v="2025-01-21T00:00:00"/>
    <n v="3036917"/>
  </r>
  <r>
    <s v="1809"/>
    <s v="V"/>
    <x v="3"/>
    <x v="1"/>
    <x v="1"/>
    <s v="A"/>
    <m/>
    <n v="242519"/>
    <x v="51"/>
    <d v="2024-12-09T00:00:00"/>
    <d v="2025-01-21T00:00:00"/>
    <n v="158175"/>
  </r>
  <r>
    <s v="1810"/>
    <s v="V"/>
    <x v="3"/>
    <x v="1"/>
    <x v="1"/>
    <s v="A"/>
    <m/>
    <n v="242512"/>
    <x v="51"/>
    <d v="2024-12-10T00:00:00"/>
    <d v="2025-01-21T00:00:00"/>
    <n v="781865"/>
  </r>
  <r>
    <s v="1811"/>
    <s v="V"/>
    <x v="3"/>
    <x v="1"/>
    <x v="1"/>
    <s v="A"/>
    <m/>
    <n v="242511"/>
    <x v="51"/>
    <d v="2024-12-10T00:00:00"/>
    <d v="2025-01-21T00:00:00"/>
    <n v="973192"/>
  </r>
  <r>
    <s v="1812"/>
    <s v="V"/>
    <x v="3"/>
    <x v="1"/>
    <x v="1"/>
    <s v="A"/>
    <m/>
    <n v="242514"/>
    <x v="51"/>
    <d v="2024-12-11T00:00:00"/>
    <d v="2025-01-21T00:00:00"/>
    <n v="1152457"/>
  </r>
  <r>
    <s v="1813"/>
    <s v="V"/>
    <x v="3"/>
    <x v="1"/>
    <x v="1"/>
    <s v="A"/>
    <m/>
    <n v="242559"/>
    <x v="51"/>
    <d v="2024-12-24T00:00:00"/>
    <d v="2025-01-21T00:00:00"/>
    <n v="278005"/>
  </r>
  <r>
    <s v="1814"/>
    <s v="V"/>
    <x v="3"/>
    <x v="1"/>
    <x v="1"/>
    <s v="A"/>
    <m/>
    <n v="242572"/>
    <x v="51"/>
    <d v="2024-12-28T00:00:00"/>
    <d v="2025-01-21T00:00:00"/>
    <n v="222823"/>
  </r>
  <r>
    <s v="1815"/>
    <s v="V"/>
    <x v="3"/>
    <x v="1"/>
    <x v="1"/>
    <s v="A"/>
    <m/>
    <n v="250009"/>
    <x v="51"/>
    <d v="2024-12-31T00:00:00"/>
    <d v="2025-01-21T00:00:00"/>
    <n v="3738657"/>
  </r>
  <r>
    <s v="1816"/>
    <s v="V"/>
    <x v="1"/>
    <x v="1"/>
    <x v="1"/>
    <s v="A"/>
    <m/>
    <n v="250045"/>
    <x v="51"/>
    <d v="2025-01-08T00:00:00"/>
    <d v="2025-02-04T00:00:00"/>
    <n v="6109091"/>
  </r>
  <r>
    <s v="1817"/>
    <s v="V"/>
    <x v="1"/>
    <x v="1"/>
    <x v="1"/>
    <s v="A"/>
    <m/>
    <n v="250043"/>
    <x v="51"/>
    <d v="2025-01-09T00:00:00"/>
    <d v="2025-02-04T00:00:00"/>
    <n v="7326000"/>
  </r>
  <r>
    <s v="1818"/>
    <s v="V"/>
    <x v="1"/>
    <x v="1"/>
    <x v="1"/>
    <s v="A"/>
    <m/>
    <n v="250044"/>
    <x v="51"/>
    <d v="2025-01-09T00:00:00"/>
    <d v="2025-02-04T00:00:00"/>
    <n v="349650"/>
  </r>
  <r>
    <s v="1819"/>
    <s v="V"/>
    <x v="1"/>
    <x v="1"/>
    <x v="1"/>
    <s v="A"/>
    <m/>
    <n v="250158"/>
    <x v="51"/>
    <d v="2025-02-12T00:00:00"/>
    <d v="2025-03-13T00:00:00"/>
    <n v="3057855"/>
  </r>
  <r>
    <s v="1820"/>
    <s v="V"/>
    <x v="1"/>
    <x v="1"/>
    <x v="1"/>
    <s v="A"/>
    <m/>
    <n v="250169"/>
    <x v="51"/>
    <d v="2025-02-12T00:00:00"/>
    <d v="2025-03-13T00:00:00"/>
    <n v="4627119"/>
  </r>
  <r>
    <s v="1821"/>
    <s v="V"/>
    <x v="1"/>
    <x v="1"/>
    <x v="1"/>
    <s v="A"/>
    <m/>
    <n v="250156"/>
    <x v="51"/>
    <d v="2025-02-13T00:00:00"/>
    <d v="2025-03-13T00:00:00"/>
    <n v="829253"/>
  </r>
  <r>
    <s v="1822"/>
    <s v="V"/>
    <x v="1"/>
    <x v="1"/>
    <x v="1"/>
    <s v="A"/>
    <m/>
    <n v="250155"/>
    <x v="51"/>
    <d v="2025-02-13T00:00:00"/>
    <d v="2025-03-13T00:00:00"/>
    <n v="2442000"/>
  </r>
  <r>
    <s v="1823"/>
    <s v="V"/>
    <x v="1"/>
    <x v="1"/>
    <x v="1"/>
    <s v="A"/>
    <m/>
    <n v="250222"/>
    <x v="51"/>
    <d v="2025-02-22T00:00:00"/>
    <d v="2025-03-13T00:00:00"/>
    <n v="2479185"/>
  </r>
  <r>
    <s v="1824"/>
    <s v="V"/>
    <x v="1"/>
    <x v="1"/>
    <x v="1"/>
    <s v="A"/>
    <m/>
    <n v="250333"/>
    <x v="51"/>
    <d v="2025-02-25T00:00:00"/>
    <d v="2025-03-13T00:00:00"/>
    <n v="3270143"/>
  </r>
  <r>
    <s v="1825"/>
    <s v="V"/>
    <x v="1"/>
    <x v="1"/>
    <x v="1"/>
    <s v="A"/>
    <m/>
    <n v="250318"/>
    <x v="51"/>
    <d v="2025-02-26T00:00:00"/>
    <d v="2025-03-13T00:00:00"/>
    <n v="253468"/>
  </r>
  <r>
    <s v="1826"/>
    <s v="V"/>
    <x v="1"/>
    <x v="1"/>
    <x v="1"/>
    <s v="A"/>
    <m/>
    <n v="250317"/>
    <x v="51"/>
    <d v="2025-02-26T00:00:00"/>
    <d v="2025-03-13T00:00:00"/>
    <n v="7919084"/>
  </r>
  <r>
    <s v="1827"/>
    <s v="V"/>
    <x v="1"/>
    <x v="1"/>
    <x v="1"/>
    <s v="A"/>
    <m/>
    <n v="250238"/>
    <x v="51"/>
    <d v="2025-02-28T00:00:00"/>
    <d v="2025-03-13T00:00:00"/>
    <n v="421800"/>
  </r>
  <r>
    <s v="1828"/>
    <s v="V"/>
    <x v="1"/>
    <x v="1"/>
    <x v="1"/>
    <s v="A"/>
    <m/>
    <n v="250319"/>
    <x v="51"/>
    <d v="2025-03-04T00:00:00"/>
    <d v="2025-04-17T00:00:00"/>
    <n v="187284"/>
  </r>
  <r>
    <s v="1829"/>
    <s v="V"/>
    <x v="1"/>
    <x v="1"/>
    <x v="1"/>
    <s v="A"/>
    <m/>
    <n v="250331"/>
    <x v="51"/>
    <d v="2025-03-08T00:00:00"/>
    <d v="2025-04-17T00:00:00"/>
    <n v="2129091"/>
  </r>
  <r>
    <s v="1830"/>
    <s v="V"/>
    <x v="1"/>
    <x v="1"/>
    <x v="1"/>
    <s v="A"/>
    <m/>
    <n v="250337"/>
    <x v="51"/>
    <d v="2025-03-13T00:00:00"/>
    <d v="2025-04-17T00:00:00"/>
    <n v="266400"/>
  </r>
  <r>
    <s v="1831"/>
    <s v="V"/>
    <x v="1"/>
    <x v="1"/>
    <x v="1"/>
    <s v="A"/>
    <m/>
    <n v="250405"/>
    <x v="51"/>
    <d v="2025-03-21T00:00:00"/>
    <d v="2025-04-17T00:00:00"/>
    <n v="12598500"/>
  </r>
  <r>
    <s v="1832"/>
    <s v="V"/>
    <x v="1"/>
    <x v="2"/>
    <x v="1"/>
    <s v="A"/>
    <m/>
    <n v="250449"/>
    <x v="51"/>
    <d v="2025-04-19T00:00:00"/>
    <d v="2025-05-13T00:00:00"/>
    <n v="10502043"/>
  </r>
  <r>
    <s v="1833"/>
    <s v="V"/>
    <x v="1"/>
    <x v="2"/>
    <x v="1"/>
    <s v="A"/>
    <m/>
    <n v="250447"/>
    <x v="51"/>
    <d v="2025-04-19T00:00:00"/>
    <d v="2025-05-13T00:00:00"/>
    <n v="3492683"/>
  </r>
  <r>
    <s v="1834"/>
    <s v="V"/>
    <x v="1"/>
    <x v="2"/>
    <x v="1"/>
    <s v="A"/>
    <m/>
    <n v="250448"/>
    <x v="51"/>
    <d v="2025-04-19T00:00:00"/>
    <d v="2025-05-13T00:00:00"/>
    <n v="2044637"/>
  </r>
  <r>
    <s v="1835"/>
    <s v="V"/>
    <x v="1"/>
    <x v="2"/>
    <x v="1"/>
    <s v="A"/>
    <m/>
    <n v="250510"/>
    <x v="51"/>
    <d v="2025-05-08T00:00:00"/>
    <d v="2025-06-17T00:00:00"/>
    <n v="3174600"/>
  </r>
  <r>
    <s v="1836"/>
    <s v="V"/>
    <x v="1"/>
    <x v="2"/>
    <x v="1"/>
    <s v="A"/>
    <m/>
    <n v="250509"/>
    <x v="51"/>
    <d v="2025-05-09T00:00:00"/>
    <d v="2025-06-17T00:00:00"/>
    <n v="2501884"/>
  </r>
  <r>
    <s v="1837"/>
    <s v="V"/>
    <x v="1"/>
    <x v="2"/>
    <x v="1"/>
    <s v="A"/>
    <m/>
    <n v="250511"/>
    <x v="51"/>
    <d v="2025-05-09T00:00:00"/>
    <d v="2025-06-17T00:00:00"/>
    <n v="488400"/>
  </r>
  <r>
    <s v="1838"/>
    <s v="V"/>
    <x v="1"/>
    <x v="2"/>
    <x v="1"/>
    <s v="A"/>
    <m/>
    <n v="250605"/>
    <x v="51"/>
    <d v="2025-06-16T00:00:00"/>
    <d v="2025-07-15T00:00:00"/>
    <n v="6105000"/>
  </r>
  <r>
    <s v="1839"/>
    <s v="V"/>
    <x v="1"/>
    <x v="2"/>
    <x v="1"/>
    <s v="A"/>
    <m/>
    <n v="250649"/>
    <x v="51"/>
    <d v="2025-06-30T00:00:00"/>
    <d v="2025-07-15T00:00:00"/>
    <n v="2741307"/>
  </r>
  <r>
    <s v="1840"/>
    <s v="V"/>
    <x v="1"/>
    <x v="2"/>
    <x v="1"/>
    <s v="A"/>
    <m/>
    <n v="250650"/>
    <x v="51"/>
    <d v="2025-06-30T00:00:00"/>
    <d v="2025-07-15T00:00:00"/>
    <n v="1320857"/>
  </r>
  <r>
    <s v="1841"/>
    <s v="V"/>
    <x v="1"/>
    <x v="2"/>
    <x v="1"/>
    <s v="A"/>
    <m/>
    <n v="250778"/>
    <x v="51"/>
    <d v="2025-08-02T00:00:00"/>
    <d v="2025-09-09T00:00:00"/>
    <n v="7815544"/>
  </r>
  <r>
    <s v="1842"/>
    <s v="V"/>
    <x v="1"/>
    <x v="2"/>
    <x v="1"/>
    <s v="A"/>
    <m/>
    <n v="250789"/>
    <x v="51"/>
    <d v="2025-08-07T00:00:00"/>
    <d v="2025-09-09T00:00:00"/>
    <n v="2629052"/>
  </r>
  <r>
    <s v="1843"/>
    <s v="V"/>
    <x v="1"/>
    <x v="2"/>
    <x v="1"/>
    <s v="A"/>
    <m/>
    <n v="250805"/>
    <x v="51"/>
    <d v="2025-08-12T00:00:00"/>
    <d v="2025-09-09T00:00:00"/>
    <n v="3270143"/>
  </r>
  <r>
    <s v="1844"/>
    <s v="V"/>
    <x v="1"/>
    <x v="2"/>
    <x v="1"/>
    <s v="A"/>
    <m/>
    <n v="250820"/>
    <x v="51"/>
    <d v="2025-08-15T00:00:00"/>
    <d v="2025-09-09T00:00:00"/>
    <n v="1221000"/>
  </r>
  <r>
    <s v="1845"/>
    <s v="V"/>
    <x v="1"/>
    <x v="2"/>
    <x v="1"/>
    <s v="A"/>
    <m/>
    <n v="250845"/>
    <x v="51"/>
    <d v="2025-08-22T00:00:00"/>
    <d v="2025-09-09T00:00:00"/>
    <n v="721466"/>
  </r>
  <r>
    <s v="1846"/>
    <s v="V"/>
    <x v="1"/>
    <x v="2"/>
    <x v="1"/>
    <s v="A"/>
    <m/>
    <n v="250844"/>
    <x v="51"/>
    <d v="2025-08-22T00:00:00"/>
    <d v="2025-09-09T00:00:00"/>
    <n v="4884000"/>
  </r>
  <r>
    <s v="1847"/>
    <s v="V"/>
    <x v="1"/>
    <x v="2"/>
    <x v="1"/>
    <s v="A"/>
    <m/>
    <n v="250887"/>
    <x v="51"/>
    <d v="2025-09-01T00:00:00"/>
    <d v="2025-10-07T00:00:00"/>
    <n v="138639"/>
  </r>
  <r>
    <s v="1848"/>
    <s v="V"/>
    <x v="1"/>
    <x v="2"/>
    <x v="1"/>
    <s v="A"/>
    <m/>
    <n v="250908"/>
    <x v="51"/>
    <d v="2025-09-06T00:00:00"/>
    <d v="2025-10-07T00:00:00"/>
    <n v="12210000"/>
  </r>
  <r>
    <s v="1849"/>
    <s v="V"/>
    <x v="1"/>
    <x v="2"/>
    <x v="1"/>
    <s v="A"/>
    <m/>
    <n v="250952"/>
    <x v="51"/>
    <d v="2025-09-23T00:00:00"/>
    <d v="2025-10-07T00:00:00"/>
    <n v="2240315"/>
  </r>
  <r>
    <s v="1850"/>
    <s v="V"/>
    <x v="1"/>
    <x v="2"/>
    <x v="1"/>
    <s v="A"/>
    <m/>
    <n v="250993"/>
    <x v="51"/>
    <d v="2025-09-30T00:00:00"/>
    <d v="2025-10-07T00:00:00"/>
    <n v="1786838"/>
  </r>
  <r>
    <s v="1851"/>
    <s v="V"/>
    <x v="1"/>
    <x v="2"/>
    <x v="1"/>
    <s v="A"/>
    <m/>
    <n v="251025"/>
    <x v="51"/>
    <d v="2025-10-08T00:00:00"/>
    <d v="2025-11-04T00:00:00"/>
    <n v="3663000"/>
  </r>
  <r>
    <s v="1852"/>
    <s v="V"/>
    <x v="1"/>
    <x v="2"/>
    <x v="1"/>
    <s v="A"/>
    <m/>
    <n v="251026"/>
    <x v="51"/>
    <d v="2025-10-08T00:00:00"/>
    <d v="2025-11-04T00:00:00"/>
    <n v="527766"/>
  </r>
  <r>
    <s v="1853"/>
    <s v="V"/>
    <x v="1"/>
    <x v="2"/>
    <x v="1"/>
    <s v="A"/>
    <m/>
    <n v="251050"/>
    <x v="51"/>
    <d v="2025-10-10T00:00:00"/>
    <d v="2025-11-04T00:00:00"/>
    <n v="209545"/>
  </r>
  <r>
    <s v="1854"/>
    <s v="V"/>
    <x v="1"/>
    <x v="2"/>
    <x v="1"/>
    <s v="A"/>
    <m/>
    <n v="251048"/>
    <x v="51"/>
    <d v="2025-10-10T00:00:00"/>
    <d v="2025-11-04T00:00:00"/>
    <n v="284576"/>
  </r>
  <r>
    <s v="1855"/>
    <s v="V"/>
    <x v="1"/>
    <x v="2"/>
    <x v="1"/>
    <s v="A"/>
    <m/>
    <n v="251049"/>
    <x v="51"/>
    <d v="2025-10-15T00:00:00"/>
    <d v="2025-11-04T00:00:00"/>
    <n v="3663000"/>
  </r>
  <r>
    <s v="1856"/>
    <s v="V"/>
    <x v="1"/>
    <x v="2"/>
    <x v="1"/>
    <s v="A"/>
    <m/>
    <n v="251047"/>
    <x v="51"/>
    <d v="2025-10-18T00:00:00"/>
    <d v="2025-11-04T00:00:00"/>
    <n v="586080"/>
  </r>
  <r>
    <s v="1857"/>
    <s v="V"/>
    <x v="1"/>
    <x v="2"/>
    <x v="1"/>
    <s v="A"/>
    <m/>
    <n v="251097"/>
    <x v="51"/>
    <d v="2025-10-27T00:00:00"/>
    <d v="2025-11-04T00:00:00"/>
    <n v="1367520"/>
  </r>
  <r>
    <s v="1858"/>
    <s v="V"/>
    <x v="1"/>
    <x v="2"/>
    <x v="1"/>
    <s v="A"/>
    <m/>
    <n v="251193"/>
    <x v="51"/>
    <d v="2025-11-24T00:00:00"/>
    <d v="2025-12-11T00:00:00"/>
    <n v="9458393"/>
  </r>
  <r>
    <s v="1859"/>
    <s v="V"/>
    <x v="1"/>
    <x v="2"/>
    <x v="1"/>
    <s v="A"/>
    <m/>
    <n v="251199"/>
    <x v="51"/>
    <d v="2025-11-25T00:00:00"/>
    <d v="2025-12-11T00:00:00"/>
    <n v="696138"/>
  </r>
  <r>
    <s v="1860"/>
    <s v="V"/>
    <x v="1"/>
    <x v="2"/>
    <x v="1"/>
    <s v="A"/>
    <m/>
    <n v="251235"/>
    <x v="51"/>
    <d v="2025-12-04T00:00:00"/>
    <d v="2026-01-13T00:00:00"/>
    <n v="1672738"/>
  </r>
  <r>
    <s v="1861"/>
    <s v="V"/>
    <x v="1"/>
    <x v="2"/>
    <x v="1"/>
    <s v="A"/>
    <m/>
    <n v="251238"/>
    <x v="51"/>
    <d v="2025-12-05T00:00:00"/>
    <d v="2026-01-13T00:00:00"/>
    <n v="3663000"/>
  </r>
  <r>
    <s v="1862"/>
    <s v="V"/>
    <x v="1"/>
    <x v="2"/>
    <x v="1"/>
    <s v="A"/>
    <m/>
    <n v="251283"/>
    <x v="51"/>
    <d v="2025-12-16T00:00:00"/>
    <d v="2026-01-13T00:00:00"/>
    <n v="3663000"/>
  </r>
  <r>
    <s v="1863"/>
    <s v="V"/>
    <x v="1"/>
    <x v="2"/>
    <x v="1"/>
    <s v="A"/>
    <m/>
    <n v="251279"/>
    <x v="51"/>
    <d v="2025-12-16T00:00:00"/>
    <d v="2026-01-13T00:00:00"/>
    <n v="1723814"/>
  </r>
  <r>
    <s v="1864"/>
    <s v="V"/>
    <x v="2"/>
    <x v="2"/>
    <x v="1"/>
    <s v="A"/>
    <m/>
    <n v="260005"/>
    <x v="51"/>
    <d v="2026-01-06T00:00:00"/>
    <d v="2026-02-10T00:00:00"/>
    <n v="1314759"/>
  </r>
  <r>
    <s v="1865"/>
    <s v="V"/>
    <x v="2"/>
    <x v="2"/>
    <x v="1"/>
    <s v="A"/>
    <m/>
    <n v="260006"/>
    <x v="51"/>
    <d v="2026-01-06T00:00:00"/>
    <d v="2026-02-10T00:00:00"/>
    <n v="4396693"/>
  </r>
  <r>
    <s v="1866"/>
    <s v="V"/>
    <x v="2"/>
    <x v="2"/>
    <x v="1"/>
    <s v="A"/>
    <m/>
    <n v="260016"/>
    <x v="51"/>
    <d v="2026-01-19T00:00:00"/>
    <d v="2026-02-10T00:00:00"/>
    <n v="5373544"/>
  </r>
  <r>
    <s v="1867"/>
    <s v="V"/>
    <x v="2"/>
    <x v="2"/>
    <x v="1"/>
    <s v="A"/>
    <m/>
    <n v="260087"/>
    <x v="51"/>
    <d v="2026-02-03T00:00:00"/>
    <d v="2026-03-10T00:00:00"/>
    <n v="2543280"/>
  </r>
  <r>
    <s v="1868"/>
    <s v="V"/>
    <x v="2"/>
    <x v="2"/>
    <x v="1"/>
    <s v="A"/>
    <m/>
    <n v="260088"/>
    <x v="51"/>
    <d v="2026-02-03T00:00:00"/>
    <d v="2026-03-10T00:00:00"/>
    <n v="1963792"/>
  </r>
  <r>
    <s v="1869"/>
    <s v="V"/>
    <x v="2"/>
    <x v="2"/>
    <x v="1"/>
    <s v="A"/>
    <m/>
    <n v="260138"/>
    <x v="51"/>
    <d v="2026-02-24T00:00:00"/>
    <d v="2026-03-10T00:00:00"/>
    <n v="234321"/>
  </r>
  <r>
    <s v="1870"/>
    <s v="V"/>
    <x v="2"/>
    <x v="2"/>
    <x v="1"/>
    <s v="A"/>
    <m/>
    <n v="260143"/>
    <x v="51"/>
    <d v="2026-02-27T00:00:00"/>
    <d v="2026-03-10T00:00:00"/>
    <n v="5720166"/>
  </r>
  <r>
    <s v="1871"/>
    <s v="V"/>
    <x v="2"/>
    <x v="2"/>
    <x v="1"/>
    <s v="A"/>
    <m/>
    <n v="260144"/>
    <x v="51"/>
    <d v="2026-02-28T00:00:00"/>
    <d v="2026-03-10T00:00:00"/>
    <n v="374829"/>
  </r>
  <r>
    <s v="1872"/>
    <s v="V"/>
    <x v="2"/>
    <x v="2"/>
    <x v="1"/>
    <s v="A"/>
    <m/>
    <n v="260147"/>
    <x v="51"/>
    <d v="2026-03-02T00:00:00"/>
    <d v="2026-04-07T00:00:00"/>
    <n v="643800"/>
  </r>
  <r>
    <s v="1873"/>
    <s v="V"/>
    <x v="2"/>
    <x v="2"/>
    <x v="1"/>
    <s v="A"/>
    <m/>
    <n v="260191"/>
    <x v="51"/>
    <d v="2026-03-31T00:00:00"/>
    <d v="2026-04-07T00:00:00"/>
    <n v="2266270"/>
  </r>
  <r>
    <s v="1874"/>
    <s v="V"/>
    <x v="2"/>
    <x v="2"/>
    <x v="1"/>
    <s v="A"/>
    <m/>
    <n v="260192"/>
    <x v="51"/>
    <d v="2026-03-31T00:00:00"/>
    <d v="2026-04-07T00:00:00"/>
    <n v="3785100"/>
  </r>
  <r>
    <s v="1875"/>
    <s v="V"/>
    <x v="2"/>
    <x v="2"/>
    <x v="1"/>
    <s v="A"/>
    <m/>
    <n v="260193"/>
    <x v="51"/>
    <d v="2026-04-01T00:00:00"/>
    <d v="2026-05-12T00:00:00"/>
    <n v="293040"/>
  </r>
  <r>
    <s v="1876"/>
    <s v="V"/>
    <x v="2"/>
    <x v="2"/>
    <x v="1"/>
    <s v="A"/>
    <m/>
    <n v="260198"/>
    <x v="51"/>
    <d v="2026-04-02T00:00:00"/>
    <d v="2026-05-12T00:00:00"/>
    <n v="171952"/>
  </r>
  <r>
    <s v="1877"/>
    <s v="V"/>
    <x v="2"/>
    <x v="2"/>
    <x v="1"/>
    <s v="A"/>
    <m/>
    <n v="260247"/>
    <x v="51"/>
    <d v="2026-04-28T00:00:00"/>
    <d v="2026-05-12T00:00:00"/>
    <n v="8936727"/>
  </r>
  <r>
    <s v="1878"/>
    <s v="V"/>
    <x v="2"/>
    <x v="2"/>
    <x v="1"/>
    <s v="A"/>
    <m/>
    <n v="260240"/>
    <x v="51"/>
    <d v="2026-05-12T00:00:00"/>
    <d v="2026-05-12T00:00:00"/>
    <n v="499500"/>
  </r>
  <r>
    <s v="1879"/>
    <s v="V"/>
    <x v="2"/>
    <x v="2"/>
    <x v="1"/>
    <s v="A"/>
    <m/>
    <n v="260325"/>
    <x v="51"/>
    <d v="2026-06-05T00:00:00"/>
    <d v="2026-07-07T00:00:00"/>
    <n v="1530458"/>
  </r>
  <r>
    <s v="1880"/>
    <s v="V"/>
    <x v="2"/>
    <x v="2"/>
    <x v="1"/>
    <s v="A"/>
    <m/>
    <n v="260348"/>
    <x v="51"/>
    <d v="2026-06-10T00:00:00"/>
    <d v="2026-07-07T00:00:00"/>
    <n v="3663000"/>
  </r>
  <r>
    <s v="1881"/>
    <s v="V"/>
    <x v="2"/>
    <x v="2"/>
    <x v="1"/>
    <s v="A"/>
    <m/>
    <n v="260366"/>
    <x v="51"/>
    <d v="2026-06-15T00:00:00"/>
    <d v="2026-07-07T00:00:00"/>
    <n v="7300575"/>
  </r>
  <r>
    <s v="1882"/>
    <s v="V"/>
    <x v="2"/>
    <x v="2"/>
    <x v="1"/>
    <s v="A"/>
    <m/>
    <n v="260349"/>
    <x v="51"/>
    <d v="2026-06-10T00:00:00"/>
    <d v="2026-07-07T00:00:00"/>
    <n v="549561"/>
  </r>
  <r>
    <s v="1883"/>
    <s v="V"/>
    <x v="2"/>
    <x v="2"/>
    <x v="1"/>
    <s v="A"/>
    <m/>
    <n v="260365"/>
    <x v="51"/>
    <d v="2026-06-15T00:00:00"/>
    <d v="2026-07-07T00:00:00"/>
    <n v="1285732"/>
  </r>
  <r>
    <s v="1884"/>
    <s v="V"/>
    <x v="0"/>
    <x v="0"/>
    <x v="0"/>
    <m/>
    <m/>
    <m/>
    <x v="0"/>
    <m/>
    <m/>
    <m/>
  </r>
  <r>
    <s v="1885"/>
    <m/>
    <x v="0"/>
    <x v="0"/>
    <x v="0"/>
    <m/>
    <m/>
    <m/>
    <x v="0"/>
    <m/>
    <m/>
    <m/>
  </r>
  <r>
    <s v="1886"/>
    <s v="V"/>
    <x v="0"/>
    <x v="0"/>
    <x v="0"/>
    <m/>
    <s v="X"/>
    <s v="T E M P O"/>
    <x v="0"/>
    <m/>
    <m/>
    <n v="62208672"/>
  </r>
  <r>
    <s v="1887"/>
    <s v="V"/>
    <x v="1"/>
    <x v="1"/>
    <x v="1"/>
    <s v="A"/>
    <m/>
    <n v="250032"/>
    <x v="52"/>
    <d v="2025-01-08T00:00:00"/>
    <d v="2025-01-23T00:00:00"/>
    <n v="1783972"/>
  </r>
  <r>
    <s v="1888"/>
    <s v="V"/>
    <x v="1"/>
    <x v="1"/>
    <x v="1"/>
    <s v="A"/>
    <m/>
    <n v="250053"/>
    <x v="52"/>
    <d v="2025-01-14T00:00:00"/>
    <d v="2025-01-30T00:00:00"/>
    <n v="3245162"/>
  </r>
  <r>
    <s v="1889"/>
    <s v="V"/>
    <x v="1"/>
    <x v="1"/>
    <x v="1"/>
    <s v="A"/>
    <m/>
    <n v="250054"/>
    <x v="52"/>
    <d v="2025-01-14T00:00:00"/>
    <d v="2025-01-30T00:00:00"/>
    <n v="5700942"/>
  </r>
  <r>
    <s v="1890"/>
    <s v="V"/>
    <x v="1"/>
    <x v="1"/>
    <x v="1"/>
    <s v="A"/>
    <m/>
    <n v="250499"/>
    <x v="52"/>
    <d v="2025-04-30T00:00:00"/>
    <d v="2025-05-22T00:00:00"/>
    <n v="1360205"/>
  </r>
  <r>
    <s v="1891"/>
    <s v="V"/>
    <x v="1"/>
    <x v="1"/>
    <x v="1"/>
    <s v="A"/>
    <m/>
    <n v="250498"/>
    <x v="52"/>
    <d v="2025-04-30T00:00:00"/>
    <d v="2025-05-22T00:00:00"/>
    <n v="1783972"/>
  </r>
  <r>
    <s v="1892"/>
    <s v="V"/>
    <x v="1"/>
    <x v="1"/>
    <x v="1"/>
    <s v="A"/>
    <m/>
    <n v="250582"/>
    <x v="52"/>
    <d v="2025-05-31T00:00:00"/>
    <d v="2025-06-19T00:00:00"/>
    <n v="768306"/>
  </r>
  <r>
    <s v="1893"/>
    <s v="V"/>
    <x v="1"/>
    <x v="1"/>
    <x v="1"/>
    <s v="A"/>
    <m/>
    <n v="250676"/>
    <x v="52"/>
    <d v="2025-07-08T00:00:00"/>
    <d v="2025-07-24T00:00:00"/>
    <n v="5159164"/>
  </r>
  <r>
    <s v="1894"/>
    <s v="V"/>
    <x v="1"/>
    <x v="1"/>
    <x v="1"/>
    <s v="A"/>
    <m/>
    <n v="250793"/>
    <x v="52"/>
    <d v="2025-08-07T00:00:00"/>
    <d v="2025-08-30T00:00:00"/>
    <n v="9833114"/>
  </r>
  <r>
    <s v="1895"/>
    <s v="V"/>
    <x v="1"/>
    <x v="1"/>
    <x v="1"/>
    <s v="A"/>
    <m/>
    <n v="250812"/>
    <x v="52"/>
    <d v="2025-08-13T00:00:00"/>
    <d v="2025-09-04T00:00:00"/>
    <n v="169290"/>
  </r>
  <r>
    <s v="1896"/>
    <s v="V"/>
    <x v="1"/>
    <x v="1"/>
    <x v="1"/>
    <s v="A"/>
    <m/>
    <n v="250815"/>
    <x v="52"/>
    <d v="2025-08-14T00:00:00"/>
    <d v="2025-09-04T00:00:00"/>
    <n v="1089000"/>
  </r>
  <r>
    <s v="1897"/>
    <s v="V"/>
    <x v="1"/>
    <x v="1"/>
    <x v="1"/>
    <s v="A"/>
    <m/>
    <n v="250860"/>
    <x v="52"/>
    <d v="2025-08-26T00:00:00"/>
    <d v="2025-09-11T00:00:00"/>
    <n v="1783974"/>
  </r>
  <r>
    <s v="1898"/>
    <s v="V"/>
    <x v="1"/>
    <x v="1"/>
    <x v="1"/>
    <s v="A"/>
    <m/>
    <n v="250951"/>
    <x v="52"/>
    <d v="2025-09-19T00:00:00"/>
    <d v="2025-10-09T00:00:00"/>
    <n v="247104"/>
  </r>
  <r>
    <s v="1899"/>
    <s v="V"/>
    <x v="1"/>
    <x v="1"/>
    <x v="1"/>
    <s v="A"/>
    <m/>
    <n v="251105"/>
    <x v="52"/>
    <d v="2025-10-27T00:00:00"/>
    <d v="2025-11-13T00:00:00"/>
    <n v="10235567"/>
  </r>
  <r>
    <s v="1900"/>
    <s v="V"/>
    <x v="1"/>
    <x v="1"/>
    <x v="1"/>
    <s v="A"/>
    <m/>
    <n v="251106"/>
    <x v="52"/>
    <d v="2025-10-29T00:00:00"/>
    <d v="2025-11-13T00:00:00"/>
    <n v="423225"/>
  </r>
  <r>
    <s v="1901"/>
    <s v="V"/>
    <x v="1"/>
    <x v="1"/>
    <x v="1"/>
    <s v="A"/>
    <m/>
    <n v="251177"/>
    <x v="52"/>
    <d v="2025-10-31T00:00:00"/>
    <d v="2025-11-20T00:00:00"/>
    <n v="1189314"/>
  </r>
  <r>
    <s v="1902"/>
    <s v="V"/>
    <x v="2"/>
    <x v="2"/>
    <x v="1"/>
    <s v="A"/>
    <m/>
    <n v="260128"/>
    <x v="52"/>
    <d v="2026-02-23T00:00:00"/>
    <d v="2026-03-05T00:00:00"/>
    <n v="8053082"/>
  </r>
  <r>
    <s v="1903"/>
    <s v="V"/>
    <x v="2"/>
    <x v="2"/>
    <x v="1"/>
    <s v="A"/>
    <m/>
    <n v="260199"/>
    <x v="52"/>
    <d v="2026-03-31T00:00:00"/>
    <d v="2026-04-23T00:00:00"/>
    <n v="2235780"/>
  </r>
  <r>
    <s v="1904"/>
    <s v="V"/>
    <x v="2"/>
    <x v="2"/>
    <x v="1"/>
    <s v="A"/>
    <m/>
    <n v="260219"/>
    <x v="52"/>
    <d v="2026-04-17T00:00:00"/>
    <d v="2026-05-07T00:00:00"/>
    <n v="1310333"/>
  </r>
  <r>
    <s v="1905"/>
    <s v="V"/>
    <x v="2"/>
    <x v="2"/>
    <x v="1"/>
    <s v="A"/>
    <m/>
    <n v="260246"/>
    <x v="52"/>
    <d v="2026-04-24T00:00:00"/>
    <d v="2026-05-19T00:00:00"/>
    <n v="4647850"/>
  </r>
  <r>
    <s v="1906"/>
    <s v="V"/>
    <x v="2"/>
    <x v="2"/>
    <x v="1"/>
    <s v="A"/>
    <m/>
    <n v="260264"/>
    <x v="52"/>
    <d v="2026-04-30T00:00:00"/>
    <d v="2026-05-19T00:00:00"/>
    <n v="1189316"/>
  </r>
  <r>
    <s v="1907"/>
    <s v="V"/>
    <x v="0"/>
    <x v="0"/>
    <x v="0"/>
    <m/>
    <m/>
    <m/>
    <x v="0"/>
    <m/>
    <m/>
    <m/>
  </r>
  <r>
    <s v="1908"/>
    <s v="V"/>
    <x v="0"/>
    <x v="0"/>
    <x v="0"/>
    <m/>
    <m/>
    <m/>
    <x v="0"/>
    <m/>
    <m/>
    <m/>
  </r>
  <r>
    <s v="1909"/>
    <s v="V"/>
    <x v="0"/>
    <x v="0"/>
    <x v="0"/>
    <m/>
    <s v="X"/>
    <s v="TIGA PUTRA SUKSES ALKESINDO, PT"/>
    <x v="0"/>
    <m/>
    <m/>
    <n v="318004"/>
  </r>
  <r>
    <s v="1910"/>
    <s v="V"/>
    <x v="1"/>
    <x v="1"/>
    <x v="1"/>
    <s v="A"/>
    <m/>
    <n v="250505"/>
    <x v="53"/>
    <d v="2025-05-06T00:00:00"/>
    <d v="2025-06-19T00:00:00"/>
    <n v="318004"/>
  </r>
  <r>
    <s v="1911"/>
    <s v="V"/>
    <x v="0"/>
    <x v="0"/>
    <x v="0"/>
    <m/>
    <m/>
    <m/>
    <x v="0"/>
    <m/>
    <m/>
    <m/>
  </r>
  <r>
    <s v="1912"/>
    <s v="V"/>
    <x v="0"/>
    <x v="0"/>
    <x v="0"/>
    <m/>
    <m/>
    <m/>
    <x v="0"/>
    <m/>
    <m/>
    <m/>
  </r>
  <r>
    <s v="1913"/>
    <s v="V"/>
    <x v="0"/>
    <x v="0"/>
    <x v="0"/>
    <m/>
    <s v="X"/>
    <s v="TRIOFARMA MANDIRI SEJAHTERA, PT"/>
    <x v="0"/>
    <m/>
    <m/>
    <n v="163950"/>
  </r>
  <r>
    <s v="1914"/>
    <s v="V"/>
    <x v="2"/>
    <x v="1"/>
    <x v="1"/>
    <s v="A"/>
    <m/>
    <n v="260203"/>
    <x v="54"/>
    <d v="2026-04-07T00:00:00"/>
    <d v="2026-04-16T00:00:00"/>
    <n v="163950"/>
  </r>
  <r>
    <s v="1915"/>
    <s v="V"/>
    <x v="0"/>
    <x v="0"/>
    <x v="0"/>
    <m/>
    <m/>
    <m/>
    <x v="0"/>
    <m/>
    <m/>
    <m/>
  </r>
  <r>
    <s v="1916"/>
    <s v="V"/>
    <x v="0"/>
    <x v="0"/>
    <x v="0"/>
    <m/>
    <m/>
    <m/>
    <x v="0"/>
    <m/>
    <m/>
    <m/>
  </r>
  <r>
    <s v="1917"/>
    <s v="V"/>
    <x v="0"/>
    <x v="0"/>
    <x v="0"/>
    <m/>
    <s v="X"/>
    <s v="UNITED DICO CITAS, PT"/>
    <x v="0"/>
    <m/>
    <m/>
    <n v="39448732"/>
  </r>
  <r>
    <s v="1918"/>
    <s v="V"/>
    <x v="1"/>
    <x v="1"/>
    <x v="1"/>
    <s v="A"/>
    <m/>
    <n v="250058"/>
    <x v="55"/>
    <d v="2025-01-16T00:00:00"/>
    <d v="2025-01-30T00:00:00"/>
    <n v="719918"/>
  </r>
  <r>
    <s v="1919"/>
    <s v="V"/>
    <x v="1"/>
    <x v="1"/>
    <x v="1"/>
    <s v="A"/>
    <m/>
    <n v="250137"/>
    <x v="55"/>
    <d v="2025-01-31T00:00:00"/>
    <d v="2025-02-11T00:00:00"/>
    <n v="485963"/>
  </r>
  <r>
    <s v="1920"/>
    <s v="V"/>
    <x v="1"/>
    <x v="1"/>
    <x v="1"/>
    <s v="A"/>
    <m/>
    <n v="250164"/>
    <x v="55"/>
    <d v="2025-02-14T00:00:00"/>
    <d v="2025-02-25T00:00:00"/>
    <n v="2442000"/>
  </r>
  <r>
    <s v="1921"/>
    <s v="V"/>
    <x v="1"/>
    <x v="1"/>
    <x v="1"/>
    <s v="A"/>
    <m/>
    <n v="250210"/>
    <x v="55"/>
    <d v="2025-02-24T00:00:00"/>
    <d v="2025-03-11T00:00:00"/>
    <n v="719918"/>
  </r>
  <r>
    <s v="1922"/>
    <s v="V"/>
    <x v="1"/>
    <x v="1"/>
    <x v="1"/>
    <s v="A"/>
    <m/>
    <n v="250313"/>
    <x v="55"/>
    <d v="2025-02-26T00:00:00"/>
    <d v="2025-03-11T00:00:00"/>
    <n v="1150000"/>
  </r>
  <r>
    <s v="1923"/>
    <s v="V"/>
    <x v="1"/>
    <x v="1"/>
    <x v="1"/>
    <s v="A"/>
    <m/>
    <n v="250613"/>
    <x v="55"/>
    <d v="2025-06-23T00:00:00"/>
    <d v="2025-07-05T00:00:00"/>
    <n v="7673430"/>
  </r>
  <r>
    <s v="1924"/>
    <s v="V"/>
    <x v="1"/>
    <x v="1"/>
    <x v="1"/>
    <s v="A"/>
    <m/>
    <n v="250643"/>
    <x v="55"/>
    <d v="2025-06-26T00:00:00"/>
    <d v="2025-07-05T00:00:00"/>
    <n v="8498160"/>
  </r>
  <r>
    <s v="1925"/>
    <s v="V"/>
    <x v="1"/>
    <x v="1"/>
    <x v="1"/>
    <s v="A"/>
    <m/>
    <n v="250749"/>
    <x v="55"/>
    <d v="2025-07-22T00:00:00"/>
    <d v="2025-08-12T00:00:00"/>
    <n v="1021200"/>
  </r>
  <r>
    <s v="1926"/>
    <s v="V"/>
    <x v="1"/>
    <x v="1"/>
    <x v="1"/>
    <s v="A"/>
    <m/>
    <n v="250729"/>
    <x v="55"/>
    <d v="2025-07-29T00:00:00"/>
    <d v="2025-08-12T00:00:00"/>
    <n v="532800"/>
  </r>
  <r>
    <s v="1927"/>
    <s v="V"/>
    <x v="1"/>
    <x v="1"/>
    <x v="1"/>
    <s v="A"/>
    <m/>
    <n v="250788"/>
    <x v="55"/>
    <d v="2025-08-05T00:00:00"/>
    <d v="2025-08-12T00:00:00"/>
    <n v="1710021"/>
  </r>
  <r>
    <s v="1928"/>
    <s v="V"/>
    <x v="1"/>
    <x v="1"/>
    <x v="1"/>
    <s v="A"/>
    <m/>
    <n v="250926"/>
    <x v="55"/>
    <d v="2025-09-13T00:00:00"/>
    <d v="2025-10-02T00:00:00"/>
    <n v="874968"/>
  </r>
  <r>
    <s v="1929"/>
    <s v="V"/>
    <x v="1"/>
    <x v="1"/>
    <x v="1"/>
    <s v="A"/>
    <m/>
    <n v="250971"/>
    <x v="55"/>
    <d v="2025-09-23T00:00:00"/>
    <d v="2025-10-02T00:00:00"/>
    <n v="6138744"/>
  </r>
  <r>
    <s v="1930"/>
    <s v="V"/>
    <x v="1"/>
    <x v="1"/>
    <x v="1"/>
    <s v="A"/>
    <m/>
    <n v="250970"/>
    <x v="55"/>
    <d v="2025-09-24T00:00:00"/>
    <d v="2025-10-02T00:00:00"/>
    <n v="2624905"/>
  </r>
  <r>
    <s v="1931"/>
    <s v="V"/>
    <x v="1"/>
    <x v="1"/>
    <x v="1"/>
    <s v="A"/>
    <m/>
    <n v="251011"/>
    <x v="55"/>
    <d v="2025-10-03T00:00:00"/>
    <d v="2025-10-28T00:00:00"/>
    <n v="545787"/>
  </r>
  <r>
    <s v="1932"/>
    <s v="V"/>
    <x v="1"/>
    <x v="1"/>
    <x v="1"/>
    <s v="A"/>
    <m/>
    <n v="251110"/>
    <x v="55"/>
    <d v="2025-10-29T00:00:00"/>
    <d v="2025-11-13T00:00:00"/>
    <n v="2627110"/>
  </r>
  <r>
    <s v="1933"/>
    <s v="V"/>
    <x v="1"/>
    <x v="1"/>
    <x v="1"/>
    <s v="A"/>
    <m/>
    <n v="251109"/>
    <x v="55"/>
    <d v="2025-10-29T00:00:00"/>
    <d v="2025-11-13T00:00:00"/>
    <n v="549894"/>
  </r>
  <r>
    <s v="1934"/>
    <s v="V"/>
    <x v="1"/>
    <x v="1"/>
    <x v="1"/>
    <s v="A"/>
    <m/>
    <n v="251175"/>
    <x v="55"/>
    <d v="2025-11-07T00:00:00"/>
    <d v="2025-11-13T00:00:00"/>
    <n v="1133914"/>
  </r>
  <r>
    <s v="1935"/>
    <s v="V"/>
    <x v="0"/>
    <x v="0"/>
    <x v="0"/>
    <m/>
    <m/>
    <m/>
    <x v="0"/>
    <m/>
    <m/>
    <m/>
  </r>
  <r>
    <s v="1936"/>
    <s v="V"/>
    <x v="0"/>
    <x v="0"/>
    <x v="0"/>
    <m/>
    <m/>
    <m/>
    <x v="0"/>
    <m/>
    <m/>
    <m/>
  </r>
  <r>
    <s v="1937"/>
    <s v="V"/>
    <x v="0"/>
    <x v="0"/>
    <x v="0"/>
    <m/>
    <s v="X"/>
    <s v="YAMHATEVY PARAN MANDIRI"/>
    <x v="0"/>
    <m/>
    <m/>
    <n v="10704784"/>
  </r>
  <r>
    <s v="1938"/>
    <s v="V"/>
    <x v="1"/>
    <x v="1"/>
    <x v="1"/>
    <s v="A"/>
    <m/>
    <n v="250575"/>
    <x v="56"/>
    <d v="2025-06-02T00:00:00"/>
    <d v="2025-06-26T00:00:00"/>
    <n v="943500"/>
  </r>
  <r>
    <s v="1939"/>
    <s v="V"/>
    <x v="1"/>
    <x v="1"/>
    <x v="1"/>
    <s v="A"/>
    <m/>
    <n v="250574"/>
    <x v="56"/>
    <d v="2025-06-02T00:00:00"/>
    <d v="2025-06-26T00:00:00"/>
    <n v="943500"/>
  </r>
  <r>
    <s v="1940"/>
    <s v="V"/>
    <x v="1"/>
    <x v="1"/>
    <x v="1"/>
    <s v="A"/>
    <m/>
    <n v="250573"/>
    <x v="56"/>
    <d v="2025-05-07T00:00:00"/>
    <d v="2025-06-26T00:00:00"/>
    <n v="943500"/>
  </r>
  <r>
    <s v="1941"/>
    <s v="V"/>
    <x v="1"/>
    <x v="1"/>
    <x v="1"/>
    <s v="A"/>
    <m/>
    <n v="250840"/>
    <x v="56"/>
    <d v="2025-08-20T00:00:00"/>
    <d v="2025-09-02T00:00:00"/>
    <n v="1155989"/>
  </r>
  <r>
    <s v="1942"/>
    <s v="V"/>
    <x v="1"/>
    <x v="1"/>
    <x v="1"/>
    <s v="A"/>
    <m/>
    <n v="250976"/>
    <x v="56"/>
    <d v="2025-09-26T00:00:00"/>
    <d v="2025-10-23T00:00:00"/>
    <n v="2830500"/>
  </r>
  <r>
    <s v="1943"/>
    <s v="V"/>
    <x v="2"/>
    <x v="2"/>
    <x v="1"/>
    <s v="A"/>
    <m/>
    <n v="260209"/>
    <x v="56"/>
    <d v="2026-04-08T00:00:00"/>
    <d v="2026-05-23T00:00:00"/>
    <n v="1623462"/>
  </r>
  <r>
    <s v="1944"/>
    <s v="V"/>
    <x v="2"/>
    <x v="2"/>
    <x v="1"/>
    <s v="A"/>
    <m/>
    <n v="260486"/>
    <x v="56"/>
    <d v="2026-07-13T00:00:00"/>
    <d v="2026-07-30T00:00:00"/>
    <n v="2264333"/>
  </r>
  <r>
    <s v="1945"/>
    <s v="V"/>
    <x v="0"/>
    <x v="0"/>
    <x v="0"/>
    <m/>
    <m/>
    <m/>
    <x v="0"/>
    <m/>
    <m/>
    <m/>
  </r>
  <r>
    <s v="1946"/>
    <m/>
    <x v="0"/>
    <x v="0"/>
    <x v="0"/>
    <m/>
    <m/>
    <m/>
    <x v="0"/>
    <m/>
    <m/>
    <m/>
  </r>
  <r>
    <s v="1947"/>
    <s v="V"/>
    <x v="0"/>
    <x v="0"/>
    <x v="0"/>
    <m/>
    <s v="X"/>
    <s v="YASA MAHKOTA MULIA, PT"/>
    <x v="0"/>
    <m/>
    <m/>
    <n v="21874215"/>
  </r>
  <r>
    <s v="1948"/>
    <s v="V"/>
    <x v="3"/>
    <x v="1"/>
    <x v="1"/>
    <s v="A"/>
    <m/>
    <n v="242309"/>
    <x v="57"/>
    <d v="2024-11-06T00:00:00"/>
    <d v="2024-12-26T00:00:00"/>
    <n v="266400"/>
  </r>
  <r>
    <s v="1949"/>
    <s v="V"/>
    <x v="3"/>
    <x v="1"/>
    <x v="1"/>
    <s v="A"/>
    <m/>
    <n v="242275"/>
    <x v="57"/>
    <d v="2024-11-07T00:00:00"/>
    <d v="2024-12-26T00:00:00"/>
    <n v="991230"/>
  </r>
  <r>
    <s v="1950"/>
    <s v="V"/>
    <x v="3"/>
    <x v="1"/>
    <x v="1"/>
    <s v="A"/>
    <m/>
    <n v="242381"/>
    <x v="57"/>
    <d v="2024-11-20T00:00:00"/>
    <d v="2024-12-26T00:00:00"/>
    <n v="2364300"/>
  </r>
  <r>
    <s v="1951"/>
    <s v="V"/>
    <x v="1"/>
    <x v="1"/>
    <x v="1"/>
    <s v="A"/>
    <m/>
    <n v="250010"/>
    <x v="57"/>
    <d v="2025-01-04T00:00:00"/>
    <d v="2025-02-13T00:00:00"/>
    <n v="432900"/>
  </r>
  <r>
    <s v="1952"/>
    <s v="V"/>
    <x v="1"/>
    <x v="1"/>
    <x v="1"/>
    <s v="A"/>
    <m/>
    <n v="250020"/>
    <x v="57"/>
    <d v="2025-01-07T00:00:00"/>
    <d v="2025-02-13T00:00:00"/>
    <n v="1665000"/>
  </r>
  <r>
    <s v="1953"/>
    <s v="V"/>
    <x v="1"/>
    <x v="1"/>
    <x v="1"/>
    <s v="A"/>
    <m/>
    <n v="250089"/>
    <x v="57"/>
    <d v="2025-01-22T00:00:00"/>
    <d v="2025-02-13T00:00:00"/>
    <n v="432900"/>
  </r>
  <r>
    <s v="1954"/>
    <s v="V"/>
    <x v="1"/>
    <x v="1"/>
    <x v="1"/>
    <s v="A"/>
    <m/>
    <n v="250106"/>
    <x v="57"/>
    <d v="2025-01-25T00:00:00"/>
    <d v="2025-02-13T00:00:00"/>
    <n v="288600"/>
  </r>
  <r>
    <s v="1955"/>
    <s v="V"/>
    <x v="1"/>
    <x v="1"/>
    <x v="1"/>
    <s v="A"/>
    <m/>
    <n v="250102"/>
    <x v="57"/>
    <d v="2025-01-30T00:00:00"/>
    <d v="2025-02-13T00:00:00"/>
    <n v="2358750"/>
  </r>
  <r>
    <s v="1956"/>
    <s v="V"/>
    <x v="1"/>
    <x v="1"/>
    <x v="1"/>
    <s v="A"/>
    <m/>
    <n v="250428"/>
    <x v="57"/>
    <d v="2025-04-14T00:00:00"/>
    <d v="2025-06-03T00:00:00"/>
    <n v="266400"/>
  </r>
  <r>
    <s v="1957"/>
    <s v="V"/>
    <x v="1"/>
    <x v="1"/>
    <x v="1"/>
    <s v="A"/>
    <m/>
    <n v="250442"/>
    <x v="57"/>
    <d v="2025-04-17T00:00:00"/>
    <d v="2025-06-03T00:00:00"/>
    <n v="408480"/>
  </r>
  <r>
    <s v="1958"/>
    <s v="V"/>
    <x v="1"/>
    <x v="1"/>
    <x v="1"/>
    <s v="A"/>
    <m/>
    <n v="250484"/>
    <x v="57"/>
    <d v="2025-05-02T00:00:00"/>
    <d v="2025-07-10T00:00:00"/>
    <n v="2501940"/>
  </r>
  <r>
    <s v="1959"/>
    <s v="V"/>
    <x v="1"/>
    <x v="1"/>
    <x v="1"/>
    <s v="A"/>
    <m/>
    <n v="250689"/>
    <x v="57"/>
    <d v="2025-07-15T00:00:00"/>
    <d v="2025-08-07T00:00:00"/>
    <n v="1046175"/>
  </r>
  <r>
    <s v="1960"/>
    <s v="V"/>
    <x v="1"/>
    <x v="1"/>
    <x v="1"/>
    <s v="A"/>
    <m/>
    <n v="250839"/>
    <x v="57"/>
    <d v="2025-08-21T00:00:00"/>
    <d v="2025-10-16T00:00:00"/>
    <n v="233100"/>
  </r>
  <r>
    <s v="1961"/>
    <s v="V"/>
    <x v="1"/>
    <x v="1"/>
    <x v="1"/>
    <s v="A"/>
    <m/>
    <n v="251198"/>
    <x v="57"/>
    <d v="2025-11-25T00:00:00"/>
    <d v="2025-12-23T00:00:00"/>
    <n v="865800"/>
  </r>
  <r>
    <s v="1962"/>
    <s v="V"/>
    <x v="1"/>
    <x v="2"/>
    <x v="1"/>
    <s v="A"/>
    <m/>
    <n v="260160"/>
    <x v="57"/>
    <d v="2026-03-06T00:00:00"/>
    <d v="2026-04-21T00:00:00"/>
    <n v="3913860"/>
  </r>
  <r>
    <s v="1963"/>
    <s v="V"/>
    <x v="1"/>
    <x v="2"/>
    <x v="1"/>
    <s v="A"/>
    <m/>
    <n v="260179"/>
    <x v="57"/>
    <d v="2026-03-18T00:00:00"/>
    <d v="2026-05-12T00:00:00"/>
    <n v="638250"/>
  </r>
  <r>
    <s v="1964"/>
    <s v="V"/>
    <x v="1"/>
    <x v="2"/>
    <x v="1"/>
    <s v="A"/>
    <m/>
    <n v="260216"/>
    <x v="57"/>
    <d v="2026-04-16T00:00:00"/>
    <d v="2026-05-12T00:00:00"/>
    <n v="2367630"/>
  </r>
  <r>
    <s v="1965"/>
    <s v="V"/>
    <x v="1"/>
    <x v="2"/>
    <x v="1"/>
    <s v="A"/>
    <m/>
    <n v="260223"/>
    <x v="57"/>
    <d v="2026-04-21T00:00:00"/>
    <d v="2026-05-12T00:00:00"/>
    <n v="832500"/>
  </r>
  <r>
    <s v="1966"/>
    <s v="V"/>
    <x v="0"/>
    <x v="0"/>
    <x v="0"/>
    <m/>
    <m/>
    <m/>
    <x v="0"/>
    <m/>
    <m/>
    <m/>
  </r>
  <r>
    <s v="1967"/>
    <s v="V"/>
    <x v="0"/>
    <x v="0"/>
    <x v="0"/>
    <m/>
    <m/>
    <m/>
    <x v="0"/>
    <m/>
    <m/>
    <m/>
  </r>
  <r>
    <s v="1968"/>
    <s v="V"/>
    <x v="0"/>
    <x v="0"/>
    <x v="0"/>
    <m/>
    <s v="X"/>
    <s v="ZIWAN RIZKY, CV"/>
    <x v="0"/>
    <m/>
    <m/>
    <n v="0"/>
  </r>
  <r>
    <s v="1969"/>
    <s v="V"/>
    <x v="0"/>
    <x v="0"/>
    <x v="0"/>
    <m/>
    <m/>
    <m/>
    <x v="0"/>
    <m/>
    <m/>
    <m/>
  </r>
  <r>
    <s v="1970"/>
    <s v="V"/>
    <x v="0"/>
    <x v="0"/>
    <x v="0"/>
    <m/>
    <m/>
    <m/>
    <x v="0"/>
    <m/>
    <m/>
    <m/>
  </r>
  <r>
    <s v="1971"/>
    <s v="V"/>
    <x v="0"/>
    <x v="0"/>
    <x v="0"/>
    <m/>
    <s v="Z"/>
    <s v="ALAT KESEHATAN"/>
    <x v="0"/>
    <m/>
    <m/>
    <n v="1039828867"/>
  </r>
  <r>
    <s v="1972"/>
    <s v="V"/>
    <x v="0"/>
    <x v="0"/>
    <x v="0"/>
    <m/>
    <m/>
    <m/>
    <x v="0"/>
    <m/>
    <m/>
    <m/>
  </r>
  <r>
    <s v="1973"/>
    <s v="V"/>
    <x v="0"/>
    <x v="0"/>
    <x v="0"/>
    <m/>
    <s v="X"/>
    <s v="ETAM MANDIRI"/>
    <x v="0"/>
    <m/>
    <m/>
    <n v="160000000"/>
  </r>
  <r>
    <s v="1974"/>
    <s v="V"/>
    <x v="4"/>
    <x v="2"/>
    <x v="1"/>
    <m/>
    <m/>
    <m/>
    <x v="58"/>
    <d v="2023-12-31T00:00:00"/>
    <d v="2023-12-31T00:00:00"/>
    <n v="160000000"/>
  </r>
  <r>
    <s v="1975"/>
    <s v="V"/>
    <x v="0"/>
    <x v="0"/>
    <x v="0"/>
    <m/>
    <m/>
    <m/>
    <x v="0"/>
    <m/>
    <m/>
    <m/>
  </r>
  <r>
    <s v="1976"/>
    <s v="V"/>
    <x v="0"/>
    <x v="0"/>
    <x v="0"/>
    <m/>
    <m/>
    <m/>
    <x v="0"/>
    <m/>
    <m/>
    <m/>
  </r>
  <r>
    <s v="1977"/>
    <s v="V"/>
    <x v="0"/>
    <x v="0"/>
    <x v="0"/>
    <m/>
    <s v="X"/>
    <s v="KARYA INSANI MEDIKA"/>
    <x v="0"/>
    <m/>
    <m/>
    <n v="45500000"/>
  </r>
  <r>
    <s v="1978"/>
    <s v="V"/>
    <x v="3"/>
    <x v="2"/>
    <x v="2"/>
    <s v="B"/>
    <m/>
    <n v="1"/>
    <x v="59"/>
    <d v="2021-07-05T00:00:00"/>
    <d v="2021-08-12T00:00:00"/>
    <n v="45500000"/>
  </r>
  <r>
    <s v="1979"/>
    <s v="V"/>
    <x v="0"/>
    <x v="0"/>
    <x v="0"/>
    <m/>
    <m/>
    <m/>
    <x v="0"/>
    <m/>
    <m/>
    <m/>
  </r>
  <r>
    <s v="1980"/>
    <s v="V"/>
    <x v="0"/>
    <x v="0"/>
    <x v="0"/>
    <m/>
    <m/>
    <m/>
    <x v="0"/>
    <m/>
    <m/>
    <m/>
  </r>
  <r>
    <s v="1981"/>
    <s v="V"/>
    <x v="0"/>
    <x v="0"/>
    <x v="0"/>
    <m/>
    <s v="X"/>
    <s v="OKTARIZA RIZKILLAH"/>
    <x v="0"/>
    <m/>
    <m/>
    <n v="16899267"/>
  </r>
  <r>
    <s v="1982"/>
    <s v="V"/>
    <x v="3"/>
    <x v="1"/>
    <x v="2"/>
    <m/>
    <m/>
    <m/>
    <x v="60"/>
    <d v="2024-10-28T00:00:00"/>
    <d v="2024-10-28T00:00:00"/>
    <n v="3401187"/>
  </r>
  <r>
    <s v="1983"/>
    <s v="V"/>
    <x v="3"/>
    <x v="1"/>
    <x v="2"/>
    <m/>
    <m/>
    <m/>
    <x v="60"/>
    <d v="2024-10-28T00:00:00"/>
    <d v="2024-10-28T00:00:00"/>
    <n v="3401187"/>
  </r>
  <r>
    <s v="1984"/>
    <s v="V"/>
    <x v="3"/>
    <x v="1"/>
    <x v="2"/>
    <m/>
    <m/>
    <m/>
    <x v="60"/>
    <d v="2024-10-28T00:00:00"/>
    <d v="2024-10-28T00:00:00"/>
    <n v="3401187"/>
  </r>
  <r>
    <s v="1985"/>
    <s v="V"/>
    <x v="3"/>
    <x v="1"/>
    <x v="2"/>
    <m/>
    <m/>
    <m/>
    <x v="60"/>
    <d v="2024-12-03T00:00:00"/>
    <d v="2024-12-03T00:00:00"/>
    <n v="2231902"/>
  </r>
  <r>
    <s v="1986"/>
    <s v="V"/>
    <x v="3"/>
    <x v="1"/>
    <x v="2"/>
    <m/>
    <m/>
    <m/>
    <x v="60"/>
    <d v="2024-12-03T00:00:00"/>
    <d v="2024-12-03T00:00:00"/>
    <n v="2231902"/>
  </r>
  <r>
    <s v="1987"/>
    <s v="V"/>
    <x v="3"/>
    <x v="1"/>
    <x v="2"/>
    <m/>
    <m/>
    <m/>
    <x v="60"/>
    <d v="2024-12-03T00:00:00"/>
    <d v="2024-12-03T00:00:00"/>
    <n v="2231902"/>
  </r>
  <r>
    <s v="1988"/>
    <s v="V"/>
    <x v="0"/>
    <x v="0"/>
    <x v="0"/>
    <m/>
    <m/>
    <m/>
    <x v="0"/>
    <m/>
    <m/>
    <m/>
  </r>
  <r>
    <s v="1989"/>
    <s v="V"/>
    <x v="0"/>
    <x v="0"/>
    <x v="0"/>
    <m/>
    <m/>
    <m/>
    <x v="0"/>
    <m/>
    <m/>
    <m/>
  </r>
  <r>
    <s v="1990"/>
    <s v="V"/>
    <x v="0"/>
    <x v="0"/>
    <x v="0"/>
    <m/>
    <s v="X"/>
    <s v="STARINDO MULTI SUKSES, PT"/>
    <x v="0"/>
    <m/>
    <m/>
    <n v="299700000"/>
  </r>
  <r>
    <s v="1991"/>
    <s v="V"/>
    <x v="4"/>
    <x v="1"/>
    <x v="2"/>
    <s v="B"/>
    <m/>
    <n v="231197"/>
    <x v="50"/>
    <d v="2023-06-08T00:00:00"/>
    <d v="2023-07-11T00:00:00"/>
    <n v="7500000"/>
  </r>
  <r>
    <s v="1992"/>
    <s v="V"/>
    <x v="4"/>
    <x v="1"/>
    <x v="2"/>
    <s v="B"/>
    <m/>
    <n v="231197"/>
    <x v="50"/>
    <d v="2023-06-08T00:00:00"/>
    <d v="2023-07-11T00:00:00"/>
    <n v="7500000"/>
  </r>
  <r>
    <s v="1993"/>
    <s v="V"/>
    <x v="4"/>
    <x v="1"/>
    <x v="2"/>
    <s v="B"/>
    <m/>
    <n v="231197"/>
    <x v="50"/>
    <d v="2023-06-08T00:00:00"/>
    <d v="2023-07-11T00:00:00"/>
    <n v="7500000"/>
  </r>
  <r>
    <s v="1994"/>
    <s v="V"/>
    <x v="4"/>
    <x v="1"/>
    <x v="2"/>
    <s v="B"/>
    <m/>
    <n v="231197"/>
    <x v="50"/>
    <d v="2023-06-08T00:00:00"/>
    <d v="2023-07-11T00:00:00"/>
    <n v="7500000"/>
  </r>
  <r>
    <s v="1995"/>
    <s v="V"/>
    <x v="4"/>
    <x v="1"/>
    <x v="2"/>
    <s v="B"/>
    <m/>
    <n v="231197"/>
    <x v="50"/>
    <d v="2023-06-08T00:00:00"/>
    <d v="2023-07-11T00:00:00"/>
    <n v="7500000"/>
  </r>
  <r>
    <s v="1996"/>
    <s v="V"/>
    <x v="4"/>
    <x v="1"/>
    <x v="2"/>
    <s v="B"/>
    <m/>
    <n v="231197"/>
    <x v="50"/>
    <d v="2023-06-08T00:00:00"/>
    <d v="2023-07-11T00:00:00"/>
    <n v="7500000"/>
  </r>
  <r>
    <s v="1997"/>
    <s v="V"/>
    <x v="4"/>
    <x v="1"/>
    <x v="2"/>
    <s v="B"/>
    <m/>
    <n v="231197"/>
    <x v="50"/>
    <d v="2023-06-08T00:00:00"/>
    <d v="2023-07-11T00:00:00"/>
    <n v="7500000"/>
  </r>
  <r>
    <s v="1998"/>
    <s v="V"/>
    <x v="4"/>
    <x v="1"/>
    <x v="2"/>
    <s v="B"/>
    <m/>
    <n v="231197"/>
    <x v="50"/>
    <d v="2023-06-08T00:00:00"/>
    <d v="2023-07-11T00:00:00"/>
    <n v="7500000"/>
  </r>
  <r>
    <s v="1999"/>
    <s v="V"/>
    <x v="4"/>
    <x v="1"/>
    <x v="2"/>
    <s v="B"/>
    <m/>
    <n v="231197"/>
    <x v="50"/>
    <d v="2023-06-08T00:00:00"/>
    <d v="2023-07-11T00:00:00"/>
    <n v="7500000"/>
  </r>
  <r>
    <s v="2000"/>
    <s v="V"/>
    <x v="4"/>
    <x v="1"/>
    <x v="2"/>
    <s v="B"/>
    <m/>
    <n v="231197"/>
    <x v="50"/>
    <d v="2023-06-08T00:00:00"/>
    <d v="2023-07-11T00:00:00"/>
    <n v="7500000"/>
  </r>
  <r>
    <s v="2001"/>
    <s v="V"/>
    <x v="4"/>
    <x v="1"/>
    <x v="2"/>
    <s v="B"/>
    <m/>
    <n v="231197"/>
    <x v="50"/>
    <d v="2023-06-08T00:00:00"/>
    <d v="2023-07-11T00:00:00"/>
    <n v="7500000"/>
  </r>
  <r>
    <s v="2002"/>
    <s v="V"/>
    <x v="4"/>
    <x v="1"/>
    <x v="2"/>
    <s v="B"/>
    <m/>
    <n v="231197"/>
    <x v="50"/>
    <d v="2023-06-08T00:00:00"/>
    <d v="2023-07-11T00:00:00"/>
    <n v="7500000"/>
  </r>
  <r>
    <s v="2003"/>
    <s v="V"/>
    <x v="4"/>
    <x v="1"/>
    <x v="2"/>
    <s v="B"/>
    <m/>
    <n v="231197"/>
    <x v="50"/>
    <d v="2023-06-08T00:00:00"/>
    <d v="2023-07-11T00:00:00"/>
    <n v="7500000"/>
  </r>
  <r>
    <s v="2004"/>
    <s v="V"/>
    <x v="4"/>
    <x v="1"/>
    <x v="2"/>
    <s v="B"/>
    <m/>
    <n v="231197"/>
    <x v="50"/>
    <d v="2023-06-08T00:00:00"/>
    <d v="2023-07-11T00:00:00"/>
    <n v="7500000"/>
  </r>
  <r>
    <s v="2005"/>
    <s v="V"/>
    <x v="4"/>
    <x v="1"/>
    <x v="2"/>
    <s v="B"/>
    <m/>
    <n v="231197"/>
    <x v="50"/>
    <d v="2023-06-08T00:00:00"/>
    <d v="2023-07-11T00:00:00"/>
    <n v="7500000"/>
  </r>
  <r>
    <s v="2006"/>
    <s v="V"/>
    <x v="4"/>
    <x v="1"/>
    <x v="2"/>
    <s v="B"/>
    <m/>
    <n v="231197"/>
    <x v="50"/>
    <d v="2023-06-08T00:00:00"/>
    <d v="2023-07-11T00:00:00"/>
    <n v="7500000"/>
  </r>
  <r>
    <s v="2007"/>
    <s v="V"/>
    <x v="4"/>
    <x v="1"/>
    <x v="2"/>
    <s v="B"/>
    <m/>
    <n v="231197"/>
    <x v="50"/>
    <d v="2023-06-08T00:00:00"/>
    <d v="2023-07-11T00:00:00"/>
    <n v="7500000"/>
  </r>
  <r>
    <s v="2008"/>
    <s v="V"/>
    <x v="4"/>
    <x v="1"/>
    <x v="2"/>
    <s v="B"/>
    <m/>
    <n v="231197"/>
    <x v="50"/>
    <d v="2023-06-08T00:00:00"/>
    <d v="2023-07-11T00:00:00"/>
    <n v="7500000"/>
  </r>
  <r>
    <s v="2009"/>
    <s v="V"/>
    <x v="4"/>
    <x v="1"/>
    <x v="2"/>
    <s v="B"/>
    <m/>
    <n v="231197"/>
    <x v="50"/>
    <d v="2023-06-08T00:00:00"/>
    <d v="2023-07-11T00:00:00"/>
    <n v="7500000"/>
  </r>
  <r>
    <s v="2010"/>
    <s v="V"/>
    <x v="4"/>
    <x v="1"/>
    <x v="2"/>
    <s v="B"/>
    <m/>
    <n v="231197"/>
    <x v="50"/>
    <d v="2023-06-08T00:00:00"/>
    <d v="2023-07-11T00:00:00"/>
    <n v="7500000"/>
  </r>
  <r>
    <s v="2011"/>
    <s v="V"/>
    <x v="4"/>
    <x v="1"/>
    <x v="2"/>
    <s v="B"/>
    <m/>
    <n v="231197"/>
    <x v="50"/>
    <d v="2023-06-08T00:00:00"/>
    <d v="2023-07-11T00:00:00"/>
    <n v="7500000"/>
  </r>
  <r>
    <s v="2012"/>
    <s v="V"/>
    <x v="4"/>
    <x v="1"/>
    <x v="2"/>
    <s v="B"/>
    <m/>
    <n v="231197"/>
    <x v="50"/>
    <d v="2023-06-08T00:00:00"/>
    <d v="2023-07-11T00:00:00"/>
    <n v="7500000"/>
  </r>
  <r>
    <s v="2013"/>
    <s v="V"/>
    <x v="4"/>
    <x v="1"/>
    <x v="2"/>
    <s v="B"/>
    <m/>
    <n v="231197"/>
    <x v="50"/>
    <d v="2023-06-08T00:00:00"/>
    <d v="2023-07-11T00:00:00"/>
    <n v="7500000"/>
  </r>
  <r>
    <s v="2014"/>
    <s v="V"/>
    <x v="4"/>
    <x v="1"/>
    <x v="2"/>
    <s v="B"/>
    <m/>
    <n v="231197"/>
    <x v="50"/>
    <d v="2023-06-08T00:00:00"/>
    <d v="2023-07-11T00:00:00"/>
    <n v="7500000"/>
  </r>
  <r>
    <s v="2015"/>
    <s v="V"/>
    <x v="4"/>
    <x v="1"/>
    <x v="2"/>
    <s v="B"/>
    <m/>
    <n v="231197"/>
    <x v="50"/>
    <d v="2023-06-08T00:00:00"/>
    <d v="2023-07-11T00:00:00"/>
    <n v="7500000"/>
  </r>
  <r>
    <s v="2016"/>
    <s v="V"/>
    <x v="4"/>
    <x v="1"/>
    <x v="2"/>
    <s v="B"/>
    <m/>
    <n v="231197"/>
    <x v="50"/>
    <d v="2023-06-08T00:00:00"/>
    <d v="2023-07-11T00:00:00"/>
    <n v="20000000"/>
  </r>
  <r>
    <s v="2017"/>
    <s v="V"/>
    <x v="4"/>
    <x v="1"/>
    <x v="2"/>
    <s v="B"/>
    <m/>
    <n v="231197"/>
    <x v="50"/>
    <d v="2023-06-08T00:00:00"/>
    <d v="2023-07-11T00:00:00"/>
    <n v="6750000"/>
  </r>
  <r>
    <s v="2018"/>
    <s v="V"/>
    <x v="4"/>
    <x v="1"/>
    <x v="2"/>
    <s v="B"/>
    <m/>
    <n v="231197"/>
    <x v="50"/>
    <d v="2023-06-08T00:00:00"/>
    <d v="2023-07-11T00:00:00"/>
    <n v="20000000"/>
  </r>
  <r>
    <s v="2019"/>
    <s v="V"/>
    <x v="4"/>
    <x v="1"/>
    <x v="2"/>
    <s v="B"/>
    <m/>
    <n v="231197"/>
    <x v="50"/>
    <d v="2023-06-08T00:00:00"/>
    <d v="2023-07-11T00:00:00"/>
    <n v="25000000"/>
  </r>
  <r>
    <s v="2020"/>
    <s v="V"/>
    <x v="4"/>
    <x v="1"/>
    <x v="2"/>
    <s v="B"/>
    <m/>
    <n v="231197"/>
    <x v="50"/>
    <d v="2023-06-08T00:00:00"/>
    <d v="2023-07-11T00:00:00"/>
    <n v="7500000"/>
  </r>
  <r>
    <s v="2021"/>
    <s v="V"/>
    <x v="4"/>
    <x v="1"/>
    <x v="2"/>
    <s v="B"/>
    <m/>
    <n v="231197"/>
    <x v="50"/>
    <d v="2023-06-08T00:00:00"/>
    <d v="2023-07-11T00:00:00"/>
    <n v="7500000"/>
  </r>
  <r>
    <s v="2022"/>
    <s v="V"/>
    <x v="4"/>
    <x v="2"/>
    <x v="2"/>
    <s v="B"/>
    <m/>
    <n v="231197"/>
    <x v="50"/>
    <d v="2023-06-08T00:00:00"/>
    <d v="2023-07-11T00:00:00"/>
    <n v="25450000"/>
  </r>
  <r>
    <s v="2023"/>
    <s v="V"/>
    <x v="0"/>
    <x v="0"/>
    <x v="0"/>
    <m/>
    <m/>
    <m/>
    <x v="0"/>
    <m/>
    <m/>
    <m/>
  </r>
  <r>
    <s v="2024"/>
    <s v="V"/>
    <x v="0"/>
    <x v="0"/>
    <x v="0"/>
    <m/>
    <m/>
    <m/>
    <x v="0"/>
    <m/>
    <m/>
    <m/>
  </r>
  <r>
    <s v="2025"/>
    <s v="V"/>
    <x v="0"/>
    <x v="0"/>
    <x v="0"/>
    <m/>
    <s v="X"/>
    <s v="SUMBER REJEKI MEDIKA JAYA, PT"/>
    <x v="0"/>
    <m/>
    <m/>
    <n v="130713600"/>
  </r>
  <r>
    <s v="2026"/>
    <s v="V"/>
    <x v="3"/>
    <x v="1"/>
    <x v="2"/>
    <s v="A"/>
    <m/>
    <n v="240901"/>
    <x v="51"/>
    <d v="2024-05-06T00:00:00"/>
    <d v="2024-06-13T00:00:00"/>
    <n v="9357300"/>
  </r>
  <r>
    <s v="2027"/>
    <s v="V"/>
    <x v="3"/>
    <x v="1"/>
    <x v="2"/>
    <s v="A"/>
    <m/>
    <n v="240901"/>
    <x v="51"/>
    <d v="2024-05-06T00:00:00"/>
    <d v="2024-06-13T00:00:00"/>
    <n v="9357300"/>
  </r>
  <r>
    <s v="2028"/>
    <s v="V"/>
    <x v="3"/>
    <x v="1"/>
    <x v="2"/>
    <s v="B"/>
    <m/>
    <n v="241260"/>
    <x v="51"/>
    <d v="2024-06-18T00:00:00"/>
    <d v="2024-07-16T00:00:00"/>
    <n v="21090000"/>
  </r>
  <r>
    <s v="2029"/>
    <s v="V"/>
    <x v="3"/>
    <x v="1"/>
    <x v="2"/>
    <s v="B"/>
    <m/>
    <n v="241260"/>
    <x v="51"/>
    <d v="2024-06-18T00:00:00"/>
    <d v="2024-07-16T00:00:00"/>
    <n v="34909000"/>
  </r>
  <r>
    <s v="2030"/>
    <s v="V"/>
    <x v="3"/>
    <x v="1"/>
    <x v="2"/>
    <s v="B"/>
    <m/>
    <n v="241260"/>
    <x v="51"/>
    <d v="2024-06-18T00:00:00"/>
    <d v="2024-07-16T00:00:00"/>
    <n v="36000000"/>
  </r>
  <r>
    <s v="2031"/>
    <s v="V"/>
    <x v="3"/>
    <x v="1"/>
    <x v="2"/>
    <s v="B"/>
    <m/>
    <n v="241315"/>
    <x v="51"/>
    <d v="2024-06-24T00:00:00"/>
    <d v="2024-07-16T00:00:00"/>
    <n v="20000000"/>
  </r>
  <r>
    <s v="2032"/>
    <s v="V"/>
    <x v="0"/>
    <x v="0"/>
    <x v="0"/>
    <m/>
    <m/>
    <m/>
    <x v="0"/>
    <m/>
    <m/>
    <m/>
  </r>
  <r>
    <s v="2033"/>
    <s v="V"/>
    <x v="0"/>
    <x v="0"/>
    <x v="0"/>
    <m/>
    <m/>
    <m/>
    <x v="0"/>
    <m/>
    <m/>
    <m/>
  </r>
  <r>
    <s v="2034"/>
    <s v="V"/>
    <x v="0"/>
    <x v="0"/>
    <x v="0"/>
    <m/>
    <s v="X"/>
    <s v="UUT SAYFUDIN"/>
    <x v="0"/>
    <m/>
    <m/>
    <n v="273685000"/>
  </r>
  <r>
    <s v="2035"/>
    <s v="V"/>
    <x v="1"/>
    <x v="1"/>
    <x v="2"/>
    <m/>
    <m/>
    <m/>
    <x v="61"/>
    <d v="2025-04-30T00:00:00"/>
    <d v="2025-04-30T00:00:00"/>
    <n v="82105500"/>
  </r>
  <r>
    <s v="2036"/>
    <s v="V"/>
    <x v="1"/>
    <x v="1"/>
    <x v="2"/>
    <m/>
    <m/>
    <m/>
    <x v="61"/>
    <d v="2025-04-30T00:00:00"/>
    <d v="2025-04-30T00:00:00"/>
    <n v="31929917"/>
  </r>
  <r>
    <s v="2037"/>
    <s v="V"/>
    <x v="1"/>
    <x v="1"/>
    <x v="2"/>
    <m/>
    <m/>
    <m/>
    <x v="61"/>
    <d v="2025-04-30T00:00:00"/>
    <d v="2025-04-30T00:00:00"/>
    <n v="31929917"/>
  </r>
  <r>
    <s v="2038"/>
    <s v="V"/>
    <x v="1"/>
    <x v="1"/>
    <x v="2"/>
    <m/>
    <m/>
    <m/>
    <x v="61"/>
    <d v="2025-04-30T00:00:00"/>
    <d v="2025-04-30T00:00:00"/>
    <n v="31929917"/>
  </r>
  <r>
    <s v="2039"/>
    <s v="V"/>
    <x v="1"/>
    <x v="1"/>
    <x v="2"/>
    <m/>
    <m/>
    <m/>
    <x v="61"/>
    <d v="2025-04-30T00:00:00"/>
    <d v="2025-04-30T00:00:00"/>
    <n v="31929917"/>
  </r>
  <r>
    <s v="2040"/>
    <s v="V"/>
    <x v="1"/>
    <x v="1"/>
    <x v="2"/>
    <m/>
    <m/>
    <m/>
    <x v="61"/>
    <d v="2025-04-30T00:00:00"/>
    <d v="2025-04-30T00:00:00"/>
    <n v="15964958.5"/>
  </r>
  <r>
    <s v="2041"/>
    <s v="V"/>
    <x v="1"/>
    <x v="1"/>
    <x v="2"/>
    <m/>
    <m/>
    <m/>
    <x v="61"/>
    <d v="2025-04-30T00:00:00"/>
    <d v="2025-04-30T00:00:00"/>
    <n v="15964958.5"/>
  </r>
  <r>
    <s v="2042"/>
    <s v="V"/>
    <x v="1"/>
    <x v="2"/>
    <x v="2"/>
    <m/>
    <m/>
    <m/>
    <x v="61"/>
    <d v="2025-04-30T00:00:00"/>
    <d v="2025-04-30T00:00:00"/>
    <n v="31929915"/>
  </r>
  <r>
    <s v="2043"/>
    <s v="V"/>
    <x v="0"/>
    <x v="0"/>
    <x v="0"/>
    <m/>
    <m/>
    <m/>
    <x v="0"/>
    <m/>
    <m/>
    <m/>
  </r>
  <r>
    <s v="2044"/>
    <s v="V"/>
    <x v="0"/>
    <x v="0"/>
    <x v="0"/>
    <m/>
    <m/>
    <m/>
    <x v="0"/>
    <m/>
    <m/>
    <m/>
  </r>
  <r>
    <s v="2045"/>
    <s v="V"/>
    <x v="0"/>
    <x v="0"/>
    <x v="0"/>
    <m/>
    <s v="X"/>
    <s v="YASA MAHKOTA MULIA, PT"/>
    <x v="0"/>
    <m/>
    <m/>
    <n v="113331000"/>
  </r>
  <r>
    <s v="2046"/>
    <s v="V"/>
    <x v="3"/>
    <x v="1"/>
    <x v="2"/>
    <s v="B"/>
    <m/>
    <n v="240571"/>
    <x v="57"/>
    <d v="2024-03-18T00:00:00"/>
    <d v="2024-05-14T00:00:00"/>
    <n v="8325000"/>
  </r>
  <r>
    <s v="2047"/>
    <s v="V"/>
    <x v="3"/>
    <x v="1"/>
    <x v="2"/>
    <s v="B"/>
    <m/>
    <n v="240571"/>
    <x v="57"/>
    <d v="2024-03-18T00:00:00"/>
    <d v="2024-05-14T00:00:00"/>
    <n v="8325000"/>
  </r>
  <r>
    <s v="2048"/>
    <s v="V"/>
    <x v="3"/>
    <x v="1"/>
    <x v="2"/>
    <s v="B"/>
    <m/>
    <n v="240571"/>
    <x v="57"/>
    <d v="2024-03-18T00:00:00"/>
    <d v="2024-05-14T00:00:00"/>
    <n v="8325000"/>
  </r>
  <r>
    <s v="2049"/>
    <s v="V"/>
    <x v="3"/>
    <x v="1"/>
    <x v="2"/>
    <s v="B"/>
    <m/>
    <n v="240655"/>
    <x v="57"/>
    <d v="2024-03-27T00:00:00"/>
    <d v="2024-05-14T00:00:00"/>
    <n v="13500000"/>
  </r>
  <r>
    <s v="2050"/>
    <s v="V"/>
    <x v="3"/>
    <x v="2"/>
    <x v="2"/>
    <s v="B"/>
    <m/>
    <n v="240655"/>
    <x v="57"/>
    <d v="2024-03-27T00:00:00"/>
    <d v="2024-05-14T00:00:00"/>
    <n v="43776000"/>
  </r>
  <r>
    <s v="2051"/>
    <s v="V"/>
    <x v="3"/>
    <x v="1"/>
    <x v="1"/>
    <s v="B"/>
    <m/>
    <n v="240968"/>
    <x v="57"/>
    <d v="2024-05-14T00:00:00"/>
    <d v="2024-06-27T00:00:00"/>
    <n v="5000000"/>
  </r>
  <r>
    <s v="2052"/>
    <s v="V"/>
    <x v="3"/>
    <x v="2"/>
    <x v="1"/>
    <s v="B"/>
    <m/>
    <n v="240968"/>
    <x v="57"/>
    <d v="2024-05-14T00:00:00"/>
    <d v="2024-06-27T00:00:00"/>
    <n v="26080000"/>
  </r>
  <r>
    <s v="2053"/>
    <s v="V"/>
    <x v="0"/>
    <x v="0"/>
    <x v="0"/>
    <m/>
    <m/>
    <m/>
    <x v="0"/>
    <m/>
    <m/>
    <m/>
  </r>
  <r>
    <s v="2054"/>
    <s v="V"/>
    <x v="0"/>
    <x v="0"/>
    <x v="0"/>
    <m/>
    <m/>
    <m/>
    <x v="0"/>
    <m/>
    <m/>
    <m/>
  </r>
  <r>
    <s v="2055"/>
    <s v="V"/>
    <x v="0"/>
    <x v="0"/>
    <x v="0"/>
    <m/>
    <s v="Z"/>
    <s v="PELAYANAN RUJUKAN DAN LABORATORIUM"/>
    <x v="0"/>
    <m/>
    <m/>
    <n v="1186598371"/>
  </r>
  <r>
    <s v="2056"/>
    <s v="V"/>
    <x v="0"/>
    <x v="0"/>
    <x v="0"/>
    <m/>
    <m/>
    <m/>
    <x v="0"/>
    <m/>
    <m/>
    <m/>
  </r>
  <r>
    <s v="2057"/>
    <s v="V"/>
    <x v="0"/>
    <x v="0"/>
    <x v="0"/>
    <m/>
    <s v="X"/>
    <s v="RS DIRGAHAYU"/>
    <x v="0"/>
    <m/>
    <m/>
    <n v="273478928"/>
  </r>
  <r>
    <s v="2058"/>
    <s v="V"/>
    <x v="3"/>
    <x v="1"/>
    <x v="3"/>
    <s v="C"/>
    <m/>
    <m/>
    <x v="62"/>
    <d v="2024-09-07T00:00:00"/>
    <d v="2024-09-30T00:00:00"/>
    <n v="3600000"/>
  </r>
  <r>
    <s v="2059"/>
    <s v="V"/>
    <x v="3"/>
    <x v="1"/>
    <x v="3"/>
    <s v="C"/>
    <m/>
    <m/>
    <x v="62"/>
    <d v="2024-09-11T00:00:00"/>
    <d v="2024-09-30T00:00:00"/>
    <n v="2220000"/>
  </r>
  <r>
    <s v="2060"/>
    <s v="V"/>
    <x v="3"/>
    <x v="1"/>
    <x v="3"/>
    <s v="C"/>
    <m/>
    <m/>
    <x v="62"/>
    <d v="2024-09-17T00:00:00"/>
    <d v="2024-10-08T00:00:00"/>
    <n v="4140000"/>
  </r>
  <r>
    <s v="2061"/>
    <s v="V"/>
    <x v="3"/>
    <x v="1"/>
    <x v="3"/>
    <s v="C"/>
    <m/>
    <m/>
    <x v="62"/>
    <d v="2024-09-17T00:00:00"/>
    <d v="2024-10-08T00:00:00"/>
    <n v="1110000"/>
  </r>
  <r>
    <s v="2062"/>
    <s v="V"/>
    <x v="3"/>
    <x v="1"/>
    <x v="3"/>
    <s v="C"/>
    <m/>
    <m/>
    <x v="62"/>
    <d v="2024-09-18T00:00:00"/>
    <d v="2024-10-08T00:00:00"/>
    <n v="1110000"/>
  </r>
  <r>
    <s v="2063"/>
    <s v="V"/>
    <x v="3"/>
    <x v="1"/>
    <x v="3"/>
    <s v="C"/>
    <m/>
    <m/>
    <x v="62"/>
    <d v="2024-09-18T00:00:00"/>
    <d v="2024-10-08T00:00:00"/>
    <n v="1110000"/>
  </r>
  <r>
    <s v="2064"/>
    <s v="V"/>
    <x v="3"/>
    <x v="1"/>
    <x v="3"/>
    <s v="C"/>
    <m/>
    <m/>
    <x v="62"/>
    <d v="2024-09-19T00:00:00"/>
    <d v="2024-10-08T00:00:00"/>
    <n v="2490000"/>
  </r>
  <r>
    <s v="2065"/>
    <s v="V"/>
    <x v="3"/>
    <x v="1"/>
    <x v="3"/>
    <s v="C"/>
    <m/>
    <m/>
    <x v="62"/>
    <d v="2024-09-20T00:00:00"/>
    <d v="2024-10-08T00:00:00"/>
    <n v="810000"/>
  </r>
  <r>
    <s v="2066"/>
    <s v="V"/>
    <x v="3"/>
    <x v="1"/>
    <x v="3"/>
    <s v="C"/>
    <m/>
    <m/>
    <x v="62"/>
    <d v="2024-09-23T00:00:00"/>
    <d v="2024-10-08T00:00:00"/>
    <n v="2220000"/>
  </r>
  <r>
    <s v="2067"/>
    <s v="V"/>
    <x v="3"/>
    <x v="1"/>
    <x v="3"/>
    <s v="C"/>
    <m/>
    <m/>
    <x v="62"/>
    <d v="2024-09-30T00:00:00"/>
    <d v="2024-10-16T00:00:00"/>
    <n v="3870000"/>
  </r>
  <r>
    <s v="2068"/>
    <s v="V"/>
    <x v="3"/>
    <x v="1"/>
    <x v="3"/>
    <s v="C"/>
    <m/>
    <m/>
    <x v="62"/>
    <d v="2024-10-02T00:00:00"/>
    <d v="2024-10-16T00:00:00"/>
    <n v="1110000"/>
  </r>
  <r>
    <s v="2069"/>
    <s v="V"/>
    <x v="3"/>
    <x v="1"/>
    <x v="3"/>
    <s v="C"/>
    <m/>
    <m/>
    <x v="62"/>
    <d v="2024-10-03T00:00:00"/>
    <d v="2024-10-16T00:00:00"/>
    <n v="1080000"/>
  </r>
  <r>
    <s v="2070"/>
    <s v="V"/>
    <x v="3"/>
    <x v="1"/>
    <x v="3"/>
    <s v="C"/>
    <m/>
    <m/>
    <x v="62"/>
    <d v="2024-10-21T00:00:00"/>
    <d v="2024-11-16T00:00:00"/>
    <n v="10460000"/>
  </r>
  <r>
    <s v="2071"/>
    <s v="V"/>
    <x v="3"/>
    <x v="1"/>
    <x v="3"/>
    <s v="C"/>
    <m/>
    <m/>
    <x v="62"/>
    <d v="2024-10-31T00:00:00"/>
    <d v="2024-11-16T00:00:00"/>
    <n v="7770000"/>
  </r>
  <r>
    <s v="2072"/>
    <s v="V"/>
    <x v="3"/>
    <x v="1"/>
    <x v="3"/>
    <s v="C"/>
    <m/>
    <m/>
    <x v="62"/>
    <d v="2024-11-14T00:00:00"/>
    <d v="2024-12-09T00:00:00"/>
    <n v="4710000"/>
  </r>
  <r>
    <s v="2073"/>
    <s v="V"/>
    <x v="3"/>
    <x v="1"/>
    <x v="3"/>
    <s v="C"/>
    <m/>
    <m/>
    <x v="62"/>
    <d v="2024-11-18T00:00:00"/>
    <d v="2024-12-09T00:00:00"/>
    <n v="1110000"/>
  </r>
  <r>
    <s v="2074"/>
    <s v="V"/>
    <x v="3"/>
    <x v="1"/>
    <x v="3"/>
    <s v="C"/>
    <m/>
    <m/>
    <x v="62"/>
    <d v="2024-11-20T00:00:00"/>
    <d v="2024-12-09T00:00:00"/>
    <n v="1110000"/>
  </r>
  <r>
    <s v="2075"/>
    <s v="V"/>
    <x v="3"/>
    <x v="1"/>
    <x v="3"/>
    <s v="C"/>
    <m/>
    <m/>
    <x v="62"/>
    <d v="2024-11-21T00:00:00"/>
    <d v="2024-12-09T00:00:00"/>
    <n v="1110000"/>
  </r>
  <r>
    <s v="2076"/>
    <s v="V"/>
    <x v="3"/>
    <x v="1"/>
    <x v="3"/>
    <s v="C"/>
    <m/>
    <m/>
    <x v="62"/>
    <d v="2024-12-02T00:00:00"/>
    <d v="2024-12-09T00:00:00"/>
    <n v="2220000"/>
  </r>
  <r>
    <s v="2077"/>
    <s v="V"/>
    <x v="3"/>
    <x v="1"/>
    <x v="3"/>
    <s v="C"/>
    <m/>
    <m/>
    <x v="62"/>
    <d v="2024-12-10T00:00:00"/>
    <d v="2025-01-21T00:00:00"/>
    <n v="270000"/>
  </r>
  <r>
    <s v="2078"/>
    <s v="V"/>
    <x v="3"/>
    <x v="1"/>
    <x v="3"/>
    <s v="C"/>
    <m/>
    <m/>
    <x v="62"/>
    <d v="2024-12-11T00:00:00"/>
    <d v="2025-01-21T00:00:00"/>
    <n v="1370000"/>
  </r>
  <r>
    <s v="2079"/>
    <s v="V"/>
    <x v="3"/>
    <x v="1"/>
    <x v="3"/>
    <s v="C"/>
    <m/>
    <m/>
    <x v="62"/>
    <d v="2024-12-11T00:00:00"/>
    <d v="2025-01-21T00:00:00"/>
    <n v="850000"/>
  </r>
  <r>
    <s v="2080"/>
    <s v="V"/>
    <x v="3"/>
    <x v="1"/>
    <x v="3"/>
    <s v="C"/>
    <m/>
    <m/>
    <x v="62"/>
    <d v="2024-12-13T00:00:00"/>
    <d v="2025-01-21T00:00:00"/>
    <n v="1110000"/>
  </r>
  <r>
    <s v="2081"/>
    <s v="V"/>
    <x v="3"/>
    <x v="1"/>
    <x v="3"/>
    <s v="C"/>
    <m/>
    <m/>
    <x v="62"/>
    <d v="2024-12-31T00:00:00"/>
    <d v="2025-01-21T00:00:00"/>
    <n v="2220000"/>
  </r>
  <r>
    <s v="2082"/>
    <s v="V"/>
    <x v="1"/>
    <x v="1"/>
    <x v="3"/>
    <s v="C"/>
    <m/>
    <m/>
    <x v="62"/>
    <d v="2025-01-06T00:00:00"/>
    <d v="2025-01-21T00:00:00"/>
    <n v="745400"/>
  </r>
  <r>
    <s v="2083"/>
    <s v="V"/>
    <x v="1"/>
    <x v="1"/>
    <x v="3"/>
    <s v="C"/>
    <m/>
    <m/>
    <x v="62"/>
    <d v="2025-01-08T00:00:00"/>
    <d v="2025-01-21T00:00:00"/>
    <n v="444000"/>
  </r>
  <r>
    <s v="2084"/>
    <s v="V"/>
    <x v="1"/>
    <x v="1"/>
    <x v="3"/>
    <s v="C"/>
    <m/>
    <m/>
    <x v="62"/>
    <d v="2025-01-10T00:00:00"/>
    <d v="2025-01-21T00:00:00"/>
    <n v="1135000"/>
  </r>
  <r>
    <s v="2085"/>
    <s v="V"/>
    <x v="1"/>
    <x v="1"/>
    <x v="3"/>
    <s v="C"/>
    <m/>
    <m/>
    <x v="62"/>
    <d v="2025-01-17T00:00:00"/>
    <d v="2025-03-15T00:00:00"/>
    <n v="740000"/>
  </r>
  <r>
    <s v="2086"/>
    <s v="V"/>
    <x v="1"/>
    <x v="1"/>
    <x v="3"/>
    <s v="C"/>
    <m/>
    <m/>
    <x v="62"/>
    <d v="2025-01-18T00:00:00"/>
    <d v="2025-03-15T00:00:00"/>
    <n v="1754400"/>
  </r>
  <r>
    <s v="2087"/>
    <s v="V"/>
    <x v="1"/>
    <x v="1"/>
    <x v="3"/>
    <s v="C"/>
    <m/>
    <m/>
    <x v="62"/>
    <d v="2025-01-18T00:00:00"/>
    <d v="2025-03-15T00:00:00"/>
    <n v="904400"/>
  </r>
  <r>
    <s v="2088"/>
    <s v="V"/>
    <x v="1"/>
    <x v="1"/>
    <x v="3"/>
    <s v="C"/>
    <m/>
    <m/>
    <x v="62"/>
    <d v="2025-01-24T00:00:00"/>
    <d v="2025-03-15T00:00:00"/>
    <n v="1298000"/>
  </r>
  <r>
    <s v="2089"/>
    <s v="V"/>
    <x v="1"/>
    <x v="1"/>
    <x v="3"/>
    <s v="C"/>
    <m/>
    <m/>
    <x v="62"/>
    <d v="2025-01-28T00:00:00"/>
    <d v="2025-03-15T00:00:00"/>
    <n v="6437800"/>
  </r>
  <r>
    <s v="2090"/>
    <s v="V"/>
    <x v="1"/>
    <x v="1"/>
    <x v="3"/>
    <s v="C"/>
    <m/>
    <m/>
    <x v="62"/>
    <d v="2025-01-30T00:00:00"/>
    <d v="2025-03-15T00:00:00"/>
    <n v="3784000"/>
  </r>
  <r>
    <s v="2091"/>
    <s v="V"/>
    <x v="1"/>
    <x v="1"/>
    <x v="3"/>
    <s v="C"/>
    <m/>
    <m/>
    <x v="62"/>
    <d v="2025-01-31T00:00:00"/>
    <d v="2025-03-15T00:00:00"/>
    <n v="242400"/>
  </r>
  <r>
    <s v="2092"/>
    <s v="V"/>
    <x v="1"/>
    <x v="1"/>
    <x v="3"/>
    <s v="C"/>
    <m/>
    <m/>
    <x v="62"/>
    <d v="2025-02-03T00:00:00"/>
    <d v="2025-03-15T00:00:00"/>
    <n v="2013000"/>
  </r>
  <r>
    <s v="2093"/>
    <s v="V"/>
    <x v="1"/>
    <x v="1"/>
    <x v="3"/>
    <s v="C"/>
    <m/>
    <m/>
    <x v="62"/>
    <d v="2025-02-06T00:00:00"/>
    <d v="2025-03-15T00:00:00"/>
    <n v="3963400"/>
  </r>
  <r>
    <s v="2094"/>
    <s v="V"/>
    <x v="1"/>
    <x v="1"/>
    <x v="3"/>
    <s v="C"/>
    <m/>
    <m/>
    <x v="62"/>
    <d v="2025-02-08T00:00:00"/>
    <d v="2025-03-15T00:00:00"/>
    <n v="572000"/>
  </r>
  <r>
    <s v="2095"/>
    <s v="V"/>
    <x v="1"/>
    <x v="1"/>
    <x v="3"/>
    <s v="C"/>
    <m/>
    <m/>
    <x v="62"/>
    <d v="2025-02-08T00:00:00"/>
    <d v="2025-03-15T00:00:00"/>
    <n v="1275000"/>
  </r>
  <r>
    <s v="2096"/>
    <s v="V"/>
    <x v="1"/>
    <x v="1"/>
    <x v="3"/>
    <s v="C"/>
    <m/>
    <m/>
    <x v="62"/>
    <d v="2025-02-12T00:00:00"/>
    <d v="2025-03-15T00:00:00"/>
    <n v="1511200"/>
  </r>
  <r>
    <s v="2097"/>
    <s v="V"/>
    <x v="1"/>
    <x v="1"/>
    <x v="3"/>
    <s v="C"/>
    <m/>
    <m/>
    <x v="62"/>
    <d v="2025-02-12T00:00:00"/>
    <d v="2025-03-15T00:00:00"/>
    <n v="2289200"/>
  </r>
  <r>
    <s v="2098"/>
    <s v="V"/>
    <x v="1"/>
    <x v="1"/>
    <x v="3"/>
    <s v="C"/>
    <m/>
    <m/>
    <x v="62"/>
    <d v="2025-02-15T00:00:00"/>
    <d v="2025-03-15T00:00:00"/>
    <n v="3116400"/>
  </r>
  <r>
    <s v="2099"/>
    <s v="V"/>
    <x v="1"/>
    <x v="1"/>
    <x v="3"/>
    <s v="C"/>
    <m/>
    <m/>
    <x v="62"/>
    <d v="2025-02-15T00:00:00"/>
    <d v="2025-03-15T00:00:00"/>
    <n v="395000"/>
  </r>
  <r>
    <s v="2100"/>
    <s v="V"/>
    <x v="1"/>
    <x v="1"/>
    <x v="3"/>
    <s v="C"/>
    <m/>
    <m/>
    <x v="62"/>
    <d v="2025-02-20T00:00:00"/>
    <d v="2025-03-15T00:00:00"/>
    <n v="5384200"/>
  </r>
  <r>
    <s v="2101"/>
    <s v="V"/>
    <x v="1"/>
    <x v="1"/>
    <x v="3"/>
    <s v="C"/>
    <m/>
    <m/>
    <x v="62"/>
    <d v="2025-02-20T00:00:00"/>
    <d v="2025-03-15T00:00:00"/>
    <n v="1526000"/>
  </r>
  <r>
    <s v="2102"/>
    <s v="V"/>
    <x v="1"/>
    <x v="1"/>
    <x v="3"/>
    <s v="C"/>
    <m/>
    <m/>
    <x v="62"/>
    <d v="2025-01-16T00:00:00"/>
    <d v="2025-04-08T00:00:00"/>
    <n v="4825000"/>
  </r>
  <r>
    <s v="2103"/>
    <s v="V"/>
    <x v="1"/>
    <x v="1"/>
    <x v="3"/>
    <s v="C"/>
    <m/>
    <m/>
    <x v="62"/>
    <d v="2025-02-28T00:00:00"/>
    <d v="2025-04-08T00:00:00"/>
    <n v="5956528"/>
  </r>
  <r>
    <s v="2104"/>
    <s v="V"/>
    <x v="1"/>
    <x v="1"/>
    <x v="3"/>
    <s v="C"/>
    <m/>
    <m/>
    <x v="62"/>
    <d v="2025-03-12T00:00:00"/>
    <d v="2025-04-08T00:00:00"/>
    <n v="7413400"/>
  </r>
  <r>
    <s v="2105"/>
    <s v="V"/>
    <x v="1"/>
    <x v="2"/>
    <x v="3"/>
    <s v="C"/>
    <m/>
    <m/>
    <x v="62"/>
    <d v="2025-03-14T00:00:00"/>
    <d v="2025-04-08T00:00:00"/>
    <n v="1136400"/>
  </r>
  <r>
    <s v="2106"/>
    <s v="V"/>
    <x v="1"/>
    <x v="2"/>
    <x v="3"/>
    <s v="C"/>
    <m/>
    <m/>
    <x v="62"/>
    <d v="2025-03-22T00:00:00"/>
    <d v="2025-04-12T00:00:00"/>
    <n v="1110000"/>
  </r>
  <r>
    <s v="2107"/>
    <s v="V"/>
    <x v="1"/>
    <x v="2"/>
    <x v="3"/>
    <s v="C"/>
    <m/>
    <m/>
    <x v="62"/>
    <d v="2025-03-22T00:00:00"/>
    <d v="2025-04-12T00:00:00"/>
    <n v="2220000"/>
  </r>
  <r>
    <s v="2108"/>
    <s v="V"/>
    <x v="1"/>
    <x v="2"/>
    <x v="3"/>
    <s v="C"/>
    <m/>
    <m/>
    <x v="62"/>
    <d v="2025-01-28T00:00:00"/>
    <d v="2025-04-14T00:00:00"/>
    <n v="3431400"/>
  </r>
  <r>
    <s v="2109"/>
    <s v="V"/>
    <x v="1"/>
    <x v="2"/>
    <x v="3"/>
    <s v="C"/>
    <m/>
    <m/>
    <x v="62"/>
    <d v="2025-02-22T00:00:00"/>
    <d v="2025-04-14T00:00:00"/>
    <n v="2175000"/>
  </r>
  <r>
    <s v="2110"/>
    <s v="V"/>
    <x v="1"/>
    <x v="2"/>
    <x v="3"/>
    <s v="C"/>
    <m/>
    <m/>
    <x v="62"/>
    <d v="2025-02-26T00:00:00"/>
    <d v="2025-04-14T00:00:00"/>
    <n v="2701400"/>
  </r>
  <r>
    <s v="2111"/>
    <s v="V"/>
    <x v="1"/>
    <x v="2"/>
    <x v="3"/>
    <s v="C"/>
    <m/>
    <m/>
    <x v="62"/>
    <d v="2025-03-03T00:00:00"/>
    <d v="2025-04-14T00:00:00"/>
    <n v="5910400"/>
  </r>
  <r>
    <s v="2112"/>
    <s v="V"/>
    <x v="1"/>
    <x v="2"/>
    <x v="3"/>
    <s v="C"/>
    <m/>
    <m/>
    <x v="62"/>
    <d v="2025-03-05T00:00:00"/>
    <d v="2025-04-14T00:00:00"/>
    <n v="5593000"/>
  </r>
  <r>
    <s v="2113"/>
    <s v="V"/>
    <x v="1"/>
    <x v="2"/>
    <x v="3"/>
    <s v="C"/>
    <m/>
    <m/>
    <x v="62"/>
    <d v="2025-03-07T00:00:00"/>
    <d v="2025-04-14T00:00:00"/>
    <n v="2611200"/>
  </r>
  <r>
    <s v="2114"/>
    <s v="V"/>
    <x v="1"/>
    <x v="2"/>
    <x v="3"/>
    <s v="C"/>
    <m/>
    <m/>
    <x v="62"/>
    <d v="2025-03-19T00:00:00"/>
    <d v="2025-04-14T00:00:00"/>
    <n v="7065400"/>
  </r>
  <r>
    <s v="2115"/>
    <s v="V"/>
    <x v="1"/>
    <x v="2"/>
    <x v="3"/>
    <s v="C"/>
    <m/>
    <m/>
    <x v="62"/>
    <d v="2025-04-10T00:00:00"/>
    <d v="2025-04-29T00:00:00"/>
    <n v="2220000"/>
  </r>
  <r>
    <s v="2116"/>
    <s v="V"/>
    <x v="1"/>
    <x v="2"/>
    <x v="3"/>
    <s v="C"/>
    <m/>
    <m/>
    <x v="62"/>
    <d v="2025-04-11T00:00:00"/>
    <d v="2025-04-29T00:00:00"/>
    <n v="2220000"/>
  </r>
  <r>
    <s v="2117"/>
    <s v="V"/>
    <x v="1"/>
    <x v="2"/>
    <x v="3"/>
    <s v="C"/>
    <m/>
    <m/>
    <x v="62"/>
    <d v="2025-04-16T00:00:00"/>
    <d v="2025-04-29T00:00:00"/>
    <n v="1380000"/>
  </r>
  <r>
    <s v="2118"/>
    <s v="V"/>
    <x v="1"/>
    <x v="2"/>
    <x v="3"/>
    <s v="C"/>
    <m/>
    <m/>
    <x v="62"/>
    <d v="2025-04-17T00:00:00"/>
    <d v="2025-04-29T00:00:00"/>
    <n v="1110000"/>
  </r>
  <r>
    <s v="2119"/>
    <s v="V"/>
    <x v="1"/>
    <x v="2"/>
    <x v="3"/>
    <s v="C"/>
    <m/>
    <m/>
    <x v="62"/>
    <d v="2025-04-22T00:00:00"/>
    <d v="2026-05-20T00:00:00"/>
    <n v="1110000"/>
  </r>
  <r>
    <s v="2120"/>
    <s v="V"/>
    <x v="1"/>
    <x v="2"/>
    <x v="3"/>
    <s v="C"/>
    <m/>
    <m/>
    <x v="62"/>
    <d v="2025-04-23T00:00:00"/>
    <d v="2026-05-20T00:00:00"/>
    <n v="270000"/>
  </r>
  <r>
    <s v="2121"/>
    <s v="V"/>
    <x v="1"/>
    <x v="2"/>
    <x v="3"/>
    <s v="C"/>
    <m/>
    <m/>
    <x v="62"/>
    <d v="2025-04-28T00:00:00"/>
    <d v="2026-05-20T00:00:00"/>
    <n v="270000"/>
  </r>
  <r>
    <s v="2122"/>
    <s v="V"/>
    <x v="1"/>
    <x v="2"/>
    <x v="3"/>
    <s v="C"/>
    <m/>
    <m/>
    <x v="62"/>
    <d v="2025-04-30T00:00:00"/>
    <d v="2026-05-20T00:00:00"/>
    <n v="1110000"/>
  </r>
  <r>
    <s v="2123"/>
    <s v="V"/>
    <x v="1"/>
    <x v="2"/>
    <x v="3"/>
    <s v="C"/>
    <m/>
    <m/>
    <x v="62"/>
    <d v="2025-05-03T00:00:00"/>
    <d v="2026-05-20T00:00:00"/>
    <n v="1179000"/>
  </r>
  <r>
    <s v="2124"/>
    <s v="V"/>
    <x v="1"/>
    <x v="2"/>
    <x v="3"/>
    <s v="C"/>
    <m/>
    <m/>
    <x v="62"/>
    <d v="2025-05-07T00:00:00"/>
    <d v="2025-05-23T00:00:00"/>
    <n v="2490000"/>
  </r>
  <r>
    <s v="2125"/>
    <s v="V"/>
    <x v="1"/>
    <x v="2"/>
    <x v="3"/>
    <s v="C"/>
    <m/>
    <m/>
    <x v="62"/>
    <d v="2025-05-10T00:00:00"/>
    <d v="2025-05-23T00:00:00"/>
    <n v="1380000"/>
  </r>
  <r>
    <s v="2126"/>
    <s v="V"/>
    <x v="1"/>
    <x v="2"/>
    <x v="3"/>
    <s v="C"/>
    <m/>
    <m/>
    <x v="62"/>
    <d v="2025-05-19T00:00:00"/>
    <d v="2025-06-12T00:00:00"/>
    <n v="1380000"/>
  </r>
  <r>
    <s v="2127"/>
    <s v="V"/>
    <x v="1"/>
    <x v="2"/>
    <x v="3"/>
    <s v="C"/>
    <m/>
    <m/>
    <x v="62"/>
    <d v="2025-05-26T00:00:00"/>
    <d v="2025-06-12T00:00:00"/>
    <n v="1650000"/>
  </r>
  <r>
    <s v="2128"/>
    <s v="V"/>
    <x v="1"/>
    <x v="2"/>
    <x v="3"/>
    <s v="C"/>
    <m/>
    <m/>
    <x v="62"/>
    <d v="2025-05-21T00:00:00"/>
    <d v="2025-06-12T00:00:00"/>
    <n v="1380000"/>
  </r>
  <r>
    <s v="2129"/>
    <s v="V"/>
    <x v="1"/>
    <x v="2"/>
    <x v="3"/>
    <s v="C"/>
    <m/>
    <m/>
    <x v="62"/>
    <d v="2025-06-02T00:00:00"/>
    <d v="2025-06-12T00:00:00"/>
    <n v="1110000"/>
  </r>
  <r>
    <s v="2130"/>
    <s v="V"/>
    <x v="1"/>
    <x v="2"/>
    <x v="3"/>
    <s v="C"/>
    <m/>
    <m/>
    <x v="62"/>
    <d v="2025-06-02T00:00:00"/>
    <d v="2025-06-12T00:00:00"/>
    <n v="270000"/>
  </r>
  <r>
    <s v="2131"/>
    <s v="V"/>
    <x v="1"/>
    <x v="2"/>
    <x v="3"/>
    <s v="C"/>
    <m/>
    <m/>
    <x v="62"/>
    <d v="2025-06-13T00:00:00"/>
    <d v="2025-07-16T00:00:00"/>
    <n v="3870000"/>
  </r>
  <r>
    <s v="2132"/>
    <s v="V"/>
    <x v="1"/>
    <x v="2"/>
    <x v="3"/>
    <s v="C"/>
    <m/>
    <m/>
    <x v="62"/>
    <d v="2025-06-17T00:00:00"/>
    <d v="2025-07-16T00:00:00"/>
    <n v="270000"/>
  </r>
  <r>
    <s v="2133"/>
    <s v="V"/>
    <x v="1"/>
    <x v="2"/>
    <x v="3"/>
    <s v="C"/>
    <m/>
    <m/>
    <x v="62"/>
    <d v="2025-06-17T00:00:00"/>
    <d v="2025-07-16T00:00:00"/>
    <n v="1380000"/>
  </r>
  <r>
    <s v="2134"/>
    <s v="V"/>
    <x v="1"/>
    <x v="2"/>
    <x v="3"/>
    <s v="C"/>
    <m/>
    <m/>
    <x v="62"/>
    <d v="2025-06-21T00:00:00"/>
    <d v="2025-07-16T00:00:00"/>
    <n v="540000"/>
  </r>
  <r>
    <s v="2135"/>
    <s v="V"/>
    <x v="1"/>
    <x v="2"/>
    <x v="3"/>
    <s v="C"/>
    <m/>
    <m/>
    <x v="62"/>
    <d v="2025-06-22T00:00:00"/>
    <d v="2025-07-16T00:00:00"/>
    <n v="1110000"/>
  </r>
  <r>
    <s v="2136"/>
    <s v="V"/>
    <x v="1"/>
    <x v="2"/>
    <x v="3"/>
    <s v="C"/>
    <m/>
    <m/>
    <x v="62"/>
    <d v="2025-06-24T00:00:00"/>
    <d v="2025-07-16T00:00:00"/>
    <n v="1110000"/>
  </r>
  <r>
    <s v="2137"/>
    <s v="V"/>
    <x v="1"/>
    <x v="2"/>
    <x v="3"/>
    <s v="C"/>
    <m/>
    <m/>
    <x v="62"/>
    <d v="2025-06-25T00:00:00"/>
    <d v="2025-07-16T00:00:00"/>
    <n v="1110000"/>
  </r>
  <r>
    <s v="2138"/>
    <s v="V"/>
    <x v="1"/>
    <x v="2"/>
    <x v="3"/>
    <s v="C"/>
    <m/>
    <m/>
    <x v="62"/>
    <d v="2025-06-30T00:00:00"/>
    <d v="2025-07-16T00:00:00"/>
    <n v="270000"/>
  </r>
  <r>
    <s v="2139"/>
    <s v="V"/>
    <x v="1"/>
    <x v="2"/>
    <x v="3"/>
    <s v="C"/>
    <m/>
    <m/>
    <x v="62"/>
    <d v="2025-06-30T00:00:00"/>
    <d v="2025-08-27T00:00:00"/>
    <n v="1110000"/>
  </r>
  <r>
    <s v="2140"/>
    <s v="V"/>
    <x v="1"/>
    <x v="2"/>
    <x v="3"/>
    <s v="C"/>
    <m/>
    <m/>
    <x v="62"/>
    <d v="2025-07-08T00:00:00"/>
    <d v="2025-08-27T00:00:00"/>
    <n v="1110000"/>
  </r>
  <r>
    <s v="2141"/>
    <s v="V"/>
    <x v="1"/>
    <x v="2"/>
    <x v="3"/>
    <s v="C"/>
    <m/>
    <m/>
    <x v="62"/>
    <d v="2025-07-15T00:00:00"/>
    <d v="2025-08-27T00:00:00"/>
    <n v="1110000"/>
  </r>
  <r>
    <s v="2142"/>
    <s v="V"/>
    <x v="1"/>
    <x v="2"/>
    <x v="3"/>
    <s v="C"/>
    <m/>
    <m/>
    <x v="62"/>
    <d v="2025-07-15T00:00:00"/>
    <d v="2025-08-27T00:00:00"/>
    <n v="1110000"/>
  </r>
  <r>
    <s v="2143"/>
    <s v="V"/>
    <x v="1"/>
    <x v="2"/>
    <x v="3"/>
    <s v="C"/>
    <m/>
    <m/>
    <x v="62"/>
    <d v="2025-07-19T00:00:00"/>
    <d v="2025-08-27T00:00:00"/>
    <n v="4410000"/>
  </r>
  <r>
    <s v="2144"/>
    <s v="V"/>
    <x v="1"/>
    <x v="2"/>
    <x v="3"/>
    <s v="C"/>
    <m/>
    <m/>
    <x v="62"/>
    <d v="2025-07-31T00:00:00"/>
    <d v="2025-08-27T00:00:00"/>
    <n v="3330000"/>
  </r>
  <r>
    <s v="2145"/>
    <s v="V"/>
    <x v="1"/>
    <x v="2"/>
    <x v="3"/>
    <s v="C"/>
    <m/>
    <m/>
    <x v="62"/>
    <d v="2025-07-31T00:00:00"/>
    <d v="2025-08-27T00:00:00"/>
    <n v="1110000"/>
  </r>
  <r>
    <s v="2146"/>
    <s v="V"/>
    <x v="1"/>
    <x v="2"/>
    <x v="3"/>
    <s v="C"/>
    <m/>
    <m/>
    <x v="62"/>
    <d v="2025-07-31T00:00:00"/>
    <d v="2025-08-27T00:00:00"/>
    <n v="1110000"/>
  </r>
  <r>
    <s v="2147"/>
    <s v="V"/>
    <x v="1"/>
    <x v="2"/>
    <x v="3"/>
    <s v="C"/>
    <m/>
    <m/>
    <x v="62"/>
    <d v="2025-08-04T00:00:00"/>
    <d v="2025-08-27T00:00:00"/>
    <n v="1110000"/>
  </r>
  <r>
    <s v="2148"/>
    <s v="V"/>
    <x v="1"/>
    <x v="2"/>
    <x v="3"/>
    <s v="C"/>
    <m/>
    <m/>
    <x v="62"/>
    <d v="2025-08-04T00:00:00"/>
    <d v="2025-08-27T00:00:00"/>
    <n v="1110000"/>
  </r>
  <r>
    <s v="2149"/>
    <s v="V"/>
    <x v="1"/>
    <x v="2"/>
    <x v="3"/>
    <s v="C"/>
    <m/>
    <m/>
    <x v="62"/>
    <d v="2025-08-04T00:00:00"/>
    <d v="2025-08-27T00:00:00"/>
    <n v="1110000"/>
  </r>
  <r>
    <s v="2150"/>
    <s v="V"/>
    <x v="1"/>
    <x v="2"/>
    <x v="3"/>
    <s v="C"/>
    <m/>
    <m/>
    <x v="62"/>
    <d v="2025-08-13T00:00:00"/>
    <d v="2025-08-27T00:00:00"/>
    <n v="2220000"/>
  </r>
  <r>
    <s v="2151"/>
    <s v="V"/>
    <x v="1"/>
    <x v="2"/>
    <x v="3"/>
    <s v="C"/>
    <m/>
    <m/>
    <x v="62"/>
    <d v="2025-08-14T00:00:00"/>
    <d v="2025-10-17T00:00:00"/>
    <n v="3870000"/>
  </r>
  <r>
    <s v="2152"/>
    <s v="V"/>
    <x v="1"/>
    <x v="2"/>
    <x v="3"/>
    <s v="C"/>
    <m/>
    <m/>
    <x v="62"/>
    <d v="2025-08-22T00:00:00"/>
    <d v="2025-10-17T00:00:00"/>
    <n v="1110000"/>
  </r>
  <r>
    <s v="2153"/>
    <s v="V"/>
    <x v="1"/>
    <x v="2"/>
    <x v="3"/>
    <s v="C"/>
    <m/>
    <m/>
    <x v="62"/>
    <d v="2025-08-22T00:00:00"/>
    <d v="2025-10-17T00:00:00"/>
    <n v="2220000"/>
  </r>
  <r>
    <s v="2154"/>
    <s v="V"/>
    <x v="1"/>
    <x v="2"/>
    <x v="3"/>
    <s v="C"/>
    <m/>
    <m/>
    <x v="62"/>
    <d v="2025-08-28T00:00:00"/>
    <d v="2025-10-17T00:00:00"/>
    <n v="2220000"/>
  </r>
  <r>
    <s v="2155"/>
    <s v="V"/>
    <x v="1"/>
    <x v="2"/>
    <x v="3"/>
    <s v="C"/>
    <m/>
    <m/>
    <x v="62"/>
    <d v="2025-08-28T00:00:00"/>
    <d v="2025-10-17T00:00:00"/>
    <n v="2220000"/>
  </r>
  <r>
    <s v="2156"/>
    <s v="V"/>
    <x v="1"/>
    <x v="2"/>
    <x v="3"/>
    <s v="C"/>
    <m/>
    <m/>
    <x v="62"/>
    <d v="2025-08-28T00:00:00"/>
    <d v="2025-10-17T00:00:00"/>
    <n v="1110000"/>
  </r>
  <r>
    <s v="2157"/>
    <s v="V"/>
    <x v="1"/>
    <x v="2"/>
    <x v="3"/>
    <s v="C"/>
    <m/>
    <m/>
    <x v="62"/>
    <d v="2025-08-28T00:00:00"/>
    <d v="2025-10-17T00:00:00"/>
    <n v="1110000"/>
  </r>
  <r>
    <s v="2158"/>
    <s v="V"/>
    <x v="1"/>
    <x v="2"/>
    <x v="3"/>
    <s v="C"/>
    <m/>
    <m/>
    <x v="62"/>
    <d v="2025-08-28T00:00:00"/>
    <d v="2025-10-17T00:00:00"/>
    <n v="1110000"/>
  </r>
  <r>
    <s v="2159"/>
    <s v="V"/>
    <x v="1"/>
    <x v="2"/>
    <x v="3"/>
    <s v="C"/>
    <m/>
    <m/>
    <x v="62"/>
    <d v="2025-08-30T00:00:00"/>
    <d v="2025-10-17T00:00:00"/>
    <n v="1110000"/>
  </r>
  <r>
    <s v="2160"/>
    <s v="V"/>
    <x v="1"/>
    <x v="2"/>
    <x v="3"/>
    <s v="C"/>
    <m/>
    <m/>
    <x v="62"/>
    <d v="2025-09-04T00:00:00"/>
    <d v="2025-10-17T00:00:00"/>
    <n v="1110000"/>
  </r>
  <r>
    <s v="2161"/>
    <s v="V"/>
    <x v="1"/>
    <x v="2"/>
    <x v="3"/>
    <s v="C"/>
    <m/>
    <m/>
    <x v="62"/>
    <d v="2025-09-09T00:00:00"/>
    <d v="2025-10-17T00:00:00"/>
    <n v="2220000"/>
  </r>
  <r>
    <s v="2162"/>
    <s v="V"/>
    <x v="1"/>
    <x v="2"/>
    <x v="3"/>
    <s v="C"/>
    <m/>
    <m/>
    <x v="62"/>
    <d v="2025-09-16T00:00:00"/>
    <d v="2025-10-17T00:00:00"/>
    <n v="270000"/>
  </r>
  <r>
    <s v="2163"/>
    <s v="V"/>
    <x v="1"/>
    <x v="2"/>
    <x v="3"/>
    <s v="C"/>
    <m/>
    <m/>
    <x v="62"/>
    <d v="2025-09-16T00:00:00"/>
    <d v="2025-10-17T00:00:00"/>
    <n v="1110000"/>
  </r>
  <r>
    <s v="2164"/>
    <s v="V"/>
    <x v="1"/>
    <x v="2"/>
    <x v="3"/>
    <s v="C"/>
    <m/>
    <m/>
    <x v="62"/>
    <d v="2025-09-16T00:00:00"/>
    <d v="2025-10-17T00:00:00"/>
    <n v="1110000"/>
  </r>
  <r>
    <s v="2165"/>
    <s v="V"/>
    <x v="1"/>
    <x v="2"/>
    <x v="3"/>
    <s v="C"/>
    <m/>
    <m/>
    <x v="62"/>
    <d v="2025-09-23T00:00:00"/>
    <d v="2025-10-17T00:00:00"/>
    <n v="1110000"/>
  </r>
  <r>
    <s v="2166"/>
    <s v="V"/>
    <x v="1"/>
    <x v="2"/>
    <x v="3"/>
    <s v="C"/>
    <m/>
    <m/>
    <x v="62"/>
    <d v="2025-09-23T00:00:00"/>
    <d v="2025-10-17T00:00:00"/>
    <n v="1110000"/>
  </r>
  <r>
    <s v="2167"/>
    <s v="V"/>
    <x v="1"/>
    <x v="2"/>
    <x v="3"/>
    <s v="C"/>
    <m/>
    <m/>
    <x v="62"/>
    <d v="2025-09-30T00:00:00"/>
    <d v="2025-10-17T00:00:00"/>
    <n v="1110000"/>
  </r>
  <r>
    <s v="2168"/>
    <s v="V"/>
    <x v="1"/>
    <x v="2"/>
    <x v="3"/>
    <s v="C"/>
    <m/>
    <m/>
    <x v="62"/>
    <d v="2025-09-30T00:00:00"/>
    <d v="2025-10-17T00:00:00"/>
    <n v="1110000"/>
  </r>
  <r>
    <s v="2169"/>
    <s v="V"/>
    <x v="1"/>
    <x v="2"/>
    <x v="3"/>
    <s v="C"/>
    <m/>
    <m/>
    <x v="62"/>
    <d v="2025-09-30T00:00:00"/>
    <d v="2025-10-17T00:00:00"/>
    <n v="1110000"/>
  </r>
  <r>
    <s v="2170"/>
    <s v="V"/>
    <x v="1"/>
    <x v="2"/>
    <x v="3"/>
    <s v="C"/>
    <m/>
    <m/>
    <x v="62"/>
    <d v="2025-09-30T00:00:00"/>
    <d v="2025-10-17T00:00:00"/>
    <n v="1110000"/>
  </r>
  <r>
    <s v="2171"/>
    <s v="V"/>
    <x v="1"/>
    <x v="2"/>
    <x v="3"/>
    <s v="C"/>
    <m/>
    <m/>
    <x v="62"/>
    <d v="2025-09-30T00:00:00"/>
    <d v="2025-10-17T00:00:00"/>
    <n v="1110000"/>
  </r>
  <r>
    <s v="2172"/>
    <s v="V"/>
    <x v="1"/>
    <x v="2"/>
    <x v="3"/>
    <s v="C"/>
    <m/>
    <m/>
    <x v="62"/>
    <d v="2025-09-30T00:00:00"/>
    <d v="2025-10-17T00:00:00"/>
    <n v="1110000"/>
  </r>
  <r>
    <s v="2173"/>
    <s v="V"/>
    <x v="1"/>
    <x v="2"/>
    <x v="3"/>
    <s v="C"/>
    <m/>
    <m/>
    <x v="62"/>
    <d v="2025-09-30T00:00:00"/>
    <d v="2025-10-17T00:00:00"/>
    <n v="2220000"/>
  </r>
  <r>
    <s v="2174"/>
    <s v="V"/>
    <x v="1"/>
    <x v="2"/>
    <x v="3"/>
    <s v="C"/>
    <m/>
    <m/>
    <x v="62"/>
    <d v="2025-09-30T00:00:00"/>
    <d v="2025-10-17T00:00:00"/>
    <n v="2220000"/>
  </r>
  <r>
    <s v="2175"/>
    <s v="V"/>
    <x v="1"/>
    <x v="2"/>
    <x v="3"/>
    <s v="C"/>
    <m/>
    <m/>
    <x v="62"/>
    <d v="2025-10-04T00:00:00"/>
    <d v="2025-10-28T00:00:00"/>
    <n v="2220000"/>
  </r>
  <r>
    <s v="2176"/>
    <s v="V"/>
    <x v="1"/>
    <x v="2"/>
    <x v="3"/>
    <s v="C"/>
    <m/>
    <m/>
    <x v="62"/>
    <d v="2025-10-04T00:00:00"/>
    <d v="2025-10-28T00:00:00"/>
    <n v="1110000"/>
  </r>
  <r>
    <s v="2177"/>
    <s v="V"/>
    <x v="1"/>
    <x v="2"/>
    <x v="3"/>
    <s v="C"/>
    <m/>
    <m/>
    <x v="62"/>
    <d v="2025-10-04T00:00:00"/>
    <d v="2025-10-28T00:00:00"/>
    <n v="1110000"/>
  </r>
  <r>
    <s v="2178"/>
    <s v="V"/>
    <x v="1"/>
    <x v="2"/>
    <x v="3"/>
    <s v="C"/>
    <m/>
    <m/>
    <x v="62"/>
    <d v="2025-10-14T00:00:00"/>
    <d v="2025-10-28T00:00:00"/>
    <n v="2220000"/>
  </r>
  <r>
    <s v="2179"/>
    <s v="V"/>
    <x v="1"/>
    <x v="2"/>
    <x v="3"/>
    <s v="C"/>
    <m/>
    <m/>
    <x v="62"/>
    <d v="2025-10-14T00:00:00"/>
    <d v="2025-10-28T00:00:00"/>
    <n v="1110000"/>
  </r>
  <r>
    <s v="2180"/>
    <s v="V"/>
    <x v="1"/>
    <x v="2"/>
    <x v="3"/>
    <s v="C"/>
    <m/>
    <m/>
    <x v="62"/>
    <d v="2025-10-21T00:00:00"/>
    <d v="2025-10-28T00:00:00"/>
    <n v="2220000"/>
  </r>
  <r>
    <s v="2181"/>
    <s v="V"/>
    <x v="1"/>
    <x v="2"/>
    <x v="3"/>
    <s v="C"/>
    <m/>
    <m/>
    <x v="62"/>
    <d v="2025-11-12T00:00:00"/>
    <d v="2025-11-21T00:00:00"/>
    <n v="1110000"/>
  </r>
  <r>
    <s v="2182"/>
    <s v="V"/>
    <x v="1"/>
    <x v="2"/>
    <x v="3"/>
    <s v="C"/>
    <m/>
    <m/>
    <x v="62"/>
    <d v="2025-10-21T00:00:00"/>
    <d v="2025-11-21T00:00:00"/>
    <n v="2370000"/>
  </r>
  <r>
    <s v="2183"/>
    <s v="V"/>
    <x v="1"/>
    <x v="2"/>
    <x v="3"/>
    <s v="C"/>
    <m/>
    <m/>
    <x v="62"/>
    <d v="2025-10-21T00:00:00"/>
    <d v="2025-11-21T00:00:00"/>
    <n v="1110000"/>
  </r>
  <r>
    <s v="2184"/>
    <s v="V"/>
    <x v="1"/>
    <x v="2"/>
    <x v="3"/>
    <s v="C"/>
    <m/>
    <m/>
    <x v="62"/>
    <d v="2025-11-04T00:00:00"/>
    <d v="2025-11-21T00:00:00"/>
    <n v="1380000"/>
  </r>
  <r>
    <s v="2185"/>
    <s v="V"/>
    <x v="1"/>
    <x v="2"/>
    <x v="3"/>
    <s v="C"/>
    <m/>
    <m/>
    <x v="62"/>
    <d v="2025-11-12T00:00:00"/>
    <d v="2025-12-06T00:00:00"/>
    <n v="1110000"/>
  </r>
  <r>
    <s v="2186"/>
    <s v="V"/>
    <x v="1"/>
    <x v="2"/>
    <x v="3"/>
    <s v="C"/>
    <m/>
    <m/>
    <x v="62"/>
    <d v="2025-11-19T00:00:00"/>
    <d v="2025-12-06T00:00:00"/>
    <n v="2220000"/>
  </r>
  <r>
    <s v="2187"/>
    <s v="V"/>
    <x v="1"/>
    <x v="2"/>
    <x v="3"/>
    <s v="C"/>
    <m/>
    <m/>
    <x v="62"/>
    <d v="2025-11-26T00:00:00"/>
    <d v="2025-12-22T00:00:00"/>
    <n v="3330000"/>
  </r>
  <r>
    <s v="2188"/>
    <s v="V"/>
    <x v="1"/>
    <x v="2"/>
    <x v="3"/>
    <s v="C"/>
    <m/>
    <m/>
    <x v="62"/>
    <d v="2025-12-04T00:00:00"/>
    <d v="2025-12-22T00:00:00"/>
    <n v="270000"/>
  </r>
  <r>
    <s v="2189"/>
    <s v="V"/>
    <x v="1"/>
    <x v="2"/>
    <x v="3"/>
    <s v="C"/>
    <m/>
    <m/>
    <x v="62"/>
    <d v="2025-12-04T00:00:00"/>
    <d v="2025-12-22T00:00:00"/>
    <n v="1380000"/>
  </r>
  <r>
    <s v="2190"/>
    <s v="V"/>
    <x v="1"/>
    <x v="2"/>
    <x v="3"/>
    <s v="C"/>
    <m/>
    <m/>
    <x v="62"/>
    <d v="2025-12-04T00:00:00"/>
    <d v="2025-12-22T00:00:00"/>
    <n v="2220000"/>
  </r>
  <r>
    <s v="2191"/>
    <s v="V"/>
    <x v="1"/>
    <x v="2"/>
    <x v="3"/>
    <s v="C"/>
    <m/>
    <m/>
    <x v="62"/>
    <d v="2025-12-15T00:00:00"/>
    <d v="2025-12-22T00:00:00"/>
    <n v="1380000"/>
  </r>
  <r>
    <s v="2192"/>
    <s v="V"/>
    <x v="1"/>
    <x v="2"/>
    <x v="3"/>
    <s v="C"/>
    <m/>
    <m/>
    <x v="62"/>
    <d v="2025-12-15T00:00:00"/>
    <d v="2026-01-03T00:00:00"/>
    <n v="1080000"/>
  </r>
  <r>
    <s v="2193"/>
    <s v="V"/>
    <x v="1"/>
    <x v="2"/>
    <x v="3"/>
    <s v="C"/>
    <m/>
    <m/>
    <x v="62"/>
    <d v="2025-12-15T00:00:00"/>
    <d v="2026-01-03T00:00:00"/>
    <n v="1110000"/>
  </r>
  <r>
    <s v="2194"/>
    <s v="V"/>
    <x v="1"/>
    <x v="2"/>
    <x v="3"/>
    <s v="C"/>
    <m/>
    <m/>
    <x v="62"/>
    <d v="2025-12-17T00:00:00"/>
    <d v="2026-01-03T00:00:00"/>
    <n v="3330000"/>
  </r>
  <r>
    <s v="2195"/>
    <s v="V"/>
    <x v="1"/>
    <x v="2"/>
    <x v="3"/>
    <s v="C"/>
    <m/>
    <m/>
    <x v="62"/>
    <d v="2025-12-23T00:00:00"/>
    <d v="2026-01-03T00:00:00"/>
    <n v="2760000"/>
  </r>
  <r>
    <s v="2196"/>
    <s v="V"/>
    <x v="1"/>
    <x v="2"/>
    <x v="3"/>
    <s v="C"/>
    <m/>
    <m/>
    <x v="62"/>
    <d v="2025-11-26T00:00:00"/>
    <d v="2026-01-30T00:00:00"/>
    <n v="1110000"/>
  </r>
  <r>
    <s v="2197"/>
    <s v="V"/>
    <x v="0"/>
    <x v="0"/>
    <x v="0"/>
    <m/>
    <m/>
    <m/>
    <x v="0"/>
    <m/>
    <m/>
    <m/>
  </r>
  <r>
    <s v="2198"/>
    <s v="V"/>
    <x v="0"/>
    <x v="0"/>
    <x v="0"/>
    <m/>
    <m/>
    <m/>
    <x v="0"/>
    <m/>
    <m/>
    <m/>
  </r>
  <r>
    <s v="2199"/>
    <s v="V"/>
    <x v="0"/>
    <x v="0"/>
    <x v="0"/>
    <m/>
    <s v="X"/>
    <s v="RS SAMARINDA MEDIKA CITRA"/>
    <x v="0"/>
    <m/>
    <m/>
    <n v="143513250"/>
  </r>
  <r>
    <s v="2200"/>
    <s v="V"/>
    <x v="1"/>
    <x v="1"/>
    <x v="3"/>
    <s v="C"/>
    <m/>
    <m/>
    <x v="63"/>
    <d v="2025-01-31T00:00:00"/>
    <d v="2025-02-19T00:00:00"/>
    <n v="20297975"/>
  </r>
  <r>
    <s v="2201"/>
    <s v="V"/>
    <x v="1"/>
    <x v="1"/>
    <x v="3"/>
    <s v="C"/>
    <m/>
    <m/>
    <x v="63"/>
    <d v="2025-02-28T00:00:00"/>
    <d v="2025-03-12T00:00:00"/>
    <n v="13021875"/>
  </r>
  <r>
    <s v="2202"/>
    <s v="V"/>
    <x v="1"/>
    <x v="1"/>
    <x v="3"/>
    <s v="C"/>
    <m/>
    <m/>
    <x v="63"/>
    <d v="2025-03-31T00:00:00"/>
    <d v="2025-04-14T00:00:00"/>
    <n v="7099000"/>
  </r>
  <r>
    <s v="2203"/>
    <s v="V"/>
    <x v="1"/>
    <x v="1"/>
    <x v="3"/>
    <s v="C"/>
    <m/>
    <m/>
    <x v="63"/>
    <d v="2025-04-30T00:00:00"/>
    <d v="2025-05-10T00:00:00"/>
    <n v="1577400"/>
  </r>
  <r>
    <s v="2204"/>
    <s v="V"/>
    <x v="1"/>
    <x v="1"/>
    <x v="3"/>
    <s v="C"/>
    <m/>
    <m/>
    <x v="63"/>
    <d v="2025-05-31T00:00:00"/>
    <d v="2025-06-09T00:00:00"/>
    <n v="2050400"/>
  </r>
  <r>
    <s v="2205"/>
    <s v="V"/>
    <x v="1"/>
    <x v="1"/>
    <x v="3"/>
    <s v="C"/>
    <m/>
    <m/>
    <x v="63"/>
    <d v="2025-06-30T00:00:00"/>
    <d v="2025-07-08T00:00:00"/>
    <n v="1286100"/>
  </r>
  <r>
    <s v="2206"/>
    <s v="V"/>
    <x v="1"/>
    <x v="1"/>
    <x v="3"/>
    <s v="C"/>
    <m/>
    <m/>
    <x v="63"/>
    <d v="2025-07-31T00:00:00"/>
    <d v="2025-08-14T00:00:00"/>
    <n v="7013100"/>
  </r>
  <r>
    <s v="2207"/>
    <s v="V"/>
    <x v="1"/>
    <x v="1"/>
    <x v="3"/>
    <s v="C"/>
    <m/>
    <m/>
    <x v="63"/>
    <d v="2025-08-31T00:00:00"/>
    <d v="2025-09-13T00:00:00"/>
    <n v="6175800"/>
  </r>
  <r>
    <s v="2208"/>
    <s v="V"/>
    <x v="1"/>
    <x v="1"/>
    <x v="3"/>
    <s v="C"/>
    <m/>
    <m/>
    <x v="63"/>
    <d v="2025-09-30T00:00:00"/>
    <d v="2025-10-11T00:00:00"/>
    <n v="1314500"/>
  </r>
  <r>
    <s v="2209"/>
    <s v="V"/>
    <x v="1"/>
    <x v="1"/>
    <x v="3"/>
    <s v="C"/>
    <m/>
    <m/>
    <x v="63"/>
    <d v="2025-10-31T00:00:00"/>
    <d v="2025-11-21T00:00:00"/>
    <n v="3389300"/>
  </r>
  <r>
    <s v="2210"/>
    <s v="V"/>
    <x v="1"/>
    <x v="1"/>
    <x v="3"/>
    <s v="C"/>
    <m/>
    <m/>
    <x v="63"/>
    <d v="2025-12-31T00:00:00"/>
    <d v="2026-01-07T00:00:00"/>
    <n v="4412500"/>
  </r>
  <r>
    <s v="2211"/>
    <s v="V"/>
    <x v="2"/>
    <x v="1"/>
    <x v="3"/>
    <s v="C"/>
    <m/>
    <m/>
    <x v="63"/>
    <d v="2026-01-31T00:00:00"/>
    <d v="2026-02-04T00:00:00"/>
    <n v="14761250"/>
  </r>
  <r>
    <s v="2212"/>
    <s v="V"/>
    <x v="2"/>
    <x v="1"/>
    <x v="3"/>
    <s v="C"/>
    <m/>
    <m/>
    <x v="63"/>
    <d v="2026-02-28T00:00:00"/>
    <d v="2026-03-06T00:00:00"/>
    <n v="6693400"/>
  </r>
  <r>
    <s v="2213"/>
    <s v="V"/>
    <x v="2"/>
    <x v="1"/>
    <x v="3"/>
    <s v="C"/>
    <m/>
    <m/>
    <x v="63"/>
    <d v="2026-03-31T00:00:00"/>
    <d v="2026-04-11T00:00:00"/>
    <n v="11725350"/>
  </r>
  <r>
    <s v="2214"/>
    <s v="V"/>
    <x v="2"/>
    <x v="1"/>
    <x v="3"/>
    <s v="C"/>
    <m/>
    <m/>
    <x v="63"/>
    <d v="2026-03-31T00:00:00"/>
    <d v="2026-04-11T00:00:00"/>
    <n v="1151300"/>
  </r>
  <r>
    <s v="2215"/>
    <s v="V"/>
    <x v="2"/>
    <x v="1"/>
    <x v="3"/>
    <s v="C"/>
    <m/>
    <m/>
    <x v="63"/>
    <d v="2026-04-30T00:00:00"/>
    <d v="2026-05-04T00:00:00"/>
    <n v="22335700"/>
  </r>
  <r>
    <s v="2216"/>
    <s v="V"/>
    <x v="2"/>
    <x v="1"/>
    <x v="3"/>
    <s v="C"/>
    <m/>
    <m/>
    <x v="63"/>
    <d v="2026-05-29T00:00:00"/>
    <d v="2026-05-29T00:00:00"/>
    <n v="11783000"/>
  </r>
  <r>
    <s v="2217"/>
    <s v="V"/>
    <x v="2"/>
    <x v="2"/>
    <x v="3"/>
    <s v="C"/>
    <m/>
    <m/>
    <x v="63"/>
    <d v="2026-07-03T00:00:00"/>
    <d v="2026-07-04T00:00:00"/>
    <n v="7425300"/>
  </r>
  <r>
    <s v="2218"/>
    <s v="V"/>
    <x v="0"/>
    <x v="0"/>
    <x v="0"/>
    <m/>
    <m/>
    <m/>
    <x v="0"/>
    <m/>
    <m/>
    <m/>
  </r>
  <r>
    <s v="2219"/>
    <s v="V"/>
    <x v="0"/>
    <x v="0"/>
    <x v="0"/>
    <m/>
    <m/>
    <m/>
    <x v="0"/>
    <m/>
    <m/>
    <m/>
  </r>
  <r>
    <s v="2220"/>
    <s v="V"/>
    <x v="0"/>
    <x v="0"/>
    <x v="0"/>
    <m/>
    <s v="X"/>
    <s v="RS AW SYAHRANIE"/>
    <x v="0"/>
    <m/>
    <m/>
    <n v="26173843"/>
  </r>
  <r>
    <s v="2221"/>
    <s v="V"/>
    <x v="1"/>
    <x v="1"/>
    <x v="3"/>
    <s v="C"/>
    <m/>
    <m/>
    <x v="64"/>
    <d v="2025-03-10T00:00:00"/>
    <d v="2025-03-01T00:00:00"/>
    <n v="2428750"/>
  </r>
  <r>
    <s v="2222"/>
    <s v="V"/>
    <x v="1"/>
    <x v="1"/>
    <x v="3"/>
    <s v="C"/>
    <m/>
    <m/>
    <x v="64"/>
    <d v="2025-04-11T00:00:00"/>
    <d v="2025-04-15T00:00:00"/>
    <n v="971500"/>
  </r>
  <r>
    <s v="2223"/>
    <s v="V"/>
    <x v="1"/>
    <x v="1"/>
    <x v="3"/>
    <s v="C"/>
    <m/>
    <m/>
    <x v="64"/>
    <d v="2025-05-14T00:00:00"/>
    <d v="2025-05-17T00:00:00"/>
    <n v="971500"/>
  </r>
  <r>
    <s v="2224"/>
    <s v="V"/>
    <x v="1"/>
    <x v="1"/>
    <x v="3"/>
    <s v="C"/>
    <m/>
    <m/>
    <x v="64"/>
    <d v="2025-06-16T00:00:00"/>
    <d v="2025-06-19T00:00:00"/>
    <n v="485750"/>
  </r>
  <r>
    <s v="2225"/>
    <s v="V"/>
    <x v="1"/>
    <x v="1"/>
    <x v="3"/>
    <s v="C"/>
    <m/>
    <m/>
    <x v="64"/>
    <d v="2025-07-15T00:00:00"/>
    <d v="2025-07-21T00:00:00"/>
    <n v="880843"/>
  </r>
  <r>
    <s v="2226"/>
    <s v="V"/>
    <x v="1"/>
    <x v="1"/>
    <x v="3"/>
    <s v="C"/>
    <m/>
    <m/>
    <x v="64"/>
    <d v="2025-07-21T00:00:00"/>
    <d v="2025-07-22T00:00:00"/>
    <n v="5157800"/>
  </r>
  <r>
    <s v="2227"/>
    <s v="V"/>
    <x v="1"/>
    <x v="1"/>
    <x v="3"/>
    <s v="C"/>
    <m/>
    <m/>
    <x v="64"/>
    <d v="2025-08-15T00:00:00"/>
    <d v="2025-08-22T00:00:00"/>
    <n v="971500"/>
  </r>
  <r>
    <s v="2228"/>
    <s v="V"/>
    <x v="1"/>
    <x v="2"/>
    <x v="3"/>
    <s v="C"/>
    <m/>
    <m/>
    <x v="64"/>
    <d v="2025-09-11T00:00:00"/>
    <d v="2025-09-15T00:00:00"/>
    <n v="1943000"/>
  </r>
  <r>
    <s v="2229"/>
    <s v="V"/>
    <x v="1"/>
    <x v="2"/>
    <x v="3"/>
    <s v="C"/>
    <m/>
    <m/>
    <x v="64"/>
    <d v="2025-10-09T00:00:00"/>
    <d v="2026-02-11T00:00:00"/>
    <n v="551500"/>
  </r>
  <r>
    <s v="2230"/>
    <s v="V"/>
    <x v="1"/>
    <x v="2"/>
    <x v="3"/>
    <s v="C"/>
    <m/>
    <m/>
    <x v="64"/>
    <d v="2025-11-12T00:00:00"/>
    <d v="2025-11-13T00:00:00"/>
    <n v="2980250"/>
  </r>
  <r>
    <s v="2231"/>
    <s v="V"/>
    <x v="1"/>
    <x v="2"/>
    <x v="3"/>
    <s v="C"/>
    <m/>
    <m/>
    <x v="64"/>
    <d v="2025-12-10T00:00:00"/>
    <d v="2025-12-11T00:00:00"/>
    <n v="485750"/>
  </r>
  <r>
    <s v="2232"/>
    <s v="V"/>
    <x v="1"/>
    <x v="2"/>
    <x v="3"/>
    <s v="C"/>
    <m/>
    <m/>
    <x v="64"/>
    <d v="2026-01-12T00:00:00"/>
    <d v="2026-01-14T00:00:00"/>
    <n v="1943000"/>
  </r>
  <r>
    <s v="2233"/>
    <s v="V"/>
    <x v="2"/>
    <x v="2"/>
    <x v="3"/>
    <s v="C"/>
    <m/>
    <m/>
    <x v="64"/>
    <d v="2026-02-10T00:00:00"/>
    <d v="2026-02-13T00:00:00"/>
    <n v="971500"/>
  </r>
  <r>
    <s v="2234"/>
    <s v="V"/>
    <x v="2"/>
    <x v="2"/>
    <x v="3"/>
    <s v="C"/>
    <m/>
    <m/>
    <x v="64"/>
    <d v="2026-03-11T00:00:00"/>
    <d v="2026-03-16T00:00:00"/>
    <n v="551500"/>
  </r>
  <r>
    <s v="2235"/>
    <s v="V"/>
    <x v="2"/>
    <x v="2"/>
    <x v="3"/>
    <s v="C"/>
    <m/>
    <m/>
    <x v="64"/>
    <d v="2026-04-08T00:00:00"/>
    <d v="2026-04-10T00:00:00"/>
    <n v="1103000"/>
  </r>
  <r>
    <s v="2236"/>
    <s v="V"/>
    <x v="2"/>
    <x v="2"/>
    <x v="3"/>
    <s v="C"/>
    <m/>
    <m/>
    <x v="64"/>
    <d v="2026-05-11T00:00:00"/>
    <d v="2026-05-16T00:00:00"/>
    <n v="1523000"/>
  </r>
  <r>
    <s v="2237"/>
    <s v="V"/>
    <x v="2"/>
    <x v="2"/>
    <x v="3"/>
    <s v="C"/>
    <m/>
    <m/>
    <x v="64"/>
    <d v="2026-06-10T00:00:00"/>
    <d v="2026-06-15T00:00:00"/>
    <n v="971500"/>
  </r>
  <r>
    <s v="2238"/>
    <s v="V"/>
    <x v="2"/>
    <x v="2"/>
    <x v="3"/>
    <s v="C"/>
    <m/>
    <m/>
    <x v="64"/>
    <d v="2026-07-09T00:00:00"/>
    <d v="2026-07-15T00:00:00"/>
    <n v="1282200"/>
  </r>
  <r>
    <s v="2239"/>
    <s v="V"/>
    <x v="0"/>
    <x v="0"/>
    <x v="0"/>
    <m/>
    <m/>
    <m/>
    <x v="0"/>
    <m/>
    <m/>
    <m/>
  </r>
  <r>
    <s v="2240"/>
    <s v="V"/>
    <x v="0"/>
    <x v="0"/>
    <x v="0"/>
    <m/>
    <m/>
    <m/>
    <x v="0"/>
    <m/>
    <m/>
    <m/>
  </r>
  <r>
    <s v="2241"/>
    <s v="V"/>
    <x v="0"/>
    <x v="0"/>
    <x v="0"/>
    <m/>
    <s v="X"/>
    <s v="NUR ASIH KLINIK LABORATORIUM"/>
    <x v="0"/>
    <m/>
    <m/>
    <n v="49396750"/>
  </r>
  <r>
    <s v="2242"/>
    <s v="V"/>
    <x v="3"/>
    <x v="1"/>
    <x v="3"/>
    <s v="C"/>
    <m/>
    <s v="NA-0025"/>
    <x v="65"/>
    <d v="2025-01-02T00:00:00"/>
    <d v="2025-01-06T00:00:00"/>
    <n v="3896000"/>
  </r>
  <r>
    <s v="2243"/>
    <s v="V"/>
    <x v="1"/>
    <x v="1"/>
    <x v="3"/>
    <s v="C"/>
    <m/>
    <s v="NA-0026"/>
    <x v="65"/>
    <d v="2025-02-04T00:00:00"/>
    <d v="2025-02-06T00:00:00"/>
    <n v="3812000"/>
  </r>
  <r>
    <s v="2244"/>
    <s v="V"/>
    <x v="1"/>
    <x v="1"/>
    <x v="3"/>
    <s v="C"/>
    <m/>
    <s v="NA-0027"/>
    <x v="65"/>
    <d v="2025-03-03T00:00:00"/>
    <d v="2025-03-04T00:00:00"/>
    <n v="3652000"/>
  </r>
  <r>
    <s v="2245"/>
    <s v="V"/>
    <x v="1"/>
    <x v="1"/>
    <x v="3"/>
    <s v="C"/>
    <m/>
    <s v="NA-0028"/>
    <x v="65"/>
    <d v="2025-04-12T00:00:00"/>
    <d v="2025-04-15T00:00:00"/>
    <n v="5062750"/>
  </r>
  <r>
    <s v="2246"/>
    <s v="V"/>
    <x v="1"/>
    <x v="1"/>
    <x v="3"/>
    <s v="C"/>
    <m/>
    <s v="NA-0029"/>
    <x v="65"/>
    <d v="2025-05-03T00:00:00"/>
    <d v="2025-05-03T00:00:00"/>
    <n v="1680000"/>
  </r>
  <r>
    <s v="2247"/>
    <s v="V"/>
    <x v="1"/>
    <x v="1"/>
    <x v="3"/>
    <s v="C"/>
    <m/>
    <s v="NA-0030"/>
    <x v="65"/>
    <d v="2025-06-03T00:00:00"/>
    <d v="2025-06-04T00:00:00"/>
    <n v="2780000"/>
  </r>
  <r>
    <s v="2248"/>
    <s v="V"/>
    <x v="1"/>
    <x v="1"/>
    <x v="3"/>
    <s v="C"/>
    <m/>
    <s v="NA-0031"/>
    <x v="65"/>
    <d v="2025-07-01T00:00:00"/>
    <d v="2025-07-10T00:00:00"/>
    <n v="1656000"/>
  </r>
  <r>
    <s v="2249"/>
    <s v="V"/>
    <x v="1"/>
    <x v="1"/>
    <x v="3"/>
    <s v="C"/>
    <m/>
    <s v="NA-0032"/>
    <x v="65"/>
    <d v="2025-08-01T00:00:00"/>
    <d v="2025-08-05T00:00:00"/>
    <n v="3492000"/>
  </r>
  <r>
    <s v="2250"/>
    <s v="V"/>
    <x v="1"/>
    <x v="1"/>
    <x v="3"/>
    <s v="C"/>
    <m/>
    <s v="NA-0033"/>
    <x v="65"/>
    <d v="2025-09-04T00:00:00"/>
    <d v="2025-09-04T00:00:00"/>
    <n v="2672000"/>
  </r>
  <r>
    <s v="2251"/>
    <s v="V"/>
    <x v="1"/>
    <x v="1"/>
    <x v="3"/>
    <s v="C"/>
    <m/>
    <s v="NA-0034"/>
    <x v="65"/>
    <d v="2025-10-04T00:00:00"/>
    <d v="2025-10-06T00:00:00"/>
    <n v="3007000"/>
  </r>
  <r>
    <s v="2252"/>
    <s v="V"/>
    <x v="1"/>
    <x v="1"/>
    <x v="3"/>
    <s v="C"/>
    <m/>
    <s v="NA-0035"/>
    <x v="65"/>
    <d v="2025-11-01T00:00:00"/>
    <d v="2025-11-03T00:00:00"/>
    <n v="2648000"/>
  </r>
  <r>
    <s v="2253"/>
    <s v="V"/>
    <x v="1"/>
    <x v="1"/>
    <x v="3"/>
    <s v="C"/>
    <m/>
    <s v="NA-0036"/>
    <x v="65"/>
    <d v="2025-12-02T00:00:00"/>
    <d v="2025-12-03T00:00:00"/>
    <n v="1264000"/>
  </r>
  <r>
    <s v="2254"/>
    <s v="V"/>
    <x v="1"/>
    <x v="2"/>
    <x v="3"/>
    <s v="C"/>
    <m/>
    <s v="NA-0037"/>
    <x v="65"/>
    <d v="2025-12-31T00:00:00"/>
    <d v="2026-01-07T00:00:00"/>
    <n v="2484000"/>
  </r>
  <r>
    <s v="2255"/>
    <s v="V"/>
    <x v="2"/>
    <x v="2"/>
    <x v="3"/>
    <s v="C"/>
    <m/>
    <s v="NA-0038"/>
    <x v="65"/>
    <d v="2026-02-03T00:00:00"/>
    <d v="2026-02-04T00:00:00"/>
    <n v="2004000"/>
  </r>
  <r>
    <s v="2256"/>
    <s v="V"/>
    <x v="2"/>
    <x v="2"/>
    <x v="3"/>
    <s v="C"/>
    <m/>
    <s v="NA-0039"/>
    <x v="65"/>
    <d v="2026-03-02T00:00:00"/>
    <d v="2026-03-03T00:00:00"/>
    <n v="1680000"/>
  </r>
  <r>
    <s v="2257"/>
    <s v="V"/>
    <x v="2"/>
    <x v="2"/>
    <x v="3"/>
    <s v="C"/>
    <m/>
    <s v="NA-0040"/>
    <x v="65"/>
    <d v="2026-04-02T00:00:00"/>
    <d v="2026-04-02T00:00:00"/>
    <n v="2204000"/>
  </r>
  <r>
    <s v="2258"/>
    <s v="V"/>
    <x v="2"/>
    <x v="2"/>
    <x v="3"/>
    <s v="C"/>
    <m/>
    <s v="NA-0041"/>
    <x v="65"/>
    <d v="2026-05-04T00:00:00"/>
    <d v="2026-05-06T00:00:00"/>
    <n v="2727000"/>
  </r>
  <r>
    <s v="2259"/>
    <s v="V"/>
    <x v="2"/>
    <x v="2"/>
    <x v="3"/>
    <s v="C"/>
    <m/>
    <s v="NA-0042"/>
    <x v="65"/>
    <d v="2026-06-02T00:00:00"/>
    <d v="2026-06-03T00:00:00"/>
    <n v="2396000"/>
  </r>
  <r>
    <s v="2260"/>
    <s v="V"/>
    <x v="2"/>
    <x v="2"/>
    <x v="3"/>
    <s v="C"/>
    <m/>
    <s v="NA-0043"/>
    <x v="65"/>
    <d v="2026-07-01T00:00:00"/>
    <d v="2026-07-02T00:00:00"/>
    <n v="280000"/>
  </r>
  <r>
    <s v="2261"/>
    <s v="V"/>
    <x v="0"/>
    <x v="0"/>
    <x v="0"/>
    <m/>
    <m/>
    <m/>
    <x v="0"/>
    <m/>
    <m/>
    <m/>
  </r>
  <r>
    <s v="2262"/>
    <s v="V"/>
    <x v="0"/>
    <x v="0"/>
    <x v="0"/>
    <m/>
    <m/>
    <m/>
    <x v="0"/>
    <m/>
    <m/>
    <m/>
  </r>
  <r>
    <s v="2263"/>
    <s v="V"/>
    <x v="0"/>
    <x v="0"/>
    <x v="0"/>
    <m/>
    <s v="X"/>
    <s v="PRODIA LAB KLINIK SAMARINDA"/>
    <x v="0"/>
    <m/>
    <m/>
    <n v="127500"/>
  </r>
  <r>
    <s v="2264"/>
    <s v="V"/>
    <x v="2"/>
    <x v="2"/>
    <x v="3"/>
    <s v="C"/>
    <m/>
    <m/>
    <x v="66"/>
    <d v="2026-06-19T00:00:00"/>
    <d v="2026-07-01T00:00:00"/>
    <n v="127500"/>
  </r>
  <r>
    <s v="2265"/>
    <s v="V"/>
    <x v="0"/>
    <x v="0"/>
    <x v="0"/>
    <m/>
    <m/>
    <m/>
    <x v="0"/>
    <m/>
    <m/>
    <m/>
  </r>
  <r>
    <s v="2266"/>
    <s v="V"/>
    <x v="0"/>
    <x v="0"/>
    <x v="0"/>
    <m/>
    <m/>
    <m/>
    <x v="0"/>
    <m/>
    <m/>
    <m/>
  </r>
  <r>
    <s v="2267"/>
    <s v="V"/>
    <x v="0"/>
    <x v="0"/>
    <x v="0"/>
    <m/>
    <s v="X"/>
    <s v="SEKATA MEDICAL CENTER, KLINIK"/>
    <x v="0"/>
    <m/>
    <m/>
    <n v="0"/>
  </r>
  <r>
    <s v="2268"/>
    <s v="V"/>
    <x v="0"/>
    <x v="0"/>
    <x v="0"/>
    <m/>
    <m/>
    <m/>
    <x v="0"/>
    <m/>
    <m/>
    <m/>
  </r>
  <r>
    <s v="2269"/>
    <s v="V"/>
    <x v="0"/>
    <x v="0"/>
    <x v="0"/>
    <m/>
    <m/>
    <m/>
    <x v="0"/>
    <m/>
    <m/>
    <m/>
  </r>
  <r>
    <s v="2270"/>
    <s v="V"/>
    <x v="0"/>
    <x v="0"/>
    <x v="0"/>
    <m/>
    <s v="X"/>
    <s v="SUMBER REJEKI MEDIKA JAYA, PT"/>
    <x v="0"/>
    <m/>
    <m/>
    <n v="689277600"/>
  </r>
  <r>
    <s v="2271"/>
    <s v="V"/>
    <x v="3"/>
    <x v="1"/>
    <x v="3"/>
    <s v="C"/>
    <m/>
    <m/>
    <x v="51"/>
    <d v="2025-01-14T00:00:00"/>
    <d v="2025-01-14T00:00:00"/>
    <n v="40071600"/>
  </r>
  <r>
    <s v="2272"/>
    <s v="V"/>
    <x v="3"/>
    <x v="1"/>
    <x v="3"/>
    <s v="C"/>
    <m/>
    <m/>
    <x v="51"/>
    <d v="2025-01-14T00:00:00"/>
    <d v="2025-01-14T00:00:00"/>
    <n v="39664400"/>
  </r>
  <r>
    <s v="2273"/>
    <s v="V"/>
    <x v="3"/>
    <x v="1"/>
    <x v="3"/>
    <s v="C"/>
    <m/>
    <m/>
    <x v="51"/>
    <d v="2025-01-14T00:00:00"/>
    <d v="2025-01-14T00:00:00"/>
    <n v="38436300"/>
  </r>
  <r>
    <s v="2274"/>
    <s v="V"/>
    <x v="3"/>
    <x v="1"/>
    <x v="3"/>
    <s v="C"/>
    <m/>
    <m/>
    <x v="51"/>
    <d v="2025-02-06T00:00:00"/>
    <d v="2025-02-06T00:00:00"/>
    <n v="39519800"/>
  </r>
  <r>
    <s v="2275"/>
    <s v="V"/>
    <x v="1"/>
    <x v="1"/>
    <x v="3"/>
    <s v="C"/>
    <m/>
    <m/>
    <x v="51"/>
    <d v="2025-06-17T00:00:00"/>
    <d v="2025-06-17T00:00:00"/>
    <n v="34785900"/>
  </r>
  <r>
    <s v="2276"/>
    <s v="V"/>
    <x v="1"/>
    <x v="1"/>
    <x v="3"/>
    <s v="C"/>
    <m/>
    <m/>
    <x v="51"/>
    <d v="2025-06-17T00:00:00"/>
    <d v="2025-06-17T00:00:00"/>
    <n v="33619400"/>
  </r>
  <r>
    <s v="2277"/>
    <s v="V"/>
    <x v="1"/>
    <x v="1"/>
    <x v="3"/>
    <s v="C"/>
    <m/>
    <m/>
    <x v="51"/>
    <d v="2025-06-17T00:00:00"/>
    <d v="2025-06-17T00:00:00"/>
    <n v="25432500"/>
  </r>
  <r>
    <s v="2278"/>
    <s v="V"/>
    <x v="1"/>
    <x v="1"/>
    <x v="3"/>
    <s v="C"/>
    <m/>
    <m/>
    <x v="51"/>
    <d v="2025-06-17T00:00:00"/>
    <d v="2025-06-17T00:00:00"/>
    <n v="31802100"/>
  </r>
  <r>
    <s v="2279"/>
    <s v="V"/>
    <x v="1"/>
    <x v="1"/>
    <x v="3"/>
    <s v="C"/>
    <m/>
    <m/>
    <x v="51"/>
    <d v="2025-09-15T00:00:00"/>
    <d v="2025-09-16T00:00:00"/>
    <n v="30922700"/>
  </r>
  <r>
    <s v="2280"/>
    <s v="V"/>
    <x v="1"/>
    <x v="1"/>
    <x v="3"/>
    <s v="C"/>
    <m/>
    <m/>
    <x v="51"/>
    <d v="2025-09-15T00:00:00"/>
    <d v="2025-09-16T00:00:00"/>
    <n v="15898300"/>
  </r>
  <r>
    <s v="2281"/>
    <s v="V"/>
    <x v="1"/>
    <x v="1"/>
    <x v="3"/>
    <s v="C"/>
    <m/>
    <m/>
    <x v="51"/>
    <d v="2025-09-15T00:00:00"/>
    <d v="2025-09-16T00:00:00"/>
    <n v="15898300"/>
  </r>
  <r>
    <s v="2282"/>
    <s v="V"/>
    <x v="1"/>
    <x v="1"/>
    <x v="3"/>
    <s v="C"/>
    <m/>
    <m/>
    <x v="51"/>
    <d v="2025-09-15T00:00:00"/>
    <d v="2025-09-16T00:00:00"/>
    <n v="32273900"/>
  </r>
  <r>
    <s v="2283"/>
    <s v="V"/>
    <x v="1"/>
    <x v="1"/>
    <x v="3"/>
    <s v="C"/>
    <m/>
    <m/>
    <x v="51"/>
    <d v="2025-12-23T00:00:00"/>
    <d v="2025-12-23T00:00:00"/>
    <n v="33676100"/>
  </r>
  <r>
    <s v="2284"/>
    <s v="V"/>
    <x v="1"/>
    <x v="1"/>
    <x v="3"/>
    <s v="C"/>
    <m/>
    <m/>
    <x v="51"/>
    <d v="2025-12-23T00:00:00"/>
    <d v="2025-12-23T00:00:00"/>
    <n v="33676100"/>
  </r>
  <r>
    <s v="2285"/>
    <s v="V"/>
    <x v="1"/>
    <x v="1"/>
    <x v="3"/>
    <s v="C"/>
    <m/>
    <m/>
    <x v="51"/>
    <d v="2025-12-23T00:00:00"/>
    <d v="2025-12-23T00:00:00"/>
    <n v="3408700"/>
  </r>
  <r>
    <s v="2286"/>
    <s v="V"/>
    <x v="1"/>
    <x v="1"/>
    <x v="3"/>
    <s v="C"/>
    <m/>
    <m/>
    <x v="51"/>
    <d v="2025-12-23T00:00:00"/>
    <d v="2025-12-23T00:00:00"/>
    <n v="36046000"/>
  </r>
  <r>
    <s v="2287"/>
    <s v="V"/>
    <x v="1"/>
    <x v="1"/>
    <x v="3"/>
    <s v="C"/>
    <m/>
    <m/>
    <x v="51"/>
    <d v="2026-03-03T00:00:00"/>
    <d v="2026-03-03T00:00:00"/>
    <n v="30363200"/>
  </r>
  <r>
    <s v="2288"/>
    <s v="V"/>
    <x v="1"/>
    <x v="2"/>
    <x v="3"/>
    <s v="C"/>
    <m/>
    <m/>
    <x v="51"/>
    <d v="2026-03-03T00:00:00"/>
    <d v="2026-03-03T00:00:00"/>
    <n v="30413000"/>
  </r>
  <r>
    <s v="2289"/>
    <s v="V"/>
    <x v="2"/>
    <x v="2"/>
    <x v="3"/>
    <s v="C"/>
    <m/>
    <m/>
    <x v="51"/>
    <d v="2026-03-03T00:00:00"/>
    <d v="2026-03-03T00:00:00"/>
    <n v="33609900"/>
  </r>
  <r>
    <s v="2290"/>
    <s v="V"/>
    <x v="2"/>
    <x v="2"/>
    <x v="3"/>
    <s v="C"/>
    <m/>
    <m/>
    <x v="51"/>
    <d v="2026-07-07T00:00:00"/>
    <d v="2026-07-07T00:00:00"/>
    <n v="23742600"/>
  </r>
  <r>
    <s v="2291"/>
    <s v="V"/>
    <x v="2"/>
    <x v="2"/>
    <x v="3"/>
    <s v="C"/>
    <m/>
    <m/>
    <x v="51"/>
    <d v="2026-07-07T00:00:00"/>
    <d v="2026-07-07T00:00:00"/>
    <n v="21190300"/>
  </r>
  <r>
    <s v="2292"/>
    <s v="V"/>
    <x v="2"/>
    <x v="2"/>
    <x v="3"/>
    <s v="C"/>
    <m/>
    <m/>
    <x v="51"/>
    <d v="2026-07-07T00:00:00"/>
    <d v="2026-07-07T00:00:00"/>
    <n v="36344300"/>
  </r>
  <r>
    <s v="2293"/>
    <s v="V"/>
    <x v="2"/>
    <x v="2"/>
    <x v="3"/>
    <s v="C"/>
    <m/>
    <m/>
    <x v="51"/>
    <d v="2026-07-07T00:00:00"/>
    <d v="2026-07-07T00:00:00"/>
    <n v="28482200"/>
  </r>
  <r>
    <s v="2294"/>
    <s v="V"/>
    <x v="0"/>
    <x v="0"/>
    <x v="0"/>
    <m/>
    <m/>
    <m/>
    <x v="0"/>
    <m/>
    <m/>
    <m/>
  </r>
  <r>
    <s v="2295"/>
    <s v="V"/>
    <x v="0"/>
    <x v="0"/>
    <x v="0"/>
    <m/>
    <m/>
    <m/>
    <x v="0"/>
    <m/>
    <m/>
    <m/>
  </r>
  <r>
    <s v="2296"/>
    <s v="V"/>
    <x v="0"/>
    <x v="0"/>
    <x v="0"/>
    <m/>
    <s v="X"/>
    <s v="UPTD LABKESDA SAMARINDA"/>
    <x v="0"/>
    <m/>
    <m/>
    <n v="4630500"/>
  </r>
  <r>
    <s v="2297"/>
    <s v="V"/>
    <x v="2"/>
    <x v="2"/>
    <x v="3"/>
    <s v="C"/>
    <m/>
    <m/>
    <x v="67"/>
    <d v="2026-05-04T00:00:00"/>
    <d v="2026-05-06T00:00:00"/>
    <n v="2160000"/>
  </r>
  <r>
    <s v="2298"/>
    <s v="V"/>
    <x v="2"/>
    <x v="2"/>
    <x v="3"/>
    <s v="C"/>
    <m/>
    <m/>
    <x v="67"/>
    <d v="2026-06-12T00:00:00"/>
    <d v="2026-06-20T00:00:00"/>
    <n v="1435500"/>
  </r>
  <r>
    <s v="2299"/>
    <s v="V"/>
    <x v="2"/>
    <x v="2"/>
    <x v="3"/>
    <s v="C"/>
    <m/>
    <m/>
    <x v="67"/>
    <d v="2026-07-02T00:00:00"/>
    <d v="2026-07-06T00:00:00"/>
    <n v="1035000"/>
  </r>
  <r>
    <s v="2300"/>
    <s v="V"/>
    <x v="0"/>
    <x v="0"/>
    <x v="0"/>
    <m/>
    <m/>
    <m/>
    <x v="0"/>
    <m/>
    <m/>
    <m/>
  </r>
  <r>
    <s v="2301"/>
    <s v="V"/>
    <x v="0"/>
    <x v="0"/>
    <x v="0"/>
    <m/>
    <m/>
    <m/>
    <x v="0"/>
    <m/>
    <m/>
    <m/>
  </r>
  <r>
    <s v="2302"/>
    <s v="V"/>
    <x v="0"/>
    <x v="0"/>
    <x v="0"/>
    <m/>
    <s v="Z"/>
    <s v="PENUNJANG PELAYANAN RS"/>
    <x v="0"/>
    <m/>
    <m/>
    <n v="805983411"/>
  </r>
  <r>
    <s v="2303"/>
    <s v="V"/>
    <x v="0"/>
    <x v="0"/>
    <x v="0"/>
    <m/>
    <m/>
    <m/>
    <x v="0"/>
    <m/>
    <m/>
    <m/>
  </r>
  <r>
    <s v="2304"/>
    <s v="V"/>
    <x v="0"/>
    <x v="0"/>
    <x v="0"/>
    <m/>
    <s v="X"/>
    <s v="BPFK SURABAYA - RADIOLOGI"/>
    <x v="0"/>
    <m/>
    <m/>
    <n v="0"/>
  </r>
  <r>
    <s v="2305"/>
    <s v="V"/>
    <x v="0"/>
    <x v="0"/>
    <x v="0"/>
    <m/>
    <m/>
    <m/>
    <x v="0"/>
    <m/>
    <m/>
    <m/>
  </r>
  <r>
    <s v="2306"/>
    <s v="V"/>
    <x v="0"/>
    <x v="0"/>
    <x v="0"/>
    <m/>
    <m/>
    <m/>
    <x v="0"/>
    <m/>
    <m/>
    <m/>
  </r>
  <r>
    <s v="2307"/>
    <s v="V"/>
    <x v="0"/>
    <x v="0"/>
    <x v="0"/>
    <m/>
    <s v="X"/>
    <s v="BINTANG JAYA ABADI, PT - SEWA GENSET"/>
    <x v="0"/>
    <m/>
    <m/>
    <n v="99900000"/>
  </r>
  <r>
    <s v="2308"/>
    <s v="V"/>
    <x v="1"/>
    <x v="1"/>
    <x v="4"/>
    <s v="D"/>
    <m/>
    <s v="BJ-0025"/>
    <x v="68"/>
    <d v="2025-01-20T00:00:00"/>
    <d v="2025-01-22T00:00:00"/>
    <n v="5550000"/>
  </r>
  <r>
    <s v="2309"/>
    <s v="V"/>
    <x v="1"/>
    <x v="1"/>
    <x v="4"/>
    <s v="D"/>
    <m/>
    <s v="BJ-0026"/>
    <x v="68"/>
    <d v="2025-02-14T00:00:00"/>
    <d v="2025-02-19T00:00:00"/>
    <n v="5550000"/>
  </r>
  <r>
    <s v="2310"/>
    <s v="V"/>
    <x v="1"/>
    <x v="1"/>
    <x v="4"/>
    <s v="D"/>
    <m/>
    <s v="BJ-0027"/>
    <x v="68"/>
    <d v="2025-03-04T00:00:00"/>
    <d v="2025-03-18T00:00:00"/>
    <n v="5550000"/>
  </r>
  <r>
    <s v="2311"/>
    <s v="V"/>
    <x v="1"/>
    <x v="1"/>
    <x v="4"/>
    <s v="D"/>
    <m/>
    <s v="BJ-0028"/>
    <x v="68"/>
    <d v="2025-04-14T00:00:00"/>
    <d v="2025-05-09T00:00:00"/>
    <n v="5550000"/>
  </r>
  <r>
    <s v="2312"/>
    <s v="V"/>
    <x v="1"/>
    <x v="1"/>
    <x v="4"/>
    <s v="D"/>
    <m/>
    <s v="BJ-0029"/>
    <x v="68"/>
    <d v="2025-05-15T00:00:00"/>
    <d v="2025-05-22T00:00:00"/>
    <n v="5550000"/>
  </r>
  <r>
    <s v="2313"/>
    <s v="V"/>
    <x v="1"/>
    <x v="1"/>
    <x v="4"/>
    <s v="D"/>
    <m/>
    <s v="BJ-0030"/>
    <x v="68"/>
    <d v="2025-06-14T00:00:00"/>
    <d v="2025-06-19T00:00:00"/>
    <n v="5550000"/>
  </r>
  <r>
    <s v="2314"/>
    <s v="V"/>
    <x v="1"/>
    <x v="1"/>
    <x v="4"/>
    <s v="D"/>
    <m/>
    <s v="BJ-0031"/>
    <x v="68"/>
    <d v="2025-07-14T00:00:00"/>
    <d v="2025-07-17T00:00:00"/>
    <n v="5550000"/>
  </r>
  <r>
    <s v="2315"/>
    <s v="V"/>
    <x v="1"/>
    <x v="1"/>
    <x v="4"/>
    <s v="D"/>
    <m/>
    <s v="BJ-0032"/>
    <x v="68"/>
    <d v="2025-08-14T00:00:00"/>
    <d v="2025-08-19T00:00:00"/>
    <n v="5550000"/>
  </r>
  <r>
    <s v="2316"/>
    <s v="V"/>
    <x v="1"/>
    <x v="1"/>
    <x v="4"/>
    <s v="D"/>
    <m/>
    <s v="BJ-0033"/>
    <x v="68"/>
    <d v="2025-09-15T00:00:00"/>
    <d v="2025-09-18T00:00:00"/>
    <n v="5550000"/>
  </r>
  <r>
    <s v="2317"/>
    <s v="V"/>
    <x v="1"/>
    <x v="2"/>
    <x v="4"/>
    <s v="D"/>
    <m/>
    <s v="BJ-0034"/>
    <x v="68"/>
    <d v="2025-10-09T00:00:00"/>
    <d v="2025-10-16T00:00:00"/>
    <n v="5550000"/>
  </r>
  <r>
    <s v="2318"/>
    <s v="V"/>
    <x v="1"/>
    <x v="2"/>
    <x v="4"/>
    <s v="D"/>
    <m/>
    <s v="BJ-0035"/>
    <x v="68"/>
    <d v="2025-11-13T00:00:00"/>
    <d v="2025-11-15T00:00:00"/>
    <n v="5550000"/>
  </r>
  <r>
    <s v="2319"/>
    <s v="V"/>
    <x v="1"/>
    <x v="2"/>
    <x v="4"/>
    <s v="D"/>
    <m/>
    <s v="BJ-0036"/>
    <x v="68"/>
    <d v="2025-12-12T00:00:00"/>
    <d v="2025-12-15T00:00:00"/>
    <n v="5550000"/>
  </r>
  <r>
    <s v="2320"/>
    <s v="V"/>
    <x v="2"/>
    <x v="2"/>
    <x v="4"/>
    <s v="D"/>
    <m/>
    <s v="BJ-0037"/>
    <x v="68"/>
    <d v="2026-01-14T00:00:00"/>
    <d v="2026-01-19T00:00:00"/>
    <n v="5550000"/>
  </r>
  <r>
    <s v="2321"/>
    <s v="V"/>
    <x v="2"/>
    <x v="2"/>
    <x v="4"/>
    <s v="D"/>
    <m/>
    <s v="BJ-0038"/>
    <x v="68"/>
    <d v="2026-02-14T00:00:00"/>
    <d v="2026-02-21T00:00:00"/>
    <n v="5550000"/>
  </r>
  <r>
    <s v="2322"/>
    <s v="V"/>
    <x v="2"/>
    <x v="2"/>
    <x v="4"/>
    <s v="D"/>
    <m/>
    <s v="BJ-0039"/>
    <x v="68"/>
    <d v="2026-03-14T00:00:00"/>
    <d v="2026-03-18T00:00:00"/>
    <n v="5550000"/>
  </r>
  <r>
    <s v="2323"/>
    <s v="V"/>
    <x v="2"/>
    <x v="2"/>
    <x v="4"/>
    <s v="D"/>
    <m/>
    <s v="BJ-0040"/>
    <x v="68"/>
    <d v="2026-04-14T00:00:00"/>
    <d v="2026-04-20T00:00:00"/>
    <n v="5550000"/>
  </r>
  <r>
    <s v="2324"/>
    <s v="V"/>
    <x v="2"/>
    <x v="2"/>
    <x v="4"/>
    <s v="D"/>
    <m/>
    <s v="BJ-0041"/>
    <x v="68"/>
    <d v="2026-05-15T00:00:00"/>
    <d v="2026-05-20T00:00:00"/>
    <n v="5550000"/>
  </r>
  <r>
    <s v="2325"/>
    <s v="V"/>
    <x v="2"/>
    <x v="2"/>
    <x v="4"/>
    <s v="D"/>
    <m/>
    <s v="BJ-0042"/>
    <x v="68"/>
    <d v="2026-06-25T00:00:00"/>
    <d v="2026-07-01T00:00:00"/>
    <n v="5550000"/>
  </r>
  <r>
    <s v="2326"/>
    <s v="V"/>
    <x v="0"/>
    <x v="0"/>
    <x v="0"/>
    <m/>
    <m/>
    <m/>
    <x v="0"/>
    <m/>
    <m/>
    <m/>
  </r>
  <r>
    <s v="2327"/>
    <s v="V"/>
    <x v="0"/>
    <x v="0"/>
    <x v="0"/>
    <m/>
    <m/>
    <m/>
    <x v="0"/>
    <m/>
    <m/>
    <m/>
  </r>
  <r>
    <s v="2328"/>
    <s v="V"/>
    <x v="0"/>
    <x v="0"/>
    <x v="0"/>
    <m/>
    <s v="X"/>
    <s v="JNE MERAK - PENGIRIMAN INVOICE"/>
    <x v="0"/>
    <m/>
    <m/>
    <n v="15810758"/>
  </r>
  <r>
    <s v="2329"/>
    <s v="V"/>
    <x v="1"/>
    <x v="1"/>
    <x v="4"/>
    <s v="D"/>
    <m/>
    <m/>
    <x v="69"/>
    <d v="2025-02-07T00:00:00"/>
    <d v="2025-02-13T00:00:00"/>
    <n v="1251439"/>
  </r>
  <r>
    <s v="2330"/>
    <s v="V"/>
    <x v="1"/>
    <x v="1"/>
    <x v="4"/>
    <s v="D"/>
    <m/>
    <m/>
    <x v="69"/>
    <d v="2025-03-10T00:00:00"/>
    <d v="2025-03-14T00:00:00"/>
    <n v="889882"/>
  </r>
  <r>
    <s v="2331"/>
    <s v="V"/>
    <x v="1"/>
    <x v="1"/>
    <x v="4"/>
    <s v="D"/>
    <m/>
    <m/>
    <x v="69"/>
    <d v="2025-04-08T00:00:00"/>
    <d v="2025-04-15T00:00:00"/>
    <n v="1116447"/>
  </r>
  <r>
    <s v="2332"/>
    <s v="V"/>
    <x v="1"/>
    <x v="1"/>
    <x v="4"/>
    <s v="D"/>
    <m/>
    <m/>
    <x v="69"/>
    <d v="2025-05-07T00:00:00"/>
    <d v="2025-05-14T00:00:00"/>
    <n v="1038195"/>
  </r>
  <r>
    <s v="2333"/>
    <s v="V"/>
    <x v="1"/>
    <x v="1"/>
    <x v="4"/>
    <s v="D"/>
    <m/>
    <m/>
    <x v="69"/>
    <d v="2025-06-09T00:00:00"/>
    <d v="2025-06-14T00:00:00"/>
    <n v="1013628"/>
  </r>
  <r>
    <s v="2334"/>
    <s v="V"/>
    <x v="1"/>
    <x v="1"/>
    <x v="4"/>
    <s v="D"/>
    <m/>
    <m/>
    <x v="69"/>
    <d v="2025-07-07T00:00:00"/>
    <d v="2025-07-10T00:00:00"/>
    <n v="696983"/>
  </r>
  <r>
    <s v="2335"/>
    <s v="V"/>
    <x v="1"/>
    <x v="1"/>
    <x v="4"/>
    <s v="D"/>
    <m/>
    <m/>
    <x v="69"/>
    <d v="2025-08-07T00:00:00"/>
    <d v="2025-08-14T00:00:00"/>
    <n v="908999"/>
  </r>
  <r>
    <s v="2336"/>
    <s v="V"/>
    <x v="1"/>
    <x v="1"/>
    <x v="4"/>
    <s v="D"/>
    <m/>
    <m/>
    <x v="69"/>
    <d v="2025-09-08T00:00:00"/>
    <d v="2025-09-11T00:00:00"/>
    <n v="1076412"/>
  </r>
  <r>
    <s v="2337"/>
    <s v="V"/>
    <x v="1"/>
    <x v="1"/>
    <x v="4"/>
    <s v="D"/>
    <m/>
    <m/>
    <x v="69"/>
    <d v="2025-10-08T00:00:00"/>
    <d v="2025-10-13T00:00:00"/>
    <n v="930828"/>
  </r>
  <r>
    <s v="2338"/>
    <s v="V"/>
    <x v="1"/>
    <x v="1"/>
    <x v="4"/>
    <s v="D"/>
    <m/>
    <m/>
    <x v="69"/>
    <d v="2025-11-17T00:00:00"/>
    <d v="2025-11-25T00:00:00"/>
    <n v="1194699"/>
  </r>
  <r>
    <s v="2339"/>
    <s v="V"/>
    <x v="1"/>
    <x v="1"/>
    <x v="4"/>
    <s v="D"/>
    <m/>
    <m/>
    <x v="69"/>
    <d v="2025-12-08T00:00:00"/>
    <d v="2025-12-13T00:00:00"/>
    <n v="769775"/>
  </r>
  <r>
    <s v="2340"/>
    <s v="V"/>
    <x v="2"/>
    <x v="1"/>
    <x v="4"/>
    <s v="D"/>
    <m/>
    <m/>
    <x v="69"/>
    <d v="2026-01-09T00:00:00"/>
    <d v="2026-01-12T00:00:00"/>
    <n v="304817"/>
  </r>
  <r>
    <s v="2341"/>
    <s v="V"/>
    <x v="2"/>
    <x v="1"/>
    <x v="4"/>
    <s v="D"/>
    <m/>
    <m/>
    <x v="69"/>
    <d v="2026-02-09T00:00:00"/>
    <d v="2026-02-12T00:00:00"/>
    <n v="649669"/>
  </r>
  <r>
    <s v="2342"/>
    <s v="V"/>
    <x v="2"/>
    <x v="1"/>
    <x v="4"/>
    <s v="D"/>
    <m/>
    <m/>
    <x v="69"/>
    <d v="2026-03-09T00:00:00"/>
    <d v="2026-03-13T00:00:00"/>
    <n v="680605"/>
  </r>
  <r>
    <s v="2343"/>
    <s v="V"/>
    <x v="2"/>
    <x v="1"/>
    <x v="4"/>
    <s v="D"/>
    <m/>
    <m/>
    <x v="69"/>
    <d v="2026-04-07T00:00:00"/>
    <d v="2026-04-10T00:00:00"/>
    <n v="768866"/>
  </r>
  <r>
    <s v="2344"/>
    <s v="V"/>
    <x v="2"/>
    <x v="1"/>
    <x v="4"/>
    <s v="D"/>
    <m/>
    <m/>
    <x v="69"/>
    <d v="2026-05-08T00:00:00"/>
    <d v="2026-05-13T00:00:00"/>
    <n v="996341"/>
  </r>
  <r>
    <s v="2345"/>
    <s v="V"/>
    <x v="2"/>
    <x v="2"/>
    <x v="4"/>
    <s v="D"/>
    <m/>
    <m/>
    <x v="69"/>
    <d v="2026-06-08T00:00:00"/>
    <d v="2026-06-12T00:00:00"/>
    <n v="987242"/>
  </r>
  <r>
    <s v="2346"/>
    <s v="V"/>
    <x v="2"/>
    <x v="2"/>
    <x v="4"/>
    <s v="D"/>
    <m/>
    <m/>
    <x v="69"/>
    <d v="2026-07-07T00:00:00"/>
    <d v="2026-07-15T00:00:00"/>
    <n v="535931"/>
  </r>
  <r>
    <s v="2347"/>
    <s v="V"/>
    <x v="0"/>
    <x v="0"/>
    <x v="0"/>
    <m/>
    <m/>
    <m/>
    <x v="0"/>
    <m/>
    <m/>
    <m/>
  </r>
  <r>
    <s v="2348"/>
    <s v="V"/>
    <x v="0"/>
    <x v="0"/>
    <x v="0"/>
    <m/>
    <m/>
    <m/>
    <x v="0"/>
    <m/>
    <m/>
    <m/>
  </r>
  <r>
    <s v="2349"/>
    <s v="V"/>
    <x v="0"/>
    <x v="0"/>
    <x v="0"/>
    <m/>
    <s v="X"/>
    <s v="KALTIM SARANA SUKSES, PT - LIMBAH MEDIS"/>
    <x v="0"/>
    <m/>
    <m/>
    <n v="57933353"/>
  </r>
  <r>
    <s v="2350"/>
    <s v="V"/>
    <x v="1"/>
    <x v="1"/>
    <x v="4"/>
    <s v="D"/>
    <m/>
    <m/>
    <x v="70"/>
    <d v="2024-12-28T00:00:00"/>
    <d v="2025-01-16T00:00:00"/>
    <n v="6291935"/>
  </r>
  <r>
    <s v="2351"/>
    <s v="V"/>
    <x v="1"/>
    <x v="1"/>
    <x v="4"/>
    <s v="D"/>
    <m/>
    <m/>
    <x v="70"/>
    <d v="2024-12-28T00:00:00"/>
    <d v="2025-01-16T00:00:00"/>
    <n v="12225262"/>
  </r>
  <r>
    <s v="2352"/>
    <s v="V"/>
    <x v="1"/>
    <x v="1"/>
    <x v="4"/>
    <s v="D"/>
    <m/>
    <m/>
    <x v="70"/>
    <d v="2025-01-20T00:00:00"/>
    <d v="2025-03-14T00:00:00"/>
    <n v="17979286"/>
  </r>
  <r>
    <s v="2353"/>
    <s v="V"/>
    <x v="1"/>
    <x v="1"/>
    <x v="4"/>
    <s v="D"/>
    <m/>
    <m/>
    <x v="70"/>
    <d v="2025-01-30T00:00:00"/>
    <d v="2025-03-14T00:00:00"/>
    <n v="11768853"/>
  </r>
  <r>
    <s v="2354"/>
    <s v="V"/>
    <x v="1"/>
    <x v="2"/>
    <x v="4"/>
    <s v="D"/>
    <m/>
    <m/>
    <x v="70"/>
    <d v="2025-03-03T00:00:00"/>
    <d v="2025-04-25T00:00:00"/>
    <n v="2868862"/>
  </r>
  <r>
    <s v="2355"/>
    <s v="V"/>
    <x v="1"/>
    <x v="2"/>
    <x v="4"/>
    <s v="D"/>
    <m/>
    <m/>
    <x v="70"/>
    <d v="2025-04-14T00:00:00"/>
    <d v="2025-04-25T00:00:00"/>
    <n v="1292280"/>
  </r>
  <r>
    <s v="2356"/>
    <s v="V"/>
    <x v="1"/>
    <x v="2"/>
    <x v="4"/>
    <s v="D"/>
    <m/>
    <m/>
    <x v="70"/>
    <d v="2025-04-17T00:00:00"/>
    <d v="2025-04-25T00:00:00"/>
    <n v="1013265"/>
  </r>
  <r>
    <s v="2357"/>
    <s v="V"/>
    <x v="1"/>
    <x v="2"/>
    <x v="4"/>
    <s v="D"/>
    <m/>
    <m/>
    <x v="70"/>
    <d v="2025-04-18T00:00:00"/>
    <d v="2025-04-25T00:00:00"/>
    <n v="4493610"/>
  </r>
  <r>
    <s v="2358"/>
    <s v="V"/>
    <x v="0"/>
    <x v="0"/>
    <x v="0"/>
    <m/>
    <m/>
    <m/>
    <x v="0"/>
    <m/>
    <m/>
    <m/>
  </r>
  <r>
    <s v="2359"/>
    <s v="V"/>
    <x v="0"/>
    <x v="0"/>
    <x v="0"/>
    <m/>
    <m/>
    <m/>
    <x v="0"/>
    <m/>
    <m/>
    <m/>
  </r>
  <r>
    <s v="2360"/>
    <s v="V"/>
    <x v="0"/>
    <x v="0"/>
    <x v="0"/>
    <m/>
    <s v="X"/>
    <s v="KARUNIA LUMASINDO PRATAMA, PT - LIMBAH MEDIS"/>
    <x v="0"/>
    <m/>
    <m/>
    <n v="114165300"/>
  </r>
  <r>
    <s v="2361"/>
    <s v="V"/>
    <x v="3"/>
    <x v="1"/>
    <x v="4"/>
    <s v="D"/>
    <m/>
    <s v="KL-0022"/>
    <x v="71"/>
    <d v="2024-09-05T00:00:00"/>
    <d v="2024-09-09T00:00:00"/>
    <n v="24622500"/>
  </r>
  <r>
    <s v="2362"/>
    <s v="V"/>
    <x v="3"/>
    <x v="1"/>
    <x v="4"/>
    <s v="D"/>
    <m/>
    <s v="KL-0023"/>
    <x v="71"/>
    <d v="2024-10-04T00:00:00"/>
    <d v="2024-10-08T00:00:00"/>
    <n v="13545000"/>
  </r>
  <r>
    <s v="2363"/>
    <s v="V"/>
    <x v="3"/>
    <x v="1"/>
    <x v="4"/>
    <s v="D"/>
    <m/>
    <s v="KL-0024"/>
    <x v="71"/>
    <d v="2024-11-04T00:00:00"/>
    <d v="2024-11-07T00:00:00"/>
    <n v="15000000"/>
  </r>
  <r>
    <s v="2364"/>
    <s v="V"/>
    <x v="3"/>
    <x v="1"/>
    <x v="4"/>
    <s v="D"/>
    <m/>
    <s v="KL-0024"/>
    <x v="71"/>
    <d v="2024-11-04T00:00:00"/>
    <d v="2024-11-07T00:00:00"/>
    <n v="15000000"/>
  </r>
  <r>
    <s v="2365"/>
    <s v="V"/>
    <x v="3"/>
    <x v="2"/>
    <x v="4"/>
    <s v="D"/>
    <m/>
    <s v="KL-0024"/>
    <x v="71"/>
    <d v="2024-11-04T00:00:00"/>
    <d v="2024-11-07T00:00:00"/>
    <n v="23060000"/>
  </r>
  <r>
    <s v="2366"/>
    <s v="V"/>
    <x v="3"/>
    <x v="2"/>
    <x v="4"/>
    <s v="D"/>
    <m/>
    <s v="KL-0025"/>
    <x v="71"/>
    <d v="2024-12-04T00:00:00"/>
    <d v="2024-12-06T00:00:00"/>
    <n v="17132500"/>
  </r>
  <r>
    <s v="2367"/>
    <s v="V"/>
    <x v="1"/>
    <x v="2"/>
    <x v="4"/>
    <s v="D"/>
    <m/>
    <s v="KL-0026"/>
    <x v="71"/>
    <d v="2025-04-10T00:00:00"/>
    <d v="2025-04-21T00:00:00"/>
    <n v="1942500"/>
  </r>
  <r>
    <s v="2368"/>
    <s v="V"/>
    <x v="1"/>
    <x v="2"/>
    <x v="4"/>
    <s v="D"/>
    <m/>
    <s v="KL-0027"/>
    <x v="71"/>
    <d v="2025-05-05T00:00:00"/>
    <d v="2025-05-06T00:00:00"/>
    <n v="2042400"/>
  </r>
  <r>
    <s v="2369"/>
    <s v="V"/>
    <x v="1"/>
    <x v="2"/>
    <x v="4"/>
    <s v="D"/>
    <m/>
    <s v="KL-0028"/>
    <x v="71"/>
    <d v="2025-06-04T00:00:00"/>
    <d v="2025-06-05T00:00:00"/>
    <n v="577200"/>
  </r>
  <r>
    <s v="2370"/>
    <s v="V"/>
    <x v="1"/>
    <x v="2"/>
    <x v="4"/>
    <s v="D"/>
    <m/>
    <s v="KL-0029"/>
    <x v="71"/>
    <d v="2025-08-06T00:00:00"/>
    <d v="2025-08-11T00:00:00"/>
    <n v="1243200"/>
  </r>
  <r>
    <s v="2371"/>
    <s v="V"/>
    <x v="0"/>
    <x v="0"/>
    <x v="0"/>
    <m/>
    <m/>
    <m/>
    <x v="0"/>
    <m/>
    <m/>
    <m/>
  </r>
  <r>
    <s v="2372"/>
    <s v="V"/>
    <x v="0"/>
    <x v="0"/>
    <x v="0"/>
    <m/>
    <m/>
    <m/>
    <x v="0"/>
    <m/>
    <m/>
    <m/>
  </r>
  <r>
    <s v="2373"/>
    <s v="V"/>
    <x v="0"/>
    <x v="0"/>
    <x v="0"/>
    <m/>
    <s v="X"/>
    <s v="MITRA HIJAU, PT - LIMBAH MEDIS"/>
    <x v="0"/>
    <m/>
    <m/>
    <n v="131124000"/>
  </r>
  <r>
    <s v="2374"/>
    <s v="V"/>
    <x v="1"/>
    <x v="1"/>
    <x v="4"/>
    <s v="D"/>
    <m/>
    <s v="MA-0001"/>
    <x v="72"/>
    <d v="2025-02-18T00:00:00"/>
    <d v="2025-02-24T00:00:00"/>
    <n v="9070000"/>
  </r>
  <r>
    <s v="2375"/>
    <s v="V"/>
    <x v="1"/>
    <x v="1"/>
    <x v="4"/>
    <s v="D"/>
    <m/>
    <s v="MA-0002"/>
    <x v="72"/>
    <d v="2025-02-18T00:00:00"/>
    <d v="2025-02-24T00:00:00"/>
    <n v="5154000"/>
  </r>
  <r>
    <s v="2376"/>
    <s v="V"/>
    <x v="1"/>
    <x v="1"/>
    <x v="4"/>
    <s v="D"/>
    <m/>
    <s v="MA-0003"/>
    <x v="72"/>
    <d v="2025-02-27T00:00:00"/>
    <d v="2025-03-05T00:00:00"/>
    <n v="1880000"/>
  </r>
  <r>
    <s v="2377"/>
    <s v="V"/>
    <x v="1"/>
    <x v="1"/>
    <x v="4"/>
    <s v="D"/>
    <m/>
    <s v="MA-0003"/>
    <x v="72"/>
    <d v="2025-02-27T00:00:00"/>
    <d v="2025-03-05T00:00:00"/>
    <n v="1460000"/>
  </r>
  <r>
    <s v="2378"/>
    <s v="V"/>
    <x v="1"/>
    <x v="1"/>
    <x v="4"/>
    <s v="D"/>
    <m/>
    <s v="MA-0004"/>
    <x v="72"/>
    <d v="2025-02-27T00:00:00"/>
    <d v="2025-03-05T00:00:00"/>
    <n v="800000"/>
  </r>
  <r>
    <s v="2379"/>
    <s v="V"/>
    <x v="1"/>
    <x v="1"/>
    <x v="4"/>
    <s v="D"/>
    <m/>
    <s v="MA-0005"/>
    <x v="72"/>
    <d v="2025-03-15T00:00:00"/>
    <d v="2025-03-21T00:00:00"/>
    <n v="3780000"/>
  </r>
  <r>
    <s v="2380"/>
    <s v="V"/>
    <x v="1"/>
    <x v="1"/>
    <x v="4"/>
    <s v="D"/>
    <m/>
    <s v="MA-0006"/>
    <x v="72"/>
    <d v="2025-03-15T00:00:00"/>
    <d v="2025-03-21T00:00:00"/>
    <n v="3100000"/>
  </r>
  <r>
    <s v="2381"/>
    <s v="V"/>
    <x v="1"/>
    <x v="1"/>
    <x v="4"/>
    <s v="D"/>
    <m/>
    <s v="MA-0007"/>
    <x v="72"/>
    <d v="2025-03-20T00:00:00"/>
    <d v="2025-03-26T00:00:00"/>
    <n v="1920000"/>
  </r>
  <r>
    <s v="2382"/>
    <s v="V"/>
    <x v="1"/>
    <x v="1"/>
    <x v="4"/>
    <s v="D"/>
    <m/>
    <s v="MA-0011"/>
    <x v="72"/>
    <d v="2025-04-15T00:00:00"/>
    <d v="2026-05-09T00:00:00"/>
    <n v="680000"/>
  </r>
  <r>
    <s v="2383"/>
    <s v="V"/>
    <x v="1"/>
    <x v="1"/>
    <x v="4"/>
    <s v="D"/>
    <m/>
    <s v="MA-0013"/>
    <x v="72"/>
    <d v="2025-04-17T00:00:00"/>
    <d v="2026-05-09T00:00:00"/>
    <n v="440000"/>
  </r>
  <r>
    <s v="2384"/>
    <s v="V"/>
    <x v="1"/>
    <x v="1"/>
    <x v="4"/>
    <s v="D"/>
    <m/>
    <s v="MA-0012"/>
    <x v="72"/>
    <d v="2025-04-20T00:00:00"/>
    <d v="2026-05-09T00:00:00"/>
    <n v="2820000"/>
  </r>
  <r>
    <s v="2385"/>
    <s v="V"/>
    <x v="1"/>
    <x v="1"/>
    <x v="4"/>
    <s v="D"/>
    <m/>
    <s v="MA-0012"/>
    <x v="72"/>
    <d v="2025-04-20T00:00:00"/>
    <d v="2026-05-09T00:00:00"/>
    <n v="680000"/>
  </r>
  <r>
    <s v="2386"/>
    <s v="V"/>
    <x v="1"/>
    <x v="1"/>
    <x v="4"/>
    <s v="D"/>
    <m/>
    <s v="MA-0008"/>
    <x v="72"/>
    <d v="2025-04-23T00:00:00"/>
    <d v="2025-04-28T00:00:00"/>
    <n v="1640000"/>
  </r>
  <r>
    <s v="2387"/>
    <s v="V"/>
    <x v="1"/>
    <x v="1"/>
    <x v="4"/>
    <s v="D"/>
    <m/>
    <s v="MA-0009"/>
    <x v="72"/>
    <d v="2025-05-02T00:00:00"/>
    <d v="2025-05-06T00:00:00"/>
    <n v="920000"/>
  </r>
  <r>
    <s v="2388"/>
    <s v="V"/>
    <x v="1"/>
    <x v="1"/>
    <x v="4"/>
    <s v="D"/>
    <m/>
    <s v="MA-0010"/>
    <x v="72"/>
    <d v="2025-05-02T00:00:00"/>
    <d v="2025-05-06T00:00:00"/>
    <n v="1680000"/>
  </r>
  <r>
    <s v="2389"/>
    <s v="V"/>
    <x v="1"/>
    <x v="1"/>
    <x v="4"/>
    <s v="D"/>
    <m/>
    <s v="MA-0014"/>
    <x v="72"/>
    <d v="2025-05-14T00:00:00"/>
    <d v="2025-05-19T00:00:00"/>
    <n v="1880000"/>
  </r>
  <r>
    <s v="2390"/>
    <s v="V"/>
    <x v="1"/>
    <x v="1"/>
    <x v="4"/>
    <s v="D"/>
    <m/>
    <s v="MA-0015"/>
    <x v="72"/>
    <d v="2025-05-22T00:00:00"/>
    <d v="2025-05-22T00:00:00"/>
    <n v="2180000"/>
  </r>
  <r>
    <s v="2391"/>
    <s v="V"/>
    <x v="1"/>
    <x v="1"/>
    <x v="4"/>
    <s v="D"/>
    <m/>
    <s v="MA-0016"/>
    <x v="72"/>
    <d v="2025-05-26T00:00:00"/>
    <d v="2025-05-30T00:00:00"/>
    <n v="3320000"/>
  </r>
  <r>
    <s v="2392"/>
    <s v="V"/>
    <x v="1"/>
    <x v="1"/>
    <x v="4"/>
    <s v="D"/>
    <m/>
    <s v="MA-0017"/>
    <x v="72"/>
    <d v="2025-06-11T00:00:00"/>
    <d v="2025-06-18T00:00:00"/>
    <n v="1860000"/>
  </r>
  <r>
    <s v="2393"/>
    <s v="V"/>
    <x v="1"/>
    <x v="1"/>
    <x v="4"/>
    <s v="D"/>
    <m/>
    <s v="MA-0018"/>
    <x v="72"/>
    <d v="2025-06-11T00:00:00"/>
    <d v="2025-06-18T00:00:00"/>
    <n v="840000"/>
  </r>
  <r>
    <s v="2394"/>
    <s v="V"/>
    <x v="1"/>
    <x v="2"/>
    <x v="4"/>
    <s v="D"/>
    <m/>
    <s v="MA-0018"/>
    <x v="72"/>
    <d v="2025-06-11T00:00:00"/>
    <d v="2025-06-18T00:00:00"/>
    <n v="1500000"/>
  </r>
  <r>
    <s v="2395"/>
    <s v="V"/>
    <x v="1"/>
    <x v="2"/>
    <x v="4"/>
    <s v="D"/>
    <m/>
    <s v="MA-0019"/>
    <x v="72"/>
    <d v="2025-06-19T00:00:00"/>
    <d v="2025-06-23T00:00:00"/>
    <n v="1320000"/>
  </r>
  <r>
    <s v="2396"/>
    <s v="V"/>
    <x v="1"/>
    <x v="2"/>
    <x v="4"/>
    <s v="D"/>
    <m/>
    <s v="MA-0020"/>
    <x v="72"/>
    <d v="2025-06-24T00:00:00"/>
    <d v="2025-06-30T00:00:00"/>
    <n v="1700000"/>
  </r>
  <r>
    <s v="2397"/>
    <s v="V"/>
    <x v="1"/>
    <x v="2"/>
    <x v="4"/>
    <s v="D"/>
    <m/>
    <s v="MA-0021"/>
    <x v="72"/>
    <d v="2025-06-24T00:00:00"/>
    <d v="2025-06-30T00:00:00"/>
    <n v="980000"/>
  </r>
  <r>
    <s v="2398"/>
    <s v="V"/>
    <x v="1"/>
    <x v="2"/>
    <x v="4"/>
    <s v="D"/>
    <m/>
    <s v="MA-0022"/>
    <x v="72"/>
    <d v="2025-07-11T00:00:00"/>
    <d v="2025-07-18T00:00:00"/>
    <n v="900000"/>
  </r>
  <r>
    <s v="2399"/>
    <s v="V"/>
    <x v="1"/>
    <x v="2"/>
    <x v="4"/>
    <s v="D"/>
    <m/>
    <s v="MA-0023"/>
    <x v="72"/>
    <d v="2025-07-11T00:00:00"/>
    <d v="2025-07-18T00:00:00"/>
    <n v="1580000"/>
  </r>
  <r>
    <s v="2400"/>
    <s v="V"/>
    <x v="1"/>
    <x v="2"/>
    <x v="4"/>
    <s v="D"/>
    <m/>
    <s v="MA-0024"/>
    <x v="72"/>
    <d v="2025-07-16T00:00:00"/>
    <d v="2025-07-21T00:00:00"/>
    <n v="2760000"/>
  </r>
  <r>
    <s v="2401"/>
    <s v="V"/>
    <x v="1"/>
    <x v="2"/>
    <x v="4"/>
    <s v="D"/>
    <m/>
    <s v="MA-0025"/>
    <x v="72"/>
    <d v="2025-07-16T00:00:00"/>
    <d v="2025-07-21T00:00:00"/>
    <n v="1900000"/>
  </r>
  <r>
    <s v="2402"/>
    <s v="V"/>
    <x v="1"/>
    <x v="2"/>
    <x v="4"/>
    <s v="D"/>
    <m/>
    <s v="MA-0026"/>
    <x v="72"/>
    <d v="2025-07-17T00:00:00"/>
    <d v="2025-07-21T00:00:00"/>
    <n v="2960000"/>
  </r>
  <r>
    <s v="2403"/>
    <s v="V"/>
    <x v="1"/>
    <x v="2"/>
    <x v="4"/>
    <s v="D"/>
    <m/>
    <s v="MA-0027"/>
    <x v="72"/>
    <d v="2025-07-25T00:00:00"/>
    <d v="2025-08-01T00:00:00"/>
    <n v="2360000"/>
  </r>
  <r>
    <s v="2404"/>
    <s v="V"/>
    <x v="1"/>
    <x v="2"/>
    <x v="4"/>
    <s v="D"/>
    <m/>
    <s v="MA-0028"/>
    <x v="72"/>
    <d v="2025-08-12T00:00:00"/>
    <d v="2025-08-19T00:00:00"/>
    <n v="1640000"/>
  </r>
  <r>
    <s v="2405"/>
    <s v="V"/>
    <x v="1"/>
    <x v="2"/>
    <x v="4"/>
    <s v="D"/>
    <m/>
    <s v="MA-0029"/>
    <x v="72"/>
    <d v="2025-08-12T00:00:00"/>
    <d v="2025-08-19T00:00:00"/>
    <n v="2260000"/>
  </r>
  <r>
    <s v="2406"/>
    <s v="V"/>
    <x v="1"/>
    <x v="2"/>
    <x v="4"/>
    <s v="D"/>
    <m/>
    <s v="MA-0030"/>
    <x v="72"/>
    <d v="2025-08-15T00:00:00"/>
    <d v="2025-08-30T00:00:00"/>
    <n v="2560000"/>
  </r>
  <r>
    <s v="2407"/>
    <s v="V"/>
    <x v="1"/>
    <x v="2"/>
    <x v="4"/>
    <s v="D"/>
    <m/>
    <s v="MA-0031"/>
    <x v="72"/>
    <d v="2025-08-28T00:00:00"/>
    <d v="2025-08-30T00:00:00"/>
    <n v="1180000"/>
  </r>
  <r>
    <s v="2408"/>
    <s v="V"/>
    <x v="1"/>
    <x v="2"/>
    <x v="4"/>
    <s v="D"/>
    <m/>
    <s v="MA-0032"/>
    <x v="72"/>
    <d v="2025-09-09T00:00:00"/>
    <d v="2025-09-12T00:00:00"/>
    <n v="2400000"/>
  </r>
  <r>
    <s v="2409"/>
    <s v="V"/>
    <x v="1"/>
    <x v="2"/>
    <x v="4"/>
    <s v="D"/>
    <m/>
    <s v="MA-0033"/>
    <x v="72"/>
    <d v="2025-09-09T00:00:00"/>
    <d v="2025-09-12T00:00:00"/>
    <n v="2220000"/>
  </r>
  <r>
    <s v="2410"/>
    <s v="V"/>
    <x v="1"/>
    <x v="2"/>
    <x v="4"/>
    <s v="D"/>
    <m/>
    <s v="MA-0034"/>
    <x v="72"/>
    <d v="2025-09-09T00:00:00"/>
    <d v="2025-09-12T00:00:00"/>
    <n v="2040000"/>
  </r>
  <r>
    <s v="2411"/>
    <s v="V"/>
    <x v="1"/>
    <x v="2"/>
    <x v="4"/>
    <s v="D"/>
    <m/>
    <s v="MA-0035"/>
    <x v="72"/>
    <d v="2025-09-12T00:00:00"/>
    <d v="2025-09-17T00:00:00"/>
    <n v="3940000"/>
  </r>
  <r>
    <s v="2412"/>
    <s v="V"/>
    <x v="1"/>
    <x v="2"/>
    <x v="4"/>
    <s v="D"/>
    <m/>
    <s v="MA-0036"/>
    <x v="72"/>
    <d v="2025-09-25T00:00:00"/>
    <d v="2025-10-02T00:00:00"/>
    <n v="3820000"/>
  </r>
  <r>
    <s v="2413"/>
    <s v="V"/>
    <x v="1"/>
    <x v="2"/>
    <x v="4"/>
    <s v="D"/>
    <m/>
    <s v="MA-0037"/>
    <x v="72"/>
    <d v="2025-10-07T00:00:00"/>
    <d v="2025-10-13T00:00:00"/>
    <n v="6740000"/>
  </r>
  <r>
    <s v="2414"/>
    <s v="V"/>
    <x v="1"/>
    <x v="2"/>
    <x v="4"/>
    <s v="D"/>
    <m/>
    <s v="MA-0038"/>
    <x v="72"/>
    <d v="2025-10-21T00:00:00"/>
    <d v="2025-10-24T00:00:00"/>
    <n v="5380000"/>
  </r>
  <r>
    <s v="2415"/>
    <s v="V"/>
    <x v="1"/>
    <x v="2"/>
    <x v="4"/>
    <s v="D"/>
    <m/>
    <s v="MA-0039"/>
    <x v="72"/>
    <d v="2025-11-11T00:00:00"/>
    <d v="2025-11-15T00:00:00"/>
    <n v="4020000"/>
  </r>
  <r>
    <s v="2416"/>
    <s v="V"/>
    <x v="1"/>
    <x v="2"/>
    <x v="4"/>
    <s v="D"/>
    <m/>
    <s v="MA-0040"/>
    <x v="72"/>
    <d v="2025-11-11T00:00:00"/>
    <d v="2025-11-15T00:00:00"/>
    <n v="2000000"/>
  </r>
  <r>
    <s v="2417"/>
    <s v="V"/>
    <x v="1"/>
    <x v="2"/>
    <x v="4"/>
    <s v="D"/>
    <m/>
    <s v="MA-0041"/>
    <x v="72"/>
    <d v="2025-11-26T00:00:00"/>
    <d v="2025-12-01T00:00:00"/>
    <n v="1300000"/>
  </r>
  <r>
    <s v="2418"/>
    <s v="V"/>
    <x v="1"/>
    <x v="2"/>
    <x v="4"/>
    <s v="D"/>
    <m/>
    <s v="MA-0042"/>
    <x v="72"/>
    <d v="2025-12-09T00:00:00"/>
    <d v="2025-12-13T00:00:00"/>
    <n v="660000"/>
  </r>
  <r>
    <s v="2419"/>
    <s v="V"/>
    <x v="1"/>
    <x v="2"/>
    <x v="4"/>
    <s v="D"/>
    <m/>
    <s v="MA-0043"/>
    <x v="72"/>
    <d v="2025-12-26T00:00:00"/>
    <d v="2025-12-31T00:00:00"/>
    <n v="660000"/>
  </r>
  <r>
    <s v="2420"/>
    <s v="V"/>
    <x v="1"/>
    <x v="2"/>
    <x v="4"/>
    <s v="D"/>
    <m/>
    <s v="MA-0044"/>
    <x v="72"/>
    <d v="2025-12-26T00:00:00"/>
    <d v="2025-12-31T00:00:00"/>
    <n v="560000"/>
  </r>
  <r>
    <s v="2421"/>
    <s v="V"/>
    <x v="1"/>
    <x v="2"/>
    <x v="4"/>
    <s v="D"/>
    <m/>
    <s v="MA-0045"/>
    <x v="72"/>
    <d v="2025-12-26T00:00:00"/>
    <d v="2025-12-31T00:00:00"/>
    <n v="1880000"/>
  </r>
  <r>
    <s v="2422"/>
    <s v="V"/>
    <x v="1"/>
    <x v="2"/>
    <x v="4"/>
    <s v="D"/>
    <m/>
    <s v="MA-0046"/>
    <x v="72"/>
    <d v="2025-12-29T00:00:00"/>
    <d v="2025-12-31T00:00:00"/>
    <n v="840000"/>
  </r>
  <r>
    <s v="2423"/>
    <s v="V"/>
    <x v="1"/>
    <x v="2"/>
    <x v="4"/>
    <s v="D"/>
    <m/>
    <s v="MA-0047"/>
    <x v="72"/>
    <d v="2025-12-29T00:00:00"/>
    <d v="2025-12-31T00:00:00"/>
    <n v="1360000"/>
  </r>
  <r>
    <s v="2424"/>
    <s v="V"/>
    <x v="2"/>
    <x v="2"/>
    <x v="4"/>
    <s v="D"/>
    <m/>
    <s v="MA-0048"/>
    <x v="72"/>
    <d v="2026-01-14T00:00:00"/>
    <d v="2026-01-19T00:00:00"/>
    <n v="2440000"/>
  </r>
  <r>
    <s v="2425"/>
    <s v="V"/>
    <x v="2"/>
    <x v="2"/>
    <x v="4"/>
    <s v="D"/>
    <m/>
    <s v="MA-0049"/>
    <x v="72"/>
    <d v="2026-02-09T00:00:00"/>
    <d v="2026-02-13T00:00:00"/>
    <n v="1620000"/>
  </r>
  <r>
    <s v="2426"/>
    <s v="V"/>
    <x v="2"/>
    <x v="2"/>
    <x v="4"/>
    <s v="D"/>
    <m/>
    <s v="MA-0050"/>
    <x v="72"/>
    <d v="2026-02-09T00:00:00"/>
    <d v="2026-02-13T00:00:00"/>
    <n v="1200000"/>
  </r>
  <r>
    <s v="2427"/>
    <s v="V"/>
    <x v="2"/>
    <x v="2"/>
    <x v="4"/>
    <s v="D"/>
    <m/>
    <s v="MA-0051"/>
    <x v="72"/>
    <d v="2026-02-12T00:00:00"/>
    <d v="2026-02-18T00:00:00"/>
    <n v="1340000"/>
  </r>
  <r>
    <s v="2428"/>
    <s v="V"/>
    <x v="2"/>
    <x v="2"/>
    <x v="4"/>
    <s v="D"/>
    <m/>
    <s v="MA-0052"/>
    <x v="72"/>
    <d v="2026-02-12T00:00:00"/>
    <d v="2026-02-18T00:00:00"/>
    <n v="980000"/>
  </r>
  <r>
    <s v="2429"/>
    <s v="V"/>
    <x v="2"/>
    <x v="2"/>
    <x v="4"/>
    <s v="D"/>
    <m/>
    <s v="MA-0053"/>
    <x v="72"/>
    <d v="2026-03-02T00:00:00"/>
    <d v="2026-03-06T00:00:00"/>
    <n v="1560000"/>
  </r>
  <r>
    <s v="2430"/>
    <s v="V"/>
    <x v="2"/>
    <x v="2"/>
    <x v="4"/>
    <s v="D"/>
    <m/>
    <s v="MA-0054"/>
    <x v="72"/>
    <d v="2026-07-07T00:00:00"/>
    <d v="2026-07-09T00:00:00"/>
    <n v="10460000"/>
  </r>
  <r>
    <s v="2431"/>
    <s v="V"/>
    <x v="0"/>
    <x v="0"/>
    <x v="0"/>
    <m/>
    <m/>
    <m/>
    <x v="0"/>
    <m/>
    <m/>
    <s v="           "/>
  </r>
  <r>
    <s v="2432"/>
    <s v="V"/>
    <x v="0"/>
    <x v="0"/>
    <x v="0"/>
    <m/>
    <m/>
    <m/>
    <x v="0"/>
    <m/>
    <m/>
    <m/>
  </r>
  <r>
    <s v="2433"/>
    <s v="V"/>
    <x v="0"/>
    <x v="0"/>
    <x v="0"/>
    <m/>
    <s v="X"/>
    <s v="PMI SAMARINDA - PERMINTAAN DARAH"/>
    <x v="0"/>
    <m/>
    <m/>
    <n v="285930000"/>
  </r>
  <r>
    <s v="2434"/>
    <s v="V"/>
    <x v="3"/>
    <x v="1"/>
    <x v="4"/>
    <s v="D"/>
    <m/>
    <s v="PM-0025"/>
    <x v="73"/>
    <d v="2025-01-06T00:00:00"/>
    <d v="2025-01-09T00:00:00"/>
    <n v="21560000"/>
  </r>
  <r>
    <s v="2435"/>
    <s v="V"/>
    <x v="1"/>
    <x v="1"/>
    <x v="4"/>
    <s v="D"/>
    <m/>
    <s v="PM-0026"/>
    <x v="73"/>
    <d v="2025-02-05T00:00:00"/>
    <d v="2025-02-07T00:00:00"/>
    <n v="31170000"/>
  </r>
  <r>
    <s v="2436"/>
    <s v="V"/>
    <x v="1"/>
    <x v="1"/>
    <x v="4"/>
    <s v="D"/>
    <m/>
    <s v="PM-0027"/>
    <x v="73"/>
    <d v="2025-03-06T00:00:00"/>
    <d v="2025-03-11T00:00:00"/>
    <n v="16860000"/>
  </r>
  <r>
    <s v="2437"/>
    <s v="V"/>
    <x v="1"/>
    <x v="1"/>
    <x v="4"/>
    <s v="D"/>
    <m/>
    <s v="PM-0028"/>
    <x v="73"/>
    <d v="2025-04-11T00:00:00"/>
    <d v="2025-04-15T00:00:00"/>
    <n v="19210000"/>
  </r>
  <r>
    <s v="2438"/>
    <s v="V"/>
    <x v="1"/>
    <x v="1"/>
    <x v="4"/>
    <s v="D"/>
    <m/>
    <s v="PM-0029"/>
    <x v="73"/>
    <d v="2025-05-06T00:00:00"/>
    <d v="2025-05-08T00:00:00"/>
    <n v="21170000"/>
  </r>
  <r>
    <s v="2439"/>
    <s v="V"/>
    <x v="1"/>
    <x v="1"/>
    <x v="4"/>
    <s v="D"/>
    <m/>
    <s v="PM-0030"/>
    <x v="73"/>
    <d v="2025-06-04T00:00:00"/>
    <d v="2025-06-05T00:00:00"/>
    <n v="15000000"/>
  </r>
  <r>
    <s v="2440"/>
    <s v="V"/>
    <x v="1"/>
    <x v="1"/>
    <x v="4"/>
    <s v="D"/>
    <m/>
    <s v="PM-0031"/>
    <x v="73"/>
    <d v="2025-07-04T00:00:00"/>
    <d v="2025-07-10T00:00:00"/>
    <n v="8730000"/>
  </r>
  <r>
    <s v="2441"/>
    <s v="V"/>
    <x v="1"/>
    <x v="2"/>
    <x v="4"/>
    <s v="D"/>
    <m/>
    <s v="PM-0032"/>
    <x v="73"/>
    <d v="2025-08-02T00:00:00"/>
    <d v="2025-08-07T00:00:00"/>
    <n v="11270000"/>
  </r>
  <r>
    <s v="2442"/>
    <s v="V"/>
    <x v="1"/>
    <x v="2"/>
    <x v="4"/>
    <s v="D"/>
    <m/>
    <s v="PM-0033"/>
    <x v="73"/>
    <d v="2025-09-04T00:00:00"/>
    <d v="2025-09-09T00:00:00"/>
    <n v="8330000"/>
  </r>
  <r>
    <s v="2443"/>
    <s v="V"/>
    <x v="1"/>
    <x v="2"/>
    <x v="4"/>
    <s v="D"/>
    <m/>
    <s v="PM-0034"/>
    <x v="73"/>
    <d v="2025-10-01T00:00:00"/>
    <d v="2025-10-07T00:00:00"/>
    <n v="12650000"/>
  </r>
  <r>
    <s v="2444"/>
    <s v="V"/>
    <x v="1"/>
    <x v="2"/>
    <x v="4"/>
    <s v="D"/>
    <m/>
    <s v="PM-0035"/>
    <x v="73"/>
    <d v="2025-11-04T00:00:00"/>
    <d v="2025-11-06T00:00:00"/>
    <n v="11760000"/>
  </r>
  <r>
    <s v="2445"/>
    <s v="V"/>
    <x v="1"/>
    <x v="2"/>
    <x v="4"/>
    <s v="D"/>
    <m/>
    <s v="PM-0036"/>
    <x v="73"/>
    <d v="2025-12-01T00:00:00"/>
    <d v="2025-12-03T00:00:00"/>
    <n v="7550000"/>
  </r>
  <r>
    <s v="2446"/>
    <s v="V"/>
    <x v="1"/>
    <x v="2"/>
    <x v="4"/>
    <s v="D"/>
    <m/>
    <s v="PM-0037"/>
    <x v="73"/>
    <d v="2026-01-13T00:00:00"/>
    <d v="2026-01-14T00:00:00"/>
    <n v="17250000"/>
  </r>
  <r>
    <s v="2447"/>
    <s v="V"/>
    <x v="2"/>
    <x v="2"/>
    <x v="4"/>
    <s v="D"/>
    <m/>
    <s v="PM-0038"/>
    <x v="73"/>
    <d v="2026-01-09T00:00:00"/>
    <d v="2026-02-19T00:00:00"/>
    <n v="12450000"/>
  </r>
  <r>
    <s v="2448"/>
    <s v="V"/>
    <x v="2"/>
    <x v="2"/>
    <x v="4"/>
    <s v="D"/>
    <m/>
    <s v="PM-0039"/>
    <x v="73"/>
    <d v="2026-03-03T00:00:00"/>
    <d v="2026-03-05T00:00:00"/>
    <n v="11180000"/>
  </r>
  <r>
    <s v="2449"/>
    <s v="V"/>
    <x v="2"/>
    <x v="2"/>
    <x v="4"/>
    <s v="D"/>
    <m/>
    <s v="PM-0040"/>
    <x v="73"/>
    <d v="2026-04-01T00:00:00"/>
    <d v="2026-04-07T00:00:00"/>
    <n v="18620000"/>
  </r>
  <r>
    <s v="2450"/>
    <s v="V"/>
    <x v="2"/>
    <x v="2"/>
    <x v="4"/>
    <s v="D"/>
    <m/>
    <s v="PM-0041"/>
    <x v="73"/>
    <d v="2026-05-04T00:00:00"/>
    <d v="2026-05-12T00:00:00"/>
    <n v="9800000"/>
  </r>
  <r>
    <s v="2451"/>
    <s v="V"/>
    <x v="2"/>
    <x v="2"/>
    <x v="4"/>
    <s v="D"/>
    <m/>
    <s v="PM-0042"/>
    <x v="73"/>
    <d v="2026-06-02T00:00:00"/>
    <d v="2026-06-09T00:00:00"/>
    <n v="17550000"/>
  </r>
  <r>
    <s v="2452"/>
    <s v="V"/>
    <x v="2"/>
    <x v="2"/>
    <x v="4"/>
    <s v="D"/>
    <m/>
    <s v="PM-0043"/>
    <x v="73"/>
    <d v="2026-07-02T00:00:00"/>
    <d v="2026-07-07T00:00:00"/>
    <n v="13820000"/>
  </r>
  <r>
    <s v="2453"/>
    <s v="V"/>
    <x v="0"/>
    <x v="0"/>
    <x v="0"/>
    <m/>
    <m/>
    <m/>
    <x v="0"/>
    <m/>
    <m/>
    <m/>
  </r>
  <r>
    <s v="2454"/>
    <s v="V"/>
    <x v="0"/>
    <x v="0"/>
    <x v="0"/>
    <m/>
    <m/>
    <m/>
    <x v="0"/>
    <m/>
    <m/>
    <m/>
  </r>
  <r>
    <s v="2455"/>
    <s v="V"/>
    <x v="0"/>
    <x v="0"/>
    <x v="0"/>
    <m/>
    <s v="X"/>
    <s v="SUKSES KALTIM - GAS OKSIGEN"/>
    <x v="0"/>
    <m/>
    <m/>
    <n v="101120000"/>
  </r>
  <r>
    <s v="2456"/>
    <s v="V"/>
    <x v="3"/>
    <x v="1"/>
    <x v="4"/>
    <s v="D"/>
    <m/>
    <m/>
    <x v="74"/>
    <d v="2025-03-26T00:00:00"/>
    <d v="2025-04-26T00:00:00"/>
    <n v="3750000"/>
  </r>
  <r>
    <s v="2457"/>
    <s v="V"/>
    <x v="3"/>
    <x v="1"/>
    <x v="4"/>
    <s v="D"/>
    <m/>
    <m/>
    <x v="74"/>
    <d v="2025-03-26T00:00:00"/>
    <d v="2025-04-26T00:00:00"/>
    <n v="5600000"/>
  </r>
  <r>
    <s v="2458"/>
    <s v="V"/>
    <x v="3"/>
    <x v="1"/>
    <x v="4"/>
    <s v="D"/>
    <m/>
    <m/>
    <x v="74"/>
    <d v="2025-03-26T00:00:00"/>
    <d v="2025-04-26T00:00:00"/>
    <n v="4700000"/>
  </r>
  <r>
    <s v="2459"/>
    <s v="V"/>
    <x v="3"/>
    <x v="1"/>
    <x v="4"/>
    <s v="D"/>
    <m/>
    <m/>
    <x v="74"/>
    <d v="2025-03-26T00:00:00"/>
    <d v="2025-04-26T00:00:00"/>
    <n v="5600000"/>
  </r>
  <r>
    <s v="2460"/>
    <s v="V"/>
    <x v="3"/>
    <x v="1"/>
    <x v="4"/>
    <s v="D"/>
    <m/>
    <m/>
    <x v="74"/>
    <d v="2025-03-26T00:00:00"/>
    <d v="2025-04-26T00:00:00"/>
    <n v="8700000"/>
  </r>
  <r>
    <s v="2461"/>
    <s v="V"/>
    <x v="3"/>
    <x v="1"/>
    <x v="4"/>
    <s v="D"/>
    <m/>
    <m/>
    <x v="74"/>
    <d v="2025-03-26T00:00:00"/>
    <d v="2025-04-26T00:00:00"/>
    <n v="5800000"/>
  </r>
  <r>
    <s v="2462"/>
    <s v="V"/>
    <x v="1"/>
    <x v="1"/>
    <x v="4"/>
    <s v="D"/>
    <m/>
    <m/>
    <x v="74"/>
    <d v="2025-03-26T00:00:00"/>
    <d v="2025-04-26T00:00:00"/>
    <n v="5200000"/>
  </r>
  <r>
    <s v="2463"/>
    <s v="V"/>
    <x v="1"/>
    <x v="1"/>
    <x v="4"/>
    <s v="D"/>
    <m/>
    <m/>
    <x v="74"/>
    <d v="2025-03-26T00:00:00"/>
    <d v="2025-04-26T00:00:00"/>
    <n v="4550000"/>
  </r>
  <r>
    <s v="2464"/>
    <s v="V"/>
    <x v="1"/>
    <x v="1"/>
    <x v="4"/>
    <s v="D"/>
    <m/>
    <m/>
    <x v="74"/>
    <d v="2025-03-26T00:00:00"/>
    <d v="2025-04-26T00:00:00"/>
    <n v="4200000"/>
  </r>
  <r>
    <s v="2465"/>
    <s v="V"/>
    <x v="1"/>
    <x v="1"/>
    <x v="4"/>
    <s v="D"/>
    <m/>
    <m/>
    <x v="74"/>
    <d v="2025-05-10T00:00:00"/>
    <d v="2025-05-10T00:00:00"/>
    <n v="2500000"/>
  </r>
  <r>
    <s v="2466"/>
    <s v="V"/>
    <x v="1"/>
    <x v="1"/>
    <x v="4"/>
    <s v="D"/>
    <m/>
    <m/>
    <x v="74"/>
    <d v="2025-06-03T00:00:00"/>
    <d v="2025-06-03T00:00:00"/>
    <n v="2850000"/>
  </r>
  <r>
    <s v="2467"/>
    <s v="V"/>
    <x v="1"/>
    <x v="1"/>
    <x v="4"/>
    <s v="D"/>
    <m/>
    <m/>
    <x v="74"/>
    <d v="2025-08-04T00:00:00"/>
    <d v="2025-08-04T00:00:00"/>
    <n v="2450000"/>
  </r>
  <r>
    <s v="2468"/>
    <s v="V"/>
    <x v="1"/>
    <x v="1"/>
    <x v="4"/>
    <s v="D"/>
    <m/>
    <m/>
    <x v="74"/>
    <d v="2025-08-04T00:00:00"/>
    <d v="2025-08-04T00:00:00"/>
    <n v="3200000"/>
  </r>
  <r>
    <s v="2469"/>
    <s v="V"/>
    <x v="1"/>
    <x v="2"/>
    <x v="4"/>
    <s v="D"/>
    <m/>
    <m/>
    <x v="74"/>
    <d v="2025-10-16T00:00:00"/>
    <d v="2025-10-16T00:00:00"/>
    <n v="3500000"/>
  </r>
  <r>
    <s v="2470"/>
    <s v="V"/>
    <x v="1"/>
    <x v="2"/>
    <x v="4"/>
    <s v="D"/>
    <m/>
    <m/>
    <x v="74"/>
    <d v="2025-10-16T00:00:00"/>
    <d v="2025-10-16T00:00:00"/>
    <n v="5100000"/>
  </r>
  <r>
    <s v="2471"/>
    <s v="V"/>
    <x v="1"/>
    <x v="2"/>
    <x v="4"/>
    <s v="D"/>
    <m/>
    <m/>
    <x v="74"/>
    <d v="2025-10-01T00:00:00"/>
    <d v="2026-07-02T00:00:00"/>
    <n v="4400000"/>
  </r>
  <r>
    <s v="2472"/>
    <s v="V"/>
    <x v="1"/>
    <x v="2"/>
    <x v="4"/>
    <s v="D"/>
    <m/>
    <m/>
    <x v="74"/>
    <d v="2025-11-08T00:00:00"/>
    <d v="2026-07-02T00:00:00"/>
    <n v="2250000"/>
  </r>
  <r>
    <s v="2473"/>
    <s v="V"/>
    <x v="1"/>
    <x v="2"/>
    <x v="4"/>
    <s v="D"/>
    <m/>
    <m/>
    <x v="74"/>
    <d v="2025-12-02T00:00:00"/>
    <d v="2026-07-02T00:00:00"/>
    <n v="5100000"/>
  </r>
  <r>
    <s v="2474"/>
    <s v="V"/>
    <x v="2"/>
    <x v="2"/>
    <x v="4"/>
    <s v="D"/>
    <m/>
    <m/>
    <x v="74"/>
    <d v="2026-01-06T00:00:00"/>
    <d v="2026-07-02T00:00:00"/>
    <n v="4600000"/>
  </r>
  <r>
    <s v="2475"/>
    <s v="V"/>
    <x v="2"/>
    <x v="2"/>
    <x v="4"/>
    <s v="D"/>
    <m/>
    <m/>
    <x v="74"/>
    <d v="2026-02-05T00:00:00"/>
    <d v="2026-07-02T00:00:00"/>
    <n v="3800000"/>
  </r>
  <r>
    <s v="2476"/>
    <s v="V"/>
    <x v="2"/>
    <x v="2"/>
    <x v="4"/>
    <s v="D"/>
    <m/>
    <m/>
    <x v="74"/>
    <d v="2026-03-07T00:00:00"/>
    <d v="2026-07-02T00:00:00"/>
    <n v="1800000"/>
  </r>
  <r>
    <s v="2477"/>
    <s v="V"/>
    <x v="2"/>
    <x v="2"/>
    <x v="4"/>
    <s v="D"/>
    <m/>
    <m/>
    <x v="74"/>
    <d v="2026-04-02T00:00:00"/>
    <d v="2026-07-02T00:00:00"/>
    <n v="3900000"/>
  </r>
  <r>
    <s v="2478"/>
    <s v="V"/>
    <x v="2"/>
    <x v="2"/>
    <x v="4"/>
    <s v="D"/>
    <m/>
    <m/>
    <x v="74"/>
    <d v="2026-05-07T00:00:00"/>
    <d v="2026-07-02T00:00:00"/>
    <n v="3090000"/>
  </r>
  <r>
    <s v="2479"/>
    <s v="V"/>
    <x v="2"/>
    <x v="2"/>
    <x v="4"/>
    <s v="D"/>
    <m/>
    <m/>
    <x v="74"/>
    <d v="2026-06-05T00:00:00"/>
    <d v="2026-07-02T00:00:00"/>
    <n v="4480000"/>
  </r>
  <r>
    <s v="2480"/>
    <s v="V"/>
    <x v="0"/>
    <x v="0"/>
    <x v="0"/>
    <m/>
    <m/>
    <m/>
    <x v="0"/>
    <m/>
    <m/>
    <m/>
  </r>
  <r>
    <s v="2481"/>
    <s v="V"/>
    <x v="0"/>
    <x v="0"/>
    <x v="0"/>
    <m/>
    <m/>
    <m/>
    <x v="0"/>
    <m/>
    <m/>
    <m/>
  </r>
  <r>
    <s v="2482"/>
    <s v="V"/>
    <x v="0"/>
    <x v="0"/>
    <x v="0"/>
    <m/>
    <s v="X"/>
    <s v="SYARIFAH MANDIRI, CV"/>
    <x v="0"/>
    <m/>
    <m/>
    <n v="0"/>
  </r>
  <r>
    <s v="2483"/>
    <s v="V"/>
    <x v="0"/>
    <x v="0"/>
    <x v="0"/>
    <m/>
    <m/>
    <m/>
    <x v="0"/>
    <m/>
    <m/>
    <m/>
  </r>
  <r>
    <s v="2484"/>
    <s v="V"/>
    <x v="0"/>
    <x v="0"/>
    <x v="0"/>
    <m/>
    <s v="Z"/>
    <s v="BIAYA ATK, CETAKAN, BHP RUMAH TANGGA DLL."/>
    <x v="0"/>
    <m/>
    <m/>
    <n v="677273569"/>
  </r>
  <r>
    <s v="2485"/>
    <s v="V"/>
    <x v="0"/>
    <x v="0"/>
    <x v="0"/>
    <m/>
    <m/>
    <m/>
    <x v="0"/>
    <m/>
    <m/>
    <m/>
  </r>
  <r>
    <s v="2486"/>
    <s v="V"/>
    <x v="0"/>
    <x v="0"/>
    <x v="0"/>
    <m/>
    <s v="X"/>
    <s v="ADHWA GEMILANG"/>
    <x v="0"/>
    <m/>
    <m/>
    <n v="161100000"/>
  </r>
  <r>
    <s v="2487"/>
    <s v="V"/>
    <x v="1"/>
    <x v="1"/>
    <x v="5"/>
    <s v="E"/>
    <m/>
    <m/>
    <x v="75"/>
    <d v="2025-12-31T00:00:00"/>
    <d v="2025-02-19T00:00:00"/>
    <n v="25292500"/>
  </r>
  <r>
    <s v="2488"/>
    <s v="V"/>
    <x v="2"/>
    <x v="1"/>
    <x v="5"/>
    <s v="E"/>
    <m/>
    <m/>
    <x v="75"/>
    <d v="2026-02-16T00:00:00"/>
    <d v="2025-02-20T00:00:00"/>
    <n v="23825000"/>
  </r>
  <r>
    <s v="2489"/>
    <s v="V"/>
    <x v="2"/>
    <x v="1"/>
    <x v="5"/>
    <s v="E"/>
    <m/>
    <m/>
    <x v="75"/>
    <d v="2026-03-03T00:00:00"/>
    <d v="2026-03-26T00:00:00"/>
    <n v="18932500"/>
  </r>
  <r>
    <s v="2490"/>
    <s v="V"/>
    <x v="2"/>
    <x v="1"/>
    <x v="5"/>
    <s v="E"/>
    <m/>
    <m/>
    <x v="75"/>
    <d v="2026-03-30T00:00:00"/>
    <d v="2026-04-28T00:00:00"/>
    <n v="21880000"/>
  </r>
  <r>
    <s v="2491"/>
    <s v="V"/>
    <x v="2"/>
    <x v="1"/>
    <x v="5"/>
    <s v="E"/>
    <m/>
    <m/>
    <x v="75"/>
    <d v="2026-04-30T00:00:00"/>
    <d v="2026-05-19T00:00:00"/>
    <n v="28197500"/>
  </r>
  <r>
    <s v="2492"/>
    <s v="V"/>
    <x v="2"/>
    <x v="1"/>
    <x v="5"/>
    <s v="E"/>
    <m/>
    <m/>
    <x v="75"/>
    <d v="2026-05-30T00:00:00"/>
    <d v="2026-06-11T00:00:00"/>
    <n v="20330000"/>
  </r>
  <r>
    <s v="2493"/>
    <s v="V"/>
    <x v="2"/>
    <x v="1"/>
    <x v="5"/>
    <s v="E"/>
    <m/>
    <m/>
    <x v="75"/>
    <d v="2026-07-06T00:00:00"/>
    <d v="2026-07-23T00:00:00"/>
    <n v="7000000"/>
  </r>
  <r>
    <s v="2493"/>
    <s v="V"/>
    <x v="2"/>
    <x v="2"/>
    <x v="5"/>
    <s v="E"/>
    <m/>
    <m/>
    <x v="75"/>
    <d v="2026-07-06T00:00:00"/>
    <d v="2026-07-23T00:00:00"/>
    <n v="15642500"/>
  </r>
  <r>
    <s v="2494"/>
    <s v="V"/>
    <x v="0"/>
    <x v="0"/>
    <x v="0"/>
    <m/>
    <m/>
    <m/>
    <x v="0"/>
    <m/>
    <m/>
    <m/>
  </r>
  <r>
    <s v="2495"/>
    <s v="V"/>
    <x v="0"/>
    <x v="0"/>
    <x v="0"/>
    <m/>
    <m/>
    <m/>
    <x v="0"/>
    <m/>
    <m/>
    <m/>
  </r>
  <r>
    <s v="2496"/>
    <s v="V"/>
    <x v="0"/>
    <x v="0"/>
    <x v="0"/>
    <m/>
    <s v="X"/>
    <s v="CRYSTAL ELEKTRONIK"/>
    <x v="0"/>
    <m/>
    <m/>
    <n v="1353000"/>
  </r>
  <r>
    <s v="2497"/>
    <s v="V"/>
    <x v="1"/>
    <x v="1"/>
    <x v="5"/>
    <s v="E"/>
    <m/>
    <m/>
    <x v="76"/>
    <d v="2025-01-08T00:00:00"/>
    <d v="2025-01-15T00:00:00"/>
    <n v="525000"/>
  </r>
  <r>
    <s v="2498"/>
    <s v="V"/>
    <x v="1"/>
    <x v="1"/>
    <x v="5"/>
    <s v="E"/>
    <m/>
    <m/>
    <x v="76"/>
    <d v="2025-02-07T00:00:00"/>
    <d v="2025-02-10T00:00:00"/>
    <n v="202000"/>
  </r>
  <r>
    <s v="2499"/>
    <s v="V"/>
    <x v="1"/>
    <x v="1"/>
    <x v="5"/>
    <s v="E"/>
    <m/>
    <m/>
    <x v="76"/>
    <d v="2025-02-14T00:00:00"/>
    <d v="2025-02-19T00:00:00"/>
    <n v="626000"/>
  </r>
  <r>
    <s v="2500"/>
    <s v="V"/>
    <x v="0"/>
    <x v="0"/>
    <x v="0"/>
    <m/>
    <m/>
    <m/>
    <x v="0"/>
    <m/>
    <m/>
    <m/>
  </r>
  <r>
    <s v="2501"/>
    <s v="V"/>
    <x v="0"/>
    <x v="0"/>
    <x v="0"/>
    <m/>
    <m/>
    <m/>
    <x v="0"/>
    <m/>
    <m/>
    <m/>
  </r>
  <r>
    <s v="2502"/>
    <s v="V"/>
    <x v="0"/>
    <x v="0"/>
    <x v="0"/>
    <m/>
    <s v="X"/>
    <s v="FAQIH COMP - KOMPUTER"/>
    <x v="0"/>
    <m/>
    <m/>
    <n v="10600000"/>
  </r>
  <r>
    <s v="2503"/>
    <s v="V"/>
    <x v="3"/>
    <x v="1"/>
    <x v="5"/>
    <s v="E"/>
    <m/>
    <m/>
    <x v="77"/>
    <d v="2024-12-02T00:00:00"/>
    <d v="2024-12-02T00:00:00"/>
    <n v="5300000"/>
  </r>
  <r>
    <s v="2504"/>
    <s v="V"/>
    <x v="1"/>
    <x v="1"/>
    <x v="5"/>
    <s v="E"/>
    <m/>
    <m/>
    <x v="77"/>
    <d v="2025-02-15T00:00:00"/>
    <d v="2025-02-19T00:00:00"/>
    <n v="5300000"/>
  </r>
  <r>
    <s v="2505"/>
    <s v="V"/>
    <x v="0"/>
    <x v="0"/>
    <x v="0"/>
    <m/>
    <m/>
    <m/>
    <x v="0"/>
    <m/>
    <m/>
    <m/>
  </r>
  <r>
    <s v="2506"/>
    <s v="V"/>
    <x v="0"/>
    <x v="0"/>
    <x v="0"/>
    <m/>
    <m/>
    <m/>
    <x v="0"/>
    <m/>
    <m/>
    <m/>
  </r>
  <r>
    <s v="2507"/>
    <s v="V"/>
    <x v="0"/>
    <x v="0"/>
    <x v="0"/>
    <m/>
    <s v="X"/>
    <s v="HARTORA - KOMPUTER, DLL"/>
    <x v="0"/>
    <m/>
    <m/>
    <n v="33395000"/>
  </r>
  <r>
    <s v="2508"/>
    <s v="V"/>
    <x v="3"/>
    <x v="1"/>
    <x v="5"/>
    <s v="E"/>
    <m/>
    <s v="HA-0160"/>
    <x v="78"/>
    <d v="2024-10-30T00:00:00"/>
    <d v="2025-01-30T00:00:00"/>
    <n v="385000"/>
  </r>
  <r>
    <s v="2509"/>
    <s v="V"/>
    <x v="3"/>
    <x v="1"/>
    <x v="5"/>
    <s v="E"/>
    <m/>
    <s v="HA-0161"/>
    <x v="78"/>
    <d v="2024-11-05T00:00:00"/>
    <d v="2025-01-30T00:00:00"/>
    <n v="1200000"/>
  </r>
  <r>
    <s v="2510"/>
    <s v="V"/>
    <x v="3"/>
    <x v="1"/>
    <x v="5"/>
    <s v="E"/>
    <m/>
    <s v="HA-0162"/>
    <x v="78"/>
    <d v="2024-11-06T00:00:00"/>
    <d v="2025-01-30T00:00:00"/>
    <n v="560000"/>
  </r>
  <r>
    <s v="2511"/>
    <s v="V"/>
    <x v="3"/>
    <x v="1"/>
    <x v="5"/>
    <s v="E"/>
    <m/>
    <s v="HA-0163"/>
    <x v="78"/>
    <d v="2024-11-13T00:00:00"/>
    <d v="2025-01-30T00:00:00"/>
    <n v="555000"/>
  </r>
  <r>
    <s v="2512"/>
    <s v="V"/>
    <x v="3"/>
    <x v="1"/>
    <x v="5"/>
    <s v="E"/>
    <m/>
    <s v="HA-0164"/>
    <x v="78"/>
    <d v="2024-11-16T00:00:00"/>
    <d v="2025-01-30T00:00:00"/>
    <n v="700000"/>
  </r>
  <r>
    <s v="2513"/>
    <s v="V"/>
    <x v="3"/>
    <x v="1"/>
    <x v="5"/>
    <s v="E"/>
    <m/>
    <s v="HA-0165"/>
    <x v="78"/>
    <d v="2024-11-22T00:00:00"/>
    <d v="2025-01-30T00:00:00"/>
    <n v="688500"/>
  </r>
  <r>
    <s v="2514"/>
    <s v="V"/>
    <x v="3"/>
    <x v="1"/>
    <x v="5"/>
    <s v="E"/>
    <m/>
    <s v="HA-0166"/>
    <x v="78"/>
    <d v="2024-11-23T00:00:00"/>
    <d v="2025-01-30T00:00:00"/>
    <n v="247000"/>
  </r>
  <r>
    <s v="2515"/>
    <s v="V"/>
    <x v="3"/>
    <x v="1"/>
    <x v="5"/>
    <s v="E"/>
    <m/>
    <s v="HA-0167"/>
    <x v="78"/>
    <d v="2024-11-23T00:00:00"/>
    <d v="2025-01-30T00:00:00"/>
    <n v="600000"/>
  </r>
  <r>
    <s v="2516"/>
    <s v="V"/>
    <x v="3"/>
    <x v="1"/>
    <x v="5"/>
    <s v="E"/>
    <m/>
    <s v="HA-0168"/>
    <x v="78"/>
    <d v="2024-12-03T00:00:00"/>
    <d v="2025-01-30T00:00:00"/>
    <n v="600000"/>
  </r>
  <r>
    <s v="2517"/>
    <s v="V"/>
    <x v="3"/>
    <x v="1"/>
    <x v="5"/>
    <s v="E"/>
    <m/>
    <s v="HA-0169"/>
    <x v="78"/>
    <d v="2024-12-06T00:00:00"/>
    <d v="2025-01-30T00:00:00"/>
    <n v="1100000"/>
  </r>
  <r>
    <s v="2518"/>
    <s v="V"/>
    <x v="3"/>
    <x v="1"/>
    <x v="5"/>
    <s v="E"/>
    <m/>
    <s v="HA-0169"/>
    <x v="78"/>
    <d v="2024-12-06T00:00:00"/>
    <d v="2025-01-30T00:00:00"/>
    <n v="620000"/>
  </r>
  <r>
    <s v="2519"/>
    <s v="V"/>
    <x v="3"/>
    <x v="1"/>
    <x v="5"/>
    <s v="E"/>
    <m/>
    <s v="HA-0169"/>
    <x v="78"/>
    <d v="2024-12-06T00:00:00"/>
    <d v="2025-01-30T00:00:00"/>
    <n v="1290000"/>
  </r>
  <r>
    <s v="2520"/>
    <s v="V"/>
    <x v="3"/>
    <x v="1"/>
    <x v="5"/>
    <s v="E"/>
    <m/>
    <s v="HA-0170"/>
    <x v="78"/>
    <d v="2024-12-06T00:00:00"/>
    <d v="2025-01-30T00:00:00"/>
    <n v="19000"/>
  </r>
  <r>
    <s v="2521"/>
    <s v="V"/>
    <x v="3"/>
    <x v="1"/>
    <x v="5"/>
    <s v="E"/>
    <m/>
    <s v="HA-0171"/>
    <x v="78"/>
    <d v="2024-12-10T00:00:00"/>
    <d v="2025-01-30T00:00:00"/>
    <n v="730000"/>
  </r>
  <r>
    <s v="2522"/>
    <s v="V"/>
    <x v="3"/>
    <x v="1"/>
    <x v="5"/>
    <s v="E"/>
    <m/>
    <s v="HA-0172"/>
    <x v="78"/>
    <d v="2024-12-10T00:00:00"/>
    <d v="2025-01-30T00:00:00"/>
    <n v="825000"/>
  </r>
  <r>
    <s v="2523"/>
    <s v="V"/>
    <x v="3"/>
    <x v="1"/>
    <x v="5"/>
    <s v="E"/>
    <m/>
    <s v="HA-0173"/>
    <x v="78"/>
    <d v="2024-12-18T00:00:00"/>
    <d v="2025-01-30T00:00:00"/>
    <n v="2200000"/>
  </r>
  <r>
    <s v="2524"/>
    <s v="V"/>
    <x v="3"/>
    <x v="1"/>
    <x v="5"/>
    <s v="E"/>
    <m/>
    <s v="HA-0173"/>
    <x v="78"/>
    <d v="2024-12-18T00:00:00"/>
    <d v="2025-01-30T00:00:00"/>
    <n v="547000"/>
  </r>
  <r>
    <s v="2525"/>
    <s v="V"/>
    <x v="3"/>
    <x v="1"/>
    <x v="5"/>
    <s v="E"/>
    <m/>
    <s v="HA-0174"/>
    <x v="78"/>
    <d v="2024-12-19T00:00:00"/>
    <d v="2025-01-30T00:00:00"/>
    <n v="2050000"/>
  </r>
  <r>
    <s v="2526"/>
    <s v="V"/>
    <x v="3"/>
    <x v="1"/>
    <x v="5"/>
    <s v="E"/>
    <m/>
    <s v="HA-0174"/>
    <x v="78"/>
    <d v="2024-12-19T00:00:00"/>
    <d v="2025-01-30T00:00:00"/>
    <n v="115000"/>
  </r>
  <r>
    <s v="2527"/>
    <s v="V"/>
    <x v="3"/>
    <x v="1"/>
    <x v="5"/>
    <s v="E"/>
    <m/>
    <s v="HA-0175"/>
    <x v="78"/>
    <d v="2024-12-21T00:00:00"/>
    <d v="2025-01-30T00:00:00"/>
    <n v="165000"/>
  </r>
  <r>
    <s v="2528"/>
    <s v="V"/>
    <x v="3"/>
    <x v="1"/>
    <x v="5"/>
    <s v="E"/>
    <m/>
    <s v="HA-0175"/>
    <x v="78"/>
    <d v="2024-12-21T00:00:00"/>
    <d v="2025-01-30T00:00:00"/>
    <n v="848000"/>
  </r>
  <r>
    <s v="2529"/>
    <s v="V"/>
    <x v="3"/>
    <x v="1"/>
    <x v="5"/>
    <s v="E"/>
    <m/>
    <s v="HA-0176"/>
    <x v="78"/>
    <d v="2024-12-27T00:00:00"/>
    <d v="2025-01-30T00:00:00"/>
    <n v="2134000"/>
  </r>
  <r>
    <s v="2530"/>
    <s v="V"/>
    <x v="1"/>
    <x v="1"/>
    <x v="5"/>
    <s v="E"/>
    <m/>
    <s v="HA-0177"/>
    <x v="78"/>
    <d v="2025-01-15T00:00:00"/>
    <d v="2025-01-30T00:00:00"/>
    <n v="739000"/>
  </r>
  <r>
    <s v="2531"/>
    <s v="V"/>
    <x v="1"/>
    <x v="1"/>
    <x v="5"/>
    <s v="E"/>
    <m/>
    <s v="HA-0178"/>
    <x v="78"/>
    <d v="2025-01-23T00:00:00"/>
    <d v="2025-01-30T00:00:00"/>
    <n v="385000"/>
  </r>
  <r>
    <s v="2532"/>
    <s v="V"/>
    <x v="1"/>
    <x v="1"/>
    <x v="5"/>
    <s v="E"/>
    <m/>
    <s v="HA-0179"/>
    <x v="78"/>
    <d v="2025-01-31T00:00:00"/>
    <d v="2025-10-07T00:00:00"/>
    <n v="1080000"/>
  </r>
  <r>
    <s v="2533"/>
    <s v="V"/>
    <x v="1"/>
    <x v="1"/>
    <x v="5"/>
    <s v="E"/>
    <m/>
    <s v="HA-0180"/>
    <x v="78"/>
    <d v="2025-01-31T00:00:00"/>
    <d v="2025-10-07T00:00:00"/>
    <n v="688500"/>
  </r>
  <r>
    <s v="2534"/>
    <s v="V"/>
    <x v="1"/>
    <x v="2"/>
    <x v="5"/>
    <s v="E"/>
    <m/>
    <s v="HA-0181"/>
    <x v="78"/>
    <d v="2025-02-05T00:00:00"/>
    <d v="2025-10-07T00:00:00"/>
    <n v="140000"/>
  </r>
  <r>
    <s v="2535"/>
    <s v="V"/>
    <x v="1"/>
    <x v="2"/>
    <x v="5"/>
    <s v="E"/>
    <m/>
    <s v="HA-0182"/>
    <x v="78"/>
    <d v="2025-02-18T00:00:00"/>
    <d v="2025-10-07T00:00:00"/>
    <n v="3219000"/>
  </r>
  <r>
    <s v="2536"/>
    <s v="V"/>
    <x v="1"/>
    <x v="2"/>
    <x v="5"/>
    <s v="E"/>
    <m/>
    <s v="HA-0183"/>
    <x v="78"/>
    <d v="2025-02-27T00:00:00"/>
    <d v="2025-10-07T00:00:00"/>
    <n v="2800000"/>
  </r>
  <r>
    <s v="2537"/>
    <s v="V"/>
    <x v="1"/>
    <x v="2"/>
    <x v="5"/>
    <s v="E"/>
    <m/>
    <s v="HA-0184"/>
    <x v="78"/>
    <d v="2025-02-28T00:00:00"/>
    <d v="2025-10-07T00:00:00"/>
    <n v="1070000"/>
  </r>
  <r>
    <s v="2538"/>
    <s v="V"/>
    <x v="1"/>
    <x v="2"/>
    <x v="5"/>
    <s v="E"/>
    <m/>
    <s v="HA-0185"/>
    <x v="78"/>
    <d v="2025-03-06T00:00:00"/>
    <d v="2025-10-07T00:00:00"/>
    <n v="195000"/>
  </r>
  <r>
    <s v="2539"/>
    <s v="V"/>
    <x v="1"/>
    <x v="2"/>
    <x v="5"/>
    <s v="E"/>
    <m/>
    <s v="HA-0186"/>
    <x v="78"/>
    <d v="2025-03-15T00:00:00"/>
    <d v="2025-10-07T00:00:00"/>
    <n v="799000"/>
  </r>
  <r>
    <s v="2540"/>
    <s v="V"/>
    <x v="1"/>
    <x v="2"/>
    <x v="5"/>
    <s v="E"/>
    <m/>
    <s v="HA-0187"/>
    <x v="78"/>
    <d v="2025-03-22T00:00:00"/>
    <d v="2025-10-07T00:00:00"/>
    <n v="337000"/>
  </r>
  <r>
    <s v="2541"/>
    <s v="V"/>
    <x v="1"/>
    <x v="2"/>
    <x v="5"/>
    <s v="E"/>
    <m/>
    <s v="HA-0188"/>
    <x v="78"/>
    <d v="2025-03-27T00:00:00"/>
    <d v="2025-10-07T00:00:00"/>
    <n v="1290000"/>
  </r>
  <r>
    <s v="2542"/>
    <s v="V"/>
    <x v="1"/>
    <x v="2"/>
    <x v="5"/>
    <s v="E"/>
    <m/>
    <s v="HA-0189"/>
    <x v="78"/>
    <d v="2025-04-11T00:00:00"/>
    <d v="2025-10-07T00:00:00"/>
    <n v="614000"/>
  </r>
  <r>
    <s v="2543"/>
    <s v="V"/>
    <x v="1"/>
    <x v="2"/>
    <x v="5"/>
    <s v="E"/>
    <m/>
    <s v="HA-0190"/>
    <x v="78"/>
    <d v="2025-04-11T00:00:00"/>
    <d v="2025-10-07T00:00:00"/>
    <n v="350000"/>
  </r>
  <r>
    <s v="2544"/>
    <s v="V"/>
    <x v="1"/>
    <x v="2"/>
    <x v="5"/>
    <s v="E"/>
    <m/>
    <s v="HA-0191"/>
    <x v="78"/>
    <d v="2025-04-22T00:00:00"/>
    <d v="2026-07-20T00:00:00"/>
    <n v="1510000"/>
  </r>
  <r>
    <s v="2545"/>
    <s v="V"/>
    <x v="0"/>
    <x v="0"/>
    <x v="0"/>
    <m/>
    <m/>
    <m/>
    <x v="0"/>
    <m/>
    <m/>
    <m/>
  </r>
  <r>
    <s v="2546"/>
    <s v="V"/>
    <x v="0"/>
    <x v="0"/>
    <x v="0"/>
    <m/>
    <m/>
    <m/>
    <x v="0"/>
    <m/>
    <m/>
    <m/>
  </r>
  <r>
    <s v="2547"/>
    <s v="V"/>
    <x v="0"/>
    <x v="0"/>
    <x v="0"/>
    <m/>
    <s v="X"/>
    <s v="NUANSA DHARMA CIPTA, PT - AC, MESIN CUCI, DLL"/>
    <x v="0"/>
    <m/>
    <m/>
    <n v="23307000"/>
  </r>
  <r>
    <s v="2548"/>
    <s v="V"/>
    <x v="3"/>
    <x v="1"/>
    <x v="5"/>
    <s v="E"/>
    <m/>
    <s v="ND-0017"/>
    <x v="79"/>
    <d v="2024-08-22T00:00:00"/>
    <d v="2024-08-24T00:00:00"/>
    <n v="3465000"/>
  </r>
  <r>
    <s v="2549"/>
    <s v="V"/>
    <x v="3"/>
    <x v="1"/>
    <x v="5"/>
    <s v="E"/>
    <m/>
    <s v="ND-0018"/>
    <x v="79"/>
    <d v="2024-08-22T00:00:00"/>
    <d v="2024-08-24T00:00:00"/>
    <n v="4764000"/>
  </r>
  <r>
    <s v="2550"/>
    <s v="V"/>
    <x v="1"/>
    <x v="1"/>
    <x v="5"/>
    <s v="E"/>
    <m/>
    <s v="ND-0019"/>
    <x v="79"/>
    <d v="2025-04-17T00:00:00"/>
    <d v="2025-04-21T00:00:00"/>
    <n v="1139000"/>
  </r>
  <r>
    <s v="2551"/>
    <s v="V"/>
    <x v="1"/>
    <x v="1"/>
    <x v="5"/>
    <s v="E"/>
    <m/>
    <s v="ND-0019"/>
    <x v="79"/>
    <d v="2025-04-17T00:00:00"/>
    <d v="2025-04-21T00:00:00"/>
    <n v="2069000"/>
  </r>
  <r>
    <s v="2552"/>
    <s v="V"/>
    <x v="1"/>
    <x v="1"/>
    <x v="5"/>
    <s v="E"/>
    <m/>
    <s v="ND-0019"/>
    <x v="79"/>
    <d v="2025-04-17T00:00:00"/>
    <d v="2025-04-21T00:00:00"/>
    <n v="6660000"/>
  </r>
  <r>
    <s v="2553"/>
    <s v="V"/>
    <x v="1"/>
    <x v="1"/>
    <x v="5"/>
    <s v="E"/>
    <m/>
    <s v="ND-0019"/>
    <x v="79"/>
    <d v="2025-04-17T00:00:00"/>
    <d v="2025-04-21T00:00:00"/>
    <n v="2069000"/>
  </r>
  <r>
    <s v="2554"/>
    <s v="V"/>
    <x v="1"/>
    <x v="1"/>
    <x v="5"/>
    <s v="E"/>
    <m/>
    <s v="ND-0020"/>
    <x v="79"/>
    <d v="2025-04-25T00:00:00"/>
    <d v="2025-04-28T00:00:00"/>
    <n v="3141000"/>
  </r>
  <r>
    <s v="2555"/>
    <s v="V"/>
    <x v="0"/>
    <x v="0"/>
    <x v="0"/>
    <m/>
    <m/>
    <m/>
    <x v="0"/>
    <m/>
    <m/>
    <m/>
  </r>
  <r>
    <s v="2556"/>
    <s v="V"/>
    <x v="0"/>
    <x v="0"/>
    <x v="0"/>
    <m/>
    <m/>
    <m/>
    <x v="0"/>
    <m/>
    <m/>
    <m/>
  </r>
  <r>
    <s v="2557"/>
    <s v="V"/>
    <x v="0"/>
    <x v="0"/>
    <x v="0"/>
    <m/>
    <s v="X"/>
    <s v="MASTERPIECE - KOMPUTER"/>
    <x v="0"/>
    <m/>
    <m/>
    <n v="15146000"/>
  </r>
  <r>
    <s v="2558"/>
    <s v="V"/>
    <x v="1"/>
    <x v="1"/>
    <x v="5"/>
    <s v="E"/>
    <m/>
    <m/>
    <x v="80"/>
    <d v="2025-01-14T00:00:00"/>
    <d v="2025-01-15T00:00:00"/>
    <n v="1550000"/>
  </r>
  <r>
    <s v="2559"/>
    <s v="V"/>
    <x v="1"/>
    <x v="1"/>
    <x v="5"/>
    <s v="E"/>
    <m/>
    <m/>
    <x v="80"/>
    <d v="2025-04-14T00:00:00"/>
    <d v="2025-04-14T00:00:00"/>
    <n v="9620000"/>
  </r>
  <r>
    <s v="2560"/>
    <s v="V"/>
    <x v="1"/>
    <x v="1"/>
    <x v="5"/>
    <s v="E"/>
    <m/>
    <m/>
    <x v="80"/>
    <d v="2025-08-02T00:00:00"/>
    <d v="2025-08-07T00:00:00"/>
    <n v="3976000"/>
  </r>
  <r>
    <s v="2561"/>
    <s v="V"/>
    <x v="0"/>
    <x v="0"/>
    <x v="0"/>
    <m/>
    <m/>
    <m/>
    <x v="0"/>
    <m/>
    <m/>
    <m/>
  </r>
  <r>
    <s v="2562"/>
    <s v="V"/>
    <x v="0"/>
    <x v="0"/>
    <x v="0"/>
    <m/>
    <m/>
    <m/>
    <x v="0"/>
    <m/>
    <m/>
    <m/>
  </r>
  <r>
    <s v="2563"/>
    <s v="V"/>
    <x v="0"/>
    <x v="0"/>
    <x v="0"/>
    <m/>
    <s v="X"/>
    <s v="ARUM PURNOMO - ATK"/>
    <x v="0"/>
    <m/>
    <m/>
    <n v="81088000"/>
  </r>
  <r>
    <s v="2564"/>
    <s v="V"/>
    <x v="1"/>
    <x v="1"/>
    <x v="5"/>
    <s v="E"/>
    <m/>
    <s v="AP-0023"/>
    <x v="81"/>
    <d v="2025-01-10T00:00:00"/>
    <d v="2025-01-15T00:00:00"/>
    <n v="7167000"/>
  </r>
  <r>
    <s v="2565"/>
    <s v="V"/>
    <x v="1"/>
    <x v="1"/>
    <x v="5"/>
    <s v="E"/>
    <m/>
    <s v="AP-0024"/>
    <x v="81"/>
    <d v="2025-02-10T00:00:00"/>
    <d v="2025-02-14T00:00:00"/>
    <n v="6206000"/>
  </r>
  <r>
    <s v="2566"/>
    <s v="V"/>
    <x v="1"/>
    <x v="1"/>
    <x v="5"/>
    <s v="E"/>
    <m/>
    <s v="AP-0025"/>
    <x v="81"/>
    <d v="2025-03-25T00:00:00"/>
    <d v="2025-03-27T00:00:00"/>
    <n v="8740000"/>
  </r>
  <r>
    <s v="2567"/>
    <s v="V"/>
    <x v="1"/>
    <x v="1"/>
    <x v="5"/>
    <s v="E"/>
    <m/>
    <s v="AP-0026"/>
    <x v="81"/>
    <d v="2025-03-25T00:00:00"/>
    <d v="2025-03-27T00:00:00"/>
    <n v="4149000"/>
  </r>
  <r>
    <s v="2568"/>
    <s v="V"/>
    <x v="1"/>
    <x v="1"/>
    <x v="5"/>
    <s v="E"/>
    <m/>
    <s v="AP-0027"/>
    <x v="81"/>
    <d v="2025-04-26T00:00:00"/>
    <d v="2025-05-06T00:00:00"/>
    <n v="5701000"/>
  </r>
  <r>
    <s v="2569"/>
    <s v="V"/>
    <x v="1"/>
    <x v="1"/>
    <x v="5"/>
    <s v="E"/>
    <m/>
    <s v="AP-0028"/>
    <x v="81"/>
    <d v="2025-05-31T00:00:00"/>
    <d v="2025-06-02T00:00:00"/>
    <n v="5965000"/>
  </r>
  <r>
    <s v="2570"/>
    <s v="V"/>
    <x v="1"/>
    <x v="1"/>
    <x v="5"/>
    <s v="E"/>
    <m/>
    <s v="AP-0029"/>
    <x v="81"/>
    <d v="2025-07-30T00:00:00"/>
    <d v="2025-08-06T00:00:00"/>
    <n v="8615000"/>
  </r>
  <r>
    <s v="2571"/>
    <s v="V"/>
    <x v="1"/>
    <x v="2"/>
    <x v="5"/>
    <s v="E"/>
    <m/>
    <s v="AP-0030"/>
    <x v="81"/>
    <d v="2025-08-28T00:00:00"/>
    <d v="2025-09-09T00:00:00"/>
    <n v="10320000"/>
  </r>
  <r>
    <s v="2572"/>
    <s v="V"/>
    <x v="1"/>
    <x v="2"/>
    <x v="5"/>
    <s v="E"/>
    <m/>
    <s v="AP-0031"/>
    <x v="81"/>
    <d v="2025-10-15T00:00:00"/>
    <d v="2025-10-27T00:00:00"/>
    <n v="5790000"/>
  </r>
  <r>
    <s v="2573"/>
    <s v="V"/>
    <x v="1"/>
    <x v="2"/>
    <x v="5"/>
    <s v="E"/>
    <m/>
    <s v="AP-0032"/>
    <x v="81"/>
    <d v="2025-11-29T00:00:00"/>
    <d v="2025-12-16T00:00:00"/>
    <n v="9309000"/>
  </r>
  <r>
    <s v="2574"/>
    <s v="V"/>
    <x v="1"/>
    <x v="2"/>
    <x v="5"/>
    <s v="E"/>
    <m/>
    <s v="AP-0032"/>
    <x v="81"/>
    <d v="2026-02-10T00:00:00"/>
    <d v="2026-02-16T00:00:00"/>
    <n v="9126000"/>
  </r>
  <r>
    <s v="2575"/>
    <s v="V"/>
    <x v="0"/>
    <x v="0"/>
    <x v="0"/>
    <m/>
    <m/>
    <m/>
    <x v="0"/>
    <m/>
    <m/>
    <m/>
  </r>
  <r>
    <s v="2576"/>
    <s v="V"/>
    <x v="0"/>
    <x v="0"/>
    <x v="0"/>
    <m/>
    <m/>
    <m/>
    <x v="0"/>
    <m/>
    <m/>
    <m/>
  </r>
  <r>
    <s v="2577"/>
    <s v="V"/>
    <x v="0"/>
    <x v="0"/>
    <x v="0"/>
    <m/>
    <s v="X"/>
    <s v="BINO MITRA SEJATI, PT - BANTEX"/>
    <x v="0"/>
    <m/>
    <m/>
    <n v="2231640"/>
  </r>
  <r>
    <s v="2578"/>
    <s v="V"/>
    <x v="1"/>
    <x v="1"/>
    <x v="5"/>
    <s v="E"/>
    <m/>
    <m/>
    <x v="82"/>
    <d v="2025-02-05T00:00:00"/>
    <d v="2025-02-15T00:00:00"/>
    <n v="1046160"/>
  </r>
  <r>
    <s v="2579"/>
    <s v="V"/>
    <x v="1"/>
    <x v="1"/>
    <x v="5"/>
    <s v="E"/>
    <m/>
    <m/>
    <x v="82"/>
    <d v="2025-08-11T00:00:00"/>
    <d v="2025-08-21T00:00:00"/>
    <n v="1185480"/>
  </r>
  <r>
    <s v="2580"/>
    <s v="V"/>
    <x v="0"/>
    <x v="0"/>
    <x v="0"/>
    <m/>
    <m/>
    <m/>
    <x v="0"/>
    <m/>
    <m/>
    <m/>
  </r>
  <r>
    <s v="2581"/>
    <s v="V"/>
    <x v="0"/>
    <x v="0"/>
    <x v="0"/>
    <m/>
    <m/>
    <m/>
    <x v="0"/>
    <m/>
    <m/>
    <m/>
  </r>
  <r>
    <s v="2582"/>
    <s v="V"/>
    <x v="0"/>
    <x v="0"/>
    <x v="0"/>
    <m/>
    <s v="X"/>
    <s v="CAHAYA KALTIM, CV - PHOTOCOPY"/>
    <x v="0"/>
    <m/>
    <m/>
    <n v="7000000"/>
  </r>
  <r>
    <s v="2583"/>
    <s v="V"/>
    <x v="3"/>
    <x v="1"/>
    <x v="5"/>
    <s v="E"/>
    <m/>
    <s v="CK-0022"/>
    <x v="83"/>
    <d v="2025-01-21T00:00:00"/>
    <d v="2025-02-06T00:00:00"/>
    <n v="500000"/>
  </r>
  <r>
    <s v="2584"/>
    <s v="V"/>
    <x v="1"/>
    <x v="1"/>
    <x v="5"/>
    <s v="E"/>
    <m/>
    <s v="CK-0023"/>
    <x v="83"/>
    <d v="2025-02-14T00:00:00"/>
    <d v="2025-02-25T00:00:00"/>
    <n v="500000"/>
  </r>
  <r>
    <s v="2585"/>
    <s v="V"/>
    <x v="1"/>
    <x v="1"/>
    <x v="5"/>
    <s v="E"/>
    <m/>
    <s v="CK-0024"/>
    <x v="83"/>
    <d v="2025-03-19T00:00:00"/>
    <d v="2025-04-10T00:00:00"/>
    <n v="500000"/>
  </r>
  <r>
    <s v="2586"/>
    <s v="V"/>
    <x v="1"/>
    <x v="1"/>
    <x v="5"/>
    <s v="E"/>
    <m/>
    <s v="CK-0025"/>
    <x v="83"/>
    <d v="2025-04-17T00:00:00"/>
    <d v="2025-05-03T00:00:00"/>
    <n v="500000"/>
  </r>
  <r>
    <s v="2587"/>
    <s v="V"/>
    <x v="1"/>
    <x v="1"/>
    <x v="5"/>
    <s v="E"/>
    <m/>
    <s v="CK-0026"/>
    <x v="83"/>
    <d v="2025-05-19T00:00:00"/>
    <d v="2025-06-03T00:00:00"/>
    <n v="500000"/>
  </r>
  <r>
    <s v="2588"/>
    <s v="V"/>
    <x v="1"/>
    <x v="1"/>
    <x v="5"/>
    <s v="E"/>
    <m/>
    <s v="CK-0027"/>
    <x v="83"/>
    <d v="2025-06-17T00:00:00"/>
    <d v="2025-07-09T00:00:00"/>
    <n v="500000"/>
  </r>
  <r>
    <s v="2589"/>
    <s v="V"/>
    <x v="1"/>
    <x v="1"/>
    <x v="5"/>
    <s v="E"/>
    <m/>
    <s v="CK-0028"/>
    <x v="83"/>
    <d v="2025-07-16T00:00:00"/>
    <d v="2025-08-12T00:00:00"/>
    <n v="500000"/>
  </r>
  <r>
    <s v="2590"/>
    <s v="V"/>
    <x v="1"/>
    <x v="1"/>
    <x v="5"/>
    <s v="E"/>
    <m/>
    <s v="CK-0029"/>
    <x v="83"/>
    <d v="2025-08-25T00:00:00"/>
    <d v="2025-09-16T00:00:00"/>
    <n v="500000"/>
  </r>
  <r>
    <s v="2591"/>
    <s v="V"/>
    <x v="1"/>
    <x v="1"/>
    <x v="5"/>
    <s v="E"/>
    <m/>
    <s v="CK-0030"/>
    <x v="83"/>
    <d v="2025-09-18T00:00:00"/>
    <d v="2025-10-25T00:00:00"/>
    <n v="500000"/>
  </r>
  <r>
    <s v="2592"/>
    <s v="V"/>
    <x v="1"/>
    <x v="1"/>
    <x v="5"/>
    <s v="E"/>
    <m/>
    <s v="CK-0031"/>
    <x v="83"/>
    <d v="2025-10-20T00:00:00"/>
    <d v="2025-10-25T00:00:00"/>
    <n v="500000"/>
  </r>
  <r>
    <s v="2593"/>
    <s v="V"/>
    <x v="1"/>
    <x v="1"/>
    <x v="5"/>
    <s v="E"/>
    <m/>
    <s v="CK-0032"/>
    <x v="83"/>
    <d v="2025-11-18T00:00:00"/>
    <d v="2025-12-09T00:00:00"/>
    <n v="500000"/>
  </r>
  <r>
    <s v="2594"/>
    <s v="V"/>
    <x v="1"/>
    <x v="1"/>
    <x v="5"/>
    <s v="E"/>
    <m/>
    <s v="CK-0033"/>
    <x v="83"/>
    <d v="2025-12-17T00:00:00"/>
    <d v="2026-01-20T00:00:00"/>
    <n v="500000"/>
  </r>
  <r>
    <s v="2595"/>
    <s v="V"/>
    <x v="2"/>
    <x v="2"/>
    <x v="5"/>
    <s v="E"/>
    <m/>
    <s v="CK-0034"/>
    <x v="83"/>
    <d v="2026-01-21T00:00:00"/>
    <d v="2026-02-24T00:00:00"/>
    <n v="500000"/>
  </r>
  <r>
    <s v="2596"/>
    <s v="V"/>
    <x v="2"/>
    <x v="2"/>
    <x v="5"/>
    <s v="E"/>
    <m/>
    <s v="CK-0035"/>
    <x v="83"/>
    <d v="2026-02-26T00:00:00"/>
    <d v="2026-05-26T00:00:00"/>
    <n v="500000"/>
  </r>
  <r>
    <s v="2597"/>
    <s v="V"/>
    <x v="0"/>
    <x v="0"/>
    <x v="0"/>
    <m/>
    <m/>
    <m/>
    <x v="0"/>
    <m/>
    <m/>
    <m/>
  </r>
  <r>
    <s v="2598"/>
    <s v="V"/>
    <x v="0"/>
    <x v="0"/>
    <x v="0"/>
    <m/>
    <m/>
    <m/>
    <x v="0"/>
    <m/>
    <m/>
    <m/>
  </r>
  <r>
    <s v="2599"/>
    <s v="V"/>
    <x v="0"/>
    <x v="0"/>
    <x v="0"/>
    <m/>
    <s v="X"/>
    <s v="DEPO SALIM - AIR MINUM GALON"/>
    <x v="0"/>
    <m/>
    <m/>
    <n v="0"/>
  </r>
  <r>
    <s v="2600"/>
    <s v="V"/>
    <x v="0"/>
    <x v="0"/>
    <x v="0"/>
    <m/>
    <m/>
    <m/>
    <x v="0"/>
    <m/>
    <m/>
    <m/>
  </r>
  <r>
    <s v="2601"/>
    <s v="V"/>
    <x v="0"/>
    <x v="0"/>
    <x v="0"/>
    <m/>
    <m/>
    <m/>
    <x v="0"/>
    <m/>
    <m/>
    <m/>
  </r>
  <r>
    <s v="2602"/>
    <s v="V"/>
    <x v="0"/>
    <x v="0"/>
    <x v="0"/>
    <m/>
    <s v="X"/>
    <s v="DEPO AIR MINUM GHINA - AIR MINUM GALON"/>
    <x v="0"/>
    <m/>
    <m/>
    <n v="14882000"/>
  </r>
  <r>
    <s v="2603"/>
    <s v="V"/>
    <x v="1"/>
    <x v="1"/>
    <x v="5"/>
    <s v="E"/>
    <m/>
    <m/>
    <x v="84"/>
    <d v="2025-01-30T00:00:00"/>
    <d v="2025-01-30T00:00:00"/>
    <n v="1029000"/>
  </r>
  <r>
    <s v="2604"/>
    <s v="V"/>
    <x v="1"/>
    <x v="1"/>
    <x v="5"/>
    <s v="E"/>
    <m/>
    <m/>
    <x v="84"/>
    <d v="2025-03-01T00:00:00"/>
    <d v="2025-03-01T00:00:00"/>
    <n v="973000"/>
  </r>
  <r>
    <s v="2605"/>
    <s v="V"/>
    <x v="1"/>
    <x v="1"/>
    <x v="5"/>
    <s v="E"/>
    <m/>
    <m/>
    <x v="84"/>
    <d v="2025-04-04T00:00:00"/>
    <d v="2025-04-05T00:00:00"/>
    <n v="588000"/>
  </r>
  <r>
    <s v="2606"/>
    <s v="V"/>
    <x v="1"/>
    <x v="1"/>
    <x v="5"/>
    <s v="E"/>
    <m/>
    <m/>
    <x v="84"/>
    <d v="2025-04-29T00:00:00"/>
    <d v="2025-04-29T00:00:00"/>
    <n v="791000"/>
  </r>
  <r>
    <s v="2607"/>
    <s v="V"/>
    <x v="1"/>
    <x v="1"/>
    <x v="5"/>
    <s v="E"/>
    <m/>
    <m/>
    <x v="84"/>
    <d v="2025-05-28T00:00:00"/>
    <d v="2025-05-28T00:00:00"/>
    <n v="833000"/>
  </r>
  <r>
    <s v="2608"/>
    <s v="V"/>
    <x v="1"/>
    <x v="1"/>
    <x v="5"/>
    <s v="E"/>
    <m/>
    <m/>
    <x v="84"/>
    <d v="2025-06-30T00:00:00"/>
    <d v="2025-06-30T00:00:00"/>
    <n v="812000"/>
  </r>
  <r>
    <s v="2609"/>
    <s v="V"/>
    <x v="1"/>
    <x v="1"/>
    <x v="5"/>
    <s v="E"/>
    <m/>
    <m/>
    <x v="84"/>
    <d v="2025-07-30T00:00:00"/>
    <d v="2025-07-31T00:00:00"/>
    <n v="875000"/>
  </r>
  <r>
    <s v="2610"/>
    <s v="V"/>
    <x v="1"/>
    <x v="1"/>
    <x v="5"/>
    <s v="E"/>
    <m/>
    <m/>
    <x v="84"/>
    <d v="2025-08-26T00:00:00"/>
    <d v="2025-08-27T00:00:00"/>
    <n v="742000"/>
  </r>
  <r>
    <s v="2611"/>
    <s v="V"/>
    <x v="1"/>
    <x v="1"/>
    <x v="5"/>
    <s v="E"/>
    <m/>
    <m/>
    <x v="84"/>
    <d v="2025-09-24T00:00:00"/>
    <d v="2025-09-24T00:00:00"/>
    <n v="812000"/>
  </r>
  <r>
    <s v="2612"/>
    <s v="V"/>
    <x v="1"/>
    <x v="1"/>
    <x v="5"/>
    <s v="E"/>
    <m/>
    <m/>
    <x v="84"/>
    <d v="2025-10-27T00:00:00"/>
    <d v="2025-10-27T00:00:00"/>
    <n v="980000"/>
  </r>
  <r>
    <s v="2613"/>
    <s v="V"/>
    <x v="1"/>
    <x v="1"/>
    <x v="5"/>
    <s v="E"/>
    <m/>
    <m/>
    <x v="84"/>
    <d v="2025-11-30T00:00:00"/>
    <d v="2025-12-01T00:00:00"/>
    <n v="896000"/>
  </r>
  <r>
    <s v="2614"/>
    <s v="V"/>
    <x v="1"/>
    <x v="1"/>
    <x v="5"/>
    <s v="E"/>
    <m/>
    <m/>
    <x v="84"/>
    <d v="2025-12-26T00:00:00"/>
    <d v="2025-12-27T00:00:00"/>
    <n v="665000"/>
  </r>
  <r>
    <s v="2615"/>
    <s v="V"/>
    <x v="2"/>
    <x v="1"/>
    <x v="5"/>
    <s v="E"/>
    <m/>
    <m/>
    <x v="84"/>
    <d v="2026-01-27T00:00:00"/>
    <d v="2026-01-27T00:00:00"/>
    <n v="819000"/>
  </r>
  <r>
    <s v="2616"/>
    <s v="V"/>
    <x v="2"/>
    <x v="1"/>
    <x v="5"/>
    <s v="E"/>
    <m/>
    <m/>
    <x v="84"/>
    <d v="2026-02-27T00:00:00"/>
    <d v="2026-02-27T00:00:00"/>
    <n v="609000"/>
  </r>
  <r>
    <s v="2617"/>
    <s v="V"/>
    <x v="2"/>
    <x v="1"/>
    <x v="5"/>
    <s v="E"/>
    <m/>
    <m/>
    <x v="84"/>
    <d v="2026-03-31T00:00:00"/>
    <d v="2026-03-31T00:00:00"/>
    <n v="546000"/>
  </r>
  <r>
    <s v="2618"/>
    <s v="V"/>
    <x v="2"/>
    <x v="1"/>
    <x v="5"/>
    <s v="E"/>
    <m/>
    <m/>
    <x v="84"/>
    <d v="2026-04-28T00:00:00"/>
    <d v="2026-04-29T00:00:00"/>
    <n v="826000"/>
  </r>
  <r>
    <s v="2619"/>
    <s v="V"/>
    <x v="2"/>
    <x v="1"/>
    <x v="5"/>
    <s v="E"/>
    <m/>
    <m/>
    <x v="84"/>
    <d v="2026-05-30T00:00:00"/>
    <d v="2026-06-03T00:00:00"/>
    <n v="798000"/>
  </r>
  <r>
    <s v="2620"/>
    <s v="V"/>
    <x v="2"/>
    <x v="2"/>
    <x v="5"/>
    <s v="E"/>
    <m/>
    <m/>
    <x v="84"/>
    <d v="2026-06-29T00:00:00"/>
    <d v="2026-06-30T00:00:00"/>
    <n v="609000"/>
  </r>
  <r>
    <s v="2621"/>
    <s v="V"/>
    <x v="2"/>
    <x v="2"/>
    <x v="5"/>
    <s v="E"/>
    <m/>
    <m/>
    <x v="84"/>
    <d v="2026-07-27T00:00:00"/>
    <d v="2026-07-28T00:00:00"/>
    <n v="679000"/>
  </r>
  <r>
    <s v="2622"/>
    <s v="V"/>
    <x v="0"/>
    <x v="0"/>
    <x v="0"/>
    <m/>
    <m/>
    <m/>
    <x v="0"/>
    <m/>
    <m/>
    <m/>
  </r>
  <r>
    <s v="2623"/>
    <s v="V"/>
    <x v="0"/>
    <x v="0"/>
    <x v="0"/>
    <m/>
    <m/>
    <m/>
    <x v="0"/>
    <m/>
    <m/>
    <m/>
  </r>
  <r>
    <s v="2624"/>
    <s v="V"/>
    <x v="0"/>
    <x v="0"/>
    <x v="0"/>
    <m/>
    <s v="X"/>
    <s v="MENTARI MEGAH, CV - TISSUE"/>
    <x v="0"/>
    <m/>
    <m/>
    <n v="9160224"/>
  </r>
  <r>
    <s v="2625"/>
    <s v="V"/>
    <x v="1"/>
    <x v="1"/>
    <x v="5"/>
    <s v="E"/>
    <m/>
    <m/>
    <x v="85"/>
    <d v="2025-06-12T00:00:00"/>
    <d v="2025-07-01T00:00:00"/>
    <n v="2185000"/>
  </r>
  <r>
    <s v="2626"/>
    <s v="V"/>
    <x v="1"/>
    <x v="1"/>
    <x v="5"/>
    <s v="E"/>
    <m/>
    <m/>
    <x v="85"/>
    <d v="2025-07-16T00:00:00"/>
    <d v="2025-07-28T00:00:00"/>
    <n v="167040"/>
  </r>
  <r>
    <s v="2627"/>
    <s v="V"/>
    <x v="1"/>
    <x v="1"/>
    <x v="5"/>
    <s v="E"/>
    <m/>
    <m/>
    <x v="85"/>
    <d v="2025-07-24T00:00:00"/>
    <d v="2025-08-07T00:00:00"/>
    <n v="3059000"/>
  </r>
  <r>
    <s v="2628"/>
    <s v="V"/>
    <x v="1"/>
    <x v="1"/>
    <x v="5"/>
    <s v="E"/>
    <m/>
    <m/>
    <x v="85"/>
    <d v="2025-12-18T00:00:00"/>
    <d v="2026-01-13T00:00:00"/>
    <n v="1630080"/>
  </r>
  <r>
    <s v="2629"/>
    <s v="V"/>
    <x v="2"/>
    <x v="2"/>
    <x v="5"/>
    <s v="E"/>
    <m/>
    <m/>
    <x v="85"/>
    <d v="2026-06-25T00:00:00"/>
    <d v="2026-07-14T00:00:00"/>
    <n v="2119104"/>
  </r>
  <r>
    <s v="2630"/>
    <s v="V"/>
    <x v="0"/>
    <x v="0"/>
    <x v="0"/>
    <m/>
    <m/>
    <m/>
    <x v="0"/>
    <m/>
    <m/>
    <m/>
  </r>
  <r>
    <s v="2631"/>
    <s v="V"/>
    <x v="0"/>
    <x v="0"/>
    <x v="0"/>
    <m/>
    <m/>
    <m/>
    <x v="0"/>
    <m/>
    <m/>
    <m/>
  </r>
  <r>
    <s v="2632"/>
    <s v="V"/>
    <x v="0"/>
    <x v="0"/>
    <x v="0"/>
    <m/>
    <s v="X"/>
    <s v="JAYA MULIA-BAHAN BANGUNAN"/>
    <x v="0"/>
    <m/>
    <m/>
    <n v="50738500"/>
  </r>
  <r>
    <s v="2633"/>
    <s v="V"/>
    <x v="1"/>
    <x v="1"/>
    <x v="5"/>
    <s v="E"/>
    <m/>
    <m/>
    <x v="86"/>
    <d v="2025-01-08T00:00:00"/>
    <d v="2025-01-10T00:00:00"/>
    <n v="1213500"/>
  </r>
  <r>
    <s v="2634"/>
    <s v="V"/>
    <x v="1"/>
    <x v="1"/>
    <x v="5"/>
    <s v="E"/>
    <m/>
    <m/>
    <x v="86"/>
    <d v="2025-01-21T00:00:00"/>
    <d v="2025-02-10T00:00:00"/>
    <n v="1849000"/>
  </r>
  <r>
    <s v="2635"/>
    <s v="V"/>
    <x v="1"/>
    <x v="1"/>
    <x v="5"/>
    <s v="E"/>
    <m/>
    <m/>
    <x v="86"/>
    <d v="2025-02-17T00:00:00"/>
    <d v="2025-02-19T00:00:00"/>
    <n v="875500"/>
  </r>
  <r>
    <s v="2636"/>
    <s v="V"/>
    <x v="1"/>
    <x v="1"/>
    <x v="5"/>
    <s v="E"/>
    <m/>
    <m/>
    <x v="86"/>
    <d v="2025-02-19T00:00:00"/>
    <d v="2025-03-12T00:00:00"/>
    <n v="1530000"/>
  </r>
  <r>
    <s v="2637"/>
    <s v="V"/>
    <x v="1"/>
    <x v="1"/>
    <x v="5"/>
    <s v="E"/>
    <m/>
    <m/>
    <x v="86"/>
    <d v="2025-03-19T00:00:00"/>
    <d v="2025-03-19T00:00:00"/>
    <n v="311500"/>
  </r>
  <r>
    <s v="2638"/>
    <s v="V"/>
    <x v="1"/>
    <x v="1"/>
    <x v="5"/>
    <s v="E"/>
    <m/>
    <m/>
    <x v="86"/>
    <d v="2025-04-08T00:00:00"/>
    <d v="2025-04-09T00:00:00"/>
    <n v="538500"/>
  </r>
  <r>
    <s v="2639"/>
    <s v="V"/>
    <x v="1"/>
    <x v="1"/>
    <x v="5"/>
    <s v="E"/>
    <m/>
    <m/>
    <x v="86"/>
    <d v="2025-04-17T00:00:00"/>
    <d v="2025-04-28T00:00:00"/>
    <n v="468000"/>
  </r>
  <r>
    <s v="2640"/>
    <s v="V"/>
    <x v="1"/>
    <x v="1"/>
    <x v="5"/>
    <s v="E"/>
    <m/>
    <m/>
    <x v="86"/>
    <d v="2025-05-14T00:00:00"/>
    <d v="2025-05-23T00:00:00"/>
    <n v="1368000"/>
  </r>
  <r>
    <s v="2641"/>
    <s v="V"/>
    <x v="1"/>
    <x v="1"/>
    <x v="5"/>
    <s v="E"/>
    <m/>
    <m/>
    <x v="86"/>
    <d v="2025-06-02T00:00:00"/>
    <d v="2025-06-02T00:00:00"/>
    <n v="2258000"/>
  </r>
  <r>
    <s v="2642"/>
    <s v="V"/>
    <x v="1"/>
    <x v="1"/>
    <x v="5"/>
    <s v="E"/>
    <m/>
    <m/>
    <x v="86"/>
    <d v="2025-06-12T00:00:00"/>
    <d v="2025-06-16T00:00:00"/>
    <n v="115000"/>
  </r>
  <r>
    <s v="2643"/>
    <s v="V"/>
    <x v="1"/>
    <x v="1"/>
    <x v="5"/>
    <s v="E"/>
    <m/>
    <m/>
    <x v="86"/>
    <d v="2025-06-28T00:00:00"/>
    <d v="2025-07-01T00:00:00"/>
    <n v="6023500"/>
  </r>
  <r>
    <s v="2644"/>
    <s v="V"/>
    <x v="1"/>
    <x v="1"/>
    <x v="5"/>
    <s v="E"/>
    <m/>
    <m/>
    <x v="86"/>
    <d v="2025-07-17T00:00:00"/>
    <d v="2025-07-24T00:00:00"/>
    <n v="1700500"/>
  </r>
  <r>
    <s v="2645"/>
    <s v="V"/>
    <x v="1"/>
    <x v="1"/>
    <x v="5"/>
    <s v="E"/>
    <m/>
    <m/>
    <x v="86"/>
    <d v="2025-08-19T00:00:00"/>
    <d v="2025-08-30T00:00:00"/>
    <n v="2355500"/>
  </r>
  <r>
    <s v="2646"/>
    <s v="V"/>
    <x v="1"/>
    <x v="1"/>
    <x v="5"/>
    <s v="E"/>
    <m/>
    <m/>
    <x v="86"/>
    <d v="2025-09-15T00:00:00"/>
    <d v="2025-09-15T00:00:00"/>
    <n v="1323000"/>
  </r>
  <r>
    <s v="2647"/>
    <s v="V"/>
    <x v="1"/>
    <x v="1"/>
    <x v="5"/>
    <s v="E"/>
    <m/>
    <m/>
    <x v="86"/>
    <d v="2025-09-20T00:00:00"/>
    <d v="2025-09-24T00:00:00"/>
    <n v="1286000"/>
  </r>
  <r>
    <s v="2648"/>
    <s v="V"/>
    <x v="1"/>
    <x v="1"/>
    <x v="5"/>
    <s v="E"/>
    <m/>
    <m/>
    <x v="86"/>
    <d v="2025-09-27T00:00:00"/>
    <d v="2025-10-13T00:00:00"/>
    <n v="4126000"/>
  </r>
  <r>
    <s v="2649"/>
    <s v="V"/>
    <x v="1"/>
    <x v="1"/>
    <x v="5"/>
    <s v="E"/>
    <m/>
    <m/>
    <x v="86"/>
    <d v="2025-10-31T00:00:00"/>
    <d v="2025-11-10T00:00:00"/>
    <n v="5060000"/>
  </r>
  <r>
    <s v="2650"/>
    <s v="V"/>
    <x v="1"/>
    <x v="2"/>
    <x v="5"/>
    <s v="E"/>
    <m/>
    <m/>
    <x v="86"/>
    <d v="2025-11-22T00:00:00"/>
    <d v="2025-11-27T00:00:00"/>
    <n v="10745000"/>
  </r>
  <r>
    <s v="2651"/>
    <s v="V"/>
    <x v="1"/>
    <x v="2"/>
    <x v="5"/>
    <s v="E"/>
    <m/>
    <m/>
    <x v="86"/>
    <d v="2025-12-04T00:00:00"/>
    <d v="2025-12-10T00:00:00"/>
    <n v="3515500"/>
  </r>
  <r>
    <s v="2652"/>
    <s v="V"/>
    <x v="1"/>
    <x v="2"/>
    <x v="5"/>
    <s v="E"/>
    <m/>
    <m/>
    <x v="86"/>
    <d v="2025-12-13T00:00:00"/>
    <d v="2025-12-16T00:00:00"/>
    <n v="685500"/>
  </r>
  <r>
    <s v="2653"/>
    <s v="V"/>
    <x v="1"/>
    <x v="2"/>
    <x v="5"/>
    <s v="E"/>
    <m/>
    <m/>
    <x v="86"/>
    <d v="2025-12-30T00:00:00"/>
    <d v="2025-12-30T00:00:00"/>
    <n v="2353000"/>
  </r>
  <r>
    <s v="2654"/>
    <s v="V"/>
    <x v="2"/>
    <x v="2"/>
    <x v="5"/>
    <s v="E"/>
    <m/>
    <m/>
    <x v="86"/>
    <d v="2026-02-11T00:00:00"/>
    <d v="2026-02-11T00:00:00"/>
    <n v="471000"/>
  </r>
  <r>
    <s v="2655"/>
    <s v="V"/>
    <x v="2"/>
    <x v="2"/>
    <x v="5"/>
    <s v="E"/>
    <m/>
    <m/>
    <x v="86"/>
    <d v="2026-02-21T00:00:00"/>
    <d v="2026-02-28T00:00:00"/>
    <n v="567000"/>
  </r>
  <r>
    <s v="2656"/>
    <s v="V"/>
    <x v="0"/>
    <x v="0"/>
    <x v="0"/>
    <m/>
    <m/>
    <m/>
    <x v="0"/>
    <m/>
    <m/>
    <m/>
  </r>
  <r>
    <s v="2657"/>
    <s v="V"/>
    <x v="0"/>
    <x v="0"/>
    <x v="0"/>
    <m/>
    <m/>
    <m/>
    <x v="0"/>
    <m/>
    <m/>
    <m/>
  </r>
  <r>
    <s v="2658"/>
    <s v="V"/>
    <x v="0"/>
    <x v="0"/>
    <x v="0"/>
    <m/>
    <s v="X"/>
    <s v="JUANDA, CV-CETAKAN"/>
    <x v="0"/>
    <m/>
    <m/>
    <n v="169088000"/>
  </r>
  <r>
    <s v="2659"/>
    <s v="V"/>
    <x v="1"/>
    <x v="1"/>
    <x v="5"/>
    <s v="E"/>
    <m/>
    <m/>
    <x v="87"/>
    <d v="2025-01-09T00:00:00"/>
    <d v="2025-01-09T00:00:00"/>
    <n v="6575000"/>
  </r>
  <r>
    <s v="2660"/>
    <s v="V"/>
    <x v="1"/>
    <x v="1"/>
    <x v="5"/>
    <s v="E"/>
    <m/>
    <m/>
    <x v="87"/>
    <d v="2025-01-09T00:00:00"/>
    <d v="2025-01-09T00:00:00"/>
    <n v="6650000"/>
  </r>
  <r>
    <s v="2661"/>
    <s v="V"/>
    <x v="1"/>
    <x v="1"/>
    <x v="5"/>
    <s v="E"/>
    <m/>
    <m/>
    <x v="87"/>
    <d v="2025-01-09T00:00:00"/>
    <d v="2025-01-09T00:00:00"/>
    <n v="4950000"/>
  </r>
  <r>
    <s v="2662"/>
    <s v="V"/>
    <x v="1"/>
    <x v="1"/>
    <x v="5"/>
    <s v="E"/>
    <m/>
    <m/>
    <x v="87"/>
    <d v="2025-01-09T00:00:00"/>
    <d v="2025-01-09T00:00:00"/>
    <n v="6010000"/>
  </r>
  <r>
    <s v="2663"/>
    <s v="V"/>
    <x v="1"/>
    <x v="1"/>
    <x v="5"/>
    <s v="E"/>
    <m/>
    <m/>
    <x v="87"/>
    <d v="2025-03-06T00:00:00"/>
    <d v="2025-03-06T00:00:00"/>
    <n v="5250000"/>
  </r>
  <r>
    <s v="2664"/>
    <s v="V"/>
    <x v="1"/>
    <x v="1"/>
    <x v="5"/>
    <s v="E"/>
    <m/>
    <m/>
    <x v="87"/>
    <d v="2025-03-06T00:00:00"/>
    <d v="2025-03-06T00:00:00"/>
    <n v="3250000"/>
  </r>
  <r>
    <s v="2665"/>
    <s v="V"/>
    <x v="1"/>
    <x v="1"/>
    <x v="5"/>
    <s v="E"/>
    <m/>
    <m/>
    <x v="87"/>
    <d v="2025-03-12T00:00:00"/>
    <d v="2025-03-18T00:00:00"/>
    <n v="5100000"/>
  </r>
  <r>
    <s v="2666"/>
    <s v="V"/>
    <x v="1"/>
    <x v="1"/>
    <x v="5"/>
    <s v="E"/>
    <m/>
    <m/>
    <x v="87"/>
    <d v="2025-04-15T00:00:00"/>
    <d v="2025-04-15T00:00:00"/>
    <n v="900000"/>
  </r>
  <r>
    <s v="2667"/>
    <s v="V"/>
    <x v="1"/>
    <x v="1"/>
    <x v="5"/>
    <s v="E"/>
    <m/>
    <m/>
    <x v="87"/>
    <d v="2025-06-02T00:00:00"/>
    <d v="2025-06-03T00:00:00"/>
    <n v="6300000"/>
  </r>
  <r>
    <s v="2668"/>
    <s v="V"/>
    <x v="1"/>
    <x v="1"/>
    <x v="5"/>
    <s v="E"/>
    <m/>
    <m/>
    <x v="87"/>
    <d v="2025-06-19T00:00:00"/>
    <d v="2025-06-19T00:00:00"/>
    <n v="5100000"/>
  </r>
  <r>
    <s v="2669"/>
    <s v="V"/>
    <x v="1"/>
    <x v="1"/>
    <x v="5"/>
    <s v="E"/>
    <m/>
    <m/>
    <x v="87"/>
    <d v="2025-07-03T00:00:00"/>
    <d v="2025-07-03T00:00:00"/>
    <n v="1300000"/>
  </r>
  <r>
    <s v="2670"/>
    <s v="V"/>
    <x v="1"/>
    <x v="1"/>
    <x v="5"/>
    <s v="E"/>
    <m/>
    <m/>
    <x v="87"/>
    <d v="2025-07-08T00:00:00"/>
    <d v="2025-07-08T00:00:00"/>
    <n v="4950000"/>
  </r>
  <r>
    <s v="2671"/>
    <s v="V"/>
    <x v="1"/>
    <x v="1"/>
    <x v="5"/>
    <s v="E"/>
    <m/>
    <m/>
    <x v="87"/>
    <d v="2025-07-16T00:00:00"/>
    <d v="2025-07-17T00:00:00"/>
    <n v="7350000"/>
  </r>
  <r>
    <s v="2672"/>
    <s v="V"/>
    <x v="1"/>
    <x v="1"/>
    <x v="5"/>
    <s v="E"/>
    <m/>
    <m/>
    <x v="87"/>
    <d v="2025-08-05T00:00:00"/>
    <d v="2025-08-05T00:00:00"/>
    <n v="1900000"/>
  </r>
  <r>
    <s v="2673"/>
    <s v="V"/>
    <x v="1"/>
    <x v="1"/>
    <x v="5"/>
    <s v="E"/>
    <m/>
    <m/>
    <x v="87"/>
    <d v="2025-09-03T00:00:00"/>
    <d v="2025-09-03T00:00:00"/>
    <n v="4990000"/>
  </r>
  <r>
    <s v="2674"/>
    <s v="V"/>
    <x v="1"/>
    <x v="1"/>
    <x v="5"/>
    <s v="E"/>
    <m/>
    <m/>
    <x v="87"/>
    <d v="2025-09-11T00:00:00"/>
    <d v="2025-09-11T00:00:00"/>
    <n v="10950000"/>
  </r>
  <r>
    <s v="2675"/>
    <s v="V"/>
    <x v="1"/>
    <x v="1"/>
    <x v="5"/>
    <s v="E"/>
    <m/>
    <m/>
    <x v="87"/>
    <d v="2025-09-30T00:00:00"/>
    <d v="2025-09-30T00:00:00"/>
    <n v="7025000"/>
  </r>
  <r>
    <s v="2676"/>
    <s v="V"/>
    <x v="1"/>
    <x v="1"/>
    <x v="5"/>
    <s v="E"/>
    <m/>
    <m/>
    <x v="87"/>
    <d v="2025-10-30T00:00:00"/>
    <d v="2025-11-04T00:00:00"/>
    <n v="6950000"/>
  </r>
  <r>
    <s v="2677"/>
    <s v="V"/>
    <x v="1"/>
    <x v="1"/>
    <x v="5"/>
    <s v="E"/>
    <m/>
    <m/>
    <x v="87"/>
    <d v="2025-11-06T00:00:00"/>
    <d v="2025-11-06T00:00:00"/>
    <n v="1000000"/>
  </r>
  <r>
    <s v="2678"/>
    <s v="V"/>
    <x v="1"/>
    <x v="1"/>
    <x v="5"/>
    <s v="E"/>
    <m/>
    <m/>
    <x v="87"/>
    <d v="2025-11-27T00:00:00"/>
    <d v="2025-11-27T00:00:00"/>
    <n v="4100000"/>
  </r>
  <r>
    <s v="2679"/>
    <s v="V"/>
    <x v="1"/>
    <x v="1"/>
    <x v="5"/>
    <s v="E"/>
    <m/>
    <m/>
    <x v="87"/>
    <d v="2025-12-12T00:00:00"/>
    <d v="2025-12-18T00:00:00"/>
    <n v="6200000"/>
  </r>
  <r>
    <s v="2680"/>
    <s v="V"/>
    <x v="1"/>
    <x v="1"/>
    <x v="5"/>
    <s v="E"/>
    <m/>
    <m/>
    <x v="87"/>
    <d v="2025-12-23T00:00:00"/>
    <d v="2025-12-23T00:00:00"/>
    <n v="2278000"/>
  </r>
  <r>
    <s v="2681"/>
    <s v="V"/>
    <x v="2"/>
    <x v="1"/>
    <x v="5"/>
    <s v="E"/>
    <m/>
    <m/>
    <x v="87"/>
    <d v="2026-01-06T00:00:00"/>
    <d v="2026-01-10T00:00:00"/>
    <n v="7350000"/>
  </r>
  <r>
    <s v="2682"/>
    <s v="V"/>
    <x v="2"/>
    <x v="1"/>
    <x v="5"/>
    <s v="E"/>
    <m/>
    <m/>
    <x v="87"/>
    <d v="2026-01-19T00:00:00"/>
    <d v="2026-01-20T00:00:00"/>
    <n v="3240000"/>
  </r>
  <r>
    <s v="2683"/>
    <s v="V"/>
    <x v="2"/>
    <x v="1"/>
    <x v="5"/>
    <s v="E"/>
    <m/>
    <m/>
    <x v="87"/>
    <d v="2026-01-31T00:00:00"/>
    <d v="2026-01-31T00:00:00"/>
    <n v="6000000"/>
  </r>
  <r>
    <s v="2684"/>
    <s v="V"/>
    <x v="2"/>
    <x v="1"/>
    <x v="5"/>
    <s v="E"/>
    <m/>
    <m/>
    <x v="87"/>
    <d v="2026-02-24T00:00:00"/>
    <d v="2026-02-24T00:00:00"/>
    <n v="8270000"/>
  </r>
  <r>
    <s v="2685"/>
    <s v="V"/>
    <x v="2"/>
    <x v="1"/>
    <x v="5"/>
    <s v="E"/>
    <m/>
    <m/>
    <x v="87"/>
    <d v="2026-03-05T00:00:00"/>
    <d v="2026-03-05T00:00:00"/>
    <n v="1730000"/>
  </r>
  <r>
    <s v="2686"/>
    <s v="V"/>
    <x v="2"/>
    <x v="1"/>
    <x v="5"/>
    <s v="E"/>
    <m/>
    <m/>
    <x v="87"/>
    <d v="2026-03-05T00:00:00"/>
    <d v="2026-03-05T00:00:00"/>
    <n v="3770000"/>
  </r>
  <r>
    <s v="2687"/>
    <s v="V"/>
    <x v="2"/>
    <x v="1"/>
    <x v="5"/>
    <s v="E"/>
    <m/>
    <m/>
    <x v="87"/>
    <d v="2026-04-13T00:00:00"/>
    <d v="2026-04-28T00:00:00"/>
    <n v="1230000"/>
  </r>
  <r>
    <s v="2688"/>
    <s v="V"/>
    <x v="2"/>
    <x v="2"/>
    <x v="5"/>
    <s v="E"/>
    <m/>
    <m/>
    <x v="87"/>
    <d v="2026-04-13T00:00:00"/>
    <d v="2026-04-28T00:00:00"/>
    <n v="20000"/>
  </r>
  <r>
    <s v="2689"/>
    <s v="V"/>
    <x v="2"/>
    <x v="2"/>
    <x v="5"/>
    <s v="E"/>
    <m/>
    <m/>
    <x v="87"/>
    <d v="2026-05-14T00:00:00"/>
    <d v="2026-05-22T00:00:00"/>
    <n v="2400000"/>
  </r>
  <r>
    <s v="2690"/>
    <s v="V"/>
    <x v="2"/>
    <x v="2"/>
    <x v="5"/>
    <s v="E"/>
    <m/>
    <m/>
    <x v="87"/>
    <d v="2026-05-20T00:00:00"/>
    <d v="2026-05-22T00:00:00"/>
    <n v="2230000"/>
  </r>
  <r>
    <s v="2691"/>
    <s v="V"/>
    <x v="2"/>
    <x v="2"/>
    <x v="5"/>
    <s v="E"/>
    <m/>
    <m/>
    <x v="87"/>
    <d v="2026-05-22T00:00:00"/>
    <d v="2026-05-22T00:00:00"/>
    <n v="2450000"/>
  </r>
  <r>
    <s v="2692"/>
    <s v="V"/>
    <x v="2"/>
    <x v="2"/>
    <x v="5"/>
    <s v="E"/>
    <m/>
    <m/>
    <x v="87"/>
    <d v="2026-07-02T00:00:00"/>
    <d v="2026-07-02T00:00:00"/>
    <n v="4870000"/>
  </r>
  <r>
    <s v="2693"/>
    <s v="V"/>
    <x v="2"/>
    <x v="2"/>
    <x v="5"/>
    <s v="E"/>
    <m/>
    <m/>
    <x v="87"/>
    <d v="2026-07-02T00:00:00"/>
    <d v="2026-07-02T00:00:00"/>
    <n v="3430000"/>
  </r>
  <r>
    <s v="2694"/>
    <s v="V"/>
    <x v="2"/>
    <x v="2"/>
    <x v="5"/>
    <s v="E"/>
    <m/>
    <m/>
    <x v="87"/>
    <d v="2026-07-18T00:00:00"/>
    <d v="2026-07-18T00:00:00"/>
    <n v="8470000"/>
  </r>
  <r>
    <s v="2695"/>
    <s v="V"/>
    <x v="2"/>
    <x v="2"/>
    <x v="5"/>
    <s v="E"/>
    <m/>
    <m/>
    <x v="87"/>
    <d v="2026-07-24T00:00:00"/>
    <d v="2026-07-24T00:00:00"/>
    <n v="4550000"/>
  </r>
  <r>
    <s v="2696"/>
    <s v="V"/>
    <x v="0"/>
    <x v="0"/>
    <x v="0"/>
    <m/>
    <m/>
    <m/>
    <x v="0"/>
    <m/>
    <m/>
    <m/>
  </r>
  <r>
    <s v="2697"/>
    <s v="V"/>
    <x v="0"/>
    <x v="0"/>
    <x v="0"/>
    <m/>
    <m/>
    <m/>
    <x v="0"/>
    <m/>
    <m/>
    <m/>
  </r>
  <r>
    <s v="2698"/>
    <s v="V"/>
    <x v="0"/>
    <x v="0"/>
    <x v="0"/>
    <m/>
    <s v="X"/>
    <s v="LINEZA DAMANHURI - CETAKAN"/>
    <x v="0"/>
    <m/>
    <m/>
    <n v="1180000"/>
  </r>
  <r>
    <s v="2699"/>
    <s v="V"/>
    <x v="3"/>
    <x v="1"/>
    <x v="5"/>
    <s v="E"/>
    <m/>
    <m/>
    <x v="88"/>
    <d v="2024-08-07T00:00:00"/>
    <d v="2024-08-27T00:00:00"/>
    <n v="100000"/>
  </r>
  <r>
    <s v="2700"/>
    <s v="V"/>
    <x v="3"/>
    <x v="1"/>
    <x v="5"/>
    <s v="E"/>
    <m/>
    <m/>
    <x v="88"/>
    <d v="2024-10-22T00:00:00"/>
    <d v="2024-10-23T00:00:00"/>
    <n v="440000"/>
  </r>
  <r>
    <s v="2701"/>
    <s v="V"/>
    <x v="3"/>
    <x v="1"/>
    <x v="5"/>
    <s v="E"/>
    <m/>
    <m/>
    <x v="88"/>
    <d v="2024-11-27T00:00:00"/>
    <d v="2025-03-15T00:00:00"/>
    <n v="125000"/>
  </r>
  <r>
    <s v="2702"/>
    <s v="V"/>
    <x v="1"/>
    <x v="1"/>
    <x v="5"/>
    <s v="E"/>
    <m/>
    <m/>
    <x v="88"/>
    <d v="2025-02-10T00:00:00"/>
    <d v="2025-03-15T00:00:00"/>
    <n v="100000"/>
  </r>
  <r>
    <s v="2703"/>
    <s v="V"/>
    <x v="1"/>
    <x v="1"/>
    <x v="5"/>
    <s v="E"/>
    <m/>
    <m/>
    <x v="88"/>
    <d v="2025-03-03T00:00:00"/>
    <d v="2025-03-15T00:00:00"/>
    <n v="100000"/>
  </r>
  <r>
    <s v="2704"/>
    <s v="V"/>
    <x v="1"/>
    <x v="1"/>
    <x v="5"/>
    <s v="E"/>
    <m/>
    <m/>
    <x v="88"/>
    <d v="2025-08-14T00:00:00"/>
    <d v="2025-09-24T00:00:00"/>
    <n v="215000"/>
  </r>
  <r>
    <s v="2705"/>
    <s v="V"/>
    <x v="1"/>
    <x v="1"/>
    <x v="5"/>
    <s v="E"/>
    <m/>
    <m/>
    <x v="88"/>
    <d v="2025-09-19T00:00:00"/>
    <d v="2025-09-24T00:00:00"/>
    <n v="100000"/>
  </r>
  <r>
    <s v="2706"/>
    <s v="V"/>
    <x v="0"/>
    <x v="0"/>
    <x v="0"/>
    <m/>
    <m/>
    <m/>
    <x v="0"/>
    <m/>
    <m/>
    <m/>
  </r>
  <r>
    <s v="2707"/>
    <s v="V"/>
    <x v="0"/>
    <x v="0"/>
    <x v="0"/>
    <m/>
    <m/>
    <m/>
    <x v="0"/>
    <m/>
    <m/>
    <m/>
  </r>
  <r>
    <s v="2708"/>
    <s v="V"/>
    <x v="0"/>
    <x v="0"/>
    <x v="0"/>
    <m/>
    <s v="X"/>
    <s v="PANDAN ALAM-BAHAN BANGUNAN"/>
    <x v="0"/>
    <m/>
    <m/>
    <n v="820000"/>
  </r>
  <r>
    <s v="2709"/>
    <s v="V"/>
    <x v="3"/>
    <x v="1"/>
    <x v="5"/>
    <s v="E"/>
    <m/>
    <m/>
    <x v="89"/>
    <d v="2024-08-31T00:00:00"/>
    <d v="2024-10-05T00:00:00"/>
    <n v="820000"/>
  </r>
  <r>
    <s v="2710"/>
    <m/>
    <x v="0"/>
    <x v="0"/>
    <x v="0"/>
    <m/>
    <m/>
    <m/>
    <x v="0"/>
    <m/>
    <m/>
    <m/>
  </r>
  <r>
    <s v="2711"/>
    <m/>
    <x v="0"/>
    <x v="0"/>
    <x v="0"/>
    <m/>
    <m/>
    <m/>
    <x v="0"/>
    <m/>
    <m/>
    <m/>
  </r>
  <r>
    <s v="2712"/>
    <s v="V"/>
    <x v="0"/>
    <x v="0"/>
    <x v="0"/>
    <m/>
    <s v="X"/>
    <s v="PERDANA FOOD SERVICE - TISSUE"/>
    <x v="0"/>
    <m/>
    <m/>
    <n v="18936105"/>
  </r>
  <r>
    <s v="2713"/>
    <s v="V"/>
    <x v="1"/>
    <x v="1"/>
    <x v="5"/>
    <s v="E"/>
    <m/>
    <s v="PF-0016"/>
    <x v="90"/>
    <d v="2025-01-03T00:00:00"/>
    <d v="2025-01-16T00:00:00"/>
    <n v="3536100"/>
  </r>
  <r>
    <s v="2714"/>
    <s v="V"/>
    <x v="1"/>
    <x v="1"/>
    <x v="5"/>
    <s v="E"/>
    <m/>
    <s v="PF-0017"/>
    <x v="90"/>
    <d v="2025-02-18T00:00:00"/>
    <d v="2025-02-27T00:00:00"/>
    <n v="2328500"/>
  </r>
  <r>
    <s v="2715"/>
    <s v="V"/>
    <x v="1"/>
    <x v="1"/>
    <x v="5"/>
    <s v="E"/>
    <m/>
    <s v="PF-0018"/>
    <x v="90"/>
    <d v="2025-04-10T00:00:00"/>
    <d v="2025-04-22T00:00:00"/>
    <n v="2359100"/>
  </r>
  <r>
    <s v="2716"/>
    <s v="V"/>
    <x v="1"/>
    <x v="1"/>
    <x v="5"/>
    <s v="E"/>
    <m/>
    <s v="PF-0019"/>
    <x v="90"/>
    <d v="2025-07-25T00:00:00"/>
    <d v="2025-07-31T00:00:00"/>
    <n v="2322600"/>
  </r>
  <r>
    <s v="2717"/>
    <s v="V"/>
    <x v="1"/>
    <x v="1"/>
    <x v="5"/>
    <s v="E"/>
    <m/>
    <s v="PF-0020"/>
    <x v="90"/>
    <d v="2025-07-28T00:00:00"/>
    <d v="2025-07-31T00:00:00"/>
    <n v="786400"/>
  </r>
  <r>
    <s v="2718"/>
    <s v="V"/>
    <x v="1"/>
    <x v="1"/>
    <x v="5"/>
    <s v="E"/>
    <m/>
    <s v="PF-0021"/>
    <x v="90"/>
    <d v="2025-10-29T00:00:00"/>
    <d v="2025-11-13T00:00:00"/>
    <n v="2673700"/>
  </r>
  <r>
    <s v="2719"/>
    <s v="V"/>
    <x v="1"/>
    <x v="1"/>
    <x v="5"/>
    <s v="E"/>
    <m/>
    <s v="PF-0021"/>
    <x v="90"/>
    <d v="2025-10-29T00:00:00"/>
    <d v="2025-11-13T00:00:00"/>
    <n v="2673700"/>
  </r>
  <r>
    <s v="2720"/>
    <s v="V"/>
    <x v="2"/>
    <x v="1"/>
    <x v="5"/>
    <s v="E"/>
    <m/>
    <s v="PF-0022"/>
    <x v="90"/>
    <d v="2025-10-29T00:00:00"/>
    <d v="2025-11-13T00:00:00"/>
    <n v="-2673700"/>
  </r>
  <r>
    <s v="2721"/>
    <s v="V"/>
    <x v="2"/>
    <x v="1"/>
    <x v="5"/>
    <s v="E"/>
    <m/>
    <s v="PF-0023"/>
    <x v="90"/>
    <d v="2026-02-12T00:00:00"/>
    <d v="2025-02-19T00:00:00"/>
    <n v="2359105"/>
  </r>
  <r>
    <s v="2722"/>
    <s v="V"/>
    <x v="2"/>
    <x v="1"/>
    <x v="5"/>
    <s v="E"/>
    <m/>
    <s v="PF-0024"/>
    <x v="90"/>
    <d v="2026-05-04T00:00:00"/>
    <d v="2026-05-05T00:00:00"/>
    <n v="2570600"/>
  </r>
  <r>
    <s v="2723"/>
    <s v="V"/>
    <x v="0"/>
    <x v="0"/>
    <x v="0"/>
    <m/>
    <m/>
    <m/>
    <x v="0"/>
    <m/>
    <m/>
    <m/>
  </r>
  <r>
    <s v="2724"/>
    <s v="V"/>
    <x v="0"/>
    <x v="0"/>
    <x v="0"/>
    <m/>
    <m/>
    <m/>
    <x v="0"/>
    <m/>
    <m/>
    <m/>
  </r>
  <r>
    <s v="2725"/>
    <s v="V"/>
    <x v="0"/>
    <x v="0"/>
    <x v="0"/>
    <m/>
    <s v="X"/>
    <s v="ROYAL NUSANTARA, CV - CETAKAN"/>
    <x v="0"/>
    <m/>
    <m/>
    <n v="0"/>
  </r>
  <r>
    <s v="2726"/>
    <s v="V"/>
    <x v="0"/>
    <x v="0"/>
    <x v="0"/>
    <m/>
    <m/>
    <m/>
    <x v="0"/>
    <m/>
    <m/>
    <m/>
  </r>
  <r>
    <s v="2727"/>
    <s v="V"/>
    <x v="0"/>
    <x v="0"/>
    <x v="0"/>
    <m/>
    <m/>
    <m/>
    <x v="0"/>
    <m/>
    <m/>
    <m/>
  </r>
  <r>
    <s v="2728"/>
    <s v="V"/>
    <x v="0"/>
    <x v="0"/>
    <x v="0"/>
    <m/>
    <s v="X"/>
    <s v="SURFA MITRA ABADI, CV - CETAKAN"/>
    <x v="0"/>
    <m/>
    <m/>
    <n v="28395000"/>
  </r>
  <r>
    <s v="2729"/>
    <s v="V"/>
    <x v="1"/>
    <x v="1"/>
    <x v="5"/>
    <s v="E"/>
    <m/>
    <s v="SMA-026"/>
    <x v="91"/>
    <d v="2025-01-30T00:00:00"/>
    <d v="2025-01-30T00:00:00"/>
    <n v="11525000"/>
  </r>
  <r>
    <s v="2730"/>
    <s v="V"/>
    <x v="1"/>
    <x v="1"/>
    <x v="5"/>
    <s v="E"/>
    <m/>
    <s v="SMA-027"/>
    <x v="91"/>
    <d v="2025-02-27T00:00:00"/>
    <d v="2025-03-01T00:00:00"/>
    <n v="5020000"/>
  </r>
  <r>
    <s v="2731"/>
    <s v="V"/>
    <x v="1"/>
    <x v="1"/>
    <x v="5"/>
    <s v="E"/>
    <m/>
    <s v="SMA-028"/>
    <x v="91"/>
    <d v="2025-03-27T00:00:00"/>
    <d v="2025-03-01T00:00:00"/>
    <n v="11850000"/>
  </r>
  <r>
    <s v="2732"/>
    <s v="V"/>
    <x v="0"/>
    <x v="0"/>
    <x v="0"/>
    <m/>
    <m/>
    <m/>
    <x v="0"/>
    <m/>
    <m/>
    <m/>
  </r>
  <r>
    <s v="2733"/>
    <s v="V"/>
    <x v="0"/>
    <x v="0"/>
    <x v="0"/>
    <m/>
    <m/>
    <m/>
    <x v="0"/>
    <m/>
    <m/>
    <m/>
  </r>
  <r>
    <s v="2734"/>
    <s v="V"/>
    <x v="0"/>
    <x v="0"/>
    <x v="0"/>
    <m/>
    <s v="X"/>
    <s v="TOKO ANAS/NABILA - BHP RUMAH TANGGA"/>
    <x v="0"/>
    <m/>
    <m/>
    <n v="47177000"/>
  </r>
  <r>
    <s v="2735"/>
    <s v="V"/>
    <x v="1"/>
    <x v="1"/>
    <x v="5"/>
    <s v="E"/>
    <m/>
    <m/>
    <x v="92"/>
    <d v="2025-01-10T00:00:00"/>
    <d v="2025-01-10T00:00:00"/>
    <n v="3563000"/>
  </r>
  <r>
    <s v="2736"/>
    <s v="V"/>
    <x v="1"/>
    <x v="1"/>
    <x v="5"/>
    <s v="E"/>
    <m/>
    <m/>
    <x v="92"/>
    <d v="2025-02-11T00:00:00"/>
    <d v="2025-02-19T00:00:00"/>
    <n v="4189000"/>
  </r>
  <r>
    <s v="2737"/>
    <s v="V"/>
    <x v="1"/>
    <x v="1"/>
    <x v="5"/>
    <s v="E"/>
    <m/>
    <m/>
    <x v="92"/>
    <d v="2025-03-18T00:00:00"/>
    <d v="2025-03-19T00:00:00"/>
    <n v="3704000"/>
  </r>
  <r>
    <s v="2738"/>
    <s v="V"/>
    <x v="1"/>
    <x v="1"/>
    <x v="5"/>
    <s v="E"/>
    <m/>
    <m/>
    <x v="92"/>
    <d v="2025-04-22T00:00:00"/>
    <d v="2025-04-28T00:00:00"/>
    <n v="3618000"/>
  </r>
  <r>
    <s v="2739"/>
    <s v="V"/>
    <x v="1"/>
    <x v="1"/>
    <x v="5"/>
    <s v="E"/>
    <m/>
    <m/>
    <x v="92"/>
    <d v="2025-05-20T00:00:00"/>
    <d v="2025-05-23T00:00:00"/>
    <n v="3881000"/>
  </r>
  <r>
    <s v="2740"/>
    <s v="V"/>
    <x v="1"/>
    <x v="1"/>
    <x v="5"/>
    <s v="E"/>
    <m/>
    <m/>
    <x v="92"/>
    <d v="2025-07-01T00:00:00"/>
    <d v="2025-07-01T00:00:00"/>
    <n v="4428000"/>
  </r>
  <r>
    <s v="2741"/>
    <s v="V"/>
    <x v="1"/>
    <x v="1"/>
    <x v="5"/>
    <s v="E"/>
    <m/>
    <m/>
    <x v="92"/>
    <d v="2025-07-31T00:00:00"/>
    <d v="2025-08-30T00:00:00"/>
    <n v="4425000"/>
  </r>
  <r>
    <s v="2742"/>
    <s v="V"/>
    <x v="1"/>
    <x v="1"/>
    <x v="5"/>
    <s v="E"/>
    <m/>
    <m/>
    <x v="93"/>
    <d v="2025-10-07T00:00:00"/>
    <d v="2025-10-13T00:00:00"/>
    <n v="3724000"/>
  </r>
  <r>
    <s v="2743"/>
    <s v="V"/>
    <x v="1"/>
    <x v="1"/>
    <x v="5"/>
    <s v="E"/>
    <m/>
    <m/>
    <x v="93"/>
    <d v="2025-11-06T00:00:00"/>
    <d v="2025-11-10T00:00:00"/>
    <n v="3944000"/>
  </r>
  <r>
    <s v="2744"/>
    <s v="V"/>
    <x v="1"/>
    <x v="1"/>
    <x v="5"/>
    <s v="E"/>
    <m/>
    <m/>
    <x v="93"/>
    <d v="2025-12-10T00:00:00"/>
    <d v="2025-12-22T00:00:00"/>
    <n v="4076000"/>
  </r>
  <r>
    <s v="2745"/>
    <s v="V"/>
    <x v="2"/>
    <x v="1"/>
    <x v="5"/>
    <s v="E"/>
    <m/>
    <m/>
    <x v="93"/>
    <d v="2026-01-12T00:00:00"/>
    <d v="2026-01-21T00:00:00"/>
    <n v="4200000"/>
  </r>
  <r>
    <s v="2746"/>
    <s v="V"/>
    <x v="2"/>
    <x v="1"/>
    <x v="5"/>
    <s v="E"/>
    <m/>
    <m/>
    <x v="93"/>
    <d v="2026-02-15T00:00:00"/>
    <d v="2026-02-28T00:00:00"/>
    <n v="3425000"/>
  </r>
  <r>
    <s v="2747"/>
    <s v="V"/>
    <x v="0"/>
    <x v="0"/>
    <x v="0"/>
    <m/>
    <m/>
    <m/>
    <x v="0"/>
    <m/>
    <d v="2025-01-06T00:00:00"/>
    <m/>
  </r>
  <r>
    <s v="2748"/>
    <m/>
    <x v="0"/>
    <x v="0"/>
    <x v="0"/>
    <m/>
    <m/>
    <m/>
    <x v="0"/>
    <m/>
    <m/>
    <m/>
  </r>
  <r>
    <s v="2749"/>
    <s v="V"/>
    <x v="0"/>
    <x v="0"/>
    <x v="0"/>
    <m/>
    <s v="X"/>
    <s v="YAKIN SUKSES INDONESIA, PT - CETAKAN"/>
    <x v="0"/>
    <m/>
    <m/>
    <n v="1676100"/>
  </r>
  <r>
    <s v="2750"/>
    <s v="V"/>
    <x v="2"/>
    <x v="1"/>
    <x v="5"/>
    <s v="E"/>
    <m/>
    <m/>
    <x v="94"/>
    <d v="2026-03-31T00:00:00"/>
    <d v="2026-04-11T00:00:00"/>
    <n v="1676100"/>
  </r>
  <r>
    <s v="2751"/>
    <s v="V"/>
    <x v="0"/>
    <x v="0"/>
    <x v="0"/>
    <m/>
    <m/>
    <m/>
    <x v="0"/>
    <m/>
    <m/>
    <m/>
  </r>
  <r>
    <s v="2752"/>
    <m/>
    <x v="0"/>
    <x v="0"/>
    <x v="0"/>
    <m/>
    <m/>
    <m/>
    <x v="0"/>
    <m/>
    <m/>
    <m/>
  </r>
  <r>
    <s v="2753"/>
    <m/>
    <x v="0"/>
    <x v="0"/>
    <x v="0"/>
    <m/>
    <m/>
    <m/>
    <x v="0"/>
    <m/>
    <m/>
    <m/>
  </r>
  <r>
    <s v="2754"/>
    <m/>
    <x v="0"/>
    <x v="0"/>
    <x v="0"/>
    <m/>
    <m/>
    <m/>
    <x v="0"/>
    <m/>
    <m/>
    <m/>
  </r>
  <r>
    <s v="2755"/>
    <s v="V"/>
    <x v="0"/>
    <x v="0"/>
    <x v="0"/>
    <m/>
    <s v="Z"/>
    <s v="IURAN BPJS KESEHATAN DAN BPJS KETENAGAKERJAAN"/>
    <x v="0"/>
    <m/>
    <m/>
    <n v="577323807"/>
  </r>
  <r>
    <s v="2756"/>
    <s v="V"/>
    <x v="0"/>
    <x v="0"/>
    <x v="0"/>
    <m/>
    <m/>
    <m/>
    <x v="0"/>
    <m/>
    <m/>
    <m/>
  </r>
  <r>
    <s v="2757"/>
    <s v="V"/>
    <x v="0"/>
    <x v="0"/>
    <x v="0"/>
    <m/>
    <s v="X"/>
    <s v="BPJS KESEHATAN"/>
    <x v="0"/>
    <m/>
    <m/>
    <n v="0"/>
  </r>
  <r>
    <s v="2758"/>
    <s v="V"/>
    <x v="0"/>
    <x v="0"/>
    <x v="6"/>
    <s v="F"/>
    <m/>
    <m/>
    <x v="95"/>
    <m/>
    <m/>
    <m/>
  </r>
  <r>
    <s v="2759"/>
    <s v="V"/>
    <x v="0"/>
    <x v="0"/>
    <x v="6"/>
    <s v="F"/>
    <m/>
    <m/>
    <x v="95"/>
    <m/>
    <m/>
    <m/>
  </r>
  <r>
    <s v="2760"/>
    <s v="V"/>
    <x v="0"/>
    <x v="0"/>
    <x v="6"/>
    <s v="F"/>
    <m/>
    <m/>
    <x v="95"/>
    <m/>
    <m/>
    <m/>
  </r>
  <r>
    <s v="2761"/>
    <s v="V"/>
    <x v="0"/>
    <x v="0"/>
    <x v="6"/>
    <s v="F"/>
    <m/>
    <m/>
    <x v="95"/>
    <m/>
    <m/>
    <m/>
  </r>
  <r>
    <s v="2762"/>
    <s v="V"/>
    <x v="0"/>
    <x v="0"/>
    <x v="6"/>
    <s v="F"/>
    <m/>
    <m/>
    <x v="95"/>
    <m/>
    <m/>
    <m/>
  </r>
  <r>
    <s v="2763"/>
    <s v="V"/>
    <x v="0"/>
    <x v="0"/>
    <x v="6"/>
    <s v="F"/>
    <m/>
    <m/>
    <x v="95"/>
    <m/>
    <m/>
    <m/>
  </r>
  <r>
    <s v="2764"/>
    <s v="V"/>
    <x v="0"/>
    <x v="0"/>
    <x v="6"/>
    <s v="F"/>
    <m/>
    <m/>
    <x v="95"/>
    <s v=" "/>
    <m/>
    <m/>
  </r>
  <r>
    <s v="2765"/>
    <s v="V"/>
    <x v="0"/>
    <x v="0"/>
    <x v="6"/>
    <s v="F"/>
    <m/>
    <m/>
    <x v="95"/>
    <m/>
    <m/>
    <m/>
  </r>
  <r>
    <s v="2766"/>
    <s v="V"/>
    <x v="0"/>
    <x v="0"/>
    <x v="6"/>
    <s v="F"/>
    <m/>
    <m/>
    <x v="95"/>
    <m/>
    <m/>
    <m/>
  </r>
  <r>
    <s v="2767"/>
    <s v="V"/>
    <x v="0"/>
    <x v="0"/>
    <x v="6"/>
    <s v="F"/>
    <m/>
    <m/>
    <x v="95"/>
    <m/>
    <m/>
    <m/>
  </r>
  <r>
    <s v="2768"/>
    <s v="V"/>
    <x v="0"/>
    <x v="0"/>
    <x v="6"/>
    <s v="F"/>
    <m/>
    <m/>
    <x v="95"/>
    <m/>
    <m/>
    <m/>
  </r>
  <r>
    <s v="2769"/>
    <s v="V"/>
    <x v="0"/>
    <x v="0"/>
    <x v="6"/>
    <s v="F"/>
    <m/>
    <m/>
    <x v="95"/>
    <m/>
    <m/>
    <m/>
  </r>
  <r>
    <s v="2770"/>
    <s v="V"/>
    <x v="0"/>
    <x v="0"/>
    <x v="0"/>
    <m/>
    <m/>
    <m/>
    <x v="0"/>
    <m/>
    <m/>
    <m/>
  </r>
  <r>
    <s v="2771"/>
    <s v="V"/>
    <x v="0"/>
    <x v="0"/>
    <x v="0"/>
    <m/>
    <m/>
    <m/>
    <x v="0"/>
    <m/>
    <m/>
    <m/>
  </r>
  <r>
    <s v="2772"/>
    <s v="V"/>
    <x v="0"/>
    <x v="0"/>
    <x v="0"/>
    <m/>
    <s v="X"/>
    <s v="BPJS KETENAGAKERJAAN"/>
    <x v="0"/>
    <m/>
    <m/>
    <n v="577323807"/>
  </r>
  <r>
    <s v="2773"/>
    <s v="V"/>
    <x v="0"/>
    <x v="1"/>
    <x v="6"/>
    <s v="F"/>
    <m/>
    <m/>
    <x v="96"/>
    <m/>
    <m/>
    <n v="39798312"/>
  </r>
  <r>
    <s v="2774"/>
    <s v="V"/>
    <x v="0"/>
    <x v="1"/>
    <x v="6"/>
    <s v="F"/>
    <m/>
    <m/>
    <x v="96"/>
    <m/>
    <m/>
    <n v="40402679"/>
  </r>
  <r>
    <s v="2775"/>
    <s v="V"/>
    <x v="0"/>
    <x v="1"/>
    <x v="6"/>
    <s v="F"/>
    <m/>
    <m/>
    <x v="96"/>
    <m/>
    <m/>
    <n v="39792387"/>
  </r>
  <r>
    <s v="2776"/>
    <s v="V"/>
    <x v="0"/>
    <x v="1"/>
    <x v="6"/>
    <s v="F"/>
    <m/>
    <m/>
    <x v="96"/>
    <m/>
    <m/>
    <n v="39890512"/>
  </r>
  <r>
    <s v="2777"/>
    <s v="V"/>
    <x v="0"/>
    <x v="1"/>
    <x v="6"/>
    <s v="F"/>
    <m/>
    <m/>
    <x v="96"/>
    <m/>
    <m/>
    <n v="39841403"/>
  </r>
  <r>
    <s v="2778"/>
    <s v="V"/>
    <x v="0"/>
    <x v="1"/>
    <x v="6"/>
    <s v="F"/>
    <m/>
    <m/>
    <x v="96"/>
    <m/>
    <m/>
    <n v="61833638"/>
  </r>
  <r>
    <s v="2779"/>
    <s v="V"/>
    <x v="0"/>
    <x v="1"/>
    <x v="6"/>
    <s v="F"/>
    <m/>
    <m/>
    <x v="96"/>
    <m/>
    <m/>
    <n v="42119784"/>
  </r>
  <r>
    <s v="2780"/>
    <s v="V"/>
    <x v="0"/>
    <x v="1"/>
    <x v="6"/>
    <s v="F"/>
    <m/>
    <m/>
    <x v="96"/>
    <m/>
    <m/>
    <n v="41501517"/>
  </r>
  <r>
    <s v="2781"/>
    <s v="V"/>
    <x v="0"/>
    <x v="1"/>
    <x v="6"/>
    <s v="F"/>
    <m/>
    <m/>
    <x v="96"/>
    <m/>
    <m/>
    <n v="39954246"/>
  </r>
  <r>
    <s v="2782"/>
    <s v="V"/>
    <x v="0"/>
    <x v="1"/>
    <x v="6"/>
    <s v="F"/>
    <m/>
    <m/>
    <x v="96"/>
    <m/>
    <m/>
    <n v="38869702"/>
  </r>
  <r>
    <s v="2783"/>
    <s v="V"/>
    <x v="0"/>
    <x v="1"/>
    <x v="6"/>
    <s v="F"/>
    <m/>
    <m/>
    <x v="96"/>
    <m/>
    <m/>
    <n v="37552246"/>
  </r>
  <r>
    <s v="2784"/>
    <s v="V"/>
    <x v="0"/>
    <x v="1"/>
    <x v="6"/>
    <s v="F"/>
    <m/>
    <m/>
    <x v="96"/>
    <m/>
    <m/>
    <n v="38923523"/>
  </r>
  <r>
    <s v="2785"/>
    <s v="V"/>
    <x v="0"/>
    <x v="1"/>
    <x v="6"/>
    <s v="F"/>
    <m/>
    <m/>
    <x v="96"/>
    <m/>
    <m/>
    <n v="38881744"/>
  </r>
  <r>
    <s v="2786"/>
    <s v="V"/>
    <x v="0"/>
    <x v="1"/>
    <x v="6"/>
    <s v="F"/>
    <m/>
    <m/>
    <x v="96"/>
    <m/>
    <m/>
    <n v="37962114"/>
  </r>
  <r>
    <s v="2787"/>
    <s v="V"/>
    <x v="0"/>
    <x v="0"/>
    <x v="0"/>
    <m/>
    <m/>
    <m/>
    <x v="0"/>
    <m/>
    <m/>
    <m/>
  </r>
  <r>
    <s v="2788"/>
    <s v="V"/>
    <x v="0"/>
    <x v="0"/>
    <x v="0"/>
    <m/>
    <m/>
    <m/>
    <x v="0"/>
    <m/>
    <m/>
    <m/>
  </r>
  <r>
    <s v="2789"/>
    <s v="V"/>
    <x v="0"/>
    <x v="0"/>
    <x v="0"/>
    <m/>
    <s v="Z"/>
    <s v="KAS NEGARA"/>
    <x v="0"/>
    <m/>
    <m/>
    <n v="935212371"/>
  </r>
  <r>
    <s v="2790"/>
    <s v="V"/>
    <x v="0"/>
    <x v="0"/>
    <x v="0"/>
    <m/>
    <m/>
    <m/>
    <x v="0"/>
    <m/>
    <m/>
    <m/>
  </r>
  <r>
    <s v="2791"/>
    <s v="V"/>
    <x v="0"/>
    <x v="0"/>
    <x v="0"/>
    <m/>
    <s v="X"/>
    <s v="KAS NEGARA - PPH 21 DOKTER"/>
    <x v="0"/>
    <m/>
    <m/>
    <n v="246292772"/>
  </r>
  <r>
    <s v="2792"/>
    <s v="V"/>
    <x v="1"/>
    <x v="1"/>
    <x v="7"/>
    <s v="G"/>
    <m/>
    <m/>
    <x v="97"/>
    <d v="2025-01-31T00:00:00"/>
    <m/>
    <n v="14283210"/>
  </r>
  <r>
    <s v="2793"/>
    <s v="V"/>
    <x v="1"/>
    <x v="1"/>
    <x v="7"/>
    <s v="G"/>
    <m/>
    <m/>
    <x v="97"/>
    <d v="2025-02-28T00:00:00"/>
    <m/>
    <n v="14199320"/>
  </r>
  <r>
    <s v="2794"/>
    <s v="V"/>
    <x v="1"/>
    <x v="1"/>
    <x v="7"/>
    <s v="G"/>
    <m/>
    <m/>
    <x v="97"/>
    <d v="2025-03-31T00:00:00"/>
    <m/>
    <n v="16883499"/>
  </r>
  <r>
    <s v="2795"/>
    <s v="V"/>
    <x v="1"/>
    <x v="1"/>
    <x v="7"/>
    <s v="G"/>
    <m/>
    <m/>
    <x v="97"/>
    <d v="2025-04-30T00:00:00"/>
    <m/>
    <n v="13341918"/>
  </r>
  <r>
    <s v="2796"/>
    <s v="V"/>
    <x v="1"/>
    <x v="1"/>
    <x v="7"/>
    <s v="G"/>
    <m/>
    <m/>
    <x v="97"/>
    <d v="2025-05-31T00:00:00"/>
    <m/>
    <n v="14941509"/>
  </r>
  <r>
    <s v="2797"/>
    <s v="V"/>
    <x v="1"/>
    <x v="1"/>
    <x v="7"/>
    <s v="G"/>
    <m/>
    <m/>
    <x v="97"/>
    <d v="2025-06-30T00:00:00"/>
    <m/>
    <n v="12956976"/>
  </r>
  <r>
    <s v="2798"/>
    <s v="V"/>
    <x v="1"/>
    <x v="1"/>
    <x v="7"/>
    <s v="G"/>
    <m/>
    <m/>
    <x v="97"/>
    <d v="2025-07-31T00:00:00"/>
    <m/>
    <n v="12785040"/>
  </r>
  <r>
    <s v="2799"/>
    <s v="V"/>
    <x v="1"/>
    <x v="1"/>
    <x v="7"/>
    <s v="G"/>
    <m/>
    <m/>
    <x v="97"/>
    <d v="2025-08-31T00:00:00"/>
    <m/>
    <n v="20951767"/>
  </r>
  <r>
    <s v="2800"/>
    <s v="V"/>
    <x v="1"/>
    <x v="1"/>
    <x v="7"/>
    <s v="G"/>
    <m/>
    <m/>
    <x v="97"/>
    <d v="2025-09-30T00:00:00"/>
    <m/>
    <n v="16765361"/>
  </r>
  <r>
    <s v="2801"/>
    <s v="V"/>
    <x v="1"/>
    <x v="1"/>
    <x v="7"/>
    <s v="G"/>
    <m/>
    <m/>
    <x v="97"/>
    <d v="2025-10-31T00:00:00"/>
    <m/>
    <n v="15051047"/>
  </r>
  <r>
    <s v="2802"/>
    <s v="V"/>
    <x v="1"/>
    <x v="1"/>
    <x v="7"/>
    <s v="G"/>
    <m/>
    <m/>
    <x v="97"/>
    <d v="2025-11-30T00:00:00"/>
    <m/>
    <n v="15445588"/>
  </r>
  <r>
    <s v="2803"/>
    <s v="V"/>
    <x v="1"/>
    <x v="1"/>
    <x v="7"/>
    <s v="G"/>
    <m/>
    <m/>
    <x v="97"/>
    <d v="2025-12-31T00:00:00"/>
    <m/>
    <n v="5986644"/>
  </r>
  <r>
    <s v="2804"/>
    <s v="V"/>
    <x v="2"/>
    <x v="1"/>
    <x v="7"/>
    <s v="G"/>
    <m/>
    <m/>
    <x v="97"/>
    <d v="2026-01-31T00:00:00"/>
    <m/>
    <n v="14334481"/>
  </r>
  <r>
    <s v="2805"/>
    <s v="V"/>
    <x v="2"/>
    <x v="1"/>
    <x v="7"/>
    <s v="G"/>
    <m/>
    <m/>
    <x v="97"/>
    <d v="2026-02-28T00:00:00"/>
    <m/>
    <n v="13802288"/>
  </r>
  <r>
    <s v="2806"/>
    <s v="V"/>
    <x v="2"/>
    <x v="1"/>
    <x v="7"/>
    <s v="G"/>
    <m/>
    <m/>
    <x v="97"/>
    <d v="2026-03-31T00:00:00"/>
    <m/>
    <n v="11622564"/>
  </r>
  <r>
    <s v="2807"/>
    <s v="V"/>
    <x v="2"/>
    <x v="2"/>
    <x v="7"/>
    <s v="G"/>
    <m/>
    <m/>
    <x v="97"/>
    <d v="2026-04-30T00:00:00"/>
    <m/>
    <n v="9640511"/>
  </r>
  <r>
    <s v="2808"/>
    <s v="V"/>
    <x v="2"/>
    <x v="2"/>
    <x v="7"/>
    <s v="G"/>
    <m/>
    <m/>
    <x v="97"/>
    <d v="2026-04-30T00:00:00"/>
    <m/>
    <n v="12297195"/>
  </r>
  <r>
    <s v="2809"/>
    <s v="V"/>
    <x v="2"/>
    <x v="2"/>
    <x v="7"/>
    <s v="G"/>
    <m/>
    <m/>
    <x v="97"/>
    <d v="2026-05-30T00:00:00"/>
    <m/>
    <n v="11003854"/>
  </r>
  <r>
    <s v="2810"/>
    <s v="V"/>
    <x v="0"/>
    <x v="0"/>
    <x v="0"/>
    <m/>
    <m/>
    <m/>
    <x v="0"/>
    <m/>
    <m/>
    <m/>
  </r>
  <r>
    <s v="2811"/>
    <s v="V"/>
    <x v="0"/>
    <x v="0"/>
    <x v="0"/>
    <m/>
    <m/>
    <m/>
    <x v="0"/>
    <m/>
    <m/>
    <m/>
  </r>
  <r>
    <s v="2812"/>
    <s v="V"/>
    <x v="0"/>
    <x v="0"/>
    <x v="0"/>
    <m/>
    <s v="X"/>
    <s v="KAS NEGARA - PPH 21 KARYAWAN"/>
    <x v="0"/>
    <m/>
    <m/>
    <n v="32178339"/>
  </r>
  <r>
    <s v="2813"/>
    <s v="V"/>
    <x v="1"/>
    <x v="1"/>
    <x v="7"/>
    <s v="G"/>
    <m/>
    <m/>
    <x v="98"/>
    <d v="2025-02-10T00:00:00"/>
    <m/>
    <n v="1149247"/>
  </r>
  <r>
    <s v="2814"/>
    <s v="V"/>
    <x v="1"/>
    <x v="1"/>
    <x v="7"/>
    <s v="G"/>
    <m/>
    <m/>
    <x v="98"/>
    <d v="2025-03-10T00:00:00"/>
    <m/>
    <n v="1139536"/>
  </r>
  <r>
    <s v="2815"/>
    <s v="V"/>
    <x v="1"/>
    <x v="1"/>
    <x v="7"/>
    <s v="G"/>
    <m/>
    <m/>
    <x v="98"/>
    <d v="2025-04-10T00:00:00"/>
    <m/>
    <n v="15233915"/>
  </r>
  <r>
    <s v="2816"/>
    <s v="V"/>
    <x v="1"/>
    <x v="1"/>
    <x v="7"/>
    <s v="G"/>
    <m/>
    <m/>
    <x v="98"/>
    <d v="2025-05-10T00:00:00"/>
    <m/>
    <n v="1000000"/>
  </r>
  <r>
    <s v="2817"/>
    <s v="V"/>
    <x v="1"/>
    <x v="1"/>
    <x v="7"/>
    <s v="G"/>
    <m/>
    <m/>
    <x v="98"/>
    <d v="2025-06-10T00:00:00"/>
    <m/>
    <n v="824913"/>
  </r>
  <r>
    <s v="2818"/>
    <s v="V"/>
    <x v="1"/>
    <x v="1"/>
    <x v="7"/>
    <s v="G"/>
    <m/>
    <m/>
    <x v="98"/>
    <d v="2025-07-10T00:00:00"/>
    <m/>
    <n v="982161"/>
  </r>
  <r>
    <s v="2819"/>
    <s v="V"/>
    <x v="1"/>
    <x v="1"/>
    <x v="7"/>
    <s v="G"/>
    <m/>
    <m/>
    <x v="98"/>
    <d v="2025-08-10T00:00:00"/>
    <m/>
    <n v="995239"/>
  </r>
  <r>
    <s v="2820"/>
    <s v="V"/>
    <x v="1"/>
    <x v="1"/>
    <x v="7"/>
    <s v="G"/>
    <m/>
    <m/>
    <x v="98"/>
    <d v="2025-09-10T00:00:00"/>
    <m/>
    <n v="945452"/>
  </r>
  <r>
    <s v="2821"/>
    <s v="V"/>
    <x v="1"/>
    <x v="1"/>
    <x v="7"/>
    <s v="G"/>
    <m/>
    <m/>
    <x v="98"/>
    <d v="2025-10-10T00:00:00"/>
    <m/>
    <n v="1188713"/>
  </r>
  <r>
    <s v="2822"/>
    <s v="V"/>
    <x v="1"/>
    <x v="1"/>
    <x v="7"/>
    <s v="G"/>
    <m/>
    <m/>
    <x v="98"/>
    <d v="2025-11-10T00:00:00"/>
    <m/>
    <n v="983693"/>
  </r>
  <r>
    <s v="2823"/>
    <s v="V"/>
    <x v="1"/>
    <x v="1"/>
    <x v="7"/>
    <s v="G"/>
    <m/>
    <m/>
    <x v="98"/>
    <d v="2025-12-10T00:00:00"/>
    <m/>
    <n v="1102156"/>
  </r>
  <r>
    <s v="2824"/>
    <s v="V"/>
    <x v="2"/>
    <x v="1"/>
    <x v="7"/>
    <s v="G"/>
    <m/>
    <m/>
    <x v="98"/>
    <d v="2026-01-31T00:00:00"/>
    <m/>
    <n v="1054716"/>
  </r>
  <r>
    <s v="2825"/>
    <s v="V"/>
    <x v="2"/>
    <x v="1"/>
    <x v="7"/>
    <s v="G"/>
    <m/>
    <m/>
    <x v="98"/>
    <d v="2026-01-31T00:00:00"/>
    <m/>
    <n v="1147974"/>
  </r>
  <r>
    <s v="2826"/>
    <s v="V"/>
    <x v="2"/>
    <x v="1"/>
    <x v="7"/>
    <s v="G"/>
    <m/>
    <m/>
    <x v="98"/>
    <d v="2026-01-31T00:00:00"/>
    <m/>
    <n v="1131279"/>
  </r>
  <r>
    <s v="2827"/>
    <s v="V"/>
    <x v="2"/>
    <x v="2"/>
    <x v="7"/>
    <s v="G"/>
    <m/>
    <m/>
    <x v="98"/>
    <d v="2026-01-31T00:00:00"/>
    <m/>
    <n v="1130130"/>
  </r>
  <r>
    <s v="2828"/>
    <s v="V"/>
    <x v="2"/>
    <x v="2"/>
    <x v="7"/>
    <s v="G"/>
    <m/>
    <m/>
    <x v="98"/>
    <d v="2026-01-31T00:00:00"/>
    <m/>
    <n v="1111831"/>
  </r>
  <r>
    <s v="2829"/>
    <s v="V"/>
    <x v="2"/>
    <x v="2"/>
    <x v="7"/>
    <s v="G"/>
    <m/>
    <m/>
    <x v="98"/>
    <d v="2026-01-31T00:00:00"/>
    <m/>
    <n v="1057384"/>
  </r>
  <r>
    <s v="2830"/>
    <s v="V"/>
    <x v="0"/>
    <x v="0"/>
    <x v="0"/>
    <m/>
    <m/>
    <m/>
    <x v="0"/>
    <m/>
    <m/>
    <m/>
  </r>
  <r>
    <s v="2831"/>
    <s v="V"/>
    <x v="0"/>
    <x v="0"/>
    <x v="0"/>
    <m/>
    <m/>
    <m/>
    <x v="0"/>
    <m/>
    <m/>
    <m/>
  </r>
  <r>
    <s v="2832"/>
    <s v="V"/>
    <x v="0"/>
    <x v="0"/>
    <x v="0"/>
    <m/>
    <s v="X"/>
    <s v="KAS NEGARA - PPH BADAN TAHUN 2019"/>
    <x v="0"/>
    <m/>
    <m/>
    <n v="640737470"/>
  </r>
  <r>
    <s v="2833"/>
    <s v="V"/>
    <x v="1"/>
    <x v="1"/>
    <x v="7"/>
    <m/>
    <m/>
    <m/>
    <x v="99"/>
    <d v="2022-12-31T00:00:00"/>
    <m/>
    <n v="71110168"/>
  </r>
  <r>
    <s v="2834"/>
    <s v="V"/>
    <x v="1"/>
    <x v="1"/>
    <x v="7"/>
    <m/>
    <m/>
    <m/>
    <x v="100"/>
    <d v="2023-12-31T00:00:00"/>
    <m/>
    <n v="117545278"/>
  </r>
  <r>
    <s v="2835"/>
    <s v="V"/>
    <x v="1"/>
    <x v="2"/>
    <x v="7"/>
    <m/>
    <m/>
    <m/>
    <x v="101"/>
    <d v="2024-12-31T00:00:00"/>
    <m/>
    <n v="210037222"/>
  </r>
  <r>
    <s v="2836"/>
    <s v="V"/>
    <x v="2"/>
    <x v="2"/>
    <x v="7"/>
    <m/>
    <m/>
    <m/>
    <x v="101"/>
    <d v="2025-12-31T00:00:00"/>
    <m/>
    <n v="210037222"/>
  </r>
  <r>
    <s v="2837"/>
    <s v="V"/>
    <x v="0"/>
    <x v="0"/>
    <x v="0"/>
    <m/>
    <m/>
    <m/>
    <x v="0"/>
    <m/>
    <m/>
    <m/>
  </r>
  <r>
    <s v="2838"/>
    <s v="V"/>
    <x v="0"/>
    <x v="0"/>
    <x v="0"/>
    <m/>
    <m/>
    <m/>
    <x v="0"/>
    <m/>
    <m/>
    <m/>
  </r>
  <r>
    <s v="2839"/>
    <s v="V"/>
    <x v="0"/>
    <x v="0"/>
    <x v="0"/>
    <m/>
    <s v="X"/>
    <s v="KAS NEGARA - PPH PASAL 23"/>
    <x v="0"/>
    <m/>
    <m/>
    <n v="16003790"/>
  </r>
  <r>
    <s v="2840"/>
    <s v="V"/>
    <x v="1"/>
    <x v="2"/>
    <x v="7"/>
    <m/>
    <m/>
    <m/>
    <x v="102"/>
    <d v="2022-12-31T00:00:00"/>
    <m/>
    <n v="7175207"/>
  </r>
  <r>
    <s v="2841"/>
    <s v="V"/>
    <x v="1"/>
    <x v="2"/>
    <x v="7"/>
    <m/>
    <m/>
    <m/>
    <x v="102"/>
    <d v="2023-12-31T00:00:00"/>
    <m/>
    <n v="828583"/>
  </r>
  <r>
    <s v="2842"/>
    <s v="V"/>
    <x v="1"/>
    <x v="2"/>
    <x v="7"/>
    <m/>
    <m/>
    <m/>
    <x v="102"/>
    <d v="2024-12-31T00:00:00"/>
    <m/>
    <n v="4000000"/>
  </r>
  <r>
    <s v="2843"/>
    <s v="V"/>
    <x v="1"/>
    <x v="2"/>
    <x v="7"/>
    <m/>
    <m/>
    <m/>
    <x v="102"/>
    <d v="2025-12-31T00:00:00"/>
    <m/>
    <n v="4000000"/>
  </r>
  <r>
    <s v="2844"/>
    <s v="V"/>
    <x v="0"/>
    <x v="0"/>
    <x v="0"/>
    <m/>
    <m/>
    <m/>
    <x v="0"/>
    <m/>
    <m/>
    <m/>
  </r>
  <r>
    <s v="2845"/>
    <s v="V"/>
    <x v="0"/>
    <x v="0"/>
    <x v="0"/>
    <m/>
    <m/>
    <m/>
    <x v="0"/>
    <m/>
    <m/>
    <m/>
  </r>
  <r>
    <s v="2846"/>
    <s v="V"/>
    <x v="0"/>
    <x v="0"/>
    <x v="0"/>
    <m/>
    <s v="Z"/>
    <s v="BIAYA RUTIN GAJI KARYAWAN"/>
    <x v="0"/>
    <m/>
    <m/>
    <n v="0"/>
  </r>
  <r>
    <s v="2847"/>
    <s v="V"/>
    <x v="0"/>
    <x v="0"/>
    <x v="0"/>
    <m/>
    <m/>
    <m/>
    <x v="0"/>
    <m/>
    <m/>
    <m/>
  </r>
  <r>
    <s v="2848"/>
    <s v="V"/>
    <x v="0"/>
    <x v="0"/>
    <x v="0"/>
    <m/>
    <s v="X"/>
    <s v="GAJI KARYAWAN PKWT TGL. 25"/>
    <x v="0"/>
    <m/>
    <m/>
    <n v="0"/>
  </r>
  <r>
    <s v="2849"/>
    <s v="V"/>
    <x v="4"/>
    <x v="0"/>
    <x v="8"/>
    <s v="H"/>
    <m/>
    <m/>
    <x v="103"/>
    <d v="2023-01-01T00:00:00"/>
    <m/>
    <m/>
  </r>
  <r>
    <s v="2850"/>
    <s v="V"/>
    <x v="4"/>
    <x v="0"/>
    <x v="8"/>
    <s v="H"/>
    <m/>
    <m/>
    <x v="103"/>
    <d v="2023-02-01T00:00:00"/>
    <m/>
    <m/>
  </r>
  <r>
    <s v="2851"/>
    <s v="V"/>
    <x v="4"/>
    <x v="0"/>
    <x v="8"/>
    <s v="H"/>
    <m/>
    <m/>
    <x v="103"/>
    <d v="2023-03-01T00:00:00"/>
    <m/>
    <m/>
  </r>
  <r>
    <s v="2852"/>
    <s v="V"/>
    <x v="4"/>
    <x v="0"/>
    <x v="8"/>
    <s v="H"/>
    <m/>
    <m/>
    <x v="103"/>
    <d v="2023-04-01T00:00:00"/>
    <m/>
    <m/>
  </r>
  <r>
    <s v="2853"/>
    <s v="V"/>
    <x v="4"/>
    <x v="0"/>
    <x v="8"/>
    <s v="H"/>
    <m/>
    <m/>
    <x v="103"/>
    <d v="2023-05-01T00:00:00"/>
    <m/>
    <m/>
  </r>
  <r>
    <s v="2854"/>
    <s v="V"/>
    <x v="4"/>
    <x v="0"/>
    <x v="8"/>
    <s v="H"/>
    <m/>
    <m/>
    <x v="103"/>
    <d v="2023-06-01T00:00:00"/>
    <m/>
    <m/>
  </r>
  <r>
    <s v="2855"/>
    <s v="V"/>
    <x v="4"/>
    <x v="0"/>
    <x v="8"/>
    <s v="H"/>
    <m/>
    <m/>
    <x v="103"/>
    <d v="2023-07-01T00:00:00"/>
    <m/>
    <m/>
  </r>
  <r>
    <s v="2856"/>
    <s v="V"/>
    <x v="4"/>
    <x v="0"/>
    <x v="8"/>
    <s v="H"/>
    <m/>
    <m/>
    <x v="103"/>
    <d v="2023-08-01T00:00:00"/>
    <m/>
    <m/>
  </r>
  <r>
    <s v="2857"/>
    <s v="V"/>
    <x v="4"/>
    <x v="0"/>
    <x v="8"/>
    <s v="H"/>
    <m/>
    <m/>
    <x v="103"/>
    <d v="2023-09-01T00:00:00"/>
    <m/>
    <m/>
  </r>
  <r>
    <s v="2858"/>
    <s v="V"/>
    <x v="4"/>
    <x v="0"/>
    <x v="8"/>
    <s v="H"/>
    <m/>
    <m/>
    <x v="103"/>
    <d v="2023-10-01T00:00:00"/>
    <m/>
    <m/>
  </r>
  <r>
    <s v="2859"/>
    <s v="V"/>
    <x v="4"/>
    <x v="0"/>
    <x v="8"/>
    <s v="H"/>
    <m/>
    <m/>
    <x v="103"/>
    <d v="2023-11-01T00:00:00"/>
    <m/>
    <m/>
  </r>
  <r>
    <s v="2860"/>
    <s v="V"/>
    <x v="4"/>
    <x v="0"/>
    <x v="8"/>
    <s v="H"/>
    <m/>
    <m/>
    <x v="103"/>
    <d v="2023-12-01T00:00:00"/>
    <m/>
    <m/>
  </r>
  <r>
    <s v="2861"/>
    <s v="V"/>
    <x v="0"/>
    <x v="0"/>
    <x v="0"/>
    <m/>
    <m/>
    <m/>
    <x v="0"/>
    <m/>
    <m/>
    <m/>
  </r>
  <r>
    <s v="2862"/>
    <s v="V"/>
    <x v="0"/>
    <x v="0"/>
    <x v="0"/>
    <m/>
    <m/>
    <m/>
    <x v="0"/>
    <m/>
    <m/>
    <m/>
  </r>
  <r>
    <s v="2863"/>
    <s v="V"/>
    <x v="0"/>
    <x v="0"/>
    <x v="0"/>
    <m/>
    <s v="X"/>
    <s v="GAJI KARYAWAN PKWT TGL. 01"/>
    <x v="0"/>
    <m/>
    <m/>
    <n v="0"/>
  </r>
  <r>
    <s v="2864"/>
    <s v="V"/>
    <x v="4"/>
    <x v="0"/>
    <x v="8"/>
    <s v="H"/>
    <m/>
    <m/>
    <x v="104"/>
    <d v="2023-01-01T00:00:00"/>
    <m/>
    <m/>
  </r>
  <r>
    <s v="2865"/>
    <s v="V"/>
    <x v="4"/>
    <x v="0"/>
    <x v="8"/>
    <s v="H"/>
    <m/>
    <m/>
    <x v="104"/>
    <d v="2023-02-01T00:00:00"/>
    <m/>
    <m/>
  </r>
  <r>
    <s v="2866"/>
    <s v="V"/>
    <x v="4"/>
    <x v="0"/>
    <x v="8"/>
    <s v="H"/>
    <m/>
    <m/>
    <x v="104"/>
    <d v="2023-03-01T00:00:00"/>
    <m/>
    <m/>
  </r>
  <r>
    <s v="2867"/>
    <s v="V"/>
    <x v="4"/>
    <x v="0"/>
    <x v="8"/>
    <s v="H"/>
    <m/>
    <m/>
    <x v="104"/>
    <d v="2023-04-01T00:00:00"/>
    <m/>
    <m/>
  </r>
  <r>
    <s v="2868"/>
    <s v="V"/>
    <x v="4"/>
    <x v="0"/>
    <x v="8"/>
    <s v="H"/>
    <m/>
    <m/>
    <x v="104"/>
    <d v="2023-05-01T00:00:00"/>
    <m/>
    <m/>
  </r>
  <r>
    <s v="2869"/>
    <s v="V"/>
    <x v="4"/>
    <x v="0"/>
    <x v="8"/>
    <s v="H"/>
    <m/>
    <m/>
    <x v="104"/>
    <d v="2023-06-01T00:00:00"/>
    <m/>
    <m/>
  </r>
  <r>
    <s v="2870"/>
    <s v="V"/>
    <x v="4"/>
    <x v="0"/>
    <x v="8"/>
    <s v="H"/>
    <m/>
    <m/>
    <x v="104"/>
    <d v="2023-07-01T00:00:00"/>
    <m/>
    <m/>
  </r>
  <r>
    <s v="2871"/>
    <s v="V"/>
    <x v="4"/>
    <x v="0"/>
    <x v="8"/>
    <s v="H"/>
    <m/>
    <m/>
    <x v="104"/>
    <d v="2023-08-01T00:00:00"/>
    <m/>
    <m/>
  </r>
  <r>
    <s v="2872"/>
    <s v="V"/>
    <x v="4"/>
    <x v="0"/>
    <x v="8"/>
    <s v="H"/>
    <m/>
    <m/>
    <x v="104"/>
    <d v="2023-09-01T00:00:00"/>
    <m/>
    <m/>
  </r>
  <r>
    <s v="2873"/>
    <s v="V"/>
    <x v="4"/>
    <x v="0"/>
    <x v="8"/>
    <s v="H"/>
    <m/>
    <m/>
    <x v="104"/>
    <d v="2023-10-01T00:00:00"/>
    <m/>
    <m/>
  </r>
  <r>
    <s v="2874"/>
    <s v="V"/>
    <x v="4"/>
    <x v="0"/>
    <x v="8"/>
    <s v="H"/>
    <m/>
    <m/>
    <x v="104"/>
    <d v="2023-11-01T00:00:00"/>
    <m/>
    <m/>
  </r>
  <r>
    <s v="2875"/>
    <s v="V"/>
    <x v="4"/>
    <x v="0"/>
    <x v="8"/>
    <s v="H"/>
    <m/>
    <m/>
    <x v="104"/>
    <d v="2023-12-01T00:00:00"/>
    <m/>
    <m/>
  </r>
  <r>
    <s v="2876"/>
    <s v="V"/>
    <x v="0"/>
    <x v="0"/>
    <x v="0"/>
    <m/>
    <m/>
    <m/>
    <x v="0"/>
    <m/>
    <m/>
    <m/>
  </r>
  <r>
    <s v="2877"/>
    <s v="V"/>
    <x v="0"/>
    <x v="0"/>
    <x v="0"/>
    <m/>
    <m/>
    <m/>
    <x v="0"/>
    <m/>
    <m/>
    <m/>
  </r>
  <r>
    <s v="2878"/>
    <s v="V"/>
    <x v="0"/>
    <x v="0"/>
    <x v="0"/>
    <m/>
    <s v="X"/>
    <s v="GAJI KARYAWAN MITRA TGL. 10"/>
    <x v="0"/>
    <m/>
    <m/>
    <n v="0"/>
  </r>
  <r>
    <s v="2879"/>
    <s v="V"/>
    <x v="4"/>
    <x v="0"/>
    <x v="8"/>
    <s v="H"/>
    <m/>
    <m/>
    <x v="105"/>
    <d v="2023-01-01T00:00:00"/>
    <m/>
    <m/>
  </r>
  <r>
    <s v="2880"/>
    <s v="V"/>
    <x v="4"/>
    <x v="0"/>
    <x v="8"/>
    <s v="H"/>
    <m/>
    <m/>
    <x v="105"/>
    <d v="2023-02-01T00:00:00"/>
    <m/>
    <m/>
  </r>
  <r>
    <s v="2881"/>
    <s v="V"/>
    <x v="4"/>
    <x v="0"/>
    <x v="8"/>
    <s v="H"/>
    <m/>
    <m/>
    <x v="105"/>
    <d v="2023-03-01T00:00:00"/>
    <m/>
    <m/>
  </r>
  <r>
    <s v="2882"/>
    <s v="V"/>
    <x v="4"/>
    <x v="0"/>
    <x v="8"/>
    <s v="H"/>
    <m/>
    <m/>
    <x v="105"/>
    <d v="2023-04-01T00:00:00"/>
    <m/>
    <m/>
  </r>
  <r>
    <s v="2883"/>
    <s v="V"/>
    <x v="4"/>
    <x v="0"/>
    <x v="8"/>
    <s v="H"/>
    <m/>
    <m/>
    <x v="105"/>
    <d v="2023-05-01T00:00:00"/>
    <m/>
    <m/>
  </r>
  <r>
    <s v="2884"/>
    <s v="V"/>
    <x v="4"/>
    <x v="0"/>
    <x v="8"/>
    <s v="H"/>
    <m/>
    <m/>
    <x v="105"/>
    <d v="2023-06-01T00:00:00"/>
    <m/>
    <m/>
  </r>
  <r>
    <s v="2885"/>
    <s v="V"/>
    <x v="4"/>
    <x v="0"/>
    <x v="8"/>
    <s v="H"/>
    <m/>
    <m/>
    <x v="105"/>
    <d v="2023-07-01T00:00:00"/>
    <m/>
    <m/>
  </r>
  <r>
    <s v="2886"/>
    <s v="V"/>
    <x v="4"/>
    <x v="0"/>
    <x v="8"/>
    <s v="H"/>
    <m/>
    <m/>
    <x v="105"/>
    <d v="2023-08-01T00:00:00"/>
    <m/>
    <m/>
  </r>
  <r>
    <s v="2887"/>
    <s v="V"/>
    <x v="4"/>
    <x v="0"/>
    <x v="8"/>
    <s v="H"/>
    <m/>
    <m/>
    <x v="105"/>
    <d v="2023-09-01T00:00:00"/>
    <m/>
    <m/>
  </r>
  <r>
    <s v="2888"/>
    <s v="V"/>
    <x v="4"/>
    <x v="0"/>
    <x v="8"/>
    <s v="H"/>
    <m/>
    <m/>
    <x v="105"/>
    <d v="2023-10-01T00:00:00"/>
    <m/>
    <m/>
  </r>
  <r>
    <s v="2889"/>
    <s v="V"/>
    <x v="4"/>
    <x v="0"/>
    <x v="8"/>
    <s v="H"/>
    <m/>
    <m/>
    <x v="105"/>
    <d v="2023-11-01T00:00:00"/>
    <m/>
    <m/>
  </r>
  <r>
    <s v="2890"/>
    <s v="V"/>
    <x v="4"/>
    <x v="0"/>
    <x v="8"/>
    <s v="H"/>
    <m/>
    <m/>
    <x v="105"/>
    <d v="2023-12-01T00:00:00"/>
    <m/>
    <m/>
  </r>
  <r>
    <s v="2891"/>
    <s v="V"/>
    <x v="0"/>
    <x v="0"/>
    <x v="0"/>
    <m/>
    <m/>
    <m/>
    <x v="0"/>
    <m/>
    <m/>
    <m/>
  </r>
  <r>
    <s v="2892"/>
    <s v="V"/>
    <x v="0"/>
    <x v="0"/>
    <x v="0"/>
    <m/>
    <m/>
    <m/>
    <x v="0"/>
    <m/>
    <m/>
    <m/>
  </r>
  <r>
    <s v="2893"/>
    <s v="V"/>
    <x v="0"/>
    <x v="0"/>
    <x v="0"/>
    <m/>
    <s v="X"/>
    <s v="GAJI DIREKTUR TGL. 10"/>
    <x v="0"/>
    <m/>
    <m/>
    <n v="0"/>
  </r>
  <r>
    <s v="2894"/>
    <s v="V"/>
    <x v="4"/>
    <x v="0"/>
    <x v="8"/>
    <s v="H"/>
    <m/>
    <m/>
    <x v="106"/>
    <d v="2023-01-01T00:00:00"/>
    <m/>
    <m/>
  </r>
  <r>
    <s v="2895"/>
    <s v="V"/>
    <x v="4"/>
    <x v="0"/>
    <x v="8"/>
    <s v="H"/>
    <m/>
    <m/>
    <x v="106"/>
    <d v="2023-02-01T00:00:00"/>
    <m/>
    <m/>
  </r>
  <r>
    <s v="2896"/>
    <s v="V"/>
    <x v="4"/>
    <x v="0"/>
    <x v="8"/>
    <s v="H"/>
    <m/>
    <m/>
    <x v="106"/>
    <d v="2023-03-01T00:00:00"/>
    <m/>
    <m/>
  </r>
  <r>
    <s v="2897"/>
    <s v="V"/>
    <x v="4"/>
    <x v="0"/>
    <x v="8"/>
    <s v="H"/>
    <m/>
    <m/>
    <x v="106"/>
    <d v="2023-04-01T00:00:00"/>
    <m/>
    <m/>
  </r>
  <r>
    <s v="2898"/>
    <s v="V"/>
    <x v="4"/>
    <x v="0"/>
    <x v="8"/>
    <s v="H"/>
    <m/>
    <m/>
    <x v="106"/>
    <d v="2023-05-01T00:00:00"/>
    <m/>
    <m/>
  </r>
  <r>
    <s v="2899"/>
    <s v="V"/>
    <x v="4"/>
    <x v="0"/>
    <x v="8"/>
    <s v="H"/>
    <m/>
    <m/>
    <x v="106"/>
    <d v="2023-06-01T00:00:00"/>
    <m/>
    <m/>
  </r>
  <r>
    <s v="2900"/>
    <s v="V"/>
    <x v="4"/>
    <x v="0"/>
    <x v="8"/>
    <s v="H"/>
    <m/>
    <m/>
    <x v="106"/>
    <d v="2023-07-01T00:00:00"/>
    <m/>
    <m/>
  </r>
  <r>
    <s v="2901"/>
    <s v="V"/>
    <x v="4"/>
    <x v="0"/>
    <x v="8"/>
    <s v="H"/>
    <m/>
    <m/>
    <x v="106"/>
    <d v="2023-08-01T00:00:00"/>
    <m/>
    <m/>
  </r>
  <r>
    <s v="2902"/>
    <s v="V"/>
    <x v="4"/>
    <x v="0"/>
    <x v="8"/>
    <s v="H"/>
    <m/>
    <m/>
    <x v="106"/>
    <d v="2023-09-01T00:00:00"/>
    <m/>
    <m/>
  </r>
  <r>
    <s v="2903"/>
    <s v="V"/>
    <x v="4"/>
    <x v="0"/>
    <x v="8"/>
    <s v="H"/>
    <m/>
    <m/>
    <x v="106"/>
    <d v="2023-10-01T00:00:00"/>
    <m/>
    <m/>
  </r>
  <r>
    <s v="2904"/>
    <s v="V"/>
    <x v="4"/>
    <x v="0"/>
    <x v="8"/>
    <s v="H"/>
    <m/>
    <m/>
    <x v="106"/>
    <d v="2023-11-01T00:00:00"/>
    <m/>
    <m/>
  </r>
  <r>
    <s v="2905"/>
    <s v="V"/>
    <x v="4"/>
    <x v="0"/>
    <x v="8"/>
    <s v="H"/>
    <m/>
    <m/>
    <x v="106"/>
    <d v="2023-12-01T00:00:00"/>
    <m/>
    <m/>
  </r>
  <r>
    <s v="2906"/>
    <s v="V"/>
    <x v="0"/>
    <x v="0"/>
    <x v="0"/>
    <m/>
    <m/>
    <m/>
    <x v="0"/>
    <m/>
    <m/>
    <m/>
  </r>
  <r>
    <s v="2907"/>
    <s v="V"/>
    <x v="0"/>
    <x v="0"/>
    <x v="0"/>
    <m/>
    <m/>
    <m/>
    <x v="0"/>
    <m/>
    <m/>
    <m/>
  </r>
  <r>
    <s v="2908"/>
    <s v="V"/>
    <x v="0"/>
    <x v="0"/>
    <x v="0"/>
    <m/>
    <m/>
    <m/>
    <x v="0"/>
    <m/>
    <m/>
    <m/>
  </r>
  <r>
    <s v="2909"/>
    <s v="V"/>
    <x v="0"/>
    <x v="0"/>
    <x v="0"/>
    <m/>
    <s v="Z"/>
    <s v="BIAYA RUTIN JASA MEDIS"/>
    <x v="0"/>
    <m/>
    <m/>
    <n v="0"/>
  </r>
  <r>
    <s v="2910"/>
    <s v="V"/>
    <x v="0"/>
    <x v="0"/>
    <x v="0"/>
    <m/>
    <m/>
    <m/>
    <x v="0"/>
    <m/>
    <m/>
    <m/>
  </r>
  <r>
    <s v="2911"/>
    <s v="V"/>
    <x v="0"/>
    <x v="0"/>
    <x v="0"/>
    <m/>
    <s v="X"/>
    <s v="JASA MEDIS P. BPJS"/>
    <x v="0"/>
    <m/>
    <m/>
    <n v="0"/>
  </r>
  <r>
    <s v="2912"/>
    <s v="V"/>
    <x v="1"/>
    <x v="2"/>
    <x v="9"/>
    <s v="I"/>
    <m/>
    <m/>
    <x v="107"/>
    <d v="2025-11-30T00:00:00"/>
    <m/>
    <m/>
  </r>
  <r>
    <s v="2913"/>
    <s v="V"/>
    <x v="1"/>
    <x v="2"/>
    <x v="9"/>
    <s v="I"/>
    <m/>
    <m/>
    <x v="107"/>
    <d v="2025-12-31T00:00:00"/>
    <m/>
    <m/>
  </r>
  <r>
    <s v="2914"/>
    <s v="V"/>
    <x v="0"/>
    <x v="0"/>
    <x v="0"/>
    <m/>
    <m/>
    <m/>
    <x v="0"/>
    <m/>
    <m/>
    <m/>
  </r>
  <r>
    <s v="2915"/>
    <s v="V"/>
    <x v="0"/>
    <x v="0"/>
    <x v="0"/>
    <m/>
    <m/>
    <m/>
    <x v="0"/>
    <m/>
    <m/>
    <m/>
  </r>
  <r>
    <s v="2916"/>
    <s v="V"/>
    <x v="0"/>
    <x v="0"/>
    <x v="0"/>
    <m/>
    <s v="X"/>
    <s v="JASA MEDIS P. AS - PER"/>
    <x v="0"/>
    <m/>
    <m/>
    <n v="0"/>
  </r>
  <r>
    <s v="2917"/>
    <s v="V"/>
    <x v="4"/>
    <x v="0"/>
    <x v="9"/>
    <s v="I"/>
    <m/>
    <m/>
    <x v="108"/>
    <d v="2023-01-01T00:00:00"/>
    <m/>
    <m/>
  </r>
  <r>
    <s v="2918"/>
    <s v="V"/>
    <x v="4"/>
    <x v="0"/>
    <x v="9"/>
    <s v="I"/>
    <m/>
    <m/>
    <x v="108"/>
    <d v="2023-02-01T00:00:00"/>
    <m/>
    <m/>
  </r>
  <r>
    <s v="2919"/>
    <s v="V"/>
    <x v="4"/>
    <x v="0"/>
    <x v="9"/>
    <s v="I"/>
    <m/>
    <m/>
    <x v="108"/>
    <d v="2023-03-01T00:00:00"/>
    <m/>
    <m/>
  </r>
  <r>
    <s v="2920"/>
    <s v="V"/>
    <x v="4"/>
    <x v="0"/>
    <x v="9"/>
    <s v="I"/>
    <m/>
    <m/>
    <x v="108"/>
    <d v="2023-04-01T00:00:00"/>
    <m/>
    <m/>
  </r>
  <r>
    <s v="2921"/>
    <s v="V"/>
    <x v="4"/>
    <x v="0"/>
    <x v="9"/>
    <s v="I"/>
    <m/>
    <m/>
    <x v="108"/>
    <d v="2023-05-01T00:00:00"/>
    <m/>
    <m/>
  </r>
  <r>
    <s v="2922"/>
    <s v="V"/>
    <x v="4"/>
    <x v="0"/>
    <x v="9"/>
    <s v="I"/>
    <m/>
    <m/>
    <x v="108"/>
    <d v="2023-06-01T00:00:00"/>
    <m/>
    <m/>
  </r>
  <r>
    <s v="2923"/>
    <s v="V"/>
    <x v="4"/>
    <x v="0"/>
    <x v="9"/>
    <s v="I"/>
    <m/>
    <m/>
    <x v="108"/>
    <d v="2023-07-01T00:00:00"/>
    <m/>
    <m/>
  </r>
  <r>
    <s v="2924"/>
    <s v="V"/>
    <x v="4"/>
    <x v="0"/>
    <x v="9"/>
    <s v="I"/>
    <m/>
    <m/>
    <x v="108"/>
    <d v="2023-08-01T00:00:00"/>
    <m/>
    <m/>
  </r>
  <r>
    <s v="2925"/>
    <s v="V"/>
    <x v="4"/>
    <x v="0"/>
    <x v="9"/>
    <s v="I"/>
    <m/>
    <m/>
    <x v="108"/>
    <d v="2023-09-01T00:00:00"/>
    <m/>
    <m/>
  </r>
  <r>
    <s v="2926"/>
    <s v="V"/>
    <x v="4"/>
    <x v="0"/>
    <x v="9"/>
    <s v="I"/>
    <m/>
    <m/>
    <x v="108"/>
    <d v="2023-10-01T00:00:00"/>
    <m/>
    <m/>
  </r>
  <r>
    <s v="2927"/>
    <s v="V"/>
    <x v="4"/>
    <x v="0"/>
    <x v="9"/>
    <s v="I"/>
    <m/>
    <m/>
    <x v="108"/>
    <d v="2023-11-01T00:00:00"/>
    <m/>
    <m/>
  </r>
  <r>
    <s v="2928"/>
    <s v="V"/>
    <x v="4"/>
    <x v="0"/>
    <x v="9"/>
    <s v="I"/>
    <m/>
    <m/>
    <x v="108"/>
    <d v="2023-12-01T00:00:00"/>
    <m/>
    <m/>
  </r>
  <r>
    <s v="2929"/>
    <s v="V"/>
    <x v="0"/>
    <x v="0"/>
    <x v="0"/>
    <m/>
    <m/>
    <m/>
    <x v="0"/>
    <m/>
    <m/>
    <m/>
  </r>
  <r>
    <s v="2930"/>
    <s v="V"/>
    <x v="0"/>
    <x v="0"/>
    <x v="0"/>
    <m/>
    <m/>
    <m/>
    <x v="0"/>
    <m/>
    <m/>
    <m/>
  </r>
  <r>
    <s v="2931"/>
    <s v="V"/>
    <x v="0"/>
    <x v="0"/>
    <x v="0"/>
    <m/>
    <s v="X"/>
    <s v="JASA MEDIS P. CASH"/>
    <x v="0"/>
    <m/>
    <m/>
    <n v="0"/>
  </r>
  <r>
    <s v="2932"/>
    <s v="V"/>
    <x v="4"/>
    <x v="0"/>
    <x v="9"/>
    <s v="I"/>
    <m/>
    <m/>
    <x v="109"/>
    <d v="2023-01-01T00:00:00"/>
    <m/>
    <m/>
  </r>
  <r>
    <s v="2933"/>
    <s v="V"/>
    <x v="4"/>
    <x v="0"/>
    <x v="9"/>
    <s v="I"/>
    <m/>
    <m/>
    <x v="109"/>
    <d v="2023-02-01T00:00:00"/>
    <m/>
    <m/>
  </r>
  <r>
    <s v="2934"/>
    <s v="V"/>
    <x v="4"/>
    <x v="0"/>
    <x v="9"/>
    <s v="I"/>
    <m/>
    <m/>
    <x v="109"/>
    <d v="2023-03-01T00:00:00"/>
    <m/>
    <m/>
  </r>
  <r>
    <s v="2935"/>
    <s v="V"/>
    <x v="4"/>
    <x v="0"/>
    <x v="9"/>
    <s v="I"/>
    <m/>
    <m/>
    <x v="109"/>
    <d v="2023-04-01T00:00:00"/>
    <m/>
    <m/>
  </r>
  <r>
    <s v="2936"/>
    <s v="V"/>
    <x v="4"/>
    <x v="0"/>
    <x v="9"/>
    <s v="I"/>
    <m/>
    <m/>
    <x v="109"/>
    <d v="2023-05-01T00:00:00"/>
    <m/>
    <m/>
  </r>
  <r>
    <s v="2937"/>
    <s v="V"/>
    <x v="4"/>
    <x v="0"/>
    <x v="9"/>
    <s v="I"/>
    <m/>
    <m/>
    <x v="109"/>
    <d v="2023-06-01T00:00:00"/>
    <m/>
    <m/>
  </r>
  <r>
    <s v="2938"/>
    <s v="V"/>
    <x v="4"/>
    <x v="0"/>
    <x v="9"/>
    <s v="I"/>
    <m/>
    <m/>
    <x v="109"/>
    <d v="2023-07-01T00:00:00"/>
    <m/>
    <m/>
  </r>
  <r>
    <s v="2939"/>
    <s v="V"/>
    <x v="4"/>
    <x v="0"/>
    <x v="9"/>
    <s v="I"/>
    <m/>
    <m/>
    <x v="109"/>
    <d v="2023-08-01T00:00:00"/>
    <m/>
    <m/>
  </r>
  <r>
    <s v="2940"/>
    <s v="V"/>
    <x v="4"/>
    <x v="0"/>
    <x v="9"/>
    <s v="I"/>
    <m/>
    <m/>
    <x v="109"/>
    <d v="2023-09-01T00:00:00"/>
    <m/>
    <m/>
  </r>
  <r>
    <s v="2941"/>
    <s v="V"/>
    <x v="4"/>
    <x v="0"/>
    <x v="9"/>
    <s v="I"/>
    <m/>
    <m/>
    <x v="109"/>
    <d v="2023-10-01T00:00:00"/>
    <m/>
    <m/>
  </r>
  <r>
    <s v="2942"/>
    <s v="V"/>
    <x v="4"/>
    <x v="0"/>
    <x v="9"/>
    <s v="I"/>
    <m/>
    <m/>
    <x v="109"/>
    <d v="2023-11-01T00:00:00"/>
    <m/>
    <m/>
  </r>
  <r>
    <s v="2943"/>
    <s v="V"/>
    <x v="4"/>
    <x v="0"/>
    <x v="9"/>
    <s v="I"/>
    <m/>
    <m/>
    <x v="109"/>
    <d v="2023-12-01T00:00:00"/>
    <m/>
    <m/>
  </r>
  <r>
    <s v="2944"/>
    <s v="V"/>
    <x v="0"/>
    <x v="0"/>
    <x v="0"/>
    <m/>
    <m/>
    <m/>
    <x v="0"/>
    <m/>
    <m/>
    <m/>
  </r>
  <r>
    <s v="2945"/>
    <s v="V"/>
    <x v="0"/>
    <x v="0"/>
    <x v="0"/>
    <m/>
    <m/>
    <m/>
    <x v="0"/>
    <m/>
    <m/>
    <m/>
  </r>
  <r>
    <s v="2946"/>
    <s v="V"/>
    <x v="0"/>
    <x v="0"/>
    <x v="0"/>
    <m/>
    <m/>
    <m/>
    <x v="0"/>
    <m/>
    <m/>
    <m/>
  </r>
  <r>
    <s v="2947"/>
    <s v="V"/>
    <x v="0"/>
    <x v="0"/>
    <x v="0"/>
    <m/>
    <s v="Z"/>
    <s v="BIAYA RUTIN JASA PELAYANAN DLL"/>
    <x v="0"/>
    <m/>
    <m/>
    <n v="168921181"/>
  </r>
  <r>
    <s v="2948"/>
    <s v="V"/>
    <x v="0"/>
    <x v="0"/>
    <x v="0"/>
    <m/>
    <m/>
    <m/>
    <x v="0"/>
    <m/>
    <m/>
    <m/>
  </r>
  <r>
    <s v="2949"/>
    <s v="V"/>
    <x v="0"/>
    <x v="0"/>
    <x v="0"/>
    <m/>
    <s v="X"/>
    <s v="JASA PELAYANAN P. BPJS"/>
    <x v="0"/>
    <m/>
    <m/>
    <n v="0"/>
  </r>
  <r>
    <s v="2950"/>
    <s v="V"/>
    <x v="4"/>
    <x v="0"/>
    <x v="10"/>
    <s v="J"/>
    <m/>
    <m/>
    <x v="110"/>
    <d v="2023-01-01T00:00:00"/>
    <m/>
    <m/>
  </r>
  <r>
    <s v="2951"/>
    <s v="V"/>
    <x v="4"/>
    <x v="0"/>
    <x v="10"/>
    <s v="J"/>
    <m/>
    <m/>
    <x v="110"/>
    <d v="2023-02-01T00:00:00"/>
    <m/>
    <m/>
  </r>
  <r>
    <s v="2952"/>
    <s v="V"/>
    <x v="4"/>
    <x v="0"/>
    <x v="10"/>
    <s v="J"/>
    <m/>
    <m/>
    <x v="110"/>
    <d v="2023-03-01T00:00:00"/>
    <m/>
    <m/>
  </r>
  <r>
    <s v="2953"/>
    <s v="V"/>
    <x v="4"/>
    <x v="0"/>
    <x v="10"/>
    <s v="J"/>
    <m/>
    <m/>
    <x v="110"/>
    <d v="2023-04-01T00:00:00"/>
    <m/>
    <m/>
  </r>
  <r>
    <s v="2954"/>
    <s v="V"/>
    <x v="4"/>
    <x v="0"/>
    <x v="10"/>
    <s v="J"/>
    <m/>
    <m/>
    <x v="110"/>
    <d v="2023-05-01T00:00:00"/>
    <m/>
    <m/>
  </r>
  <r>
    <s v="2955"/>
    <s v="V"/>
    <x v="4"/>
    <x v="0"/>
    <x v="10"/>
    <s v="J"/>
    <m/>
    <m/>
    <x v="110"/>
    <d v="2023-06-01T00:00:00"/>
    <m/>
    <m/>
  </r>
  <r>
    <s v="2956"/>
    <s v="V"/>
    <x v="4"/>
    <x v="0"/>
    <x v="10"/>
    <s v="J"/>
    <m/>
    <m/>
    <x v="110"/>
    <d v="2023-07-01T00:00:00"/>
    <m/>
    <m/>
  </r>
  <r>
    <s v="2957"/>
    <s v="V"/>
    <x v="4"/>
    <x v="0"/>
    <x v="10"/>
    <s v="J"/>
    <m/>
    <m/>
    <x v="110"/>
    <d v="2023-08-01T00:00:00"/>
    <m/>
    <m/>
  </r>
  <r>
    <s v="2958"/>
    <s v="V"/>
    <x v="4"/>
    <x v="0"/>
    <x v="10"/>
    <s v="J"/>
    <m/>
    <m/>
    <x v="110"/>
    <d v="2023-09-01T00:00:00"/>
    <m/>
    <m/>
  </r>
  <r>
    <s v="2959"/>
    <s v="V"/>
    <x v="4"/>
    <x v="0"/>
    <x v="10"/>
    <s v="J"/>
    <m/>
    <m/>
    <x v="110"/>
    <d v="2023-10-01T00:00:00"/>
    <m/>
    <m/>
  </r>
  <r>
    <s v="2960"/>
    <s v="V"/>
    <x v="4"/>
    <x v="0"/>
    <x v="10"/>
    <s v="J"/>
    <m/>
    <m/>
    <x v="110"/>
    <d v="2023-11-01T00:00:00"/>
    <m/>
    <m/>
  </r>
  <r>
    <s v="2961"/>
    <s v="V"/>
    <x v="4"/>
    <x v="0"/>
    <x v="10"/>
    <s v="J"/>
    <m/>
    <m/>
    <x v="110"/>
    <d v="2023-12-01T00:00:00"/>
    <m/>
    <m/>
  </r>
  <r>
    <s v="2962"/>
    <s v="V"/>
    <x v="0"/>
    <x v="0"/>
    <x v="0"/>
    <m/>
    <m/>
    <m/>
    <x v="0"/>
    <m/>
    <m/>
    <m/>
  </r>
  <r>
    <s v="2963"/>
    <s v="V"/>
    <x v="0"/>
    <x v="0"/>
    <x v="0"/>
    <m/>
    <m/>
    <m/>
    <x v="0"/>
    <m/>
    <m/>
    <m/>
  </r>
  <r>
    <s v="2964"/>
    <s v="V"/>
    <x v="0"/>
    <x v="0"/>
    <x v="0"/>
    <m/>
    <s v="X"/>
    <s v="JASA PELAYANAN P. NON BPJS"/>
    <x v="0"/>
    <m/>
    <m/>
    <n v="0"/>
  </r>
  <r>
    <s v="2965"/>
    <s v="V"/>
    <x v="4"/>
    <x v="0"/>
    <x v="10"/>
    <s v="J"/>
    <m/>
    <m/>
    <x v="111"/>
    <d v="2023-01-01T00:00:00"/>
    <m/>
    <m/>
  </r>
  <r>
    <s v="2966"/>
    <s v="V"/>
    <x v="4"/>
    <x v="0"/>
    <x v="10"/>
    <s v="J"/>
    <m/>
    <m/>
    <x v="111"/>
    <d v="2023-02-01T00:00:00"/>
    <m/>
    <m/>
  </r>
  <r>
    <s v="2967"/>
    <s v="V"/>
    <x v="4"/>
    <x v="0"/>
    <x v="10"/>
    <s v="J"/>
    <m/>
    <m/>
    <x v="111"/>
    <d v="2023-03-01T00:00:00"/>
    <m/>
    <m/>
  </r>
  <r>
    <s v="2968"/>
    <s v="V"/>
    <x v="4"/>
    <x v="0"/>
    <x v="10"/>
    <s v="J"/>
    <m/>
    <m/>
    <x v="111"/>
    <d v="2023-04-01T00:00:00"/>
    <m/>
    <m/>
  </r>
  <r>
    <s v="2969"/>
    <s v="V"/>
    <x v="4"/>
    <x v="0"/>
    <x v="10"/>
    <s v="J"/>
    <m/>
    <m/>
    <x v="111"/>
    <d v="2023-05-01T00:00:00"/>
    <m/>
    <m/>
  </r>
  <r>
    <s v="2970"/>
    <s v="V"/>
    <x v="4"/>
    <x v="0"/>
    <x v="10"/>
    <s v="J"/>
    <m/>
    <m/>
    <x v="111"/>
    <d v="2023-06-01T00:00:00"/>
    <m/>
    <m/>
  </r>
  <r>
    <s v="2971"/>
    <s v="V"/>
    <x v="4"/>
    <x v="0"/>
    <x v="10"/>
    <s v="J"/>
    <m/>
    <m/>
    <x v="111"/>
    <d v="2023-07-01T00:00:00"/>
    <m/>
    <m/>
  </r>
  <r>
    <s v="2972"/>
    <s v="V"/>
    <x v="4"/>
    <x v="0"/>
    <x v="10"/>
    <s v="J"/>
    <m/>
    <m/>
    <x v="111"/>
    <d v="2023-08-01T00:00:00"/>
    <m/>
    <m/>
  </r>
  <r>
    <s v="2973"/>
    <s v="V"/>
    <x v="4"/>
    <x v="0"/>
    <x v="10"/>
    <s v="J"/>
    <m/>
    <m/>
    <x v="111"/>
    <d v="2023-09-01T00:00:00"/>
    <m/>
    <m/>
  </r>
  <r>
    <s v="2974"/>
    <s v="V"/>
    <x v="4"/>
    <x v="0"/>
    <x v="10"/>
    <s v="J"/>
    <m/>
    <m/>
    <x v="111"/>
    <d v="2023-10-01T00:00:00"/>
    <m/>
    <m/>
  </r>
  <r>
    <s v="2975"/>
    <s v="V"/>
    <x v="4"/>
    <x v="0"/>
    <x v="10"/>
    <s v="J"/>
    <m/>
    <m/>
    <x v="111"/>
    <d v="2023-11-01T00:00:00"/>
    <m/>
    <m/>
  </r>
  <r>
    <s v="2976"/>
    <s v="V"/>
    <x v="4"/>
    <x v="0"/>
    <x v="10"/>
    <s v="J"/>
    <m/>
    <m/>
    <x v="111"/>
    <d v="2023-12-01T00:00:00"/>
    <m/>
    <m/>
  </r>
  <r>
    <s v="2977"/>
    <s v="V"/>
    <x v="0"/>
    <x v="0"/>
    <x v="0"/>
    <m/>
    <m/>
    <m/>
    <x v="0"/>
    <m/>
    <m/>
    <m/>
  </r>
  <r>
    <s v="2978"/>
    <s v="V"/>
    <x v="0"/>
    <x v="0"/>
    <x v="0"/>
    <m/>
    <m/>
    <m/>
    <x v="0"/>
    <m/>
    <m/>
    <m/>
  </r>
  <r>
    <s v="2979"/>
    <s v="V"/>
    <x v="0"/>
    <x v="0"/>
    <x v="0"/>
    <m/>
    <s v="X"/>
    <s v="JASA REMUNERASI"/>
    <x v="0"/>
    <m/>
    <m/>
    <n v="168921181"/>
  </r>
  <r>
    <s v="2980"/>
    <s v="V"/>
    <x v="3"/>
    <x v="0"/>
    <x v="10"/>
    <s v="J"/>
    <m/>
    <m/>
    <x v="112"/>
    <d v="2023-01-01T00:00:00"/>
    <m/>
    <n v="26584183"/>
  </r>
  <r>
    <s v="2981"/>
    <s v="V"/>
    <x v="3"/>
    <x v="0"/>
    <x v="10"/>
    <s v="J"/>
    <m/>
    <m/>
    <x v="112"/>
    <d v="2023-02-01T00:00:00"/>
    <m/>
    <n v="25765467"/>
  </r>
  <r>
    <s v="2982"/>
    <s v="V"/>
    <x v="1"/>
    <x v="0"/>
    <x v="10"/>
    <s v="J"/>
    <m/>
    <m/>
    <x v="112"/>
    <d v="2023-03-01T00:00:00"/>
    <m/>
    <n v="21752042"/>
  </r>
  <r>
    <s v="2983"/>
    <s v="V"/>
    <x v="1"/>
    <x v="0"/>
    <x v="10"/>
    <s v="J"/>
    <m/>
    <m/>
    <x v="112"/>
    <d v="2023-04-01T00:00:00"/>
    <m/>
    <n v="18135752"/>
  </r>
  <r>
    <s v="2984"/>
    <s v="V"/>
    <x v="1"/>
    <x v="0"/>
    <x v="10"/>
    <s v="J"/>
    <m/>
    <m/>
    <x v="112"/>
    <s v="31/04/2025"/>
    <m/>
    <n v="19712453"/>
  </r>
  <r>
    <s v="2985"/>
    <s v="V"/>
    <x v="1"/>
    <x v="0"/>
    <x v="10"/>
    <s v="J"/>
    <m/>
    <m/>
    <x v="112"/>
    <s v="31/04/2025"/>
    <m/>
    <n v="23429875"/>
  </r>
  <r>
    <s v="2986"/>
    <s v="V"/>
    <x v="1"/>
    <x v="0"/>
    <x v="10"/>
    <s v="J"/>
    <m/>
    <m/>
    <x v="112"/>
    <s v="31/04/2025"/>
    <m/>
    <n v="19850394"/>
  </r>
  <r>
    <s v="2987"/>
    <s v="V"/>
    <x v="1"/>
    <x v="0"/>
    <x v="10"/>
    <s v="J"/>
    <m/>
    <m/>
    <x v="112"/>
    <s v="31/04/2025"/>
    <m/>
    <n v="13691015"/>
  </r>
  <r>
    <s v="2988"/>
    <s v="V"/>
    <x v="0"/>
    <x v="0"/>
    <x v="0"/>
    <m/>
    <m/>
    <m/>
    <x v="0"/>
    <m/>
    <m/>
    <m/>
  </r>
  <r>
    <s v="2989"/>
    <s v="V"/>
    <x v="0"/>
    <x v="0"/>
    <x v="0"/>
    <m/>
    <m/>
    <m/>
    <x v="0"/>
    <m/>
    <m/>
    <m/>
  </r>
  <r>
    <s v="2990"/>
    <s v="V"/>
    <x v="0"/>
    <x v="0"/>
    <x v="0"/>
    <m/>
    <m/>
    <m/>
    <x v="0"/>
    <m/>
    <m/>
    <m/>
  </r>
  <r>
    <s v="2991"/>
    <s v="V"/>
    <x v="0"/>
    <x v="0"/>
    <x v="0"/>
    <m/>
    <s v="Z"/>
    <s v="BIAYA RUTIN BULANAN"/>
    <x v="0"/>
    <m/>
    <m/>
    <n v="585167270"/>
  </r>
  <r>
    <s v="2992"/>
    <s v="V"/>
    <x v="0"/>
    <x v="0"/>
    <x v="0"/>
    <m/>
    <m/>
    <m/>
    <x v="0"/>
    <m/>
    <m/>
    <m/>
  </r>
  <r>
    <s v="2993"/>
    <s v="V"/>
    <x v="0"/>
    <x v="0"/>
    <x v="0"/>
    <m/>
    <s v="X"/>
    <s v="SEWA BANGUNAN"/>
    <x v="0"/>
    <m/>
    <m/>
    <n v="240000000"/>
  </r>
  <r>
    <s v="2994"/>
    <s v="V"/>
    <x v="4"/>
    <x v="0"/>
    <x v="11"/>
    <s v="K"/>
    <m/>
    <m/>
    <x v="113"/>
    <d v="2023-01-01T00:00:00"/>
    <m/>
    <n v="40000000"/>
  </r>
  <r>
    <s v="2995"/>
    <s v="V"/>
    <x v="4"/>
    <x v="0"/>
    <x v="11"/>
    <s v="K"/>
    <m/>
    <m/>
    <x v="113"/>
    <d v="2023-02-01T00:00:00"/>
    <m/>
    <n v="40000000"/>
  </r>
  <r>
    <s v="2996"/>
    <s v="V"/>
    <x v="4"/>
    <x v="0"/>
    <x v="11"/>
    <s v="K"/>
    <m/>
    <m/>
    <x v="113"/>
    <d v="2023-03-01T00:00:00"/>
    <m/>
    <n v="40000000"/>
  </r>
  <r>
    <s v="2997"/>
    <s v="V"/>
    <x v="4"/>
    <x v="0"/>
    <x v="11"/>
    <s v="K"/>
    <m/>
    <m/>
    <x v="113"/>
    <d v="2023-04-01T00:00:00"/>
    <m/>
    <n v="40000000"/>
  </r>
  <r>
    <s v="2998"/>
    <s v="V"/>
    <x v="4"/>
    <x v="0"/>
    <x v="11"/>
    <s v="K"/>
    <m/>
    <m/>
    <x v="113"/>
    <d v="2023-05-01T00:00:00"/>
    <m/>
    <n v="40000000"/>
  </r>
  <r>
    <s v="2999"/>
    <s v="V"/>
    <x v="4"/>
    <x v="0"/>
    <x v="11"/>
    <s v="K"/>
    <m/>
    <m/>
    <x v="113"/>
    <d v="2023-06-01T00:00:00"/>
    <m/>
    <n v="40000000"/>
  </r>
  <r>
    <s v="3000"/>
    <s v="V"/>
    <x v="4"/>
    <x v="0"/>
    <x v="11"/>
    <s v="K"/>
    <m/>
    <m/>
    <x v="113"/>
    <d v="2023-07-01T00:00:00"/>
    <m/>
    <m/>
  </r>
  <r>
    <s v="3001"/>
    <s v="V"/>
    <x v="4"/>
    <x v="0"/>
    <x v="11"/>
    <s v="K"/>
    <m/>
    <m/>
    <x v="113"/>
    <d v="2023-08-01T00:00:00"/>
    <m/>
    <m/>
  </r>
  <r>
    <s v="3002"/>
    <s v="V"/>
    <x v="4"/>
    <x v="0"/>
    <x v="11"/>
    <s v="K"/>
    <m/>
    <m/>
    <x v="113"/>
    <d v="2023-09-01T00:00:00"/>
    <m/>
    <m/>
  </r>
  <r>
    <s v="3003"/>
    <s v="V"/>
    <x v="4"/>
    <x v="0"/>
    <x v="11"/>
    <s v="K"/>
    <m/>
    <m/>
    <x v="113"/>
    <d v="2023-10-01T00:00:00"/>
    <m/>
    <m/>
  </r>
  <r>
    <s v="3004"/>
    <s v="V"/>
    <x v="4"/>
    <x v="0"/>
    <x v="11"/>
    <s v="K"/>
    <m/>
    <m/>
    <x v="113"/>
    <d v="2023-11-01T00:00:00"/>
    <m/>
    <m/>
  </r>
  <r>
    <s v="3005"/>
    <s v="V"/>
    <x v="4"/>
    <x v="0"/>
    <x v="11"/>
    <s v="K"/>
    <m/>
    <m/>
    <x v="113"/>
    <d v="2023-12-01T00:00:00"/>
    <m/>
    <m/>
  </r>
  <r>
    <s v="3006"/>
    <s v="V"/>
    <x v="0"/>
    <x v="0"/>
    <x v="0"/>
    <m/>
    <m/>
    <m/>
    <x v="0"/>
    <m/>
    <m/>
    <m/>
  </r>
  <r>
    <s v="3007"/>
    <s v="V"/>
    <x v="0"/>
    <x v="0"/>
    <x v="0"/>
    <m/>
    <m/>
    <m/>
    <x v="0"/>
    <m/>
    <m/>
    <m/>
  </r>
  <r>
    <s v="3008"/>
    <s v="V"/>
    <x v="0"/>
    <x v="0"/>
    <x v="0"/>
    <m/>
    <s v="X"/>
    <s v="SEWA AMBULANCE"/>
    <x v="0"/>
    <m/>
    <m/>
    <n v="36000000"/>
  </r>
  <r>
    <s v="3009"/>
    <s v="V"/>
    <x v="4"/>
    <x v="0"/>
    <x v="11"/>
    <s v="K"/>
    <m/>
    <m/>
    <x v="114"/>
    <d v="2023-01-01T00:00:00"/>
    <m/>
    <n v="6000000"/>
  </r>
  <r>
    <s v="3010"/>
    <s v="V"/>
    <x v="4"/>
    <x v="0"/>
    <x v="11"/>
    <s v="K"/>
    <m/>
    <m/>
    <x v="114"/>
    <d v="2023-02-01T00:00:00"/>
    <m/>
    <n v="6000000"/>
  </r>
  <r>
    <s v="3011"/>
    <s v="V"/>
    <x v="4"/>
    <x v="0"/>
    <x v="11"/>
    <s v="K"/>
    <m/>
    <m/>
    <x v="114"/>
    <d v="2023-03-01T00:00:00"/>
    <m/>
    <n v="6000000"/>
  </r>
  <r>
    <s v="3012"/>
    <s v="V"/>
    <x v="4"/>
    <x v="0"/>
    <x v="11"/>
    <s v="K"/>
    <m/>
    <m/>
    <x v="114"/>
    <d v="2023-04-01T00:00:00"/>
    <m/>
    <n v="6000000"/>
  </r>
  <r>
    <s v="3013"/>
    <s v="V"/>
    <x v="4"/>
    <x v="0"/>
    <x v="11"/>
    <s v="K"/>
    <m/>
    <m/>
    <x v="114"/>
    <d v="2023-05-01T00:00:00"/>
    <m/>
    <n v="6000000"/>
  </r>
  <r>
    <s v="3014"/>
    <s v="V"/>
    <x v="4"/>
    <x v="0"/>
    <x v="11"/>
    <s v="K"/>
    <m/>
    <m/>
    <x v="114"/>
    <d v="2023-06-01T00:00:00"/>
    <m/>
    <n v="6000000"/>
  </r>
  <r>
    <s v="3015"/>
    <s v="V"/>
    <x v="4"/>
    <x v="0"/>
    <x v="11"/>
    <s v="K"/>
    <m/>
    <m/>
    <x v="114"/>
    <d v="2023-07-01T00:00:00"/>
    <m/>
    <m/>
  </r>
  <r>
    <s v="3016"/>
    <s v="V"/>
    <x v="4"/>
    <x v="0"/>
    <x v="11"/>
    <s v="K"/>
    <m/>
    <m/>
    <x v="114"/>
    <d v="2023-08-01T00:00:00"/>
    <m/>
    <m/>
  </r>
  <r>
    <s v="3017"/>
    <s v="V"/>
    <x v="4"/>
    <x v="0"/>
    <x v="11"/>
    <s v="K"/>
    <m/>
    <m/>
    <x v="114"/>
    <d v="2023-09-01T00:00:00"/>
    <m/>
    <m/>
  </r>
  <r>
    <s v="3018"/>
    <s v="V"/>
    <x v="4"/>
    <x v="0"/>
    <x v="11"/>
    <s v="K"/>
    <m/>
    <m/>
    <x v="114"/>
    <d v="2023-10-01T00:00:00"/>
    <m/>
    <m/>
  </r>
  <r>
    <s v="3019"/>
    <s v="V"/>
    <x v="4"/>
    <x v="0"/>
    <x v="11"/>
    <s v="K"/>
    <m/>
    <m/>
    <x v="114"/>
    <d v="2023-11-01T00:00:00"/>
    <m/>
    <m/>
  </r>
  <r>
    <s v="3020"/>
    <s v="V"/>
    <x v="4"/>
    <x v="0"/>
    <x v="11"/>
    <s v="K"/>
    <m/>
    <m/>
    <x v="114"/>
    <d v="2023-12-01T00:00:00"/>
    <m/>
    <m/>
  </r>
  <r>
    <s v="3021"/>
    <s v="V"/>
    <x v="0"/>
    <x v="0"/>
    <x v="0"/>
    <m/>
    <m/>
    <m/>
    <x v="0"/>
    <m/>
    <m/>
    <m/>
  </r>
  <r>
    <s v="3022"/>
    <s v="V"/>
    <x v="0"/>
    <x v="0"/>
    <x v="0"/>
    <m/>
    <m/>
    <m/>
    <x v="0"/>
    <m/>
    <m/>
    <m/>
  </r>
  <r>
    <s v="3023"/>
    <s v="V"/>
    <x v="0"/>
    <x v="0"/>
    <x v="0"/>
    <m/>
    <s v="X"/>
    <s v="SEWA MOBILIO"/>
    <x v="0"/>
    <m/>
    <m/>
    <n v="30000000"/>
  </r>
  <r>
    <s v="3024"/>
    <s v="V"/>
    <x v="4"/>
    <x v="0"/>
    <x v="11"/>
    <s v="K"/>
    <m/>
    <m/>
    <x v="115"/>
    <d v="2023-01-01T00:00:00"/>
    <m/>
    <n v="5000000"/>
  </r>
  <r>
    <s v="3025"/>
    <s v="V"/>
    <x v="4"/>
    <x v="0"/>
    <x v="11"/>
    <s v="K"/>
    <m/>
    <m/>
    <x v="115"/>
    <d v="2023-02-01T00:00:00"/>
    <m/>
    <n v="5000000"/>
  </r>
  <r>
    <s v="3026"/>
    <s v="V"/>
    <x v="4"/>
    <x v="0"/>
    <x v="11"/>
    <s v="K"/>
    <m/>
    <m/>
    <x v="115"/>
    <d v="2023-03-01T00:00:00"/>
    <m/>
    <n v="5000000"/>
  </r>
  <r>
    <s v="3027"/>
    <s v="V"/>
    <x v="4"/>
    <x v="0"/>
    <x v="11"/>
    <s v="K"/>
    <m/>
    <m/>
    <x v="115"/>
    <d v="2023-04-01T00:00:00"/>
    <m/>
    <n v="5000000"/>
  </r>
  <r>
    <s v="3028"/>
    <s v="V"/>
    <x v="4"/>
    <x v="0"/>
    <x v="11"/>
    <s v="K"/>
    <m/>
    <m/>
    <x v="115"/>
    <d v="2023-05-01T00:00:00"/>
    <m/>
    <n v="5000000"/>
  </r>
  <r>
    <s v="3029"/>
    <s v="V"/>
    <x v="4"/>
    <x v="0"/>
    <x v="11"/>
    <s v="K"/>
    <m/>
    <m/>
    <x v="115"/>
    <d v="2023-06-01T00:00:00"/>
    <m/>
    <n v="5000000"/>
  </r>
  <r>
    <s v="3030"/>
    <s v="V"/>
    <x v="4"/>
    <x v="0"/>
    <x v="11"/>
    <s v="K"/>
    <m/>
    <m/>
    <x v="115"/>
    <d v="2023-07-01T00:00:00"/>
    <m/>
    <m/>
  </r>
  <r>
    <s v="3031"/>
    <s v="V"/>
    <x v="4"/>
    <x v="0"/>
    <x v="11"/>
    <s v="K"/>
    <m/>
    <m/>
    <x v="115"/>
    <d v="2023-08-01T00:00:00"/>
    <m/>
    <m/>
  </r>
  <r>
    <s v="3032"/>
    <s v="V"/>
    <x v="4"/>
    <x v="0"/>
    <x v="11"/>
    <s v="K"/>
    <m/>
    <m/>
    <x v="115"/>
    <d v="2023-09-01T00:00:00"/>
    <m/>
    <m/>
  </r>
  <r>
    <s v="3033"/>
    <s v="V"/>
    <x v="4"/>
    <x v="0"/>
    <x v="11"/>
    <s v="K"/>
    <m/>
    <m/>
    <x v="115"/>
    <d v="2023-10-01T00:00:00"/>
    <m/>
    <m/>
  </r>
  <r>
    <s v="3034"/>
    <s v="V"/>
    <x v="4"/>
    <x v="0"/>
    <x v="11"/>
    <s v="K"/>
    <m/>
    <m/>
    <x v="115"/>
    <d v="2023-11-01T00:00:00"/>
    <m/>
    <m/>
  </r>
  <r>
    <s v="3035"/>
    <s v="V"/>
    <x v="4"/>
    <x v="0"/>
    <x v="11"/>
    <s v="K"/>
    <m/>
    <m/>
    <x v="115"/>
    <d v="2023-12-01T00:00:00"/>
    <m/>
    <m/>
  </r>
  <r>
    <s v="3036"/>
    <s v="V"/>
    <x v="0"/>
    <x v="0"/>
    <x v="0"/>
    <m/>
    <m/>
    <m/>
    <x v="0"/>
    <m/>
    <m/>
    <m/>
  </r>
  <r>
    <s v="3037"/>
    <s v="V"/>
    <x v="0"/>
    <x v="0"/>
    <x v="0"/>
    <m/>
    <m/>
    <m/>
    <x v="0"/>
    <m/>
    <m/>
    <m/>
  </r>
  <r>
    <s v="3038"/>
    <s v="V"/>
    <x v="0"/>
    <x v="0"/>
    <x v="0"/>
    <m/>
    <s v="X"/>
    <s v="PLN - LISTRIK"/>
    <x v="0"/>
    <m/>
    <m/>
    <n v="199466393"/>
  </r>
  <r>
    <s v="3039"/>
    <s v="V"/>
    <x v="4"/>
    <x v="0"/>
    <x v="11"/>
    <s v="K"/>
    <m/>
    <m/>
    <x v="116"/>
    <d v="2023-01-01T00:00:00"/>
    <m/>
    <n v="33636659"/>
  </r>
  <r>
    <s v="3040"/>
    <s v="V"/>
    <x v="4"/>
    <x v="0"/>
    <x v="11"/>
    <s v="K"/>
    <m/>
    <m/>
    <x v="116"/>
    <d v="2023-02-01T00:00:00"/>
    <m/>
    <n v="32519473"/>
  </r>
  <r>
    <s v="3041"/>
    <s v="V"/>
    <x v="4"/>
    <x v="0"/>
    <x v="11"/>
    <s v="K"/>
    <m/>
    <m/>
    <x v="116"/>
    <d v="2023-03-01T00:00:00"/>
    <m/>
    <n v="30223122"/>
  </r>
  <r>
    <s v="3042"/>
    <s v="V"/>
    <x v="4"/>
    <x v="0"/>
    <x v="11"/>
    <s v="K"/>
    <m/>
    <m/>
    <x v="116"/>
    <d v="2023-04-01T00:00:00"/>
    <m/>
    <n v="34428065"/>
  </r>
  <r>
    <s v="3043"/>
    <s v="V"/>
    <x v="4"/>
    <x v="0"/>
    <x v="11"/>
    <s v="K"/>
    <m/>
    <m/>
    <x v="116"/>
    <d v="2023-05-01T00:00:00"/>
    <m/>
    <n v="31386394"/>
  </r>
  <r>
    <s v="3044"/>
    <s v="V"/>
    <x v="4"/>
    <x v="0"/>
    <x v="11"/>
    <s v="K"/>
    <m/>
    <m/>
    <x v="116"/>
    <d v="2023-06-01T00:00:00"/>
    <m/>
    <n v="37272680"/>
  </r>
  <r>
    <s v="3045"/>
    <s v="V"/>
    <x v="4"/>
    <x v="0"/>
    <x v="11"/>
    <s v="K"/>
    <m/>
    <m/>
    <x v="116"/>
    <d v="2023-07-01T00:00:00"/>
    <m/>
    <m/>
  </r>
  <r>
    <s v="3046"/>
    <s v="V"/>
    <x v="4"/>
    <x v="0"/>
    <x v="11"/>
    <s v="K"/>
    <m/>
    <m/>
    <x v="116"/>
    <d v="2023-08-01T00:00:00"/>
    <m/>
    <m/>
  </r>
  <r>
    <s v="3047"/>
    <s v="V"/>
    <x v="4"/>
    <x v="0"/>
    <x v="11"/>
    <s v="K"/>
    <m/>
    <m/>
    <x v="116"/>
    <d v="2023-09-01T00:00:00"/>
    <m/>
    <m/>
  </r>
  <r>
    <s v="3048"/>
    <s v="V"/>
    <x v="4"/>
    <x v="0"/>
    <x v="11"/>
    <s v="K"/>
    <m/>
    <m/>
    <x v="116"/>
    <d v="2023-10-01T00:00:00"/>
    <m/>
    <m/>
  </r>
  <r>
    <s v="3049"/>
    <s v="V"/>
    <x v="4"/>
    <x v="0"/>
    <x v="11"/>
    <s v="K"/>
    <m/>
    <m/>
    <x v="116"/>
    <d v="2023-11-01T00:00:00"/>
    <m/>
    <m/>
  </r>
  <r>
    <s v="3050"/>
    <s v="V"/>
    <x v="4"/>
    <x v="0"/>
    <x v="11"/>
    <s v="K"/>
    <m/>
    <m/>
    <x v="116"/>
    <d v="2023-12-01T00:00:00"/>
    <m/>
    <m/>
  </r>
  <r>
    <s v="3051"/>
    <s v="V"/>
    <x v="0"/>
    <x v="0"/>
    <x v="0"/>
    <m/>
    <m/>
    <m/>
    <x v="0"/>
    <m/>
    <m/>
    <m/>
  </r>
  <r>
    <s v="3052"/>
    <s v="V"/>
    <x v="0"/>
    <x v="0"/>
    <x v="0"/>
    <m/>
    <m/>
    <m/>
    <x v="0"/>
    <m/>
    <m/>
    <m/>
  </r>
  <r>
    <s v="3053"/>
    <s v="V"/>
    <x v="0"/>
    <x v="0"/>
    <x v="0"/>
    <m/>
    <s v="X"/>
    <s v="PDAM - AIR"/>
    <x v="0"/>
    <m/>
    <m/>
    <n v="61740910"/>
  </r>
  <r>
    <s v="3054"/>
    <s v="V"/>
    <x v="4"/>
    <x v="0"/>
    <x v="11"/>
    <s v="K"/>
    <m/>
    <m/>
    <x v="117"/>
    <d v="2023-01-01T00:00:00"/>
    <m/>
    <n v="11479480"/>
  </r>
  <r>
    <s v="3055"/>
    <s v="V"/>
    <x v="4"/>
    <x v="0"/>
    <x v="11"/>
    <s v="K"/>
    <m/>
    <m/>
    <x v="117"/>
    <d v="2023-02-01T00:00:00"/>
    <m/>
    <n v="13338860"/>
  </r>
  <r>
    <s v="3056"/>
    <s v="V"/>
    <x v="4"/>
    <x v="0"/>
    <x v="11"/>
    <s v="K"/>
    <m/>
    <m/>
    <x v="117"/>
    <d v="2023-03-01T00:00:00"/>
    <m/>
    <n v="13456480"/>
  </r>
  <r>
    <s v="3057"/>
    <s v="V"/>
    <x v="4"/>
    <x v="0"/>
    <x v="11"/>
    <s v="K"/>
    <m/>
    <m/>
    <x v="117"/>
    <d v="2023-04-01T00:00:00"/>
    <m/>
    <n v="7426630"/>
  </r>
  <r>
    <s v="3058"/>
    <s v="V"/>
    <x v="4"/>
    <x v="0"/>
    <x v="11"/>
    <s v="K"/>
    <m/>
    <m/>
    <x v="117"/>
    <d v="2023-05-01T00:00:00"/>
    <m/>
    <n v="7545250"/>
  </r>
  <r>
    <s v="3059"/>
    <s v="V"/>
    <x v="4"/>
    <x v="0"/>
    <x v="11"/>
    <s v="K"/>
    <m/>
    <m/>
    <x v="117"/>
    <d v="2023-06-01T00:00:00"/>
    <m/>
    <n v="8494210"/>
  </r>
  <r>
    <s v="3060"/>
    <s v="V"/>
    <x v="4"/>
    <x v="0"/>
    <x v="11"/>
    <s v="K"/>
    <m/>
    <m/>
    <x v="117"/>
    <d v="2023-07-01T00:00:00"/>
    <m/>
    <m/>
  </r>
  <r>
    <s v="3061"/>
    <s v="V"/>
    <x v="4"/>
    <x v="0"/>
    <x v="11"/>
    <s v="K"/>
    <m/>
    <m/>
    <x v="117"/>
    <d v="2023-08-01T00:00:00"/>
    <m/>
    <m/>
  </r>
  <r>
    <s v="3062"/>
    <s v="V"/>
    <x v="4"/>
    <x v="0"/>
    <x v="11"/>
    <s v="K"/>
    <m/>
    <m/>
    <x v="117"/>
    <d v="2023-09-01T00:00:00"/>
    <m/>
    <m/>
  </r>
  <r>
    <s v="3063"/>
    <s v="V"/>
    <x v="4"/>
    <x v="0"/>
    <x v="11"/>
    <s v="K"/>
    <m/>
    <m/>
    <x v="117"/>
    <d v="2023-10-01T00:00:00"/>
    <m/>
    <m/>
  </r>
  <r>
    <s v="3064"/>
    <s v="V"/>
    <x v="4"/>
    <x v="0"/>
    <x v="11"/>
    <s v="K"/>
    <m/>
    <m/>
    <x v="117"/>
    <d v="2023-11-01T00:00:00"/>
    <m/>
    <m/>
  </r>
  <r>
    <s v="3065"/>
    <s v="V"/>
    <x v="4"/>
    <x v="0"/>
    <x v="11"/>
    <s v="K"/>
    <m/>
    <m/>
    <x v="117"/>
    <d v="2023-12-01T00:00:00"/>
    <m/>
    <m/>
  </r>
  <r>
    <s v="3066"/>
    <s v="V"/>
    <x v="0"/>
    <x v="0"/>
    <x v="0"/>
    <m/>
    <m/>
    <m/>
    <x v="0"/>
    <m/>
    <m/>
    <m/>
  </r>
  <r>
    <s v="3067"/>
    <s v="V"/>
    <x v="0"/>
    <x v="0"/>
    <x v="0"/>
    <m/>
    <m/>
    <m/>
    <x v="0"/>
    <m/>
    <m/>
    <m/>
  </r>
  <r>
    <s v="3068"/>
    <s v="V"/>
    <x v="0"/>
    <x v="0"/>
    <x v="0"/>
    <m/>
    <s v="X"/>
    <s v="TELKOM - 0541739772"/>
    <x v="0"/>
    <m/>
    <m/>
    <n v="11002294"/>
  </r>
  <r>
    <s v="3069"/>
    <s v="V"/>
    <x v="4"/>
    <x v="0"/>
    <x v="11"/>
    <s v="K"/>
    <m/>
    <m/>
    <x v="118"/>
    <d v="2023-01-01T00:00:00"/>
    <m/>
    <n v="2063297"/>
  </r>
  <r>
    <s v="3070"/>
    <s v="V"/>
    <x v="4"/>
    <x v="0"/>
    <x v="11"/>
    <s v="K"/>
    <m/>
    <m/>
    <x v="118"/>
    <d v="2023-02-01T00:00:00"/>
    <m/>
    <n v="1702028"/>
  </r>
  <r>
    <s v="3071"/>
    <s v="V"/>
    <x v="4"/>
    <x v="0"/>
    <x v="11"/>
    <s v="K"/>
    <m/>
    <m/>
    <x v="118"/>
    <d v="2023-03-01T00:00:00"/>
    <m/>
    <n v="1683484"/>
  </r>
  <r>
    <s v="3072"/>
    <s v="V"/>
    <x v="4"/>
    <x v="0"/>
    <x v="11"/>
    <s v="K"/>
    <m/>
    <m/>
    <x v="118"/>
    <d v="2023-04-01T00:00:00"/>
    <m/>
    <n v="1849029"/>
  </r>
  <r>
    <s v="3073"/>
    <s v="V"/>
    <x v="4"/>
    <x v="0"/>
    <x v="11"/>
    <s v="K"/>
    <m/>
    <m/>
    <x v="118"/>
    <d v="2023-05-01T00:00:00"/>
    <m/>
    <n v="1944464"/>
  </r>
  <r>
    <s v="3074"/>
    <s v="V"/>
    <x v="4"/>
    <x v="0"/>
    <x v="11"/>
    <s v="K"/>
    <m/>
    <m/>
    <x v="118"/>
    <d v="2023-06-01T00:00:00"/>
    <m/>
    <n v="1759992"/>
  </r>
  <r>
    <s v="3075"/>
    <s v="V"/>
    <x v="4"/>
    <x v="0"/>
    <x v="11"/>
    <s v="K"/>
    <m/>
    <m/>
    <x v="118"/>
    <d v="2023-07-01T00:00:00"/>
    <m/>
    <m/>
  </r>
  <r>
    <s v="3076"/>
    <s v="V"/>
    <x v="4"/>
    <x v="0"/>
    <x v="11"/>
    <s v="K"/>
    <m/>
    <m/>
    <x v="118"/>
    <d v="2023-08-01T00:00:00"/>
    <m/>
    <m/>
  </r>
  <r>
    <s v="3077"/>
    <s v="V"/>
    <x v="4"/>
    <x v="0"/>
    <x v="11"/>
    <s v="K"/>
    <m/>
    <m/>
    <x v="118"/>
    <d v="2023-09-01T00:00:00"/>
    <m/>
    <m/>
  </r>
  <r>
    <s v="3078"/>
    <s v="V"/>
    <x v="4"/>
    <x v="0"/>
    <x v="11"/>
    <s v="K"/>
    <m/>
    <m/>
    <x v="118"/>
    <d v="2023-10-01T00:00:00"/>
    <m/>
    <m/>
  </r>
  <r>
    <s v="3079"/>
    <s v="V"/>
    <x v="4"/>
    <x v="0"/>
    <x v="11"/>
    <s v="K"/>
    <m/>
    <m/>
    <x v="118"/>
    <d v="2023-11-01T00:00:00"/>
    <m/>
    <m/>
  </r>
  <r>
    <s v="3080"/>
    <s v="V"/>
    <x v="4"/>
    <x v="0"/>
    <x v="11"/>
    <s v="K"/>
    <m/>
    <m/>
    <x v="118"/>
    <d v="2023-12-01T00:00:00"/>
    <m/>
    <m/>
  </r>
  <r>
    <s v="3081"/>
    <s v="V"/>
    <x v="0"/>
    <x v="0"/>
    <x v="0"/>
    <m/>
    <m/>
    <m/>
    <x v="0"/>
    <m/>
    <m/>
    <m/>
  </r>
  <r>
    <s v="3082"/>
    <s v="V"/>
    <x v="0"/>
    <x v="0"/>
    <x v="0"/>
    <m/>
    <m/>
    <m/>
    <x v="0"/>
    <m/>
    <m/>
    <m/>
  </r>
  <r>
    <s v="3083"/>
    <s v="V"/>
    <x v="0"/>
    <x v="0"/>
    <x v="0"/>
    <m/>
    <s v="X"/>
    <s v="TELKOM - 05417272700"/>
    <x v="0"/>
    <m/>
    <m/>
    <n v="880386"/>
  </r>
  <r>
    <s v="3084"/>
    <s v="V"/>
    <x v="4"/>
    <x v="0"/>
    <x v="11"/>
    <s v="K"/>
    <m/>
    <m/>
    <x v="119"/>
    <d v="2023-01-01T00:00:00"/>
    <m/>
    <n v="155696"/>
  </r>
  <r>
    <s v="3085"/>
    <s v="V"/>
    <x v="4"/>
    <x v="0"/>
    <x v="11"/>
    <s v="K"/>
    <m/>
    <m/>
    <x v="119"/>
    <d v="2023-02-01T00:00:00"/>
    <m/>
    <n v="129429"/>
  </r>
  <r>
    <s v="3086"/>
    <s v="V"/>
    <x v="4"/>
    <x v="0"/>
    <x v="11"/>
    <s v="K"/>
    <m/>
    <m/>
    <x v="119"/>
    <d v="2023-03-01T00:00:00"/>
    <m/>
    <n v="188985"/>
  </r>
  <r>
    <s v="3087"/>
    <s v="V"/>
    <x v="4"/>
    <x v="0"/>
    <x v="11"/>
    <s v="K"/>
    <m/>
    <m/>
    <x v="119"/>
    <d v="2023-04-01T00:00:00"/>
    <m/>
    <n v="235797"/>
  </r>
  <r>
    <s v="3088"/>
    <s v="V"/>
    <x v="4"/>
    <x v="0"/>
    <x v="11"/>
    <s v="K"/>
    <m/>
    <m/>
    <x v="119"/>
    <d v="2023-05-01T00:00:00"/>
    <m/>
    <m/>
  </r>
  <r>
    <s v="3089"/>
    <s v="V"/>
    <x v="4"/>
    <x v="0"/>
    <x v="11"/>
    <s v="K"/>
    <m/>
    <m/>
    <x v="119"/>
    <d v="2023-06-01T00:00:00"/>
    <m/>
    <n v="170479"/>
  </r>
  <r>
    <s v="3090"/>
    <s v="V"/>
    <x v="4"/>
    <x v="0"/>
    <x v="11"/>
    <s v="K"/>
    <m/>
    <m/>
    <x v="119"/>
    <d v="2023-07-01T00:00:00"/>
    <m/>
    <m/>
  </r>
  <r>
    <s v="3091"/>
    <s v="V"/>
    <x v="4"/>
    <x v="0"/>
    <x v="11"/>
    <s v="K"/>
    <m/>
    <m/>
    <x v="119"/>
    <d v="2023-08-01T00:00:00"/>
    <m/>
    <m/>
  </r>
  <r>
    <s v="3092"/>
    <s v="V"/>
    <x v="4"/>
    <x v="0"/>
    <x v="11"/>
    <s v="K"/>
    <m/>
    <m/>
    <x v="119"/>
    <d v="2023-09-01T00:00:00"/>
    <m/>
    <m/>
  </r>
  <r>
    <s v="3093"/>
    <s v="V"/>
    <x v="4"/>
    <x v="0"/>
    <x v="11"/>
    <s v="K"/>
    <m/>
    <m/>
    <x v="119"/>
    <d v="2023-10-01T00:00:00"/>
    <m/>
    <m/>
  </r>
  <r>
    <s v="3094"/>
    <s v="V"/>
    <x v="4"/>
    <x v="0"/>
    <x v="11"/>
    <s v="K"/>
    <m/>
    <m/>
    <x v="119"/>
    <d v="2023-11-01T00:00:00"/>
    <m/>
    <m/>
  </r>
  <r>
    <s v="3095"/>
    <s v="V"/>
    <x v="4"/>
    <x v="0"/>
    <x v="11"/>
    <s v="K"/>
    <m/>
    <m/>
    <x v="119"/>
    <d v="2023-12-01T00:00:00"/>
    <m/>
    <m/>
  </r>
  <r>
    <s v="3096"/>
    <s v="V"/>
    <x v="0"/>
    <x v="0"/>
    <x v="0"/>
    <m/>
    <m/>
    <m/>
    <x v="0"/>
    <m/>
    <m/>
    <m/>
  </r>
  <r>
    <s v="3097"/>
    <s v="V"/>
    <x v="0"/>
    <x v="0"/>
    <x v="0"/>
    <m/>
    <m/>
    <m/>
    <x v="0"/>
    <m/>
    <m/>
    <m/>
  </r>
  <r>
    <s v="3098"/>
    <s v="V"/>
    <x v="0"/>
    <x v="0"/>
    <x v="0"/>
    <m/>
    <s v="X"/>
    <s v="TELKOM - 05417272667"/>
    <x v="0"/>
    <m/>
    <m/>
    <n v="347112"/>
  </r>
  <r>
    <s v="3099"/>
    <s v="V"/>
    <x v="4"/>
    <x v="0"/>
    <x v="11"/>
    <s v="K"/>
    <m/>
    <m/>
    <x v="120"/>
    <d v="2023-01-01T00:00:00"/>
    <m/>
    <n v="69209"/>
  </r>
  <r>
    <s v="3100"/>
    <s v="V"/>
    <x v="4"/>
    <x v="0"/>
    <x v="11"/>
    <s v="K"/>
    <m/>
    <m/>
    <x v="120"/>
    <d v="2023-02-01T00:00:00"/>
    <m/>
    <n v="77898"/>
  </r>
  <r>
    <s v="3101"/>
    <s v="V"/>
    <x v="4"/>
    <x v="0"/>
    <x v="11"/>
    <s v="K"/>
    <m/>
    <m/>
    <x v="120"/>
    <d v="2023-03-01T00:00:00"/>
    <m/>
    <n v="66067"/>
  </r>
  <r>
    <s v="3102"/>
    <s v="V"/>
    <x v="4"/>
    <x v="0"/>
    <x v="11"/>
    <s v="K"/>
    <m/>
    <m/>
    <x v="120"/>
    <d v="2023-04-01T00:00:00"/>
    <m/>
    <n v="66001"/>
  </r>
  <r>
    <s v="3103"/>
    <s v="V"/>
    <x v="4"/>
    <x v="0"/>
    <x v="11"/>
    <s v="K"/>
    <m/>
    <m/>
    <x v="120"/>
    <d v="2023-05-01T00:00:00"/>
    <m/>
    <m/>
  </r>
  <r>
    <s v="3104"/>
    <s v="V"/>
    <x v="4"/>
    <x v="0"/>
    <x v="11"/>
    <s v="K"/>
    <m/>
    <m/>
    <x v="120"/>
    <d v="2023-06-01T00:00:00"/>
    <m/>
    <n v="67937"/>
  </r>
  <r>
    <s v="3105"/>
    <s v="V"/>
    <x v="4"/>
    <x v="0"/>
    <x v="11"/>
    <s v="K"/>
    <m/>
    <m/>
    <x v="120"/>
    <d v="2023-07-01T00:00:00"/>
    <m/>
    <m/>
  </r>
  <r>
    <s v="3106"/>
    <s v="V"/>
    <x v="4"/>
    <x v="0"/>
    <x v="11"/>
    <s v="K"/>
    <m/>
    <m/>
    <x v="120"/>
    <d v="2023-08-01T00:00:00"/>
    <m/>
    <m/>
  </r>
  <r>
    <s v="3107"/>
    <s v="V"/>
    <x v="4"/>
    <x v="0"/>
    <x v="11"/>
    <s v="K"/>
    <m/>
    <m/>
    <x v="120"/>
    <d v="2023-09-01T00:00:00"/>
    <m/>
    <m/>
  </r>
  <r>
    <s v="3108"/>
    <s v="V"/>
    <x v="4"/>
    <x v="0"/>
    <x v="11"/>
    <s v="K"/>
    <m/>
    <m/>
    <x v="120"/>
    <d v="2023-10-01T00:00:00"/>
    <m/>
    <m/>
  </r>
  <r>
    <s v="3109"/>
    <s v="V"/>
    <x v="4"/>
    <x v="0"/>
    <x v="11"/>
    <s v="K"/>
    <m/>
    <m/>
    <x v="120"/>
    <d v="2023-11-01T00:00:00"/>
    <m/>
    <m/>
  </r>
  <r>
    <s v="3110"/>
    <s v="V"/>
    <x v="4"/>
    <x v="0"/>
    <x v="11"/>
    <s v="K"/>
    <m/>
    <m/>
    <x v="120"/>
    <d v="2023-12-01T00:00:00"/>
    <m/>
    <m/>
  </r>
  <r>
    <s v="3111"/>
    <s v="V"/>
    <x v="0"/>
    <x v="0"/>
    <x v="0"/>
    <m/>
    <m/>
    <m/>
    <x v="0"/>
    <m/>
    <m/>
    <m/>
  </r>
  <r>
    <s v="3112"/>
    <s v="V"/>
    <x v="0"/>
    <x v="0"/>
    <x v="0"/>
    <m/>
    <m/>
    <m/>
    <x v="0"/>
    <m/>
    <m/>
    <m/>
  </r>
  <r>
    <s v="3113"/>
    <s v="V"/>
    <x v="0"/>
    <x v="0"/>
    <x v="0"/>
    <m/>
    <s v="X"/>
    <s v="TELKOM - 162301340311"/>
    <x v="0"/>
    <m/>
    <m/>
    <n v="2191140"/>
  </r>
  <r>
    <s v="3114"/>
    <s v="V"/>
    <x v="4"/>
    <x v="0"/>
    <x v="11"/>
    <s v="K"/>
    <m/>
    <m/>
    <x v="121"/>
    <d v="2023-01-01T00:00:00"/>
    <m/>
    <n v="365190"/>
  </r>
  <r>
    <s v="3115"/>
    <s v="V"/>
    <x v="4"/>
    <x v="0"/>
    <x v="11"/>
    <s v="K"/>
    <m/>
    <m/>
    <x v="121"/>
    <d v="2023-02-01T00:00:00"/>
    <m/>
    <n v="365190"/>
  </r>
  <r>
    <s v="3116"/>
    <s v="V"/>
    <x v="4"/>
    <x v="0"/>
    <x v="11"/>
    <s v="K"/>
    <m/>
    <m/>
    <x v="121"/>
    <d v="2023-03-01T00:00:00"/>
    <m/>
    <n v="365190"/>
  </r>
  <r>
    <s v="3117"/>
    <s v="V"/>
    <x v="4"/>
    <x v="0"/>
    <x v="11"/>
    <s v="K"/>
    <m/>
    <m/>
    <x v="121"/>
    <d v="2023-04-01T00:00:00"/>
    <m/>
    <n v="365190"/>
  </r>
  <r>
    <s v="3118"/>
    <s v="V"/>
    <x v="4"/>
    <x v="0"/>
    <x v="11"/>
    <s v="K"/>
    <m/>
    <m/>
    <x v="121"/>
    <d v="2023-05-01T00:00:00"/>
    <m/>
    <n v="365190"/>
  </r>
  <r>
    <s v="3119"/>
    <s v="V"/>
    <x v="4"/>
    <x v="0"/>
    <x v="11"/>
    <s v="K"/>
    <m/>
    <m/>
    <x v="121"/>
    <d v="2023-06-01T00:00:00"/>
    <m/>
    <n v="365190"/>
  </r>
  <r>
    <s v="3120"/>
    <s v="V"/>
    <x v="4"/>
    <x v="0"/>
    <x v="11"/>
    <s v="K"/>
    <m/>
    <m/>
    <x v="121"/>
    <d v="2023-07-01T00:00:00"/>
    <m/>
    <m/>
  </r>
  <r>
    <s v="3121"/>
    <s v="V"/>
    <x v="4"/>
    <x v="0"/>
    <x v="11"/>
    <s v="K"/>
    <m/>
    <m/>
    <x v="121"/>
    <d v="2023-08-01T00:00:00"/>
    <m/>
    <m/>
  </r>
  <r>
    <s v="3122"/>
    <s v="V"/>
    <x v="4"/>
    <x v="0"/>
    <x v="11"/>
    <s v="K"/>
    <m/>
    <m/>
    <x v="121"/>
    <d v="2023-09-01T00:00:00"/>
    <m/>
    <m/>
  </r>
  <r>
    <s v="3123"/>
    <s v="V"/>
    <x v="4"/>
    <x v="0"/>
    <x v="11"/>
    <s v="K"/>
    <m/>
    <m/>
    <x v="121"/>
    <d v="2023-10-01T00:00:00"/>
    <m/>
    <m/>
  </r>
  <r>
    <s v="3124"/>
    <s v="V"/>
    <x v="4"/>
    <x v="0"/>
    <x v="11"/>
    <s v="K"/>
    <m/>
    <m/>
    <x v="121"/>
    <d v="2023-11-01T00:00:00"/>
    <m/>
    <m/>
  </r>
  <r>
    <s v="3125"/>
    <s v="V"/>
    <x v="4"/>
    <x v="0"/>
    <x v="11"/>
    <s v="K"/>
    <m/>
    <m/>
    <x v="121"/>
    <d v="2023-12-01T00:00:00"/>
    <m/>
    <m/>
  </r>
  <r>
    <s v="3126"/>
    <s v="V"/>
    <x v="0"/>
    <x v="0"/>
    <x v="0"/>
    <m/>
    <m/>
    <m/>
    <x v="0"/>
    <m/>
    <m/>
    <m/>
  </r>
  <r>
    <s v="3127"/>
    <s v="V"/>
    <x v="0"/>
    <x v="0"/>
    <x v="0"/>
    <m/>
    <m/>
    <m/>
    <x v="0"/>
    <m/>
    <m/>
    <m/>
  </r>
  <r>
    <s v="3128"/>
    <s v="V"/>
    <x v="0"/>
    <x v="0"/>
    <x v="0"/>
    <m/>
    <s v="X"/>
    <s v="TELKOM - 08115878910"/>
    <x v="0"/>
    <m/>
    <m/>
    <n v="3539035"/>
  </r>
  <r>
    <s v="3129"/>
    <s v="V"/>
    <x v="4"/>
    <x v="0"/>
    <x v="11"/>
    <s v="K"/>
    <m/>
    <m/>
    <x v="122"/>
    <d v="2023-01-01T00:00:00"/>
    <m/>
    <n v="583041"/>
  </r>
  <r>
    <s v="3130"/>
    <s v="V"/>
    <x v="4"/>
    <x v="0"/>
    <x v="11"/>
    <s v="K"/>
    <m/>
    <m/>
    <x v="122"/>
    <d v="2023-02-01T00:00:00"/>
    <m/>
    <n v="591577"/>
  </r>
  <r>
    <s v="3131"/>
    <s v="V"/>
    <x v="4"/>
    <x v="0"/>
    <x v="11"/>
    <s v="K"/>
    <m/>
    <m/>
    <x v="122"/>
    <d v="2023-03-01T00:00:00"/>
    <m/>
    <n v="584306"/>
  </r>
  <r>
    <s v="3132"/>
    <s v="V"/>
    <x v="4"/>
    <x v="0"/>
    <x v="11"/>
    <s v="K"/>
    <m/>
    <m/>
    <x v="122"/>
    <d v="2023-04-01T00:00:00"/>
    <m/>
    <n v="615830"/>
  </r>
  <r>
    <s v="3133"/>
    <s v="V"/>
    <x v="4"/>
    <x v="0"/>
    <x v="11"/>
    <s v="K"/>
    <m/>
    <m/>
    <x v="122"/>
    <d v="2023-05-01T00:00:00"/>
    <m/>
    <n v="576037"/>
  </r>
  <r>
    <s v="3134"/>
    <s v="V"/>
    <x v="4"/>
    <x v="0"/>
    <x v="11"/>
    <s v="K"/>
    <m/>
    <m/>
    <x v="122"/>
    <d v="2023-06-01T00:00:00"/>
    <m/>
    <n v="588244"/>
  </r>
  <r>
    <s v="3135"/>
    <s v="V"/>
    <x v="4"/>
    <x v="0"/>
    <x v="11"/>
    <s v="K"/>
    <m/>
    <m/>
    <x v="122"/>
    <d v="2023-07-01T00:00:00"/>
    <m/>
    <m/>
  </r>
  <r>
    <s v="3136"/>
    <s v="V"/>
    <x v="4"/>
    <x v="0"/>
    <x v="11"/>
    <s v="K"/>
    <m/>
    <m/>
    <x v="122"/>
    <d v="2023-08-01T00:00:00"/>
    <m/>
    <m/>
  </r>
  <r>
    <s v="3137"/>
    <s v="V"/>
    <x v="4"/>
    <x v="0"/>
    <x v="11"/>
    <s v="K"/>
    <m/>
    <m/>
    <x v="122"/>
    <d v="2023-09-01T00:00:00"/>
    <m/>
    <m/>
  </r>
  <r>
    <s v="3138"/>
    <s v="V"/>
    <x v="4"/>
    <x v="0"/>
    <x v="11"/>
    <s v="K"/>
    <m/>
    <m/>
    <x v="122"/>
    <d v="2023-10-01T00:00:00"/>
    <m/>
    <m/>
  </r>
  <r>
    <s v="3139"/>
    <s v="V"/>
    <x v="4"/>
    <x v="0"/>
    <x v="11"/>
    <s v="K"/>
    <m/>
    <m/>
    <x v="122"/>
    <d v="2023-11-01T00:00:00"/>
    <m/>
    <m/>
  </r>
  <r>
    <s v="3140"/>
    <s v="V"/>
    <x v="4"/>
    <x v="0"/>
    <x v="11"/>
    <s v="K"/>
    <m/>
    <m/>
    <x v="122"/>
    <d v="2023-12-01T00:00:00"/>
    <m/>
    <m/>
  </r>
  <r>
    <s v="3141"/>
    <s v="V"/>
    <x v="0"/>
    <x v="0"/>
    <x v="0"/>
    <m/>
    <m/>
    <m/>
    <x v="0"/>
    <m/>
    <m/>
    <m/>
  </r>
  <r>
    <s v="3142"/>
    <s v="V"/>
    <x v="0"/>
    <x v="0"/>
    <x v="0"/>
    <m/>
    <m/>
    <m/>
    <x v="0"/>
    <m/>
    <m/>
    <m/>
  </r>
  <r>
    <s v="3143"/>
    <s v="V"/>
    <x v="0"/>
    <x v="0"/>
    <x v="0"/>
    <m/>
    <m/>
    <m/>
    <x v="0"/>
    <m/>
    <m/>
    <m/>
  </r>
  <r>
    <s v="3144"/>
    <s v="V"/>
    <x v="0"/>
    <x v="0"/>
    <x v="0"/>
    <m/>
    <s v="Z"/>
    <s v="BIAYA LAIN-LAIN"/>
    <x v="0"/>
    <m/>
    <m/>
    <n v="0"/>
  </r>
  <r>
    <s v="3145"/>
    <s v="V"/>
    <x v="0"/>
    <x v="0"/>
    <x v="0"/>
    <m/>
    <m/>
    <m/>
    <x v="0"/>
    <m/>
    <m/>
    <m/>
  </r>
  <r>
    <s v="3146"/>
    <s v="V"/>
    <x v="0"/>
    <x v="0"/>
    <x v="0"/>
    <m/>
    <s v="X"/>
    <s v="OBAT / BHP CASH"/>
    <x v="0"/>
    <m/>
    <m/>
    <n v="0"/>
  </r>
  <r>
    <s v="3147"/>
    <s v="V"/>
    <x v="0"/>
    <x v="0"/>
    <x v="12"/>
    <s v="L"/>
    <m/>
    <m/>
    <x v="123"/>
    <m/>
    <m/>
    <m/>
  </r>
  <r>
    <s v="3148"/>
    <s v="V"/>
    <x v="0"/>
    <x v="0"/>
    <x v="0"/>
    <m/>
    <m/>
    <m/>
    <x v="0"/>
    <m/>
    <m/>
    <m/>
  </r>
  <r>
    <s v="3149"/>
    <s v="V"/>
    <x v="0"/>
    <x v="0"/>
    <x v="0"/>
    <m/>
    <m/>
    <m/>
    <x v="0"/>
    <m/>
    <m/>
    <m/>
  </r>
  <r>
    <s v="3150"/>
    <s v="V"/>
    <x v="0"/>
    <x v="0"/>
    <x v="0"/>
    <m/>
    <s v="X"/>
    <s v="PETTY CASH"/>
    <x v="0"/>
    <m/>
    <m/>
    <n v="0"/>
  </r>
  <r>
    <s v="3151"/>
    <s v="V"/>
    <x v="0"/>
    <x v="0"/>
    <x v="12"/>
    <s v="L"/>
    <m/>
    <m/>
    <x v="124"/>
    <m/>
    <m/>
    <m/>
  </r>
  <r>
    <s v="3152"/>
    <s v="V"/>
    <x v="0"/>
    <x v="0"/>
    <x v="0"/>
    <m/>
    <m/>
    <m/>
    <x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7">
  <r>
    <s v="ALJOEN MAKMUR ABADI, PT"/>
    <d v="2023-05-29T00:00:00"/>
    <x v="0"/>
    <n v="2081250"/>
  </r>
  <r>
    <s v="ALJOEN MAKMUR ABADI, PT"/>
    <d v="2023-08-10T00:00:00"/>
    <x v="1"/>
    <n v="1040625"/>
  </r>
  <r>
    <s v="ALJOEN MAKMUR ABADI, PT"/>
    <d v="2023-10-17T00:00:00"/>
    <x v="2"/>
    <n v="2081250"/>
  </r>
  <r>
    <s v="AMANAH MANDIRI BAHAGIA, PT"/>
    <d v="2023-02-20T00:00:00"/>
    <x v="3"/>
    <n v="975000"/>
  </r>
  <r>
    <s v="AMANAH MANDIRI BAHAGIA, PT"/>
    <d v="2023-03-08T00:00:00"/>
    <x v="4"/>
    <n v="850000"/>
  </r>
  <r>
    <s v="AMANAH MANDIRI BAHAGIA, PT"/>
    <d v="2023-03-27T00:00:00"/>
    <x v="4"/>
    <n v="700010"/>
  </r>
  <r>
    <s v="AMANAH MANDIRI BAHAGIA, PT"/>
    <d v="2023-03-31T00:00:00"/>
    <x v="4"/>
    <n v="339993"/>
  </r>
  <r>
    <s v="AMANAH MANDIRI BAHAGIA, PT"/>
    <d v="2023-04-04T00:00:00"/>
    <x v="5"/>
    <n v="462000"/>
  </r>
  <r>
    <s v="AMANAH MANDIRI BAHAGIA, PT"/>
    <d v="2023-04-14T00:00:00"/>
    <x v="5"/>
    <n v="510000"/>
  </r>
  <r>
    <s v="AMANAH MANDIRI BAHAGIA, PT"/>
    <d v="2023-04-18T00:00:00"/>
    <x v="5"/>
    <n v="1540000"/>
  </r>
  <r>
    <s v="AMANAH MANDIRI BAHAGIA, PT"/>
    <d v="2023-04-27T00:00:00"/>
    <x v="5"/>
    <n v="340000"/>
  </r>
  <r>
    <s v="AMANAH MANDIRI BAHAGIA, PT"/>
    <d v="2023-05-23T00:00:00"/>
    <x v="0"/>
    <n v="850000"/>
  </r>
  <r>
    <s v="AMANAH MANDIRI BAHAGIA, PT"/>
    <d v="2023-06-21T00:00:00"/>
    <x v="6"/>
    <n v="1450000"/>
  </r>
  <r>
    <s v="AMANAH MANDIRI BAHAGIA, PT"/>
    <d v="2023-07-11T00:00:00"/>
    <x v="7"/>
    <n v="595000"/>
  </r>
  <r>
    <s v="AMANAH MANDIRI BAHAGIA, PT"/>
    <d v="2023-08-02T00:00:00"/>
    <x v="1"/>
    <n v="374000"/>
  </r>
  <r>
    <s v="AMANAH MANDIRI BAHAGIA, PT"/>
    <d v="2023-08-15T00:00:00"/>
    <x v="1"/>
    <n v="1540000"/>
  </r>
  <r>
    <s v="ANTAR MITRA SEMBADA, PT"/>
    <d v="2023-02-25T00:00:00"/>
    <x v="3"/>
    <n v="564146"/>
  </r>
  <r>
    <s v="ANTAR MITRA SEMBADA, PT"/>
    <d v="2023-02-28T00:00:00"/>
    <x v="3"/>
    <n v="12091985"/>
  </r>
  <r>
    <s v="ANTAR MITRA SEMBADA, PT"/>
    <d v="2023-03-06T00:00:00"/>
    <x v="4"/>
    <n v="1749582"/>
  </r>
  <r>
    <s v="ANTAR MITRA SEMBADA, PT"/>
    <d v="2023-03-10T00:00:00"/>
    <x v="4"/>
    <n v="2013984"/>
  </r>
  <r>
    <s v="ANTAR MITRA SEMBADA, PT"/>
    <d v="2023-03-15T00:00:00"/>
    <x v="4"/>
    <n v="1495315"/>
  </r>
  <r>
    <s v="ANTAR MITRA SEMBADA, PT"/>
    <d v="2023-03-17T00:00:00"/>
    <x v="4"/>
    <n v="1315696"/>
  </r>
  <r>
    <s v="ANTAR MITRA SEMBADA, PT"/>
    <d v="2023-03-27T00:00:00"/>
    <x v="4"/>
    <n v="1922256"/>
  </r>
  <r>
    <s v="ANTAR MITRA SEMBADA, PT"/>
    <d v="2023-03-29T00:00:00"/>
    <x v="4"/>
    <n v="5310684"/>
  </r>
  <r>
    <s v="ANTAR MITRA SEMBADA, PT"/>
    <d v="2023-03-29T00:00:00"/>
    <x v="4"/>
    <n v="219780"/>
  </r>
  <r>
    <s v="ANTAR MITRA SEMBADA, PT"/>
    <d v="2023-04-05T00:00:00"/>
    <x v="5"/>
    <n v="3868093"/>
  </r>
  <r>
    <s v="ANTAR MITRA SEMBADA, PT"/>
    <d v="2023-04-12T00:00:00"/>
    <x v="5"/>
    <n v="382395"/>
  </r>
  <r>
    <s v="ANTAR MITRA SEMBADA, PT"/>
    <d v="2023-04-26T00:00:00"/>
    <x v="5"/>
    <n v="805749"/>
  </r>
  <r>
    <s v="ANTAR MITRA SEMBADA, PT"/>
    <d v="2023-04-28T00:00:00"/>
    <x v="5"/>
    <n v="317282"/>
  </r>
  <r>
    <s v="ANTAR MITRA SEMBADA, PT"/>
    <d v="2023-05-27T00:00:00"/>
    <x v="0"/>
    <n v="3549626"/>
  </r>
  <r>
    <s v="ANTAR MITRA SEMBADA, PT"/>
    <d v="2023-05-29T00:00:00"/>
    <x v="0"/>
    <n v="2289974"/>
  </r>
  <r>
    <s v="ANTAR MITRA SEMBADA, PT"/>
    <d v="2023-06-02T00:00:00"/>
    <x v="6"/>
    <n v="536130"/>
  </r>
  <r>
    <s v="ANTAR MITRA SEMBADA, PT"/>
    <d v="2023-06-09T00:00:00"/>
    <x v="6"/>
    <n v="1495725"/>
  </r>
  <r>
    <s v="ANTAR MITRA SEMBADA, PT"/>
    <d v="2023-06-09T00:00:00"/>
    <x v="6"/>
    <n v="159840"/>
  </r>
  <r>
    <s v="ANTAR MITRA SEMBADA, PT"/>
    <d v="2023-06-09T00:00:00"/>
    <x v="6"/>
    <n v="1076589"/>
  </r>
  <r>
    <s v="ANTAR MITRA SEMBADA, PT"/>
    <d v="2023-06-12T00:00:00"/>
    <x v="6"/>
    <n v="310800"/>
  </r>
  <r>
    <s v="ANTAR MITRA SEMBADA, PT"/>
    <d v="2023-06-12T00:00:00"/>
    <x v="6"/>
    <n v="143290"/>
  </r>
  <r>
    <s v="ANTAR MITRA SEMBADA, PT"/>
    <d v="2023-06-12T00:00:00"/>
    <x v="6"/>
    <n v="553513"/>
  </r>
  <r>
    <s v="ANTAR MITRA SEMBADA, PT"/>
    <d v="2023-06-15T00:00:00"/>
    <x v="6"/>
    <n v="186480"/>
  </r>
  <r>
    <s v="ANTAR MITRA SEMBADA, PT"/>
    <d v="2023-06-15T00:00:00"/>
    <x v="6"/>
    <n v="2351346"/>
  </r>
  <r>
    <s v="ANTAR MITRA SEMBADA, PT"/>
    <d v="2023-06-21T00:00:00"/>
    <x v="6"/>
    <n v="367799"/>
  </r>
  <r>
    <s v="ANTAR MITRA SEMBADA, PT"/>
    <d v="2023-06-26T00:00:00"/>
    <x v="6"/>
    <n v="644460"/>
  </r>
  <r>
    <s v="ANTAR MITRA SEMBADA, PT"/>
    <d v="2023-06-26T00:00:00"/>
    <x v="6"/>
    <n v="454545"/>
  </r>
  <r>
    <s v="ANTAR MITRA SEMBADA, PT"/>
    <d v="2023-06-26T00:00:00"/>
    <x v="6"/>
    <n v="155400"/>
  </r>
  <r>
    <s v="ANTAR MITRA SEMBADA, PT"/>
    <d v="2023-06-30T00:00:00"/>
    <x v="6"/>
    <n v="130536"/>
  </r>
  <r>
    <s v="ANTAR MITRA SEMBADA, PT"/>
    <d v="2023-06-30T00:00:00"/>
    <x v="6"/>
    <n v="163170"/>
  </r>
  <r>
    <s v="ANTAR MITRA SEMBADA, PT"/>
    <d v="2023-06-30T00:00:00"/>
    <x v="6"/>
    <n v="2424240"/>
  </r>
  <r>
    <s v="ANTAR MITRA SEMBADA, PT"/>
    <d v="2023-07-03T00:00:00"/>
    <x v="7"/>
    <n v="1411171"/>
  </r>
  <r>
    <s v="ANTAR MITRA SEMBADA, PT"/>
    <d v="2023-07-04T00:00:00"/>
    <x v="7"/>
    <n v="448085"/>
  </r>
  <r>
    <s v="ANTAR MITRA SEMBADA, PT"/>
    <d v="2023-07-05T00:00:00"/>
    <x v="7"/>
    <n v="999000"/>
  </r>
  <r>
    <s v="ANTAR MITRA SEMBADA, PT"/>
    <d v="2023-07-05T00:00:00"/>
    <x v="7"/>
    <n v="266400"/>
  </r>
  <r>
    <s v="ANTAR MITRA SEMBADA, PT"/>
    <d v="2023-07-10T00:00:00"/>
    <x v="7"/>
    <n v="2542648"/>
  </r>
  <r>
    <s v="ANTAR MITRA SEMBADA, PT"/>
    <d v="2023-07-10T00:00:00"/>
    <x v="7"/>
    <n v="1386279"/>
  </r>
  <r>
    <s v="ANTAR MITRA SEMBADA, PT"/>
    <d v="2023-07-12T00:00:00"/>
    <x v="7"/>
    <n v="2424240"/>
  </r>
  <r>
    <s v="ANTAR MITRA SEMBADA, PT"/>
    <d v="2023-07-13T00:00:00"/>
    <x v="7"/>
    <n v="131868"/>
  </r>
  <r>
    <s v="ANTAR MITRA SEMBADA, PT"/>
    <d v="2023-07-14T00:00:00"/>
    <x v="7"/>
    <n v="245454"/>
  </r>
  <r>
    <s v="ANTAR MITRA SEMBADA, PT"/>
    <d v="2023-07-14T00:00:00"/>
    <x v="7"/>
    <n v="1807730"/>
  </r>
  <r>
    <s v="ANTAR MITRA SEMBADA, PT"/>
    <d v="2023-07-18T00:00:00"/>
    <x v="7"/>
    <n v="163170"/>
  </r>
  <r>
    <s v="ANTAR MITRA SEMBADA, PT"/>
    <d v="2023-07-20T00:00:00"/>
    <x v="7"/>
    <n v="5090704"/>
  </r>
  <r>
    <s v="ANTAR MITRA SEMBADA, PT"/>
    <d v="2023-07-24T00:00:00"/>
    <x v="7"/>
    <n v="935453"/>
  </r>
  <r>
    <s v="ANTAR MITRA SEMBADA, PT"/>
    <d v="2023-07-26T00:00:00"/>
    <x v="7"/>
    <n v="380286"/>
  </r>
  <r>
    <s v="ANTAR MITRA SEMBADA, PT"/>
    <d v="2023-07-28T00:00:00"/>
    <x v="7"/>
    <n v="545154"/>
  </r>
  <r>
    <s v="ANTAR MITRA SEMBADA, PT"/>
    <d v="2023-07-31T00:00:00"/>
    <x v="7"/>
    <n v="155400"/>
  </r>
  <r>
    <s v="ANTAR MITRA SEMBADA, PT"/>
    <d v="2023-08-02T00:00:00"/>
    <x v="1"/>
    <n v="3136832"/>
  </r>
  <r>
    <s v="ANTAR MITRA SEMBADA, PT"/>
    <d v="2023-08-03T00:00:00"/>
    <x v="1"/>
    <n v="2424240"/>
  </r>
  <r>
    <s v="ANTAR MITRA SEMBADA, PT"/>
    <d v="2023-08-04T00:00:00"/>
    <x v="1"/>
    <n v="737262"/>
  </r>
  <r>
    <s v="ANTAR MITRA SEMBADA, PT"/>
    <d v="2023-08-07T00:00:00"/>
    <x v="1"/>
    <n v="1391984"/>
  </r>
  <r>
    <s v="ANTAR MITRA SEMBADA, PT"/>
    <d v="2023-08-08T00:00:00"/>
    <x v="1"/>
    <n v="633782"/>
  </r>
  <r>
    <s v="ANTAR MITRA SEMBADA, PT"/>
    <d v="2023-08-08T00:00:00"/>
    <x v="1"/>
    <n v="1803264"/>
  </r>
  <r>
    <s v="ANTAR MITRA SEMBADA, PT"/>
    <d v="2023-08-10T00:00:00"/>
    <x v="1"/>
    <n v="613636"/>
  </r>
  <r>
    <s v="ANTAR MITRA SEMBADA, PT"/>
    <d v="2023-08-15T00:00:00"/>
    <x v="1"/>
    <n v="310356"/>
  </r>
  <r>
    <s v="ANTAR MITRA SEMBADA, PT"/>
    <d v="2023-08-15T00:00:00"/>
    <x v="1"/>
    <n v="466200"/>
  </r>
  <r>
    <s v="ANTAR MITRA SEMBADA, PT"/>
    <d v="2023-08-15T00:00:00"/>
    <x v="1"/>
    <n v="1717481"/>
  </r>
  <r>
    <s v="ANTAR MITRA SEMBADA, PT"/>
    <d v="2023-08-15T00:00:00"/>
    <x v="1"/>
    <n v="868634"/>
  </r>
  <r>
    <s v="ANTAR MITRA SEMBADA, PT"/>
    <d v="2023-08-15T00:00:00"/>
    <x v="1"/>
    <n v="804195"/>
  </r>
  <r>
    <s v="ANTAR MITRA SEMBADA, PT"/>
    <d v="2023-08-16T00:00:00"/>
    <x v="1"/>
    <n v="1297313"/>
  </r>
  <r>
    <s v="ANTAR MITRA SEMBADA, PT"/>
    <d v="2023-08-18T00:00:00"/>
    <x v="1"/>
    <n v="299700"/>
  </r>
  <r>
    <s v="ANTAR MITRA SEMBADA, PT"/>
    <d v="2023-08-21T00:00:00"/>
    <x v="1"/>
    <n v="861582"/>
  </r>
  <r>
    <s v="ANTAR MITRA SEMBADA, PT"/>
    <d v="2023-08-21T00:00:00"/>
    <x v="1"/>
    <n v="109235"/>
  </r>
  <r>
    <s v="ANTAR MITRA SEMBADA, PT"/>
    <d v="2023-08-21T00:00:00"/>
    <x v="1"/>
    <n v="570473"/>
  </r>
  <r>
    <s v="ANTAR MITRA SEMBADA, PT"/>
    <d v="2023-08-23T00:00:00"/>
    <x v="1"/>
    <n v="1221278"/>
  </r>
  <r>
    <s v="ANTAR MITRA SEMBADA, PT"/>
    <d v="2023-08-24T00:00:00"/>
    <x v="1"/>
    <n v="1963761"/>
  </r>
  <r>
    <s v="ANTAR MITRA SEMBADA, PT"/>
    <d v="2023-08-25T00:00:00"/>
    <x v="1"/>
    <n v="727272"/>
  </r>
  <r>
    <s v="ANTAR MITRA SEMBADA, PT"/>
    <d v="2023-08-28T00:00:00"/>
    <x v="1"/>
    <n v="4460075"/>
  </r>
  <r>
    <s v="ANTAR MITRA SEMBADA, PT"/>
    <d v="2023-08-29T00:00:00"/>
    <x v="1"/>
    <n v="953823"/>
  </r>
  <r>
    <s v="ANTAR MITRA SEMBADA, PT"/>
    <d v="2023-08-31T00:00:00"/>
    <x v="1"/>
    <n v="826728"/>
  </r>
  <r>
    <s v="ANTAR MITRA SEMBADA, PT"/>
    <d v="2023-09-04T00:00:00"/>
    <x v="8"/>
    <n v="2234547"/>
  </r>
  <r>
    <s v="ANTAR MITRA SEMBADA, PT"/>
    <d v="2023-09-05T00:00:00"/>
    <x v="8"/>
    <n v="2424240"/>
  </r>
  <r>
    <s v="ANTAR MITRA SEMBADA, PT"/>
    <d v="2023-09-05T00:00:00"/>
    <x v="8"/>
    <n v="7699626"/>
  </r>
  <r>
    <s v="ANTAR MITRA SEMBADA, PT"/>
    <d v="2023-09-08T00:00:00"/>
    <x v="8"/>
    <n v="152958"/>
  </r>
  <r>
    <s v="ANTAR MITRA SEMBADA, PT"/>
    <d v="2023-09-11T00:00:00"/>
    <x v="8"/>
    <n v="666666"/>
  </r>
  <r>
    <s v="ANTAR MITRA SEMBADA, PT"/>
    <d v="2023-09-11T00:00:00"/>
    <x v="8"/>
    <n v="5310651"/>
  </r>
  <r>
    <s v="ANTAR MITRA SEMBADA, PT"/>
    <d v="2023-09-11T00:00:00"/>
    <x v="8"/>
    <n v="129410"/>
  </r>
  <r>
    <s v="ANTAR MITRA SEMBADA, PT"/>
    <d v="2023-09-16T00:00:00"/>
    <x v="8"/>
    <n v="4455385"/>
  </r>
  <r>
    <s v="ANTAR MITRA SEMBADA, PT"/>
    <d v="2023-09-20T00:00:00"/>
    <x v="8"/>
    <n v="943781"/>
  </r>
  <r>
    <s v="ANTAR MITRA SEMBADA, PT"/>
    <d v="2023-09-20T00:00:00"/>
    <x v="8"/>
    <n v="1008140"/>
  </r>
  <r>
    <s v="ANTAR MITRA SEMBADA, PT"/>
    <d v="2023-09-26T00:00:00"/>
    <x v="8"/>
    <n v="4252410"/>
  </r>
  <r>
    <s v="ANTAR MITRA SEMBADA, PT"/>
    <d v="2023-09-29T00:00:00"/>
    <x v="8"/>
    <n v="333289"/>
  </r>
  <r>
    <s v="ANTAR MITRA SEMBADA, PT"/>
    <d v="2023-09-29T00:00:00"/>
    <x v="8"/>
    <n v="6178260"/>
  </r>
  <r>
    <s v="ANTAR MITRA SEMBADA, PT"/>
    <d v="2023-10-02T00:00:00"/>
    <x v="2"/>
    <n v="761904"/>
  </r>
  <r>
    <s v="ANTAR MITRA SEMBADA, PT"/>
    <d v="2023-10-04T00:00:00"/>
    <x v="2"/>
    <n v="236288"/>
  </r>
  <r>
    <s v="ANTAR MITRA SEMBADA, PT"/>
    <d v="2023-10-05T00:00:00"/>
    <x v="2"/>
    <n v="2460204"/>
  </r>
  <r>
    <s v="ANTAR MITRA SEMBADA, PT"/>
    <d v="2023-10-09T00:00:00"/>
    <x v="2"/>
    <n v="3112995"/>
  </r>
  <r>
    <s v="ANTAR MITRA SEMBADA, PT"/>
    <d v="2023-10-11T00:00:00"/>
    <x v="2"/>
    <n v="2094022"/>
  </r>
  <r>
    <s v="ANTAR MITRA SEMBADA, PT"/>
    <d v="2023-10-13T00:00:00"/>
    <x v="2"/>
    <n v="11990098"/>
  </r>
  <r>
    <s v="ANTAR MITRA SEMBADA, PT"/>
    <d v="2023-10-17T00:00:00"/>
    <x v="2"/>
    <n v="4348291"/>
  </r>
  <r>
    <s v="ANTAR MITRA SEMBADA, PT"/>
    <d v="2023-10-19T00:00:00"/>
    <x v="2"/>
    <n v="2479385"/>
  </r>
  <r>
    <s v="ANTAR MITRA SEMBADA, PT"/>
    <d v="2023-10-19T00:00:00"/>
    <x v="2"/>
    <n v="399600"/>
  </r>
  <r>
    <s v="ANTAR MITRA SEMBADA, PT"/>
    <d v="2023-10-23T00:00:00"/>
    <x v="2"/>
    <n v="321179"/>
  </r>
  <r>
    <s v="ANTAR MITRA SEMBADA, PT"/>
    <d v="2023-10-25T00:00:00"/>
    <x v="2"/>
    <n v="2798666"/>
  </r>
  <r>
    <s v="ANTAR MITRA SEMBADA, PT"/>
    <d v="2023-10-27T00:00:00"/>
    <x v="2"/>
    <n v="6092971"/>
  </r>
  <r>
    <s v="ANTAR MITRA SEMBADA, PT"/>
    <d v="2023-10-31T00:00:00"/>
    <x v="2"/>
    <n v="849150"/>
  </r>
  <r>
    <s v="ANTAR MITRA SEMBADA, PT"/>
    <d v="2023-10-31T00:00:00"/>
    <x v="2"/>
    <n v="454545"/>
  </r>
  <r>
    <s v="ANTAR MITRA SEMBADA, PT"/>
    <d v="2023-10-31T00:00:00"/>
    <x v="2"/>
    <n v="2627026"/>
  </r>
  <r>
    <s v="ANTAR MITRA SEMBADA, PT"/>
    <d v="2023-10-31T00:00:00"/>
    <x v="2"/>
    <n v="388500"/>
  </r>
  <r>
    <s v="ANTAR MITRA SEMBADA, PT"/>
    <d v="2023-11-02T00:00:00"/>
    <x v="9"/>
    <n v="477855"/>
  </r>
  <r>
    <s v="ANTAR MITRA SEMBADA, PT"/>
    <d v="2023-11-03T00:00:00"/>
    <x v="9"/>
    <n v="7870303"/>
  </r>
  <r>
    <s v="ANTAR MITRA SEMBADA, PT"/>
    <d v="2023-11-04T00:00:00"/>
    <x v="9"/>
    <n v="1165500"/>
  </r>
  <r>
    <s v="ANTAR MITRA SEMBADA, PT"/>
    <d v="2023-11-08T00:00:00"/>
    <x v="9"/>
    <n v="4824504"/>
  </r>
  <r>
    <s v="ANTAR MITRA SEMBADA, PT"/>
    <d v="2023-11-10T00:00:00"/>
    <x v="9"/>
    <n v="4995000"/>
  </r>
  <r>
    <s v="ANTAR MITRA SEMBADA, PT"/>
    <d v="2023-11-14T00:00:00"/>
    <x v="9"/>
    <n v="5037887"/>
  </r>
  <r>
    <s v="ANTAR MITRA SEMBADA, PT"/>
    <d v="2023-11-15T00:00:00"/>
    <x v="9"/>
    <n v="310800"/>
  </r>
  <r>
    <s v="ANTAR MITRA SEMBADA, PT"/>
    <d v="2023-11-21T00:00:00"/>
    <x v="9"/>
    <n v="624375"/>
  </r>
  <r>
    <s v="ANTAR MITRA SEMBADA, PT"/>
    <d v="2023-11-21T00:00:00"/>
    <x v="9"/>
    <n v="5819741"/>
  </r>
  <r>
    <s v="ANTAR MITRA SEMBADA, PT"/>
    <d v="2023-11-28T00:00:00"/>
    <x v="9"/>
    <n v="9547540"/>
  </r>
  <r>
    <s v="ANTAR MITRA SEMBADA, PT"/>
    <d v="2023-11-30T00:00:00"/>
    <x v="9"/>
    <n v="2523004"/>
  </r>
  <r>
    <s v="ANTAR MITRA SEMBADA, PT"/>
    <d v="2023-11-30T00:00:00"/>
    <x v="9"/>
    <n v="3698520"/>
  </r>
  <r>
    <s v="ANTAR MITRA SEMBADA, PT"/>
    <d v="2023-11-30T00:00:00"/>
    <x v="9"/>
    <n v="145688"/>
  </r>
  <r>
    <s v="ANTAR MITRA SEMBADA, PT"/>
    <d v="2023-12-01T00:00:00"/>
    <x v="10"/>
    <n v="6079143"/>
  </r>
  <r>
    <s v="ANUGERAH PHARMINDO LESTARI, PT"/>
    <d v="2023-01-31T00:00:00"/>
    <x v="11"/>
    <n v="3001884"/>
  </r>
  <r>
    <s v="ANUGERAH PHARMINDO LESTARI, PT"/>
    <d v="2023-02-03T00:00:00"/>
    <x v="3"/>
    <n v="469530"/>
  </r>
  <r>
    <s v="ANUGERAH PHARMINDO LESTARI, PT"/>
    <d v="2023-02-03T00:00:00"/>
    <x v="3"/>
    <n v="377801"/>
  </r>
  <r>
    <s v="ANUGERAH PHARMINDO LESTARI, PT"/>
    <d v="2023-02-03T00:00:00"/>
    <x v="3"/>
    <n v="1210011"/>
  </r>
  <r>
    <s v="ANUGERAH PHARMINDO LESTARI, PT"/>
    <d v="2023-02-03T00:00:00"/>
    <x v="3"/>
    <n v="4515679"/>
  </r>
  <r>
    <s v="ANUGERAH PHARMINDO LESTARI, PT"/>
    <d v="2023-02-09T00:00:00"/>
    <x v="3"/>
    <n v="634292"/>
  </r>
  <r>
    <s v="ANUGERAH PHARMINDO LESTARI, PT"/>
    <d v="2023-02-14T00:00:00"/>
    <x v="3"/>
    <n v="732899"/>
  </r>
  <r>
    <s v="ANUGERAH PHARMINDO LESTARI, PT"/>
    <d v="2023-02-16T00:00:00"/>
    <x v="3"/>
    <n v="48840"/>
  </r>
  <r>
    <s v="ANUGERAH PHARMINDO LESTARI, PT"/>
    <d v="2023-02-17T00:00:00"/>
    <x v="3"/>
    <n v="1465799"/>
  </r>
  <r>
    <s v="ANUGERAH PHARMINDO LESTARI, PT"/>
    <d v="2023-02-17T00:00:00"/>
    <x v="3"/>
    <n v="119071"/>
  </r>
  <r>
    <s v="ANUGERAH PHARMINDO LESTARI, PT"/>
    <d v="2023-02-21T00:00:00"/>
    <x v="3"/>
    <n v="774813"/>
  </r>
  <r>
    <s v="ANUGERAH PHARMINDO LESTARI, PT"/>
    <d v="2023-02-23T00:00:00"/>
    <x v="3"/>
    <n v="13186800"/>
  </r>
  <r>
    <s v="ANUGERAH PHARMINDO LESTARI, PT"/>
    <d v="2023-02-24T00:00:00"/>
    <x v="3"/>
    <n v="547456"/>
  </r>
  <r>
    <s v="ANUGERAH PHARMINDO LESTARI, PT"/>
    <d v="2023-02-24T00:00:00"/>
    <x v="3"/>
    <n v="3001884"/>
  </r>
  <r>
    <s v="ANUGERAH PHARMINDO LESTARI, PT"/>
    <d v="2023-02-28T00:00:00"/>
    <x v="3"/>
    <n v="1411623"/>
  </r>
  <r>
    <s v="ANUGERAH PHARMINDO LESTARI, PT"/>
    <d v="2023-02-28T00:00:00"/>
    <x v="3"/>
    <n v="1818180"/>
  </r>
  <r>
    <s v="ANUGERAH PHARMINDO LESTARI, PT"/>
    <d v="2023-02-28T00:00:00"/>
    <x v="3"/>
    <n v="854700"/>
  </r>
  <r>
    <s v="ANUGERAH PHARMINDO LESTARI, PT"/>
    <d v="2023-03-02T00:00:00"/>
    <x v="4"/>
    <n v="4515679"/>
  </r>
  <r>
    <s v="ANUGERAH PHARMINDO LESTARI, PT"/>
    <d v="2023-03-02T00:00:00"/>
    <x v="4"/>
    <n v="1311997"/>
  </r>
  <r>
    <s v="ANUGERAH PHARMINDO LESTARI, PT"/>
    <d v="2023-03-02T00:00:00"/>
    <x v="4"/>
    <n v="681096"/>
  </r>
  <r>
    <s v="ANUGERAH PHARMINDO LESTARI, PT"/>
    <d v="2023-03-03T00:00:00"/>
    <x v="4"/>
    <n v="7264775"/>
  </r>
  <r>
    <s v="ANUGERAH PHARMINDO LESTARI, PT"/>
    <d v="2023-03-03T00:00:00"/>
    <x v="4"/>
    <n v="471922"/>
  </r>
  <r>
    <s v="ANUGERAH PHARMINDO LESTARI, PT"/>
    <d v="2023-03-03T00:00:00"/>
    <x v="4"/>
    <n v="1107225"/>
  </r>
  <r>
    <s v="ANUGERAH PHARMINDO LESTARI, PT"/>
    <d v="2023-03-03T00:00:00"/>
    <x v="4"/>
    <n v="469530"/>
  </r>
  <r>
    <s v="ANUGERAH PHARMINDO LESTARI, PT"/>
    <d v="2023-03-04T00:00:00"/>
    <x v="4"/>
    <n v="685997"/>
  </r>
  <r>
    <s v="ANUGERAH PHARMINDO LESTARI, PT"/>
    <d v="2023-03-08T00:00:00"/>
    <x v="4"/>
    <n v="633861"/>
  </r>
  <r>
    <s v="ANUGERAH PHARMINDO LESTARI, PT"/>
    <d v="2023-03-09T00:00:00"/>
    <x v="4"/>
    <n v="979996"/>
  </r>
  <r>
    <s v="ANUGERAH PHARMINDO LESTARI, PT"/>
    <d v="2023-03-10T00:00:00"/>
    <x v="4"/>
    <n v="1631838"/>
  </r>
  <r>
    <s v="ANUGERAH PHARMINDO LESTARI, PT"/>
    <d v="2023-03-10T00:00:00"/>
    <x v="4"/>
    <n v="9031359"/>
  </r>
  <r>
    <s v="ANUGERAH PHARMINDO LESTARI, PT"/>
    <d v="2023-03-10T00:00:00"/>
    <x v="4"/>
    <n v="329670"/>
  </r>
  <r>
    <s v="ANUGERAH PHARMINDO LESTARI, PT"/>
    <d v="2023-03-10T00:00:00"/>
    <x v="4"/>
    <n v="442501"/>
  </r>
  <r>
    <s v="ANUGERAH PHARMINDO LESTARI, PT"/>
    <d v="2023-03-10T00:00:00"/>
    <x v="4"/>
    <n v="1959993"/>
  </r>
  <r>
    <s v="ANUGERAH PHARMINDO LESTARI, PT"/>
    <d v="2023-03-15T00:00:00"/>
    <x v="4"/>
    <n v="774813"/>
  </r>
  <r>
    <s v="ANUGERAH PHARMINDO LESTARI, PT"/>
    <d v="2023-03-16T00:00:00"/>
    <x v="4"/>
    <n v="1412808"/>
  </r>
  <r>
    <s v="ANUGERAH PHARMINDO LESTARI, PT"/>
    <d v="2023-03-16T00:00:00"/>
    <x v="4"/>
    <n v="899100"/>
  </r>
  <r>
    <s v="ANUGERAH PHARMINDO LESTARI, PT"/>
    <d v="2023-03-17T00:00:00"/>
    <x v="4"/>
    <n v="171003"/>
  </r>
  <r>
    <s v="ANUGERAH PHARMINDO LESTARI, PT"/>
    <d v="2023-03-17T00:00:00"/>
    <x v="4"/>
    <n v="4703984"/>
  </r>
  <r>
    <s v="ANUGERAH PHARMINDO LESTARI, PT"/>
    <d v="2023-03-17T00:00:00"/>
    <x v="4"/>
    <n v="2361636"/>
  </r>
  <r>
    <s v="ANUGERAH PHARMINDO LESTARI, PT"/>
    <d v="2023-03-17T00:00:00"/>
    <x v="4"/>
    <n v="442890"/>
  </r>
  <r>
    <s v="ANUGERAH PHARMINDO LESTARI, PT"/>
    <d v="2023-03-21T00:00:00"/>
    <x v="4"/>
    <n v="1465799"/>
  </r>
  <r>
    <s v="ANUGERAH PHARMINDO LESTARI, PT"/>
    <d v="2023-03-25T00:00:00"/>
    <x v="4"/>
    <n v="2277741"/>
  </r>
  <r>
    <s v="ANUGERAH PHARMINDO LESTARI, PT"/>
    <d v="2023-03-28T00:00:00"/>
    <x v="4"/>
    <n v="329670"/>
  </r>
  <r>
    <s v="ANUGERAH PHARMINDO LESTARI, PT"/>
    <d v="2023-03-28T00:00:00"/>
    <x v="4"/>
    <n v="329670"/>
  </r>
  <r>
    <s v="ANUGERAH PHARMINDO LESTARI, PT"/>
    <d v="2023-03-28T00:00:00"/>
    <x v="4"/>
    <n v="122100"/>
  </r>
  <r>
    <s v="ANUGERAH PHARMINDO LESTARI, PT"/>
    <d v="2023-03-28T00:00:00"/>
    <x v="4"/>
    <n v="469530"/>
  </r>
  <r>
    <s v="ANUGERAH PHARMINDO LESTARI, PT"/>
    <d v="2023-03-29T00:00:00"/>
    <x v="4"/>
    <n v="801173"/>
  </r>
  <r>
    <s v="ANUGERAH PHARMINDO LESTARI, PT"/>
    <d v="2023-03-30T00:00:00"/>
    <x v="4"/>
    <n v="9031359"/>
  </r>
  <r>
    <s v="ANUGERAH PHARMINDO LESTARI, PT"/>
    <d v="2023-03-30T00:00:00"/>
    <x v="4"/>
    <n v="681096"/>
  </r>
  <r>
    <s v="ANUGERAH PHARMINDO LESTARI, PT"/>
    <d v="2023-03-31T00:00:00"/>
    <x v="4"/>
    <n v="460001"/>
  </r>
  <r>
    <s v="ANUGERAH PHARMINDO LESTARI, PT"/>
    <d v="2023-03-31T00:00:00"/>
    <x v="4"/>
    <n v="664335"/>
  </r>
  <r>
    <s v="ANUGERAH PHARMINDO LESTARI, PT"/>
    <d v="2023-03-31T00:00:00"/>
    <x v="4"/>
    <n v="801173"/>
  </r>
  <r>
    <s v="ANUGERAH PHARMINDO LESTARI, PT"/>
    <d v="2023-03-31T00:00:00"/>
    <x v="4"/>
    <n v="2509958"/>
  </r>
  <r>
    <s v="ANUGERAH PHARMINDO LESTARI, PT"/>
    <d v="2023-04-01T00:00:00"/>
    <x v="5"/>
    <n v="1554000"/>
  </r>
  <r>
    <s v="ANUGERAH PHARMINDO LESTARI, PT"/>
    <d v="2023-04-06T00:00:00"/>
    <x v="5"/>
    <n v="3636360"/>
  </r>
  <r>
    <s v="ANUGERAH PHARMINDO LESTARI, PT"/>
    <d v="2023-04-10T00:00:00"/>
    <x v="5"/>
    <n v="898089"/>
  </r>
  <r>
    <s v="ANUGERAH PHARMINDO LESTARI, PT"/>
    <d v="2023-04-11T00:00:00"/>
    <x v="5"/>
    <n v="471922"/>
  </r>
  <r>
    <s v="ANUGERAH PHARMINDO LESTARI, PT"/>
    <d v="2023-04-11T00:00:00"/>
    <x v="5"/>
    <n v="221445"/>
  </r>
  <r>
    <s v="ANUGERAH PHARMINDO LESTARI, PT"/>
    <d v="2023-04-12T00:00:00"/>
    <x v="5"/>
    <n v="2998798"/>
  </r>
  <r>
    <s v="ANUGERAH PHARMINDO LESTARI, PT"/>
    <d v="2023-04-13T00:00:00"/>
    <x v="5"/>
    <n v="135975"/>
  </r>
  <r>
    <s v="ANUGERAH PHARMINDO LESTARI, PT"/>
    <d v="2023-04-14T00:00:00"/>
    <x v="5"/>
    <n v="838287"/>
  </r>
  <r>
    <s v="ANUGERAH PHARMINDO LESTARI, PT"/>
    <d v="2023-04-14T00:00:00"/>
    <x v="5"/>
    <n v="307808"/>
  </r>
  <r>
    <s v="ANUGERAH PHARMINDO LESTARI, PT"/>
    <d v="2023-04-14T00:00:00"/>
    <x v="5"/>
    <n v="664751"/>
  </r>
  <r>
    <s v="ANUGERAH PHARMINDO LESTARI, PT"/>
    <d v="2023-04-14T00:00:00"/>
    <x v="5"/>
    <n v="424725"/>
  </r>
  <r>
    <s v="ANUGERAH PHARMINDO LESTARI, PT"/>
    <d v="2023-04-15T00:00:00"/>
    <x v="5"/>
    <n v="1465799"/>
  </r>
  <r>
    <s v="ANUGERAH PHARMINDO LESTARI, PT"/>
    <d v="2023-04-15T00:00:00"/>
    <x v="5"/>
    <n v="21933"/>
  </r>
  <r>
    <s v="ANUGERAH PHARMINDO LESTARI, PT"/>
    <d v="2023-04-18T00:00:00"/>
    <x v="5"/>
    <n v="3087009"/>
  </r>
  <r>
    <s v="ANUGERAH PHARMINDO LESTARI, PT"/>
    <d v="2023-04-27T00:00:00"/>
    <x v="5"/>
    <n v="4515679"/>
  </r>
  <r>
    <s v="ANUGERAH PHARMINDO LESTARI, PT"/>
    <d v="2023-04-27T00:00:00"/>
    <x v="5"/>
    <n v="947678"/>
  </r>
  <r>
    <s v="ANUGERAH PHARMINDO LESTARI, PT"/>
    <d v="2023-04-27T00:00:00"/>
    <x v="5"/>
    <n v="469530"/>
  </r>
  <r>
    <s v="ANUGERAH PHARMINDO LESTARI, PT"/>
    <d v="2023-04-28T00:00:00"/>
    <x v="5"/>
    <n v="1311997"/>
  </r>
  <r>
    <s v="ANUGERAH PHARMINDO LESTARI, PT"/>
    <d v="2023-05-14T00:00:00"/>
    <x v="0"/>
    <n v="486180"/>
  </r>
  <r>
    <s v="ANUGERAH PHARMINDO LESTARI, PT"/>
    <d v="2023-05-19T00:00:00"/>
    <x v="0"/>
    <n v="3310075"/>
  </r>
  <r>
    <s v="ANUGERAH PHARMINDO LESTARI, PT"/>
    <d v="2023-05-19T00:00:00"/>
    <x v="0"/>
    <n v="1993421"/>
  </r>
  <r>
    <s v="ANUGERAH PHARMINDO LESTARI, PT"/>
    <d v="2023-05-19T00:00:00"/>
    <x v="0"/>
    <n v="65800"/>
  </r>
  <r>
    <s v="ANUGERAH PHARMINDO LESTARI, PT"/>
    <d v="2023-05-19T00:00:00"/>
    <x v="0"/>
    <n v="306140"/>
  </r>
  <r>
    <s v="ANUGERAH PHARMINDO LESTARI, PT"/>
    <d v="2023-05-19T00:00:00"/>
    <x v="0"/>
    <n v="838287"/>
  </r>
  <r>
    <s v="ANUGERAH PHARMINDO LESTARI, PT"/>
    <d v="2023-05-19T00:00:00"/>
    <x v="0"/>
    <n v="838287"/>
  </r>
  <r>
    <s v="ANUGERAH PHARMINDO LESTARI, PT"/>
    <d v="2023-05-19T00:00:00"/>
    <x v="0"/>
    <n v="9031359"/>
  </r>
  <r>
    <s v="ANUGERAH PHARMINDO LESTARI, PT"/>
    <d v="2023-05-19T00:00:00"/>
    <x v="0"/>
    <n v="2107439"/>
  </r>
  <r>
    <s v="ANUGERAH PHARMINDO LESTARI, PT"/>
    <d v="2023-05-20T00:00:00"/>
    <x v="0"/>
    <n v="82584"/>
  </r>
  <r>
    <s v="ANUGERAH PHARMINDO LESTARI, PT"/>
    <d v="2023-05-20T00:00:00"/>
    <x v="0"/>
    <n v="1165500"/>
  </r>
  <r>
    <s v="ANUGERAH PHARMINDO LESTARI, PT"/>
    <d v="2023-05-20T00:00:00"/>
    <x v="0"/>
    <n v="1465799"/>
  </r>
  <r>
    <s v="ANUGERAH PHARMINDO LESTARI, PT"/>
    <d v="2023-05-20T00:00:00"/>
    <x v="0"/>
    <n v="1311997"/>
  </r>
  <r>
    <s v="ANUGERAH PHARMINDO LESTARI, PT"/>
    <d v="2023-05-22T00:00:00"/>
    <x v="0"/>
    <n v="1367520"/>
  </r>
  <r>
    <s v="ANUGERAH PHARMINDO LESTARI, PT"/>
    <d v="2023-05-24T00:00:00"/>
    <x v="0"/>
    <n v="165168"/>
  </r>
  <r>
    <s v="ANUGERAH PHARMINDO LESTARI, PT"/>
    <d v="2023-05-24T00:00:00"/>
    <x v="0"/>
    <n v="1022498"/>
  </r>
  <r>
    <s v="ANUGERAH PHARMINDO LESTARI, PT"/>
    <d v="2023-05-24T00:00:00"/>
    <x v="0"/>
    <n v="265385"/>
  </r>
  <r>
    <s v="ANUGERAH PHARMINDO LESTARI, PT"/>
    <d v="2023-05-26T00:00:00"/>
    <x v="0"/>
    <n v="626040"/>
  </r>
  <r>
    <s v="ANUGERAH PHARMINDO LESTARI, PT"/>
    <d v="2023-05-26T00:00:00"/>
    <x v="0"/>
    <n v="3996000"/>
  </r>
  <r>
    <s v="ANUGERAH PHARMINDO LESTARI, PT"/>
    <d v="2023-05-27T00:00:00"/>
    <x v="0"/>
    <n v="3956406"/>
  </r>
  <r>
    <s v="ANUGERAH PHARMINDO LESTARI, PT"/>
    <d v="2023-05-27T00:00:00"/>
    <x v="0"/>
    <n v="469530"/>
  </r>
  <r>
    <s v="ANUGERAH PHARMINDO LESTARI, PT"/>
    <d v="2023-05-27T00:00:00"/>
    <x v="0"/>
    <n v="706404"/>
  </r>
  <r>
    <s v="ANUGERAH PHARMINDO LESTARI, PT"/>
    <d v="2023-05-27T00:00:00"/>
    <x v="0"/>
    <n v="2931598"/>
  </r>
  <r>
    <s v="ANUGERAH PHARMINDO LESTARI, PT"/>
    <d v="2023-05-29T00:00:00"/>
    <x v="0"/>
    <n v="511854"/>
  </r>
  <r>
    <s v="ANUGERAH PHARMINDO LESTARI, PT"/>
    <d v="2023-05-29T00:00:00"/>
    <x v="0"/>
    <n v="117999"/>
  </r>
  <r>
    <s v="ANUGERAH PHARMINDO LESTARI, PT"/>
    <d v="2023-06-02T00:00:00"/>
    <x v="6"/>
    <n v="664335"/>
  </r>
  <r>
    <s v="ANUGERAH PHARMINDO LESTARI, PT"/>
    <d v="2023-06-02T00:00:00"/>
    <x v="6"/>
    <n v="3387093"/>
  </r>
  <r>
    <s v="ANUGERAH PHARMINDO LESTARI, PT"/>
    <d v="2023-06-02T00:00:00"/>
    <x v="6"/>
    <n v="2049273"/>
  </r>
  <r>
    <s v="ANUGERAH PHARMINDO LESTARI, PT"/>
    <d v="2023-06-03T00:00:00"/>
    <x v="6"/>
    <n v="247752"/>
  </r>
  <r>
    <s v="ANUGERAH PHARMINDO LESTARI, PT"/>
    <d v="2023-06-03T00:00:00"/>
    <x v="6"/>
    <n v="394124"/>
  </r>
  <r>
    <s v="ANUGERAH PHARMINDO LESTARI, PT"/>
    <d v="2023-06-06T00:00:00"/>
    <x v="6"/>
    <n v="236596"/>
  </r>
  <r>
    <s v="ANUGERAH PHARMINDO LESTARI, PT"/>
    <d v="2023-06-07T00:00:00"/>
    <x v="6"/>
    <n v="10378344"/>
  </r>
  <r>
    <s v="ANUGERAH PHARMINDO LESTARI, PT"/>
    <d v="2023-06-10T00:00:00"/>
    <x v="6"/>
    <n v="10290033"/>
  </r>
  <r>
    <s v="ANUGERAH PHARMINDO LESTARI, PT"/>
    <d v="2023-06-10T00:00:00"/>
    <x v="6"/>
    <n v="424725"/>
  </r>
  <r>
    <s v="ANUGERAH PHARMINDO LESTARI, PT"/>
    <d v="2023-06-12T00:00:00"/>
    <x v="6"/>
    <n v="3956406"/>
  </r>
  <r>
    <s v="ANUGERAH PHARMINDO LESTARI, PT"/>
    <d v="2023-06-12T00:00:00"/>
    <x v="6"/>
    <n v="257514"/>
  </r>
  <r>
    <s v="ANUGERAH PHARMINDO LESTARI, PT"/>
    <d v="2023-06-14T00:00:00"/>
    <x v="6"/>
    <n v="498371"/>
  </r>
  <r>
    <s v="ANUGERAH PHARMINDO LESTARI, PT"/>
    <d v="2023-06-15T00:00:00"/>
    <x v="6"/>
    <n v="360750"/>
  </r>
  <r>
    <s v="ANUGERAH PHARMINDO LESTARI, PT"/>
    <d v="2023-06-15T00:00:00"/>
    <x v="6"/>
    <n v="81030"/>
  </r>
  <r>
    <s v="ANUGERAH PHARMINDO LESTARI, PT"/>
    <d v="2023-06-16T00:00:00"/>
    <x v="6"/>
    <n v="221861"/>
  </r>
  <r>
    <s v="ANUGERAH PHARMINDO LESTARI, PT"/>
    <d v="2023-06-16T00:00:00"/>
    <x v="6"/>
    <n v="596516"/>
  </r>
  <r>
    <s v="ANUGERAH PHARMINDO LESTARI, PT"/>
    <d v="2023-06-16T00:00:00"/>
    <x v="6"/>
    <n v="11276334"/>
  </r>
  <r>
    <s v="ANUGERAH PHARMINDO LESTARI, PT"/>
    <d v="2023-06-23T00:00:00"/>
    <x v="6"/>
    <n v="802141"/>
  </r>
  <r>
    <s v="ANUGERAH PHARMINDO LESTARI, PT"/>
    <d v="2023-06-23T00:00:00"/>
    <x v="6"/>
    <n v="62841"/>
  </r>
  <r>
    <s v="ANUGERAH PHARMINDO LESTARI, PT"/>
    <d v="2023-06-23T00:00:00"/>
    <x v="6"/>
    <n v="377801"/>
  </r>
  <r>
    <s v="ANUGERAH PHARMINDO LESTARI, PT"/>
    <d v="2023-06-23T00:00:00"/>
    <x v="6"/>
    <n v="2244975"/>
  </r>
  <r>
    <s v="ANUGERAH PHARMINDO LESTARI, PT"/>
    <d v="2023-06-23T00:00:00"/>
    <x v="6"/>
    <n v="469530"/>
  </r>
  <r>
    <s v="ANUGERAH PHARMINDO LESTARI, PT"/>
    <d v="2023-06-23T00:00:00"/>
    <x v="6"/>
    <n v="1459999"/>
  </r>
  <r>
    <s v="ANUGERAH PHARMINDO LESTARI, PT"/>
    <d v="2023-06-24T00:00:00"/>
    <x v="6"/>
    <n v="777000"/>
  </r>
  <r>
    <s v="ANUGERAH PHARMINDO LESTARI, PT"/>
    <d v="2023-06-24T00:00:00"/>
    <x v="6"/>
    <n v="1311997"/>
  </r>
  <r>
    <s v="ANUGERAH PHARMINDO LESTARI, PT"/>
    <d v="2023-06-24T00:00:00"/>
    <x v="6"/>
    <n v="6594010"/>
  </r>
  <r>
    <s v="ANUGERAH PHARMINDO LESTARI, PT"/>
    <d v="2023-06-26T00:00:00"/>
    <x v="6"/>
    <n v="268501"/>
  </r>
  <r>
    <s v="ANUGERAH PHARMINDO LESTARI, PT"/>
    <d v="2023-06-30T00:00:00"/>
    <x v="6"/>
    <n v="1465799"/>
  </r>
  <r>
    <s v="ANUGERAH PHARMINDO LESTARI, PT"/>
    <d v="2023-07-06T00:00:00"/>
    <x v="7"/>
    <n v="7717524"/>
  </r>
  <r>
    <s v="ANUGERAH PHARMINDO LESTARI, PT"/>
    <d v="2023-07-06T00:00:00"/>
    <x v="7"/>
    <n v="1579463"/>
  </r>
  <r>
    <s v="ANUGERAH PHARMINDO LESTARI, PT"/>
    <d v="2023-07-07T00:00:00"/>
    <x v="7"/>
    <n v="442890"/>
  </r>
  <r>
    <s v="ANUGERAH PHARMINDO LESTARI, PT"/>
    <d v="2023-07-07T00:00:00"/>
    <x v="7"/>
    <n v="1193032"/>
  </r>
  <r>
    <s v="ANUGERAH PHARMINDO LESTARI, PT"/>
    <d v="2023-07-07T00:00:00"/>
    <x v="7"/>
    <n v="1875974"/>
  </r>
  <r>
    <s v="ANUGERAH PHARMINDO LESTARI, PT"/>
    <d v="2023-07-10T00:00:00"/>
    <x v="7"/>
    <n v="1050060"/>
  </r>
  <r>
    <s v="ANUGERAH PHARMINDO LESTARI, PT"/>
    <d v="2023-07-11T00:00:00"/>
    <x v="7"/>
    <n v="469530"/>
  </r>
  <r>
    <s v="ANUGERAH PHARMINDO LESTARI, PT"/>
    <d v="2023-07-11T00:00:00"/>
    <x v="7"/>
    <n v="1023708"/>
  </r>
  <r>
    <s v="ANUGERAH PHARMINDO LESTARI, PT"/>
    <d v="2023-07-11T00:00:00"/>
    <x v="7"/>
    <n v="1465799"/>
  </r>
  <r>
    <s v="ANUGERAH PHARMINDO LESTARI, PT"/>
    <d v="2023-07-12T00:00:00"/>
    <x v="7"/>
    <n v="3636360"/>
  </r>
  <r>
    <s v="ANUGERAH PHARMINDO LESTARI, PT"/>
    <d v="2023-07-14T00:00:00"/>
    <x v="7"/>
    <n v="399916"/>
  </r>
  <r>
    <s v="ANUGERAH PHARMINDO LESTARI, PT"/>
    <d v="2023-07-14T00:00:00"/>
    <x v="7"/>
    <n v="838287"/>
  </r>
  <r>
    <s v="ANUGERAH PHARMINDO LESTARI, PT"/>
    <d v="2023-07-14T00:00:00"/>
    <x v="7"/>
    <n v="2198699"/>
  </r>
  <r>
    <s v="ANUGERAH PHARMINDO LESTARI, PT"/>
    <d v="2023-07-15T00:00:00"/>
    <x v="7"/>
    <n v="889439"/>
  </r>
  <r>
    <s v="ANUGERAH PHARMINDO LESTARI, PT"/>
    <d v="2023-07-17T00:00:00"/>
    <x v="7"/>
    <n v="565089"/>
  </r>
  <r>
    <s v="ANUGERAH PHARMINDO LESTARI, PT"/>
    <d v="2023-07-25T00:00:00"/>
    <x v="7"/>
    <n v="458900"/>
  </r>
  <r>
    <s v="ANUGERAH PHARMINDO LESTARI, PT"/>
    <d v="2023-07-26T00:00:00"/>
    <x v="7"/>
    <n v="424725"/>
  </r>
  <r>
    <s v="ANUGERAH PHARMINDO LESTARI, PT"/>
    <d v="2023-07-26T00:00:00"/>
    <x v="7"/>
    <n v="486180"/>
  </r>
  <r>
    <s v="ANUGERAH PHARMINDO LESTARI, PT"/>
    <d v="2023-07-26T00:00:00"/>
    <x v="7"/>
    <n v="3956406"/>
  </r>
  <r>
    <s v="ANUGERAH PHARMINDO LESTARI, PT"/>
    <d v="2023-07-26T00:00:00"/>
    <x v="7"/>
    <n v="3956406"/>
  </r>
  <r>
    <s v="ANUGERAH PHARMINDO LESTARI, PT"/>
    <d v="2023-07-27T00:00:00"/>
    <x v="7"/>
    <n v="763756"/>
  </r>
  <r>
    <s v="ANUGERAH PHARMINDO LESTARI, PT"/>
    <d v="2023-07-27T00:00:00"/>
    <x v="7"/>
    <n v="329670"/>
  </r>
  <r>
    <s v="ANUGERAH PHARMINDO LESTARI, PT"/>
    <d v="2023-07-27T00:00:00"/>
    <x v="7"/>
    <n v="1465799"/>
  </r>
  <r>
    <s v="ANUGERAH PHARMINDO LESTARI, PT"/>
    <d v="2023-07-27T00:00:00"/>
    <x v="7"/>
    <n v="469530"/>
  </r>
  <r>
    <s v="ANUGERAH PHARMINDO LESTARI, PT"/>
    <d v="2023-07-28T00:00:00"/>
    <x v="7"/>
    <n v="596516"/>
  </r>
  <r>
    <s v="ANUGERAH PHARMINDO LESTARI, PT"/>
    <d v="2023-07-28T00:00:00"/>
    <x v="7"/>
    <n v="838287"/>
  </r>
  <r>
    <s v="ANUGERAH PHARMINDO LESTARI, PT"/>
    <d v="2023-07-28T00:00:00"/>
    <x v="7"/>
    <n v="1339369"/>
  </r>
  <r>
    <s v="ANUGERAH PHARMINDO LESTARI, PT"/>
    <d v="2023-07-31T00:00:00"/>
    <x v="7"/>
    <n v="4218913"/>
  </r>
  <r>
    <s v="ANUGERAH PHARMINDO LESTARI, PT"/>
    <d v="2023-07-31T00:00:00"/>
    <x v="7"/>
    <n v="108225"/>
  </r>
  <r>
    <s v="ANUGERAH PHARMINDO LESTARI, PT"/>
    <d v="2023-08-03T00:00:00"/>
    <x v="1"/>
    <n v="450282"/>
  </r>
  <r>
    <s v="ANUGERAH PHARMINDO LESTARI, PT"/>
    <d v="2023-08-08T00:00:00"/>
    <x v="1"/>
    <n v="1500942"/>
  </r>
  <r>
    <s v="ANUGERAH PHARMINDO LESTARI, PT"/>
    <d v="2023-08-11T00:00:00"/>
    <x v="1"/>
    <n v="5312719"/>
  </r>
  <r>
    <s v="ANUGERAH PHARMINDO LESTARI, PT"/>
    <d v="2023-08-11T00:00:00"/>
    <x v="1"/>
    <n v="2514862"/>
  </r>
  <r>
    <s v="ANUGERAH PHARMINDO LESTARI, PT"/>
    <d v="2023-08-11T00:00:00"/>
    <x v="1"/>
    <n v="847607"/>
  </r>
  <r>
    <s v="ANUGERAH PHARMINDO LESTARI, PT"/>
    <d v="2023-08-11T00:00:00"/>
    <x v="1"/>
    <n v="1311997"/>
  </r>
  <r>
    <s v="ANUGERAH PHARMINDO LESTARI, PT"/>
    <d v="2023-08-12T00:00:00"/>
    <x v="1"/>
    <n v="469530"/>
  </r>
  <r>
    <s v="ANUGERAH PHARMINDO LESTARI, PT"/>
    <d v="2023-08-12T00:00:00"/>
    <x v="1"/>
    <n v="1465799"/>
  </r>
  <r>
    <s v="ANUGERAH PHARMINDO LESTARI, PT"/>
    <d v="2023-08-14T00:00:00"/>
    <x v="1"/>
    <n v="1709400"/>
  </r>
  <r>
    <s v="ANUGERAH PHARMINDO LESTARI, PT"/>
    <d v="2023-08-15T00:00:00"/>
    <x v="1"/>
    <n v="3636360"/>
  </r>
  <r>
    <s v="ANUGERAH PHARMINDO LESTARI, PT"/>
    <d v="2023-08-15T00:00:00"/>
    <x v="1"/>
    <n v="2867753"/>
  </r>
  <r>
    <s v="ANUGERAH PHARMINDO LESTARI, PT"/>
    <d v="2023-08-16T00:00:00"/>
    <x v="1"/>
    <n v="1579463"/>
  </r>
  <r>
    <s v="ANUGERAH PHARMINDO LESTARI, PT"/>
    <d v="2023-08-18T00:00:00"/>
    <x v="1"/>
    <n v="708356"/>
  </r>
  <r>
    <s v="ANUGERAH PHARMINDO LESTARI, PT"/>
    <d v="2023-08-18T00:00:00"/>
    <x v="1"/>
    <n v="596516"/>
  </r>
  <r>
    <s v="ANUGERAH PHARMINDO LESTARI, PT"/>
    <d v="2023-08-18T00:00:00"/>
    <x v="1"/>
    <n v="596516"/>
  </r>
  <r>
    <s v="ANUGERAH PHARMINDO LESTARI, PT"/>
    <d v="2023-08-19T00:00:00"/>
    <x v="1"/>
    <n v="5145016"/>
  </r>
  <r>
    <s v="ANUGERAH PHARMINDO LESTARI, PT"/>
    <d v="2023-08-22T00:00:00"/>
    <x v="1"/>
    <n v="466200"/>
  </r>
  <r>
    <s v="ANUGERAH PHARMINDO LESTARI, PT"/>
    <d v="2023-08-23T00:00:00"/>
    <x v="1"/>
    <n v="2637604"/>
  </r>
  <r>
    <s v="ANUGERAH PHARMINDO LESTARI, PT"/>
    <d v="2023-08-23T00:00:00"/>
    <x v="1"/>
    <n v="243090"/>
  </r>
  <r>
    <s v="ANUGERAH PHARMINDO LESTARI, PT"/>
    <d v="2023-08-28T00:00:00"/>
    <x v="1"/>
    <n v="677371"/>
  </r>
  <r>
    <s v="ANUGERAH PHARMINDO LESTARI, PT"/>
    <d v="2023-08-28T00:00:00"/>
    <x v="1"/>
    <n v="469530"/>
  </r>
  <r>
    <s v="ANUGERAH PHARMINDO LESTARI, PT"/>
    <d v="2023-08-30T00:00:00"/>
    <x v="1"/>
    <n v="1500942"/>
  </r>
  <r>
    <s v="ANUGERAH PHARMINDO LESTARI, PT"/>
    <d v="2023-08-31T00:00:00"/>
    <x v="1"/>
    <n v="109668"/>
  </r>
  <r>
    <s v="ANUGERAH PHARMINDO LESTARI, PT"/>
    <d v="2023-08-31T00:00:00"/>
    <x v="1"/>
    <n v="565089"/>
  </r>
  <r>
    <s v="ANUGERAH PHARMINDO LESTARI, PT"/>
    <d v="2023-08-31T00:00:00"/>
    <x v="1"/>
    <n v="1416711"/>
  </r>
  <r>
    <s v="ANUGERAH PHARMINDO LESTARI, PT"/>
    <d v="2023-09-01T00:00:00"/>
    <x v="8"/>
    <n v="739509"/>
  </r>
  <r>
    <s v="ANUGERAH PHARMINDO LESTARI, PT"/>
    <d v="2023-09-01T00:00:00"/>
    <x v="8"/>
    <n v="3751845"/>
  </r>
  <r>
    <s v="ANUGERAH PHARMINDO LESTARI, PT"/>
    <d v="2023-09-01T00:00:00"/>
    <x v="8"/>
    <n v="1676575"/>
  </r>
  <r>
    <s v="ANUGERAH PHARMINDO LESTARI, PT"/>
    <d v="2023-09-04T00:00:00"/>
    <x v="8"/>
    <n v="755603"/>
  </r>
  <r>
    <s v="ANUGERAH PHARMINDO LESTARI, PT"/>
    <d v="2023-09-04T00:00:00"/>
    <x v="8"/>
    <n v="965761"/>
  </r>
  <r>
    <s v="ANUGERAH PHARMINDO LESTARI, PT"/>
    <d v="2023-09-04T00:00:00"/>
    <x v="8"/>
    <n v="739785"/>
  </r>
  <r>
    <s v="ANUGERAH PHARMINDO LESTARI, PT"/>
    <d v="2023-09-04T00:00:00"/>
    <x v="8"/>
    <n v="3956406"/>
  </r>
  <r>
    <s v="ANUGERAH PHARMINDO LESTARI, PT"/>
    <d v="2023-09-07T00:00:00"/>
    <x v="8"/>
    <n v="937153"/>
  </r>
  <r>
    <s v="ANUGERAH PHARMINDO LESTARI, PT"/>
    <d v="2023-09-08T00:00:00"/>
    <x v="8"/>
    <n v="243090"/>
  </r>
  <r>
    <s v="ANUGERAH PHARMINDO LESTARI, PT"/>
    <d v="2023-09-08T00:00:00"/>
    <x v="8"/>
    <n v="469530"/>
  </r>
  <r>
    <s v="ANUGERAH PHARMINDO LESTARI, PT"/>
    <d v="2023-09-08T00:00:00"/>
    <x v="8"/>
    <n v="701470"/>
  </r>
  <r>
    <s v="ANUGERAH PHARMINDO LESTARI, PT"/>
    <d v="2023-09-08T00:00:00"/>
    <x v="8"/>
    <n v="1500942"/>
  </r>
  <r>
    <s v="ANUGERAH PHARMINDO LESTARI, PT"/>
    <d v="2023-09-08T00:00:00"/>
    <x v="8"/>
    <n v="704712"/>
  </r>
  <r>
    <s v="ANUGERAH PHARMINDO LESTARI, PT"/>
    <d v="2023-09-08T00:00:00"/>
    <x v="8"/>
    <n v="856418"/>
  </r>
  <r>
    <s v="ANUGERAH PHARMINDO LESTARI, PT"/>
    <d v="2023-09-08T00:00:00"/>
    <x v="8"/>
    <n v="1676575"/>
  </r>
  <r>
    <s v="ANUGERAH PHARMINDO LESTARI, PT"/>
    <d v="2023-09-08T00:00:00"/>
    <x v="8"/>
    <n v="1416711"/>
  </r>
  <r>
    <s v="ANUGERAH PHARMINDO LESTARI, PT"/>
    <d v="2023-09-11T00:00:00"/>
    <x v="8"/>
    <n v="101331"/>
  </r>
  <r>
    <s v="ANUGERAH PHARMINDO LESTARI, PT"/>
    <d v="2023-09-11T00:00:00"/>
    <x v="8"/>
    <n v="3636360"/>
  </r>
  <r>
    <s v="ANUGERAH PHARMINDO LESTARI, PT"/>
    <d v="2023-09-11T00:00:00"/>
    <x v="8"/>
    <n v="1639997"/>
  </r>
  <r>
    <s v="ANUGERAH PHARMINDO LESTARI, PT"/>
    <d v="2023-09-15T00:00:00"/>
    <x v="8"/>
    <n v="615617"/>
  </r>
  <r>
    <s v="ANUGERAH PHARMINDO LESTARI, PT"/>
    <d v="2023-09-15T00:00:00"/>
    <x v="8"/>
    <n v="428209"/>
  </r>
  <r>
    <s v="ANUGERAH PHARMINDO LESTARI, PT"/>
    <d v="2023-09-15T00:00:00"/>
    <x v="8"/>
    <n v="405150"/>
  </r>
  <r>
    <s v="ANUGERAH PHARMINDO LESTARI, PT"/>
    <d v="2023-09-20T00:00:00"/>
    <x v="8"/>
    <n v="2572358"/>
  </r>
  <r>
    <s v="ANUGERAH PHARMINDO LESTARI, PT"/>
    <d v="2023-09-22T00:00:00"/>
    <x v="8"/>
    <n v="71317"/>
  </r>
  <r>
    <s v="ANUGERAH PHARMINDO LESTARI, PT"/>
    <d v="2023-09-22T00:00:00"/>
    <x v="8"/>
    <n v="1311997"/>
  </r>
  <r>
    <s v="ANUGERAH PHARMINDO LESTARI, PT"/>
    <d v="2023-09-22T00:00:00"/>
    <x v="8"/>
    <n v="847607"/>
  </r>
  <r>
    <s v="ANUGERAH PHARMINDO LESTARI, PT"/>
    <d v="2023-09-22T00:00:00"/>
    <x v="8"/>
    <n v="842976"/>
  </r>
  <r>
    <s v="ANUGERAH PHARMINDO LESTARI, PT"/>
    <d v="2023-09-22T00:00:00"/>
    <x v="8"/>
    <n v="3403352"/>
  </r>
  <r>
    <s v="ANUGERAH PHARMINDO LESTARI, PT"/>
    <d v="2023-09-22T00:00:00"/>
    <x v="8"/>
    <n v="2514862"/>
  </r>
  <r>
    <s v="ANUGERAH PHARMINDO LESTARI, PT"/>
    <d v="2023-09-23T00:00:00"/>
    <x v="8"/>
    <n v="1668407"/>
  </r>
  <r>
    <s v="ANUGERAH PHARMINDO LESTARI, PT"/>
    <d v="2023-09-25T00:00:00"/>
    <x v="8"/>
    <n v="939060"/>
  </r>
  <r>
    <s v="ANUGERAH PHARMINDO LESTARI, PT"/>
    <d v="2023-09-27T00:00:00"/>
    <x v="8"/>
    <n v="6174019"/>
  </r>
  <r>
    <s v="ANUGERAH PHARMINDO LESTARI, PT"/>
    <d v="2023-09-29T00:00:00"/>
    <x v="8"/>
    <n v="1367520"/>
  </r>
  <r>
    <s v="ANUGERAH PHARMINDO LESTARI, PT"/>
    <d v="2023-09-29T00:00:00"/>
    <x v="8"/>
    <n v="2612940"/>
  </r>
  <r>
    <s v="ANUGERAH PHARMINDO LESTARI, PT"/>
    <d v="2023-09-30T00:00:00"/>
    <x v="8"/>
    <n v="1372792"/>
  </r>
  <r>
    <s v="ANUGERAH PHARMINDO LESTARI, PT"/>
    <d v="2023-10-03T00:00:00"/>
    <x v="2"/>
    <n v="105350"/>
  </r>
  <r>
    <s v="ANUGERAH PHARMINDO LESTARI, PT"/>
    <d v="2023-10-05T00:00:00"/>
    <x v="2"/>
    <n v="424725"/>
  </r>
  <r>
    <s v="ANUGERAH PHARMINDO LESTARI, PT"/>
    <d v="2023-10-05T00:00:00"/>
    <x v="2"/>
    <n v="750471"/>
  </r>
  <r>
    <s v="ANUGERAH PHARMINDO LESTARI, PT"/>
    <d v="2023-10-11T00:00:00"/>
    <x v="2"/>
    <n v="4089711"/>
  </r>
  <r>
    <s v="ANUGERAH PHARMINDO LESTARI, PT"/>
    <d v="2023-10-11T00:00:00"/>
    <x v="2"/>
    <n v="405150"/>
  </r>
  <r>
    <s v="ANUGERAH PHARMINDO LESTARI, PT"/>
    <d v="2023-10-12T00:00:00"/>
    <x v="2"/>
    <n v="572019"/>
  </r>
  <r>
    <s v="ANUGERAH PHARMINDO LESTARI, PT"/>
    <d v="2023-10-12T00:00:00"/>
    <x v="2"/>
    <n v="900565"/>
  </r>
  <r>
    <s v="ANUGERAH PHARMINDO LESTARI, PT"/>
    <d v="2023-10-12T00:00:00"/>
    <x v="2"/>
    <n v="947678"/>
  </r>
  <r>
    <s v="ANUGERAH PHARMINDO LESTARI, PT"/>
    <d v="2023-10-13T00:00:00"/>
    <x v="2"/>
    <n v="599400"/>
  </r>
  <r>
    <s v="ANUGERAH PHARMINDO LESTARI, PT"/>
    <d v="2023-10-13T00:00:00"/>
    <x v="2"/>
    <n v="565089"/>
  </r>
  <r>
    <s v="ANUGERAH PHARMINDO LESTARI, PT"/>
    <d v="2023-10-13T00:00:00"/>
    <x v="2"/>
    <n v="6174019"/>
  </r>
  <r>
    <s v="ANUGERAH PHARMINDO LESTARI, PT"/>
    <d v="2023-10-19T00:00:00"/>
    <x v="2"/>
    <n v="1500942"/>
  </r>
  <r>
    <s v="ANUGERAH PHARMINDO LESTARI, PT"/>
    <d v="2023-11-01T00:00:00"/>
    <x v="9"/>
    <n v="1528470"/>
  </r>
  <r>
    <s v="ANUGERAH PHARMINDO LESTARI, PT"/>
    <d v="2023-11-03T00:00:00"/>
    <x v="9"/>
    <n v="1264463"/>
  </r>
  <r>
    <s v="ANUGERAH PHARMINDO LESTARI, PT"/>
    <d v="2023-11-03T00:00:00"/>
    <x v="9"/>
    <n v="5029725"/>
  </r>
  <r>
    <s v="ANUGERAH PHARMINDO LESTARI, PT"/>
    <d v="2023-11-03T00:00:00"/>
    <x v="9"/>
    <n v="3401683"/>
  </r>
  <r>
    <s v="ANUGERAH PHARMINDO LESTARI, PT"/>
    <d v="2023-11-04T00:00:00"/>
    <x v="9"/>
    <n v="732211"/>
  </r>
  <r>
    <s v="ANUGERAH PHARMINDO LESTARI, PT"/>
    <d v="2023-11-08T00:00:00"/>
    <x v="9"/>
    <n v="10290033"/>
  </r>
  <r>
    <s v="ANUGERAH PHARMINDO LESTARI, PT"/>
    <d v="2023-11-08T00:00:00"/>
    <x v="9"/>
    <n v="786546"/>
  </r>
  <r>
    <s v="ANUGERAH PHARMINDO LESTARI, PT"/>
    <d v="2023-11-13T00:00:00"/>
    <x v="9"/>
    <n v="6593400"/>
  </r>
  <r>
    <s v="ANUGERAH PHARMINDO LESTARI, PT"/>
    <d v="2023-11-13T00:00:00"/>
    <x v="9"/>
    <n v="574980"/>
  </r>
  <r>
    <s v="ANUGERAH PHARMINDO LESTARI, PT"/>
    <d v="2023-11-14T00:00:00"/>
    <x v="9"/>
    <n v="664494"/>
  </r>
  <r>
    <s v="ANUGERAH PHARMINDO LESTARI, PT"/>
    <d v="2023-11-15T00:00:00"/>
    <x v="9"/>
    <n v="2414402"/>
  </r>
  <r>
    <s v="ANUGERAH PHARMINDO LESTARI, PT"/>
    <d v="2023-11-16T00:00:00"/>
    <x v="9"/>
    <n v="612280"/>
  </r>
  <r>
    <s v="ANUGERAH PHARMINDO LESTARI, PT"/>
    <d v="2023-11-16T00:00:00"/>
    <x v="9"/>
    <n v="755603"/>
  </r>
  <r>
    <s v="ANUGERAH PHARMINDO LESTARI, PT"/>
    <d v="2023-11-17T00:00:00"/>
    <x v="9"/>
    <n v="3085616"/>
  </r>
  <r>
    <s v="ANUGERAH PHARMINDO LESTARI, PT"/>
    <d v="2023-11-17T00:00:00"/>
    <x v="9"/>
    <n v="1862501"/>
  </r>
  <r>
    <s v="ANUGERAH PHARMINDO LESTARI, PT"/>
    <d v="2023-11-17T00:00:00"/>
    <x v="9"/>
    <n v="842976"/>
  </r>
  <r>
    <s v="ANUGERAH PHARMINDO LESTARI, PT"/>
    <d v="2023-11-20T00:00:00"/>
    <x v="9"/>
    <n v="4235760"/>
  </r>
  <r>
    <s v="ANUGERAH PHARMINDO LESTARI, PT"/>
    <d v="2023-11-21T00:00:00"/>
    <x v="9"/>
    <n v="1921909"/>
  </r>
  <r>
    <s v="ANUGERAH PHARMINDO LESTARI, PT"/>
    <d v="2023-11-21T00:00:00"/>
    <x v="9"/>
    <n v="393932"/>
  </r>
  <r>
    <s v="ARATA PARASOLUSI, PT"/>
    <d v="2023-03-24T00:00:00"/>
    <x v="4"/>
    <n v="5340000"/>
  </r>
  <r>
    <s v="BINA SAN PRIMA, PT"/>
    <d v="2023-02-06T00:00:00"/>
    <x v="3"/>
    <n v="1720500"/>
  </r>
  <r>
    <s v="BINA SAN PRIMA, PT"/>
    <d v="2023-02-08T00:00:00"/>
    <x v="3"/>
    <n v="9181587"/>
  </r>
  <r>
    <s v="BINA SAN PRIMA, PT"/>
    <d v="2023-02-08T00:00:00"/>
    <x v="3"/>
    <n v="160506"/>
  </r>
  <r>
    <s v="BINA SAN PRIMA, PT"/>
    <d v="2023-02-13T00:00:00"/>
    <x v="3"/>
    <n v="2962035"/>
  </r>
  <r>
    <s v="BINA SAN PRIMA, PT"/>
    <d v="2023-02-13T00:00:00"/>
    <x v="3"/>
    <n v="8980261"/>
  </r>
  <r>
    <s v="BINA SAN PRIMA, PT"/>
    <d v="2023-02-17T00:00:00"/>
    <x v="3"/>
    <n v="4490131"/>
  </r>
  <r>
    <s v="BINA SAN PRIMA, PT"/>
    <d v="2023-02-17T00:00:00"/>
    <x v="3"/>
    <n v="5470635"/>
  </r>
  <r>
    <s v="BINA SAN PRIMA, PT"/>
    <d v="2023-02-17T00:00:00"/>
    <x v="3"/>
    <n v="3230092"/>
  </r>
  <r>
    <s v="BINA SAN PRIMA, PT"/>
    <d v="2023-02-20T00:00:00"/>
    <x v="3"/>
    <n v="6271500"/>
  </r>
  <r>
    <s v="BINA SAN PRIMA, PT"/>
    <d v="2023-02-27T00:00:00"/>
    <x v="3"/>
    <n v="3995745"/>
  </r>
  <r>
    <s v="BINA SAN PRIMA, PT"/>
    <d v="2023-02-28T00:00:00"/>
    <x v="3"/>
    <n v="732600"/>
  </r>
  <r>
    <s v="BINA SAN PRIMA, PT"/>
    <d v="2023-02-28T00:00:00"/>
    <x v="3"/>
    <n v="8980261"/>
  </r>
  <r>
    <s v="BINA SAN PRIMA, PT"/>
    <d v="2023-02-28T00:00:00"/>
    <x v="3"/>
    <n v="2528802"/>
  </r>
  <r>
    <s v="BINA SAN PRIMA, PT"/>
    <d v="2023-02-28T00:00:00"/>
    <x v="3"/>
    <n v="7138632"/>
  </r>
  <r>
    <s v="BINA SAN PRIMA, PT"/>
    <d v="2023-03-02T00:00:00"/>
    <x v="4"/>
    <n v="2369573"/>
  </r>
  <r>
    <s v="BINA SAN PRIMA, PT"/>
    <d v="2023-03-02T00:00:00"/>
    <x v="4"/>
    <n v="1054500"/>
  </r>
  <r>
    <s v="BINA SAN PRIMA, PT"/>
    <d v="2023-03-13T00:00:00"/>
    <x v="4"/>
    <n v="739332"/>
  </r>
  <r>
    <s v="BINA SAN PRIMA, PT"/>
    <d v="2023-03-16T00:00:00"/>
    <x v="4"/>
    <n v="604724"/>
  </r>
  <r>
    <s v="BINA SAN PRIMA, PT"/>
    <d v="2023-03-17T00:00:00"/>
    <x v="4"/>
    <n v="8980261"/>
  </r>
  <r>
    <s v="BINA SAN PRIMA, PT"/>
    <d v="2023-03-17T00:00:00"/>
    <x v="4"/>
    <n v="3397710"/>
  </r>
  <r>
    <s v="BINA SAN PRIMA, PT"/>
    <d v="2023-03-17T00:00:00"/>
    <x v="4"/>
    <n v="76923"/>
  </r>
  <r>
    <s v="BINA SAN PRIMA, PT"/>
    <d v="2023-03-18T00:00:00"/>
    <x v="4"/>
    <n v="3995745"/>
  </r>
  <r>
    <s v="BINA SAN PRIMA, PT"/>
    <d v="2023-03-19T00:00:00"/>
    <x v="4"/>
    <n v="549450"/>
  </r>
  <r>
    <s v="BINA SAN PRIMA, PT"/>
    <d v="2023-03-25T00:00:00"/>
    <x v="4"/>
    <n v="204795"/>
  </r>
  <r>
    <s v="BINA SAN PRIMA, PT"/>
    <d v="2023-03-25T00:00:00"/>
    <x v="4"/>
    <n v="109224"/>
  </r>
  <r>
    <s v="BINA SAN PRIMA, PT"/>
    <d v="2023-03-25T00:00:00"/>
    <x v="4"/>
    <n v="610500"/>
  </r>
  <r>
    <s v="BINA SAN PRIMA, PT"/>
    <d v="2023-03-25T00:00:00"/>
    <x v="4"/>
    <n v="348540"/>
  </r>
  <r>
    <s v="BINA SAN PRIMA, PT"/>
    <d v="2023-03-25T00:00:00"/>
    <x v="4"/>
    <n v="1665000"/>
  </r>
  <r>
    <s v="BINA SAN PRIMA, PT"/>
    <d v="2023-03-25T00:00:00"/>
    <x v="4"/>
    <n v="3441000"/>
  </r>
  <r>
    <s v="BINA SAN PRIMA, PT"/>
    <d v="2023-03-25T00:00:00"/>
    <x v="4"/>
    <n v="7323114"/>
  </r>
  <r>
    <s v="BINA SAN PRIMA, PT"/>
    <d v="2023-03-25T00:00:00"/>
    <x v="4"/>
    <n v="4652454"/>
  </r>
  <r>
    <s v="BINA SAN PRIMA, PT"/>
    <d v="2023-03-25T00:00:00"/>
    <x v="4"/>
    <n v="366300"/>
  </r>
  <r>
    <s v="BINA SAN PRIMA, PT"/>
    <d v="2023-03-27T00:00:00"/>
    <x v="4"/>
    <n v="7552718"/>
  </r>
  <r>
    <s v="BINA SAN PRIMA, PT"/>
    <d v="2023-03-28T00:00:00"/>
    <x v="4"/>
    <n v="16945815"/>
  </r>
  <r>
    <s v="BINA SAN PRIMA, PT"/>
    <d v="2023-03-28T00:00:00"/>
    <x v="4"/>
    <n v="863303"/>
  </r>
  <r>
    <s v="BINA SAN PRIMA, PT"/>
    <d v="2023-03-28T00:00:00"/>
    <x v="4"/>
    <n v="13470391"/>
  </r>
  <r>
    <s v="BINA SAN PRIMA, PT"/>
    <d v="2023-03-29T00:00:00"/>
    <x v="4"/>
    <n v="9989361"/>
  </r>
  <r>
    <s v="BINA SAN PRIMA, PT"/>
    <d v="2023-03-31T00:00:00"/>
    <x v="4"/>
    <n v="8020583"/>
  </r>
  <r>
    <s v="BINA SAN PRIMA, PT"/>
    <d v="2023-04-12T00:00:00"/>
    <x v="5"/>
    <n v="4490130"/>
  </r>
  <r>
    <s v="BINA SAN PRIMA, PT"/>
    <d v="2023-04-12T00:00:00"/>
    <x v="5"/>
    <n v="1599233"/>
  </r>
  <r>
    <s v="BINA SAN PRIMA, PT"/>
    <d v="2023-04-12T00:00:00"/>
    <x v="5"/>
    <n v="266400"/>
  </r>
  <r>
    <s v="BINA SAN PRIMA, PT"/>
    <d v="2023-04-29T00:00:00"/>
    <x v="5"/>
    <n v="2245065"/>
  </r>
  <r>
    <s v="BINA SAN PRIMA, PT"/>
    <d v="2023-04-29T00:00:00"/>
    <x v="5"/>
    <n v="10841093"/>
  </r>
  <r>
    <s v="BINA SAN PRIMA, PT"/>
    <d v="2023-04-29T00:00:00"/>
    <x v="5"/>
    <n v="965700"/>
  </r>
  <r>
    <s v="BINA SAN PRIMA, PT"/>
    <d v="2023-04-29T00:00:00"/>
    <x v="5"/>
    <n v="208125"/>
  </r>
  <r>
    <s v="BINA SAN PRIMA, PT"/>
    <d v="2023-05-06T00:00:00"/>
    <x v="0"/>
    <n v="923550"/>
  </r>
  <r>
    <s v="BINA SAN PRIMA, PT"/>
    <d v="2023-05-06T00:00:00"/>
    <x v="0"/>
    <n v="2819955"/>
  </r>
  <r>
    <s v="BINA SAN PRIMA, PT"/>
    <d v="2023-05-13T00:00:00"/>
    <x v="0"/>
    <n v="1046952"/>
  </r>
  <r>
    <s v="BINA SAN PRIMA, PT"/>
    <d v="2023-05-13T00:00:00"/>
    <x v="0"/>
    <n v="1232220"/>
  </r>
  <r>
    <s v="BINA SAN PRIMA, PT"/>
    <d v="2023-05-29T00:00:00"/>
    <x v="0"/>
    <n v="2556608"/>
  </r>
  <r>
    <s v="BINA SAN PRIMA, PT"/>
    <d v="2023-05-29T00:00:00"/>
    <x v="0"/>
    <n v="8980261"/>
  </r>
  <r>
    <s v="BINA SAN PRIMA, PT"/>
    <d v="2023-05-29T00:00:00"/>
    <x v="0"/>
    <n v="7056714"/>
  </r>
  <r>
    <s v="BINA SAN PRIMA, PT"/>
    <d v="2023-05-29T00:00:00"/>
    <x v="0"/>
    <n v="10869065"/>
  </r>
  <r>
    <s v="BINA SAN PRIMA, PT"/>
    <d v="2023-05-30T00:00:00"/>
    <x v="0"/>
    <n v="639360"/>
  </r>
  <r>
    <s v="BINA SAN PRIMA, PT"/>
    <d v="2023-05-31T00:00:00"/>
    <x v="0"/>
    <n v="1209447"/>
  </r>
  <r>
    <s v="BINA SAN PRIMA, PT"/>
    <d v="2023-05-31T00:00:00"/>
    <x v="0"/>
    <n v="4488632"/>
  </r>
  <r>
    <s v="BINA SAN PRIMA, PT"/>
    <d v="2023-06-21T00:00:00"/>
    <x v="6"/>
    <n v="22450652"/>
  </r>
  <r>
    <s v="BINA SAN PRIMA, PT"/>
    <d v="2023-06-21T00:00:00"/>
    <x v="6"/>
    <n v="5993616"/>
  </r>
  <r>
    <s v="BINA SAN PRIMA, PT"/>
    <d v="2023-06-30T00:00:00"/>
    <x v="6"/>
    <n v="14113428"/>
  </r>
  <r>
    <s v="BINA SAN PRIMA, PT"/>
    <d v="2023-06-30T00:00:00"/>
    <x v="6"/>
    <n v="391553"/>
  </r>
  <r>
    <s v="BINA SAN PRIMA, PT"/>
    <d v="2023-06-30T00:00:00"/>
    <x v="6"/>
    <n v="128205"/>
  </r>
  <r>
    <s v="BINA SAN PRIMA, PT"/>
    <d v="2023-06-30T00:00:00"/>
    <x v="6"/>
    <n v="3649125"/>
  </r>
  <r>
    <s v="BINA SAN PRIMA, PT"/>
    <d v="2023-06-30T00:00:00"/>
    <x v="6"/>
    <n v="14048160"/>
  </r>
  <r>
    <s v="BINA SAN PRIMA, PT"/>
    <d v="2023-06-30T00:00:00"/>
    <x v="6"/>
    <n v="3230100"/>
  </r>
  <r>
    <s v="BINA SAN PRIMA, PT"/>
    <d v="2023-06-30T00:00:00"/>
    <x v="6"/>
    <n v="2996808"/>
  </r>
  <r>
    <s v="BINA SAN PRIMA, PT"/>
    <d v="2023-07-12T00:00:00"/>
    <x v="7"/>
    <n v="896325"/>
  </r>
  <r>
    <s v="BINA SAN PRIMA, PT"/>
    <d v="2023-07-12T00:00:00"/>
    <x v="7"/>
    <n v="732600"/>
  </r>
  <r>
    <s v="BINA SAN PRIMA, PT"/>
    <d v="2023-07-12T00:00:00"/>
    <x v="7"/>
    <n v="7363407"/>
  </r>
  <r>
    <s v="BINA SAN PRIMA, PT"/>
    <d v="2023-07-13T00:00:00"/>
    <x v="7"/>
    <n v="22450652"/>
  </r>
  <r>
    <s v="BINA SAN PRIMA, PT"/>
    <d v="2023-07-17T00:00:00"/>
    <x v="7"/>
    <n v="3984900"/>
  </r>
  <r>
    <s v="BINA SAN PRIMA, PT"/>
    <d v="2023-07-17T00:00:00"/>
    <x v="7"/>
    <n v="995393"/>
  </r>
  <r>
    <s v="BINA SAN PRIMA, PT"/>
    <d v="2023-07-18T00:00:00"/>
    <x v="7"/>
    <n v="196470"/>
  </r>
  <r>
    <s v="BINA SAN PRIMA, PT"/>
    <d v="2023-07-26T00:00:00"/>
    <x v="7"/>
    <n v="186147"/>
  </r>
  <r>
    <s v="BINA SAN PRIMA, PT"/>
    <d v="2023-07-26T00:00:00"/>
    <x v="7"/>
    <n v="9884106"/>
  </r>
  <r>
    <s v="BINA SAN PRIMA, PT"/>
    <d v="2023-07-26T00:00:00"/>
    <x v="7"/>
    <n v="155678"/>
  </r>
  <r>
    <s v="BINA SAN PRIMA, PT"/>
    <d v="2023-07-29T00:00:00"/>
    <x v="7"/>
    <n v="2300364"/>
  </r>
  <r>
    <s v="BINA SAN PRIMA, PT"/>
    <d v="2023-07-31T00:00:00"/>
    <x v="7"/>
    <n v="391553"/>
  </r>
  <r>
    <s v="BINA SAN PRIMA, PT"/>
    <d v="2023-07-31T00:00:00"/>
    <x v="7"/>
    <n v="2244087"/>
  </r>
  <r>
    <s v="BINA SAN PRIMA, PT"/>
    <d v="2023-07-31T00:00:00"/>
    <x v="7"/>
    <n v="888000"/>
  </r>
  <r>
    <s v="BINA SAN PRIMA, PT"/>
    <d v="2023-07-31T00:00:00"/>
    <x v="7"/>
    <n v="7056714"/>
  </r>
  <r>
    <s v="BINA SAN PRIMA, PT"/>
    <d v="2023-08-04T00:00:00"/>
    <x v="1"/>
    <n v="3995745"/>
  </r>
  <r>
    <s v="BINA SAN PRIMA, PT"/>
    <d v="2023-08-19T00:00:00"/>
    <x v="1"/>
    <n v="6964673"/>
  </r>
  <r>
    <s v="BINA SAN PRIMA, PT"/>
    <d v="2023-08-22T00:00:00"/>
    <x v="1"/>
    <n v="4924071"/>
  </r>
  <r>
    <s v="BINA SAN PRIMA, PT"/>
    <d v="2023-08-22T00:00:00"/>
    <x v="1"/>
    <n v="128205"/>
  </r>
  <r>
    <s v="BINA SAN PRIMA, PT"/>
    <d v="2023-08-22T00:00:00"/>
    <x v="1"/>
    <n v="13470392"/>
  </r>
  <r>
    <s v="BINA SAN PRIMA, PT"/>
    <d v="2023-08-25T00:00:00"/>
    <x v="1"/>
    <n v="389194"/>
  </r>
  <r>
    <s v="BINA SAN PRIMA, PT"/>
    <d v="2023-08-25T00:00:00"/>
    <x v="1"/>
    <n v="924158"/>
  </r>
  <r>
    <s v="BINA SAN PRIMA, PT"/>
    <d v="2023-08-30T00:00:00"/>
    <x v="1"/>
    <n v="3441000"/>
  </r>
  <r>
    <s v="BINA SAN PRIMA, PT"/>
    <d v="2023-08-30T00:00:00"/>
    <x v="1"/>
    <n v="504051"/>
  </r>
  <r>
    <s v="BINA SAN PRIMA, PT"/>
    <d v="2023-08-31T00:00:00"/>
    <x v="1"/>
    <n v="16413792"/>
  </r>
  <r>
    <s v="BINA SAN PRIMA, PT"/>
    <d v="2023-08-31T00:00:00"/>
    <x v="1"/>
    <n v="145632"/>
  </r>
  <r>
    <s v="BINA SAN PRIMA, PT"/>
    <d v="2023-08-31T00:00:00"/>
    <x v="1"/>
    <n v="998936"/>
  </r>
  <r>
    <s v="BINA SAN PRIMA, PT"/>
    <d v="2023-09-06T00:00:00"/>
    <x v="8"/>
    <n v="2463479"/>
  </r>
  <r>
    <s v="BINA SAN PRIMA, PT"/>
    <d v="2023-09-29T00:00:00"/>
    <x v="8"/>
    <n v="14113428"/>
  </r>
  <r>
    <s v="BINA SAN PRIMA, PT"/>
    <d v="2023-09-29T00:00:00"/>
    <x v="8"/>
    <n v="9030960"/>
  </r>
  <r>
    <s v="BINA SAN PRIMA, PT"/>
    <d v="2023-09-29T00:00:00"/>
    <x v="8"/>
    <n v="3853920"/>
  </r>
  <r>
    <s v="BINA SAN PRIMA, PT"/>
    <d v="2023-09-29T00:00:00"/>
    <x v="8"/>
    <n v="4222773"/>
  </r>
  <r>
    <s v="BINA SAN PRIMA, PT"/>
    <d v="2023-09-29T00:00:00"/>
    <x v="8"/>
    <n v="1098900"/>
  </r>
  <r>
    <s v="BINA SAN PRIMA, PT"/>
    <d v="2023-09-29T00:00:00"/>
    <x v="8"/>
    <n v="24751016"/>
  </r>
  <r>
    <s v="BINA SAN PRIMA, PT"/>
    <d v="2023-09-29T00:00:00"/>
    <x v="8"/>
    <n v="1409700"/>
  </r>
  <r>
    <s v="BINA SAN PRIMA, PT"/>
    <d v="2023-09-29T00:00:00"/>
    <x v="8"/>
    <n v="1098900"/>
  </r>
  <r>
    <s v="BINA SAN PRIMA, PT"/>
    <d v="2023-09-30T00:00:00"/>
    <x v="8"/>
    <n v="4296810"/>
  </r>
  <r>
    <s v="BINA SAN PRIMA, PT"/>
    <d v="2023-09-30T00:00:00"/>
    <x v="8"/>
    <n v="4735076"/>
  </r>
  <r>
    <s v="BINA SAN PRIMA, PT"/>
    <d v="2023-10-26T00:00:00"/>
    <x v="2"/>
    <n v="1997872"/>
  </r>
  <r>
    <s v="BINA SAN PRIMA, PT"/>
    <d v="2023-10-31T00:00:00"/>
    <x v="2"/>
    <n v="2760437"/>
  </r>
  <r>
    <s v="BINA SAN PRIMA, PT"/>
    <d v="2023-10-31T00:00:00"/>
    <x v="2"/>
    <n v="22450652"/>
  </r>
  <r>
    <s v="BINA SAN PRIMA, PT"/>
    <d v="2023-10-31T00:00:00"/>
    <x v="2"/>
    <n v="20243203"/>
  </r>
  <r>
    <s v="BINA SAN PRIMA, PT"/>
    <d v="2023-10-31T00:00:00"/>
    <x v="2"/>
    <n v="7056714"/>
  </r>
  <r>
    <s v="BINA SAN PRIMA, PT"/>
    <d v="2023-10-31T00:00:00"/>
    <x v="2"/>
    <n v="4544340"/>
  </r>
  <r>
    <s v="BINA SAN PRIMA, PT"/>
    <d v="2023-10-31T00:00:00"/>
    <x v="2"/>
    <n v="3483735"/>
  </r>
  <r>
    <s v="BINA SAN PRIMA, PT"/>
    <d v="2023-10-31T00:00:00"/>
    <x v="2"/>
    <n v="2730017"/>
  </r>
  <r>
    <s v="BINA SAN PRIMA, PT"/>
    <d v="2023-10-31T00:00:00"/>
    <x v="2"/>
    <n v="310245"/>
  </r>
  <r>
    <s v="BINA SAN PRIMA, PT"/>
    <d v="2023-10-31T00:00:00"/>
    <x v="2"/>
    <n v="1365300"/>
  </r>
  <r>
    <s v="BINA SAN PRIMA, PT"/>
    <d v="2023-10-31T00:00:00"/>
    <x v="2"/>
    <n v="7319784"/>
  </r>
  <r>
    <s v="BINA SAN PRIMA, PT"/>
    <d v="2023-11-11T00:00:00"/>
    <x v="9"/>
    <n v="5972415"/>
  </r>
  <r>
    <s v="BINA SAN PRIMA, PT"/>
    <d v="2023-11-28T00:00:00"/>
    <x v="9"/>
    <n v="5993616"/>
  </r>
  <r>
    <s v="BINA SAN PRIMA, PT"/>
    <d v="2023-11-29T00:00:00"/>
    <x v="9"/>
    <n v="31430913"/>
  </r>
  <r>
    <s v="BINA SAN PRIMA, PT"/>
    <d v="2023-11-29T00:00:00"/>
    <x v="9"/>
    <n v="549450"/>
  </r>
  <r>
    <s v="BINA SAN PRIMA, PT"/>
    <d v="2023-11-29T00:00:00"/>
    <x v="9"/>
    <n v="3441000"/>
  </r>
  <r>
    <s v="BINA SAN PRIMA, PT"/>
    <d v="2023-11-29T00:00:00"/>
    <x v="9"/>
    <n v="1589520"/>
  </r>
  <r>
    <s v="BINA SAN PRIMA, PT"/>
    <d v="2023-11-29T00:00:00"/>
    <x v="9"/>
    <n v="1372321"/>
  </r>
  <r>
    <s v="BINA SAN PRIMA, PT"/>
    <d v="2023-11-29T00:00:00"/>
    <x v="9"/>
    <n v="5688750"/>
  </r>
  <r>
    <s v="BINA SAN PRIMA, PT"/>
    <d v="2023-11-29T00:00:00"/>
    <x v="9"/>
    <n v="17890647"/>
  </r>
  <r>
    <s v="BINA SAN PRIMA, PT"/>
    <d v="2023-11-29T00:00:00"/>
    <x v="9"/>
    <n v="1172299"/>
  </r>
  <r>
    <s v="BINA SAN PRIMA, PT"/>
    <d v="2023-11-29T00:00:00"/>
    <x v="9"/>
    <n v="1997872"/>
  </r>
  <r>
    <s v="BINA SAN PRIMA, PT"/>
    <d v="2023-11-30T00:00:00"/>
    <x v="9"/>
    <n v="2455320"/>
  </r>
  <r>
    <s v="BINA SAN PRIMA, PT"/>
    <d v="2023-11-30T00:00:00"/>
    <x v="9"/>
    <n v="587329"/>
  </r>
  <r>
    <s v="BINA SAN PRIMA, PT"/>
    <d v="2023-11-30T00:00:00"/>
    <x v="9"/>
    <n v="14113428"/>
  </r>
  <r>
    <s v="BINA SAN PRIMA, PT"/>
    <d v="2023-11-30T00:00:00"/>
    <x v="9"/>
    <n v="13470392"/>
  </r>
  <r>
    <s v="BORNEO ETAM MANDIRI"/>
    <d v="2023-05-17T00:00:00"/>
    <x v="0"/>
    <n v="2220000"/>
  </r>
  <r>
    <s v="BORNEO ETAM MANDIRI"/>
    <d v="2023-06-13T00:00:00"/>
    <x v="6"/>
    <n v="2775000"/>
  </r>
  <r>
    <s v="BORNEO ETAM MANDIRI"/>
    <d v="2023-07-21T00:00:00"/>
    <x v="7"/>
    <n v="2220000"/>
  </r>
  <r>
    <s v="BORNEO ETAM MANDIRI"/>
    <d v="2023-08-07T00:00:00"/>
    <x v="1"/>
    <n v="3330000"/>
  </r>
  <r>
    <s v="BORNEO ETAM MANDIRI"/>
    <d v="2023-08-14T00:00:00"/>
    <x v="1"/>
    <n v="832500"/>
  </r>
  <r>
    <s v="BORNEO ETAM MANDIRI"/>
    <d v="2023-09-21T00:00:00"/>
    <x v="8"/>
    <n v="4162500"/>
  </r>
  <r>
    <s v="BORNEO ETAM MANDIRI"/>
    <d v="2023-10-31T00:00:00"/>
    <x v="2"/>
    <n v="3330000"/>
  </r>
  <r>
    <s v="BORNEO SENTRAL"/>
    <d v="2022-07-20T00:00:00"/>
    <x v="12"/>
    <n v="429992"/>
  </r>
  <r>
    <s v="BORNEO SENTRAL"/>
    <d v="2022-09-13T00:00:00"/>
    <x v="13"/>
    <n v="1750004"/>
  </r>
  <r>
    <s v="BORNEO SENTRAL"/>
    <d v="2022-09-19T00:00:00"/>
    <x v="13"/>
    <n v="4773000"/>
  </r>
  <r>
    <s v="BORNEO SENTRAL"/>
    <d v="2022-09-22T00:00:00"/>
    <x v="13"/>
    <n v="1400004"/>
  </r>
  <r>
    <s v="BORNEO SENTRAL"/>
    <d v="2022-10-07T00:00:00"/>
    <x v="14"/>
    <n v="1050003"/>
  </r>
  <r>
    <s v="BORNEO SENTRAL"/>
    <d v="2022-10-24T00:00:00"/>
    <x v="14"/>
    <n v="1050003"/>
  </r>
  <r>
    <s v="BORNEO SENTRAL"/>
    <d v="2022-10-28T00:00:00"/>
    <x v="14"/>
    <n v="1098900"/>
  </r>
  <r>
    <s v="BORNEO SENTRAL"/>
    <d v="2022-10-28T00:00:00"/>
    <x v="14"/>
    <n v="310800"/>
  </r>
  <r>
    <s v="BORNEO SENTRAL"/>
    <d v="2023-07-17T00:00:00"/>
    <x v="7"/>
    <n v="1800000"/>
  </r>
  <r>
    <s v="BORNEO SENTRAL"/>
    <d v="2023-10-17T00:00:00"/>
    <x v="2"/>
    <n v="732600"/>
  </r>
  <r>
    <s v="BORNEO SENTRAL"/>
    <d v="2023-11-30T00:00:00"/>
    <x v="9"/>
    <n v="288600"/>
  </r>
  <r>
    <s v="BUANA INTIPRIMA USAHA"/>
    <d v="2023-01-05T00:00:00"/>
    <x v="11"/>
    <n v="540001"/>
  </r>
  <r>
    <s v="BUANA INTIPRIMA USAHA"/>
    <d v="2023-01-11T00:00:00"/>
    <x v="11"/>
    <n v="1730012"/>
  </r>
  <r>
    <s v="BUANA INTIPRIMA USAHA"/>
    <d v="2023-01-19T00:00:00"/>
    <x v="11"/>
    <n v="110049"/>
  </r>
  <r>
    <s v="BUANA INTIPRIMA USAHA"/>
    <d v="2023-01-25T00:00:00"/>
    <x v="11"/>
    <n v="490173"/>
  </r>
  <r>
    <s v="BUANA INTIPRIMA USAHA"/>
    <d v="2023-01-25T00:00:00"/>
    <x v="11"/>
    <n v="760017"/>
  </r>
  <r>
    <s v="BUANA INTIPRIMA USAHA"/>
    <d v="2023-01-28T00:00:00"/>
    <x v="11"/>
    <n v="2848228"/>
  </r>
  <r>
    <s v="BUANA INTIPRIMA USAHA"/>
    <d v="2023-02-03T00:00:00"/>
    <x v="3"/>
    <n v="1809500"/>
  </r>
  <r>
    <s v="BUANA INTIPRIMA USAHA"/>
    <d v="2023-02-03T00:00:00"/>
    <x v="3"/>
    <n v="810002"/>
  </r>
  <r>
    <s v="BUANA INTIPRIMA USAHA"/>
    <d v="2023-02-10T00:00:00"/>
    <x v="3"/>
    <n v="1345288"/>
  </r>
  <r>
    <s v="BUANA INTIPRIMA USAHA"/>
    <d v="2023-02-13T00:00:00"/>
    <x v="3"/>
    <n v="1536050"/>
  </r>
  <r>
    <s v="BUANA INTIPRIMA USAHA"/>
    <d v="2023-03-04T00:00:00"/>
    <x v="4"/>
    <n v="1449357"/>
  </r>
  <r>
    <s v="BUANA INTIPRIMA USAHA"/>
    <d v="2023-03-09T00:00:00"/>
    <x v="4"/>
    <n v="3040068"/>
  </r>
  <r>
    <s v="BUANA INTIPRIMA USAHA"/>
    <d v="2023-03-10T00:00:00"/>
    <x v="4"/>
    <n v="1350004"/>
  </r>
  <r>
    <s v="BUANA INTIPRIMA USAHA"/>
    <d v="2023-03-16T00:00:00"/>
    <x v="4"/>
    <n v="453402"/>
  </r>
  <r>
    <s v="BUANA INTIPRIMA USAHA"/>
    <d v="2023-03-20T00:00:00"/>
    <x v="4"/>
    <n v="847079"/>
  </r>
  <r>
    <s v="BUANA INTIPRIMA USAHA"/>
    <d v="2023-03-24T00:00:00"/>
    <x v="4"/>
    <n v="1350004"/>
  </r>
  <r>
    <s v="BUANA INTIPRIMA USAHA"/>
    <d v="2023-03-27T00:00:00"/>
    <x v="4"/>
    <n v="815845"/>
  </r>
  <r>
    <s v="BUANA INTIPRIMA USAHA"/>
    <d v="2023-03-28T00:00:00"/>
    <x v="4"/>
    <n v="852896"/>
  </r>
  <r>
    <s v="BUANA INTIPRIMA USAHA"/>
    <d v="2023-03-29T00:00:00"/>
    <x v="4"/>
    <n v="5265366"/>
  </r>
  <r>
    <s v="BUANA INTIPRIMA USAHA"/>
    <d v="2023-03-30T00:00:00"/>
    <x v="4"/>
    <n v="2019312"/>
  </r>
  <r>
    <s v="BUANA INTIPRIMA USAHA"/>
    <d v="2023-03-30T00:00:00"/>
    <x v="4"/>
    <n v="158469"/>
  </r>
  <r>
    <s v="BUANA INTIPRIMA USAHA"/>
    <d v="2023-04-04T00:00:00"/>
    <x v="5"/>
    <n v="308859"/>
  </r>
  <r>
    <s v="BUANA INTIPRIMA USAHA"/>
    <d v="2023-04-04T00:00:00"/>
    <x v="5"/>
    <n v="1325787"/>
  </r>
  <r>
    <s v="BUANA INTIPRIMA USAHA"/>
    <d v="2023-04-25T00:00:00"/>
    <x v="5"/>
    <n v="651207"/>
  </r>
  <r>
    <s v="BUANA INTIPRIMA USAHA"/>
    <d v="2023-04-29T00:00:00"/>
    <x v="5"/>
    <n v="298223"/>
  </r>
  <r>
    <s v="BUANA INTIPRIMA USAHA"/>
    <d v="2023-04-29T00:00:00"/>
    <x v="5"/>
    <n v="94403"/>
  </r>
  <r>
    <s v="BUANA INTIPRIMA USAHA"/>
    <d v="2023-05-09T00:00:00"/>
    <x v="0"/>
    <n v="359436"/>
  </r>
  <r>
    <s v="BUANA INTIPRIMA USAHA"/>
    <d v="2023-05-26T00:00:00"/>
    <x v="0"/>
    <n v="1163798"/>
  </r>
  <r>
    <s v="BUANA INTIPRIMA USAHA"/>
    <d v="2023-05-30T00:00:00"/>
    <x v="0"/>
    <n v="1731535"/>
  </r>
  <r>
    <s v="BUANA INTIPRIMA USAHA"/>
    <d v="2023-06-10T00:00:00"/>
    <x v="6"/>
    <n v="6224681"/>
  </r>
  <r>
    <s v="BUANA INTIPRIMA USAHA"/>
    <d v="2023-06-16T00:00:00"/>
    <x v="6"/>
    <n v="2700008"/>
  </r>
  <r>
    <s v="BUANA INTIPRIMA USAHA"/>
    <d v="2023-06-17T00:00:00"/>
    <x v="6"/>
    <n v="2265724"/>
  </r>
  <r>
    <s v="BUANA INTIPRIMA USAHA"/>
    <d v="2023-06-17T00:00:00"/>
    <x v="6"/>
    <n v="822510"/>
  </r>
  <r>
    <s v="BUANA INTIPRIMA USAHA"/>
    <d v="2023-07-01T00:00:00"/>
    <x v="7"/>
    <n v="1883072"/>
  </r>
  <r>
    <s v="BUANA INTIPRIMA USAHA"/>
    <d v="2023-07-04T00:00:00"/>
    <x v="7"/>
    <n v="119074"/>
  </r>
  <r>
    <s v="BUANA INTIPRIMA USAHA"/>
    <d v="2023-07-04T00:00:00"/>
    <x v="7"/>
    <n v="671273"/>
  </r>
  <r>
    <s v="BUANA INTIPRIMA USAHA"/>
    <d v="2023-07-07T00:00:00"/>
    <x v="7"/>
    <n v="120033"/>
  </r>
  <r>
    <s v="BUANA INTIPRIMA USAHA"/>
    <d v="2023-07-07T00:00:00"/>
    <x v="7"/>
    <n v="3045079"/>
  </r>
  <r>
    <s v="BUANA INTIPRIMA USAHA"/>
    <d v="2023-07-14T00:00:00"/>
    <x v="7"/>
    <n v="1060002"/>
  </r>
  <r>
    <s v="BUANA INTIPRIMA USAHA"/>
    <d v="2023-07-15T00:00:00"/>
    <x v="7"/>
    <n v="1126390"/>
  </r>
  <r>
    <s v="BUANA INTIPRIMA USAHA"/>
    <d v="2023-07-24T00:00:00"/>
    <x v="7"/>
    <n v="443427"/>
  </r>
  <r>
    <s v="BUANA INTIPRIMA USAHA"/>
    <d v="2023-07-24T00:00:00"/>
    <x v="7"/>
    <n v="1842865"/>
  </r>
  <r>
    <s v="BUANA INTIPRIMA USAHA"/>
    <d v="2023-07-26T00:00:00"/>
    <x v="7"/>
    <n v="1350004"/>
  </r>
  <r>
    <s v="BUANA INTIPRIMA USAHA"/>
    <d v="2023-08-01T00:00:00"/>
    <x v="1"/>
    <n v="287129"/>
  </r>
  <r>
    <s v="BUANA INTIPRIMA USAHA"/>
    <d v="2023-08-11T00:00:00"/>
    <x v="1"/>
    <n v="1620005"/>
  </r>
  <r>
    <s v="BUANA INTIPRIMA USAHA"/>
    <d v="2023-08-21T00:00:00"/>
    <x v="1"/>
    <n v="3902965"/>
  </r>
  <r>
    <s v="BUANA INTIPRIMA USAHA"/>
    <d v="2023-08-23T00:00:00"/>
    <x v="1"/>
    <n v="932178"/>
  </r>
  <r>
    <s v="BUANA INTIPRIMA USAHA"/>
    <d v="2023-09-02T00:00:00"/>
    <x v="8"/>
    <n v="1445930"/>
  </r>
  <r>
    <s v="BUANA INTIPRIMA USAHA"/>
    <d v="2023-09-07T00:00:00"/>
    <x v="8"/>
    <n v="1425656"/>
  </r>
  <r>
    <s v="BUANA INTIPRIMA USAHA"/>
    <d v="2023-09-12T00:00:00"/>
    <x v="8"/>
    <n v="850001"/>
  </r>
  <r>
    <s v="BUANA INTIPRIMA USAHA"/>
    <d v="2023-09-16T00:00:00"/>
    <x v="8"/>
    <n v="1417754"/>
  </r>
  <r>
    <s v="BUANA INTIPRIMA USAHA"/>
    <d v="2023-09-19T00:00:00"/>
    <x v="8"/>
    <n v="659738"/>
  </r>
  <r>
    <s v="BUANA INTIPRIMA USAHA"/>
    <d v="2023-10-05T00:00:00"/>
    <x v="2"/>
    <n v="54834"/>
  </r>
  <r>
    <s v="BUANA INTIPRIMA USAHA"/>
    <d v="2023-10-05T00:00:00"/>
    <x v="2"/>
    <n v="3573078"/>
  </r>
  <r>
    <s v="BUANA INTIPRIMA USAHA"/>
    <d v="2023-10-10T00:00:00"/>
    <x v="2"/>
    <n v="795547"/>
  </r>
  <r>
    <s v="BUANA INTIPRIMA USAHA"/>
    <d v="2023-10-13T00:00:00"/>
    <x v="2"/>
    <n v="605329"/>
  </r>
  <r>
    <s v="BUANA INTIPRIMA USAHA"/>
    <d v="2023-10-13T00:00:00"/>
    <x v="2"/>
    <n v="1300000"/>
  </r>
  <r>
    <s v="BUANA INTIPRIMA USAHA"/>
    <d v="2023-10-14T00:00:00"/>
    <x v="2"/>
    <n v="1590186"/>
  </r>
  <r>
    <s v="BUANA INTIPRIMA USAHA"/>
    <d v="2023-10-17T00:00:00"/>
    <x v="2"/>
    <n v="1375069"/>
  </r>
  <r>
    <s v="BUANA INTIPRIMA USAHA"/>
    <d v="2023-10-24T00:00:00"/>
    <x v="2"/>
    <n v="1188428"/>
  </r>
  <r>
    <s v="BUANA INTIPRIMA USAHA"/>
    <d v="2023-11-03T00:00:00"/>
    <x v="9"/>
    <n v="3623030"/>
  </r>
  <r>
    <s v="BUANA INTIPRIMA USAHA"/>
    <d v="2023-11-04T00:00:00"/>
    <x v="9"/>
    <n v="1598620"/>
  </r>
  <r>
    <s v="BUANA INTIPRIMA USAHA"/>
    <d v="2023-11-13T00:00:00"/>
    <x v="9"/>
    <n v="1868289"/>
  </r>
  <r>
    <s v="BUANA INTIPRIMA USAHA"/>
    <d v="2023-11-13T00:00:00"/>
    <x v="9"/>
    <n v="559306"/>
  </r>
  <r>
    <s v="BUANA INTIPRIMA USAHA"/>
    <d v="2023-11-17T00:00:00"/>
    <x v="9"/>
    <n v="1473220"/>
  </r>
  <r>
    <s v="BUANA INTIPRIMA USAHA"/>
    <d v="2023-11-20T00:00:00"/>
    <x v="9"/>
    <n v="521650"/>
  </r>
  <r>
    <s v="CARENDRA ALKESINDO LESTARI, CV"/>
    <d v="2023-01-18T00:00:00"/>
    <x v="11"/>
    <n v="446220"/>
  </r>
  <r>
    <s v="CARENDRA ALKESINDO LESTARI, CV"/>
    <d v="2023-05-02T00:00:00"/>
    <x v="0"/>
    <n v="144300"/>
  </r>
  <r>
    <s v="CARENDRA ALKESINDO LESTARI, CV"/>
    <d v="2023-05-31T00:00:00"/>
    <x v="0"/>
    <n v="144300"/>
  </r>
  <r>
    <s v="CARENDRA ALKESINDO LESTARI, CV"/>
    <d v="2023-06-15T00:00:00"/>
    <x v="6"/>
    <n v="1048950"/>
  </r>
  <r>
    <s v="CARENDRA ALKESINDO LESTARI, CV"/>
    <d v="2023-07-20T00:00:00"/>
    <x v="7"/>
    <n v="1121100"/>
  </r>
  <r>
    <s v="CARENDRA ALKESINDO LESTARI, CV"/>
    <d v="2023-08-09T00:00:00"/>
    <x v="1"/>
    <n v="1048950"/>
  </r>
  <r>
    <s v="CARENDRA ALKESINDO LESTARI, CV"/>
    <d v="2023-08-28T00:00:00"/>
    <x v="1"/>
    <n v="144300"/>
  </r>
  <r>
    <s v="CARENDRA ALKESINDO LESTARI, CV"/>
    <d v="2023-08-28T00:00:00"/>
    <x v="1"/>
    <n v="599400"/>
  </r>
  <r>
    <s v="CARENDRA ALKESINDO LESTARI, CV"/>
    <d v="2023-09-21T00:00:00"/>
    <x v="8"/>
    <n v="1048950"/>
  </r>
  <r>
    <s v="CARENDRA ALKESINDO LESTARI, CV"/>
    <d v="2023-10-03T00:00:00"/>
    <x v="2"/>
    <n v="175000"/>
  </r>
  <r>
    <s v="CARENDRA ALKESINDO LESTARI, CV"/>
    <d v="2023-10-14T00:00:00"/>
    <x v="2"/>
    <n v="144300"/>
  </r>
  <r>
    <s v="CARENDRA ALKESINDO LESTARI, CV"/>
    <d v="2023-10-31T00:00:00"/>
    <x v="2"/>
    <n v="1428570"/>
  </r>
  <r>
    <s v="CARENDRA ALKESINDO LESTARI, CV"/>
    <d v="2023-11-27T00:00:00"/>
    <x v="9"/>
    <n v="1123875"/>
  </r>
  <r>
    <s v="COBRA DENTAL INDONESIA, PT"/>
    <d v="2023-01-11T00:00:00"/>
    <x v="11"/>
    <n v="8550450"/>
  </r>
  <r>
    <s v="COBRA DENTAL INDONESIA, PT"/>
    <d v="2023-02-28T00:00:00"/>
    <x v="3"/>
    <n v="18224250"/>
  </r>
  <r>
    <s v="COBRA DENTAL INDONESIA, PT"/>
    <d v="2023-04-05T00:00:00"/>
    <x v="5"/>
    <n v="13063200"/>
  </r>
  <r>
    <s v="COBRA DENTAL INDONESIA, PT"/>
    <d v="2023-07-03T00:00:00"/>
    <x v="7"/>
    <n v="21052100"/>
  </r>
  <r>
    <s v="COBRA DENTAL INDONESIA, PT"/>
    <d v="2023-07-03T00:00:00"/>
    <x v="7"/>
    <n v="2442000"/>
  </r>
  <r>
    <s v="COBRA DENTAL INDONESIA, PT"/>
    <d v="2023-08-30T00:00:00"/>
    <x v="1"/>
    <n v="28853099"/>
  </r>
  <r>
    <s v="COBRA DENTAL INDONESIA, PT"/>
    <d v="2023-11-02T00:00:00"/>
    <x v="9"/>
    <n v="15982700"/>
  </r>
  <r>
    <s v="DOS NI ROHA"/>
    <d v="2023-02-25T00:00:00"/>
    <x v="3"/>
    <n v="1845375"/>
  </r>
  <r>
    <s v="DOS NI ROHA"/>
    <d v="2023-03-16T00:00:00"/>
    <x v="4"/>
    <n v="7012425"/>
  </r>
  <r>
    <s v="DOS NI ROHA"/>
    <d v="2023-03-31T00:00:00"/>
    <x v="4"/>
    <n v="2952600"/>
  </r>
  <r>
    <s v="ENSEVAL PUTERA MEGATRADING, PT"/>
    <d v="2023-03-08T00:00:00"/>
    <x v="4"/>
    <n v="5827500"/>
  </r>
  <r>
    <s v="ENSEVAL PUTERA MEGATRADING, PT"/>
    <d v="2023-03-11T00:00:00"/>
    <x v="4"/>
    <n v="4795200"/>
  </r>
  <r>
    <s v="ENSEVAL PUTERA MEGATRADING, PT"/>
    <d v="2023-03-11T00:00:00"/>
    <x v="4"/>
    <n v="589687"/>
  </r>
  <r>
    <s v="ENSEVAL PUTERA MEGATRADING, PT"/>
    <d v="2023-03-16T00:00:00"/>
    <x v="4"/>
    <n v="2975077"/>
  </r>
  <r>
    <s v="ENSEVAL PUTERA MEGATRADING, PT"/>
    <d v="2023-03-17T00:00:00"/>
    <x v="4"/>
    <n v="3216280"/>
  </r>
  <r>
    <s v="ENSEVAL PUTERA MEGATRADING, PT"/>
    <d v="2023-03-25T00:00:00"/>
    <x v="4"/>
    <n v="707625"/>
  </r>
  <r>
    <s v="ENSEVAL PUTERA MEGATRADING, PT"/>
    <d v="2023-03-25T00:00:00"/>
    <x v="4"/>
    <n v="4795200"/>
  </r>
  <r>
    <s v="ENSEVAL PUTERA MEGATRADING, PT"/>
    <d v="2023-03-28T00:00:00"/>
    <x v="4"/>
    <n v="3509702"/>
  </r>
  <r>
    <s v="ENSEVAL PUTERA MEGATRADING, PT"/>
    <d v="2023-04-04T00:00:00"/>
    <x v="5"/>
    <n v="4795200"/>
  </r>
  <r>
    <s v="ENSEVAL PUTERA MEGATRADING, PT"/>
    <d v="2023-04-10T00:00:00"/>
    <x v="5"/>
    <n v="509212"/>
  </r>
  <r>
    <s v="ENSEVAL PUTERA MEGATRADING, PT"/>
    <d v="2023-04-10T00:00:00"/>
    <x v="5"/>
    <n v="5393327"/>
  </r>
  <r>
    <s v="ENSEVAL PUTERA MEGATRADING, PT"/>
    <d v="2023-04-10T00:00:00"/>
    <x v="5"/>
    <n v="4795200"/>
  </r>
  <r>
    <s v="ENSEVAL PUTERA MEGATRADING, PT"/>
    <d v="2023-04-10T00:00:00"/>
    <x v="5"/>
    <n v="1612719"/>
  </r>
  <r>
    <s v="ENSEVAL PUTERA MEGATRADING, PT"/>
    <d v="2023-04-17T00:00:00"/>
    <x v="5"/>
    <n v="707625"/>
  </r>
  <r>
    <s v="ENSEVAL PUTERA MEGATRADING, PT"/>
    <d v="2023-04-19T00:00:00"/>
    <x v="5"/>
    <n v="2100000"/>
  </r>
  <r>
    <s v="ENSEVAL PUTERA MEGATRADING, PT"/>
    <d v="2023-05-03T00:00:00"/>
    <x v="0"/>
    <n v="1750410"/>
  </r>
  <r>
    <s v="ENSEVAL PUTERA MEGATRADING, PT"/>
    <d v="2023-05-03T00:00:00"/>
    <x v="0"/>
    <n v="199375"/>
  </r>
  <r>
    <s v="ENSEVAL PUTERA MEGATRADING, PT"/>
    <d v="2023-05-05T00:00:00"/>
    <x v="0"/>
    <n v="498439"/>
  </r>
  <r>
    <s v="ENSEVAL PUTERA MEGATRADING, PT"/>
    <d v="2023-05-08T00:00:00"/>
    <x v="0"/>
    <n v="8991000"/>
  </r>
  <r>
    <s v="ENSEVAL PUTERA MEGATRADING, PT"/>
    <d v="2023-05-17T00:00:00"/>
    <x v="0"/>
    <n v="299063"/>
  </r>
  <r>
    <s v="ENSEVAL PUTERA MEGATRADING, PT"/>
    <d v="2023-05-17T00:00:00"/>
    <x v="0"/>
    <n v="1024252"/>
  </r>
  <r>
    <s v="ENSEVAL PUTERA MEGATRADING, PT"/>
    <d v="2023-05-17T00:00:00"/>
    <x v="0"/>
    <n v="1509600"/>
  </r>
  <r>
    <s v="ENSEVAL PUTERA MEGATRADING, PT"/>
    <d v="2023-05-19T00:00:00"/>
    <x v="0"/>
    <n v="1343905"/>
  </r>
  <r>
    <s v="ENSEVAL PUTERA MEGATRADING, PT"/>
    <d v="2023-05-19T00:00:00"/>
    <x v="0"/>
    <n v="5150400"/>
  </r>
  <r>
    <s v="ENSEVAL PUTERA MEGATRADING, PT"/>
    <d v="2023-05-26T00:00:00"/>
    <x v="0"/>
    <n v="1240980"/>
  </r>
  <r>
    <s v="ENSEVAL PUTERA MEGATRADING, PT"/>
    <d v="2023-06-09T00:00:00"/>
    <x v="6"/>
    <n v="9590400"/>
  </r>
  <r>
    <s v="ENSEVAL PUTERA MEGATRADING, PT"/>
    <d v="2023-06-09T00:00:00"/>
    <x v="6"/>
    <n v="3543370"/>
  </r>
  <r>
    <s v="ENSEVAL PUTERA MEGATRADING, PT"/>
    <d v="2023-06-10T00:00:00"/>
    <x v="6"/>
    <n v="3500002"/>
  </r>
  <r>
    <s v="ENSEVAL PUTERA MEGATRADING, PT"/>
    <d v="2023-06-10T00:00:00"/>
    <x v="6"/>
    <n v="39629"/>
  </r>
  <r>
    <s v="ENSEVAL PUTERA MEGATRADING, PT"/>
    <d v="2023-06-21T00:00:00"/>
    <x v="6"/>
    <n v="79258"/>
  </r>
  <r>
    <s v="ENSEVAL PUTERA MEGATRADING, PT"/>
    <d v="2023-06-21T00:00:00"/>
    <x v="6"/>
    <n v="1542900"/>
  </r>
  <r>
    <s v="ENSEVAL PUTERA MEGATRADING, PT"/>
    <d v="2023-06-23T00:00:00"/>
    <x v="6"/>
    <n v="991230"/>
  </r>
  <r>
    <s v="ENSEVAL PUTERA MEGATRADING, PT"/>
    <d v="2023-06-23T00:00:00"/>
    <x v="6"/>
    <n v="1415250"/>
  </r>
  <r>
    <s v="ENSEVAL PUTERA MEGATRADING, PT"/>
    <d v="2023-06-23T00:00:00"/>
    <x v="6"/>
    <n v="703462"/>
  </r>
  <r>
    <s v="ENSEVAL PUTERA MEGATRADING, PT"/>
    <d v="2023-06-24T00:00:00"/>
    <x v="6"/>
    <n v="76923"/>
  </r>
  <r>
    <s v="ENSEVAL PUTERA MEGATRADING, PT"/>
    <d v="2023-06-30T00:00:00"/>
    <x v="6"/>
    <n v="4795200"/>
  </r>
  <r>
    <s v="ENSEVAL PUTERA MEGATRADING, PT"/>
    <d v="2023-06-30T00:00:00"/>
    <x v="6"/>
    <n v="6754350"/>
  </r>
  <r>
    <s v="ENSEVAL PUTERA MEGATRADING, PT"/>
    <d v="2023-07-12T00:00:00"/>
    <x v="7"/>
    <n v="10378344"/>
  </r>
  <r>
    <s v="ENSEVAL PUTERA MEGATRADING, PT"/>
    <d v="2023-07-12T00:00:00"/>
    <x v="7"/>
    <n v="118887"/>
  </r>
  <r>
    <s v="ENSEVAL PUTERA MEGATRADING, PT"/>
    <d v="2023-07-12T00:00:00"/>
    <x v="7"/>
    <n v="284715"/>
  </r>
  <r>
    <s v="ENSEVAL PUTERA MEGATRADING, PT"/>
    <d v="2023-08-07T00:00:00"/>
    <x v="1"/>
    <n v="759999"/>
  </r>
  <r>
    <s v="ENSEVAL PUTERA MEGATRADING, PT"/>
    <d v="2023-08-07T00:00:00"/>
    <x v="1"/>
    <n v="9031359"/>
  </r>
  <r>
    <s v="ENSEVAL PUTERA MEGATRADING, PT"/>
    <d v="2023-08-07T00:00:00"/>
    <x v="1"/>
    <n v="1272751"/>
  </r>
  <r>
    <s v="ENSEVAL PUTERA MEGATRADING, PT"/>
    <d v="2023-08-07T00:00:00"/>
    <x v="1"/>
    <n v="8090790"/>
  </r>
  <r>
    <s v="ENSEVAL PUTERA MEGATRADING, PT"/>
    <d v="2023-08-09T00:00:00"/>
    <x v="1"/>
    <n v="5672100"/>
  </r>
  <r>
    <s v="ENSEVAL PUTERA MEGATRADING, PT"/>
    <d v="2023-08-11T00:00:00"/>
    <x v="1"/>
    <n v="237775"/>
  </r>
  <r>
    <s v="ENSEVAL PUTERA MEGATRADING, PT"/>
    <d v="2023-08-23T00:00:00"/>
    <x v="1"/>
    <n v="1750000"/>
  </r>
  <r>
    <s v="ENSEVAL PUTERA MEGATRADING, PT"/>
    <d v="2023-08-24T00:00:00"/>
    <x v="1"/>
    <n v="1750000"/>
  </r>
  <r>
    <s v="ENSEVAL PUTERA MEGATRADING, PT"/>
    <d v="2023-08-24T00:00:00"/>
    <x v="1"/>
    <n v="6773519"/>
  </r>
  <r>
    <s v="ENSEVAL PUTERA MEGATRADING, PT"/>
    <d v="2023-08-31T00:00:00"/>
    <x v="1"/>
    <n v="94350"/>
  </r>
  <r>
    <s v="ENSEVAL PUTERA MEGATRADING, PT"/>
    <d v="2023-09-04T00:00:00"/>
    <x v="8"/>
    <n v="4795200"/>
  </r>
  <r>
    <s v="ENSEVAL PUTERA MEGATRADING, PT"/>
    <d v="2023-09-04T00:00:00"/>
    <x v="8"/>
    <n v="759999"/>
  </r>
  <r>
    <s v="ENSEVAL PUTERA MEGATRADING, PT"/>
    <d v="2023-09-04T00:00:00"/>
    <x v="8"/>
    <n v="3211020"/>
  </r>
  <r>
    <s v="ENSEVAL PUTERA MEGATRADING, PT"/>
    <d v="2023-09-06T00:00:00"/>
    <x v="8"/>
    <n v="782550"/>
  </r>
  <r>
    <s v="ENSEVAL PUTERA MEGATRADING, PT"/>
    <d v="2023-09-11T00:00:00"/>
    <x v="8"/>
    <n v="636375"/>
  </r>
  <r>
    <s v="ENSEVAL PUTERA MEGATRADING, PT"/>
    <d v="2023-09-11T00:00:00"/>
    <x v="8"/>
    <n v="4515679"/>
  </r>
  <r>
    <s v="ENSEVAL PUTERA MEGATRADING, PT"/>
    <d v="2023-09-14T00:00:00"/>
    <x v="8"/>
    <n v="780552"/>
  </r>
  <r>
    <s v="ENSEVAL PUTERA MEGATRADING, PT"/>
    <d v="2023-09-15T00:00:00"/>
    <x v="8"/>
    <n v="1101900"/>
  </r>
  <r>
    <s v="ENSEVAL PUTERA MEGATRADING, PT"/>
    <d v="2023-09-19T00:00:00"/>
    <x v="8"/>
    <n v="198146"/>
  </r>
  <r>
    <s v="ENSEVAL PUTERA MEGATRADING, PT"/>
    <d v="2023-09-19T00:00:00"/>
    <x v="8"/>
    <n v="434565"/>
  </r>
  <r>
    <s v="ENSEVAL PUTERA MEGATRADING, PT"/>
    <d v="2023-09-27T00:00:00"/>
    <x v="8"/>
    <n v="5249949"/>
  </r>
  <r>
    <s v="ENSEVAL PUTERA MEGATRADING, PT"/>
    <d v="2023-09-27T00:00:00"/>
    <x v="8"/>
    <n v="806692"/>
  </r>
  <r>
    <s v="ENSEVAL PUTERA MEGATRADING, PT"/>
    <d v="2023-09-29T00:00:00"/>
    <x v="8"/>
    <n v="2397600"/>
  </r>
  <r>
    <s v="ENSEVAL PUTERA MEGATRADING, PT"/>
    <d v="2023-09-29T00:00:00"/>
    <x v="8"/>
    <n v="3294480"/>
  </r>
  <r>
    <s v="ENSEVAL PUTERA MEGATRADING, PT"/>
    <d v="2023-10-11T00:00:00"/>
    <x v="2"/>
    <n v="11235160"/>
  </r>
  <r>
    <s v="ENSEVAL PUTERA MEGATRADING, PT"/>
    <d v="2023-10-11T00:00:00"/>
    <x v="2"/>
    <n v="4577640"/>
  </r>
  <r>
    <s v="ENSEVAL PUTERA MEGATRADING, PT"/>
    <d v="2023-10-26T00:00:00"/>
    <x v="2"/>
    <n v="301911"/>
  </r>
  <r>
    <s v="ENSEVAL PUTERA MEGATRADING, PT"/>
    <d v="2023-11-07T00:00:00"/>
    <x v="9"/>
    <n v="3572649"/>
  </r>
  <r>
    <s v="ENSEVAL PUTERA MEGATRADING, PT"/>
    <d v="2023-11-07T00:00:00"/>
    <x v="9"/>
    <n v="3040706"/>
  </r>
  <r>
    <s v="ENSEVAL PUTERA MEGATRADING, PT"/>
    <d v="2023-11-09T00:00:00"/>
    <x v="9"/>
    <n v="621600"/>
  </r>
  <r>
    <s v="ENSEVAL PUTERA MEGATRADING, PT"/>
    <d v="2023-11-09T00:00:00"/>
    <x v="9"/>
    <n v="2100001"/>
  </r>
  <r>
    <s v="ENSEVAL PUTERA MEGATRADING, PT"/>
    <d v="2023-11-14T00:00:00"/>
    <x v="9"/>
    <n v="6695199"/>
  </r>
  <r>
    <s v="ENSEVAL PUTERA MEGATRADING, PT"/>
    <d v="2023-11-21T00:00:00"/>
    <x v="9"/>
    <n v="4515679"/>
  </r>
  <r>
    <s v="ENSEVAL PUTERA MEGATRADING, PT"/>
    <d v="2023-11-21T00:00:00"/>
    <x v="9"/>
    <n v="3789765"/>
  </r>
  <r>
    <s v="ENSEVAL PUTERA MEGATRADING, PT"/>
    <d v="2023-11-22T00:00:00"/>
    <x v="9"/>
    <n v="2442000"/>
  </r>
  <r>
    <s v="ENSEVAL PUTERA MEGATRADING, PT"/>
    <d v="2023-11-27T00:00:00"/>
    <x v="9"/>
    <n v="1372931"/>
  </r>
  <r>
    <s v="ENSEVAL PUTERA MEGATRADING, PT"/>
    <d v="2023-11-27T00:00:00"/>
    <x v="9"/>
    <n v="1346985"/>
  </r>
  <r>
    <s v="ETAM MANDIRI ALKESINDO, PT"/>
    <d v="2023-01-10T00:00:00"/>
    <x v="11"/>
    <n v="1527697"/>
  </r>
  <r>
    <s v="ETAM MANDIRI ALKESINDO, PT"/>
    <d v="2023-01-12T00:00:00"/>
    <x v="11"/>
    <n v="6660000"/>
  </r>
  <r>
    <s v="ETAM MANDIRI ALKESINDO, PT"/>
    <d v="2023-03-03T00:00:00"/>
    <x v="4"/>
    <n v="2131200"/>
  </r>
  <r>
    <s v="ETAM MANDIRI ALKESINDO, PT"/>
    <d v="2023-03-06T00:00:00"/>
    <x v="4"/>
    <n v="3230100"/>
  </r>
  <r>
    <s v="ETAM MANDIRI ALKESINDO, PT"/>
    <d v="2023-03-06T00:00:00"/>
    <x v="4"/>
    <n v="954600"/>
  </r>
  <r>
    <s v="ETAM MANDIRI ALKESINDO, PT"/>
    <d v="2023-03-15T00:00:00"/>
    <x v="4"/>
    <n v="3330000"/>
  </r>
  <r>
    <s v="ETAM MANDIRI ALKESINDO, PT"/>
    <d v="2023-03-29T00:00:00"/>
    <x v="4"/>
    <n v="999000"/>
  </r>
  <r>
    <s v="ETAM MANDIRI ALKESINDO, PT"/>
    <d v="2023-04-03T00:00:00"/>
    <x v="5"/>
    <n v="3463200"/>
  </r>
  <r>
    <s v="ETAM MANDIRI ALKESINDO, PT"/>
    <d v="2023-04-10T00:00:00"/>
    <x v="5"/>
    <n v="582359"/>
  </r>
  <r>
    <s v="ETAM MANDIRI ALKESINDO, PT"/>
    <d v="2023-04-17T00:00:00"/>
    <x v="5"/>
    <n v="1265400"/>
  </r>
  <r>
    <s v="ETAM MANDIRI ALKESINDO, PT"/>
    <d v="2023-05-08T00:00:00"/>
    <x v="0"/>
    <n v="6859800"/>
  </r>
  <r>
    <s v="ETAM MANDIRI ALKESINDO, PT"/>
    <d v="2023-05-15T00:00:00"/>
    <x v="0"/>
    <n v="9623700"/>
  </r>
  <r>
    <s v="ETAM MANDIRI ALKESINDO, PT"/>
    <d v="2023-05-30T00:00:00"/>
    <x v="0"/>
    <n v="954600"/>
  </r>
  <r>
    <s v="ETAM MANDIRI ALKESINDO, PT"/>
    <d v="2023-06-05T00:00:00"/>
    <x v="6"/>
    <n v="899100"/>
  </r>
  <r>
    <s v="ETAM MANDIRI ALKESINDO, PT"/>
    <d v="2023-08-14T00:00:00"/>
    <x v="1"/>
    <n v="2264400"/>
  </r>
  <r>
    <s v="ETAM MANDIRI ALKESINDO, PT"/>
    <d v="2023-08-25T00:00:00"/>
    <x v="1"/>
    <n v="2131200"/>
  </r>
  <r>
    <s v="ETAM MANDIRI ALKESINDO, PT"/>
    <d v="2023-09-18T00:00:00"/>
    <x v="8"/>
    <n v="618634"/>
  </r>
  <r>
    <s v="ETAM MANDIRI ALKESINDO, PT"/>
    <d v="2023-09-21T00:00:00"/>
    <x v="8"/>
    <n v="6743250"/>
  </r>
  <r>
    <s v="ETAM MANDIRI ALKESINDO, PT"/>
    <d v="2023-10-13T00:00:00"/>
    <x v="2"/>
    <n v="2397600"/>
  </r>
  <r>
    <s v="ETAM MANDIRI ALKESINDO, PT"/>
    <d v="2023-10-25T00:00:00"/>
    <x v="2"/>
    <n v="4928400"/>
  </r>
  <r>
    <s v="ETAM MANDIRI ALKESINDO, PT"/>
    <m/>
    <x v="15"/>
    <n v="-6660000"/>
  </r>
  <r>
    <s v="FERTOMULIA PRATAMA, PT"/>
    <d v="2023-03-03T00:00:00"/>
    <x v="4"/>
    <n v="1206148"/>
  </r>
  <r>
    <s v="FERTOMULIA PRATAMA, PT"/>
    <d v="2023-03-03T00:00:00"/>
    <x v="4"/>
    <n v="2008107"/>
  </r>
  <r>
    <s v="FERTOMULIA PRATAMA, PT"/>
    <d v="2023-03-16T00:00:00"/>
    <x v="4"/>
    <n v="1744920"/>
  </r>
  <r>
    <s v="FERTOMULIA PRATAMA, PT"/>
    <d v="2023-03-16T00:00:00"/>
    <x v="4"/>
    <n v="1066756"/>
  </r>
  <r>
    <s v="FERTOMULIA PRATAMA, PT"/>
    <d v="2023-04-04T00:00:00"/>
    <x v="5"/>
    <n v="582156"/>
  </r>
  <r>
    <s v="FERTOMULIA PRATAMA, PT"/>
    <d v="2023-04-05T00:00:00"/>
    <x v="5"/>
    <n v="648609"/>
  </r>
  <r>
    <s v="FERTOMULIA PRATAMA, PT"/>
    <d v="2023-04-11T00:00:00"/>
    <x v="5"/>
    <n v="318082"/>
  </r>
  <r>
    <s v="FERTOMULIA PRATAMA, PT"/>
    <d v="2023-04-17T00:00:00"/>
    <x v="5"/>
    <n v="653568"/>
  </r>
  <r>
    <s v="FERTOMULIA PRATAMA, PT"/>
    <d v="2023-05-05T00:00:00"/>
    <x v="0"/>
    <n v="659790"/>
  </r>
  <r>
    <s v="FERTOMULIA PRATAMA, PT"/>
    <d v="2023-06-03T00:00:00"/>
    <x v="6"/>
    <n v="2244533"/>
  </r>
  <r>
    <s v="FERTOMULIA PRATAMA, PT"/>
    <d v="2023-06-14T00:00:00"/>
    <x v="6"/>
    <n v="932888"/>
  </r>
  <r>
    <s v="FERTOMULIA PRATAMA, PT"/>
    <d v="2023-06-14T00:00:00"/>
    <x v="6"/>
    <n v="1904150"/>
  </r>
  <r>
    <s v="FERTOMULIA PRATAMA, PT"/>
    <d v="2023-06-22T00:00:00"/>
    <x v="6"/>
    <n v="565989"/>
  </r>
  <r>
    <s v="FERTOMULIA PRATAMA, PT"/>
    <d v="2023-06-23T00:00:00"/>
    <x v="6"/>
    <n v="735952"/>
  </r>
  <r>
    <s v="FERTOMULIA PRATAMA, PT"/>
    <d v="2023-07-11T00:00:00"/>
    <x v="7"/>
    <n v="1100265"/>
  </r>
  <r>
    <s v="FERTOMULIA PRATAMA, PT"/>
    <d v="2023-07-17T00:00:00"/>
    <x v="7"/>
    <n v="459540"/>
  </r>
  <r>
    <s v="FERTOMULIA PRATAMA, PT"/>
    <d v="2023-07-17T00:00:00"/>
    <x v="7"/>
    <n v="583999"/>
  </r>
  <r>
    <s v="FERTOMULIA PRATAMA, PT"/>
    <d v="2023-07-24T00:00:00"/>
    <x v="7"/>
    <n v="718836"/>
  </r>
  <r>
    <s v="FERTOMULIA PRATAMA, PT"/>
    <d v="2023-07-25T00:00:00"/>
    <x v="7"/>
    <n v="552717"/>
  </r>
  <r>
    <s v="FERTOMULIA PRATAMA, PT"/>
    <d v="2023-07-29T00:00:00"/>
    <x v="7"/>
    <n v="682337"/>
  </r>
  <r>
    <s v="FERTOMULIA PRATAMA, PT"/>
    <d v="2023-08-07T00:00:00"/>
    <x v="1"/>
    <n v="1330991"/>
  </r>
  <r>
    <s v="FERTOMULIA PRATAMA, PT"/>
    <d v="2023-08-16T00:00:00"/>
    <x v="1"/>
    <n v="1964858"/>
  </r>
  <r>
    <s v="FERTOMULIA PRATAMA, PT"/>
    <d v="2023-08-19T00:00:00"/>
    <x v="1"/>
    <n v="444444"/>
  </r>
  <r>
    <s v="FERTOMULIA PRATAMA, PT"/>
    <d v="2023-08-21T00:00:00"/>
    <x v="1"/>
    <n v="443190"/>
  </r>
  <r>
    <s v="FERTOMULIA PRATAMA, PT"/>
    <d v="2023-08-28T00:00:00"/>
    <x v="1"/>
    <n v="1764694"/>
  </r>
  <r>
    <s v="FERTOMULIA PRATAMA, PT"/>
    <d v="2023-09-01T00:00:00"/>
    <x v="8"/>
    <n v="423687"/>
  </r>
  <r>
    <s v="FERTOMULIA PRATAMA, PT"/>
    <d v="2023-09-09T00:00:00"/>
    <x v="8"/>
    <n v="1163680"/>
  </r>
  <r>
    <s v="FERTOMULIA PRATAMA, PT"/>
    <d v="2023-09-19T00:00:00"/>
    <x v="8"/>
    <n v="1414334"/>
  </r>
  <r>
    <s v="FERTOMULIA PRATAMA, PT"/>
    <d v="2023-10-06T00:00:00"/>
    <x v="2"/>
    <n v="1427428"/>
  </r>
  <r>
    <s v="FERTOMULIA PRATAMA, PT"/>
    <d v="2023-10-31T00:00:00"/>
    <x v="2"/>
    <n v="3939417"/>
  </r>
  <r>
    <s v="FERTOMULIA PRATAMA, PT"/>
    <d v="2023-11-10T00:00:00"/>
    <x v="9"/>
    <n v="1024649"/>
  </r>
  <r>
    <s v="FERTOMULIA PRATAMA, PT"/>
    <d v="2023-11-16T00:00:00"/>
    <x v="9"/>
    <n v="560518"/>
  </r>
  <r>
    <s v="FERTOMULIA PRATAMA, PT"/>
    <d v="2023-11-21T00:00:00"/>
    <x v="9"/>
    <n v="1988562"/>
  </r>
  <r>
    <s v="FERTOMULIA PRATAMA, PT"/>
    <d v="2023-12-01T00:00:00"/>
    <x v="10"/>
    <n v="437917"/>
  </r>
  <r>
    <s v="GHANIM BERKAH RABBANI"/>
    <d v="2023-02-03T00:00:00"/>
    <x v="3"/>
    <n v="770000"/>
  </r>
  <r>
    <s v="GHANIM BERKAH RABBANI"/>
    <d v="2023-02-17T00:00:00"/>
    <x v="3"/>
    <n v="2500000"/>
  </r>
  <r>
    <s v="GLOBAL DENT"/>
    <d v="2023-02-23T00:00:00"/>
    <x v="3"/>
    <n v="6298720"/>
  </r>
  <r>
    <s v="GLOBAL DENT"/>
    <d v="2023-03-21T00:00:00"/>
    <x v="4"/>
    <n v="5303050"/>
  </r>
  <r>
    <s v="GLOBAL DENT"/>
    <d v="2023-03-24T00:00:00"/>
    <x v="4"/>
    <n v="1498500"/>
  </r>
  <r>
    <s v="GLOBAL DENT"/>
    <d v="2023-04-17T00:00:00"/>
    <x v="5"/>
    <n v="6352000"/>
  </r>
  <r>
    <s v="GLOBAL DENT"/>
    <d v="2023-05-17T00:00:00"/>
    <x v="0"/>
    <n v="4638160"/>
  </r>
  <r>
    <s v="GLOBAL DENT"/>
    <d v="2023-08-07T00:00:00"/>
    <x v="1"/>
    <n v="13530547"/>
  </r>
  <r>
    <s v="GLOBAL DENT"/>
    <d v="2023-10-12T00:00:00"/>
    <x v="2"/>
    <n v="20856950"/>
  </r>
  <r>
    <s v="GLOPER PRIMA MANDIRI, CV"/>
    <d v="2022-12-07T00:00:00"/>
    <x v="16"/>
    <n v="111000"/>
  </r>
  <r>
    <s v="GLOPER PRIMA MANDIRI, CV"/>
    <d v="2022-12-09T00:00:00"/>
    <x v="16"/>
    <n v="499500"/>
  </r>
  <r>
    <s v="GLOPER PRIMA MANDIRI, CV"/>
    <d v="2022-12-19T00:00:00"/>
    <x v="16"/>
    <n v="1576200"/>
  </r>
  <r>
    <s v="GLOPER PRIMA MANDIRI, CV"/>
    <d v="2022-12-23T00:00:00"/>
    <x v="16"/>
    <n v="1926960"/>
  </r>
  <r>
    <s v="GLOPER PRIMA MANDIRI, CV"/>
    <d v="2023-01-05T00:00:00"/>
    <x v="11"/>
    <n v="588300"/>
  </r>
  <r>
    <s v="GLOPER PRIMA MANDIRI, CV"/>
    <d v="2023-01-06T00:00:00"/>
    <x v="11"/>
    <n v="810300"/>
  </r>
  <r>
    <s v="GLOPER PRIMA MANDIRI, CV"/>
    <d v="2023-01-09T00:00:00"/>
    <x v="11"/>
    <n v="984614"/>
  </r>
  <r>
    <s v="GLOPER PRIMA MANDIRI, CV"/>
    <d v="2023-01-11T00:00:00"/>
    <x v="11"/>
    <n v="1045620"/>
  </r>
  <r>
    <s v="GLOPER PRIMA MANDIRI, CV"/>
    <d v="2023-01-12T00:00:00"/>
    <x v="11"/>
    <n v="1087800"/>
  </r>
  <r>
    <s v="GLOPER PRIMA MANDIRI, CV"/>
    <d v="2023-01-26T00:00:00"/>
    <x v="11"/>
    <n v="984614"/>
  </r>
  <r>
    <s v="GLOPER PRIMA MANDIRI, CV"/>
    <d v="2023-02-09T00:00:00"/>
    <x v="3"/>
    <n v="666000"/>
  </r>
  <r>
    <s v="GLOPER PRIMA MANDIRI, CV"/>
    <d v="2023-02-13T00:00:00"/>
    <x v="3"/>
    <n v="1221000"/>
  </r>
  <r>
    <s v="GLOPER PRIMA MANDIRI, CV"/>
    <d v="2023-03-02T00:00:00"/>
    <x v="4"/>
    <n v="2594736"/>
  </r>
  <r>
    <s v="GLOPER PRIMA MANDIRI, CV"/>
    <d v="2023-03-03T00:00:00"/>
    <x v="4"/>
    <n v="327450"/>
  </r>
  <r>
    <s v="GLOPER PRIMA MANDIRI, CV"/>
    <d v="2023-03-06T00:00:00"/>
    <x v="4"/>
    <n v="583000"/>
  </r>
  <r>
    <s v="GLOPER PRIMA MANDIRI, CV"/>
    <d v="2023-03-08T00:00:00"/>
    <x v="4"/>
    <n v="694000"/>
  </r>
  <r>
    <s v="GLOPER PRIMA MANDIRI, CV"/>
    <d v="2023-03-27T00:00:00"/>
    <x v="4"/>
    <n v="1154400"/>
  </r>
  <r>
    <s v="GLOPER PRIMA MANDIRI, CV"/>
    <d v="2023-03-28T00:00:00"/>
    <x v="4"/>
    <n v="277500"/>
  </r>
  <r>
    <s v="GLOPER PRIMA MANDIRI, CV"/>
    <d v="2023-03-31T00:00:00"/>
    <x v="4"/>
    <n v="899100"/>
  </r>
  <r>
    <s v="GLOPER PRIMA MANDIRI, CV"/>
    <d v="2023-04-11T00:00:00"/>
    <x v="5"/>
    <n v="732600"/>
  </r>
  <r>
    <s v="GLOPER PRIMA MANDIRI, CV"/>
    <d v="2023-05-29T00:00:00"/>
    <x v="0"/>
    <n v="3396600"/>
  </r>
  <r>
    <s v="GLOPER PRIMA MANDIRI, CV"/>
    <d v="2023-06-06T00:00:00"/>
    <x v="6"/>
    <n v="1230768"/>
  </r>
  <r>
    <s v="GLOPER PRIMA MANDIRI, CV"/>
    <d v="2023-06-21T00:00:00"/>
    <x v="6"/>
    <n v="521811"/>
  </r>
  <r>
    <s v="GLOPER PRIMA MANDIRI, CV"/>
    <d v="2023-07-10T00:00:00"/>
    <x v="7"/>
    <n v="2149848"/>
  </r>
  <r>
    <s v="GLOPER PRIMA MANDIRI, CV"/>
    <d v="2023-08-02T00:00:00"/>
    <x v="1"/>
    <n v="1999998"/>
  </r>
  <r>
    <s v="GLOPER PRIMA MANDIRI, CV"/>
    <d v="2023-08-14T00:00:00"/>
    <x v="1"/>
    <n v="782550"/>
  </r>
  <r>
    <s v="GLOPER PRIMA MANDIRI, CV"/>
    <d v="2023-08-14T00:00:00"/>
    <x v="1"/>
    <n v="3108000"/>
  </r>
  <r>
    <s v="GLOPER PRIMA MANDIRI, CV"/>
    <d v="2023-08-14T00:00:00"/>
    <x v="1"/>
    <n v="2122875"/>
  </r>
  <r>
    <s v="GLOPER PRIMA MANDIRI, CV"/>
    <d v="2023-08-15T00:00:00"/>
    <x v="1"/>
    <n v="4407366"/>
  </r>
  <r>
    <s v="GLOPER PRIMA MANDIRI, CV"/>
    <d v="2023-08-23T00:00:00"/>
    <x v="1"/>
    <n v="649350"/>
  </r>
  <r>
    <s v="GLOPER PRIMA MANDIRI, CV"/>
    <d v="2023-08-28T00:00:00"/>
    <x v="1"/>
    <n v="574425"/>
  </r>
  <r>
    <s v="GLOPER PRIMA MANDIRI, CV"/>
    <d v="2023-08-30T00:00:00"/>
    <x v="1"/>
    <n v="216450"/>
  </r>
  <r>
    <s v="GLOPER PRIMA MANDIRI, CV"/>
    <d v="2023-08-31T00:00:00"/>
    <x v="1"/>
    <n v="3999996"/>
  </r>
  <r>
    <s v="GLOPER PRIMA MANDIRI, CV"/>
    <d v="2023-09-07T00:00:00"/>
    <x v="8"/>
    <n v="1045620"/>
  </r>
  <r>
    <s v="GLOPER PRIMA MANDIRI, CV"/>
    <d v="2023-09-11T00:00:00"/>
    <x v="8"/>
    <n v="1799999"/>
  </r>
  <r>
    <s v="GLOPER PRIMA MANDIRI, CV"/>
    <d v="2023-09-14T00:00:00"/>
    <x v="8"/>
    <n v="588300"/>
  </r>
  <r>
    <s v="GLOPER PRIMA MANDIRI, CV"/>
    <d v="2023-09-29T00:00:00"/>
    <x v="8"/>
    <n v="1626150"/>
  </r>
  <r>
    <s v="GLOPER PRIMA MANDIRI, CV"/>
    <d v="2023-10-12T00:00:00"/>
    <x v="2"/>
    <n v="333000"/>
  </r>
  <r>
    <s v="GLOPER PRIMA MANDIRI, CV"/>
    <d v="2023-10-13T00:00:00"/>
    <x v="2"/>
    <n v="333000"/>
  </r>
  <r>
    <s v="GLOPER PRIMA MANDIRI, CV"/>
    <d v="2023-10-30T00:00:00"/>
    <x v="2"/>
    <n v="1581750"/>
  </r>
  <r>
    <s v="GLOPER PRIMA MANDIRI, CV"/>
    <d v="2023-10-31T00:00:00"/>
    <x v="2"/>
    <n v="1476922"/>
  </r>
  <r>
    <s v="GLOPER PRIMA MANDIRI, CV"/>
    <d v="2023-10-31T00:00:00"/>
    <x v="2"/>
    <n v="582750"/>
  </r>
  <r>
    <s v="HIDUP BAHAGIA, CV"/>
    <d v="2022-08-01T00:00:00"/>
    <x v="17"/>
    <n v="472860"/>
  </r>
  <r>
    <s v="HIDUP BAHAGIA, CV"/>
    <d v="2022-08-02T00:00:00"/>
    <x v="17"/>
    <n v="2087355"/>
  </r>
  <r>
    <s v="HIDUP BAHAGIA, CV"/>
    <d v="2022-08-11T00:00:00"/>
    <x v="17"/>
    <n v="929625"/>
  </r>
  <r>
    <s v="HIDUP BAHAGIA, CV"/>
    <d v="2022-08-12T00:00:00"/>
    <x v="17"/>
    <n v="1000000"/>
  </r>
  <r>
    <s v="HIDUP BAHAGIA, CV"/>
    <d v="2022-08-15T00:00:00"/>
    <x v="17"/>
    <n v="1765899"/>
  </r>
  <r>
    <s v="HIDUP BAHAGIA, CV"/>
    <d v="2022-08-20T00:00:00"/>
    <x v="17"/>
    <n v="480630"/>
  </r>
  <r>
    <s v="HIDUP BAHAGIA, CV"/>
    <d v="2022-08-22T00:00:00"/>
    <x v="17"/>
    <n v="1874790"/>
  </r>
  <r>
    <s v="HIDUP BAHAGIA, CV"/>
    <d v="2022-09-05T00:00:00"/>
    <x v="13"/>
    <n v="3415915"/>
  </r>
  <r>
    <s v="HIDUP BAHAGIA, CV"/>
    <d v="2022-09-12T00:00:00"/>
    <x v="13"/>
    <n v="1645575"/>
  </r>
  <r>
    <s v="HIDUP BAHAGIA, CV"/>
    <d v="2022-09-16T00:00:00"/>
    <x v="13"/>
    <n v="4934000"/>
  </r>
  <r>
    <s v="HIDUP BAHAGIA, CV"/>
    <d v="2022-10-05T00:00:00"/>
    <x v="14"/>
    <n v="216450"/>
  </r>
  <r>
    <s v="HIDUP BAHAGIA, CV"/>
    <d v="2022-10-14T00:00:00"/>
    <x v="14"/>
    <n v="1663788"/>
  </r>
  <r>
    <s v="HIDUP BAHAGIA, CV"/>
    <d v="2022-10-26T00:00:00"/>
    <x v="14"/>
    <n v="1146075"/>
  </r>
  <r>
    <s v="HIDUP BAHAGIA, CV"/>
    <d v="2022-11-03T00:00:00"/>
    <x v="18"/>
    <n v="472860"/>
  </r>
  <r>
    <s v="HIDUP BAHAGIA, CV"/>
    <d v="2022-11-03T00:00:00"/>
    <x v="18"/>
    <n v="954045"/>
  </r>
  <r>
    <s v="HIDUP BAHAGIA, CV"/>
    <d v="2022-11-12T00:00:00"/>
    <x v="18"/>
    <n v="1000008"/>
  </r>
  <r>
    <s v="HIDUP BAHAGIA, CV"/>
    <d v="2022-11-17T00:00:00"/>
    <x v="18"/>
    <n v="1164390"/>
  </r>
  <r>
    <s v="HIDUP BAHAGIA, CV"/>
    <d v="2022-11-23T00:00:00"/>
    <x v="18"/>
    <n v="1271061"/>
  </r>
  <r>
    <s v="HIDUP BAHAGIA, CV"/>
    <d v="2022-12-02T00:00:00"/>
    <x v="16"/>
    <n v="1666221"/>
  </r>
  <r>
    <s v="HIDUP BAHAGIA, CV"/>
    <d v="2022-12-06T00:00:00"/>
    <x v="16"/>
    <n v="1788108"/>
  </r>
  <r>
    <s v="HIDUP BAHAGIA, CV"/>
    <d v="2022-12-15T00:00:00"/>
    <x v="16"/>
    <n v="255300"/>
  </r>
  <r>
    <s v="HIDUP BAHAGIA, CV"/>
    <d v="2022-12-19T00:00:00"/>
    <x v="16"/>
    <n v="4434006"/>
  </r>
  <r>
    <s v="HIDUP BAHAGIA, CV"/>
    <d v="2023-01-03T00:00:00"/>
    <x v="11"/>
    <n v="1055055"/>
  </r>
  <r>
    <s v="HIDUP BAHAGIA, CV"/>
    <d v="2023-01-06T00:00:00"/>
    <x v="11"/>
    <n v="1132200"/>
  </r>
  <r>
    <s v="HIDUP BAHAGIA, CV"/>
    <d v="2023-01-09T00:00:00"/>
    <x v="11"/>
    <n v="820290"/>
  </r>
  <r>
    <s v="HIDUP BAHAGIA, CV"/>
    <d v="2023-01-24T00:00:00"/>
    <x v="11"/>
    <n v="1072593"/>
  </r>
  <r>
    <s v="HIDUP BAHAGIA, CV"/>
    <d v="2023-01-25T00:00:00"/>
    <x v="11"/>
    <n v="423687"/>
  </r>
  <r>
    <s v="HIDUP BAHAGIA, CV"/>
    <d v="2023-01-31T00:00:00"/>
    <x v="11"/>
    <n v="1641033"/>
  </r>
  <r>
    <s v="HIDUP BAHAGIA, CV"/>
    <d v="2023-02-09T00:00:00"/>
    <x v="3"/>
    <n v="842490"/>
  </r>
  <r>
    <s v="HIDUP BAHAGIA, CV"/>
    <d v="2023-02-11T00:00:00"/>
    <x v="3"/>
    <n v="442890"/>
  </r>
  <r>
    <s v="HIDUP BAHAGIA, CV"/>
    <d v="2023-02-20T00:00:00"/>
    <x v="3"/>
    <n v="2417247"/>
  </r>
  <r>
    <s v="HIDUP BAHAGIA, CV"/>
    <d v="2023-02-22T00:00:00"/>
    <x v="3"/>
    <n v="2733375"/>
  </r>
  <r>
    <s v="HIDUP BAHAGIA, CV"/>
    <d v="2023-02-23T00:00:00"/>
    <x v="3"/>
    <n v="1425351"/>
  </r>
  <r>
    <s v="HIDUP BAHAGIA, CV"/>
    <d v="2023-02-25T00:00:00"/>
    <x v="3"/>
    <n v="881118"/>
  </r>
  <r>
    <s v="HIDUP BAHAGIA, CV"/>
    <d v="2023-02-27T00:00:00"/>
    <x v="3"/>
    <n v="1268730"/>
  </r>
  <r>
    <s v="HIDUP BAHAGIA, CV"/>
    <d v="2023-03-08T00:00:00"/>
    <x v="4"/>
    <n v="1282050"/>
  </r>
  <r>
    <s v="HIDUP BAHAGIA, CV"/>
    <d v="2023-03-10T00:00:00"/>
    <x v="4"/>
    <n v="291930"/>
  </r>
  <r>
    <s v="HIDUP BAHAGIA, CV"/>
    <d v="2023-03-15T00:00:00"/>
    <x v="4"/>
    <n v="442890"/>
  </r>
  <r>
    <s v="HIDUP BAHAGIA, CV"/>
    <d v="2023-03-18T00:00:00"/>
    <x v="4"/>
    <n v="1365855"/>
  </r>
  <r>
    <s v="HIDUP BAHAGIA, CV"/>
    <d v="2023-03-27T00:00:00"/>
    <x v="4"/>
    <n v="337995"/>
  </r>
  <r>
    <s v="HIDUP BAHAGIA, CV"/>
    <d v="2023-03-28T00:00:00"/>
    <x v="4"/>
    <n v="2958316"/>
  </r>
  <r>
    <s v="HIDUP BAHAGIA, CV"/>
    <d v="2023-03-28T00:00:00"/>
    <x v="4"/>
    <n v="500"/>
  </r>
  <r>
    <s v="HIDUP BAHAGIA, CV"/>
    <d v="2023-04-01T00:00:00"/>
    <x v="5"/>
    <n v="2694525"/>
  </r>
  <r>
    <s v="HIDUP BAHAGIA, CV"/>
    <d v="2023-04-03T00:00:00"/>
    <x v="5"/>
    <n v="3984678"/>
  </r>
  <r>
    <s v="HIDUP BAHAGIA, CV"/>
    <d v="2023-04-17T00:00:00"/>
    <x v="5"/>
    <n v="733260"/>
  </r>
  <r>
    <s v="HIDUP BAHAGIA, CV"/>
    <d v="2023-04-17T00:00:00"/>
    <x v="5"/>
    <n v="5000"/>
  </r>
  <r>
    <s v="HIDUP BAHAGIA, CV"/>
    <d v="2023-04-19T00:00:00"/>
    <x v="5"/>
    <n v="897435"/>
  </r>
  <r>
    <s v="HIDUP BAHAGIA, CV"/>
    <d v="2023-05-05T00:00:00"/>
    <x v="0"/>
    <n v="1301142"/>
  </r>
  <r>
    <s v="HIDUP BAHAGIA, CV"/>
    <d v="2023-05-09T00:00:00"/>
    <x v="0"/>
    <n v="1088355"/>
  </r>
  <r>
    <s v="HIDUP BAHAGIA, CV"/>
    <d v="2023-05-10T00:00:00"/>
    <x v="0"/>
    <n v="196692"/>
  </r>
  <r>
    <s v="HIDUP BAHAGIA, CV"/>
    <d v="2023-05-12T00:00:00"/>
    <x v="0"/>
    <n v="3705513"/>
  </r>
  <r>
    <s v="HIDUP BAHAGIA, CV"/>
    <d v="2023-05-15T00:00:00"/>
    <x v="0"/>
    <n v="1863135"/>
  </r>
  <r>
    <s v="HIDUP BAHAGIA, CV"/>
    <d v="2023-05-26T00:00:00"/>
    <x v="0"/>
    <n v="1616937"/>
  </r>
  <r>
    <s v="HIDUP BAHAGIA, CV"/>
    <d v="2023-05-30T00:00:00"/>
    <x v="0"/>
    <n v="1334664"/>
  </r>
  <r>
    <s v="HIDUP BAHAGIA, CV"/>
    <d v="2023-06-07T00:00:00"/>
    <x v="6"/>
    <n v="843711"/>
  </r>
  <r>
    <s v="HIDUP BAHAGIA, CV"/>
    <d v="2023-06-13T00:00:00"/>
    <x v="6"/>
    <n v="174325"/>
  </r>
  <r>
    <s v="HIDUP BAHAGIA, CV"/>
    <d v="2023-06-14T00:00:00"/>
    <x v="6"/>
    <n v="769230"/>
  </r>
  <r>
    <s v="HIDUP BAHAGIA, CV"/>
    <d v="2023-06-23T00:00:00"/>
    <x v="6"/>
    <n v="2654010"/>
  </r>
  <r>
    <s v="HIDUP BAHAGIA, CV"/>
    <d v="2023-07-05T00:00:00"/>
    <x v="7"/>
    <n v="256410"/>
  </r>
  <r>
    <s v="HIDUP BAHAGIA, CV"/>
    <d v="2023-07-08T00:00:00"/>
    <x v="7"/>
    <n v="2793648"/>
  </r>
  <r>
    <s v="HIDUP BAHAGIA, CV"/>
    <d v="2023-07-15T00:00:00"/>
    <x v="7"/>
    <n v="2500552"/>
  </r>
  <r>
    <s v="HIDUP BAHAGIA, CV"/>
    <d v="2023-07-18T00:00:00"/>
    <x v="7"/>
    <n v="1948938"/>
  </r>
  <r>
    <s v="HIDUP BAHAGIA, CV"/>
    <d v="2023-07-22T00:00:00"/>
    <x v="7"/>
    <n v="1900320"/>
  </r>
  <r>
    <s v="HIDUP BAHAGIA, CV"/>
    <d v="2023-07-28T00:00:00"/>
    <x v="7"/>
    <n v="472860"/>
  </r>
  <r>
    <s v="HIDUP BAHAGIA, CV"/>
    <d v="2023-07-31T00:00:00"/>
    <x v="7"/>
    <n v="1439670"/>
  </r>
  <r>
    <s v="HIDUP BAHAGIA, CV"/>
    <d v="2023-08-01T00:00:00"/>
    <x v="1"/>
    <n v="1696968"/>
  </r>
  <r>
    <s v="HIDUP BAHAGIA, CV"/>
    <d v="2023-08-05T00:00:00"/>
    <x v="1"/>
    <n v="1841490"/>
  </r>
  <r>
    <s v="HIDUP BAHAGIA, CV"/>
    <d v="2023-08-05T00:00:00"/>
    <x v="1"/>
    <n v="910200"/>
  </r>
  <r>
    <s v="HIDUP BAHAGIA, CV"/>
    <d v="2023-08-07T00:00:00"/>
    <x v="1"/>
    <n v="698412"/>
  </r>
  <r>
    <s v="HIDUP BAHAGIA, CV"/>
    <d v="2023-08-10T00:00:00"/>
    <x v="1"/>
    <n v="251637"/>
  </r>
  <r>
    <s v="HIDUP BAHAGIA, CV"/>
    <d v="2023-08-15T00:00:00"/>
    <x v="1"/>
    <n v="2697078"/>
  </r>
  <r>
    <s v="HIDUP BAHAGIA, CV"/>
    <d v="2023-08-16T00:00:00"/>
    <x v="1"/>
    <n v="230158"/>
  </r>
  <r>
    <s v="HIDUP BAHAGIA, CV"/>
    <d v="2023-08-22T00:00:00"/>
    <x v="1"/>
    <n v="1065600"/>
  </r>
  <r>
    <s v="HIDUP BAHAGIA, CV"/>
    <d v="2023-08-24T00:00:00"/>
    <x v="1"/>
    <n v="720834"/>
  </r>
  <r>
    <s v="HIDUP BAHAGIA, CV"/>
    <d v="2023-08-28T00:00:00"/>
    <x v="1"/>
    <n v="710400"/>
  </r>
  <r>
    <s v="HIDUP BAHAGIA, CV"/>
    <d v="2023-08-29T00:00:00"/>
    <x v="1"/>
    <n v="874125"/>
  </r>
  <r>
    <s v="HIDUP BAHAGIA, CV"/>
    <d v="2023-08-30T00:00:00"/>
    <x v="1"/>
    <n v="323565"/>
  </r>
  <r>
    <s v="HIDUP BAHAGIA, CV"/>
    <d v="2023-09-05T00:00:00"/>
    <x v="8"/>
    <n v="6221772"/>
  </r>
  <r>
    <s v="HIDUP BAHAGIA, CV"/>
    <d v="2023-09-07T00:00:00"/>
    <x v="8"/>
    <n v="2453433"/>
  </r>
  <r>
    <s v="HIDUP BAHAGIA, CV"/>
    <d v="2023-09-11T00:00:00"/>
    <x v="8"/>
    <n v="1249860"/>
  </r>
  <r>
    <s v="HIDUP BAHAGIA, CV"/>
    <d v="2023-09-15T00:00:00"/>
    <x v="8"/>
    <n v="699300"/>
  </r>
  <r>
    <s v="HIDUP BAHAGIA, CV"/>
    <d v="2023-09-19T00:00:00"/>
    <x v="8"/>
    <n v="1361748"/>
  </r>
  <r>
    <s v="HIDUP BAHAGIA, CV"/>
    <d v="2023-09-23T00:00:00"/>
    <x v="8"/>
    <n v="10204230"/>
  </r>
  <r>
    <s v="HIDUP BAHAGIA, CV"/>
    <d v="2023-09-29T00:00:00"/>
    <x v="8"/>
    <n v="1864023"/>
  </r>
  <r>
    <s v="HIDUP BAHAGIA, CV"/>
    <d v="2023-10-09T00:00:00"/>
    <x v="2"/>
    <n v="2051835"/>
  </r>
  <r>
    <s v="HIDUP BAHAGIA, CV"/>
    <d v="2023-10-11T00:00:00"/>
    <x v="2"/>
    <n v="889776"/>
  </r>
  <r>
    <s v="HIDUP BAHAGIA, CV"/>
    <d v="2023-10-12T00:00:00"/>
    <x v="2"/>
    <n v="652680"/>
  </r>
  <r>
    <s v="HIDUP BAHAGIA, CV"/>
    <d v="2023-10-13T00:00:00"/>
    <x v="2"/>
    <n v="1042956"/>
  </r>
  <r>
    <s v="HIDUP BAHAGIA, CV"/>
    <d v="2023-10-19T00:00:00"/>
    <x v="2"/>
    <n v="918192"/>
  </r>
  <r>
    <s v="HIDUP BAHAGIA, CV"/>
    <d v="2023-10-23T00:00:00"/>
    <x v="2"/>
    <n v="394050"/>
  </r>
  <r>
    <s v="HIDUP BAHAGIA, CV"/>
    <d v="2023-10-26T00:00:00"/>
    <x v="2"/>
    <n v="1814517"/>
  </r>
  <r>
    <s v="HIDUP BAHAGIA, CV"/>
    <d v="2023-10-28T00:00:00"/>
    <x v="2"/>
    <n v="2290707"/>
  </r>
  <r>
    <s v="HIDUP BAHAGIA, CV"/>
    <d v="2023-10-30T00:00:00"/>
    <x v="2"/>
    <n v="369630"/>
  </r>
  <r>
    <s v="HIDUP BAHAGIA, CV"/>
    <d v="2023-10-31T00:00:00"/>
    <x v="2"/>
    <n v="1675545"/>
  </r>
  <r>
    <s v="HIDUP BAHAGIA, CV"/>
    <d v="2023-11-01T00:00:00"/>
    <x v="9"/>
    <n v="847374"/>
  </r>
  <r>
    <s v="HIDUP BAHAGIA, CV"/>
    <d v="2023-11-02T00:00:00"/>
    <x v="9"/>
    <n v="1065600"/>
  </r>
  <r>
    <s v="HIDUP BAHAGIA, CV"/>
    <d v="2023-11-11T00:00:00"/>
    <x v="9"/>
    <n v="1338216"/>
  </r>
  <r>
    <s v="HIDUP BAHAGIA, CV"/>
    <d v="2023-11-11T00:00:00"/>
    <x v="9"/>
    <n v="1282050"/>
  </r>
  <r>
    <s v="HIDUP BAHAGIA, CV"/>
    <d v="2023-11-14T00:00:00"/>
    <x v="9"/>
    <n v="770118"/>
  </r>
  <r>
    <s v="HIDUP BAHAGIA, CV"/>
    <d v="2023-11-16T00:00:00"/>
    <x v="9"/>
    <n v="679875"/>
  </r>
  <r>
    <s v="HIDUP BAHAGIA, CV"/>
    <d v="2023-11-23T00:00:00"/>
    <x v="9"/>
    <n v="495615"/>
  </r>
  <r>
    <s v="HIDUP BAHAGIA, CV"/>
    <d v="2023-11-25T00:00:00"/>
    <x v="9"/>
    <n v="930735"/>
  </r>
  <r>
    <s v="HIDUP BAHAGIA, CV"/>
    <d v="2023-11-27T00:00:00"/>
    <x v="9"/>
    <n v="2849691"/>
  </r>
  <r>
    <s v="INDOFARMA GLOBAL MEDIKA, PT"/>
    <d v="2023-01-05T00:00:00"/>
    <x v="11"/>
    <n v="237165"/>
  </r>
  <r>
    <s v="INDOFARMA GLOBAL MEDIKA, PT"/>
    <d v="2023-03-18T00:00:00"/>
    <x v="4"/>
    <n v="1699632"/>
  </r>
  <r>
    <s v="INDOFARMA GLOBAL MEDIKA, PT"/>
    <d v="2023-03-30T00:00:00"/>
    <x v="4"/>
    <n v="2302020"/>
  </r>
  <r>
    <s v="INDOFARMA GLOBAL MEDIKA, PT"/>
    <d v="2023-04-27T00:00:00"/>
    <x v="5"/>
    <n v="277927"/>
  </r>
  <r>
    <s v="INDOFARMA GLOBAL MEDIKA, PT"/>
    <d v="2023-04-28T00:00:00"/>
    <x v="5"/>
    <n v="2915903"/>
  </r>
  <r>
    <s v="INDOFARMA GLOBAL MEDIKA, PT"/>
    <d v="2023-05-11T00:00:00"/>
    <x v="0"/>
    <n v="3197022"/>
  </r>
  <r>
    <s v="INDOFARMA GLOBAL MEDIKA, PT"/>
    <d v="2023-05-16T00:00:00"/>
    <x v="0"/>
    <n v="388056"/>
  </r>
  <r>
    <s v="INDOFARMA GLOBAL MEDIKA, PT"/>
    <d v="2023-07-11T00:00:00"/>
    <x v="7"/>
    <n v="482517"/>
  </r>
  <r>
    <s v="INDOFARMA GLOBAL MEDIKA, PT"/>
    <d v="2023-07-12T00:00:00"/>
    <x v="7"/>
    <n v="4604058"/>
  </r>
  <r>
    <s v="INDOFARMA GLOBAL MEDIKA, PT"/>
    <d v="2023-07-21T00:00:00"/>
    <x v="7"/>
    <n v="461138"/>
  </r>
  <r>
    <s v="INDOFARMA GLOBAL MEDIKA, PT"/>
    <d v="2023-07-24T00:00:00"/>
    <x v="7"/>
    <n v="1128809"/>
  </r>
  <r>
    <s v="INDOFARMA GLOBAL MEDIKA, PT"/>
    <d v="2023-08-03T00:00:00"/>
    <x v="1"/>
    <n v="3475249"/>
  </r>
  <r>
    <s v="INDOFARMA GLOBAL MEDIKA, PT"/>
    <d v="2023-08-03T00:00:00"/>
    <x v="1"/>
    <n v="1128809"/>
  </r>
  <r>
    <s v="INDOFARMA GLOBAL MEDIKA, PT"/>
    <d v="2023-11-27T00:00:00"/>
    <x v="9"/>
    <n v="469752"/>
  </r>
  <r>
    <s v="INDOMEDIKA SOLUSINDO, PT "/>
    <d v="2023-05-11T00:00:00"/>
    <x v="0"/>
    <n v="429570"/>
  </r>
  <r>
    <s v="INDOMEDIKA SOLUSINDO, PT "/>
    <d v="2023-05-31T00:00:00"/>
    <x v="0"/>
    <n v="1996224"/>
  </r>
  <r>
    <s v="INDOMEDIKA SOLUSINDO, PT "/>
    <d v="2023-06-30T00:00:00"/>
    <x v="6"/>
    <n v="429570"/>
  </r>
  <r>
    <s v="INDOMEDIKA SOLUSINDO, PT "/>
    <d v="2023-07-28T00:00:00"/>
    <x v="7"/>
    <n v="357975"/>
  </r>
  <r>
    <s v="INDOMEDIKA SOLUSINDO, PT "/>
    <d v="2023-07-31T00:00:00"/>
    <x v="7"/>
    <n v="131590"/>
  </r>
  <r>
    <s v="INDOMEDIKA SOLUSINDO, PT "/>
    <d v="2023-09-15T00:00:00"/>
    <x v="8"/>
    <n v="930735"/>
  </r>
  <r>
    <s v="INDOMEDIKA SOLUSINDO, PT "/>
    <d v="2023-09-23T00:00:00"/>
    <x v="8"/>
    <n v="2131200"/>
  </r>
  <r>
    <s v="INDOMEDIKA SOLUSINDO, PT "/>
    <d v="2023-10-09T00:00:00"/>
    <x v="2"/>
    <n v="627955"/>
  </r>
  <r>
    <s v="INDOMEDIKA SOLUSINDO, PT "/>
    <d v="2023-10-10T00:00:00"/>
    <x v="2"/>
    <n v="954600"/>
  </r>
  <r>
    <s v="INDOMEDIKA SOLUSINDO, PT "/>
    <d v="2023-10-31T00:00:00"/>
    <x v="2"/>
    <n v="644355"/>
  </r>
  <r>
    <s v="KALLISTA PRIMA, PT"/>
    <d v="2023-03-25T00:00:00"/>
    <x v="4"/>
    <n v="349650"/>
  </r>
  <r>
    <s v="KALLISTA PRIMA, PT"/>
    <d v="2023-03-25T00:00:00"/>
    <x v="4"/>
    <n v="749250"/>
  </r>
  <r>
    <s v="KALLISTA PRIMA, PT"/>
    <d v="2023-03-25T00:00:00"/>
    <x v="4"/>
    <n v="601176"/>
  </r>
  <r>
    <s v="KALLISTA PRIMA, PT"/>
    <d v="2023-03-27T00:00:00"/>
    <x v="4"/>
    <n v="850038"/>
  </r>
  <r>
    <s v="KALLISTA PRIMA, PT"/>
    <d v="2023-04-05T00:00:00"/>
    <x v="5"/>
    <n v="3475687"/>
  </r>
  <r>
    <s v="KALLISTA PRIMA, PT"/>
    <d v="2023-04-08T00:00:00"/>
    <x v="5"/>
    <n v="1379868"/>
  </r>
  <r>
    <s v="KALLISTA PRIMA, PT"/>
    <d v="2023-04-19T00:00:00"/>
    <x v="5"/>
    <n v="1311187"/>
  </r>
  <r>
    <s v="KALLISTA PRIMA, PT"/>
    <d v="2023-05-04T00:00:00"/>
    <x v="0"/>
    <n v="1648350"/>
  </r>
  <r>
    <s v="KALLISTA PRIMA, PT"/>
    <d v="2023-05-19T00:00:00"/>
    <x v="0"/>
    <n v="1398600"/>
  </r>
  <r>
    <s v="KALLISTA PRIMA, PT"/>
    <d v="2023-05-27T00:00:00"/>
    <x v="0"/>
    <n v="1648350"/>
  </r>
  <r>
    <s v="KALLISTA PRIMA, PT"/>
    <d v="2023-05-27T00:00:00"/>
    <x v="0"/>
    <n v="1598816"/>
  </r>
  <r>
    <s v="KALLISTA PRIMA, PT"/>
    <d v="2023-05-29T00:00:00"/>
    <x v="0"/>
    <n v="3197632"/>
  </r>
  <r>
    <s v="KALLISTA PRIMA, PT"/>
    <d v="2023-06-03T00:00:00"/>
    <x v="6"/>
    <n v="416250"/>
  </r>
  <r>
    <s v="KALLISTA PRIMA, PT"/>
    <d v="2023-06-09T00:00:00"/>
    <x v="6"/>
    <n v="1465200"/>
  </r>
  <r>
    <s v="KALLISTA PRIMA, PT"/>
    <d v="2023-06-14T00:00:00"/>
    <x v="6"/>
    <n v="911587"/>
  </r>
  <r>
    <s v="KALLISTA PRIMA, PT"/>
    <d v="2023-06-24T00:00:00"/>
    <x v="6"/>
    <n v="7301025"/>
  </r>
  <r>
    <s v="KALLISTA PRIMA, PT"/>
    <d v="2023-07-13T00:00:00"/>
    <x v="7"/>
    <n v="1648350"/>
  </r>
  <r>
    <s v="KALLISTA PRIMA, PT"/>
    <d v="2023-07-14T00:00:00"/>
    <x v="7"/>
    <n v="1175212"/>
  </r>
  <r>
    <s v="KALLISTA PRIMA, PT"/>
    <d v="2023-07-21T00:00:00"/>
    <x v="7"/>
    <n v="1648350"/>
  </r>
  <r>
    <s v="KALLISTA PRIMA, PT"/>
    <d v="2023-07-31T00:00:00"/>
    <x v="7"/>
    <n v="147630"/>
  </r>
  <r>
    <s v="KALLISTA PRIMA, PT"/>
    <d v="2023-08-08T00:00:00"/>
    <x v="1"/>
    <n v="1483515"/>
  </r>
  <r>
    <s v="KALLISTA PRIMA, PT"/>
    <d v="2023-08-29T00:00:00"/>
    <x v="1"/>
    <n v="12555210"/>
  </r>
  <r>
    <s v="KALLISTA PRIMA, PT"/>
    <d v="2023-08-30T00:00:00"/>
    <x v="1"/>
    <n v="923076"/>
  </r>
  <r>
    <s v="KALLISTA PRIMA, PT"/>
    <d v="2023-08-30T00:00:00"/>
    <x v="1"/>
    <n v="349650"/>
  </r>
  <r>
    <s v="KALLISTA PRIMA, PT"/>
    <d v="2023-09-04T00:00:00"/>
    <x v="8"/>
    <n v="3296700"/>
  </r>
  <r>
    <s v="KALLISTA PRIMA, PT"/>
    <d v="2023-09-11T00:00:00"/>
    <x v="8"/>
    <n v="874125"/>
  </r>
  <r>
    <s v="KIMIA FARMA, PT"/>
    <d v="2023-02-21T00:00:00"/>
    <x v="3"/>
    <n v="241938"/>
  </r>
  <r>
    <s v="KIMIA FARMA, PT"/>
    <d v="2023-02-23T00:00:00"/>
    <x v="3"/>
    <n v="1912314"/>
  </r>
  <r>
    <s v="KIMIA FARMA, PT"/>
    <d v="2023-02-23T00:00:00"/>
    <x v="3"/>
    <n v="378599"/>
  </r>
  <r>
    <s v="KIMIA FARMA, PT"/>
    <d v="2023-02-23T00:00:00"/>
    <x v="3"/>
    <n v="105450"/>
  </r>
  <r>
    <s v="KIMIA FARMA, PT"/>
    <d v="2023-02-28T00:00:00"/>
    <x v="3"/>
    <n v="1110000"/>
  </r>
  <r>
    <s v="KIMIA FARMA, PT"/>
    <d v="2023-02-28T00:00:00"/>
    <x v="3"/>
    <n v="1530024"/>
  </r>
  <r>
    <s v="KIMIA FARMA, PT"/>
    <d v="2023-03-02T00:00:00"/>
    <x v="4"/>
    <n v="2585967"/>
  </r>
  <r>
    <s v="KIMIA FARMA, PT"/>
    <d v="2023-03-03T00:00:00"/>
    <x v="4"/>
    <n v="2570205"/>
  </r>
  <r>
    <s v="KIMIA FARMA, PT"/>
    <d v="2023-03-04T00:00:00"/>
    <x v="4"/>
    <n v="1534686"/>
  </r>
  <r>
    <s v="KIMIA FARMA, PT"/>
    <d v="2023-03-04T00:00:00"/>
    <x v="4"/>
    <n v="4440000"/>
  </r>
  <r>
    <s v="KIMIA FARMA, PT"/>
    <d v="2023-03-13T00:00:00"/>
    <x v="4"/>
    <n v="1149005"/>
  </r>
  <r>
    <s v="KIMIA FARMA, PT"/>
    <d v="2023-03-16T00:00:00"/>
    <x v="4"/>
    <n v="9378523"/>
  </r>
  <r>
    <s v="KIMIA FARMA, PT"/>
    <d v="2023-03-20T00:00:00"/>
    <x v="4"/>
    <n v="399600"/>
  </r>
  <r>
    <s v="KIMIA FARMA, PT"/>
    <d v="2023-03-29T00:00:00"/>
    <x v="4"/>
    <n v="133200"/>
  </r>
  <r>
    <s v="KIMIA FARMA, PT"/>
    <d v="2023-03-29T00:00:00"/>
    <x v="4"/>
    <n v="670501"/>
  </r>
  <r>
    <s v="KIMIA FARMA, PT"/>
    <d v="2023-03-29T00:00:00"/>
    <x v="4"/>
    <n v="418914"/>
  </r>
  <r>
    <s v="KIMIA FARMA, PT"/>
    <d v="2023-03-31T00:00:00"/>
    <x v="4"/>
    <n v="1165500"/>
  </r>
  <r>
    <s v="KIMIA FARMA, PT"/>
    <d v="2023-03-31T00:00:00"/>
    <x v="4"/>
    <n v="3041955"/>
  </r>
  <r>
    <s v="KIMIA FARMA, PT"/>
    <d v="2023-04-10T00:00:00"/>
    <x v="5"/>
    <n v="191503"/>
  </r>
  <r>
    <s v="KIMIA FARMA, PT"/>
    <d v="2023-04-12T00:00:00"/>
    <x v="5"/>
    <n v="4511029"/>
  </r>
  <r>
    <s v="KIMIA FARMA, PT"/>
    <d v="2023-04-12T00:00:00"/>
    <x v="5"/>
    <n v="152950"/>
  </r>
  <r>
    <s v="KIMIA FARMA, PT"/>
    <d v="2023-04-12T00:00:00"/>
    <x v="5"/>
    <n v="123321"/>
  </r>
  <r>
    <s v="KIMIA FARMA, PT"/>
    <d v="2023-04-12T00:00:00"/>
    <x v="5"/>
    <n v="1034997"/>
  </r>
  <r>
    <s v="KIMIA FARMA, PT"/>
    <d v="2023-04-14T00:00:00"/>
    <x v="5"/>
    <n v="800310"/>
  </r>
  <r>
    <s v="KIMIA FARMA, PT"/>
    <d v="2023-04-18T00:00:00"/>
    <x v="5"/>
    <n v="1454999"/>
  </r>
  <r>
    <s v="KIMIA FARMA, PT"/>
    <d v="2023-05-24T00:00:00"/>
    <x v="0"/>
    <n v="318875"/>
  </r>
  <r>
    <s v="KIMIA FARMA, PT"/>
    <d v="2023-05-24T00:00:00"/>
    <x v="0"/>
    <n v="4107000"/>
  </r>
  <r>
    <s v="KIMIA FARMA, PT"/>
    <d v="2023-05-27T00:00:00"/>
    <x v="0"/>
    <n v="6028569"/>
  </r>
  <r>
    <s v="KIMIA FARMA, PT"/>
    <d v="2023-05-31T00:00:00"/>
    <x v="0"/>
    <n v="919191"/>
  </r>
  <r>
    <s v="KIMIA FARMA, PT"/>
    <d v="2023-05-31T00:00:00"/>
    <x v="0"/>
    <n v="3206693"/>
  </r>
  <r>
    <s v="KIMIA FARMA, PT"/>
    <d v="2023-07-10T00:00:00"/>
    <x v="7"/>
    <n v="3555495"/>
  </r>
  <r>
    <s v="KIMIA FARMA, PT"/>
    <d v="2023-07-10T00:00:00"/>
    <x v="7"/>
    <n v="30900"/>
  </r>
  <r>
    <s v="KIMIA FARMA, PT"/>
    <d v="2023-07-13T00:00:00"/>
    <x v="7"/>
    <n v="765012"/>
  </r>
  <r>
    <s v="KIMIA FARMA, PT"/>
    <d v="2023-07-15T00:00:00"/>
    <x v="7"/>
    <n v="437266"/>
  </r>
  <r>
    <s v="KIMIA FARMA, PT"/>
    <d v="2023-07-18T00:00:00"/>
    <x v="7"/>
    <n v="1836273"/>
  </r>
  <r>
    <s v="KIMIA FARMA, PT"/>
    <d v="2023-07-20T00:00:00"/>
    <x v="7"/>
    <n v="139638"/>
  </r>
  <r>
    <s v="KIMIA FARMA, PT"/>
    <d v="2023-07-20T00:00:00"/>
    <x v="7"/>
    <n v="6083910"/>
  </r>
  <r>
    <s v="KIMIA FARMA, PT"/>
    <d v="2023-07-24T00:00:00"/>
    <x v="7"/>
    <n v="1128809"/>
  </r>
  <r>
    <s v="KIMIA FARMA, PT"/>
    <d v="2023-08-05T00:00:00"/>
    <x v="1"/>
    <n v="3468517"/>
  </r>
  <r>
    <s v="KIMIA FARMA, PT"/>
    <d v="2023-08-05T00:00:00"/>
    <x v="1"/>
    <n v="1212120"/>
  </r>
  <r>
    <s v="KIMIA FARMA, PT"/>
    <d v="2023-08-05T00:00:00"/>
    <x v="1"/>
    <n v="377804"/>
  </r>
  <r>
    <s v="KIMIA FARMA, PT"/>
    <d v="2023-08-07T00:00:00"/>
    <x v="1"/>
    <n v="396270"/>
  </r>
  <r>
    <s v="KIMIA FARMA, PT"/>
    <d v="2023-08-07T00:00:00"/>
    <x v="1"/>
    <n v="37499"/>
  </r>
  <r>
    <s v="KIMIA FARMA, PT"/>
    <d v="2023-08-09T00:00:00"/>
    <x v="1"/>
    <n v="2144964"/>
  </r>
  <r>
    <s v="KIMIA FARMA, PT"/>
    <d v="2023-08-11T00:00:00"/>
    <x v="1"/>
    <n v="582750"/>
  </r>
  <r>
    <s v="KIMIA FARMA, PT"/>
    <d v="2023-08-11T00:00:00"/>
    <x v="1"/>
    <n v="139638"/>
  </r>
  <r>
    <s v="KIMIA FARMA, PT"/>
    <d v="2023-08-11T00:00:00"/>
    <x v="1"/>
    <n v="4127790"/>
  </r>
  <r>
    <s v="KIMIA FARMA, PT"/>
    <d v="2023-08-11T00:00:00"/>
    <x v="1"/>
    <n v="56470"/>
  </r>
  <r>
    <s v="KIMIA FARMA, PT"/>
    <d v="2023-08-14T00:00:00"/>
    <x v="1"/>
    <n v="2732975"/>
  </r>
  <r>
    <s v="KIMIA FARMA, PT"/>
    <d v="2023-08-15T00:00:00"/>
    <x v="1"/>
    <n v="69997"/>
  </r>
  <r>
    <s v="KIMIA FARMA, PT"/>
    <d v="2023-08-16T00:00:00"/>
    <x v="1"/>
    <n v="231296"/>
  </r>
  <r>
    <s v="KIMIA FARMA, PT"/>
    <d v="2023-08-16T00:00:00"/>
    <x v="1"/>
    <n v="1776000"/>
  </r>
  <r>
    <s v="KIMIA FARMA, PT"/>
    <d v="2023-08-18T00:00:00"/>
    <x v="1"/>
    <n v="373804"/>
  </r>
  <r>
    <s v="KIMIA FARMA, PT"/>
    <d v="2023-08-21T00:00:00"/>
    <x v="1"/>
    <n v="158175"/>
  </r>
  <r>
    <s v="KIMIA FARMA, PT"/>
    <d v="2023-08-23T00:00:00"/>
    <x v="1"/>
    <n v="3878795"/>
  </r>
  <r>
    <s v="KIMIA FARMA, PT"/>
    <d v="2023-08-28T00:00:00"/>
    <x v="1"/>
    <n v="73926"/>
  </r>
  <r>
    <s v="KIMIA FARMA, PT"/>
    <d v="2023-08-29T00:00:00"/>
    <x v="1"/>
    <n v="268065"/>
  </r>
  <r>
    <s v="KIMIA FARMA, PT"/>
    <d v="2023-09-06T00:00:00"/>
    <x v="8"/>
    <n v="308580"/>
  </r>
  <r>
    <s v="KIMIA FARMA, PT"/>
    <d v="2023-09-22T00:00:00"/>
    <x v="8"/>
    <n v="14548104"/>
  </r>
  <r>
    <s v="KIMIA FARMA, PT"/>
    <d v="2023-09-22T00:00:00"/>
    <x v="8"/>
    <n v="660450"/>
  </r>
  <r>
    <s v="KIMIA FARMA, PT"/>
    <d v="2023-09-25T00:00:00"/>
    <x v="8"/>
    <n v="582750"/>
  </r>
  <r>
    <s v="KIMIA FARMA, PT"/>
    <d v="2023-09-25T00:00:00"/>
    <x v="8"/>
    <n v="6260400"/>
  </r>
  <r>
    <s v="KIMIA FARMA, PT"/>
    <d v="2023-09-26T00:00:00"/>
    <x v="8"/>
    <n v="2359567"/>
  </r>
  <r>
    <s v="KIMIA FARMA, PT"/>
    <d v="2023-09-29T00:00:00"/>
    <x v="8"/>
    <n v="308580"/>
  </r>
  <r>
    <s v="KIMIA FARMA, PT"/>
    <d v="2023-09-30T00:00:00"/>
    <x v="8"/>
    <n v="462870"/>
  </r>
  <r>
    <s v="KIMIA FARMA, PT"/>
    <d v="2023-09-30T00:00:00"/>
    <x v="8"/>
    <n v="771450"/>
  </r>
  <r>
    <s v="KIMIA FARMA, PT"/>
    <d v="2023-09-30T00:00:00"/>
    <x v="8"/>
    <n v="373499"/>
  </r>
  <r>
    <s v="KIMIA FARMA, PT"/>
    <d v="2023-10-07T00:00:00"/>
    <x v="2"/>
    <n v="1065600"/>
  </r>
  <r>
    <s v="KIMIA FARMA, PT"/>
    <d v="2023-10-07T00:00:00"/>
    <x v="2"/>
    <n v="4604058"/>
  </r>
  <r>
    <s v="KIMIA FARMA, PT"/>
    <d v="2023-10-09T00:00:00"/>
    <x v="2"/>
    <n v="1165500"/>
  </r>
  <r>
    <s v="KIMIA FARMA, PT"/>
    <d v="2023-10-10T00:00:00"/>
    <x v="2"/>
    <n v="5260989"/>
  </r>
  <r>
    <s v="KIMIA FARMA, PT"/>
    <d v="2023-10-10T00:00:00"/>
    <x v="2"/>
    <n v="3044996"/>
  </r>
  <r>
    <s v="KIMIA FARMA, PT"/>
    <d v="2023-10-13T00:00:00"/>
    <x v="2"/>
    <n v="1434675"/>
  </r>
  <r>
    <s v="KIMIA FARMA, PT"/>
    <d v="2023-10-17T00:00:00"/>
    <x v="2"/>
    <n v="1498500"/>
  </r>
  <r>
    <s v="KIMIA FARMA, PT"/>
    <d v="2023-10-20T00:00:00"/>
    <x v="2"/>
    <n v="128283"/>
  </r>
  <r>
    <s v="KIMIA FARMA, PT"/>
    <d v="2023-10-21T00:00:00"/>
    <x v="2"/>
    <n v="17685963"/>
  </r>
  <r>
    <s v="KIMIA FARMA, PT"/>
    <d v="2023-10-26T00:00:00"/>
    <x v="2"/>
    <n v="477708"/>
  </r>
  <r>
    <s v="KIMIA FARMA, PT"/>
    <d v="2023-10-27T00:00:00"/>
    <x v="2"/>
    <n v="186480"/>
  </r>
  <r>
    <s v="KIMIA FARMA, PT"/>
    <d v="2023-10-31T00:00:00"/>
    <x v="2"/>
    <n v="436563"/>
  </r>
  <r>
    <s v="KIMIA FARMA, PT"/>
    <d v="2023-11-09T00:00:00"/>
    <x v="9"/>
    <n v="5988450"/>
  </r>
  <r>
    <s v="KIMIA FARMA, PT"/>
    <d v="2023-11-11T00:00:00"/>
    <x v="9"/>
    <n v="3836715"/>
  </r>
  <r>
    <s v="KIMIA FARMA, PT"/>
    <d v="2023-11-13T00:00:00"/>
    <x v="9"/>
    <n v="888000"/>
  </r>
  <r>
    <s v="KIMIA FARMA, PT"/>
    <d v="2023-11-13T00:00:00"/>
    <x v="9"/>
    <n v="4640988"/>
  </r>
  <r>
    <s v="KIMIA FARMA, PT"/>
    <d v="2023-11-16T00:00:00"/>
    <x v="9"/>
    <n v="11074692"/>
  </r>
  <r>
    <s v="KIMIA FARMA, PT"/>
    <d v="2023-11-17T00:00:00"/>
    <x v="9"/>
    <n v="832500"/>
  </r>
  <r>
    <s v="KIMIA FARMA, PT"/>
    <d v="2023-11-20T00:00:00"/>
    <x v="9"/>
    <n v="872704"/>
  </r>
  <r>
    <s v="KIMIA FARMA, PT"/>
    <d v="2023-11-21T00:00:00"/>
    <x v="9"/>
    <n v="932400"/>
  </r>
  <r>
    <s v="KIMIA FARMA, PT"/>
    <m/>
    <x v="15"/>
    <n v="-1128809"/>
  </r>
  <r>
    <s v="MAHAKAM SEJAHTERA ABADI, PT"/>
    <d v="2023-01-24T00:00:00"/>
    <x v="11"/>
    <n v="555000"/>
  </r>
  <r>
    <s v="MAHAKAM SEJAHTERA ABADI, PT"/>
    <d v="2023-02-01T00:00:00"/>
    <x v="3"/>
    <n v="1307580"/>
  </r>
  <r>
    <s v="MAHAKAM SEJAHTERA ABADI, PT"/>
    <d v="2023-02-02T00:00:00"/>
    <x v="3"/>
    <n v="1749735"/>
  </r>
  <r>
    <s v="MAHAKAM SEJAHTERA ABADI, PT"/>
    <d v="2023-02-04T00:00:00"/>
    <x v="3"/>
    <n v="555000"/>
  </r>
  <r>
    <s v="MAHAKAM SEJAHTERA ABADI, PT"/>
    <d v="2023-02-13T00:00:00"/>
    <x v="3"/>
    <n v="3606548"/>
  </r>
  <r>
    <s v="MAHAKAM SEJAHTERA ABADI, PT"/>
    <d v="2023-02-17T00:00:00"/>
    <x v="3"/>
    <n v="1374996"/>
  </r>
  <r>
    <s v="MAHAKAM SEJAHTERA ABADI, PT"/>
    <d v="2023-02-27T00:00:00"/>
    <x v="3"/>
    <n v="5823490"/>
  </r>
  <r>
    <s v="MAHAKAM SEJAHTERA ABADI, PT"/>
    <d v="2023-03-03T00:00:00"/>
    <x v="4"/>
    <n v="3138192"/>
  </r>
  <r>
    <s v="MAHAKAM SEJAHTERA ABADI, PT"/>
    <d v="2023-03-27T00:00:00"/>
    <x v="4"/>
    <n v="2279984"/>
  </r>
  <r>
    <s v="MAHAKAM SEJAHTERA ABADI, PT"/>
    <d v="2023-04-06T00:00:00"/>
    <x v="5"/>
    <n v="3274500"/>
  </r>
  <r>
    <s v="MAHAKAM SEJAHTERA ABADI, PT"/>
    <d v="2023-05-05T00:00:00"/>
    <x v="0"/>
    <n v="510600"/>
  </r>
  <r>
    <s v="MAHAKAM SEJAHTERA ABADI, PT"/>
    <d v="2023-05-09T00:00:00"/>
    <x v="0"/>
    <n v="1798200"/>
  </r>
  <r>
    <s v="MAHAKAM SEJAHTERA ABADI, PT"/>
    <d v="2023-05-12T00:00:00"/>
    <x v="0"/>
    <n v="5404748"/>
  </r>
  <r>
    <s v="MAHAKAM SEJAHTERA ABADI, PT"/>
    <d v="2023-05-29T00:00:00"/>
    <x v="0"/>
    <n v="1749735"/>
  </r>
  <r>
    <s v="MAHAKAM SEJAHTERA ABADI, PT"/>
    <d v="2023-06-03T00:00:00"/>
    <x v="6"/>
    <n v="1942500"/>
  </r>
  <r>
    <s v="MAHAKAM SEJAHTERA ABADI, PT"/>
    <d v="2023-06-08T00:00:00"/>
    <x v="6"/>
    <n v="1665000"/>
  </r>
  <r>
    <s v="MAHAKAM SEJAHTERA ABADI, PT"/>
    <d v="2023-06-09T00:00:00"/>
    <x v="6"/>
    <n v="1798200"/>
  </r>
  <r>
    <s v="MAHAKAM SEJAHTERA ABADI, PT"/>
    <d v="2023-06-24T00:00:00"/>
    <x v="6"/>
    <n v="1665000"/>
  </r>
  <r>
    <s v="MAHAKAM SEJAHTERA ABADI, PT"/>
    <d v="2023-07-13T00:00:00"/>
    <x v="7"/>
    <n v="413668"/>
  </r>
  <r>
    <s v="MAHAKAM SEJAHTERA ABADI, PT"/>
    <d v="2023-07-31T00:00:00"/>
    <x v="7"/>
    <n v="763673"/>
  </r>
  <r>
    <s v="MAHAKAM SEJAHTERA ABADI, PT"/>
    <d v="2023-08-07T00:00:00"/>
    <x v="1"/>
    <n v="1476959"/>
  </r>
  <r>
    <s v="MAHAKAM SEJAHTERA ABADI, PT"/>
    <d v="2023-08-19T00:00:00"/>
    <x v="1"/>
    <n v="1803274"/>
  </r>
  <r>
    <s v="MAHAKAM SEJAHTERA ABADI, PT"/>
    <d v="2023-08-25T00:00:00"/>
    <x v="1"/>
    <n v="1307580"/>
  </r>
  <r>
    <s v="MAHAKAM SEJAHTERA ABADI, PT"/>
    <d v="2023-08-26T00:00:00"/>
    <x v="1"/>
    <n v="763673"/>
  </r>
  <r>
    <s v="MAHAKAM SEJAHTERA ABADI, PT"/>
    <d v="2023-08-28T00:00:00"/>
    <x v="1"/>
    <n v="381837"/>
  </r>
  <r>
    <s v="MAHAKAM SEJAHTERA ABADI, PT"/>
    <d v="2023-09-08T00:00:00"/>
    <x v="8"/>
    <n v="1387500"/>
  </r>
  <r>
    <s v="MAHAKAM SEJAHTERA ABADI, PT"/>
    <d v="2023-09-25T00:00:00"/>
    <x v="8"/>
    <n v="549450"/>
  </r>
  <r>
    <s v="MAHAKAM SEJAHTERA ABADI, PT"/>
    <d v="2023-09-27T00:00:00"/>
    <x v="8"/>
    <n v="821773"/>
  </r>
  <r>
    <s v="MAHAKAM SEJAHTERA ABADI, PT"/>
    <d v="2023-10-09T00:00:00"/>
    <x v="2"/>
    <n v="1527347"/>
  </r>
  <r>
    <s v="MAHAKAM SEJAHTERA ABADI, PT"/>
    <d v="2023-10-11T00:00:00"/>
    <x v="2"/>
    <n v="965145"/>
  </r>
  <r>
    <s v="MAHAKAM SEJAHTERA ABADI, PT"/>
    <d v="2023-10-14T00:00:00"/>
    <x v="2"/>
    <n v="926521"/>
  </r>
  <r>
    <s v="MAHAKAM SEJAHTERA ABADI, PT"/>
    <d v="2023-10-24T00:00:00"/>
    <x v="2"/>
    <n v="1527347"/>
  </r>
  <r>
    <s v="MAHAKAM SEJAHTERA ABADI, PT"/>
    <d v="2023-10-27T00:00:00"/>
    <x v="2"/>
    <n v="980685"/>
  </r>
  <r>
    <s v="MAHAKAM SEJAHTERA ABADI, PT"/>
    <d v="2023-10-31T00:00:00"/>
    <x v="2"/>
    <n v="1527347"/>
  </r>
  <r>
    <s v="MAHAKAM SEJAHTERA ABADI, PT"/>
    <d v="2023-11-03T00:00:00"/>
    <x v="9"/>
    <n v="1749735"/>
  </r>
  <r>
    <s v="MAHAKAM SEJAHTERA ABADI, PT"/>
    <d v="2023-11-10T00:00:00"/>
    <x v="9"/>
    <n v="1665000"/>
  </r>
  <r>
    <s v="MAHAKAM SEJAHTERA ABADI, PT"/>
    <d v="2023-11-17T00:00:00"/>
    <x v="9"/>
    <n v="1909183"/>
  </r>
  <r>
    <s v="MENSA BINA SUKSES, PT"/>
    <d v="2022-12-29T00:00:00"/>
    <x v="16"/>
    <n v="387878"/>
  </r>
  <r>
    <s v="MENSA BINA SUKSES, PT"/>
    <d v="2023-01-17T00:00:00"/>
    <x v="11"/>
    <n v="277777"/>
  </r>
  <r>
    <s v="MENSA BINA SUKSES, PT"/>
    <d v="2023-04-03T00:00:00"/>
    <x v="5"/>
    <n v="533332"/>
  </r>
  <r>
    <s v="MENSA BINA SUKSES, PT"/>
    <d v="2023-04-03T00:00:00"/>
    <x v="5"/>
    <n v="123077"/>
  </r>
  <r>
    <s v="MENSA BINA SUKSES, PT"/>
    <d v="2023-08-25T00:00:00"/>
    <x v="1"/>
    <n v="296580"/>
  </r>
  <r>
    <s v="MENSA BINA SUKSES, PT"/>
    <d v="2023-09-29T00:00:00"/>
    <x v="8"/>
    <n v="205128"/>
  </r>
  <r>
    <s v="MENSA BINA SUKSES, PT"/>
    <d v="2023-11-18T00:00:00"/>
    <x v="9"/>
    <n v="788888"/>
  </r>
  <r>
    <s v="MERAPI UTAMA PHARMA, PT"/>
    <d v="2023-02-22T00:00:00"/>
    <x v="3"/>
    <n v="213675"/>
  </r>
  <r>
    <s v="MERAPI UTAMA PHARMA, PT"/>
    <d v="2023-02-22T00:00:00"/>
    <x v="3"/>
    <n v="1488676"/>
  </r>
  <r>
    <s v="MERAPI UTAMA PHARMA, PT"/>
    <d v="2023-02-25T00:00:00"/>
    <x v="3"/>
    <n v="3545784"/>
  </r>
  <r>
    <s v="MERAPI UTAMA PHARMA, PT"/>
    <d v="2023-02-28T00:00:00"/>
    <x v="3"/>
    <n v="3102450"/>
  </r>
  <r>
    <s v="MERAPI UTAMA PHARMA, PT"/>
    <d v="2023-03-03T00:00:00"/>
    <x v="4"/>
    <n v="3406368"/>
  </r>
  <r>
    <s v="MERAPI UTAMA PHARMA, PT"/>
    <d v="2023-03-06T00:00:00"/>
    <x v="4"/>
    <n v="528000"/>
  </r>
  <r>
    <s v="MERAPI UTAMA PHARMA, PT"/>
    <d v="2023-03-08T00:00:00"/>
    <x v="4"/>
    <n v="350005"/>
  </r>
  <r>
    <s v="MERAPI UTAMA PHARMA, PT"/>
    <d v="2023-03-15T00:00:00"/>
    <x v="4"/>
    <n v="3511485"/>
  </r>
  <r>
    <s v="MERAPI UTAMA PHARMA, PT"/>
    <d v="2023-03-25T00:00:00"/>
    <x v="4"/>
    <n v="921300"/>
  </r>
  <r>
    <s v="MERAPI UTAMA PHARMA, PT"/>
    <d v="2023-03-25T00:00:00"/>
    <x v="4"/>
    <n v="3581248"/>
  </r>
  <r>
    <s v="MERAPI UTAMA PHARMA, PT"/>
    <d v="2023-03-29T00:00:00"/>
    <x v="4"/>
    <n v="1757124"/>
  </r>
  <r>
    <s v="MERAPI UTAMA PHARMA, PT"/>
    <d v="2023-03-29T00:00:00"/>
    <x v="4"/>
    <n v="2127470"/>
  </r>
  <r>
    <s v="MERAPI UTAMA PHARMA, PT"/>
    <d v="2023-04-04T00:00:00"/>
    <x v="5"/>
    <n v="168109"/>
  </r>
  <r>
    <s v="MERAPI UTAMA PHARMA, PT"/>
    <d v="2023-04-04T00:00:00"/>
    <x v="5"/>
    <n v="450000"/>
  </r>
  <r>
    <s v="MERAPI UTAMA PHARMA, PT"/>
    <d v="2023-04-04T00:00:00"/>
    <x v="5"/>
    <n v="1800000"/>
  </r>
  <r>
    <s v="MERAPI UTAMA PHARMA, PT"/>
    <d v="2023-04-04T00:00:00"/>
    <x v="5"/>
    <n v="1209999"/>
  </r>
  <r>
    <s v="MERAPI UTAMA PHARMA, PT"/>
    <d v="2023-04-08T00:00:00"/>
    <x v="5"/>
    <n v="1072515"/>
  </r>
  <r>
    <s v="MERAPI UTAMA PHARMA, PT"/>
    <d v="2023-04-10T00:00:00"/>
    <x v="5"/>
    <n v="399600"/>
  </r>
  <r>
    <s v="MERAPI UTAMA PHARMA, PT"/>
    <d v="2023-04-10T00:00:00"/>
    <x v="5"/>
    <n v="1195958"/>
  </r>
  <r>
    <s v="MERAPI UTAMA PHARMA, PT"/>
    <d v="2023-04-11T00:00:00"/>
    <x v="5"/>
    <n v="2574090"/>
  </r>
  <r>
    <s v="MERAPI UTAMA PHARMA, PT"/>
    <d v="2023-04-12T00:00:00"/>
    <x v="5"/>
    <n v="129148"/>
  </r>
  <r>
    <s v="MERAPI UTAMA PHARMA, PT"/>
    <d v="2023-04-12T00:00:00"/>
    <x v="5"/>
    <n v="441946"/>
  </r>
  <r>
    <s v="MERAPI UTAMA PHARMA, PT"/>
    <d v="2023-04-13T00:00:00"/>
    <x v="5"/>
    <n v="2099831"/>
  </r>
  <r>
    <s v="MERAPI UTAMA PHARMA, PT"/>
    <d v="2023-04-18T00:00:00"/>
    <x v="5"/>
    <n v="186480"/>
  </r>
  <r>
    <s v="MERAPI UTAMA PHARMA, PT"/>
    <d v="2023-04-18T00:00:00"/>
    <x v="5"/>
    <n v="100865"/>
  </r>
  <r>
    <s v="MERAPI UTAMA PHARMA, PT"/>
    <d v="2023-04-19T00:00:00"/>
    <x v="5"/>
    <n v="1332000"/>
  </r>
  <r>
    <s v="MERAPI UTAMA PHARMA, PT"/>
    <d v="2023-04-29T00:00:00"/>
    <x v="5"/>
    <n v="3362634"/>
  </r>
  <r>
    <s v="MERAPI UTAMA PHARMA, PT"/>
    <d v="2023-05-09T00:00:00"/>
    <x v="0"/>
    <n v="5148180"/>
  </r>
  <r>
    <s v="MERAPI UTAMA PHARMA, PT"/>
    <d v="2023-05-16T00:00:00"/>
    <x v="0"/>
    <n v="5043951"/>
  </r>
  <r>
    <s v="MERAPI UTAMA PHARMA, PT"/>
    <d v="2023-06-14T00:00:00"/>
    <x v="6"/>
    <n v="5043951"/>
  </r>
  <r>
    <s v="MERAPI UTAMA PHARMA, PT"/>
    <d v="2023-06-27T00:00:00"/>
    <x v="6"/>
    <n v="2433120"/>
  </r>
  <r>
    <s v="MERAPI UTAMA PHARMA, PT"/>
    <d v="2023-06-27T00:00:00"/>
    <x v="6"/>
    <n v="3861135"/>
  </r>
  <r>
    <s v="MERAPI UTAMA PHARMA, PT"/>
    <d v="2023-06-30T00:00:00"/>
    <x v="6"/>
    <n v="525007"/>
  </r>
  <r>
    <s v="MERAPI UTAMA PHARMA, PT"/>
    <d v="2023-06-30T00:00:00"/>
    <x v="6"/>
    <n v="1418313"/>
  </r>
  <r>
    <s v="MERAPI UTAMA PHARMA, PT"/>
    <d v="2023-06-30T00:00:00"/>
    <x v="6"/>
    <n v="2313262"/>
  </r>
  <r>
    <s v="MERAPI UTAMA PHARMA, PT"/>
    <d v="2023-07-06T00:00:00"/>
    <x v="7"/>
    <n v="626206"/>
  </r>
  <r>
    <s v="MERAPI UTAMA PHARMA, PT"/>
    <d v="2023-07-06T00:00:00"/>
    <x v="7"/>
    <n v="1939947"/>
  </r>
  <r>
    <s v="MERAPI UTAMA PHARMA, PT"/>
    <d v="2023-07-25T00:00:00"/>
    <x v="7"/>
    <n v="514800"/>
  </r>
  <r>
    <s v="MERAPI UTAMA PHARMA, PT"/>
    <d v="2023-07-25T00:00:00"/>
    <x v="7"/>
    <n v="5043951"/>
  </r>
  <r>
    <s v="MERAPI UTAMA PHARMA, PT"/>
    <d v="2023-07-28T00:00:00"/>
    <x v="7"/>
    <n v="2152068"/>
  </r>
  <r>
    <s v="MERAPI UTAMA PHARMA, PT"/>
    <d v="2023-07-28T00:00:00"/>
    <x v="7"/>
    <n v="2059200"/>
  </r>
  <r>
    <s v="MERAPI UTAMA PHARMA, PT"/>
    <d v="2023-07-29T00:00:00"/>
    <x v="7"/>
    <n v="2574001"/>
  </r>
  <r>
    <s v="MERAPI UTAMA PHARMA, PT"/>
    <d v="2023-07-31T00:00:00"/>
    <x v="7"/>
    <n v="1609500"/>
  </r>
  <r>
    <s v="MERAPI UTAMA PHARMA, PT"/>
    <d v="2023-08-14T00:00:00"/>
    <x v="1"/>
    <n v="399600"/>
  </r>
  <r>
    <s v="MERAPI UTAMA PHARMA, PT"/>
    <d v="2023-08-14T00:00:00"/>
    <x v="1"/>
    <n v="5043951"/>
  </r>
  <r>
    <s v="MERAPI UTAMA PHARMA, PT"/>
    <d v="2023-08-16T00:00:00"/>
    <x v="1"/>
    <n v="888000"/>
  </r>
  <r>
    <s v="MERAPI UTAMA PHARMA, PT"/>
    <d v="2023-08-18T00:00:00"/>
    <x v="1"/>
    <n v="5148002"/>
  </r>
  <r>
    <s v="MERAPI UTAMA PHARMA, PT"/>
    <d v="2023-08-25T00:00:00"/>
    <x v="1"/>
    <n v="3362634"/>
  </r>
  <r>
    <s v="MERAPI UTAMA PHARMA, PT"/>
    <d v="2023-08-28T00:00:00"/>
    <x v="1"/>
    <n v="921300"/>
  </r>
  <r>
    <s v="MERAPI UTAMA PHARMA, PT"/>
    <d v="2023-08-28T00:00:00"/>
    <x v="1"/>
    <n v="388500"/>
  </r>
  <r>
    <s v="MERAPI UTAMA PHARMA, PT"/>
    <d v="2023-08-29T00:00:00"/>
    <x v="1"/>
    <n v="3861001"/>
  </r>
  <r>
    <s v="MERAPI UTAMA PHARMA, PT"/>
    <d v="2023-08-29T00:00:00"/>
    <x v="1"/>
    <n v="4604058"/>
  </r>
  <r>
    <s v="MERAPI UTAMA PHARMA, PT"/>
    <d v="2023-08-30T00:00:00"/>
    <x v="1"/>
    <n v="144402"/>
  </r>
  <r>
    <s v="MERAPI UTAMA PHARMA, PT"/>
    <d v="2023-08-30T00:00:00"/>
    <x v="1"/>
    <n v="1787100"/>
  </r>
  <r>
    <s v="MERAPI UTAMA PHARMA, PT"/>
    <d v="2023-08-30T00:00:00"/>
    <x v="1"/>
    <n v="1008790"/>
  </r>
  <r>
    <s v="MERAPI UTAMA PHARMA, PT"/>
    <d v="2023-08-30T00:00:00"/>
    <x v="1"/>
    <n v="5043951"/>
  </r>
  <r>
    <s v="MERAPI UTAMA PHARMA, PT"/>
    <d v="2023-09-04T00:00:00"/>
    <x v="8"/>
    <n v="2433081"/>
  </r>
  <r>
    <s v="MERAPI UTAMA PHARMA, PT"/>
    <d v="2023-09-07T00:00:00"/>
    <x v="8"/>
    <n v="5994000"/>
  </r>
  <r>
    <s v="MERAPI UTAMA PHARMA, PT"/>
    <d v="2023-09-08T00:00:00"/>
    <x v="8"/>
    <n v="1798200"/>
  </r>
  <r>
    <s v="MERAPI UTAMA PHARMA, PT"/>
    <d v="2023-09-09T00:00:00"/>
    <x v="8"/>
    <n v="529350"/>
  </r>
  <r>
    <s v="MERAPI UTAMA PHARMA, PT"/>
    <d v="2023-09-11T00:00:00"/>
    <x v="8"/>
    <n v="1931400"/>
  </r>
  <r>
    <s v="MERAPI UTAMA PHARMA, PT"/>
    <d v="2023-09-19T00:00:00"/>
    <x v="8"/>
    <n v="146853"/>
  </r>
  <r>
    <s v="MERAPI UTAMA PHARMA, PT"/>
    <d v="2023-09-19T00:00:00"/>
    <x v="8"/>
    <n v="5148002"/>
  </r>
  <r>
    <s v="MERAPI UTAMA PHARMA, PT"/>
    <d v="2023-09-19T00:00:00"/>
    <x v="8"/>
    <n v="610500"/>
  </r>
  <r>
    <s v="MERAPI UTAMA PHARMA, PT"/>
    <d v="2023-09-29T00:00:00"/>
    <x v="8"/>
    <n v="499500"/>
  </r>
  <r>
    <s v="MERAPI UTAMA PHARMA, PT"/>
    <d v="2023-09-30T00:00:00"/>
    <x v="8"/>
    <n v="5148002"/>
  </r>
  <r>
    <s v="MERAPI UTAMA PHARMA, PT"/>
    <d v="2023-10-10T00:00:00"/>
    <x v="2"/>
    <n v="5148002"/>
  </r>
  <r>
    <s v="MERAPI UTAMA PHARMA, PT"/>
    <d v="2023-10-10T00:00:00"/>
    <x v="2"/>
    <n v="855010"/>
  </r>
  <r>
    <s v="MERAPI UTAMA PHARMA, PT"/>
    <d v="2023-10-10T00:00:00"/>
    <x v="2"/>
    <n v="233100"/>
  </r>
  <r>
    <s v="MERAPI UTAMA PHARMA, PT"/>
    <d v="2023-10-20T00:00:00"/>
    <x v="2"/>
    <n v="1459848"/>
  </r>
  <r>
    <s v="MERAPI UTAMA PHARMA, PT"/>
    <d v="2023-10-30T00:00:00"/>
    <x v="2"/>
    <n v="5780991"/>
  </r>
  <r>
    <s v="MERAPI UTAMA PHARMA, PT"/>
    <d v="2023-10-31T00:00:00"/>
    <x v="2"/>
    <n v="2419999"/>
  </r>
  <r>
    <s v="MERAPI UTAMA PHARMA, PT"/>
    <d v="2023-11-08T00:00:00"/>
    <x v="9"/>
    <n v="499500"/>
  </r>
  <r>
    <s v="MERAPI UTAMA PHARMA, PT"/>
    <d v="2023-11-08T00:00:00"/>
    <x v="9"/>
    <n v="1931400"/>
  </r>
  <r>
    <s v="MERAPI UTAMA PHARMA, PT"/>
    <d v="2023-11-09T00:00:00"/>
    <x v="9"/>
    <n v="7722003"/>
  </r>
  <r>
    <s v="MERAPI UTAMA PHARMA, PT"/>
    <d v="2023-11-10T00:00:00"/>
    <x v="9"/>
    <n v="888000"/>
  </r>
  <r>
    <s v="MERAPI UTAMA PHARMA, PT"/>
    <d v="2023-11-17T00:00:00"/>
    <x v="9"/>
    <n v="5190804"/>
  </r>
  <r>
    <s v="MERAPI UTAMA PHARMA, PT"/>
    <d v="2023-11-29T00:00:00"/>
    <x v="9"/>
    <n v="834109"/>
  </r>
  <r>
    <s v="MERAPI UTAMA PHARMA, PT"/>
    <d v="2023-11-30T00:00:00"/>
    <x v="9"/>
    <n v="532800"/>
  </r>
  <r>
    <s v="MERAPI UTAMA PHARMA, PT"/>
    <d v="2023-11-30T00:00:00"/>
    <x v="9"/>
    <n v="3861001"/>
  </r>
  <r>
    <s v="MILLENIUM PHARMACON INTERNATIONAL, PT"/>
    <d v="2023-02-02T00:00:00"/>
    <x v="3"/>
    <n v="141398"/>
  </r>
  <r>
    <s v="MILLENIUM PHARMACON INTERNATIONAL, PT"/>
    <d v="2023-02-02T00:00:00"/>
    <x v="3"/>
    <n v="773198"/>
  </r>
  <r>
    <s v="MILLENIUM PHARMACON INTERNATIONAL, PT"/>
    <d v="2023-02-10T00:00:00"/>
    <x v="3"/>
    <n v="232101"/>
  </r>
  <r>
    <s v="MILLENIUM PHARMACON INTERNATIONAL, PT"/>
    <d v="2023-02-11T00:00:00"/>
    <x v="3"/>
    <n v="659091"/>
  </r>
  <r>
    <s v="MILLENIUM PHARMACON INTERNATIONAL, PT"/>
    <d v="2023-02-11T00:00:00"/>
    <x v="3"/>
    <n v="417582"/>
  </r>
  <r>
    <s v="MILLENIUM PHARMACON INTERNATIONAL, PT"/>
    <d v="2023-02-17T00:00:00"/>
    <x v="3"/>
    <n v="3358860"/>
  </r>
  <r>
    <s v="MILLENIUM PHARMACON INTERNATIONAL, PT"/>
    <d v="2023-02-25T00:00:00"/>
    <x v="3"/>
    <n v="509490"/>
  </r>
  <r>
    <s v="MILLENIUM PHARMACON INTERNATIONAL, PT"/>
    <d v="2023-03-06T00:00:00"/>
    <x v="4"/>
    <n v="1006992"/>
  </r>
  <r>
    <s v="MILLENIUM PHARMACON INTERNATIONAL, PT"/>
    <d v="2023-03-10T00:00:00"/>
    <x v="4"/>
    <n v="2189096"/>
  </r>
  <r>
    <s v="MILLENIUM PHARMACON INTERNATIONAL, PT"/>
    <d v="2023-03-27T00:00:00"/>
    <x v="4"/>
    <n v="1531673"/>
  </r>
  <r>
    <s v="MILLENIUM PHARMACON INTERNATIONAL, PT"/>
    <d v="2023-08-08T00:00:00"/>
    <x v="1"/>
    <n v="2943720"/>
  </r>
  <r>
    <s v="MILLENIUM PHARMACON INTERNATIONAL, PT"/>
    <d v="2023-08-15T00:00:00"/>
    <x v="1"/>
    <n v="7936500"/>
  </r>
  <r>
    <s v="MILLENIUM PHARMACON INTERNATIONAL, PT"/>
    <d v="2023-08-18T00:00:00"/>
    <x v="1"/>
    <n v="4360385"/>
  </r>
  <r>
    <s v="MILLENIUM PHARMACON INTERNATIONAL, PT"/>
    <d v="2023-09-12T00:00:00"/>
    <x v="8"/>
    <n v="310800"/>
  </r>
  <r>
    <s v="MILLENIUM PHARMACON INTERNATIONAL, PT"/>
    <d v="2023-09-13T00:00:00"/>
    <x v="8"/>
    <n v="3287909"/>
  </r>
  <r>
    <s v="MILLENIUM PHARMACON INTERNATIONAL, PT"/>
    <d v="2023-09-20T00:00:00"/>
    <x v="8"/>
    <n v="358530"/>
  </r>
  <r>
    <s v="MILLENIUM PHARMACON INTERNATIONAL, PT"/>
    <d v="2023-09-20T00:00:00"/>
    <x v="8"/>
    <n v="3056940"/>
  </r>
  <r>
    <s v="MILLENIUM PHARMACON INTERNATIONAL, PT"/>
    <d v="2023-09-25T00:00:00"/>
    <x v="8"/>
    <n v="603840"/>
  </r>
  <r>
    <s v="MILLENIUM PHARMACON INTERNATIONAL, PT"/>
    <d v="2023-09-26T00:00:00"/>
    <x v="8"/>
    <n v="412420"/>
  </r>
  <r>
    <s v="MILLENIUM PHARMACON INTERNATIONAL, PT"/>
    <d v="2023-09-29T00:00:00"/>
    <x v="8"/>
    <n v="1202962"/>
  </r>
  <r>
    <s v="MILLENIUM PHARMACON INTERNATIONAL, PT"/>
    <d v="2023-09-30T00:00:00"/>
    <x v="8"/>
    <n v="3607944"/>
  </r>
  <r>
    <s v="MILLENIUM PHARMACON INTERNATIONAL, PT"/>
    <d v="2023-09-30T00:00:00"/>
    <x v="8"/>
    <n v="951048"/>
  </r>
  <r>
    <s v="MILLENIUM PHARMACON INTERNATIONAL, PT"/>
    <d v="2023-10-03T00:00:00"/>
    <x v="2"/>
    <n v="776417"/>
  </r>
  <r>
    <s v="MILLENIUM PHARMACON INTERNATIONAL, PT"/>
    <d v="2023-10-17T00:00:00"/>
    <x v="2"/>
    <n v="1985501"/>
  </r>
  <r>
    <s v="MILLENIUM PHARMACON INTERNATIONAL, PT"/>
    <d v="2023-10-21T00:00:00"/>
    <x v="2"/>
    <n v="930568"/>
  </r>
  <r>
    <s v="MILLENIUM PHARMACON INTERNATIONAL, PT"/>
    <d v="2023-10-24T00:00:00"/>
    <x v="2"/>
    <n v="1046064"/>
  </r>
  <r>
    <s v="MILLENIUM PHARMACON INTERNATIONAL, PT"/>
    <d v="2023-10-31T00:00:00"/>
    <x v="2"/>
    <n v="141525"/>
  </r>
  <r>
    <s v="MILLENIUM PHARMACON INTERNATIONAL, PT"/>
    <d v="2023-10-31T00:00:00"/>
    <x v="2"/>
    <n v="1995502"/>
  </r>
  <r>
    <s v="MILLENIUM PHARMACON INTERNATIONAL, PT"/>
    <d v="2023-11-08T00:00:00"/>
    <x v="9"/>
    <n v="502719"/>
  </r>
  <r>
    <s v="MILLENIUM PHARMACON INTERNATIONAL, PT"/>
    <d v="2023-11-08T00:00:00"/>
    <x v="9"/>
    <n v="5114600"/>
  </r>
  <r>
    <s v="MILLENIUM PHARMACON INTERNATIONAL, PT"/>
    <d v="2023-11-11T00:00:00"/>
    <x v="9"/>
    <n v="3287909"/>
  </r>
  <r>
    <s v="MILLENIUM PHARMACON INTERNATIONAL, PT"/>
    <d v="2023-11-14T00:00:00"/>
    <x v="9"/>
    <n v="1043955"/>
  </r>
  <r>
    <s v="MILLENIUM PHARMACON INTERNATIONAL, PT"/>
    <d v="2023-11-16T00:00:00"/>
    <x v="9"/>
    <n v="3974022"/>
  </r>
  <r>
    <s v="MILLENIUM PHARMACON INTERNATIONAL, PT"/>
    <d v="2023-11-16T00:00:00"/>
    <x v="9"/>
    <n v="1043955"/>
  </r>
  <r>
    <s v="MILLENIUM PHARMACON INTERNATIONAL, PT"/>
    <d v="2023-11-17T00:00:00"/>
    <x v="9"/>
    <n v="989010"/>
  </r>
  <r>
    <s v="MILLENIUM PHARMACON INTERNATIONAL, PT"/>
    <d v="2023-11-27T00:00:00"/>
    <x v="9"/>
    <n v="355200"/>
  </r>
  <r>
    <s v="MIRA CHEN INACI"/>
    <d v="2022-12-09T00:00:00"/>
    <x v="16"/>
    <n v="805028"/>
  </r>
  <r>
    <s v="MIRA CHEN INACI"/>
    <d v="2022-12-29T00:00:00"/>
    <x v="16"/>
    <n v="1209179"/>
  </r>
  <r>
    <s v="MIRA CHEN INACI"/>
    <d v="2023-01-27T00:00:00"/>
    <x v="11"/>
    <n v="716672"/>
  </r>
  <r>
    <s v="MIRA CHEN INACI"/>
    <d v="2023-02-06T00:00:00"/>
    <x v="3"/>
    <n v="672494"/>
  </r>
  <r>
    <s v="MIRA CHEN INACI"/>
    <d v="2023-03-21T00:00:00"/>
    <x v="4"/>
    <n v="285381"/>
  </r>
  <r>
    <s v="MIRA CHEN INACI"/>
    <d v="2023-03-25T00:00:00"/>
    <x v="4"/>
    <n v="1994115"/>
  </r>
  <r>
    <s v="MIRA CHEN INACI"/>
    <d v="2023-04-03T00:00:00"/>
    <x v="5"/>
    <n v="3940056"/>
  </r>
  <r>
    <s v="MIRA CHEN INACI"/>
    <d v="2023-04-28T00:00:00"/>
    <x v="5"/>
    <n v="1793316"/>
  </r>
  <r>
    <s v="MIRA CHEN INACI"/>
    <d v="2023-06-06T00:00:00"/>
    <x v="6"/>
    <n v="3267563"/>
  </r>
  <r>
    <s v="MIRA CHEN INACI"/>
    <d v="2023-07-13T00:00:00"/>
    <x v="7"/>
    <n v="2598344"/>
  </r>
  <r>
    <s v="MIRA CHEN INACI"/>
    <d v="2023-07-18T00:00:00"/>
    <x v="7"/>
    <n v="285381"/>
  </r>
  <r>
    <s v="MIRA CHEN INACI"/>
    <d v="2023-08-10T00:00:00"/>
    <x v="1"/>
    <n v="757908"/>
  </r>
  <r>
    <s v="MIRA CHEN INACI"/>
    <d v="2023-08-28T00:00:00"/>
    <x v="1"/>
    <n v="2462535"/>
  </r>
  <r>
    <s v="MIRA CHEN INACI"/>
    <d v="2023-09-14T00:00:00"/>
    <x v="8"/>
    <n v="486180"/>
  </r>
  <r>
    <s v="MIRA CHEN INACI"/>
    <d v="2023-10-02T00:00:00"/>
    <x v="2"/>
    <n v="2462535"/>
  </r>
  <r>
    <s v="MITRA HUSAIN SEJAHTERA"/>
    <d v="2023-01-09T00:00:00"/>
    <x v="11"/>
    <n v="3552000"/>
  </r>
  <r>
    <s v="MITRA HUSAIN SEJAHTERA"/>
    <d v="2023-01-30T00:00:00"/>
    <x v="11"/>
    <n v="3552000"/>
  </r>
  <r>
    <s v="MITRA HUSAIN SEJAHTERA"/>
    <d v="2023-03-30T00:00:00"/>
    <x v="4"/>
    <n v="4800000"/>
  </r>
  <r>
    <s v="MITRA MESTIKA SARANA, PT"/>
    <d v="2023-02-25T00:00:00"/>
    <x v="3"/>
    <n v="210900"/>
  </r>
  <r>
    <s v="MITRA MESTIKA SARANA, PT"/>
    <d v="2023-09-19T00:00:00"/>
    <x v="8"/>
    <n v="3108000"/>
  </r>
  <r>
    <s v="MITRA MESTIKA SARANA, PT"/>
    <d v="2023-10-07T00:00:00"/>
    <x v="2"/>
    <n v="3885000"/>
  </r>
  <r>
    <s v="MURINDO MULTI SARANA, PT"/>
    <d v="2022-12-28T00:00:00"/>
    <x v="16"/>
    <n v="581764"/>
  </r>
  <r>
    <s v="MURINDO MULTI SARANA, PT"/>
    <d v="2022-12-29T00:00:00"/>
    <x v="16"/>
    <n v="1061737"/>
  </r>
  <r>
    <s v="MURINDO MULTI SARANA, PT"/>
    <d v="2023-01-21T00:00:00"/>
    <x v="11"/>
    <n v="639946"/>
  </r>
  <r>
    <s v="MURINDO MULTI SARANA, PT"/>
    <d v="2023-03-15T00:00:00"/>
    <x v="4"/>
    <n v="2242661"/>
  </r>
  <r>
    <s v="MURINDO MULTI SARANA, PT"/>
    <d v="2023-06-02T00:00:00"/>
    <x v="6"/>
    <n v="509063"/>
  </r>
  <r>
    <s v="MURINDO MULTI SARANA, PT"/>
    <d v="2023-06-09T00:00:00"/>
    <x v="6"/>
    <n v="560665"/>
  </r>
  <r>
    <s v="MURINDO MULTI SARANA, PT"/>
    <d v="2023-06-12T00:00:00"/>
    <x v="6"/>
    <n v="1681996"/>
  </r>
  <r>
    <s v="MURINDO MULTI SARANA, PT"/>
    <d v="2023-07-11T00:00:00"/>
    <x v="7"/>
    <n v="2276654"/>
  </r>
  <r>
    <s v="PARIT PADANG GLOBAL, PT"/>
    <d v="2023-01-31T00:00:00"/>
    <x v="11"/>
    <n v="226440"/>
  </r>
  <r>
    <s v="PARIT PADANG GLOBAL, PT"/>
    <d v="2023-02-02T00:00:00"/>
    <x v="3"/>
    <n v="2208067"/>
  </r>
  <r>
    <s v="PARIT PADANG GLOBAL, PT"/>
    <d v="2023-02-03T00:00:00"/>
    <x v="3"/>
    <n v="107520"/>
  </r>
  <r>
    <s v="PARIT PADANG GLOBAL, PT"/>
    <d v="2023-02-09T00:00:00"/>
    <x v="3"/>
    <n v="3424788"/>
  </r>
  <r>
    <s v="PARIT PADANG GLOBAL, PT"/>
    <d v="2023-02-09T00:00:00"/>
    <x v="3"/>
    <n v="1369962"/>
  </r>
  <r>
    <s v="PARIT PADANG GLOBAL, PT"/>
    <d v="2023-02-10T00:00:00"/>
    <x v="3"/>
    <n v="339923"/>
  </r>
  <r>
    <s v="PARIT PADANG GLOBAL, PT"/>
    <d v="2023-02-11T00:00:00"/>
    <x v="3"/>
    <n v="59940"/>
  </r>
  <r>
    <s v="PARIT PADANG GLOBAL, PT"/>
    <d v="2023-02-11T00:00:00"/>
    <x v="3"/>
    <n v="5096787"/>
  </r>
  <r>
    <s v="PARIT PADANG GLOBAL, PT"/>
    <d v="2023-02-13T00:00:00"/>
    <x v="3"/>
    <n v="199200"/>
  </r>
  <r>
    <s v="PARIT PADANG GLOBAL, PT"/>
    <d v="2023-02-13T00:00:00"/>
    <x v="3"/>
    <n v="161280"/>
  </r>
  <r>
    <s v="PARIT PADANG GLOBAL, PT"/>
    <d v="2023-02-13T00:00:00"/>
    <x v="3"/>
    <n v="932400"/>
  </r>
  <r>
    <s v="PARIT PADANG GLOBAL, PT"/>
    <d v="2023-02-13T00:00:00"/>
    <x v="3"/>
    <n v="570012"/>
  </r>
  <r>
    <s v="PARIT PADANG GLOBAL, PT"/>
    <d v="2023-02-14T00:00:00"/>
    <x v="3"/>
    <n v="6841507"/>
  </r>
  <r>
    <s v="PARIT PADANG GLOBAL, PT"/>
    <d v="2023-02-15T00:00:00"/>
    <x v="3"/>
    <n v="226000"/>
  </r>
  <r>
    <s v="PARIT PADANG GLOBAL, PT"/>
    <d v="2023-02-20T00:00:00"/>
    <x v="3"/>
    <n v="122100"/>
  </r>
  <r>
    <s v="PARIT PADANG GLOBAL, PT"/>
    <d v="2023-02-20T00:00:00"/>
    <x v="3"/>
    <n v="2568591"/>
  </r>
  <r>
    <s v="PARIT PADANG GLOBAL, PT"/>
    <d v="2023-02-21T00:00:00"/>
    <x v="3"/>
    <n v="1436540"/>
  </r>
  <r>
    <s v="PARIT PADANG GLOBAL, PT"/>
    <d v="2023-02-22T00:00:00"/>
    <x v="3"/>
    <n v="9370560"/>
  </r>
  <r>
    <s v="PARIT PADANG GLOBAL, PT"/>
    <d v="2023-02-23T00:00:00"/>
    <x v="3"/>
    <n v="599400"/>
  </r>
  <r>
    <s v="PARIT PADANG GLOBAL, PT"/>
    <d v="2023-02-23T00:00:00"/>
    <x v="3"/>
    <n v="888000"/>
  </r>
  <r>
    <s v="PARIT PADANG GLOBAL, PT"/>
    <d v="2023-02-24T00:00:00"/>
    <x v="3"/>
    <n v="3974521"/>
  </r>
  <r>
    <s v="PARIT PADANG GLOBAL, PT"/>
    <d v="2023-02-25T00:00:00"/>
    <x v="3"/>
    <n v="3174600"/>
  </r>
  <r>
    <s v="PARIT PADANG GLOBAL, PT"/>
    <d v="2023-02-27T00:00:00"/>
    <x v="3"/>
    <n v="619380"/>
  </r>
  <r>
    <s v="PARIT PADANG GLOBAL, PT"/>
    <d v="2023-02-28T00:00:00"/>
    <x v="3"/>
    <n v="339923"/>
  </r>
  <r>
    <s v="PARIT PADANG GLOBAL, PT"/>
    <d v="2023-02-28T00:00:00"/>
    <x v="3"/>
    <n v="520878"/>
  </r>
  <r>
    <s v="PARIT PADANG GLOBAL, PT"/>
    <d v="2023-02-28T00:00:00"/>
    <x v="3"/>
    <n v="8390157"/>
  </r>
  <r>
    <s v="PARIT PADANG GLOBAL, PT"/>
    <d v="2023-02-28T00:00:00"/>
    <x v="3"/>
    <n v="489149"/>
  </r>
  <r>
    <s v="PARIT PADANG GLOBAL, PT"/>
    <d v="2023-03-01T00:00:00"/>
    <x v="4"/>
    <n v="398157"/>
  </r>
  <r>
    <s v="PARIT PADANG GLOBAL, PT"/>
    <d v="2023-03-02T00:00:00"/>
    <x v="4"/>
    <n v="360000"/>
  </r>
  <r>
    <s v="PARIT PADANG GLOBAL, PT"/>
    <d v="2023-03-02T00:00:00"/>
    <x v="4"/>
    <n v="2654380"/>
  </r>
  <r>
    <s v="PARIT PADANG GLOBAL, PT"/>
    <d v="2023-03-02T00:00:00"/>
    <x v="4"/>
    <n v="451468"/>
  </r>
  <r>
    <s v="PARIT PADANG GLOBAL, PT"/>
    <d v="2023-03-07T00:00:00"/>
    <x v="4"/>
    <n v="2156591"/>
  </r>
  <r>
    <s v="PARIT PADANG GLOBAL, PT"/>
    <d v="2023-03-09T00:00:00"/>
    <x v="4"/>
    <n v="1085213"/>
  </r>
  <r>
    <s v="PARIT PADANG GLOBAL, PT"/>
    <d v="2023-03-09T00:00:00"/>
    <x v="4"/>
    <n v="4992535"/>
  </r>
  <r>
    <s v="PARIT PADANG GLOBAL, PT"/>
    <d v="2023-03-17T00:00:00"/>
    <x v="4"/>
    <n v="3451878"/>
  </r>
  <r>
    <s v="PARIT PADANG GLOBAL, PT"/>
    <d v="2023-03-19T00:00:00"/>
    <x v="4"/>
    <n v="374625"/>
  </r>
  <r>
    <s v="PARIT PADANG GLOBAL, PT"/>
    <d v="2023-03-20T00:00:00"/>
    <x v="4"/>
    <n v="902936"/>
  </r>
  <r>
    <s v="PARIT PADANG GLOBAL, PT"/>
    <d v="2023-03-20T00:00:00"/>
    <x v="4"/>
    <n v="81585"/>
  </r>
  <r>
    <s v="PARIT PADANG GLOBAL, PT"/>
    <d v="2023-03-25T00:00:00"/>
    <x v="4"/>
    <n v="599400"/>
  </r>
  <r>
    <s v="PARIT PADANG GLOBAL, PT"/>
    <d v="2023-03-27T00:00:00"/>
    <x v="4"/>
    <n v="324900"/>
  </r>
  <r>
    <s v="PARIT PADANG GLOBAL, PT"/>
    <d v="2023-03-27T00:00:00"/>
    <x v="4"/>
    <n v="1659450"/>
  </r>
  <r>
    <s v="PARIT PADANG GLOBAL, PT"/>
    <d v="2023-03-27T00:00:00"/>
    <x v="4"/>
    <n v="989010"/>
  </r>
  <r>
    <s v="PARIT PADANG GLOBAL, PT"/>
    <d v="2023-03-27T00:00:00"/>
    <x v="4"/>
    <n v="2653122"/>
  </r>
  <r>
    <s v="PARIT PADANG GLOBAL, PT"/>
    <d v="2023-03-28T00:00:00"/>
    <x v="4"/>
    <n v="1095969"/>
  </r>
  <r>
    <s v="PARIT PADANG GLOBAL, PT"/>
    <d v="2023-03-28T00:00:00"/>
    <x v="4"/>
    <n v="420000"/>
  </r>
  <r>
    <s v="PARIT PADANG GLOBAL, PT"/>
    <d v="2023-03-28T00:00:00"/>
    <x v="4"/>
    <n v="3996000"/>
  </r>
  <r>
    <s v="PARIT PADANG GLOBAL, PT"/>
    <d v="2023-03-28T00:00:00"/>
    <x v="4"/>
    <n v="888000"/>
  </r>
  <r>
    <s v="PARIT PADANG GLOBAL, PT"/>
    <d v="2023-03-29T00:00:00"/>
    <x v="4"/>
    <n v="4710119"/>
  </r>
  <r>
    <s v="PARIT PADANG GLOBAL, PT"/>
    <d v="2023-03-29T00:00:00"/>
    <x v="4"/>
    <n v="1773780"/>
  </r>
  <r>
    <s v="PARIT PADANG GLOBAL, PT"/>
    <d v="2023-03-29T00:00:00"/>
    <x v="4"/>
    <n v="2317236"/>
  </r>
  <r>
    <s v="PARIT PADANG GLOBAL, PT"/>
    <d v="2023-03-29T00:00:00"/>
    <x v="4"/>
    <n v="595362"/>
  </r>
  <r>
    <s v="PARIT PADANG GLOBAL, PT"/>
    <d v="2023-03-29T00:00:00"/>
    <x v="4"/>
    <n v="444000"/>
  </r>
  <r>
    <s v="PARIT PADANG GLOBAL, PT"/>
    <d v="2023-03-29T00:00:00"/>
    <x v="4"/>
    <n v="898212"/>
  </r>
  <r>
    <s v="PARIT PADANG GLOBAL, PT"/>
    <d v="2023-03-29T00:00:00"/>
    <x v="4"/>
    <n v="1851618"/>
  </r>
  <r>
    <s v="PARIT PADANG GLOBAL, PT"/>
    <d v="2023-03-29T00:00:00"/>
    <x v="4"/>
    <n v="3759653"/>
  </r>
  <r>
    <s v="PARIT PADANG GLOBAL, PT"/>
    <d v="2023-03-30T00:00:00"/>
    <x v="4"/>
    <n v="1998000"/>
  </r>
  <r>
    <s v="PARIT PADANG GLOBAL, PT"/>
    <d v="2023-03-31T00:00:00"/>
    <x v="4"/>
    <n v="2568591"/>
  </r>
  <r>
    <s v="PARIT PADANG GLOBAL, PT"/>
    <d v="2023-03-31T00:00:00"/>
    <x v="4"/>
    <n v="1712400"/>
  </r>
  <r>
    <s v="PARIT PADANG GLOBAL, PT"/>
    <d v="2023-03-31T00:00:00"/>
    <x v="4"/>
    <n v="320515"/>
  </r>
  <r>
    <s v="PARIT PADANG GLOBAL, PT"/>
    <d v="2023-03-31T00:00:00"/>
    <x v="4"/>
    <n v="495809"/>
  </r>
  <r>
    <s v="PARIT PADANG GLOBAL, PT"/>
    <d v="2023-04-03T00:00:00"/>
    <x v="5"/>
    <n v="10542447"/>
  </r>
  <r>
    <s v="PARIT PADANG GLOBAL, PT"/>
    <d v="2023-04-11T00:00:00"/>
    <x v="5"/>
    <n v="392590"/>
  </r>
  <r>
    <s v="PARIT PADANG GLOBAL, PT"/>
    <d v="2023-04-11T00:00:00"/>
    <x v="5"/>
    <n v="951048"/>
  </r>
  <r>
    <s v="PARIT PADANG GLOBAL, PT"/>
    <d v="2023-04-13T00:00:00"/>
    <x v="5"/>
    <n v="135013"/>
  </r>
  <r>
    <s v="PARIT PADANG GLOBAL, PT"/>
    <d v="2023-04-19T00:00:00"/>
    <x v="5"/>
    <n v="2122875"/>
  </r>
  <r>
    <s v="PARIT PADANG GLOBAL, PT"/>
    <d v="2023-04-25T00:00:00"/>
    <x v="5"/>
    <n v="1796424"/>
  </r>
  <r>
    <s v="PARIT PADANG GLOBAL, PT"/>
    <d v="2023-04-25T00:00:00"/>
    <x v="5"/>
    <n v="6693300"/>
  </r>
  <r>
    <s v="PARIT PADANG GLOBAL, PT"/>
    <d v="2023-04-27T00:00:00"/>
    <x v="5"/>
    <n v="200077"/>
  </r>
  <r>
    <s v="PARIT PADANG GLOBAL, PT"/>
    <d v="2023-04-29T00:00:00"/>
    <x v="5"/>
    <n v="1252936"/>
  </r>
  <r>
    <s v="PARIT PADANG GLOBAL, PT"/>
    <d v="2023-04-29T00:00:00"/>
    <x v="5"/>
    <n v="226000"/>
  </r>
  <r>
    <s v="PARIT PADANG GLOBAL, PT"/>
    <d v="2023-04-29T00:00:00"/>
    <x v="5"/>
    <n v="5994000"/>
  </r>
  <r>
    <s v="PARIT PADANG GLOBAL, PT"/>
    <d v="2023-05-03T00:00:00"/>
    <x v="0"/>
    <n v="10700890"/>
  </r>
  <r>
    <s v="PARIT PADANG GLOBAL, PT"/>
    <d v="2023-05-09T00:00:00"/>
    <x v="0"/>
    <n v="4280984"/>
  </r>
  <r>
    <s v="PARIT PADANG GLOBAL, PT"/>
    <d v="2023-05-09T00:00:00"/>
    <x v="0"/>
    <n v="2283270"/>
  </r>
  <r>
    <s v="PARIT PADANG GLOBAL, PT"/>
    <d v="2023-05-10T00:00:00"/>
    <x v="0"/>
    <n v="665820"/>
  </r>
  <r>
    <s v="PARIT PADANG GLOBAL, PT"/>
    <d v="2023-05-11T00:00:00"/>
    <x v="0"/>
    <n v="5970745"/>
  </r>
  <r>
    <s v="PARIT PADANG GLOBAL, PT"/>
    <d v="2023-05-12T00:00:00"/>
    <x v="0"/>
    <n v="681096"/>
  </r>
  <r>
    <s v="PARIT PADANG GLOBAL, PT"/>
    <d v="2023-05-13T00:00:00"/>
    <x v="0"/>
    <n v="782550"/>
  </r>
  <r>
    <s v="PARIT PADANG GLOBAL, PT"/>
    <d v="2023-05-13T00:00:00"/>
    <x v="0"/>
    <n v="3974022"/>
  </r>
  <r>
    <s v="PARIT PADANG GLOBAL, PT"/>
    <d v="2023-05-13T00:00:00"/>
    <x v="0"/>
    <n v="2664000"/>
  </r>
  <r>
    <s v="PARIT PADANG GLOBAL, PT"/>
    <d v="2023-05-26T00:00:00"/>
    <x v="0"/>
    <n v="3996000"/>
  </r>
  <r>
    <s v="PARIT PADANG GLOBAL, PT"/>
    <d v="2023-05-27T00:00:00"/>
    <x v="0"/>
    <n v="4429200"/>
  </r>
  <r>
    <s v="PARIT PADANG GLOBAL, PT"/>
    <d v="2023-05-29T00:00:00"/>
    <x v="0"/>
    <n v="828000"/>
  </r>
  <r>
    <s v="PARIT PADANG GLOBAL, PT"/>
    <d v="2023-05-31T00:00:00"/>
    <x v="0"/>
    <n v="1298700"/>
  </r>
  <r>
    <s v="PARIT PADANG GLOBAL, PT"/>
    <d v="2023-05-31T00:00:00"/>
    <x v="0"/>
    <n v="9145095"/>
  </r>
  <r>
    <s v="PARIT PADANG GLOBAL, PT"/>
    <d v="2023-05-31T00:00:00"/>
    <x v="0"/>
    <n v="9990000"/>
  </r>
  <r>
    <s v="PARIT PADANG GLOBAL, PT"/>
    <d v="2023-06-03T00:00:00"/>
    <x v="6"/>
    <n v="3091294"/>
  </r>
  <r>
    <s v="PARIT PADANG GLOBAL, PT"/>
    <d v="2023-06-05T00:00:00"/>
    <x v="6"/>
    <n v="366300"/>
  </r>
  <r>
    <s v="PARIT PADANG GLOBAL, PT"/>
    <d v="2023-06-06T00:00:00"/>
    <x v="6"/>
    <n v="991507"/>
  </r>
  <r>
    <s v="PARIT PADANG GLOBAL, PT"/>
    <d v="2023-06-08T00:00:00"/>
    <x v="6"/>
    <n v="1324840"/>
  </r>
  <r>
    <s v="PARIT PADANG GLOBAL, PT"/>
    <d v="2023-06-08T00:00:00"/>
    <x v="6"/>
    <n v="3996000"/>
  </r>
  <r>
    <s v="PARIT PADANG GLOBAL, PT"/>
    <d v="2023-06-08T00:00:00"/>
    <x v="6"/>
    <n v="4280991"/>
  </r>
  <r>
    <s v="PARIT PADANG GLOBAL, PT"/>
    <d v="2023-06-08T00:00:00"/>
    <x v="6"/>
    <n v="7000864"/>
  </r>
  <r>
    <s v="PARIT PADANG GLOBAL, PT"/>
    <d v="2023-06-12T00:00:00"/>
    <x v="6"/>
    <n v="4798300"/>
  </r>
  <r>
    <s v="PARIT PADANG GLOBAL, PT"/>
    <d v="2023-06-19T00:00:00"/>
    <x v="6"/>
    <n v="449550"/>
  </r>
  <r>
    <s v="PARIT PADANG GLOBAL, PT"/>
    <d v="2023-06-21T00:00:00"/>
    <x v="6"/>
    <n v="3205125"/>
  </r>
  <r>
    <s v="PARIT PADANG GLOBAL, PT"/>
    <d v="2023-06-22T00:00:00"/>
    <x v="6"/>
    <n v="324450"/>
  </r>
  <r>
    <s v="PARIT PADANG GLOBAL, PT"/>
    <d v="2023-06-22T00:00:00"/>
    <x v="6"/>
    <n v="1152686"/>
  </r>
  <r>
    <s v="PARIT PADANG GLOBAL, PT"/>
    <d v="2023-06-22T00:00:00"/>
    <x v="6"/>
    <n v="7813689"/>
  </r>
  <r>
    <s v="PARIT PADANG GLOBAL, PT"/>
    <d v="2023-06-23T00:00:00"/>
    <x v="6"/>
    <n v="704295"/>
  </r>
  <r>
    <s v="PARIT PADANG GLOBAL, PT"/>
    <d v="2023-06-27T00:00:00"/>
    <x v="6"/>
    <n v="2597400"/>
  </r>
  <r>
    <s v="PARIT PADANG GLOBAL, PT"/>
    <d v="2023-06-27T00:00:00"/>
    <x v="6"/>
    <n v="3557900"/>
  </r>
  <r>
    <s v="PARIT PADANG GLOBAL, PT"/>
    <d v="2023-06-28T00:00:00"/>
    <x v="6"/>
    <n v="1665000"/>
  </r>
  <r>
    <s v="PARIT PADANG GLOBAL, PT"/>
    <d v="2023-06-30T00:00:00"/>
    <x v="6"/>
    <n v="269369"/>
  </r>
  <r>
    <s v="PARIT PADANG GLOBAL, PT"/>
    <d v="2023-07-03T00:00:00"/>
    <x v="7"/>
    <n v="1928640"/>
  </r>
  <r>
    <s v="PARIT PADANG GLOBAL, PT"/>
    <d v="2023-07-05T00:00:00"/>
    <x v="7"/>
    <n v="1050002"/>
  </r>
  <r>
    <s v="PARIT PADANG GLOBAL, PT"/>
    <d v="2023-07-05T00:00:00"/>
    <x v="7"/>
    <n v="1796424"/>
  </r>
  <r>
    <s v="PARIT PADANG GLOBAL, PT"/>
    <d v="2023-07-06T00:00:00"/>
    <x v="7"/>
    <n v="4416135"/>
  </r>
  <r>
    <s v="PARIT PADANG GLOBAL, PT"/>
    <d v="2023-07-06T00:00:00"/>
    <x v="7"/>
    <n v="194805"/>
  </r>
  <r>
    <s v="PARIT PADANG GLOBAL, PT"/>
    <d v="2023-07-07T00:00:00"/>
    <x v="7"/>
    <n v="1380000"/>
  </r>
  <r>
    <s v="PARIT PADANG GLOBAL, PT"/>
    <d v="2023-07-10T00:00:00"/>
    <x v="7"/>
    <n v="1542912"/>
  </r>
  <r>
    <s v="PARIT PADANG GLOBAL, PT"/>
    <d v="2023-07-11T00:00:00"/>
    <x v="7"/>
    <n v="11488500"/>
  </r>
  <r>
    <s v="PARIT PADANG GLOBAL, PT"/>
    <d v="2023-07-13T00:00:00"/>
    <x v="7"/>
    <n v="3437359"/>
  </r>
  <r>
    <s v="PARIT PADANG GLOBAL, PT"/>
    <d v="2023-07-17T00:00:00"/>
    <x v="7"/>
    <n v="102760"/>
  </r>
  <r>
    <s v="PARIT PADANG GLOBAL, PT"/>
    <d v="2023-07-17T00:00:00"/>
    <x v="7"/>
    <n v="132800"/>
  </r>
  <r>
    <s v="PARIT PADANG GLOBAL, PT"/>
    <d v="2023-07-18T00:00:00"/>
    <x v="7"/>
    <n v="1845500"/>
  </r>
  <r>
    <s v="PARIT PADANG GLOBAL, PT"/>
    <d v="2023-07-18T00:00:00"/>
    <x v="7"/>
    <n v="3974022"/>
  </r>
  <r>
    <s v="PARIT PADANG GLOBAL, PT"/>
    <d v="2023-07-29T00:00:00"/>
    <x v="7"/>
    <n v="1027600"/>
  </r>
  <r>
    <s v="PARIT PADANG GLOBAL, PT"/>
    <d v="2023-07-31T00:00:00"/>
    <x v="7"/>
    <n v="11196421"/>
  </r>
  <r>
    <s v="PARIT PADANG GLOBAL, PT"/>
    <d v="2023-07-31T00:00:00"/>
    <x v="7"/>
    <n v="520878"/>
  </r>
  <r>
    <s v="PARIT PADANG GLOBAL, PT"/>
    <d v="2023-08-15T00:00:00"/>
    <x v="1"/>
    <n v="1884107"/>
  </r>
  <r>
    <s v="PARIT PADANG GLOBAL, PT"/>
    <d v="2023-08-15T00:00:00"/>
    <x v="1"/>
    <n v="2892960"/>
  </r>
  <r>
    <s v="PARIT PADANG GLOBAL, PT"/>
    <d v="2023-08-18T00:00:00"/>
    <x v="1"/>
    <n v="31168367"/>
  </r>
  <r>
    <s v="PARIT PADANG GLOBAL, PT"/>
    <d v="2023-08-18T00:00:00"/>
    <x v="1"/>
    <n v="18512570"/>
  </r>
  <r>
    <s v="PARIT PADANG GLOBAL, PT"/>
    <d v="2023-08-18T00:00:00"/>
    <x v="1"/>
    <n v="5652322"/>
  </r>
  <r>
    <s v="PARIT PADANG GLOBAL, PT"/>
    <d v="2023-08-18T00:00:00"/>
    <x v="1"/>
    <n v="3857280"/>
  </r>
  <r>
    <s v="PARIT PADANG GLOBAL, PT"/>
    <d v="2023-08-19T00:00:00"/>
    <x v="1"/>
    <n v="3233563"/>
  </r>
  <r>
    <s v="PARIT PADANG GLOBAL, PT"/>
    <d v="2023-08-21T00:00:00"/>
    <x v="1"/>
    <n v="1983015"/>
  </r>
  <r>
    <s v="PARIT PADANG GLOBAL, PT"/>
    <d v="2023-08-21T00:00:00"/>
    <x v="1"/>
    <n v="7992000"/>
  </r>
  <r>
    <s v="PARIT PADANG GLOBAL, PT"/>
    <d v="2023-08-22T00:00:00"/>
    <x v="1"/>
    <n v="629999"/>
  </r>
  <r>
    <s v="PARIT PADANG GLOBAL, PT"/>
    <d v="2023-08-22T00:00:00"/>
    <x v="1"/>
    <n v="2797200"/>
  </r>
  <r>
    <s v="PARIT PADANG GLOBAL, PT"/>
    <d v="2023-08-22T00:00:00"/>
    <x v="1"/>
    <n v="300555"/>
  </r>
  <r>
    <s v="PARIT PADANG GLOBAL, PT"/>
    <d v="2023-08-22T00:00:00"/>
    <x v="1"/>
    <n v="2182815"/>
  </r>
  <r>
    <s v="PARIT PADANG GLOBAL, PT"/>
    <d v="2023-08-23T00:00:00"/>
    <x v="1"/>
    <n v="1554000"/>
  </r>
  <r>
    <s v="PARIT PADANG GLOBAL, PT"/>
    <d v="2023-08-23T00:00:00"/>
    <x v="1"/>
    <n v="1551585"/>
  </r>
  <r>
    <s v="PARIT PADANG GLOBAL, PT"/>
    <d v="2023-08-25T00:00:00"/>
    <x v="1"/>
    <n v="282384"/>
  </r>
  <r>
    <s v="PARIT PADANG GLOBAL, PT"/>
    <d v="2023-08-25T00:00:00"/>
    <x v="1"/>
    <n v="1554000"/>
  </r>
  <r>
    <s v="PARIT PADANG GLOBAL, PT"/>
    <d v="2023-08-28T00:00:00"/>
    <x v="1"/>
    <n v="648900"/>
  </r>
  <r>
    <s v="PARIT PADANG GLOBAL, PT"/>
    <d v="2023-08-29T00:00:00"/>
    <x v="1"/>
    <n v="341871"/>
  </r>
  <r>
    <s v="PARIT PADANG GLOBAL, PT"/>
    <d v="2023-08-31T00:00:00"/>
    <x v="1"/>
    <n v="1001851"/>
  </r>
  <r>
    <s v="PARIT PADANG GLOBAL, PT"/>
    <d v="2023-08-31T00:00:00"/>
    <x v="1"/>
    <n v="1764004"/>
  </r>
  <r>
    <s v="PARIT PADANG GLOBAL, PT"/>
    <d v="2023-09-05T00:00:00"/>
    <x v="8"/>
    <n v="601233"/>
  </r>
  <r>
    <s v="PARIT PADANG GLOBAL, PT"/>
    <d v="2023-09-06T00:00:00"/>
    <x v="8"/>
    <n v="1380000"/>
  </r>
  <r>
    <s v="PARIT PADANG GLOBAL, PT"/>
    <d v="2023-09-06T00:00:00"/>
    <x v="8"/>
    <n v="10061182"/>
  </r>
  <r>
    <s v="PARIT PADANG GLOBAL, PT"/>
    <d v="2023-09-12T00:00:00"/>
    <x v="8"/>
    <n v="9990000"/>
  </r>
  <r>
    <s v="PARIT PADANG GLOBAL, PT"/>
    <d v="2023-09-14T00:00:00"/>
    <x v="8"/>
    <n v="5102028"/>
  </r>
  <r>
    <s v="PARIT PADANG GLOBAL, PT"/>
    <d v="2023-09-14T00:00:00"/>
    <x v="8"/>
    <n v="3996000"/>
  </r>
  <r>
    <s v="PARIT PADANG GLOBAL, PT"/>
    <d v="2023-09-15T00:00:00"/>
    <x v="8"/>
    <n v="5328051"/>
  </r>
  <r>
    <s v="PARIT PADANG GLOBAL, PT"/>
    <d v="2023-09-16T00:00:00"/>
    <x v="8"/>
    <n v="395000"/>
  </r>
  <r>
    <s v="PARIT PADANG GLOBAL, PT"/>
    <d v="2023-09-20T00:00:00"/>
    <x v="8"/>
    <n v="5299362"/>
  </r>
  <r>
    <s v="PARIT PADANG GLOBAL, PT"/>
    <d v="2023-09-21T00:00:00"/>
    <x v="8"/>
    <n v="9448400"/>
  </r>
  <r>
    <s v="PARIT PADANG GLOBAL, PT"/>
    <d v="2023-09-21T00:00:00"/>
    <x v="8"/>
    <n v="1401000"/>
  </r>
  <r>
    <s v="PARIT PADANG GLOBAL, PT"/>
    <d v="2023-09-23T00:00:00"/>
    <x v="8"/>
    <n v="875001"/>
  </r>
  <r>
    <s v="PARIT PADANG GLOBAL, PT"/>
    <d v="2023-09-30T00:00:00"/>
    <x v="8"/>
    <n v="2758527"/>
  </r>
  <r>
    <s v="PARIT PADANG GLOBAL, PT"/>
    <d v="2023-10-05T00:00:00"/>
    <x v="2"/>
    <n v="3974521"/>
  </r>
  <r>
    <s v="PARIT PADANG GLOBAL, PT"/>
    <d v="2023-10-12T00:00:00"/>
    <x v="2"/>
    <n v="5026635"/>
  </r>
  <r>
    <s v="PARIT PADANG GLOBAL, PT"/>
    <d v="2023-10-12T00:00:00"/>
    <x v="2"/>
    <n v="6549204"/>
  </r>
  <r>
    <s v="PARIT PADANG GLOBAL, PT"/>
    <d v="2023-10-21T00:00:00"/>
    <x v="2"/>
    <n v="30506191"/>
  </r>
  <r>
    <s v="PARIT PADANG GLOBAL, PT"/>
    <d v="2023-10-26T00:00:00"/>
    <x v="2"/>
    <n v="3525000"/>
  </r>
  <r>
    <s v="PARIT PADANG GLOBAL, PT"/>
    <d v="2023-10-31T00:00:00"/>
    <x v="2"/>
    <n v="8183658"/>
  </r>
  <r>
    <s v="PARIT PADANG GLOBAL, PT"/>
    <d v="2023-11-07T00:00:00"/>
    <x v="9"/>
    <n v="4821600"/>
  </r>
  <r>
    <s v="PARIT PADANG GLOBAL, PT"/>
    <d v="2023-11-15T00:00:00"/>
    <x v="9"/>
    <n v="5526143"/>
  </r>
  <r>
    <s v="PARIT PADANG GLOBAL, PT"/>
    <d v="2023-11-16T00:00:00"/>
    <x v="9"/>
    <n v="3525000"/>
  </r>
  <r>
    <s v="PARIT PADANG GLOBAL, PT"/>
    <d v="2023-11-17T00:00:00"/>
    <x v="9"/>
    <n v="2760000"/>
  </r>
  <r>
    <s v="PARIT PADANG GLOBAL, PT"/>
    <d v="2023-11-17T00:00:00"/>
    <x v="9"/>
    <n v="14113600"/>
  </r>
  <r>
    <s v="PARIT PADANG GLOBAL, PT"/>
    <d v="2023-11-17T00:00:00"/>
    <x v="9"/>
    <n v="11106930"/>
  </r>
  <r>
    <s v="PARIT PADANG GLOBAL, PT"/>
    <d v="2023-11-17T00:00:00"/>
    <x v="9"/>
    <n v="2802000"/>
  </r>
  <r>
    <s v="PARIT PADANG GLOBAL, PT"/>
    <d v="2023-11-18T00:00:00"/>
    <x v="9"/>
    <n v="306000"/>
  </r>
  <r>
    <s v="PARIT PADANG GLOBAL, PT"/>
    <d v="2023-11-18T00:00:00"/>
    <x v="9"/>
    <n v="1859805"/>
  </r>
  <r>
    <s v="PARIT PADANG GLOBAL, PT"/>
    <d v="2023-11-21T00:00:00"/>
    <x v="9"/>
    <n v="8561970"/>
  </r>
  <r>
    <s v="PARIT PADANG GLOBAL, PT"/>
    <d v="2023-11-22T00:00:00"/>
    <x v="9"/>
    <n v="2775000"/>
  </r>
  <r>
    <s v="PARIT PADANG GLOBAL, PT"/>
    <d v="2023-11-23T00:00:00"/>
    <x v="9"/>
    <n v="898000"/>
  </r>
  <r>
    <s v="PENTA VALENT, PT"/>
    <d v="2022-12-29T00:00:00"/>
    <x v="16"/>
    <n v="317634"/>
  </r>
  <r>
    <s v="PENTA VALENT, PT"/>
    <d v="2023-03-25T00:00:00"/>
    <x v="4"/>
    <n v="327991"/>
  </r>
  <r>
    <s v="PENTA VALENT, PT"/>
    <d v="2023-04-08T00:00:00"/>
    <x v="5"/>
    <n v="553612"/>
  </r>
  <r>
    <s v="PENTA VALENT, PT"/>
    <d v="2023-04-08T00:00:00"/>
    <x v="5"/>
    <n v="553612"/>
  </r>
  <r>
    <s v="PUTRA IRMA MEDIKA, PT"/>
    <d v="2023-05-08T00:00:00"/>
    <x v="0"/>
    <n v="2446440"/>
  </r>
  <r>
    <s v="RAJAWALI NUSINDO, PT"/>
    <d v="2023-02-16T00:00:00"/>
    <x v="3"/>
    <n v="499999"/>
  </r>
  <r>
    <s v="RAJAWALI NUSINDO, PT"/>
    <d v="2023-02-17T00:00:00"/>
    <x v="3"/>
    <n v="109002"/>
  </r>
  <r>
    <s v="RAJAWALI NUSINDO, PT"/>
    <d v="2023-02-17T00:00:00"/>
    <x v="3"/>
    <n v="2797200"/>
  </r>
  <r>
    <s v="RAJAWALI NUSINDO, PT"/>
    <d v="2023-02-17T00:00:00"/>
    <x v="3"/>
    <n v="351892"/>
  </r>
  <r>
    <s v="RAJAWALI NUSINDO, PT"/>
    <d v="2023-02-23T00:00:00"/>
    <x v="3"/>
    <n v="233100"/>
  </r>
  <r>
    <s v="RAJAWALI NUSINDO, PT"/>
    <d v="2023-02-23T00:00:00"/>
    <x v="3"/>
    <n v="829780"/>
  </r>
  <r>
    <s v="RAJAWALI NUSINDO, PT"/>
    <d v="2023-02-28T00:00:00"/>
    <x v="3"/>
    <n v="1746585"/>
  </r>
  <r>
    <s v="RAJAWALI NUSINDO, PT"/>
    <d v="2023-02-28T00:00:00"/>
    <x v="3"/>
    <n v="1204774"/>
  </r>
  <r>
    <s v="RAJAWALI NUSINDO, PT"/>
    <d v="2023-03-03T00:00:00"/>
    <x v="4"/>
    <n v="272019"/>
  </r>
  <r>
    <s v="RAJAWALI NUSINDO, PT"/>
    <d v="2023-03-03T00:00:00"/>
    <x v="4"/>
    <n v="388500"/>
  </r>
  <r>
    <s v="RAJAWALI NUSINDO, PT"/>
    <d v="2023-03-08T00:00:00"/>
    <x v="4"/>
    <n v="8543790"/>
  </r>
  <r>
    <s v="RAJAWALI NUSINDO, PT"/>
    <d v="2023-03-10T00:00:00"/>
    <x v="4"/>
    <n v="3180000"/>
  </r>
  <r>
    <s v="RAJAWALI NUSINDO, PT"/>
    <d v="2023-03-13T00:00:00"/>
    <x v="4"/>
    <n v="1659450"/>
  </r>
  <r>
    <s v="RAJAWALI NUSINDO, PT"/>
    <d v="2023-03-13T00:00:00"/>
    <x v="4"/>
    <n v="1099466"/>
  </r>
  <r>
    <s v="RAJAWALI NUSINDO, PT"/>
    <d v="2023-03-13T00:00:00"/>
    <x v="4"/>
    <n v="575271"/>
  </r>
  <r>
    <s v="RAJAWALI NUSINDO, PT"/>
    <d v="2023-03-14T00:00:00"/>
    <x v="4"/>
    <n v="163943"/>
  </r>
  <r>
    <s v="RAJAWALI NUSINDO, PT"/>
    <d v="2023-03-16T00:00:00"/>
    <x v="4"/>
    <n v="1665000"/>
  </r>
  <r>
    <s v="RAJAWALI NUSINDO, PT"/>
    <d v="2023-03-28T00:00:00"/>
    <x v="4"/>
    <n v="782001"/>
  </r>
  <r>
    <s v="RAJAWALI NUSINDO, PT"/>
    <d v="2023-03-28T00:00:00"/>
    <x v="4"/>
    <n v="38519"/>
  </r>
  <r>
    <s v="RAJAWALI NUSINDO, PT"/>
    <d v="2023-03-28T00:00:00"/>
    <x v="4"/>
    <n v="2672991"/>
  </r>
  <r>
    <s v="RAJAWALI NUSINDO, PT"/>
    <d v="2023-03-29T00:00:00"/>
    <x v="4"/>
    <n v="1581849"/>
  </r>
  <r>
    <s v="RAJAWALI NUSINDO, PT"/>
    <d v="2023-03-29T00:00:00"/>
    <x v="4"/>
    <n v="98999"/>
  </r>
  <r>
    <s v="RAJAWALI NUSINDO, PT"/>
    <d v="2023-03-29T00:00:00"/>
    <x v="4"/>
    <n v="1629998"/>
  </r>
  <r>
    <s v="RAJAWALI NUSINDO, PT"/>
    <d v="2023-03-31T00:00:00"/>
    <x v="4"/>
    <n v="3496500"/>
  </r>
  <r>
    <s v="RAJAWALI NUSINDO, PT"/>
    <d v="2023-04-04T00:00:00"/>
    <x v="5"/>
    <n v="492840"/>
  </r>
  <r>
    <s v="RAJAWALI NUSINDO, PT"/>
    <d v="2023-04-11T00:00:00"/>
    <x v="5"/>
    <n v="834800"/>
  </r>
  <r>
    <s v="RAJAWALI NUSINDO, PT"/>
    <d v="2023-04-14T00:00:00"/>
    <x v="5"/>
    <n v="2160000"/>
  </r>
  <r>
    <s v="RAJAWALI NUSINDO, PT"/>
    <d v="2023-04-17T00:00:00"/>
    <x v="5"/>
    <n v="2564100"/>
  </r>
  <r>
    <s v="RAJAWALI NUSINDO, PT"/>
    <d v="2023-04-18T00:00:00"/>
    <x v="5"/>
    <n v="242590"/>
  </r>
  <r>
    <s v="RAJAWALI NUSINDO, PT"/>
    <d v="2023-04-18T00:00:00"/>
    <x v="5"/>
    <n v="472493"/>
  </r>
  <r>
    <s v="RAJAWALI NUSINDO, PT"/>
    <d v="2023-04-18T00:00:00"/>
    <x v="5"/>
    <n v="53280"/>
  </r>
  <r>
    <s v="RAJAWALI NUSINDO, PT"/>
    <d v="2023-04-27T00:00:00"/>
    <x v="5"/>
    <n v="570007"/>
  </r>
  <r>
    <s v="RAJAWALI NUSINDO, PT"/>
    <d v="2023-04-27T00:00:00"/>
    <x v="5"/>
    <n v="1881944"/>
  </r>
  <r>
    <s v="RAJAWALI NUSINDO, PT"/>
    <d v="2023-04-28T00:00:00"/>
    <x v="5"/>
    <n v="344319"/>
  </r>
  <r>
    <s v="RAJAWALI NUSINDO, PT"/>
    <d v="2023-04-28T00:00:00"/>
    <x v="5"/>
    <n v="956469"/>
  </r>
  <r>
    <s v="RAJAWALI NUSINDO, PT"/>
    <d v="2023-05-03T00:00:00"/>
    <x v="0"/>
    <n v="4195800"/>
  </r>
  <r>
    <s v="RAJAWALI NUSINDO, PT"/>
    <d v="2023-05-04T00:00:00"/>
    <x v="0"/>
    <n v="1327560"/>
  </r>
  <r>
    <s v="RAJAWALI NUSINDO, PT"/>
    <d v="2023-05-11T00:00:00"/>
    <x v="0"/>
    <n v="3493170"/>
  </r>
  <r>
    <s v="RAJAWALI NUSINDO, PT"/>
    <d v="2023-05-11T00:00:00"/>
    <x v="0"/>
    <n v="584449"/>
  </r>
  <r>
    <s v="RAJAWALI NUSINDO, PT"/>
    <d v="2023-05-12T00:00:00"/>
    <x v="0"/>
    <n v="3493170"/>
  </r>
  <r>
    <s v="RAJAWALI NUSINDO, PT"/>
    <d v="2023-05-15T00:00:00"/>
    <x v="0"/>
    <n v="849727"/>
  </r>
  <r>
    <s v="RAJAWALI NUSINDO, PT"/>
    <d v="2023-05-15T00:00:00"/>
    <x v="0"/>
    <n v="1912313"/>
  </r>
  <r>
    <s v="RAJAWALI NUSINDO, PT"/>
    <d v="2023-05-17T00:00:00"/>
    <x v="0"/>
    <n v="3606512"/>
  </r>
  <r>
    <s v="RAJAWALI NUSINDO, PT"/>
    <d v="2023-05-17T00:00:00"/>
    <x v="0"/>
    <n v="1418313"/>
  </r>
  <r>
    <s v="RAJAWALI NUSINDO, PT"/>
    <d v="2023-05-26T00:00:00"/>
    <x v="0"/>
    <n v="4604058"/>
  </r>
  <r>
    <s v="RAJAWALI NUSINDO, PT"/>
    <d v="2023-05-26T00:00:00"/>
    <x v="0"/>
    <n v="38847"/>
  </r>
  <r>
    <s v="RAJAWALI NUSINDO, PT"/>
    <d v="2023-05-28T00:00:00"/>
    <x v="0"/>
    <n v="396838"/>
  </r>
  <r>
    <s v="RAJAWALI NUSINDO, PT"/>
    <d v="2023-05-30T00:00:00"/>
    <x v="0"/>
    <n v="1418313"/>
  </r>
  <r>
    <s v="RAJAWALI NUSINDO, PT"/>
    <d v="2023-05-31T00:00:00"/>
    <x v="0"/>
    <n v="1382999"/>
  </r>
  <r>
    <s v="RAJAWALI NUSINDO, PT"/>
    <d v="2023-05-31T00:00:00"/>
    <x v="0"/>
    <n v="2419999"/>
  </r>
  <r>
    <s v="RAJAWALI NUSINDO, PT"/>
    <d v="2023-06-06T00:00:00"/>
    <x v="6"/>
    <n v="613119"/>
  </r>
  <r>
    <s v="RAJAWALI NUSINDO, PT"/>
    <d v="2023-06-06T00:00:00"/>
    <x v="6"/>
    <n v="399600"/>
  </r>
  <r>
    <s v="RAJAWALI NUSINDO, PT"/>
    <d v="2023-06-07T00:00:00"/>
    <x v="6"/>
    <n v="232425"/>
  </r>
  <r>
    <s v="RAJAWALI NUSINDO, PT"/>
    <d v="2023-06-07T00:00:00"/>
    <x v="6"/>
    <n v="3836715"/>
  </r>
  <r>
    <s v="RAJAWALI NUSINDO, PT"/>
    <d v="2023-06-13T00:00:00"/>
    <x v="6"/>
    <n v="2833107"/>
  </r>
  <r>
    <s v="RAJAWALI NUSINDO, PT"/>
    <d v="2023-06-13T00:00:00"/>
    <x v="6"/>
    <n v="1418313"/>
  </r>
  <r>
    <s v="RAJAWALI NUSINDO, PT"/>
    <d v="2023-06-20T00:00:00"/>
    <x v="6"/>
    <n v="2672991"/>
  </r>
  <r>
    <s v="RAJAWALI NUSINDO, PT"/>
    <d v="2023-06-20T00:00:00"/>
    <x v="6"/>
    <n v="42046"/>
  </r>
  <r>
    <s v="RAJAWALI NUSINDO, PT"/>
    <d v="2023-06-21T00:00:00"/>
    <x v="6"/>
    <n v="1326673"/>
  </r>
  <r>
    <s v="RAJAWALI NUSINDO, PT"/>
    <d v="2023-06-21T00:00:00"/>
    <x v="6"/>
    <n v="407009"/>
  </r>
  <r>
    <s v="RAJAWALI NUSINDO, PT"/>
    <d v="2023-06-23T00:00:00"/>
    <x v="6"/>
    <n v="157499"/>
  </r>
  <r>
    <s v="RAJAWALI NUSINDO, PT"/>
    <d v="2023-06-23T00:00:00"/>
    <x v="6"/>
    <n v="77999"/>
  </r>
  <r>
    <s v="RAJAWALI NUSINDO, PT"/>
    <d v="2023-06-27T00:00:00"/>
    <x v="6"/>
    <n v="5244750"/>
  </r>
  <r>
    <s v="RAJAWALI NUSINDO, PT"/>
    <d v="2023-06-27T00:00:00"/>
    <x v="6"/>
    <n v="275000"/>
  </r>
  <r>
    <s v="RAJAWALI NUSINDO, PT"/>
    <d v="2023-07-04T00:00:00"/>
    <x v="7"/>
    <n v="1721598"/>
  </r>
  <r>
    <s v="RAJAWALI NUSINDO, PT"/>
    <d v="2023-07-04T00:00:00"/>
    <x v="7"/>
    <n v="126501"/>
  </r>
  <r>
    <s v="RAJAWALI NUSINDO, PT"/>
    <d v="2023-07-04T00:00:00"/>
    <x v="7"/>
    <n v="4604058"/>
  </r>
  <r>
    <s v="RAJAWALI NUSINDO, PT"/>
    <d v="2023-07-04T00:00:00"/>
    <x v="7"/>
    <n v="815850"/>
  </r>
  <r>
    <s v="RAJAWALI NUSINDO, PT"/>
    <d v="2023-07-04T00:00:00"/>
    <x v="7"/>
    <n v="339660"/>
  </r>
  <r>
    <s v="RAJAWALI NUSINDO, PT"/>
    <d v="2023-07-06T00:00:00"/>
    <x v="7"/>
    <n v="216450"/>
  </r>
  <r>
    <s v="RAJAWALI NUSINDO, PT"/>
    <d v="2023-07-11T00:00:00"/>
    <x v="7"/>
    <n v="1002978"/>
  </r>
  <r>
    <s v="RAJAWALI NUSINDO, PT"/>
    <d v="2023-07-11T00:00:00"/>
    <x v="7"/>
    <n v="1162126"/>
  </r>
  <r>
    <s v="RAJAWALI NUSINDO, PT"/>
    <d v="2023-07-17T00:00:00"/>
    <x v="7"/>
    <n v="509490"/>
  </r>
  <r>
    <s v="RAJAWALI NUSINDO, PT"/>
    <d v="2023-07-17T00:00:00"/>
    <x v="7"/>
    <n v="216450"/>
  </r>
  <r>
    <s v="RAJAWALI NUSINDO, PT"/>
    <d v="2023-07-20T00:00:00"/>
    <x v="7"/>
    <n v="829725"/>
  </r>
  <r>
    <s v="RAJAWALI NUSINDO, PT"/>
    <d v="2023-07-21T00:00:00"/>
    <x v="7"/>
    <n v="339660"/>
  </r>
  <r>
    <s v="RAJAWALI NUSINDO, PT"/>
    <d v="2023-07-21T00:00:00"/>
    <x v="7"/>
    <n v="93599"/>
  </r>
  <r>
    <s v="RAJAWALI NUSINDO, PT"/>
    <d v="2023-07-25T00:00:00"/>
    <x v="7"/>
    <n v="166500"/>
  </r>
  <r>
    <s v="RAJAWALI NUSINDO, PT"/>
    <d v="2023-07-27T00:00:00"/>
    <x v="7"/>
    <n v="1574729"/>
  </r>
  <r>
    <s v="RAJAWALI NUSINDO, PT"/>
    <d v="2023-08-02T00:00:00"/>
    <x v="1"/>
    <n v="276728"/>
  </r>
  <r>
    <s v="RAJAWALI NUSINDO, PT"/>
    <d v="2023-08-02T00:00:00"/>
    <x v="1"/>
    <n v="2797200"/>
  </r>
  <r>
    <s v="RAJAWALI NUSINDO, PT"/>
    <d v="2023-08-03T00:00:00"/>
    <x v="1"/>
    <n v="829725"/>
  </r>
  <r>
    <s v="RAJAWALI NUSINDO, PT"/>
    <d v="2023-08-03T00:00:00"/>
    <x v="1"/>
    <n v="1418313"/>
  </r>
  <r>
    <s v="RAJAWALI NUSINDO, PT"/>
    <d v="2023-08-04T00:00:00"/>
    <x v="1"/>
    <n v="502320"/>
  </r>
  <r>
    <s v="RAJAWALI NUSINDO, PT"/>
    <d v="2023-08-09T00:00:00"/>
    <x v="1"/>
    <n v="617279"/>
  </r>
  <r>
    <s v="RAJAWALI NUSINDO, PT"/>
    <d v="2023-08-09T00:00:00"/>
    <x v="1"/>
    <n v="414119"/>
  </r>
  <r>
    <s v="RAJAWALI NUSINDO, PT"/>
    <d v="2023-08-09T00:00:00"/>
    <x v="1"/>
    <n v="1798200"/>
  </r>
  <r>
    <s v="RAJAWALI NUSINDO, PT"/>
    <d v="2023-08-09T00:00:00"/>
    <x v="1"/>
    <n v="1032959"/>
  </r>
  <r>
    <s v="RAJAWALI NUSINDO, PT"/>
    <d v="2023-08-14T00:00:00"/>
    <x v="1"/>
    <n v="678442"/>
  </r>
  <r>
    <s v="RAJAWALI NUSINDO, PT"/>
    <d v="2023-08-14T00:00:00"/>
    <x v="1"/>
    <n v="411188"/>
  </r>
  <r>
    <s v="RAJAWALI NUSINDO, PT"/>
    <d v="2023-08-14T00:00:00"/>
    <x v="1"/>
    <n v="1418313"/>
  </r>
  <r>
    <s v="RAJAWALI NUSINDO, PT"/>
    <d v="2023-08-16T00:00:00"/>
    <x v="1"/>
    <n v="2249781"/>
  </r>
  <r>
    <s v="RAJAWALI NUSINDO, PT"/>
    <d v="2023-08-16T00:00:00"/>
    <x v="1"/>
    <n v="675990"/>
  </r>
  <r>
    <s v="RAJAWALI NUSINDO, PT"/>
    <d v="2023-08-16T00:00:00"/>
    <x v="1"/>
    <n v="1252200"/>
  </r>
  <r>
    <s v="RAJAWALI NUSINDO, PT"/>
    <d v="2023-08-18T00:00:00"/>
    <x v="1"/>
    <n v="984116"/>
  </r>
  <r>
    <s v="RAJAWALI NUSINDO, PT"/>
    <d v="2023-08-24T00:00:00"/>
    <x v="1"/>
    <n v="2024525"/>
  </r>
  <r>
    <s v="RAJAWALI NUSINDO, PT"/>
    <d v="2023-08-24T00:00:00"/>
    <x v="1"/>
    <n v="66600"/>
  </r>
  <r>
    <s v="RAJAWALI NUSINDO, PT"/>
    <d v="2023-08-28T00:00:00"/>
    <x v="1"/>
    <n v="596999"/>
  </r>
  <r>
    <s v="RAJAWALI NUSINDO, PT"/>
    <d v="2023-08-28T00:00:00"/>
    <x v="1"/>
    <n v="2969827"/>
  </r>
  <r>
    <s v="RAJAWALI NUSINDO, PT"/>
    <d v="2023-08-28T00:00:00"/>
    <x v="1"/>
    <n v="3216780"/>
  </r>
  <r>
    <s v="RAJAWALI NUSINDO, PT"/>
    <d v="2023-08-30T00:00:00"/>
    <x v="1"/>
    <n v="359640"/>
  </r>
  <r>
    <s v="RAJAWALI NUSINDO, PT"/>
    <d v="2023-08-30T00:00:00"/>
    <x v="1"/>
    <n v="396503"/>
  </r>
  <r>
    <s v="RAJAWALI NUSINDO, PT"/>
    <d v="2023-08-31T00:00:00"/>
    <x v="1"/>
    <n v="218999"/>
  </r>
  <r>
    <s v="RAJAWALI NUSINDO, PT"/>
    <d v="2023-09-06T00:00:00"/>
    <x v="8"/>
    <n v="606060"/>
  </r>
  <r>
    <s v="RAJAWALI NUSINDO, PT"/>
    <d v="2023-09-06T00:00:00"/>
    <x v="8"/>
    <n v="555000"/>
  </r>
  <r>
    <s v="RAJAWALI NUSINDO, PT"/>
    <d v="2023-09-12T00:00:00"/>
    <x v="8"/>
    <n v="172494"/>
  </r>
  <r>
    <s v="RAJAWALI NUSINDO, PT"/>
    <d v="2023-09-14T00:00:00"/>
    <x v="8"/>
    <n v="1238760"/>
  </r>
  <r>
    <s v="RAJAWALI NUSINDO, PT"/>
    <d v="2023-09-14T00:00:00"/>
    <x v="8"/>
    <n v="1058399"/>
  </r>
  <r>
    <s v="RAJAWALI NUSINDO, PT"/>
    <d v="2023-09-18T00:00:00"/>
    <x v="8"/>
    <n v="477274"/>
  </r>
  <r>
    <s v="RAJAWALI NUSINDO, PT"/>
    <d v="2023-09-18T00:00:00"/>
    <x v="8"/>
    <n v="929701"/>
  </r>
  <r>
    <s v="RAJAWALI NUSINDO, PT"/>
    <d v="2023-09-18T00:00:00"/>
    <x v="8"/>
    <n v="3069372"/>
  </r>
  <r>
    <s v="RAJAWALI NUSINDO, PT"/>
    <d v="2023-09-18T00:00:00"/>
    <x v="8"/>
    <n v="478832"/>
  </r>
  <r>
    <s v="RAJAWALI NUSINDO, PT"/>
    <d v="2023-09-18T00:00:00"/>
    <x v="8"/>
    <n v="423599"/>
  </r>
  <r>
    <s v="RAJAWALI NUSINDO, PT"/>
    <d v="2023-09-21T00:00:00"/>
    <x v="8"/>
    <n v="133200"/>
  </r>
  <r>
    <s v="RAJAWALI NUSINDO, PT"/>
    <d v="2023-09-21T00:00:00"/>
    <x v="8"/>
    <n v="699300"/>
  </r>
  <r>
    <s v="RAJAWALI NUSINDO, PT"/>
    <d v="2023-09-21T00:00:00"/>
    <x v="8"/>
    <n v="925350"/>
  </r>
  <r>
    <s v="RAJAWALI NUSINDO, PT"/>
    <d v="2023-09-22T00:00:00"/>
    <x v="8"/>
    <n v="498757"/>
  </r>
  <r>
    <s v="RAJAWALI NUSINDO, PT"/>
    <d v="2023-09-26T00:00:00"/>
    <x v="8"/>
    <n v="2471440"/>
  </r>
  <r>
    <s v="RAJAWALI NUSINDO, PT"/>
    <d v="2023-09-26T00:00:00"/>
    <x v="8"/>
    <n v="849150"/>
  </r>
  <r>
    <s v="RAJAWALI NUSINDO, PT"/>
    <d v="2023-10-02T00:00:00"/>
    <x v="2"/>
    <n v="1180391"/>
  </r>
  <r>
    <s v="RAJAWALI NUSINDO, PT"/>
    <d v="2023-10-02T00:00:00"/>
    <x v="2"/>
    <n v="712148"/>
  </r>
  <r>
    <s v="RAJAWALI NUSINDO, PT"/>
    <d v="2023-10-04T00:00:00"/>
    <x v="2"/>
    <n v="4604058"/>
  </r>
  <r>
    <s v="RAJAWALI NUSINDO, PT"/>
    <d v="2023-10-04T00:00:00"/>
    <x v="2"/>
    <n v="5604390"/>
  </r>
  <r>
    <s v="RAJAWALI NUSINDO, PT"/>
    <d v="2023-10-09T00:00:00"/>
    <x v="2"/>
    <n v="849150"/>
  </r>
  <r>
    <s v="RAJAWALI NUSINDO, PT"/>
    <d v="2023-10-09T00:00:00"/>
    <x v="2"/>
    <n v="2836627"/>
  </r>
  <r>
    <s v="RAJAWALI NUSINDO, PT"/>
    <d v="2023-10-09T00:00:00"/>
    <x v="2"/>
    <n v="399600"/>
  </r>
  <r>
    <s v="RAJAWALI NUSINDO, PT"/>
    <d v="2023-10-10T00:00:00"/>
    <x v="2"/>
    <n v="518271"/>
  </r>
  <r>
    <s v="RAJAWALI NUSINDO, PT"/>
    <d v="2023-10-10T00:00:00"/>
    <x v="2"/>
    <n v="1962660"/>
  </r>
  <r>
    <s v="RAJAWALI NUSINDO, PT"/>
    <d v="2023-10-16T00:00:00"/>
    <x v="2"/>
    <n v="5098896"/>
  </r>
  <r>
    <s v="RAJAWALI NUSINDO, PT"/>
    <d v="2023-10-17T00:00:00"/>
    <x v="2"/>
    <n v="555000"/>
  </r>
  <r>
    <s v="RAJAWALI NUSINDO, PT"/>
    <d v="2023-10-17T00:00:00"/>
    <x v="2"/>
    <n v="3496500"/>
  </r>
  <r>
    <s v="RAJAWALI NUSINDO, PT"/>
    <d v="2023-10-17T00:00:00"/>
    <x v="2"/>
    <n v="166500"/>
  </r>
  <r>
    <s v="RAJAWALI NUSINDO, PT"/>
    <d v="2023-10-23T00:00:00"/>
    <x v="2"/>
    <n v="898649"/>
  </r>
  <r>
    <s v="RAJAWALI NUSINDO, PT"/>
    <d v="2023-10-23T00:00:00"/>
    <x v="2"/>
    <n v="1834879"/>
  </r>
  <r>
    <s v="RAJAWALI NUSINDO, PT"/>
    <d v="2023-10-23T00:00:00"/>
    <x v="2"/>
    <n v="1499854"/>
  </r>
  <r>
    <s v="RAJAWALI NUSINDO, PT"/>
    <d v="2023-10-24T00:00:00"/>
    <x v="2"/>
    <n v="65399"/>
  </r>
  <r>
    <s v="RAJAWALI NUSINDO, PT"/>
    <d v="2023-10-24T00:00:00"/>
    <x v="2"/>
    <n v="1277055"/>
  </r>
  <r>
    <s v="RAJAWALI NUSINDO, PT"/>
    <d v="2023-10-26T00:00:00"/>
    <x v="2"/>
    <n v="3836715"/>
  </r>
  <r>
    <s v="RAJAWALI NUSINDO, PT"/>
    <d v="2023-10-31T00:00:00"/>
    <x v="2"/>
    <n v="2563619"/>
  </r>
  <r>
    <s v="RAJAWALI NUSINDO, PT"/>
    <d v="2023-10-31T00:00:00"/>
    <x v="2"/>
    <n v="333346"/>
  </r>
  <r>
    <s v="RAJAWALI NUSINDO, PT"/>
    <d v="2023-11-02T00:00:00"/>
    <x v="9"/>
    <n v="180502"/>
  </r>
  <r>
    <s v="RAJAWALI NUSINDO, PT"/>
    <d v="2023-11-02T00:00:00"/>
    <x v="9"/>
    <n v="2836627"/>
  </r>
  <r>
    <s v="RAJAWALI NUSINDO, PT"/>
    <d v="2023-11-08T00:00:00"/>
    <x v="9"/>
    <n v="36060"/>
  </r>
  <r>
    <s v="RAJAWALI NUSINDO, PT"/>
    <d v="2023-11-08T00:00:00"/>
    <x v="9"/>
    <n v="899100"/>
  </r>
  <r>
    <s v="RAJAWALI NUSINDO, PT"/>
    <d v="2023-11-09T00:00:00"/>
    <x v="9"/>
    <n v="1874817"/>
  </r>
  <r>
    <s v="RAJAWALI NUSINDO, PT"/>
    <d v="2023-11-13T00:00:00"/>
    <x v="9"/>
    <n v="1932279"/>
  </r>
  <r>
    <s v="RAJAWALI NUSINDO, PT"/>
    <d v="2023-11-13T00:00:00"/>
    <x v="9"/>
    <n v="3836715"/>
  </r>
  <r>
    <s v="RAJAWALI NUSINDO, PT"/>
    <d v="2023-11-14T00:00:00"/>
    <x v="9"/>
    <n v="981684"/>
  </r>
  <r>
    <s v="RAJAWALI NUSINDO, PT"/>
    <d v="2023-11-14T00:00:00"/>
    <x v="9"/>
    <n v="2797200"/>
  </r>
  <r>
    <s v="RAJAWALI NUSINDO, PT"/>
    <d v="2023-11-20T00:00:00"/>
    <x v="9"/>
    <n v="186480"/>
  </r>
  <r>
    <s v="RAJAWALI NUSINDO, PT"/>
    <d v="2023-11-20T00:00:00"/>
    <x v="9"/>
    <n v="234239"/>
  </r>
  <r>
    <s v="RAJAWALI NUSINDO, PT"/>
    <d v="2023-11-21T00:00:00"/>
    <x v="9"/>
    <n v="91007"/>
  </r>
  <r>
    <s v="RAJAWALI NUSINDO, PT"/>
    <d v="2023-11-27T00:00:00"/>
    <x v="9"/>
    <n v="1137750"/>
  </r>
  <r>
    <s v="RAJAWALI NUSINDO, PT"/>
    <d v="2023-11-27T00:00:00"/>
    <x v="9"/>
    <n v="2836627"/>
  </r>
  <r>
    <s v="RAJAWALI NUSINDO, PT"/>
    <d v="2023-11-27T00:00:00"/>
    <x v="9"/>
    <n v="509889"/>
  </r>
  <r>
    <s v="RAJAWALI NUSINDO, PT"/>
    <d v="2023-11-30T00:00:00"/>
    <x v="9"/>
    <n v="921999"/>
  </r>
  <r>
    <s v="RAJAWALI NUSINDO, PT"/>
    <d v="2023-12-04T00:00:00"/>
    <x v="10"/>
    <n v="276079"/>
  </r>
  <r>
    <s v="RAJAWALI NUSINDO, PT"/>
    <d v="2023-12-04T00:00:00"/>
    <x v="10"/>
    <n v="3406723"/>
  </r>
  <r>
    <s v="RAJAWALI NUSINDO, PT"/>
    <d v="2023-12-04T00:00:00"/>
    <x v="10"/>
    <n v="442465"/>
  </r>
  <r>
    <s v="SAPTA SARI TAMA, PT"/>
    <d v="2023-02-28T00:00:00"/>
    <x v="3"/>
    <n v="236830"/>
  </r>
  <r>
    <s v="SAPTA SARI TAMA, PT"/>
    <d v="2023-04-29T00:00:00"/>
    <x v="5"/>
    <n v="210900"/>
  </r>
  <r>
    <s v="SAPTA SARI TAMA, PT"/>
    <d v="2023-05-13T00:00:00"/>
    <x v="0"/>
    <n v="333000"/>
  </r>
  <r>
    <s v="SAPTA SARI TAMA, PT"/>
    <d v="2023-06-20T00:00:00"/>
    <x v="6"/>
    <n v="236830"/>
  </r>
  <r>
    <s v="SAPTA SARI TAMA, PT"/>
    <d v="2023-06-22T00:00:00"/>
    <x v="6"/>
    <n v="339660"/>
  </r>
  <r>
    <s v="SAPTA SARI TAMA, PT"/>
    <d v="2023-08-12T00:00:00"/>
    <x v="1"/>
    <n v="745210"/>
  </r>
  <r>
    <s v="SAPTA SARI TAMA, PT"/>
    <d v="2023-08-29T00:00:00"/>
    <x v="1"/>
    <n v="253080"/>
  </r>
  <r>
    <s v="SAPTA SARI TAMA, PT"/>
    <d v="2023-08-31T00:00:00"/>
    <x v="1"/>
    <n v="236830"/>
  </r>
  <r>
    <s v="SAPTA SARI TAMA, PT"/>
    <d v="2023-09-06T00:00:00"/>
    <x v="8"/>
    <n v="473659"/>
  </r>
  <r>
    <s v="SAPTA SARI TAMA, PT"/>
    <d v="2023-10-09T00:00:00"/>
    <x v="2"/>
    <n v="1319479"/>
  </r>
  <r>
    <s v="SAPTA SARI TAMA, PT"/>
    <d v="2023-11-06T00:00:00"/>
    <x v="9"/>
    <n v="576490"/>
  </r>
  <r>
    <s v="SAPTA SARI TAMA, PT"/>
    <d v="2023-12-04T00:00:00"/>
    <x v="10"/>
    <n v="534033"/>
  </r>
  <r>
    <s v="SINAR RODA UTAMA"/>
    <d v="2022-12-14T00:00:00"/>
    <x v="16"/>
    <n v="616050"/>
  </r>
  <r>
    <s v="SINAR RODA UTAMA"/>
    <d v="2023-01-17T00:00:00"/>
    <x v="11"/>
    <n v="616050"/>
  </r>
  <r>
    <s v="SINAR RODA UTAMA"/>
    <d v="2023-02-16T00:00:00"/>
    <x v="3"/>
    <n v="616050"/>
  </r>
  <r>
    <s v="SINAR RODA UTAMA"/>
    <d v="2023-03-27T00:00:00"/>
    <x v="4"/>
    <n v="1232100"/>
  </r>
  <r>
    <s v="SINAR RODA UTAMA"/>
    <d v="2023-05-19T00:00:00"/>
    <x v="0"/>
    <n v="1478520"/>
  </r>
  <r>
    <s v="SINAR RODA UTAMA"/>
    <d v="2023-06-14T00:00:00"/>
    <x v="6"/>
    <n v="1848150"/>
  </r>
  <r>
    <s v="SINAR RODA UTAMA"/>
    <d v="2023-08-08T00:00:00"/>
    <x v="1"/>
    <n v="1232100"/>
  </r>
  <r>
    <s v="SINAR RODA UTAMA"/>
    <d v="2023-10-12T00:00:00"/>
    <x v="2"/>
    <n v="1232100"/>
  </r>
  <r>
    <s v="SINAR RODA UTAMA"/>
    <d v="2023-11-21T00:00:00"/>
    <x v="9"/>
    <n v="1232100"/>
  </r>
  <r>
    <s v="STARINDO MULTI SUKSES, PT"/>
    <d v="2022-11-17T00:00:00"/>
    <x v="18"/>
    <n v="2292150"/>
  </r>
  <r>
    <s v="STARINDO MULTI SUKSES, PT"/>
    <d v="2022-11-22T00:00:00"/>
    <x v="18"/>
    <n v="344100"/>
  </r>
  <r>
    <s v="STARINDO MULTI SUKSES, PT"/>
    <d v="2022-11-23T00:00:00"/>
    <x v="18"/>
    <n v="386835"/>
  </r>
  <r>
    <s v="STARINDO MULTI SUKSES, PT"/>
    <d v="2022-11-23T00:00:00"/>
    <x v="18"/>
    <n v="177600"/>
  </r>
  <r>
    <s v="STARINDO MULTI SUKSES, PT"/>
    <d v="2022-11-26T00:00:00"/>
    <x v="18"/>
    <n v="199800"/>
  </r>
  <r>
    <s v="STARINDO MULTI SUKSES, PT"/>
    <d v="2022-11-28T00:00:00"/>
    <x v="18"/>
    <n v="1683870"/>
  </r>
  <r>
    <s v="STARINDO MULTI SUKSES, PT"/>
    <d v="2022-12-02T00:00:00"/>
    <x v="16"/>
    <n v="466200"/>
  </r>
  <r>
    <s v="STARINDO MULTI SUKSES, PT"/>
    <d v="2022-12-06T00:00:00"/>
    <x v="16"/>
    <n v="732600"/>
  </r>
  <r>
    <s v="STARINDO MULTI SUKSES, PT"/>
    <d v="2022-12-08T00:00:00"/>
    <x v="16"/>
    <n v="693750"/>
  </r>
  <r>
    <s v="STARINDO MULTI SUKSES, PT"/>
    <d v="2022-12-13T00:00:00"/>
    <x v="16"/>
    <n v="1998000"/>
  </r>
  <r>
    <s v="STARINDO MULTI SUKSES, PT"/>
    <d v="2022-12-19T00:00:00"/>
    <x v="16"/>
    <n v="2217225"/>
  </r>
  <r>
    <s v="STARINDO MULTI SUKSES, PT"/>
    <d v="2022-12-24T00:00:00"/>
    <x v="16"/>
    <n v="438450"/>
  </r>
  <r>
    <s v="STARINDO MULTI SUKSES, PT"/>
    <d v="2022-12-28T00:00:00"/>
    <x v="16"/>
    <n v="877455"/>
  </r>
  <r>
    <s v="STARINDO MULTI SUKSES, PT"/>
    <d v="2023-01-09T00:00:00"/>
    <x v="11"/>
    <n v="1959705"/>
  </r>
  <r>
    <s v="STARINDO MULTI SUKSES, PT"/>
    <d v="2023-01-11T00:00:00"/>
    <x v="11"/>
    <n v="1464645"/>
  </r>
  <r>
    <s v="STARINDO MULTI SUKSES, PT"/>
    <d v="2023-01-21T00:00:00"/>
    <x v="11"/>
    <n v="1118325"/>
  </r>
  <r>
    <s v="STARINDO MULTI SUKSES, PT"/>
    <d v="2023-01-24T00:00:00"/>
    <x v="11"/>
    <n v="366300"/>
  </r>
  <r>
    <s v="STARINDO MULTI SUKSES, PT"/>
    <d v="2023-01-25T00:00:00"/>
    <x v="11"/>
    <n v="249750"/>
  </r>
  <r>
    <s v="STARINDO MULTI SUKSES, PT"/>
    <d v="2023-01-30T00:00:00"/>
    <x v="11"/>
    <n v="1385835"/>
  </r>
  <r>
    <s v="STARINDO MULTI SUKSES, PT"/>
    <d v="2023-02-02T00:00:00"/>
    <x v="3"/>
    <n v="277500"/>
  </r>
  <r>
    <s v="STARINDO MULTI SUKSES, PT"/>
    <d v="2023-02-03T00:00:00"/>
    <x v="3"/>
    <n v="863025"/>
  </r>
  <r>
    <s v="STARINDO MULTI SUKSES, PT"/>
    <d v="2023-02-07T00:00:00"/>
    <x v="3"/>
    <n v="663225"/>
  </r>
  <r>
    <s v="STARINDO MULTI SUKSES, PT"/>
    <d v="2023-02-15T00:00:00"/>
    <x v="3"/>
    <n v="394050"/>
  </r>
  <r>
    <s v="STARINDO MULTI SUKSES, PT"/>
    <d v="2023-02-24T00:00:00"/>
    <x v="3"/>
    <n v="748584"/>
  </r>
  <r>
    <s v="STARINDO MULTI SUKSES, PT"/>
    <d v="2023-02-25T00:00:00"/>
    <x v="3"/>
    <n v="277500"/>
  </r>
  <r>
    <s v="STARINDO MULTI SUKSES, PT"/>
    <d v="2023-02-25T00:00:00"/>
    <x v="3"/>
    <n v="388500"/>
  </r>
  <r>
    <s v="STARINDO MULTI SUKSES, PT"/>
    <d v="2023-03-01T00:00:00"/>
    <x v="4"/>
    <n v="2275500"/>
  </r>
  <r>
    <s v="STARINDO MULTI SUKSES, PT"/>
    <d v="2023-03-07T00:00:00"/>
    <x v="4"/>
    <n v="1150404"/>
  </r>
  <r>
    <s v="STARINDO MULTI SUKSES, PT"/>
    <d v="2023-03-08T00:00:00"/>
    <x v="4"/>
    <n v="1149960"/>
  </r>
  <r>
    <s v="STARINDO MULTI SUKSES, PT"/>
    <d v="2023-03-16T00:00:00"/>
    <x v="4"/>
    <n v="610500"/>
  </r>
  <r>
    <s v="STARINDO MULTI SUKSES, PT"/>
    <d v="2023-03-20T00:00:00"/>
    <x v="4"/>
    <n v="820845"/>
  </r>
  <r>
    <s v="STARINDO MULTI SUKSES, PT"/>
    <d v="2023-03-27T00:00:00"/>
    <x v="4"/>
    <n v="1387500"/>
  </r>
  <r>
    <s v="STARINDO MULTI SUKSES, PT"/>
    <d v="2023-03-28T00:00:00"/>
    <x v="4"/>
    <n v="663225"/>
  </r>
  <r>
    <s v="STARINDO MULTI SUKSES, PT"/>
    <d v="2023-03-30T00:00:00"/>
    <x v="4"/>
    <n v="222000"/>
  </r>
  <r>
    <s v="STARINDO MULTI SUKSES, PT"/>
    <d v="2023-04-04T00:00:00"/>
    <x v="5"/>
    <n v="3759237"/>
  </r>
  <r>
    <s v="STARINDO MULTI SUKSES, PT"/>
    <d v="2023-04-10T00:00:00"/>
    <x v="5"/>
    <n v="1004550"/>
  </r>
  <r>
    <s v="STARINDO MULTI SUKSES, PT"/>
    <d v="2023-04-12T00:00:00"/>
    <x v="5"/>
    <n v="699300"/>
  </r>
  <r>
    <s v="STARINDO MULTI SUKSES, PT"/>
    <d v="2023-04-18T00:00:00"/>
    <x v="5"/>
    <n v="1232544"/>
  </r>
  <r>
    <s v="STARINDO MULTI SUKSES, PT"/>
    <d v="2023-04-26T00:00:00"/>
    <x v="5"/>
    <n v="1387500"/>
  </r>
  <r>
    <s v="STARINDO MULTI SUKSES, PT"/>
    <d v="2023-04-28T00:00:00"/>
    <x v="5"/>
    <n v="261960"/>
  </r>
  <r>
    <s v="STARINDO MULTI SUKSES, PT"/>
    <d v="2023-04-29T00:00:00"/>
    <x v="5"/>
    <n v="820845"/>
  </r>
  <r>
    <s v="STARINDO MULTI SUKSES, PT"/>
    <d v="2023-05-08T00:00:00"/>
    <x v="0"/>
    <n v="321900"/>
  </r>
  <r>
    <s v="STARINDO MULTI SUKSES, PT"/>
    <d v="2023-05-09T00:00:00"/>
    <x v="0"/>
    <n v="2207990"/>
  </r>
  <r>
    <s v="STARINDO MULTI SUKSES, PT"/>
    <d v="2023-05-11T00:00:00"/>
    <x v="0"/>
    <n v="1875900"/>
  </r>
  <r>
    <s v="STARINDO MULTI SUKSES, PT"/>
    <d v="2023-05-15T00:00:00"/>
    <x v="0"/>
    <n v="1300254"/>
  </r>
  <r>
    <s v="STARINDO MULTI SUKSES, PT"/>
    <d v="2023-05-17T00:00:00"/>
    <x v="0"/>
    <n v="597735"/>
  </r>
  <r>
    <s v="STARINDO MULTI SUKSES, PT"/>
    <d v="2023-05-19T00:00:00"/>
    <x v="0"/>
    <n v="1192795"/>
  </r>
  <r>
    <s v="STARINDO MULTI SUKSES, PT"/>
    <d v="2023-05-23T00:00:00"/>
    <x v="0"/>
    <n v="2207990"/>
  </r>
  <r>
    <s v="STARINDO MULTI SUKSES, PT"/>
    <d v="2023-05-29T00:00:00"/>
    <x v="0"/>
    <n v="512154"/>
  </r>
  <r>
    <s v="STARINDO MULTI SUKSES, PT"/>
    <d v="2023-06-05T00:00:00"/>
    <x v="6"/>
    <n v="421245"/>
  </r>
  <r>
    <s v="STARINDO MULTI SUKSES, PT"/>
    <d v="2023-06-07T00:00:00"/>
    <x v="6"/>
    <n v="2553555"/>
  </r>
  <r>
    <s v="STARINDO MULTI SUKSES, PT"/>
    <d v="2023-06-08T00:00:00"/>
    <x v="6"/>
    <n v="3679983"/>
  </r>
  <r>
    <s v="STARINDO MULTI SUKSES, PT"/>
    <d v="2023-06-09T00:00:00"/>
    <x v="6"/>
    <n v="610500"/>
  </r>
  <r>
    <s v="STARINDO MULTI SUKSES, PT"/>
    <d v="2023-06-13T00:00:00"/>
    <x v="6"/>
    <n v="793650"/>
  </r>
  <r>
    <s v="STARINDO MULTI SUKSES, PT"/>
    <d v="2023-06-14T00:00:00"/>
    <x v="6"/>
    <n v="1250970"/>
  </r>
  <r>
    <s v="STARINDO MULTI SUKSES, PT"/>
    <d v="2023-06-22T00:00:00"/>
    <x v="6"/>
    <n v="2836661"/>
  </r>
  <r>
    <s v="STARINDO MULTI SUKSES, PT"/>
    <d v="2023-06-23T00:00:00"/>
    <x v="6"/>
    <n v="699300"/>
  </r>
  <r>
    <s v="STARINDO MULTI SUKSES, PT"/>
    <d v="2023-06-27T00:00:00"/>
    <x v="6"/>
    <n v="1387500"/>
  </r>
  <r>
    <s v="STARINDO MULTI SUKSES, PT"/>
    <d v="2023-06-27T00:00:00"/>
    <x v="6"/>
    <n v="187590"/>
  </r>
  <r>
    <s v="STARINDO MULTI SUKSES, PT"/>
    <d v="2023-07-07T00:00:00"/>
    <x v="7"/>
    <n v="2943986"/>
  </r>
  <r>
    <s v="STARINDO MULTI SUKSES, PT"/>
    <d v="2023-07-08T00:00:00"/>
    <x v="7"/>
    <n v="1068930"/>
  </r>
  <r>
    <s v="STARINDO MULTI SUKSES, PT"/>
    <d v="2023-07-15T00:00:00"/>
    <x v="7"/>
    <n v="985014"/>
  </r>
  <r>
    <s v="STARINDO MULTI SUKSES, PT"/>
    <d v="2023-07-20T00:00:00"/>
    <x v="7"/>
    <n v="1950992"/>
  </r>
  <r>
    <s v="STARINDO MULTI SUKSES, PT"/>
    <d v="2023-07-24T00:00:00"/>
    <x v="7"/>
    <n v="699300"/>
  </r>
  <r>
    <s v="STARINDO MULTI SUKSES, PT"/>
    <d v="2023-07-25T00:00:00"/>
    <x v="7"/>
    <n v="1814295"/>
  </r>
  <r>
    <s v="STARINDO MULTI SUKSES, PT"/>
    <d v="2023-07-28T00:00:00"/>
    <x v="7"/>
    <n v="910200"/>
  </r>
  <r>
    <s v="STARINDO MULTI SUKSES, PT"/>
    <d v="2023-07-29T00:00:00"/>
    <x v="7"/>
    <n v="932400"/>
  </r>
  <r>
    <s v="STARINDO MULTI SUKSES, PT"/>
    <d v="2023-08-02T00:00:00"/>
    <x v="1"/>
    <n v="1103995"/>
  </r>
  <r>
    <s v="STARINDO MULTI SUKSES, PT"/>
    <d v="2023-08-02T00:00:00"/>
    <x v="1"/>
    <n v="788100"/>
  </r>
  <r>
    <s v="STARINDO MULTI SUKSES, PT"/>
    <d v="2023-08-10T00:00:00"/>
    <x v="1"/>
    <n v="5013371"/>
  </r>
  <r>
    <s v="STARINDO MULTI SUKSES, PT"/>
    <d v="2023-08-12T00:00:00"/>
    <x v="1"/>
    <n v="344100"/>
  </r>
  <r>
    <s v="STARINDO MULTI SUKSES, PT"/>
    <d v="2023-08-15T00:00:00"/>
    <x v="1"/>
    <n v="2491495"/>
  </r>
  <r>
    <s v="STARINDO MULTI SUKSES, PT"/>
    <d v="2023-08-18T00:00:00"/>
    <x v="1"/>
    <n v="749250"/>
  </r>
  <r>
    <s v="STARINDO MULTI SUKSES, PT"/>
    <d v="2023-08-19T00:00:00"/>
    <x v="1"/>
    <n v="1242978"/>
  </r>
  <r>
    <s v="STARINDO MULTI SUKSES, PT"/>
    <d v="2023-08-23T00:00:00"/>
    <x v="1"/>
    <n v="277500"/>
  </r>
  <r>
    <s v="STARINDO MULTI SUKSES, PT"/>
    <d v="2023-08-24T00:00:00"/>
    <x v="1"/>
    <n v="1276500"/>
  </r>
  <r>
    <s v="STARINDO MULTI SUKSES, PT"/>
    <d v="2023-08-28T00:00:00"/>
    <x v="1"/>
    <n v="735997"/>
  </r>
  <r>
    <s v="STARINDO MULTI SUKSES, PT"/>
    <d v="2023-08-29T00:00:00"/>
    <x v="1"/>
    <n v="356310"/>
  </r>
  <r>
    <s v="STARINDO MULTI SUKSES, PT"/>
    <d v="2023-08-30T00:00:00"/>
    <x v="1"/>
    <n v="1452435"/>
  </r>
  <r>
    <s v="STARINDO MULTI SUKSES, PT"/>
    <d v="2023-08-31T00:00:00"/>
    <x v="1"/>
    <n v="366300"/>
  </r>
  <r>
    <s v="STARINDO MULTI SUKSES, PT"/>
    <d v="2023-09-05T00:00:00"/>
    <x v="8"/>
    <n v="416250"/>
  </r>
  <r>
    <s v="STARINDO MULTI SUKSES, PT"/>
    <d v="2023-09-07T00:00:00"/>
    <x v="8"/>
    <n v="1609500"/>
  </r>
  <r>
    <s v="STARINDO MULTI SUKSES, PT"/>
    <d v="2023-09-12T00:00:00"/>
    <x v="8"/>
    <n v="467865"/>
  </r>
  <r>
    <s v="STARINDO MULTI SUKSES, PT"/>
    <d v="2023-09-13T00:00:00"/>
    <x v="8"/>
    <n v="710400"/>
  </r>
  <r>
    <s v="STARINDO MULTI SUKSES, PT"/>
    <d v="2023-09-15T00:00:00"/>
    <x v="8"/>
    <n v="482850"/>
  </r>
  <r>
    <s v="STARINDO MULTI SUKSES, PT"/>
    <d v="2023-09-16T00:00:00"/>
    <x v="8"/>
    <n v="911310"/>
  </r>
  <r>
    <s v="STARINDO MULTI SUKSES, PT"/>
    <d v="2023-09-18T00:00:00"/>
    <x v="8"/>
    <n v="1253845"/>
  </r>
  <r>
    <s v="STARINDO MULTI SUKSES, PT"/>
    <d v="2023-09-21T00:00:00"/>
    <x v="8"/>
    <n v="1389587"/>
  </r>
  <r>
    <s v="STARINDO MULTI SUKSES, PT"/>
    <d v="2023-09-26T00:00:00"/>
    <x v="8"/>
    <n v="1387500"/>
  </r>
  <r>
    <s v="STARINDO MULTI SUKSES, PT"/>
    <d v="2023-09-26T00:00:00"/>
    <x v="8"/>
    <n v="172050"/>
  </r>
  <r>
    <s v="STARINDO MULTI SUKSES, PT"/>
    <d v="2023-09-29T00:00:00"/>
    <x v="8"/>
    <n v="183150"/>
  </r>
  <r>
    <s v="STARINDO MULTI SUKSES, PT"/>
    <d v="2023-10-04T00:00:00"/>
    <x v="2"/>
    <n v="275835"/>
  </r>
  <r>
    <s v="STARINDO MULTI SUKSES, PT"/>
    <d v="2023-10-10T00:00:00"/>
    <x v="2"/>
    <n v="1366965"/>
  </r>
  <r>
    <s v="STARINDO MULTI SUKSES, PT"/>
    <d v="2023-10-19T00:00:00"/>
    <x v="2"/>
    <n v="2698699"/>
  </r>
  <r>
    <s v="STARINDO MULTI SUKSES, PT"/>
    <d v="2023-10-23T00:00:00"/>
    <x v="2"/>
    <n v="416250"/>
  </r>
  <r>
    <s v="STARINDO MULTI SUKSES, PT"/>
    <d v="2023-10-25T00:00:00"/>
    <x v="2"/>
    <n v="1113330"/>
  </r>
  <r>
    <s v="STARINDO MULTI SUKSES, PT"/>
    <d v="2023-10-31T00:00:00"/>
    <x v="2"/>
    <n v="588300"/>
  </r>
  <r>
    <s v="STARINDO MULTI SUKSES, PT"/>
    <d v="2023-11-01T00:00:00"/>
    <x v="9"/>
    <n v="3679983"/>
  </r>
  <r>
    <s v="STARINDO MULTI SUKSES, PT"/>
    <d v="2023-11-02T00:00:00"/>
    <x v="9"/>
    <n v="1101453"/>
  </r>
  <r>
    <s v="STARINDO MULTI SUKSES, PT"/>
    <d v="2023-11-08T00:00:00"/>
    <x v="9"/>
    <n v="1665000"/>
  </r>
  <r>
    <s v="STARINDO MULTI SUKSES, PT"/>
    <d v="2023-11-11T00:00:00"/>
    <x v="9"/>
    <n v="1304250"/>
  </r>
  <r>
    <s v="STARINDO MULTI SUKSES, PT"/>
    <d v="2023-11-11T00:00:00"/>
    <x v="9"/>
    <n v="1377621"/>
  </r>
  <r>
    <s v="STARINDO MULTI SUKSES, PT"/>
    <d v="2023-11-13T00:00:00"/>
    <x v="9"/>
    <n v="6781978"/>
  </r>
  <r>
    <s v="STARINDO MULTI SUKSES, PT"/>
    <d v="2023-11-14T00:00:00"/>
    <x v="9"/>
    <n v="3885000"/>
  </r>
  <r>
    <s v="STARINDO MULTI SUKSES, PT"/>
    <d v="2023-11-16T00:00:00"/>
    <x v="9"/>
    <n v="2613495"/>
  </r>
  <r>
    <s v="STARINDO MULTI SUKSES, PT"/>
    <d v="2023-11-20T00:00:00"/>
    <x v="9"/>
    <n v="286380"/>
  </r>
  <r>
    <s v="STARINDO MULTI SUKSES, PT"/>
    <d v="2023-11-25T00:00:00"/>
    <x v="9"/>
    <n v="318570"/>
  </r>
  <r>
    <s v="STARINDO MULTI SUKSES, PT"/>
    <d v="2023-11-27T00:00:00"/>
    <x v="9"/>
    <n v="610500"/>
  </r>
  <r>
    <s v="SUMBER REJEKI MEDIKA JAYA, PT"/>
    <d v="2023-01-03T00:00:00"/>
    <x v="11"/>
    <n v="1553024"/>
  </r>
  <r>
    <s v="SUMBER REJEKI MEDIKA JAYA, PT"/>
    <d v="2023-01-11T00:00:00"/>
    <x v="11"/>
    <n v="145687"/>
  </r>
  <r>
    <s v="SUMBER REJEKI MEDIKA JAYA, PT"/>
    <d v="2023-01-11T00:00:00"/>
    <x v="11"/>
    <n v="821372"/>
  </r>
  <r>
    <s v="SUMBER REJEKI MEDIKA JAYA, PT"/>
    <d v="2023-01-11T00:00:00"/>
    <x v="11"/>
    <n v="6280380"/>
  </r>
  <r>
    <s v="SUMBER REJEKI MEDIKA JAYA, PT"/>
    <d v="2023-01-23T00:00:00"/>
    <x v="11"/>
    <n v="106615"/>
  </r>
  <r>
    <s v="SUMBER REJEKI MEDIKA JAYA, PT"/>
    <d v="2023-01-23T00:00:00"/>
    <x v="11"/>
    <n v="1476300"/>
  </r>
  <r>
    <s v="SUMBER REJEKI MEDIKA JAYA, PT"/>
    <d v="2023-01-30T00:00:00"/>
    <x v="11"/>
    <n v="581085"/>
  </r>
  <r>
    <s v="SUMBER REJEKI MEDIKA JAYA, PT"/>
    <d v="2023-02-02T00:00:00"/>
    <x v="3"/>
    <n v="625338"/>
  </r>
  <r>
    <s v="SUMBER REJEKI MEDIKA JAYA, PT"/>
    <d v="2023-02-03T00:00:00"/>
    <x v="3"/>
    <n v="710400"/>
  </r>
  <r>
    <s v="SUMBER REJEKI MEDIKA JAYA, PT"/>
    <d v="2023-02-04T00:00:00"/>
    <x v="3"/>
    <n v="1494060"/>
  </r>
  <r>
    <s v="SUMBER REJEKI MEDIKA JAYA, PT"/>
    <d v="2023-02-06T00:00:00"/>
    <x v="3"/>
    <n v="2760303"/>
  </r>
  <r>
    <s v="SUMBER REJEKI MEDIKA JAYA, PT"/>
    <d v="2023-02-10T00:00:00"/>
    <x v="3"/>
    <n v="630369"/>
  </r>
  <r>
    <s v="SUMBER REJEKI MEDIKA JAYA, PT"/>
    <d v="2023-02-13T00:00:00"/>
    <x v="3"/>
    <n v="4162500"/>
  </r>
  <r>
    <s v="SUMBER REJEKI MEDIKA JAYA, PT"/>
    <d v="2023-02-13T00:00:00"/>
    <x v="3"/>
    <n v="494671"/>
  </r>
  <r>
    <s v="SUMBER REJEKI MEDIKA JAYA, PT"/>
    <d v="2023-02-24T00:00:00"/>
    <x v="3"/>
    <n v="4495050"/>
  </r>
  <r>
    <s v="SUMBER REJEKI MEDIKA JAYA, PT"/>
    <d v="2023-03-10T00:00:00"/>
    <x v="4"/>
    <n v="446200"/>
  </r>
  <r>
    <s v="SUMBER REJEKI MEDIKA JAYA, PT"/>
    <d v="2023-03-10T00:00:00"/>
    <x v="4"/>
    <n v="20000"/>
  </r>
  <r>
    <s v="SUMBER REJEKI MEDIKA JAYA, PT"/>
    <d v="2023-03-10T00:00:00"/>
    <x v="4"/>
    <n v="181684"/>
  </r>
  <r>
    <s v="SUMBER REJEKI MEDIKA JAYA, PT"/>
    <d v="2023-03-15T00:00:00"/>
    <x v="4"/>
    <n v="810300"/>
  </r>
  <r>
    <s v="SUMBER REJEKI MEDIKA JAYA, PT"/>
    <d v="2023-03-27T00:00:00"/>
    <x v="4"/>
    <n v="1367776"/>
  </r>
  <r>
    <s v="SUMBER REJEKI MEDIKA JAYA, PT"/>
    <d v="2023-03-28T00:00:00"/>
    <x v="4"/>
    <n v="463980"/>
  </r>
  <r>
    <s v="SUMBER REJEKI MEDIKA JAYA, PT"/>
    <d v="2023-03-30T00:00:00"/>
    <x v="4"/>
    <n v="1438322"/>
  </r>
  <r>
    <s v="SUMBER REJEKI MEDIKA JAYA, PT"/>
    <d v="2023-03-31T00:00:00"/>
    <x v="4"/>
    <n v="199800"/>
  </r>
  <r>
    <s v="SUMBER REJEKI MEDIKA JAYA, PT"/>
    <d v="2023-04-01T00:00:00"/>
    <x v="5"/>
    <n v="1770633"/>
  </r>
  <r>
    <s v="SUMBER REJEKI MEDIKA JAYA, PT"/>
    <d v="2023-04-01T00:00:00"/>
    <x v="5"/>
    <n v="760350"/>
  </r>
  <r>
    <s v="SUMBER REJEKI MEDIKA JAYA, PT"/>
    <d v="2023-04-05T00:00:00"/>
    <x v="5"/>
    <n v="1221000"/>
  </r>
  <r>
    <s v="SUMBER REJEKI MEDIKA JAYA, PT"/>
    <d v="2023-04-15T00:00:00"/>
    <x v="5"/>
    <n v="246749"/>
  </r>
  <r>
    <s v="SUMBER REJEKI MEDIKA JAYA, PT"/>
    <d v="2023-04-18T00:00:00"/>
    <x v="5"/>
    <n v="188811"/>
  </r>
  <r>
    <s v="SUMBER REJEKI MEDIKA JAYA, PT"/>
    <d v="2023-05-03T00:00:00"/>
    <x v="0"/>
    <n v="429880"/>
  </r>
  <r>
    <s v="SUMBER REJEKI MEDIKA JAYA, PT"/>
    <d v="2023-05-03T00:00:00"/>
    <x v="0"/>
    <n v="183749"/>
  </r>
  <r>
    <s v="SUMBER REJEKI MEDIKA JAYA, PT"/>
    <d v="2023-05-08T00:00:00"/>
    <x v="0"/>
    <n v="4884000"/>
  </r>
  <r>
    <s v="SUMBER REJEKI MEDIKA JAYA, PT"/>
    <d v="2023-05-10T00:00:00"/>
    <x v="0"/>
    <n v="348850"/>
  </r>
  <r>
    <s v="SUMBER REJEKI MEDIKA JAYA, PT"/>
    <d v="2023-05-13T00:00:00"/>
    <x v="0"/>
    <n v="535020"/>
  </r>
  <r>
    <s v="SUMBER REJEKI MEDIKA JAYA, PT"/>
    <d v="2023-05-19T00:00:00"/>
    <x v="0"/>
    <n v="1641949"/>
  </r>
  <r>
    <s v="SUMBER REJEKI MEDIKA JAYA, PT"/>
    <d v="2023-05-19T00:00:00"/>
    <x v="0"/>
    <n v="421800"/>
  </r>
  <r>
    <s v="SUMBER REJEKI MEDIKA JAYA, PT"/>
    <d v="2023-05-19T00:00:00"/>
    <x v="0"/>
    <n v="498301"/>
  </r>
  <r>
    <s v="SUMBER REJEKI MEDIKA JAYA, PT"/>
    <d v="2023-05-23T00:00:00"/>
    <x v="0"/>
    <n v="1703161"/>
  </r>
  <r>
    <s v="SUMBER REJEKI MEDIKA JAYA, PT"/>
    <d v="2023-05-23T00:00:00"/>
    <x v="0"/>
    <n v="1478286"/>
  </r>
  <r>
    <s v="SUMBER REJEKI MEDIKA JAYA, PT"/>
    <d v="2023-05-30T00:00:00"/>
    <x v="0"/>
    <n v="271209"/>
  </r>
  <r>
    <s v="SUMBER REJEKI MEDIKA JAYA, PT"/>
    <d v="2023-06-02T00:00:00"/>
    <x v="6"/>
    <n v="1274724"/>
  </r>
  <r>
    <s v="SUMBER REJEKI MEDIKA JAYA, PT"/>
    <d v="2023-06-03T00:00:00"/>
    <x v="6"/>
    <n v="1090103"/>
  </r>
  <r>
    <s v="SUMBER REJEKI MEDIKA JAYA, PT"/>
    <d v="2023-06-07T00:00:00"/>
    <x v="6"/>
    <n v="143589"/>
  </r>
  <r>
    <s v="SUMBER REJEKI MEDIKA JAYA, PT"/>
    <d v="2023-06-08T00:00:00"/>
    <x v="6"/>
    <n v="377622"/>
  </r>
  <r>
    <s v="SUMBER REJEKI MEDIKA JAYA, PT"/>
    <d v="2023-06-09T00:00:00"/>
    <x v="6"/>
    <n v="388500"/>
  </r>
  <r>
    <s v="SUMBER REJEKI MEDIKA JAYA, PT"/>
    <d v="2023-06-12T00:00:00"/>
    <x v="6"/>
    <n v="7326000"/>
  </r>
  <r>
    <s v="SUMBER REJEKI MEDIKA JAYA, PT"/>
    <d v="2023-06-13T00:00:00"/>
    <x v="6"/>
    <n v="2081250"/>
  </r>
  <r>
    <s v="SUMBER REJEKI MEDIKA JAYA, PT"/>
    <d v="2023-06-21T00:00:00"/>
    <x v="6"/>
    <n v="398753"/>
  </r>
  <r>
    <s v="SUMBER REJEKI MEDIKA JAYA, PT"/>
    <d v="2023-06-24T00:00:00"/>
    <x v="6"/>
    <n v="362942"/>
  </r>
  <r>
    <s v="SUMBER REJEKI MEDIKA JAYA, PT"/>
    <d v="2023-06-24T00:00:00"/>
    <x v="6"/>
    <n v="793650"/>
  </r>
  <r>
    <s v="SUMBER REJEKI MEDIKA JAYA, PT"/>
    <d v="2023-06-26T00:00:00"/>
    <x v="6"/>
    <n v="5573281"/>
  </r>
  <r>
    <s v="SUMBER REJEKI MEDIKA JAYA, PT"/>
    <d v="2023-06-28T00:00:00"/>
    <x v="6"/>
    <n v="1405958"/>
  </r>
  <r>
    <s v="SUMBER REJEKI MEDIKA JAYA, PT"/>
    <d v="2023-07-03T00:00:00"/>
    <x v="7"/>
    <n v="900449"/>
  </r>
  <r>
    <s v="SUMBER REJEKI MEDIKA JAYA, PT"/>
    <d v="2023-07-03T00:00:00"/>
    <x v="7"/>
    <n v="103949"/>
  </r>
  <r>
    <s v="SUMBER REJEKI MEDIKA JAYA, PT"/>
    <d v="2023-07-07T00:00:00"/>
    <x v="7"/>
    <n v="815112"/>
  </r>
  <r>
    <s v="SUMBER REJEKI MEDIKA JAYA, PT"/>
    <d v="2023-07-11T00:00:00"/>
    <x v="7"/>
    <n v="320258"/>
  </r>
  <r>
    <s v="SUMBER REJEKI MEDIKA JAYA, PT"/>
    <d v="2023-07-13T00:00:00"/>
    <x v="7"/>
    <n v="658296"/>
  </r>
  <r>
    <s v="SUMBER REJEKI MEDIKA JAYA, PT"/>
    <d v="2023-07-17T00:00:00"/>
    <x v="7"/>
    <n v="151404"/>
  </r>
  <r>
    <s v="SUMBER REJEKI MEDIKA JAYA, PT"/>
    <d v="2023-07-18T00:00:00"/>
    <x v="7"/>
    <n v="155400"/>
  </r>
  <r>
    <s v="SUMBER REJEKI MEDIKA JAYA, PT"/>
    <d v="2023-07-22T00:00:00"/>
    <x v="7"/>
    <n v="686458"/>
  </r>
  <r>
    <s v="SUMBER REJEKI MEDIKA JAYA, PT"/>
    <d v="2023-07-24T00:00:00"/>
    <x v="7"/>
    <n v="1537350"/>
  </r>
  <r>
    <s v="SUMBER REJEKI MEDIKA JAYA, PT"/>
    <d v="2023-07-25T00:00:00"/>
    <x v="7"/>
    <n v="266400"/>
  </r>
  <r>
    <s v="SUMBER REJEKI MEDIKA JAYA, PT"/>
    <d v="2023-07-25T00:00:00"/>
    <x v="7"/>
    <n v="604950"/>
  </r>
  <r>
    <s v="SUMBER REJEKI MEDIKA JAYA, PT"/>
    <d v="2023-07-25T00:00:00"/>
    <x v="7"/>
    <n v="821372"/>
  </r>
  <r>
    <s v="SUMBER REJEKI MEDIKA JAYA, PT"/>
    <d v="2023-07-25T00:00:00"/>
    <x v="7"/>
    <n v="11818170"/>
  </r>
  <r>
    <s v="SUMBER REJEKI MEDIKA JAYA, PT"/>
    <d v="2023-07-31T00:00:00"/>
    <x v="7"/>
    <n v="298118"/>
  </r>
  <r>
    <s v="SUMBER REJEKI MEDIKA JAYA, PT"/>
    <d v="2023-08-01T00:00:00"/>
    <x v="1"/>
    <n v="3663000"/>
  </r>
  <r>
    <s v="SUMBER REJEKI MEDIKA JAYA, PT"/>
    <d v="2023-08-05T00:00:00"/>
    <x v="1"/>
    <n v="1739647"/>
  </r>
  <r>
    <s v="SUMBER REJEKI MEDIKA JAYA, PT"/>
    <d v="2023-08-10T00:00:00"/>
    <x v="1"/>
    <n v="291375"/>
  </r>
  <r>
    <s v="SUMBER REJEKI MEDIKA JAYA, PT"/>
    <d v="2023-08-12T00:00:00"/>
    <x v="1"/>
    <n v="1818180"/>
  </r>
  <r>
    <s v="SUMBER REJEKI MEDIKA JAYA, PT"/>
    <d v="2023-08-15T00:00:00"/>
    <x v="1"/>
    <n v="151404"/>
  </r>
  <r>
    <s v="SUMBER REJEKI MEDIKA JAYA, PT"/>
    <d v="2023-08-15T00:00:00"/>
    <x v="1"/>
    <n v="230999"/>
  </r>
  <r>
    <s v="SUMBER REJEKI MEDIKA JAYA, PT"/>
    <d v="2023-08-16T00:00:00"/>
    <x v="1"/>
    <n v="1054500"/>
  </r>
  <r>
    <s v="SUMBER REJEKI MEDIKA JAYA, PT"/>
    <d v="2023-08-19T00:00:00"/>
    <x v="1"/>
    <n v="173248"/>
  </r>
  <r>
    <s v="SUMBER REJEKI MEDIKA JAYA, PT"/>
    <d v="2023-08-25T00:00:00"/>
    <x v="1"/>
    <n v="155011"/>
  </r>
  <r>
    <s v="SUMBER REJEKI MEDIKA JAYA, PT"/>
    <d v="2023-08-31T00:00:00"/>
    <x v="1"/>
    <n v="670959"/>
  </r>
  <r>
    <s v="SUMBER REJEKI MEDIKA JAYA, PT"/>
    <d v="2023-09-06T00:00:00"/>
    <x v="8"/>
    <n v="793650"/>
  </r>
  <r>
    <s v="SUMBER REJEKI MEDIKA JAYA, PT"/>
    <d v="2023-09-07T00:00:00"/>
    <x v="8"/>
    <n v="1221000"/>
  </r>
  <r>
    <s v="SUMBER REJEKI MEDIKA JAYA, PT"/>
    <d v="2023-09-07T00:00:00"/>
    <x v="8"/>
    <n v="1259067"/>
  </r>
  <r>
    <s v="SUMBER REJEKI MEDIKA JAYA, PT"/>
    <d v="2023-09-12T00:00:00"/>
    <x v="8"/>
    <n v="4884000"/>
  </r>
  <r>
    <s v="SUMBER REJEKI MEDIKA JAYA, PT"/>
    <d v="2023-09-18T00:00:00"/>
    <x v="8"/>
    <n v="248728"/>
  </r>
  <r>
    <s v="SUMBER REJEKI MEDIKA JAYA, PT"/>
    <d v="2023-09-19T00:00:00"/>
    <x v="8"/>
    <n v="3086077"/>
  </r>
  <r>
    <s v="SUMBER REJEKI MEDIKA JAYA, PT"/>
    <d v="2023-09-20T00:00:00"/>
    <x v="8"/>
    <n v="2665040"/>
  </r>
  <r>
    <s v="SUMBER REJEKI MEDIKA JAYA, PT"/>
    <d v="2023-09-23T00:00:00"/>
    <x v="8"/>
    <n v="379353"/>
  </r>
  <r>
    <s v="SUMBER REJEKI MEDIKA JAYA, PT"/>
    <d v="2023-09-23T00:00:00"/>
    <x v="8"/>
    <n v="6660000"/>
  </r>
  <r>
    <s v="SUMBER REJEKI MEDIKA JAYA, PT"/>
    <d v="2023-09-25T00:00:00"/>
    <x v="8"/>
    <n v="107692"/>
  </r>
  <r>
    <s v="SUMBER REJEKI MEDIKA JAYA, PT"/>
    <d v="2023-10-03T00:00:00"/>
    <x v="2"/>
    <n v="995403"/>
  </r>
  <r>
    <s v="SUMBER REJEKI MEDIKA JAYA, PT"/>
    <d v="2023-10-03T00:00:00"/>
    <x v="2"/>
    <n v="1250676"/>
  </r>
  <r>
    <s v="SUMBER REJEKI MEDIKA JAYA, PT"/>
    <d v="2023-10-03T00:00:00"/>
    <x v="2"/>
    <n v="4610003"/>
  </r>
  <r>
    <s v="SUMBER REJEKI MEDIKA JAYA, PT"/>
    <d v="2023-10-16T00:00:00"/>
    <x v="2"/>
    <n v="2630180"/>
  </r>
  <r>
    <s v="SUMBER REJEKI MEDIKA JAYA, PT"/>
    <d v="2023-10-17T00:00:00"/>
    <x v="2"/>
    <n v="505105"/>
  </r>
  <r>
    <s v="SUMBER REJEKI MEDIKA JAYA, PT"/>
    <d v="2023-10-20T00:00:00"/>
    <x v="2"/>
    <n v="952380"/>
  </r>
  <r>
    <s v="SUMBER REJEKI MEDIKA JAYA, PT"/>
    <d v="2023-10-23T00:00:00"/>
    <x v="2"/>
    <n v="859848"/>
  </r>
  <r>
    <s v="SUMBER REJEKI MEDIKA JAYA, PT"/>
    <d v="2023-10-23T00:00:00"/>
    <x v="2"/>
    <n v="287188"/>
  </r>
  <r>
    <s v="SUMBER REJEKI MEDIKA JAYA, PT"/>
    <d v="2023-10-24T00:00:00"/>
    <x v="2"/>
    <n v="1221000"/>
  </r>
  <r>
    <s v="SUMBER REJEKI MEDIKA JAYA, PT"/>
    <d v="2023-10-26T00:00:00"/>
    <x v="2"/>
    <n v="207792"/>
  </r>
  <r>
    <s v="SUMBER REJEKI MEDIKA JAYA, PT"/>
    <d v="2023-10-30T00:00:00"/>
    <x v="2"/>
    <n v="650904"/>
  </r>
  <r>
    <s v="SUMBER REJEKI MEDIKA JAYA, PT"/>
    <d v="2023-11-01T00:00:00"/>
    <x v="9"/>
    <n v="179487"/>
  </r>
  <r>
    <s v="SUMBER REJEKI MEDIKA JAYA, PT"/>
    <d v="2023-11-03T00:00:00"/>
    <x v="9"/>
    <n v="724423"/>
  </r>
  <r>
    <s v="SUMBER REJEKI MEDIKA JAYA, PT"/>
    <d v="2023-11-11T00:00:00"/>
    <x v="9"/>
    <n v="1250676"/>
  </r>
  <r>
    <s v="SUMBER REJEKI MEDIKA JAYA, PT"/>
    <d v="2023-11-11T00:00:00"/>
    <x v="9"/>
    <n v="1620311"/>
  </r>
  <r>
    <s v="SUMBER REJEKI MEDIKA JAYA, PT"/>
    <d v="2023-11-13T00:00:00"/>
    <x v="9"/>
    <n v="6105000"/>
  </r>
  <r>
    <s v="SUMBER REJEKI MEDIKA JAYA, PT"/>
    <d v="2023-11-16T00:00:00"/>
    <x v="9"/>
    <n v="302613"/>
  </r>
  <r>
    <s v="SUMBER REJEKI MEDIKA JAYA, PT"/>
    <d v="2023-11-16T00:00:00"/>
    <x v="9"/>
    <n v="2024632"/>
  </r>
  <r>
    <s v="SUMBER REJEKI MEDIKA JAYA, PT"/>
    <d v="2023-11-21T00:00:00"/>
    <x v="9"/>
    <n v="379955"/>
  </r>
  <r>
    <s v="SUMBER REJEKI MEDIKA JAYA, PT"/>
    <d v="2023-11-23T00:00:00"/>
    <x v="9"/>
    <n v="200502"/>
  </r>
  <r>
    <s v="SUMBER REJEKI MEDIKA JAYA, PT"/>
    <d v="2023-11-27T00:00:00"/>
    <x v="9"/>
    <n v="1218774"/>
  </r>
  <r>
    <s v="T E M P O"/>
    <d v="2023-01-26T00:00:00"/>
    <x v="11"/>
    <n v="191628"/>
  </r>
  <r>
    <s v="T E M P O"/>
    <d v="2023-02-15T00:00:00"/>
    <x v="3"/>
    <n v="10209375"/>
  </r>
  <r>
    <s v="T E M P O"/>
    <d v="2023-02-22T00:00:00"/>
    <x v="3"/>
    <n v="555498"/>
  </r>
  <r>
    <s v="T E M P O"/>
    <d v="2023-03-17T00:00:00"/>
    <x v="4"/>
    <n v="1877259"/>
  </r>
  <r>
    <s v="T E M P O"/>
    <d v="2023-04-06T00:00:00"/>
    <x v="5"/>
    <n v="151424"/>
  </r>
  <r>
    <s v="T E M P O"/>
    <d v="2023-06-07T00:00:00"/>
    <x v="6"/>
    <n v="2724000"/>
  </r>
  <r>
    <s v="T E M P O"/>
    <d v="2023-06-07T00:00:00"/>
    <x v="6"/>
    <n v="1877859"/>
  </r>
  <r>
    <s v="T E M P O"/>
    <d v="2023-06-16T00:00:00"/>
    <x v="6"/>
    <n v="5448000"/>
  </r>
  <r>
    <s v="T E M P O"/>
    <d v="2023-06-30T00:00:00"/>
    <x v="6"/>
    <n v="193760"/>
  </r>
  <r>
    <s v="T E M P O"/>
    <d v="2023-08-11T00:00:00"/>
    <x v="1"/>
    <n v="4223750"/>
  </r>
  <r>
    <s v="T E M P O"/>
    <d v="2023-08-25T00:00:00"/>
    <x v="1"/>
    <n v="1877859"/>
  </r>
  <r>
    <s v="T E M P O"/>
    <d v="2023-08-29T00:00:00"/>
    <x v="1"/>
    <n v="2935200"/>
  </r>
  <r>
    <s v="T E M P O"/>
    <d v="2023-09-30T00:00:00"/>
    <x v="8"/>
    <n v="4540000"/>
  </r>
  <r>
    <s v="T E M P O"/>
    <d v="2023-10-19T00:00:00"/>
    <x v="2"/>
    <n v="2450250"/>
  </r>
  <r>
    <s v="T E M P O"/>
    <d v="2023-10-27T00:00:00"/>
    <x v="2"/>
    <n v="1840302"/>
  </r>
  <r>
    <s v="T E M P O"/>
    <d v="2023-10-30T00:00:00"/>
    <x v="2"/>
    <n v="1633500"/>
  </r>
  <r>
    <s v="T E M P O"/>
    <d v="2023-11-16T00:00:00"/>
    <x v="9"/>
    <n v="4540000"/>
  </r>
  <r>
    <s v="UNITED DICO CITAS, PT"/>
    <d v="2022-12-22T00:00:00"/>
    <x v="16"/>
    <n v="1392606"/>
  </r>
  <r>
    <s v="UNITED DICO CITAS, PT"/>
    <d v="2023-01-31T00:00:00"/>
    <x v="11"/>
    <n v="402279"/>
  </r>
  <r>
    <s v="UNITED DICO CITAS, PT"/>
    <d v="2023-02-17T00:00:00"/>
    <x v="3"/>
    <n v="863518"/>
  </r>
  <r>
    <s v="UNITED DICO CITAS, PT"/>
    <d v="2023-03-17T00:00:00"/>
    <x v="4"/>
    <n v="2302029"/>
  </r>
  <r>
    <s v="UNITED DICO CITAS, PT"/>
    <d v="2023-03-28T00:00:00"/>
    <x v="4"/>
    <n v="310245"/>
  </r>
  <r>
    <s v="UNITED DICO CITAS, PT"/>
    <d v="2023-03-29T00:00:00"/>
    <x v="4"/>
    <n v="710400"/>
  </r>
  <r>
    <s v="UNITED DICO CITAS, PT"/>
    <d v="2023-06-05T00:00:00"/>
    <x v="6"/>
    <n v="2261070"/>
  </r>
  <r>
    <s v="UNITED DICO CITAS, PT"/>
    <d v="2023-06-16T00:00:00"/>
    <x v="6"/>
    <n v="3069372"/>
  </r>
  <r>
    <s v="UNITED DICO CITAS, PT"/>
    <d v="2023-08-07T00:00:00"/>
    <x v="1"/>
    <n v="456093"/>
  </r>
  <r>
    <s v="UNITED DICO CITAS, PT"/>
    <d v="2023-08-11T00:00:00"/>
    <x v="1"/>
    <n v="1727038"/>
  </r>
  <r>
    <s v="UNITED DICO CITAS, PT"/>
    <d v="2023-08-15T00:00:00"/>
    <x v="1"/>
    <n v="3069372"/>
  </r>
  <r>
    <s v="YASA MAHKOTA MULIA, PT"/>
    <d v="2022-11-23T00:00:00"/>
    <x v="18"/>
    <n v="854700"/>
  </r>
  <r>
    <s v="YASA MAHKOTA MULIA, PT"/>
    <d v="2022-12-20T00:00:00"/>
    <x v="16"/>
    <n v="371850"/>
  </r>
  <r>
    <s v="YASA MAHKOTA MULIA, PT"/>
    <d v="2023-01-07T00:00:00"/>
    <x v="11"/>
    <n v="659340"/>
  </r>
  <r>
    <s v="YASA MAHKOTA MULIA, PT"/>
    <d v="2023-02-02T00:00:00"/>
    <x v="3"/>
    <n v="638250"/>
  </r>
  <r>
    <s v="YASA MAHKOTA MULIA, PT"/>
    <d v="2023-02-27T00:00:00"/>
    <x v="3"/>
    <n v="678210"/>
  </r>
  <r>
    <s v="YASA MAHKOTA MULIA, PT"/>
    <d v="2023-03-27T00:00:00"/>
    <x v="4"/>
    <n v="932400"/>
  </r>
  <r>
    <s v="YASA MAHKOTA MULIA, PT"/>
    <d v="2023-04-18T00:00:00"/>
    <x v="5"/>
    <n v="814740"/>
  </r>
  <r>
    <s v="YASA MAHKOTA MULIA, PT"/>
    <d v="2023-04-18T00:00:00"/>
    <x v="5"/>
    <n v="294150"/>
  </r>
  <r>
    <s v="YASA MAHKOTA MULIA, PT"/>
    <d v="2023-05-13T00:00:00"/>
    <x v="0"/>
    <n v="754800"/>
  </r>
  <r>
    <s v="YASA MAHKOTA MULIA, PT"/>
    <d v="2023-05-27T00:00:00"/>
    <x v="0"/>
    <n v="352980"/>
  </r>
  <r>
    <s v="YASA MAHKOTA MULIA, PT"/>
    <d v="2023-06-15T00:00:00"/>
    <x v="6"/>
    <n v="638250"/>
  </r>
  <r>
    <s v="YASA MAHKOTA MULIA, PT"/>
    <d v="2023-06-28T00:00:00"/>
    <x v="6"/>
    <n v="294150"/>
  </r>
  <r>
    <s v="YASA MAHKOTA MULIA, PT"/>
    <d v="2023-07-17T00:00:00"/>
    <x v="7"/>
    <n v="873570"/>
  </r>
  <r>
    <s v="YASA MAHKOTA MULIA, PT"/>
    <d v="2023-08-11T00:00:00"/>
    <x v="1"/>
    <n v="1168830"/>
  </r>
  <r>
    <s v="YASA MAHKOTA MULIA, PT"/>
    <d v="2023-08-30T00:00:00"/>
    <x v="1"/>
    <n v="306360"/>
  </r>
  <r>
    <s v="YASA MAHKOTA MULIA, PT"/>
    <d v="2023-09-14T00:00:00"/>
    <x v="8"/>
    <n v="10689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Sheet4" cacheId="12" applyNumberFormats="0" applyBorderFormats="0" applyFontFormats="0" applyPatternFormats="0" applyAlignmentFormats="0" applyWidthHeightFormats="1" dataCaption="" updatedVersion="8" compact="0" compactData="0">
  <location ref="A3:A23" firstHeaderRow="1" firstDataRow="1" firstDataCol="1"/>
  <pivotFields count="4">
    <pivotField compact="0" outline="0" multipleItemSelectionAllowed="1" showAll="0"/>
    <pivotField compact="0" numFmtId="169" outline="0" multipleItemSelectionAllowed="1" showAll="0"/>
    <pivotField axis="axisRow" compact="0" numFmtId="167" outline="0" multipleItemSelectionAllowed="1" showAll="0" sortType="ascending">
      <items count="20">
        <item x="12"/>
        <item x="17"/>
        <item x="13"/>
        <item x="14"/>
        <item x="18"/>
        <item x="16"/>
        <item x="11"/>
        <item x="3"/>
        <item x="4"/>
        <item x="5"/>
        <item x="0"/>
        <item x="6"/>
        <item x="7"/>
        <item x="1"/>
        <item x="8"/>
        <item x="2"/>
        <item x="9"/>
        <item x="10"/>
        <item x="15"/>
        <item t="default"/>
      </items>
    </pivotField>
    <pivotField compact="0" outline="0" showAll="0" includeNewItemsInFilter="1"/>
  </pivotFields>
  <rowFields count="1">
    <field x="2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Sheet3" cacheId="8" applyNumberFormats="0" applyBorderFormats="0" applyFontFormats="0" applyPatternFormats="0" applyAlignmentFormats="0" applyWidthHeightFormats="1" dataCaption="" updatedVersion="8" colGrandTotals="0" compact="0" compactData="0">
  <location ref="A3:U124" firstHeaderRow="1" firstDataRow="3" firstDataCol="2"/>
  <pivotFields count="12">
    <pivotField compact="0" outline="0" multipleItemSelectionAllowed="1" showAll="0"/>
    <pivotField compact="0" outline="0" multipleItemSelectionAllowed="1" showAll="0"/>
    <pivotField axis="axisCol" compact="0" outline="0" multipleItemSelectionAllowed="1" showAll="0" sortType="ascending">
      <items count="6">
        <item x="4"/>
        <item x="3"/>
        <item x="1"/>
        <item x="2"/>
        <item x="0"/>
        <item t="default"/>
      </items>
    </pivotField>
    <pivotField axis="axisCol" compact="0" outline="0" multipleItemSelectionAllowed="1" showAll="0" sortType="ascending">
      <items count="4">
        <item x="1"/>
        <item x="2"/>
        <item x="0"/>
        <item t="default"/>
      </items>
    </pivotField>
    <pivotField axis="axisRow" compact="0" outline="0" multipleItemSelectionAllowed="1" showAll="0">
      <items count="15">
        <item sd="0" x="0"/>
        <item x="1"/>
        <item m="1" x="13"/>
        <item x="2"/>
        <item x="3"/>
        <item x="4"/>
        <item x="5"/>
        <item sd="0" x="6"/>
        <item x="7"/>
        <item sd="0" x="8"/>
        <item sd="0" x="9"/>
        <item sd="0" x="10"/>
        <item sd="0" x="11"/>
        <item sd="0" x="12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outline="0" multipleItemSelectionAllowed="1" showAll="0">
      <items count="139">
        <item x="0"/>
        <item x="2"/>
        <item m="1" x="136"/>
        <item x="3"/>
        <item x="4"/>
        <item m="1" x="127"/>
        <item x="6"/>
        <item m="1" x="131"/>
        <item x="7"/>
        <item m="1" x="125"/>
        <item x="11"/>
        <item x="12"/>
        <item x="13"/>
        <item x="18"/>
        <item m="1" x="129"/>
        <item x="19"/>
        <item x="20"/>
        <item x="21"/>
        <item m="1" x="126"/>
        <item x="23"/>
        <item x="25"/>
        <item x="26"/>
        <item x="29"/>
        <item x="32"/>
        <item x="35"/>
        <item x="36"/>
        <item x="37"/>
        <item x="38"/>
        <item x="39"/>
        <item x="40"/>
        <item x="41"/>
        <item x="42"/>
        <item x="43"/>
        <item x="44"/>
        <item x="46"/>
        <item x="45"/>
        <item x="47"/>
        <item x="49"/>
        <item x="50"/>
        <item x="51"/>
        <item x="52"/>
        <item x="55"/>
        <item x="57"/>
        <item m="1" x="135"/>
        <item x="59"/>
        <item x="62"/>
        <item x="63"/>
        <item x="64"/>
        <item x="65"/>
        <item x="68"/>
        <item x="69"/>
        <item x="71"/>
        <item x="73"/>
        <item x="74"/>
        <item x="76"/>
        <item x="77"/>
        <item x="78"/>
        <item x="79"/>
        <item x="80"/>
        <item x="81"/>
        <item m="1" x="128"/>
        <item x="83"/>
        <item x="84"/>
        <item x="86"/>
        <item x="88"/>
        <item m="1" x="133"/>
        <item m="1" x="137"/>
        <item x="91"/>
        <item x="93"/>
        <item x="95"/>
        <item x="96"/>
        <item x="97"/>
        <item x="98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m="1" x="134"/>
        <item x="92"/>
        <item x="89"/>
        <item m="1" x="130"/>
        <item x="87"/>
        <item x="90"/>
        <item x="48"/>
        <item x="53"/>
        <item x="60"/>
        <item m="1" x="132"/>
        <item x="5"/>
        <item x="70"/>
        <item x="8"/>
        <item x="31"/>
        <item x="33"/>
        <item x="82"/>
        <item x="72"/>
        <item x="10"/>
        <item x="24"/>
        <item x="56"/>
        <item x="61"/>
        <item x="85"/>
        <item x="22"/>
        <item x="34"/>
        <item x="1"/>
        <item x="17"/>
        <item x="9"/>
        <item x="28"/>
        <item x="58"/>
        <item x="75"/>
        <item x="30"/>
        <item x="15"/>
        <item x="27"/>
        <item x="54"/>
        <item x="94"/>
        <item x="67"/>
        <item x="99"/>
        <item x="101"/>
        <item x="102"/>
        <item x="16"/>
        <item x="100"/>
        <item x="66"/>
        <item x="14"/>
        <item t="default"/>
      </items>
    </pivotField>
    <pivotField compact="0" numFmtId="169" outline="0" multipleItemSelectionAllowed="1" showAll="0"/>
    <pivotField compact="0" outline="0" multipleItemSelectionAllowed="1" showAll="0"/>
    <pivotField compact="0" outline="0" showAll="0" includeNewItemsInFilter="1"/>
  </pivotFields>
  <rowFields count="2">
    <field x="4"/>
    <field x="8"/>
  </rowFields>
  <rowItems count="119">
    <i>
      <x/>
    </i>
    <i>
      <x v="1"/>
      <x/>
    </i>
    <i r="1">
      <x v="1"/>
    </i>
    <i r="1">
      <x v="3"/>
    </i>
    <i r="1">
      <x v="4"/>
    </i>
    <i r="1">
      <x v="6"/>
    </i>
    <i r="1">
      <x v="8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101"/>
    </i>
    <i r="1">
      <x v="102"/>
    </i>
    <i r="1">
      <x v="105"/>
    </i>
    <i r="1">
      <x v="107"/>
    </i>
    <i r="1">
      <x v="108"/>
    </i>
    <i r="1">
      <x v="109"/>
    </i>
    <i r="1">
      <x v="112"/>
    </i>
    <i r="1">
      <x v="113"/>
    </i>
    <i r="1">
      <x v="114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5"/>
    </i>
    <i r="1">
      <x v="126"/>
    </i>
    <i r="1">
      <x v="127"/>
    </i>
    <i r="1">
      <x v="128"/>
    </i>
    <i r="1">
      <x v="134"/>
    </i>
    <i r="1">
      <x v="137"/>
    </i>
    <i t="default">
      <x v="1"/>
    </i>
    <i>
      <x v="3"/>
      <x v="38"/>
    </i>
    <i r="1">
      <x v="39"/>
    </i>
    <i r="1">
      <x v="42"/>
    </i>
    <i r="1">
      <x v="44"/>
    </i>
    <i r="1">
      <x v="103"/>
    </i>
    <i r="1">
      <x v="115"/>
    </i>
    <i t="default">
      <x v="3"/>
    </i>
    <i>
      <x v="4"/>
      <x v="39"/>
    </i>
    <i r="1">
      <x v="45"/>
    </i>
    <i r="1">
      <x v="46"/>
    </i>
    <i r="1">
      <x v="47"/>
    </i>
    <i r="1">
      <x v="48"/>
    </i>
    <i r="1">
      <x v="130"/>
    </i>
    <i r="1">
      <x v="136"/>
    </i>
    <i t="default">
      <x v="4"/>
    </i>
    <i>
      <x v="5"/>
      <x v="49"/>
    </i>
    <i r="1">
      <x v="50"/>
    </i>
    <i r="1">
      <x v="51"/>
    </i>
    <i r="1">
      <x v="52"/>
    </i>
    <i r="1">
      <x v="53"/>
    </i>
    <i r="1">
      <x v="106"/>
    </i>
    <i r="1">
      <x v="111"/>
    </i>
    <i t="default">
      <x v="5"/>
    </i>
    <i>
      <x v="6"/>
      <x v="54"/>
    </i>
    <i r="1">
      <x v="55"/>
    </i>
    <i r="1">
      <x v="56"/>
    </i>
    <i r="1">
      <x v="57"/>
    </i>
    <i r="1">
      <x v="58"/>
    </i>
    <i r="1">
      <x v="59"/>
    </i>
    <i r="1">
      <x v="61"/>
    </i>
    <i r="1">
      <x v="62"/>
    </i>
    <i r="1">
      <x v="63"/>
    </i>
    <i r="1">
      <x v="64"/>
    </i>
    <i r="1">
      <x v="67"/>
    </i>
    <i r="1">
      <x v="68"/>
    </i>
    <i r="1">
      <x v="96"/>
    </i>
    <i r="1">
      <x v="97"/>
    </i>
    <i r="1">
      <x v="99"/>
    </i>
    <i r="1">
      <x v="100"/>
    </i>
    <i r="1">
      <x v="110"/>
    </i>
    <i r="1">
      <x v="116"/>
    </i>
    <i r="1">
      <x v="124"/>
    </i>
    <i r="1">
      <x v="129"/>
    </i>
    <i t="default">
      <x v="6"/>
    </i>
    <i>
      <x v="7"/>
    </i>
    <i>
      <x v="8"/>
      <x v="71"/>
    </i>
    <i r="1">
      <x v="72"/>
    </i>
    <i r="1">
      <x v="131"/>
    </i>
    <i r="1">
      <x v="132"/>
    </i>
    <i r="1">
      <x v="133"/>
    </i>
    <i r="1">
      <x v="135"/>
    </i>
    <i t="default">
      <x v="8"/>
    </i>
    <i>
      <x v="9"/>
    </i>
    <i>
      <x v="10"/>
    </i>
    <i>
      <x v="11"/>
    </i>
    <i>
      <x v="12"/>
    </i>
    <i>
      <x v="13"/>
    </i>
    <i t="grand">
      <x/>
    </i>
  </rowItems>
  <colFields count="2">
    <field x="2"/>
    <field x="3"/>
  </colFields>
  <colItems count="1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2"/>
    </i>
    <i t="default">
      <x v="4"/>
    </i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E36C09"/>
  </sheetPr>
  <dimension ref="A1:AP3272"/>
  <sheetViews>
    <sheetView showGridLines="0" tabSelected="1" zoomScale="55" zoomScaleNormal="55" workbookViewId="0">
      <pane xSplit="8" ySplit="2" topLeftCell="J1656" activePane="bottomRight" state="frozen"/>
      <selection pane="topRight"/>
      <selection pane="bottomLeft"/>
      <selection pane="bottomRight" activeCell="G1770" sqref="G1770"/>
    </sheetView>
  </sheetViews>
  <sheetFormatPr defaultColWidth="12.5703125" defaultRowHeight="15" customHeight="1"/>
  <cols>
    <col min="1" max="4" width="6.42578125" customWidth="1"/>
    <col min="5" max="5" width="9.28515625" customWidth="1"/>
    <col min="6" max="6" width="7.42578125" customWidth="1"/>
    <col min="7" max="7" width="9.7109375" customWidth="1"/>
    <col min="8" max="8" width="10.5703125" customWidth="1"/>
    <col min="9" max="9" width="45.7109375" customWidth="1"/>
    <col min="10" max="10" width="23.28515625" bestFit="1" customWidth="1"/>
    <col min="11" max="11" width="24.85546875" bestFit="1" customWidth="1"/>
    <col min="12" max="12" width="24.5703125" bestFit="1" customWidth="1"/>
    <col min="13" max="13" width="31" customWidth="1"/>
    <col min="14" max="14" width="23.28515625" bestFit="1" customWidth="1"/>
    <col min="15" max="15" width="22.28515625" customWidth="1"/>
    <col min="16" max="16" width="29.7109375" bestFit="1" customWidth="1"/>
    <col min="17" max="17" width="26.140625" bestFit="1" customWidth="1"/>
    <col min="18" max="18" width="20.85546875" bestFit="1" customWidth="1"/>
    <col min="19" max="19" width="23.28515625" bestFit="1" customWidth="1"/>
    <col min="20" max="20" width="22.28515625" customWidth="1"/>
    <col min="21" max="21" width="1.42578125" customWidth="1"/>
    <col min="22" max="22" width="17.28515625" customWidth="1"/>
    <col min="23" max="23" width="15.7109375" bestFit="1" customWidth="1"/>
    <col min="24" max="25" width="8" customWidth="1"/>
    <col min="26" max="26" width="13.28515625" customWidth="1"/>
    <col min="27" max="27" width="14.140625" customWidth="1"/>
    <col min="28" max="28" width="8" customWidth="1"/>
    <col min="29" max="31" width="7.5703125" customWidth="1"/>
    <col min="32" max="32" width="12.5703125" customWidth="1"/>
  </cols>
  <sheetData>
    <row r="1" spans="1:31" ht="14.25" customHeight="1">
      <c r="A1" s="9"/>
      <c r="B1" s="9"/>
      <c r="C1" s="9"/>
      <c r="D1" s="9"/>
      <c r="E1" s="90"/>
      <c r="F1" s="9"/>
      <c r="G1" s="10"/>
      <c r="H1" s="9">
        <f>MAX(H3:H145)</f>
        <v>260513</v>
      </c>
      <c r="I1" s="11"/>
      <c r="J1" s="12"/>
      <c r="K1" s="12"/>
      <c r="L1" s="14">
        <f>L3+L1888+L1972+L2219+L2401+L2673+L2707+L2764+L2827+L2865+L2909+L3062</f>
        <v>12909860746</v>
      </c>
      <c r="M1" s="10"/>
      <c r="N1" s="9"/>
      <c r="O1" s="31" t="s">
        <v>0</v>
      </c>
      <c r="P1" s="10"/>
      <c r="Q1" s="10"/>
      <c r="R1" s="10"/>
      <c r="S1" s="14">
        <f>S3+S1888+S1972+S2219+S2401+S2673+S2707+S2764+S2827+S2865+S2909+S3062</f>
        <v>10095380124</v>
      </c>
      <c r="T1" s="14">
        <f>T3+T1888+T1972+T2219+T2401+T2673+T2707+T2764+T2827+T2865+T2909+T3062</f>
        <v>2814480622</v>
      </c>
      <c r="U1" s="10"/>
      <c r="V1" s="52">
        <f>L1-S1</f>
        <v>2814480622</v>
      </c>
      <c r="W1" s="52">
        <f>T1-V1</f>
        <v>0</v>
      </c>
      <c r="X1" s="10"/>
      <c r="Y1" s="10"/>
      <c r="Z1" s="10"/>
      <c r="AA1" s="10"/>
      <c r="AB1" s="10"/>
      <c r="AC1" s="10"/>
      <c r="AD1" s="10"/>
      <c r="AE1" s="10"/>
    </row>
    <row r="2" spans="1:31" ht="14.25" customHeight="1">
      <c r="A2" s="11" t="s">
        <v>1</v>
      </c>
      <c r="B2" s="11" t="s">
        <v>2</v>
      </c>
      <c r="C2" s="11" t="s">
        <v>3</v>
      </c>
      <c r="D2" s="11" t="s">
        <v>4</v>
      </c>
      <c r="E2" s="90" t="s">
        <v>5</v>
      </c>
      <c r="F2" s="11" t="s">
        <v>6</v>
      </c>
      <c r="G2" s="15" t="s">
        <v>7</v>
      </c>
      <c r="H2" s="16" t="s">
        <v>8</v>
      </c>
      <c r="I2" s="15" t="s">
        <v>9</v>
      </c>
      <c r="J2" s="18" t="s">
        <v>10</v>
      </c>
      <c r="K2" s="97" t="s">
        <v>11</v>
      </c>
      <c r="L2" s="20" t="s">
        <v>12</v>
      </c>
      <c r="M2" s="20" t="s">
        <v>13</v>
      </c>
      <c r="N2" s="32" t="s">
        <v>14</v>
      </c>
      <c r="O2" s="32" t="s">
        <v>15</v>
      </c>
      <c r="P2" s="32" t="s">
        <v>16</v>
      </c>
      <c r="Q2" s="32" t="s">
        <v>17</v>
      </c>
      <c r="R2" s="32" t="s">
        <v>18</v>
      </c>
      <c r="S2" s="20" t="s">
        <v>19</v>
      </c>
      <c r="T2" s="20" t="s">
        <v>20</v>
      </c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</row>
    <row r="3" spans="1:31" ht="14.25" customHeight="1">
      <c r="A3" s="276" t="s">
        <v>4538</v>
      </c>
      <c r="B3" s="9" t="s">
        <v>21</v>
      </c>
      <c r="C3" s="9"/>
      <c r="D3" s="9"/>
      <c r="E3" s="90"/>
      <c r="F3" s="9"/>
      <c r="G3" s="91" t="s">
        <v>22</v>
      </c>
      <c r="H3" s="92" t="s">
        <v>23</v>
      </c>
      <c r="I3" s="98"/>
      <c r="J3" s="99">
        <f ca="1">NOW()</f>
        <v>46240.46377638889</v>
      </c>
      <c r="K3" s="100"/>
      <c r="L3" s="14">
        <f>L12+L27+L142+L145+L293+L456+L459+L544+L549+L619+L636+L666+L770+L773+L784+L799+L842+L923+L927+L953+L1069+L1100+L1109+L1324+L1397+L1423+L1440+L1458+L1485+L1558+L1587+L1637+L1654+L1658+L1700+L1803+L1826+L1834+L1864+L541+L614+L1885+L1265+L1650+L1080+L610+L918+L1854+L833+L660+L5+L949+L1065+L650+L944+L1830+L654+L646</f>
        <v>6933551899</v>
      </c>
      <c r="M3" s="101"/>
      <c r="N3" s="102"/>
      <c r="O3" s="98"/>
      <c r="P3" s="101"/>
      <c r="Q3" s="101"/>
      <c r="R3" s="101"/>
      <c r="S3" s="14">
        <f>S12+S27+S142+S145+S293+S456+S459+S544+S549+S619+S636+S666+S770+S773+S784+S799+S842+S923+S927+S953+S1069+S1100+S1109+S1324+S1397+S1423+S1440+S1458+S1485+S1558+S1587+S1637+S1654+S1658+S1700+S1803+S1826+S1834+S1864+S541+S614+S1885+S1265+S1650+S1080+S610+S918+S1854+S833+S660+S5+S949+S1065+S650+S944+S1830+S654+S646</f>
        <v>5985439686</v>
      </c>
      <c r="T3" s="14">
        <f>T12+T27+T142+T145+T293+T456+T459+T544+T549+T619+T636+T666+T770+T773+T784+T799+T842+T923+T927+T953+T1069+T1100+T1109+T1324+T1397+T1423+T1440+T1458+T1485+T1558+T1587+T1637+T1654+T1658+T1700+T1803+T1826+T1834+T1864+T541+T614+T1885+T1265+T1650+T1080+T610+T918+T1854+T833+T660+T5+T949+T1065+T650+T944+T1830+T654+T646</f>
        <v>948112213</v>
      </c>
      <c r="U3" s="38"/>
      <c r="V3" s="52">
        <f>L3-S3</f>
        <v>948112213</v>
      </c>
      <c r="W3" s="52">
        <f>T3-V3</f>
        <v>0</v>
      </c>
      <c r="X3" s="38"/>
      <c r="Y3" s="38"/>
      <c r="Z3" s="38"/>
      <c r="AA3" s="38"/>
      <c r="AB3" s="38"/>
      <c r="AC3" s="38"/>
      <c r="AD3" s="38"/>
      <c r="AE3" s="38"/>
    </row>
    <row r="4" spans="1:31" ht="14.25" customHeight="1">
      <c r="A4" s="277" t="s">
        <v>4537</v>
      </c>
      <c r="B4" s="9" t="s">
        <v>21</v>
      </c>
      <c r="C4" s="9"/>
      <c r="D4" s="9"/>
      <c r="E4" s="90"/>
      <c r="F4" s="9"/>
      <c r="G4" s="9"/>
      <c r="H4" s="93"/>
      <c r="I4" s="93"/>
      <c r="J4" s="12"/>
      <c r="K4" s="12"/>
      <c r="L4" s="86"/>
      <c r="M4" s="103"/>
      <c r="N4" s="33"/>
      <c r="O4" s="33"/>
      <c r="P4" s="33"/>
      <c r="Q4" s="33"/>
      <c r="R4" s="33"/>
      <c r="S4" s="86"/>
      <c r="T4" s="86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 spans="1:31">
      <c r="A5" s="277" t="s">
        <v>4539</v>
      </c>
      <c r="B5" s="9" t="s">
        <v>21</v>
      </c>
      <c r="C5" s="9"/>
      <c r="D5" s="9"/>
      <c r="E5" s="90"/>
      <c r="F5" s="9"/>
      <c r="G5" s="94" t="s">
        <v>24</v>
      </c>
      <c r="H5" s="95" t="s">
        <v>4112</v>
      </c>
      <c r="I5" s="104"/>
      <c r="J5" s="105"/>
      <c r="K5" s="105"/>
      <c r="L5" s="106">
        <f>SUM(L6:L10)</f>
        <v>11621905</v>
      </c>
      <c r="M5" s="107"/>
      <c r="N5" s="108" t="s">
        <v>26</v>
      </c>
      <c r="O5" s="108"/>
      <c r="P5" s="108"/>
      <c r="Q5" s="108"/>
      <c r="R5" s="108"/>
      <c r="S5" s="106">
        <f>SUM(S6:S10)</f>
        <v>11621905</v>
      </c>
      <c r="T5" s="106">
        <f>SUM(T6:T10)</f>
        <v>0</v>
      </c>
      <c r="U5" s="10"/>
      <c r="V5" s="52">
        <f>L5-S5</f>
        <v>0</v>
      </c>
      <c r="W5" s="52">
        <f>T5-V5</f>
        <v>0</v>
      </c>
      <c r="X5" s="10"/>
      <c r="Y5" s="10"/>
      <c r="Z5" s="10"/>
      <c r="AA5" s="10"/>
      <c r="AB5" s="10"/>
      <c r="AC5" s="10"/>
      <c r="AD5" s="10"/>
      <c r="AE5" s="10"/>
    </row>
    <row r="6" spans="1:31" ht="14.25" hidden="1" customHeight="1">
      <c r="A6" s="277" t="s">
        <v>4540</v>
      </c>
      <c r="B6" s="9" t="s">
        <v>21</v>
      </c>
      <c r="C6" s="9">
        <v>2025</v>
      </c>
      <c r="D6" s="9" t="s">
        <v>27</v>
      </c>
      <c r="E6" s="90" t="s">
        <v>23</v>
      </c>
      <c r="F6" s="9" t="s">
        <v>7</v>
      </c>
      <c r="G6" s="9"/>
      <c r="H6" s="109">
        <v>251176</v>
      </c>
      <c r="I6" s="109" t="s">
        <v>4112</v>
      </c>
      <c r="J6" s="115">
        <v>45950</v>
      </c>
      <c r="K6" s="115">
        <v>46009</v>
      </c>
      <c r="L6" s="131">
        <v>1412460</v>
      </c>
      <c r="M6" s="147" t="s">
        <v>4114</v>
      </c>
      <c r="N6" s="34" t="s">
        <v>29</v>
      </c>
      <c r="O6" s="33"/>
      <c r="P6" s="113">
        <v>46211</v>
      </c>
      <c r="Q6" s="113">
        <v>46211</v>
      </c>
      <c r="R6" s="113">
        <v>46211</v>
      </c>
      <c r="S6" s="37">
        <f>IF(R6="",0,L6)</f>
        <v>1412460</v>
      </c>
      <c r="T6" s="37">
        <f>L6-S6</f>
        <v>0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ht="14.25" hidden="1" customHeight="1">
      <c r="A7" s="277" t="s">
        <v>4541</v>
      </c>
      <c r="B7" s="9" t="s">
        <v>21</v>
      </c>
      <c r="C7" s="9">
        <v>2025</v>
      </c>
      <c r="D7" s="9" t="s">
        <v>27</v>
      </c>
      <c r="E7" s="90" t="s">
        <v>23</v>
      </c>
      <c r="F7" s="9" t="s">
        <v>7</v>
      </c>
      <c r="G7" s="9"/>
      <c r="H7" s="109">
        <v>251176</v>
      </c>
      <c r="I7" s="109" t="s">
        <v>4112</v>
      </c>
      <c r="J7" s="115">
        <v>45967</v>
      </c>
      <c r="K7" s="115">
        <v>46009</v>
      </c>
      <c r="L7" s="131">
        <v>2112299</v>
      </c>
      <c r="M7" s="147" t="s">
        <v>4113</v>
      </c>
      <c r="N7" s="34" t="s">
        <v>29</v>
      </c>
      <c r="O7" s="33"/>
      <c r="P7" s="113">
        <v>46211</v>
      </c>
      <c r="Q7" s="113">
        <v>46211</v>
      </c>
      <c r="R7" s="113">
        <v>46211</v>
      </c>
      <c r="S7" s="37">
        <f>IF(R7="",0,L7)</f>
        <v>2112299</v>
      </c>
      <c r="T7" s="37">
        <f>L7-S7</f>
        <v>0</v>
      </c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ht="14.25" hidden="1" customHeight="1">
      <c r="A8" s="277" t="s">
        <v>4542</v>
      </c>
      <c r="B8" s="9" t="s">
        <v>21</v>
      </c>
      <c r="C8" s="9">
        <v>2025</v>
      </c>
      <c r="D8" s="9" t="s">
        <v>27</v>
      </c>
      <c r="E8" s="90" t="s">
        <v>23</v>
      </c>
      <c r="F8" s="9" t="s">
        <v>7</v>
      </c>
      <c r="G8" s="9"/>
      <c r="H8" s="109">
        <v>251176</v>
      </c>
      <c r="I8" s="109" t="s">
        <v>4112</v>
      </c>
      <c r="J8" s="115">
        <v>45978</v>
      </c>
      <c r="K8" s="115">
        <v>46009</v>
      </c>
      <c r="L8" s="131">
        <v>3872549</v>
      </c>
      <c r="M8" s="147" t="s">
        <v>4115</v>
      </c>
      <c r="N8" s="34" t="s">
        <v>29</v>
      </c>
      <c r="O8" s="33"/>
      <c r="P8" s="113">
        <v>46211</v>
      </c>
      <c r="Q8" s="113">
        <v>46211</v>
      </c>
      <c r="R8" s="113">
        <v>46211</v>
      </c>
      <c r="S8" s="37">
        <f>IF(R8="",0,L8)</f>
        <v>3872549</v>
      </c>
      <c r="T8" s="37">
        <f>L8-S8</f>
        <v>0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ht="14.25" customHeight="1">
      <c r="A9" s="277" t="s">
        <v>4543</v>
      </c>
      <c r="B9" s="9" t="s">
        <v>21</v>
      </c>
      <c r="C9" s="9">
        <v>2026</v>
      </c>
      <c r="D9" s="9" t="s">
        <v>27</v>
      </c>
      <c r="E9" s="90" t="s">
        <v>23</v>
      </c>
      <c r="F9" s="9" t="s">
        <v>7</v>
      </c>
      <c r="G9" s="9"/>
      <c r="H9" s="109">
        <v>260038</v>
      </c>
      <c r="I9" s="109" t="s">
        <v>4112</v>
      </c>
      <c r="J9" s="115">
        <v>46043</v>
      </c>
      <c r="K9" s="115">
        <v>46079</v>
      </c>
      <c r="L9" s="131">
        <v>4224597</v>
      </c>
      <c r="M9" s="147" t="s">
        <v>4408</v>
      </c>
      <c r="N9" s="34" t="s">
        <v>29</v>
      </c>
      <c r="O9" s="33"/>
      <c r="P9" s="113">
        <v>46211</v>
      </c>
      <c r="Q9" s="113">
        <v>46211</v>
      </c>
      <c r="R9" s="113">
        <v>46211</v>
      </c>
      <c r="S9" s="37">
        <f>IF(R9="",0,L9)</f>
        <v>4224597</v>
      </c>
      <c r="T9" s="37">
        <f>L9-S9</f>
        <v>0</v>
      </c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1" ht="14.25" customHeight="1">
      <c r="A10" s="277" t="s">
        <v>4544</v>
      </c>
      <c r="B10" s="9"/>
      <c r="C10" s="9"/>
      <c r="D10" s="9"/>
      <c r="E10" s="90"/>
      <c r="F10" s="9"/>
      <c r="G10" s="9"/>
      <c r="H10" s="93"/>
      <c r="I10" s="93"/>
      <c r="J10" s="12"/>
      <c r="K10" s="12"/>
      <c r="L10" s="86"/>
      <c r="M10" s="103"/>
      <c r="N10" s="114">
        <f ca="1">$J$3-J10</f>
        <v>46240.46377638889</v>
      </c>
      <c r="O10" s="33"/>
      <c r="P10" s="39"/>
      <c r="Q10" s="39"/>
      <c r="R10" s="39"/>
      <c r="S10" s="37">
        <f>IF(R10="",0,L10)</f>
        <v>0</v>
      </c>
      <c r="T10" s="37">
        <f>L10-S10</f>
        <v>0</v>
      </c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ht="14.25" customHeight="1">
      <c r="A11" s="277" t="s">
        <v>4545</v>
      </c>
      <c r="B11" s="9"/>
      <c r="C11" s="9"/>
      <c r="D11" s="9"/>
      <c r="E11" s="90"/>
      <c r="F11" s="9"/>
      <c r="G11" s="9"/>
      <c r="H11" s="93"/>
      <c r="I11" s="93"/>
      <c r="J11" s="12"/>
      <c r="K11" s="12"/>
      <c r="L11" s="86"/>
      <c r="M11" s="103"/>
      <c r="N11" s="33"/>
      <c r="O11" s="33"/>
      <c r="P11" s="39"/>
      <c r="Q11" s="39"/>
      <c r="R11" s="39"/>
      <c r="S11" s="86"/>
      <c r="T11" s="86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>
      <c r="A12" s="277" t="s">
        <v>4546</v>
      </c>
      <c r="B12" s="9" t="s">
        <v>21</v>
      </c>
      <c r="C12" s="9"/>
      <c r="D12" s="9"/>
      <c r="E12" s="90"/>
      <c r="F12" s="9"/>
      <c r="G12" s="94" t="s">
        <v>24</v>
      </c>
      <c r="H12" s="95" t="s">
        <v>25</v>
      </c>
      <c r="I12" s="104"/>
      <c r="J12" s="105"/>
      <c r="K12" s="105"/>
      <c r="L12" s="106">
        <f>SUM(L13:L26)</f>
        <v>9151950</v>
      </c>
      <c r="M12" s="107"/>
      <c r="N12" s="108" t="s">
        <v>26</v>
      </c>
      <c r="O12" s="108"/>
      <c r="P12" s="108"/>
      <c r="Q12" s="108"/>
      <c r="R12" s="108"/>
      <c r="S12" s="106">
        <f>SUM(S13:S26)</f>
        <v>6243750</v>
      </c>
      <c r="T12" s="106">
        <f>SUM(T13:T26)</f>
        <v>2908200</v>
      </c>
      <c r="U12" s="10"/>
      <c r="V12" s="52">
        <f>L12-S12</f>
        <v>2908200</v>
      </c>
      <c r="W12" s="52">
        <f>T12-V12</f>
        <v>0</v>
      </c>
      <c r="X12" s="10"/>
      <c r="Y12" s="10"/>
      <c r="Z12" s="10"/>
      <c r="AA12" s="10"/>
      <c r="AB12" s="10"/>
      <c r="AC12" s="10"/>
      <c r="AD12" s="10"/>
      <c r="AE12" s="10"/>
    </row>
    <row r="13" spans="1:31" hidden="1">
      <c r="A13" s="277" t="s">
        <v>4547</v>
      </c>
      <c r="B13" s="9" t="s">
        <v>21</v>
      </c>
      <c r="C13" s="9">
        <v>2025</v>
      </c>
      <c r="D13" s="9" t="s">
        <v>27</v>
      </c>
      <c r="E13" s="90" t="s">
        <v>23</v>
      </c>
      <c r="F13" s="9" t="s">
        <v>7</v>
      </c>
      <c r="G13" s="10"/>
      <c r="H13" s="96">
        <v>250013</v>
      </c>
      <c r="I13" s="109" t="s">
        <v>25</v>
      </c>
      <c r="J13" s="110">
        <v>45664</v>
      </c>
      <c r="K13" s="110">
        <v>45706</v>
      </c>
      <c r="L13" s="111">
        <v>2081250</v>
      </c>
      <c r="M13" s="112" t="s">
        <v>28</v>
      </c>
      <c r="N13" s="34" t="s">
        <v>29</v>
      </c>
      <c r="O13" s="52">
        <f>SUM(L13:L18)</f>
        <v>3912750</v>
      </c>
      <c r="P13" s="113">
        <v>45902</v>
      </c>
      <c r="Q13" s="113">
        <v>45902</v>
      </c>
      <c r="R13" s="113">
        <v>45902</v>
      </c>
      <c r="S13" s="37">
        <f t="shared" ref="S13:S25" si="0">IF(R13="",0,L13)</f>
        <v>2081250</v>
      </c>
      <c r="T13" s="37">
        <f t="shared" ref="T13:T25" si="1">L13-S13</f>
        <v>0</v>
      </c>
      <c r="U13" s="10"/>
      <c r="V13" s="52"/>
      <c r="W13" s="52"/>
      <c r="X13" s="10"/>
      <c r="Y13" s="10"/>
      <c r="Z13" s="10"/>
      <c r="AA13" s="10"/>
      <c r="AB13" s="10"/>
      <c r="AC13" s="10"/>
      <c r="AD13" s="10"/>
      <c r="AE13" s="10"/>
    </row>
    <row r="14" spans="1:31" hidden="1">
      <c r="A14" s="277" t="s">
        <v>4548</v>
      </c>
      <c r="B14" s="9" t="s">
        <v>21</v>
      </c>
      <c r="C14" s="9">
        <v>2025</v>
      </c>
      <c r="D14" s="9" t="s">
        <v>27</v>
      </c>
      <c r="E14" s="90" t="s">
        <v>23</v>
      </c>
      <c r="F14" s="9" t="s">
        <v>7</v>
      </c>
      <c r="G14" s="10"/>
      <c r="H14" s="96">
        <v>250518</v>
      </c>
      <c r="I14" s="109" t="s">
        <v>25</v>
      </c>
      <c r="J14" s="110">
        <v>45786</v>
      </c>
      <c r="K14" s="110">
        <v>45804</v>
      </c>
      <c r="L14" s="111">
        <v>299700</v>
      </c>
      <c r="M14" s="112" t="s">
        <v>30</v>
      </c>
      <c r="N14" s="34" t="s">
        <v>29</v>
      </c>
      <c r="O14" s="10"/>
      <c r="P14" s="113">
        <v>45902</v>
      </c>
      <c r="Q14" s="113">
        <v>45902</v>
      </c>
      <c r="R14" s="113">
        <v>45902</v>
      </c>
      <c r="S14" s="37">
        <f t="shared" si="0"/>
        <v>299700</v>
      </c>
      <c r="T14" s="37">
        <f t="shared" si="1"/>
        <v>0</v>
      </c>
      <c r="U14" s="10"/>
      <c r="V14" s="52"/>
      <c r="W14" s="52"/>
      <c r="X14" s="10"/>
      <c r="Y14" s="10"/>
      <c r="Z14" s="10"/>
      <c r="AA14" s="10"/>
      <c r="AB14" s="10"/>
      <c r="AC14" s="10"/>
      <c r="AD14" s="10"/>
      <c r="AE14" s="10"/>
    </row>
    <row r="15" spans="1:31" hidden="1">
      <c r="A15" s="277" t="s">
        <v>4549</v>
      </c>
      <c r="B15" s="9" t="s">
        <v>21</v>
      </c>
      <c r="C15" s="9">
        <v>2025</v>
      </c>
      <c r="D15" s="9" t="s">
        <v>27</v>
      </c>
      <c r="E15" s="90" t="s">
        <v>23</v>
      </c>
      <c r="F15" s="9" t="s">
        <v>7</v>
      </c>
      <c r="G15" s="10"/>
      <c r="H15" s="96">
        <v>250013</v>
      </c>
      <c r="I15" s="109" t="s">
        <v>25</v>
      </c>
      <c r="J15" s="110">
        <v>45791</v>
      </c>
      <c r="K15" s="110">
        <v>45804</v>
      </c>
      <c r="L15" s="111">
        <v>149850</v>
      </c>
      <c r="M15" s="112" t="s">
        <v>30</v>
      </c>
      <c r="N15" s="34" t="s">
        <v>29</v>
      </c>
      <c r="O15" s="10"/>
      <c r="P15" s="113">
        <v>45902</v>
      </c>
      <c r="Q15" s="113">
        <v>45902</v>
      </c>
      <c r="R15" s="113">
        <v>45902</v>
      </c>
      <c r="S15" s="37">
        <f t="shared" si="0"/>
        <v>149850</v>
      </c>
      <c r="T15" s="37">
        <f t="shared" si="1"/>
        <v>0</v>
      </c>
      <c r="U15" s="10"/>
      <c r="V15" s="52"/>
      <c r="W15" s="52"/>
      <c r="X15" s="10"/>
      <c r="Y15" s="10"/>
      <c r="Z15" s="10"/>
      <c r="AA15" s="10"/>
      <c r="AB15" s="10"/>
      <c r="AC15" s="10"/>
      <c r="AD15" s="10"/>
      <c r="AE15" s="10"/>
    </row>
    <row r="16" spans="1:31" hidden="1">
      <c r="A16" s="277" t="s">
        <v>4550</v>
      </c>
      <c r="B16" s="9" t="s">
        <v>21</v>
      </c>
      <c r="C16" s="9">
        <v>2025</v>
      </c>
      <c r="D16" s="9" t="s">
        <v>27</v>
      </c>
      <c r="E16" s="90" t="s">
        <v>23</v>
      </c>
      <c r="F16" s="9" t="s">
        <v>7</v>
      </c>
      <c r="G16" s="10"/>
      <c r="H16" s="96">
        <v>250545</v>
      </c>
      <c r="I16" s="109" t="s">
        <v>25</v>
      </c>
      <c r="J16" s="110">
        <v>45803</v>
      </c>
      <c r="K16" s="110">
        <v>45827</v>
      </c>
      <c r="L16" s="111">
        <v>449550</v>
      </c>
      <c r="M16" s="112" t="s">
        <v>31</v>
      </c>
      <c r="N16" s="34" t="s">
        <v>29</v>
      </c>
      <c r="O16" s="10"/>
      <c r="P16" s="113">
        <v>45902</v>
      </c>
      <c r="Q16" s="113">
        <v>45902</v>
      </c>
      <c r="R16" s="113">
        <v>45902</v>
      </c>
      <c r="S16" s="37">
        <f t="shared" si="0"/>
        <v>449550</v>
      </c>
      <c r="T16" s="37">
        <f t="shared" si="1"/>
        <v>0</v>
      </c>
      <c r="U16" s="10"/>
      <c r="V16" s="52"/>
      <c r="W16" s="52"/>
      <c r="X16" s="10"/>
      <c r="Y16" s="10"/>
      <c r="Z16" s="10"/>
      <c r="AA16" s="10"/>
      <c r="AB16" s="10"/>
      <c r="AC16" s="10"/>
      <c r="AD16" s="10"/>
      <c r="AE16" s="10"/>
    </row>
    <row r="17" spans="1:31" hidden="1">
      <c r="A17" s="277" t="s">
        <v>4551</v>
      </c>
      <c r="B17" s="9" t="s">
        <v>21</v>
      </c>
      <c r="C17" s="9">
        <v>2025</v>
      </c>
      <c r="D17" s="9" t="s">
        <v>27</v>
      </c>
      <c r="E17" s="90" t="s">
        <v>23</v>
      </c>
      <c r="F17" s="9" t="s">
        <v>7</v>
      </c>
      <c r="G17" s="10"/>
      <c r="H17" s="96">
        <v>250550</v>
      </c>
      <c r="I17" s="109" t="s">
        <v>25</v>
      </c>
      <c r="J17" s="110">
        <v>45805</v>
      </c>
      <c r="K17" s="110">
        <v>45827</v>
      </c>
      <c r="L17" s="111">
        <v>482850</v>
      </c>
      <c r="M17" s="112" t="s">
        <v>32</v>
      </c>
      <c r="N17" s="34" t="s">
        <v>29</v>
      </c>
      <c r="O17" s="10"/>
      <c r="P17" s="113">
        <v>45902</v>
      </c>
      <c r="Q17" s="113">
        <v>45902</v>
      </c>
      <c r="R17" s="113">
        <v>45902</v>
      </c>
      <c r="S17" s="37">
        <f t="shared" si="0"/>
        <v>482850</v>
      </c>
      <c r="T17" s="37">
        <f t="shared" si="1"/>
        <v>0</v>
      </c>
      <c r="U17" s="10"/>
      <c r="V17" s="52"/>
      <c r="W17" s="52"/>
      <c r="X17" s="10"/>
      <c r="Y17" s="10"/>
      <c r="Z17" s="10"/>
      <c r="AA17" s="10"/>
      <c r="AB17" s="10"/>
      <c r="AC17" s="10"/>
      <c r="AD17" s="10"/>
      <c r="AE17" s="10"/>
    </row>
    <row r="18" spans="1:31" hidden="1">
      <c r="A18" s="277" t="s">
        <v>4552</v>
      </c>
      <c r="B18" s="9" t="s">
        <v>21</v>
      </c>
      <c r="C18" s="9">
        <v>2025</v>
      </c>
      <c r="D18" s="9" t="s">
        <v>27</v>
      </c>
      <c r="E18" s="90" t="s">
        <v>23</v>
      </c>
      <c r="F18" s="9" t="s">
        <v>7</v>
      </c>
      <c r="G18" s="10"/>
      <c r="H18" s="96">
        <v>250608</v>
      </c>
      <c r="I18" s="109" t="s">
        <v>25</v>
      </c>
      <c r="J18" s="110">
        <v>45825</v>
      </c>
      <c r="K18" s="110">
        <v>45848</v>
      </c>
      <c r="L18" s="111">
        <v>449550</v>
      </c>
      <c r="M18" s="112" t="s">
        <v>33</v>
      </c>
      <c r="N18" s="34" t="s">
        <v>29</v>
      </c>
      <c r="O18" s="10"/>
      <c r="P18" s="113">
        <v>45902</v>
      </c>
      <c r="Q18" s="113">
        <v>45902</v>
      </c>
      <c r="R18" s="113">
        <v>45902</v>
      </c>
      <c r="S18" s="37">
        <f t="shared" si="0"/>
        <v>449550</v>
      </c>
      <c r="T18" s="37">
        <f t="shared" si="1"/>
        <v>0</v>
      </c>
      <c r="U18" s="10"/>
      <c r="V18" s="52"/>
      <c r="W18" s="52"/>
      <c r="X18" s="10"/>
      <c r="Y18" s="10"/>
      <c r="Z18" s="10"/>
      <c r="AA18" s="10"/>
      <c r="AB18" s="10"/>
      <c r="AC18" s="10"/>
      <c r="AD18" s="10"/>
      <c r="AE18" s="10"/>
    </row>
    <row r="19" spans="1:31" hidden="1">
      <c r="A19" s="277" t="s">
        <v>4553</v>
      </c>
      <c r="B19" s="9" t="s">
        <v>21</v>
      </c>
      <c r="C19" s="9">
        <v>2025</v>
      </c>
      <c r="D19" s="9" t="s">
        <v>27</v>
      </c>
      <c r="E19" s="90" t="s">
        <v>23</v>
      </c>
      <c r="F19" s="9" t="s">
        <v>7</v>
      </c>
      <c r="G19" s="10"/>
      <c r="H19" s="96">
        <v>250963</v>
      </c>
      <c r="I19" s="109" t="s">
        <v>25</v>
      </c>
      <c r="J19" s="110">
        <v>45924</v>
      </c>
      <c r="K19" s="110">
        <v>45937</v>
      </c>
      <c r="L19" s="111">
        <v>799200</v>
      </c>
      <c r="M19" s="112" t="s">
        <v>3755</v>
      </c>
      <c r="N19" s="34" t="s">
        <v>29</v>
      </c>
      <c r="O19" s="52">
        <f>SUM(L19:L20)</f>
        <v>2331000</v>
      </c>
      <c r="P19" s="113">
        <v>46010</v>
      </c>
      <c r="Q19" s="113">
        <v>46010</v>
      </c>
      <c r="R19" s="113">
        <v>46010</v>
      </c>
      <c r="S19" s="37">
        <f t="shared" si="0"/>
        <v>799200</v>
      </c>
      <c r="T19" s="37">
        <f t="shared" si="1"/>
        <v>0</v>
      </c>
      <c r="U19" s="10"/>
      <c r="V19" s="52"/>
      <c r="W19" s="52"/>
      <c r="X19" s="10"/>
      <c r="Y19" s="10"/>
      <c r="Z19" s="10"/>
      <c r="AA19" s="10"/>
      <c r="AB19" s="10"/>
      <c r="AC19" s="10"/>
      <c r="AD19" s="10"/>
      <c r="AE19" s="10"/>
    </row>
    <row r="20" spans="1:31">
      <c r="A20" s="277" t="s">
        <v>4554</v>
      </c>
      <c r="B20" s="9" t="s">
        <v>21</v>
      </c>
      <c r="C20" s="9">
        <v>2025</v>
      </c>
      <c r="D20" s="9" t="s">
        <v>27</v>
      </c>
      <c r="E20" s="90" t="s">
        <v>23</v>
      </c>
      <c r="F20" s="9" t="s">
        <v>7</v>
      </c>
      <c r="G20" s="10"/>
      <c r="H20" s="96">
        <v>251031</v>
      </c>
      <c r="I20" s="109" t="s">
        <v>25</v>
      </c>
      <c r="J20" s="110">
        <v>45939</v>
      </c>
      <c r="K20" s="110">
        <v>45953</v>
      </c>
      <c r="L20" s="111">
        <v>1531800</v>
      </c>
      <c r="M20" s="112" t="s">
        <v>3875</v>
      </c>
      <c r="N20" s="34" t="s">
        <v>29</v>
      </c>
      <c r="O20" s="10"/>
      <c r="P20" s="113">
        <v>46010</v>
      </c>
      <c r="Q20" s="113">
        <v>46010</v>
      </c>
      <c r="R20" s="113">
        <v>46010</v>
      </c>
      <c r="S20" s="37">
        <f t="shared" si="0"/>
        <v>1531800</v>
      </c>
      <c r="T20" s="37">
        <f t="shared" si="1"/>
        <v>0</v>
      </c>
      <c r="U20" s="10"/>
      <c r="V20" s="52"/>
      <c r="W20" s="52"/>
      <c r="X20" s="10"/>
      <c r="Y20" s="10"/>
      <c r="Z20" s="10"/>
      <c r="AA20" s="10"/>
      <c r="AB20" s="10"/>
      <c r="AC20" s="10"/>
      <c r="AD20" s="10"/>
      <c r="AE20" s="10"/>
    </row>
    <row r="21" spans="1:31">
      <c r="A21" s="277" t="s">
        <v>4555</v>
      </c>
      <c r="B21" s="9" t="s">
        <v>21</v>
      </c>
      <c r="C21" s="9">
        <v>2026</v>
      </c>
      <c r="D21" s="9" t="s">
        <v>77</v>
      </c>
      <c r="E21" s="90" t="s">
        <v>23</v>
      </c>
      <c r="F21" s="9" t="s">
        <v>7</v>
      </c>
      <c r="G21" s="10"/>
      <c r="H21" s="9">
        <v>260039</v>
      </c>
      <c r="I21" s="11" t="s">
        <v>25</v>
      </c>
      <c r="J21" s="127">
        <v>46044</v>
      </c>
      <c r="K21" s="127">
        <v>46063</v>
      </c>
      <c r="L21" s="128">
        <v>932400</v>
      </c>
      <c r="M21" s="140" t="s">
        <v>4325</v>
      </c>
      <c r="N21" s="34">
        <f ca="1">$J$3-J21</f>
        <v>196.46377638888953</v>
      </c>
      <c r="O21" s="10"/>
      <c r="P21" s="39"/>
      <c r="Q21" s="39"/>
      <c r="R21" s="39"/>
      <c r="S21" s="37">
        <f t="shared" si="0"/>
        <v>0</v>
      </c>
      <c r="T21" s="37">
        <f t="shared" si="1"/>
        <v>932400</v>
      </c>
      <c r="U21" s="10"/>
      <c r="V21" s="52"/>
      <c r="W21" s="52"/>
      <c r="X21" s="10"/>
      <c r="Y21" s="10"/>
      <c r="Z21" s="10"/>
      <c r="AA21" s="10"/>
      <c r="AB21" s="10"/>
      <c r="AC21" s="10"/>
      <c r="AD21" s="10"/>
      <c r="AE21" s="10"/>
    </row>
    <row r="22" spans="1:31">
      <c r="A22" s="277" t="s">
        <v>4556</v>
      </c>
      <c r="B22" s="9" t="s">
        <v>21</v>
      </c>
      <c r="C22" s="9">
        <v>2026</v>
      </c>
      <c r="D22" s="9" t="s">
        <v>77</v>
      </c>
      <c r="E22" s="90" t="s">
        <v>23</v>
      </c>
      <c r="F22" s="9" t="s">
        <v>7</v>
      </c>
      <c r="G22" s="10"/>
      <c r="H22" s="9">
        <v>260175</v>
      </c>
      <c r="I22" s="11" t="s">
        <v>25</v>
      </c>
      <c r="J22" s="127">
        <v>46097</v>
      </c>
      <c r="K22" s="127">
        <v>46119</v>
      </c>
      <c r="L22" s="128">
        <v>899100</v>
      </c>
      <c r="M22" s="140" t="s">
        <v>4493</v>
      </c>
      <c r="N22" s="34">
        <f ca="1">$J$3-J22</f>
        <v>143.46377638888953</v>
      </c>
      <c r="O22" s="10"/>
      <c r="P22" s="39"/>
      <c r="Q22" s="39"/>
      <c r="R22" s="39"/>
      <c r="S22" s="37">
        <f t="shared" si="0"/>
        <v>0</v>
      </c>
      <c r="T22" s="37">
        <f t="shared" si="1"/>
        <v>899100</v>
      </c>
      <c r="U22" s="10"/>
      <c r="V22" s="52"/>
      <c r="W22" s="52"/>
      <c r="X22" s="10"/>
      <c r="Y22" s="10"/>
      <c r="Z22" s="10"/>
      <c r="AA22" s="10"/>
      <c r="AB22" s="10"/>
      <c r="AC22" s="10"/>
      <c r="AD22" s="10"/>
      <c r="AE22" s="10"/>
    </row>
    <row r="23" spans="1:31">
      <c r="A23" s="277" t="s">
        <v>4557</v>
      </c>
      <c r="B23" s="9" t="s">
        <v>21</v>
      </c>
      <c r="C23" s="9">
        <v>2026</v>
      </c>
      <c r="D23" s="9" t="s">
        <v>77</v>
      </c>
      <c r="E23" s="90" t="s">
        <v>23</v>
      </c>
      <c r="F23" s="9" t="s">
        <v>7</v>
      </c>
      <c r="G23" s="10"/>
      <c r="H23" s="9">
        <v>260215</v>
      </c>
      <c r="I23" s="11" t="s">
        <v>25</v>
      </c>
      <c r="J23" s="127">
        <v>46128</v>
      </c>
      <c r="K23" s="127">
        <v>46140</v>
      </c>
      <c r="L23" s="128">
        <v>177600</v>
      </c>
      <c r="M23" s="140" t="s">
        <v>6981</v>
      </c>
      <c r="N23" s="34">
        <f ca="1">$J$3-J23</f>
        <v>112.46377638888953</v>
      </c>
      <c r="O23" s="10"/>
      <c r="P23" s="39"/>
      <c r="Q23" s="39"/>
      <c r="R23" s="39"/>
      <c r="S23" s="37">
        <f t="shared" si="0"/>
        <v>0</v>
      </c>
      <c r="T23" s="37">
        <f t="shared" si="1"/>
        <v>177600</v>
      </c>
      <c r="U23" s="10"/>
      <c r="V23" s="52"/>
      <c r="W23" s="52"/>
      <c r="X23" s="10"/>
      <c r="Y23" s="10"/>
      <c r="Z23" s="10"/>
      <c r="AA23" s="10"/>
      <c r="AB23" s="10"/>
      <c r="AC23" s="10"/>
      <c r="AD23" s="10"/>
      <c r="AE23" s="10"/>
    </row>
    <row r="24" spans="1:31">
      <c r="A24" s="277" t="s">
        <v>4557</v>
      </c>
      <c r="B24" s="9" t="s">
        <v>21</v>
      </c>
      <c r="C24" s="9">
        <v>2026</v>
      </c>
      <c r="D24" s="9" t="s">
        <v>77</v>
      </c>
      <c r="E24" s="90" t="s">
        <v>23</v>
      </c>
      <c r="F24" s="9" t="s">
        <v>7</v>
      </c>
      <c r="G24" s="10"/>
      <c r="H24" s="9">
        <v>260331</v>
      </c>
      <c r="I24" s="11" t="s">
        <v>25</v>
      </c>
      <c r="J24" s="127">
        <v>46181</v>
      </c>
      <c r="K24" s="127">
        <v>46198</v>
      </c>
      <c r="L24" s="128">
        <v>899100</v>
      </c>
      <c r="M24" s="140" t="s">
        <v>7178</v>
      </c>
      <c r="N24" s="34">
        <f ca="1">$J$3-J24</f>
        <v>59.463776388889528</v>
      </c>
      <c r="O24" s="10"/>
      <c r="P24" s="39"/>
      <c r="Q24" s="39"/>
      <c r="R24" s="39"/>
      <c r="S24" s="37">
        <f t="shared" si="0"/>
        <v>0</v>
      </c>
      <c r="T24" s="37">
        <f t="shared" si="1"/>
        <v>899100</v>
      </c>
      <c r="U24" s="10"/>
      <c r="V24" s="52"/>
      <c r="W24" s="52"/>
      <c r="X24" s="10"/>
      <c r="Y24" s="10"/>
      <c r="Z24" s="10"/>
      <c r="AA24" s="10"/>
      <c r="AB24" s="10"/>
      <c r="AC24" s="10"/>
      <c r="AD24" s="10"/>
      <c r="AE24" s="10"/>
    </row>
    <row r="25" spans="1:31" ht="14.25" customHeight="1">
      <c r="A25" s="277" t="s">
        <v>4558</v>
      </c>
      <c r="B25" s="9" t="s">
        <v>21</v>
      </c>
      <c r="C25" s="9"/>
      <c r="D25" s="9"/>
      <c r="E25" s="90"/>
      <c r="F25" s="9"/>
      <c r="G25" s="10"/>
      <c r="H25" s="9"/>
      <c r="I25" s="11"/>
      <c r="J25" s="12"/>
      <c r="K25" s="12"/>
      <c r="L25" s="52"/>
      <c r="M25" s="10"/>
      <c r="N25" s="114">
        <f ca="1">$J$3-J25</f>
        <v>46240.46377638889</v>
      </c>
      <c r="O25" s="11"/>
      <c r="P25" s="39"/>
      <c r="Q25" s="39"/>
      <c r="R25" s="39"/>
      <c r="S25" s="37">
        <f t="shared" si="0"/>
        <v>0</v>
      </c>
      <c r="T25" s="37">
        <f t="shared" si="1"/>
        <v>0</v>
      </c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ht="14.25" customHeight="1">
      <c r="A26" s="277" t="s">
        <v>4559</v>
      </c>
      <c r="B26" s="9" t="s">
        <v>21</v>
      </c>
      <c r="C26" s="9"/>
      <c r="D26" s="9"/>
      <c r="E26" s="90"/>
      <c r="F26" s="9"/>
      <c r="G26" s="10"/>
      <c r="H26" s="9"/>
      <c r="I26" s="11"/>
      <c r="J26" s="12"/>
      <c r="K26" s="12"/>
      <c r="L26" s="52"/>
      <c r="M26" s="10"/>
      <c r="N26" s="9"/>
      <c r="O26" s="11"/>
      <c r="P26" s="39"/>
      <c r="Q26" s="39"/>
      <c r="R26" s="39"/>
      <c r="S26" s="37"/>
      <c r="T26" s="37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>
      <c r="A27" s="277" t="s">
        <v>4560</v>
      </c>
      <c r="B27" s="9" t="s">
        <v>21</v>
      </c>
      <c r="C27" s="9"/>
      <c r="D27" s="9"/>
      <c r="E27" s="90"/>
      <c r="F27" s="9"/>
      <c r="G27" s="94" t="s">
        <v>24</v>
      </c>
      <c r="H27" s="95" t="s">
        <v>34</v>
      </c>
      <c r="I27" s="104"/>
      <c r="J27" s="105"/>
      <c r="K27" s="105"/>
      <c r="L27" s="106">
        <f>SUM(L28:L140)</f>
        <v>592327597</v>
      </c>
      <c r="M27" s="107"/>
      <c r="N27" s="108" t="s">
        <v>26</v>
      </c>
      <c r="O27" s="108"/>
      <c r="P27" s="108"/>
      <c r="Q27" s="108"/>
      <c r="R27" s="108"/>
      <c r="S27" s="106">
        <f>SUM(S28:S140)</f>
        <v>576736189</v>
      </c>
      <c r="T27" s="106">
        <f>SUM(T28:T140)</f>
        <v>15591408</v>
      </c>
      <c r="U27" s="10"/>
      <c r="V27" s="52">
        <f>L27-S27</f>
        <v>15591408</v>
      </c>
      <c r="W27" s="52">
        <f>T27-V27</f>
        <v>0</v>
      </c>
      <c r="X27" s="10"/>
      <c r="Y27" s="10"/>
      <c r="Z27" s="10"/>
      <c r="AA27" s="10"/>
      <c r="AB27" s="10"/>
      <c r="AC27" s="10"/>
      <c r="AD27" s="10"/>
      <c r="AE27" s="10"/>
    </row>
    <row r="28" spans="1:31" hidden="1">
      <c r="A28" s="277" t="s">
        <v>4561</v>
      </c>
      <c r="B28" s="9" t="s">
        <v>21</v>
      </c>
      <c r="C28" s="9">
        <v>2025</v>
      </c>
      <c r="D28" s="9" t="s">
        <v>27</v>
      </c>
      <c r="E28" s="90" t="s">
        <v>23</v>
      </c>
      <c r="F28" s="9" t="s">
        <v>7</v>
      </c>
      <c r="G28" s="10"/>
      <c r="H28" s="96">
        <v>250012</v>
      </c>
      <c r="I28" s="109" t="s">
        <v>34</v>
      </c>
      <c r="J28" s="115">
        <v>45661</v>
      </c>
      <c r="K28" s="115">
        <v>45685</v>
      </c>
      <c r="L28" s="116">
        <v>6926400</v>
      </c>
      <c r="M28" s="117" t="s">
        <v>35</v>
      </c>
      <c r="N28" s="34" t="s">
        <v>29</v>
      </c>
      <c r="O28" s="27">
        <f>SUM(L28:L31)</f>
        <v>19002236</v>
      </c>
      <c r="P28" s="113">
        <v>45737</v>
      </c>
      <c r="Q28" s="113">
        <v>45737</v>
      </c>
      <c r="R28" s="113">
        <v>45737</v>
      </c>
      <c r="S28" s="37">
        <f t="shared" ref="S28:S33" si="2">IF(R28="",0,L28)</f>
        <v>6926400</v>
      </c>
      <c r="T28" s="37">
        <f t="shared" ref="T28:T33" si="3">L28-S28</f>
        <v>0</v>
      </c>
      <c r="U28" s="10"/>
      <c r="V28" s="10"/>
      <c r="W28" s="10"/>
      <c r="X28" s="10"/>
      <c r="Y28" s="10"/>
      <c r="Z28" s="12"/>
      <c r="AA28" s="12"/>
      <c r="AB28" s="10"/>
      <c r="AC28" s="10"/>
      <c r="AD28" s="10"/>
      <c r="AE28" s="10"/>
    </row>
    <row r="29" spans="1:31" hidden="1">
      <c r="A29" s="277" t="s">
        <v>4562</v>
      </c>
      <c r="B29" s="9" t="s">
        <v>21</v>
      </c>
      <c r="C29" s="9">
        <v>2025</v>
      </c>
      <c r="D29" s="9" t="s">
        <v>27</v>
      </c>
      <c r="E29" s="90" t="s">
        <v>23</v>
      </c>
      <c r="F29" s="9" t="s">
        <v>7</v>
      </c>
      <c r="G29" s="10"/>
      <c r="H29" s="96">
        <v>250013</v>
      </c>
      <c r="I29" s="109" t="s">
        <v>34</v>
      </c>
      <c r="J29" s="115">
        <v>45661</v>
      </c>
      <c r="K29" s="115">
        <v>45685</v>
      </c>
      <c r="L29" s="116">
        <v>1676419</v>
      </c>
      <c r="M29" s="117" t="s">
        <v>36</v>
      </c>
      <c r="N29" s="34" t="s">
        <v>29</v>
      </c>
      <c r="O29" s="10"/>
      <c r="P29" s="113">
        <v>45737</v>
      </c>
      <c r="Q29" s="113">
        <v>45737</v>
      </c>
      <c r="R29" s="113">
        <v>45737</v>
      </c>
      <c r="S29" s="37">
        <f t="shared" si="2"/>
        <v>1676419</v>
      </c>
      <c r="T29" s="37">
        <f t="shared" si="3"/>
        <v>0</v>
      </c>
      <c r="U29" s="10"/>
      <c r="V29" s="10"/>
      <c r="W29" s="10"/>
      <c r="X29" s="10"/>
      <c r="Y29" s="10"/>
      <c r="Z29" s="12"/>
      <c r="AA29" s="12"/>
      <c r="AB29" s="10"/>
      <c r="AC29" s="10"/>
      <c r="AD29" s="10"/>
      <c r="AE29" s="10"/>
    </row>
    <row r="30" spans="1:31" hidden="1">
      <c r="A30" s="277" t="s">
        <v>4563</v>
      </c>
      <c r="B30" s="9" t="s">
        <v>21</v>
      </c>
      <c r="C30" s="9">
        <v>2025</v>
      </c>
      <c r="D30" s="9" t="s">
        <v>27</v>
      </c>
      <c r="E30" s="90" t="s">
        <v>23</v>
      </c>
      <c r="F30" s="9" t="s">
        <v>7</v>
      </c>
      <c r="G30" s="10"/>
      <c r="H30" s="96">
        <v>250015</v>
      </c>
      <c r="I30" s="109" t="s">
        <v>34</v>
      </c>
      <c r="J30" s="115">
        <v>45664</v>
      </c>
      <c r="K30" s="115">
        <v>45685</v>
      </c>
      <c r="L30" s="116">
        <v>9475342</v>
      </c>
      <c r="M30" s="117" t="s">
        <v>37</v>
      </c>
      <c r="N30" s="34" t="s">
        <v>29</v>
      </c>
      <c r="O30" s="10"/>
      <c r="P30" s="113">
        <v>45737</v>
      </c>
      <c r="Q30" s="113">
        <v>45737</v>
      </c>
      <c r="R30" s="113">
        <v>45737</v>
      </c>
      <c r="S30" s="37">
        <f t="shared" si="2"/>
        <v>9475342</v>
      </c>
      <c r="T30" s="37">
        <f t="shared" si="3"/>
        <v>0</v>
      </c>
      <c r="U30" s="10"/>
      <c r="V30" s="10"/>
      <c r="W30" s="10"/>
      <c r="X30" s="10"/>
      <c r="Y30" s="10"/>
      <c r="Z30" s="12"/>
      <c r="AA30" s="12"/>
      <c r="AB30" s="10"/>
      <c r="AC30" s="10"/>
      <c r="AD30" s="10"/>
      <c r="AE30" s="10"/>
    </row>
    <row r="31" spans="1:31" hidden="1">
      <c r="A31" s="277" t="s">
        <v>4564</v>
      </c>
      <c r="B31" s="9" t="s">
        <v>21</v>
      </c>
      <c r="C31" s="9">
        <v>2025</v>
      </c>
      <c r="D31" s="9" t="s">
        <v>27</v>
      </c>
      <c r="E31" s="90" t="s">
        <v>23</v>
      </c>
      <c r="F31" s="9" t="s">
        <v>7</v>
      </c>
      <c r="G31" s="10"/>
      <c r="H31" s="96">
        <v>250016</v>
      </c>
      <c r="I31" s="109" t="s">
        <v>34</v>
      </c>
      <c r="J31" s="115">
        <v>45664</v>
      </c>
      <c r="K31" s="115">
        <v>45685</v>
      </c>
      <c r="L31" s="116">
        <v>924075</v>
      </c>
      <c r="M31" s="117" t="s">
        <v>38</v>
      </c>
      <c r="N31" s="34" t="s">
        <v>29</v>
      </c>
      <c r="O31" s="10"/>
      <c r="P31" s="113">
        <v>45737</v>
      </c>
      <c r="Q31" s="113">
        <v>45737</v>
      </c>
      <c r="R31" s="113">
        <v>45737</v>
      </c>
      <c r="S31" s="37">
        <f t="shared" si="2"/>
        <v>924075</v>
      </c>
      <c r="T31" s="37">
        <f t="shared" si="3"/>
        <v>0</v>
      </c>
      <c r="U31" s="10"/>
      <c r="V31" s="10"/>
      <c r="W31" s="10"/>
      <c r="X31" s="10"/>
      <c r="Y31" s="10"/>
      <c r="Z31" s="12"/>
      <c r="AA31" s="12"/>
      <c r="AB31" s="10"/>
      <c r="AC31" s="10"/>
      <c r="AD31" s="10"/>
      <c r="AE31" s="10"/>
    </row>
    <row r="32" spans="1:31" hidden="1">
      <c r="A32" s="277" t="s">
        <v>4565</v>
      </c>
      <c r="B32" s="9" t="s">
        <v>21</v>
      </c>
      <c r="C32" s="9">
        <v>2025</v>
      </c>
      <c r="D32" s="9" t="s">
        <v>27</v>
      </c>
      <c r="E32" s="90" t="s">
        <v>23</v>
      </c>
      <c r="F32" s="9" t="s">
        <v>7</v>
      </c>
      <c r="G32" s="10"/>
      <c r="H32" s="96">
        <v>250035</v>
      </c>
      <c r="I32" s="109" t="s">
        <v>34</v>
      </c>
      <c r="J32" s="115">
        <v>45667</v>
      </c>
      <c r="K32" s="115">
        <v>45685</v>
      </c>
      <c r="L32" s="116">
        <v>40279403</v>
      </c>
      <c r="M32" s="117" t="s">
        <v>39</v>
      </c>
      <c r="N32" s="34" t="s">
        <v>29</v>
      </c>
      <c r="O32" s="10"/>
      <c r="P32" s="113">
        <v>45764</v>
      </c>
      <c r="Q32" s="113">
        <v>45764</v>
      </c>
      <c r="R32" s="113">
        <v>45764</v>
      </c>
      <c r="S32" s="37">
        <f t="shared" si="2"/>
        <v>40279403</v>
      </c>
      <c r="T32" s="37">
        <f t="shared" si="3"/>
        <v>0</v>
      </c>
      <c r="U32" s="10"/>
      <c r="V32" s="10"/>
      <c r="W32" s="10"/>
      <c r="X32" s="10"/>
      <c r="Y32" s="10"/>
      <c r="Z32" s="12"/>
      <c r="AA32" s="12"/>
      <c r="AB32" s="10"/>
      <c r="AC32" s="10"/>
      <c r="AD32" s="10"/>
      <c r="AE32" s="10"/>
    </row>
    <row r="33" spans="1:31" hidden="1">
      <c r="A33" s="277" t="s">
        <v>4566</v>
      </c>
      <c r="B33" s="9" t="s">
        <v>21</v>
      </c>
      <c r="C33" s="9">
        <v>2025</v>
      </c>
      <c r="D33" s="9" t="s">
        <v>27</v>
      </c>
      <c r="E33" s="90" t="s">
        <v>23</v>
      </c>
      <c r="F33" s="9" t="s">
        <v>7</v>
      </c>
      <c r="G33" s="10"/>
      <c r="H33" s="96">
        <v>250024</v>
      </c>
      <c r="I33" s="109" t="s">
        <v>34</v>
      </c>
      <c r="J33" s="115">
        <v>45666</v>
      </c>
      <c r="K33" s="115">
        <v>45685</v>
      </c>
      <c r="L33" s="116">
        <v>2999997</v>
      </c>
      <c r="M33" s="117" t="s">
        <v>40</v>
      </c>
      <c r="N33" s="34" t="s">
        <v>29</v>
      </c>
      <c r="O33" s="27">
        <f>SUM(L33:L39)</f>
        <v>36454255</v>
      </c>
      <c r="P33" s="113">
        <v>45772</v>
      </c>
      <c r="Q33" s="113">
        <v>45772</v>
      </c>
      <c r="R33" s="113">
        <v>45772</v>
      </c>
      <c r="S33" s="37">
        <f t="shared" si="2"/>
        <v>2999997</v>
      </c>
      <c r="T33" s="37">
        <f t="shared" si="3"/>
        <v>0</v>
      </c>
      <c r="U33" s="10"/>
      <c r="V33" s="10"/>
      <c r="W33" s="10"/>
      <c r="X33" s="10"/>
      <c r="Y33" s="10"/>
      <c r="Z33" s="12"/>
      <c r="AA33" s="12"/>
      <c r="AB33" s="10"/>
      <c r="AC33" s="10"/>
      <c r="AD33" s="10"/>
      <c r="AE33" s="10"/>
    </row>
    <row r="34" spans="1:31" hidden="1">
      <c r="A34" s="277" t="s">
        <v>4567</v>
      </c>
      <c r="B34" s="9" t="s">
        <v>21</v>
      </c>
      <c r="C34" s="9">
        <v>2025</v>
      </c>
      <c r="D34" s="9" t="s">
        <v>27</v>
      </c>
      <c r="E34" s="90" t="s">
        <v>23</v>
      </c>
      <c r="F34" s="9" t="s">
        <v>7</v>
      </c>
      <c r="G34" s="10"/>
      <c r="H34" s="96">
        <v>250022</v>
      </c>
      <c r="I34" s="109" t="s">
        <v>34</v>
      </c>
      <c r="J34" s="115">
        <v>45665</v>
      </c>
      <c r="K34" s="115">
        <v>45685</v>
      </c>
      <c r="L34" s="116">
        <f>1131855-151008</f>
        <v>980847</v>
      </c>
      <c r="M34" s="117" t="s">
        <v>41</v>
      </c>
      <c r="N34" s="34" t="s">
        <v>29</v>
      </c>
      <c r="O34" s="10"/>
      <c r="P34" s="113">
        <v>45772</v>
      </c>
      <c r="Q34" s="113">
        <v>45772</v>
      </c>
      <c r="R34" s="113">
        <v>45772</v>
      </c>
      <c r="S34" s="37">
        <f t="shared" ref="S34:S44" si="4">IF(R34="",0,L34)</f>
        <v>980847</v>
      </c>
      <c r="T34" s="37">
        <f t="shared" ref="T34:T44" si="5">L34-S34</f>
        <v>0</v>
      </c>
      <c r="U34" s="10"/>
      <c r="V34" s="10"/>
      <c r="W34" s="10"/>
      <c r="X34" s="10"/>
      <c r="Y34" s="10"/>
      <c r="Z34" s="12"/>
      <c r="AA34" s="12"/>
      <c r="AB34" s="10"/>
      <c r="AC34" s="10"/>
      <c r="AD34" s="10"/>
      <c r="AE34" s="10"/>
    </row>
    <row r="35" spans="1:31" hidden="1">
      <c r="A35" s="277" t="s">
        <v>4568</v>
      </c>
      <c r="B35" s="9" t="s">
        <v>21</v>
      </c>
      <c r="C35" s="9">
        <v>2025</v>
      </c>
      <c r="D35" s="9" t="s">
        <v>27</v>
      </c>
      <c r="E35" s="90" t="s">
        <v>23</v>
      </c>
      <c r="F35" s="9" t="s">
        <v>7</v>
      </c>
      <c r="G35" s="10"/>
      <c r="H35" s="96">
        <v>250023</v>
      </c>
      <c r="I35" s="109" t="s">
        <v>34</v>
      </c>
      <c r="J35" s="115">
        <v>45666</v>
      </c>
      <c r="K35" s="115">
        <v>45685</v>
      </c>
      <c r="L35" s="116">
        <v>2534160</v>
      </c>
      <c r="M35" s="117" t="s">
        <v>42</v>
      </c>
      <c r="N35" s="34" t="s">
        <v>29</v>
      </c>
      <c r="O35" s="10"/>
      <c r="P35" s="113">
        <v>45772</v>
      </c>
      <c r="Q35" s="113">
        <v>45772</v>
      </c>
      <c r="R35" s="113">
        <v>45772</v>
      </c>
      <c r="S35" s="37">
        <f t="shared" si="4"/>
        <v>2534160</v>
      </c>
      <c r="T35" s="37">
        <f t="shared" si="5"/>
        <v>0</v>
      </c>
      <c r="U35" s="10"/>
      <c r="V35" s="10"/>
      <c r="W35" s="10"/>
      <c r="X35" s="10"/>
      <c r="Y35" s="10"/>
      <c r="Z35" s="12"/>
      <c r="AA35" s="12"/>
      <c r="AB35" s="10"/>
      <c r="AC35" s="10"/>
      <c r="AD35" s="10"/>
      <c r="AE35" s="10"/>
    </row>
    <row r="36" spans="1:31" hidden="1">
      <c r="A36" s="277" t="s">
        <v>4569</v>
      </c>
      <c r="B36" s="9" t="s">
        <v>21</v>
      </c>
      <c r="C36" s="9">
        <v>2025</v>
      </c>
      <c r="D36" s="9" t="s">
        <v>27</v>
      </c>
      <c r="E36" s="90" t="s">
        <v>23</v>
      </c>
      <c r="F36" s="9" t="s">
        <v>7</v>
      </c>
      <c r="G36" s="10"/>
      <c r="H36" s="96">
        <v>250068</v>
      </c>
      <c r="I36" s="109" t="s">
        <v>34</v>
      </c>
      <c r="J36" s="115">
        <v>45674</v>
      </c>
      <c r="K36" s="115">
        <v>45694</v>
      </c>
      <c r="L36" s="116">
        <v>15604720</v>
      </c>
      <c r="M36" s="117" t="s">
        <v>43</v>
      </c>
      <c r="N36" s="34" t="s">
        <v>29</v>
      </c>
      <c r="O36" s="10"/>
      <c r="P36" s="113">
        <v>45772</v>
      </c>
      <c r="Q36" s="113">
        <v>45772</v>
      </c>
      <c r="R36" s="113">
        <v>45772</v>
      </c>
      <c r="S36" s="37">
        <f t="shared" si="4"/>
        <v>15604720</v>
      </c>
      <c r="T36" s="37">
        <f t="shared" si="5"/>
        <v>0</v>
      </c>
      <c r="U36" s="10"/>
      <c r="V36" s="10"/>
      <c r="W36" s="10"/>
      <c r="X36" s="10"/>
      <c r="Y36" s="10"/>
      <c r="Z36" s="12"/>
      <c r="AA36" s="12"/>
      <c r="AB36" s="10"/>
      <c r="AC36" s="10"/>
      <c r="AD36" s="10"/>
      <c r="AE36" s="10"/>
    </row>
    <row r="37" spans="1:31" hidden="1">
      <c r="A37" s="277" t="s">
        <v>4570</v>
      </c>
      <c r="B37" s="9" t="s">
        <v>21</v>
      </c>
      <c r="C37" s="9">
        <v>2025</v>
      </c>
      <c r="D37" s="9" t="s">
        <v>27</v>
      </c>
      <c r="E37" s="90" t="s">
        <v>23</v>
      </c>
      <c r="F37" s="9" t="s">
        <v>7</v>
      </c>
      <c r="G37" s="10"/>
      <c r="H37" s="96">
        <v>250081</v>
      </c>
      <c r="I37" s="109" t="s">
        <v>34</v>
      </c>
      <c r="J37" s="115">
        <v>45674</v>
      </c>
      <c r="K37" s="115">
        <v>45694</v>
      </c>
      <c r="L37" s="116">
        <f>612720-43956</f>
        <v>568764</v>
      </c>
      <c r="M37" s="117" t="s">
        <v>44</v>
      </c>
      <c r="N37" s="34" t="s">
        <v>29</v>
      </c>
      <c r="O37" s="10"/>
      <c r="P37" s="113">
        <v>45772</v>
      </c>
      <c r="Q37" s="113">
        <v>45772</v>
      </c>
      <c r="R37" s="113">
        <v>45772</v>
      </c>
      <c r="S37" s="37">
        <f t="shared" si="4"/>
        <v>568764</v>
      </c>
      <c r="T37" s="37">
        <f t="shared" si="5"/>
        <v>0</v>
      </c>
      <c r="U37" s="10"/>
      <c r="V37" s="10"/>
      <c r="W37" s="10"/>
      <c r="X37" s="10"/>
      <c r="Y37" s="10"/>
      <c r="Z37" s="12"/>
      <c r="AA37" s="12"/>
      <c r="AB37" s="10"/>
      <c r="AC37" s="10"/>
      <c r="AD37" s="10"/>
      <c r="AE37" s="10"/>
    </row>
    <row r="38" spans="1:31" hidden="1">
      <c r="A38" s="277" t="s">
        <v>4571</v>
      </c>
      <c r="B38" s="9" t="s">
        <v>21</v>
      </c>
      <c r="C38" s="9">
        <v>2025</v>
      </c>
      <c r="D38" s="9" t="s">
        <v>27</v>
      </c>
      <c r="E38" s="90" t="s">
        <v>23</v>
      </c>
      <c r="F38" s="9" t="s">
        <v>7</v>
      </c>
      <c r="G38" s="10"/>
      <c r="H38" s="96">
        <v>250152</v>
      </c>
      <c r="I38" s="109" t="s">
        <v>34</v>
      </c>
      <c r="J38" s="115">
        <v>45699</v>
      </c>
      <c r="K38" s="115">
        <v>45708</v>
      </c>
      <c r="L38" s="116">
        <v>4608267</v>
      </c>
      <c r="M38" s="117" t="s">
        <v>45</v>
      </c>
      <c r="N38" s="34" t="s">
        <v>29</v>
      </c>
      <c r="O38" s="10"/>
      <c r="P38" s="113">
        <v>45772</v>
      </c>
      <c r="Q38" s="113">
        <v>45772</v>
      </c>
      <c r="R38" s="113">
        <v>45772</v>
      </c>
      <c r="S38" s="37">
        <f t="shared" si="4"/>
        <v>4608267</v>
      </c>
      <c r="T38" s="37">
        <f t="shared" si="5"/>
        <v>0</v>
      </c>
      <c r="U38" s="10"/>
      <c r="V38" s="10"/>
      <c r="W38" s="10"/>
      <c r="X38" s="10"/>
      <c r="Y38" s="10"/>
      <c r="Z38" s="12"/>
      <c r="AA38" s="12"/>
      <c r="AB38" s="10"/>
      <c r="AC38" s="10"/>
      <c r="AD38" s="10"/>
      <c r="AE38" s="10"/>
    </row>
    <row r="39" spans="1:31" hidden="1">
      <c r="A39" s="277" t="s">
        <v>4572</v>
      </c>
      <c r="B39" s="9" t="s">
        <v>21</v>
      </c>
      <c r="C39" s="9">
        <v>2025</v>
      </c>
      <c r="D39" s="9" t="s">
        <v>27</v>
      </c>
      <c r="E39" s="90" t="s">
        <v>23</v>
      </c>
      <c r="F39" s="9" t="s">
        <v>7</v>
      </c>
      <c r="G39" s="10"/>
      <c r="H39" s="96">
        <v>25153</v>
      </c>
      <c r="I39" s="109" t="s">
        <v>34</v>
      </c>
      <c r="J39" s="115">
        <v>45699</v>
      </c>
      <c r="K39" s="115">
        <v>45708</v>
      </c>
      <c r="L39" s="116">
        <v>9157500</v>
      </c>
      <c r="M39" s="117" t="s">
        <v>46</v>
      </c>
      <c r="N39" s="34" t="s">
        <v>29</v>
      </c>
      <c r="O39" s="10"/>
      <c r="P39" s="113">
        <v>45772</v>
      </c>
      <c r="Q39" s="113">
        <v>45772</v>
      </c>
      <c r="R39" s="113">
        <v>45772</v>
      </c>
      <c r="S39" s="37">
        <f t="shared" si="4"/>
        <v>9157500</v>
      </c>
      <c r="T39" s="37">
        <f t="shared" si="5"/>
        <v>0</v>
      </c>
      <c r="U39" s="10"/>
      <c r="V39" s="10"/>
      <c r="W39" s="10"/>
      <c r="X39" s="10"/>
      <c r="Y39" s="10"/>
      <c r="Z39" s="12"/>
      <c r="AA39" s="12"/>
      <c r="AB39" s="10"/>
      <c r="AC39" s="10"/>
      <c r="AD39" s="10"/>
      <c r="AE39" s="10"/>
    </row>
    <row r="40" spans="1:31" hidden="1">
      <c r="A40" s="277" t="s">
        <v>4573</v>
      </c>
      <c r="B40" s="9" t="s">
        <v>21</v>
      </c>
      <c r="C40" s="9">
        <v>2025</v>
      </c>
      <c r="D40" s="9" t="s">
        <v>27</v>
      </c>
      <c r="E40" s="90" t="s">
        <v>23</v>
      </c>
      <c r="F40" s="9" t="s">
        <v>7</v>
      </c>
      <c r="G40" s="10"/>
      <c r="H40" s="96">
        <v>250173</v>
      </c>
      <c r="I40" s="109" t="s">
        <v>34</v>
      </c>
      <c r="J40" s="115">
        <v>45700</v>
      </c>
      <c r="K40" s="115">
        <v>45708</v>
      </c>
      <c r="L40" s="116">
        <v>37780637</v>
      </c>
      <c r="M40" s="117" t="s">
        <v>47</v>
      </c>
      <c r="N40" s="34" t="s">
        <v>29</v>
      </c>
      <c r="O40" s="27">
        <f>SUM(L40:L43)</f>
        <v>67612563</v>
      </c>
      <c r="P40" s="113">
        <v>45783</v>
      </c>
      <c r="Q40" s="113">
        <v>45783</v>
      </c>
      <c r="R40" s="113">
        <v>45783</v>
      </c>
      <c r="S40" s="37">
        <f t="shared" si="4"/>
        <v>37780637</v>
      </c>
      <c r="T40" s="37">
        <f t="shared" si="5"/>
        <v>0</v>
      </c>
      <c r="U40" s="10"/>
      <c r="V40" s="10"/>
      <c r="W40" s="10"/>
      <c r="X40" s="10"/>
      <c r="Y40" s="10"/>
      <c r="Z40" s="12"/>
      <c r="AA40" s="12"/>
      <c r="AB40" s="10"/>
      <c r="AC40" s="10"/>
      <c r="AD40" s="10"/>
      <c r="AE40" s="10"/>
    </row>
    <row r="41" spans="1:31" hidden="1">
      <c r="A41" s="277" t="s">
        <v>4574</v>
      </c>
      <c r="B41" s="9" t="s">
        <v>21</v>
      </c>
      <c r="C41" s="9">
        <v>2025</v>
      </c>
      <c r="D41" s="9" t="s">
        <v>27</v>
      </c>
      <c r="E41" s="90" t="s">
        <v>23</v>
      </c>
      <c r="F41" s="9" t="s">
        <v>7</v>
      </c>
      <c r="G41" s="10"/>
      <c r="H41" s="96">
        <v>250181</v>
      </c>
      <c r="I41" s="109" t="s">
        <v>34</v>
      </c>
      <c r="J41" s="115">
        <v>45707</v>
      </c>
      <c r="K41" s="115">
        <v>45715</v>
      </c>
      <c r="L41" s="116">
        <v>9157500</v>
      </c>
      <c r="M41" s="117" t="s">
        <v>48</v>
      </c>
      <c r="N41" s="34" t="s">
        <v>29</v>
      </c>
      <c r="O41" s="10"/>
      <c r="P41" s="113">
        <v>45783</v>
      </c>
      <c r="Q41" s="113">
        <v>45783</v>
      </c>
      <c r="R41" s="113">
        <v>45783</v>
      </c>
      <c r="S41" s="37">
        <f t="shared" si="4"/>
        <v>9157500</v>
      </c>
      <c r="T41" s="37">
        <f t="shared" si="5"/>
        <v>0</v>
      </c>
      <c r="U41" s="10"/>
      <c r="V41" s="10"/>
      <c r="W41" s="10"/>
      <c r="X41" s="10"/>
      <c r="Y41" s="10"/>
      <c r="Z41" s="12"/>
      <c r="AA41" s="12"/>
      <c r="AB41" s="10"/>
      <c r="AC41" s="10"/>
      <c r="AD41" s="10"/>
      <c r="AE41" s="10"/>
    </row>
    <row r="42" spans="1:31" hidden="1">
      <c r="A42" s="277" t="s">
        <v>4575</v>
      </c>
      <c r="B42" s="9" t="s">
        <v>21</v>
      </c>
      <c r="C42" s="9">
        <v>2025</v>
      </c>
      <c r="D42" s="9" t="s">
        <v>27</v>
      </c>
      <c r="E42" s="90" t="s">
        <v>23</v>
      </c>
      <c r="F42" s="9" t="s">
        <v>7</v>
      </c>
      <c r="G42" s="10"/>
      <c r="H42" s="96">
        <v>250183</v>
      </c>
      <c r="I42" s="109" t="s">
        <v>34</v>
      </c>
      <c r="J42" s="115">
        <v>45707</v>
      </c>
      <c r="K42" s="115">
        <v>45715</v>
      </c>
      <c r="L42" s="116">
        <v>6350976</v>
      </c>
      <c r="M42" s="117" t="s">
        <v>49</v>
      </c>
      <c r="N42" s="34" t="s">
        <v>29</v>
      </c>
      <c r="O42" s="10"/>
      <c r="P42" s="113">
        <v>45783</v>
      </c>
      <c r="Q42" s="113">
        <v>45783</v>
      </c>
      <c r="R42" s="113">
        <v>45783</v>
      </c>
      <c r="S42" s="37">
        <f t="shared" si="4"/>
        <v>6350976</v>
      </c>
      <c r="T42" s="37">
        <f t="shared" si="5"/>
        <v>0</v>
      </c>
      <c r="U42" s="10"/>
      <c r="V42" s="10"/>
      <c r="W42" s="10"/>
      <c r="X42" s="10"/>
      <c r="Y42" s="10"/>
      <c r="Z42" s="12"/>
      <c r="AA42" s="12"/>
      <c r="AB42" s="10"/>
      <c r="AC42" s="10"/>
      <c r="AD42" s="10"/>
      <c r="AE42" s="10"/>
    </row>
    <row r="43" spans="1:31" hidden="1">
      <c r="A43" s="277" t="s">
        <v>4576</v>
      </c>
      <c r="B43" s="9" t="s">
        <v>21</v>
      </c>
      <c r="C43" s="9">
        <v>2025</v>
      </c>
      <c r="D43" s="9" t="s">
        <v>27</v>
      </c>
      <c r="E43" s="90" t="s">
        <v>23</v>
      </c>
      <c r="F43" s="9" t="s">
        <v>7</v>
      </c>
      <c r="G43" s="10"/>
      <c r="H43" s="96">
        <v>25276</v>
      </c>
      <c r="I43" s="109" t="s">
        <v>34</v>
      </c>
      <c r="J43" s="115">
        <v>45716</v>
      </c>
      <c r="K43" s="115">
        <v>45727</v>
      </c>
      <c r="L43" s="116">
        <v>14323450</v>
      </c>
      <c r="M43" s="117" t="s">
        <v>50</v>
      </c>
      <c r="N43" s="34" t="s">
        <v>29</v>
      </c>
      <c r="O43" s="10"/>
      <c r="P43" s="113">
        <v>45783</v>
      </c>
      <c r="Q43" s="113">
        <v>45783</v>
      </c>
      <c r="R43" s="113">
        <v>45783</v>
      </c>
      <c r="S43" s="37">
        <f t="shared" si="4"/>
        <v>14323450</v>
      </c>
      <c r="T43" s="37">
        <f t="shared" si="5"/>
        <v>0</v>
      </c>
      <c r="U43" s="10"/>
      <c r="V43" s="10"/>
      <c r="W43" s="10"/>
      <c r="X43" s="10"/>
      <c r="Y43" s="10"/>
      <c r="Z43" s="12"/>
      <c r="AA43" s="12"/>
      <c r="AB43" s="10"/>
      <c r="AC43" s="10"/>
      <c r="AD43" s="10"/>
      <c r="AE43" s="10"/>
    </row>
    <row r="44" spans="1:31" hidden="1">
      <c r="A44" s="277" t="s">
        <v>4577</v>
      </c>
      <c r="B44" s="9" t="s">
        <v>21</v>
      </c>
      <c r="C44" s="9">
        <v>2025</v>
      </c>
      <c r="D44" s="9" t="s">
        <v>27</v>
      </c>
      <c r="E44" s="90" t="s">
        <v>23</v>
      </c>
      <c r="F44" s="9" t="s">
        <v>7</v>
      </c>
      <c r="G44" s="10"/>
      <c r="H44" s="96">
        <v>250495</v>
      </c>
      <c r="I44" s="109" t="s">
        <v>34</v>
      </c>
      <c r="J44" s="115">
        <v>45777</v>
      </c>
      <c r="K44" s="115">
        <v>45785</v>
      </c>
      <c r="L44" s="116">
        <v>11025353</v>
      </c>
      <c r="M44" s="117" t="s">
        <v>51</v>
      </c>
      <c r="N44" s="34" t="s">
        <v>29</v>
      </c>
      <c r="O44" s="27">
        <f>SUM(L44:L51)</f>
        <v>54545125</v>
      </c>
      <c r="P44" s="113">
        <v>45860</v>
      </c>
      <c r="Q44" s="113">
        <v>45860</v>
      </c>
      <c r="R44" s="113">
        <v>45860</v>
      </c>
      <c r="S44" s="37">
        <f t="shared" si="4"/>
        <v>11025353</v>
      </c>
      <c r="T44" s="37">
        <f t="shared" si="5"/>
        <v>0</v>
      </c>
      <c r="U44" s="10"/>
      <c r="V44" s="10"/>
      <c r="W44" s="10"/>
      <c r="X44" s="10"/>
      <c r="Y44" s="10"/>
      <c r="Z44" s="12"/>
      <c r="AA44" s="12"/>
      <c r="AB44" s="10"/>
      <c r="AC44" s="10"/>
      <c r="AD44" s="10"/>
      <c r="AE44" s="10"/>
    </row>
    <row r="45" spans="1:31" hidden="1">
      <c r="A45" s="277" t="s">
        <v>4578</v>
      </c>
      <c r="B45" s="9" t="s">
        <v>21</v>
      </c>
      <c r="C45" s="9">
        <v>2025</v>
      </c>
      <c r="D45" s="9" t="s">
        <v>27</v>
      </c>
      <c r="E45" s="90" t="s">
        <v>23</v>
      </c>
      <c r="F45" s="9" t="s">
        <v>7</v>
      </c>
      <c r="G45" s="10"/>
      <c r="H45" s="96">
        <v>250507</v>
      </c>
      <c r="I45" s="109" t="s">
        <v>34</v>
      </c>
      <c r="J45" s="115">
        <v>45784</v>
      </c>
      <c r="K45" s="115">
        <v>45797</v>
      </c>
      <c r="L45" s="116">
        <v>4836312</v>
      </c>
      <c r="M45" s="117" t="s">
        <v>52</v>
      </c>
      <c r="N45" s="34" t="s">
        <v>29</v>
      </c>
      <c r="O45" s="10"/>
      <c r="P45" s="113">
        <v>45860</v>
      </c>
      <c r="Q45" s="113">
        <v>45860</v>
      </c>
      <c r="R45" s="113">
        <v>45860</v>
      </c>
      <c r="S45" s="37">
        <f t="shared" ref="S45:S52" si="6">IF(R45="",0,L45)</f>
        <v>4836312</v>
      </c>
      <c r="T45" s="37">
        <f t="shared" ref="T45:T52" si="7">L45-S45</f>
        <v>0</v>
      </c>
      <c r="U45" s="10"/>
      <c r="V45" s="10"/>
      <c r="W45" s="10"/>
      <c r="X45" s="10"/>
      <c r="Y45" s="10"/>
      <c r="Z45" s="12"/>
      <c r="AA45" s="12"/>
      <c r="AB45" s="10"/>
      <c r="AC45" s="10"/>
      <c r="AD45" s="10"/>
      <c r="AE45" s="10"/>
    </row>
    <row r="46" spans="1:31" hidden="1">
      <c r="A46" s="277" t="s">
        <v>4579</v>
      </c>
      <c r="B46" s="9" t="s">
        <v>21</v>
      </c>
      <c r="C46" s="9">
        <v>2025</v>
      </c>
      <c r="D46" s="9" t="s">
        <v>27</v>
      </c>
      <c r="E46" s="90" t="s">
        <v>23</v>
      </c>
      <c r="F46" s="9" t="s">
        <v>7</v>
      </c>
      <c r="G46" s="10"/>
      <c r="H46" s="96">
        <v>250514</v>
      </c>
      <c r="I46" s="109" t="s">
        <v>34</v>
      </c>
      <c r="J46" s="115">
        <v>45785</v>
      </c>
      <c r="K46" s="115">
        <v>45797</v>
      </c>
      <c r="L46" s="116">
        <v>17352308</v>
      </c>
      <c r="M46" s="117" t="s">
        <v>53</v>
      </c>
      <c r="N46" s="34" t="s">
        <v>29</v>
      </c>
      <c r="O46" s="10"/>
      <c r="P46" s="113">
        <v>45860</v>
      </c>
      <c r="Q46" s="113">
        <v>45860</v>
      </c>
      <c r="R46" s="113">
        <v>45860</v>
      </c>
      <c r="S46" s="37">
        <f t="shared" si="6"/>
        <v>17352308</v>
      </c>
      <c r="T46" s="37">
        <f t="shared" si="7"/>
        <v>0</v>
      </c>
      <c r="U46" s="10"/>
      <c r="V46" s="10"/>
      <c r="W46" s="10"/>
      <c r="X46" s="10"/>
      <c r="Y46" s="10"/>
      <c r="Z46" s="12"/>
      <c r="AA46" s="12"/>
      <c r="AB46" s="10"/>
      <c r="AC46" s="10"/>
      <c r="AD46" s="10"/>
      <c r="AE46" s="10"/>
    </row>
    <row r="47" spans="1:31" hidden="1">
      <c r="A47" s="277" t="s">
        <v>4580</v>
      </c>
      <c r="B47" s="9" t="s">
        <v>21</v>
      </c>
      <c r="C47" s="9">
        <v>2025</v>
      </c>
      <c r="D47" s="9" t="s">
        <v>27</v>
      </c>
      <c r="E47" s="90" t="s">
        <v>23</v>
      </c>
      <c r="F47" s="9" t="s">
        <v>7</v>
      </c>
      <c r="G47" s="10"/>
      <c r="H47" s="96">
        <v>250520</v>
      </c>
      <c r="I47" s="109" t="s">
        <v>34</v>
      </c>
      <c r="J47" s="115">
        <v>45790</v>
      </c>
      <c r="K47" s="115">
        <v>45797</v>
      </c>
      <c r="L47" s="116">
        <v>8221177</v>
      </c>
      <c r="M47" s="117" t="s">
        <v>54</v>
      </c>
      <c r="N47" s="34" t="s">
        <v>29</v>
      </c>
      <c r="O47" s="10"/>
      <c r="P47" s="113">
        <v>45860</v>
      </c>
      <c r="Q47" s="113">
        <v>45860</v>
      </c>
      <c r="R47" s="113">
        <v>45860</v>
      </c>
      <c r="S47" s="37">
        <f t="shared" si="6"/>
        <v>8221177</v>
      </c>
      <c r="T47" s="37">
        <f t="shared" si="7"/>
        <v>0</v>
      </c>
      <c r="U47" s="10"/>
      <c r="V47" s="10"/>
      <c r="W47" s="10"/>
      <c r="X47" s="10"/>
      <c r="Y47" s="10"/>
      <c r="Z47" s="12"/>
      <c r="AA47" s="12"/>
      <c r="AB47" s="10"/>
      <c r="AC47" s="10"/>
      <c r="AD47" s="10"/>
      <c r="AE47" s="10"/>
    </row>
    <row r="48" spans="1:31" hidden="1">
      <c r="A48" s="277" t="s">
        <v>4581</v>
      </c>
      <c r="B48" s="9" t="s">
        <v>21</v>
      </c>
      <c r="C48" s="9">
        <v>2025</v>
      </c>
      <c r="D48" s="9" t="s">
        <v>27</v>
      </c>
      <c r="E48" s="90" t="s">
        <v>23</v>
      </c>
      <c r="F48" s="9" t="s">
        <v>7</v>
      </c>
      <c r="G48" s="10"/>
      <c r="H48" s="96">
        <v>250523</v>
      </c>
      <c r="I48" s="109" t="s">
        <v>34</v>
      </c>
      <c r="J48" s="115">
        <v>45792</v>
      </c>
      <c r="K48" s="115">
        <v>45799</v>
      </c>
      <c r="L48" s="116">
        <v>324675</v>
      </c>
      <c r="M48" s="117" t="s">
        <v>55</v>
      </c>
      <c r="N48" s="34" t="s">
        <v>29</v>
      </c>
      <c r="O48" s="10"/>
      <c r="P48" s="113">
        <v>45860</v>
      </c>
      <c r="Q48" s="113">
        <v>45860</v>
      </c>
      <c r="R48" s="113">
        <v>45860</v>
      </c>
      <c r="S48" s="37">
        <f t="shared" si="6"/>
        <v>324675</v>
      </c>
      <c r="T48" s="37">
        <f t="shared" si="7"/>
        <v>0</v>
      </c>
      <c r="U48" s="10"/>
      <c r="V48" s="10"/>
      <c r="W48" s="10"/>
      <c r="X48" s="10"/>
      <c r="Y48" s="10"/>
      <c r="Z48" s="12"/>
      <c r="AA48" s="12"/>
      <c r="AB48" s="10"/>
      <c r="AC48" s="10"/>
      <c r="AD48" s="10"/>
      <c r="AE48" s="10"/>
    </row>
    <row r="49" spans="1:31" hidden="1">
      <c r="A49" s="277" t="s">
        <v>4582</v>
      </c>
      <c r="B49" s="9" t="s">
        <v>21</v>
      </c>
      <c r="C49" s="9">
        <v>2025</v>
      </c>
      <c r="D49" s="9" t="s">
        <v>27</v>
      </c>
      <c r="E49" s="90" t="s">
        <v>23</v>
      </c>
      <c r="F49" s="9" t="s">
        <v>7</v>
      </c>
      <c r="G49" s="10"/>
      <c r="H49" s="96">
        <v>250522</v>
      </c>
      <c r="I49" s="109" t="s">
        <v>34</v>
      </c>
      <c r="J49" s="115">
        <v>45792</v>
      </c>
      <c r="K49" s="115">
        <v>45799</v>
      </c>
      <c r="L49" s="116">
        <v>689088</v>
      </c>
      <c r="M49" s="117" t="s">
        <v>56</v>
      </c>
      <c r="N49" s="34" t="s">
        <v>29</v>
      </c>
      <c r="O49" s="10"/>
      <c r="P49" s="113">
        <v>45860</v>
      </c>
      <c r="Q49" s="113">
        <v>45860</v>
      </c>
      <c r="R49" s="113">
        <v>45860</v>
      </c>
      <c r="S49" s="37">
        <f t="shared" si="6"/>
        <v>689088</v>
      </c>
      <c r="T49" s="37">
        <f t="shared" si="7"/>
        <v>0</v>
      </c>
      <c r="U49" s="10"/>
      <c r="V49" s="10"/>
      <c r="W49" s="10"/>
      <c r="X49" s="10"/>
      <c r="Y49" s="10"/>
      <c r="Z49" s="12"/>
      <c r="AA49" s="12"/>
      <c r="AB49" s="10"/>
      <c r="AC49" s="10"/>
      <c r="AD49" s="10"/>
      <c r="AE49" s="10"/>
    </row>
    <row r="50" spans="1:31" hidden="1">
      <c r="A50" s="277" t="s">
        <v>4583</v>
      </c>
      <c r="B50" s="9" t="s">
        <v>21</v>
      </c>
      <c r="C50" s="9">
        <v>2025</v>
      </c>
      <c r="D50" s="9" t="s">
        <v>27</v>
      </c>
      <c r="E50" s="90" t="s">
        <v>23</v>
      </c>
      <c r="F50" s="9" t="s">
        <v>7</v>
      </c>
      <c r="G50" s="10"/>
      <c r="H50" s="96">
        <v>250535</v>
      </c>
      <c r="I50" s="109" t="s">
        <v>34</v>
      </c>
      <c r="J50" s="115">
        <v>45796</v>
      </c>
      <c r="K50" s="115">
        <v>45811</v>
      </c>
      <c r="L50" s="116">
        <v>1983015</v>
      </c>
      <c r="M50" s="117" t="s">
        <v>57</v>
      </c>
      <c r="N50" s="34" t="s">
        <v>29</v>
      </c>
      <c r="O50" s="10"/>
      <c r="P50" s="113">
        <v>45860</v>
      </c>
      <c r="Q50" s="113">
        <v>45860</v>
      </c>
      <c r="R50" s="113">
        <v>45860</v>
      </c>
      <c r="S50" s="37">
        <f t="shared" si="6"/>
        <v>1983015</v>
      </c>
      <c r="T50" s="37">
        <f t="shared" si="7"/>
        <v>0</v>
      </c>
      <c r="U50" s="10"/>
      <c r="V50" s="10"/>
      <c r="W50" s="10"/>
      <c r="X50" s="10"/>
      <c r="Y50" s="10"/>
      <c r="Z50" s="12"/>
      <c r="AA50" s="12"/>
      <c r="AB50" s="10"/>
      <c r="AC50" s="10"/>
      <c r="AD50" s="10"/>
      <c r="AE50" s="10"/>
    </row>
    <row r="51" spans="1:31" hidden="1">
      <c r="A51" s="277" t="s">
        <v>4584</v>
      </c>
      <c r="B51" s="9" t="s">
        <v>21</v>
      </c>
      <c r="C51" s="9">
        <v>2025</v>
      </c>
      <c r="D51" s="9" t="s">
        <v>27</v>
      </c>
      <c r="E51" s="90" t="s">
        <v>23</v>
      </c>
      <c r="F51" s="9" t="s">
        <v>7</v>
      </c>
      <c r="G51" s="10"/>
      <c r="H51" s="96">
        <v>250534</v>
      </c>
      <c r="I51" s="109" t="s">
        <v>34</v>
      </c>
      <c r="J51" s="115">
        <v>45798</v>
      </c>
      <c r="K51" s="115">
        <v>45811</v>
      </c>
      <c r="L51" s="116">
        <f>20226394/2</f>
        <v>10113197</v>
      </c>
      <c r="M51" s="117" t="s">
        <v>58</v>
      </c>
      <c r="N51" s="34" t="s">
        <v>29</v>
      </c>
      <c r="O51" s="10"/>
      <c r="P51" s="113">
        <v>45860</v>
      </c>
      <c r="Q51" s="113">
        <v>45860</v>
      </c>
      <c r="R51" s="113">
        <v>45860</v>
      </c>
      <c r="S51" s="37">
        <f t="shared" si="6"/>
        <v>10113197</v>
      </c>
      <c r="T51" s="37">
        <f t="shared" si="7"/>
        <v>0</v>
      </c>
      <c r="U51" s="10"/>
      <c r="V51" s="10"/>
      <c r="W51" s="10"/>
      <c r="X51" s="10"/>
      <c r="Y51" s="10"/>
      <c r="Z51" s="12"/>
      <c r="AA51" s="12"/>
      <c r="AB51" s="10"/>
      <c r="AC51" s="10"/>
      <c r="AD51" s="10"/>
      <c r="AE51" s="10"/>
    </row>
    <row r="52" spans="1:31" hidden="1">
      <c r="A52" s="277" t="s">
        <v>4585</v>
      </c>
      <c r="B52" s="9" t="s">
        <v>21</v>
      </c>
      <c r="C52" s="9">
        <v>2025</v>
      </c>
      <c r="D52" s="9" t="s">
        <v>27</v>
      </c>
      <c r="E52" s="90" t="s">
        <v>23</v>
      </c>
      <c r="F52" s="9" t="s">
        <v>7</v>
      </c>
      <c r="G52" s="10"/>
      <c r="H52" s="96">
        <v>250534</v>
      </c>
      <c r="I52" s="109" t="s">
        <v>34</v>
      </c>
      <c r="J52" s="115">
        <v>45798</v>
      </c>
      <c r="K52" s="115">
        <v>45811</v>
      </c>
      <c r="L52" s="116">
        <f>20226394/2</f>
        <v>10113197</v>
      </c>
      <c r="M52" s="117" t="s">
        <v>59</v>
      </c>
      <c r="N52" s="34" t="s">
        <v>29</v>
      </c>
      <c r="O52" s="27">
        <f>SUM(L52:L63)</f>
        <v>45517222</v>
      </c>
      <c r="P52" s="113">
        <v>45898</v>
      </c>
      <c r="Q52" s="113">
        <v>45898</v>
      </c>
      <c r="R52" s="113">
        <v>45898</v>
      </c>
      <c r="S52" s="37">
        <f t="shared" si="6"/>
        <v>10113197</v>
      </c>
      <c r="T52" s="37">
        <f t="shared" si="7"/>
        <v>0</v>
      </c>
      <c r="U52" s="10"/>
      <c r="V52" s="10"/>
      <c r="W52" s="10"/>
      <c r="X52" s="10"/>
      <c r="Y52" s="10"/>
      <c r="Z52" s="12"/>
      <c r="AA52" s="12"/>
      <c r="AB52" s="10"/>
      <c r="AC52" s="10"/>
      <c r="AD52" s="10"/>
      <c r="AE52" s="10"/>
    </row>
    <row r="53" spans="1:31" hidden="1">
      <c r="A53" s="277" t="s">
        <v>4586</v>
      </c>
      <c r="B53" s="9" t="s">
        <v>21</v>
      </c>
      <c r="C53" s="9">
        <v>2025</v>
      </c>
      <c r="D53" s="9" t="s">
        <v>27</v>
      </c>
      <c r="E53" s="90" t="s">
        <v>23</v>
      </c>
      <c r="F53" s="9" t="s">
        <v>7</v>
      </c>
      <c r="G53" s="10"/>
      <c r="H53" s="96">
        <v>250580</v>
      </c>
      <c r="I53" s="109" t="s">
        <v>34</v>
      </c>
      <c r="J53" s="115">
        <v>45808</v>
      </c>
      <c r="K53" s="115">
        <v>45813</v>
      </c>
      <c r="L53" s="116">
        <v>471758</v>
      </c>
      <c r="M53" s="117" t="s">
        <v>60</v>
      </c>
      <c r="N53" s="34" t="s">
        <v>29</v>
      </c>
      <c r="O53" s="10"/>
      <c r="P53" s="113">
        <v>45898</v>
      </c>
      <c r="Q53" s="113">
        <v>45898</v>
      </c>
      <c r="R53" s="113">
        <v>45898</v>
      </c>
      <c r="S53" s="37">
        <f t="shared" ref="S53:S63" si="8">IF(R53="",0,L53)</f>
        <v>471758</v>
      </c>
      <c r="T53" s="37">
        <f t="shared" ref="T53:T63" si="9">L53-S53</f>
        <v>0</v>
      </c>
      <c r="U53" s="10"/>
      <c r="V53" s="10"/>
      <c r="W53" s="10"/>
      <c r="X53" s="10"/>
      <c r="Y53" s="10"/>
      <c r="Z53" s="12"/>
      <c r="AA53" s="12"/>
      <c r="AB53" s="10"/>
      <c r="AC53" s="10"/>
      <c r="AD53" s="10"/>
      <c r="AE53" s="10"/>
    </row>
    <row r="54" spans="1:31" hidden="1">
      <c r="A54" s="277" t="s">
        <v>4587</v>
      </c>
      <c r="B54" s="9" t="s">
        <v>21</v>
      </c>
      <c r="C54" s="9">
        <v>2025</v>
      </c>
      <c r="D54" s="9" t="s">
        <v>27</v>
      </c>
      <c r="E54" s="90" t="s">
        <v>23</v>
      </c>
      <c r="F54" s="9" t="s">
        <v>7</v>
      </c>
      <c r="G54" s="10"/>
      <c r="H54" s="96">
        <v>250579</v>
      </c>
      <c r="I54" s="109" t="s">
        <v>34</v>
      </c>
      <c r="J54" s="115">
        <v>45808</v>
      </c>
      <c r="K54" s="115">
        <v>45813</v>
      </c>
      <c r="L54" s="116">
        <v>1783215</v>
      </c>
      <c r="M54" s="117" t="s">
        <v>61</v>
      </c>
      <c r="N54" s="34" t="s">
        <v>29</v>
      </c>
      <c r="O54" s="10"/>
      <c r="P54" s="113">
        <v>45898</v>
      </c>
      <c r="Q54" s="113">
        <v>45898</v>
      </c>
      <c r="R54" s="113">
        <v>45898</v>
      </c>
      <c r="S54" s="37">
        <f t="shared" si="8"/>
        <v>1783215</v>
      </c>
      <c r="T54" s="37">
        <f t="shared" si="9"/>
        <v>0</v>
      </c>
      <c r="U54" s="10"/>
      <c r="V54" s="10"/>
      <c r="W54" s="10"/>
      <c r="X54" s="10"/>
      <c r="Y54" s="10"/>
      <c r="Z54" s="12"/>
      <c r="AA54" s="12"/>
      <c r="AB54" s="10"/>
      <c r="AC54" s="10"/>
      <c r="AD54" s="10"/>
      <c r="AE54" s="10"/>
    </row>
    <row r="55" spans="1:31" hidden="1">
      <c r="A55" s="277" t="s">
        <v>4588</v>
      </c>
      <c r="B55" s="9" t="s">
        <v>21</v>
      </c>
      <c r="C55" s="9">
        <v>2025</v>
      </c>
      <c r="D55" s="9" t="s">
        <v>27</v>
      </c>
      <c r="E55" s="90" t="s">
        <v>23</v>
      </c>
      <c r="F55" s="9" t="s">
        <v>7</v>
      </c>
      <c r="G55" s="10"/>
      <c r="H55" s="96">
        <v>250572</v>
      </c>
      <c r="I55" s="109" t="s">
        <v>34</v>
      </c>
      <c r="J55" s="115">
        <v>45808</v>
      </c>
      <c r="K55" s="115">
        <v>45813</v>
      </c>
      <c r="L55" s="116">
        <v>927072</v>
      </c>
      <c r="M55" s="117" t="s">
        <v>62</v>
      </c>
      <c r="N55" s="34" t="s">
        <v>29</v>
      </c>
      <c r="O55" s="10"/>
      <c r="P55" s="113">
        <v>45898</v>
      </c>
      <c r="Q55" s="113">
        <v>45898</v>
      </c>
      <c r="R55" s="113">
        <v>45898</v>
      </c>
      <c r="S55" s="37">
        <f t="shared" si="8"/>
        <v>927072</v>
      </c>
      <c r="T55" s="37">
        <f t="shared" si="9"/>
        <v>0</v>
      </c>
      <c r="U55" s="10"/>
      <c r="V55" s="10"/>
      <c r="W55" s="10"/>
      <c r="X55" s="10"/>
      <c r="Y55" s="10"/>
      <c r="Z55" s="12"/>
      <c r="AA55" s="12"/>
      <c r="AB55" s="10"/>
      <c r="AC55" s="10"/>
      <c r="AD55" s="10"/>
      <c r="AE55" s="10"/>
    </row>
    <row r="56" spans="1:31" hidden="1">
      <c r="A56" s="277" t="s">
        <v>4589</v>
      </c>
      <c r="B56" s="9" t="s">
        <v>21</v>
      </c>
      <c r="C56" s="9">
        <v>2025</v>
      </c>
      <c r="D56" s="9" t="s">
        <v>27</v>
      </c>
      <c r="E56" s="90" t="s">
        <v>23</v>
      </c>
      <c r="F56" s="9" t="s">
        <v>7</v>
      </c>
      <c r="G56" s="10"/>
      <c r="H56" s="96">
        <v>250571</v>
      </c>
      <c r="I56" s="109" t="s">
        <v>34</v>
      </c>
      <c r="J56" s="115">
        <v>45811</v>
      </c>
      <c r="K56" s="115">
        <v>45820</v>
      </c>
      <c r="L56" s="116">
        <v>9306748</v>
      </c>
      <c r="M56" s="117" t="s">
        <v>63</v>
      </c>
      <c r="N56" s="34" t="s">
        <v>29</v>
      </c>
      <c r="O56" s="10"/>
      <c r="P56" s="113">
        <v>45898</v>
      </c>
      <c r="Q56" s="113">
        <v>45898</v>
      </c>
      <c r="R56" s="113">
        <v>45898</v>
      </c>
      <c r="S56" s="37">
        <f t="shared" si="8"/>
        <v>9306748</v>
      </c>
      <c r="T56" s="37">
        <f t="shared" si="9"/>
        <v>0</v>
      </c>
      <c r="U56" s="10"/>
      <c r="V56" s="10"/>
      <c r="W56" s="10"/>
      <c r="X56" s="10"/>
      <c r="Y56" s="10"/>
      <c r="Z56" s="12"/>
      <c r="AA56" s="12"/>
      <c r="AB56" s="10"/>
      <c r="AC56" s="10"/>
      <c r="AD56" s="10"/>
      <c r="AE56" s="10"/>
    </row>
    <row r="57" spans="1:31" hidden="1">
      <c r="A57" s="277" t="s">
        <v>4590</v>
      </c>
      <c r="B57" s="9" t="s">
        <v>21</v>
      </c>
      <c r="C57" s="9">
        <v>2025</v>
      </c>
      <c r="D57" s="9" t="s">
        <v>27</v>
      </c>
      <c r="E57" s="90" t="s">
        <v>23</v>
      </c>
      <c r="F57" s="9" t="s">
        <v>7</v>
      </c>
      <c r="G57" s="10"/>
      <c r="H57" s="96">
        <v>250581</v>
      </c>
      <c r="I57" s="109" t="s">
        <v>34</v>
      </c>
      <c r="J57" s="115">
        <v>45813</v>
      </c>
      <c r="K57" s="115">
        <v>45825</v>
      </c>
      <c r="L57" s="116">
        <v>1048950</v>
      </c>
      <c r="M57" s="117" t="s">
        <v>64</v>
      </c>
      <c r="N57" s="34" t="s">
        <v>29</v>
      </c>
      <c r="O57" s="10"/>
      <c r="P57" s="113">
        <v>45898</v>
      </c>
      <c r="Q57" s="113">
        <v>45898</v>
      </c>
      <c r="R57" s="113">
        <v>45898</v>
      </c>
      <c r="S57" s="37">
        <f t="shared" si="8"/>
        <v>1048950</v>
      </c>
      <c r="T57" s="37">
        <f t="shared" si="9"/>
        <v>0</v>
      </c>
      <c r="U57" s="10"/>
      <c r="V57" s="10"/>
      <c r="W57" s="10"/>
      <c r="X57" s="10"/>
      <c r="Y57" s="10"/>
      <c r="Z57" s="12"/>
      <c r="AA57" s="12"/>
      <c r="AB57" s="10"/>
      <c r="AC57" s="10"/>
      <c r="AD57" s="10"/>
      <c r="AE57" s="10"/>
    </row>
    <row r="58" spans="1:31" hidden="1">
      <c r="A58" s="277" t="s">
        <v>4591</v>
      </c>
      <c r="B58" s="9" t="s">
        <v>21</v>
      </c>
      <c r="C58" s="9">
        <v>2025</v>
      </c>
      <c r="D58" s="9" t="s">
        <v>27</v>
      </c>
      <c r="E58" s="90" t="s">
        <v>23</v>
      </c>
      <c r="F58" s="9" t="s">
        <v>7</v>
      </c>
      <c r="G58" s="10"/>
      <c r="H58" s="96">
        <v>250589</v>
      </c>
      <c r="I58" s="109" t="s">
        <v>34</v>
      </c>
      <c r="J58" s="115">
        <v>45817</v>
      </c>
      <c r="K58" s="115">
        <v>45825</v>
      </c>
      <c r="L58" s="116">
        <v>495338</v>
      </c>
      <c r="M58" s="117" t="s">
        <v>65</v>
      </c>
      <c r="N58" s="34" t="s">
        <v>29</v>
      </c>
      <c r="O58" s="10"/>
      <c r="P58" s="113">
        <v>45898</v>
      </c>
      <c r="Q58" s="113">
        <v>45898</v>
      </c>
      <c r="R58" s="113">
        <v>45898</v>
      </c>
      <c r="S58" s="37">
        <f t="shared" si="8"/>
        <v>495338</v>
      </c>
      <c r="T58" s="37">
        <f t="shared" si="9"/>
        <v>0</v>
      </c>
      <c r="U58" s="10"/>
      <c r="V58" s="10"/>
      <c r="W58" s="10"/>
      <c r="X58" s="10"/>
      <c r="Y58" s="10"/>
      <c r="Z58" s="12"/>
      <c r="AA58" s="12"/>
      <c r="AB58" s="10"/>
      <c r="AC58" s="10"/>
      <c r="AD58" s="10"/>
      <c r="AE58" s="10"/>
    </row>
    <row r="59" spans="1:31" hidden="1">
      <c r="A59" s="277" t="s">
        <v>4592</v>
      </c>
      <c r="B59" s="9" t="s">
        <v>21</v>
      </c>
      <c r="C59" s="9">
        <v>2025</v>
      </c>
      <c r="D59" s="9" t="s">
        <v>27</v>
      </c>
      <c r="E59" s="90" t="s">
        <v>23</v>
      </c>
      <c r="F59" s="9" t="s">
        <v>7</v>
      </c>
      <c r="G59" s="10"/>
      <c r="H59" s="96">
        <v>250592</v>
      </c>
      <c r="I59" s="109" t="s">
        <v>34</v>
      </c>
      <c r="J59" s="115">
        <v>45817</v>
      </c>
      <c r="K59" s="115">
        <v>45825</v>
      </c>
      <c r="L59" s="116">
        <v>5543176</v>
      </c>
      <c r="M59" s="117" t="s">
        <v>66</v>
      </c>
      <c r="N59" s="34" t="s">
        <v>29</v>
      </c>
      <c r="O59" s="10"/>
      <c r="P59" s="113">
        <v>45898</v>
      </c>
      <c r="Q59" s="113">
        <v>45898</v>
      </c>
      <c r="R59" s="113">
        <v>45898</v>
      </c>
      <c r="S59" s="37">
        <f t="shared" si="8"/>
        <v>5543176</v>
      </c>
      <c r="T59" s="37">
        <f t="shared" si="9"/>
        <v>0</v>
      </c>
      <c r="U59" s="10"/>
      <c r="V59" s="10"/>
      <c r="W59" s="10"/>
      <c r="X59" s="10"/>
      <c r="Y59" s="10"/>
      <c r="Z59" s="12"/>
      <c r="AA59" s="12"/>
      <c r="AB59" s="10"/>
      <c r="AC59" s="10"/>
      <c r="AD59" s="10"/>
      <c r="AE59" s="10"/>
    </row>
    <row r="60" spans="1:31" hidden="1">
      <c r="A60" s="277" t="s">
        <v>4593</v>
      </c>
      <c r="B60" s="9" t="s">
        <v>21</v>
      </c>
      <c r="C60" s="9">
        <v>2025</v>
      </c>
      <c r="D60" s="9" t="s">
        <v>27</v>
      </c>
      <c r="E60" s="90" t="s">
        <v>23</v>
      </c>
      <c r="F60" s="9" t="s">
        <v>7</v>
      </c>
      <c r="G60" s="10"/>
      <c r="H60" s="96">
        <v>250591</v>
      </c>
      <c r="I60" s="109" t="s">
        <v>34</v>
      </c>
      <c r="J60" s="115">
        <v>45817</v>
      </c>
      <c r="K60" s="115">
        <v>45825</v>
      </c>
      <c r="L60" s="116">
        <v>446775</v>
      </c>
      <c r="M60" s="117" t="s">
        <v>67</v>
      </c>
      <c r="N60" s="34" t="s">
        <v>29</v>
      </c>
      <c r="O60" s="10"/>
      <c r="P60" s="113">
        <v>45898</v>
      </c>
      <c r="Q60" s="113">
        <v>45898</v>
      </c>
      <c r="R60" s="113">
        <v>45898</v>
      </c>
      <c r="S60" s="37">
        <f t="shared" si="8"/>
        <v>446775</v>
      </c>
      <c r="T60" s="37">
        <f t="shared" si="9"/>
        <v>0</v>
      </c>
      <c r="U60" s="10"/>
      <c r="V60" s="10"/>
      <c r="W60" s="10"/>
      <c r="X60" s="10"/>
      <c r="Y60" s="10"/>
      <c r="Z60" s="12"/>
      <c r="AA60" s="12"/>
      <c r="AB60" s="10"/>
      <c r="AC60" s="10"/>
      <c r="AD60" s="10"/>
      <c r="AE60" s="10"/>
    </row>
    <row r="61" spans="1:31" hidden="1">
      <c r="A61" s="277" t="s">
        <v>4594</v>
      </c>
      <c r="B61" s="9" t="s">
        <v>21</v>
      </c>
      <c r="C61" s="9">
        <v>2025</v>
      </c>
      <c r="D61" s="9" t="s">
        <v>27</v>
      </c>
      <c r="E61" s="90" t="s">
        <v>23</v>
      </c>
      <c r="F61" s="9" t="s">
        <v>7</v>
      </c>
      <c r="G61" s="10"/>
      <c r="H61" s="96">
        <v>250600</v>
      </c>
      <c r="I61" s="109" t="s">
        <v>34</v>
      </c>
      <c r="J61" s="115">
        <v>45820</v>
      </c>
      <c r="K61" s="115">
        <v>45832</v>
      </c>
      <c r="L61" s="116">
        <v>7500825</v>
      </c>
      <c r="M61" s="117" t="s">
        <v>68</v>
      </c>
      <c r="N61" s="34" t="s">
        <v>29</v>
      </c>
      <c r="O61" s="10"/>
      <c r="P61" s="113">
        <v>45898</v>
      </c>
      <c r="Q61" s="113">
        <v>45898</v>
      </c>
      <c r="R61" s="113">
        <v>45898</v>
      </c>
      <c r="S61" s="37">
        <f t="shared" si="8"/>
        <v>7500825</v>
      </c>
      <c r="T61" s="37">
        <f t="shared" si="9"/>
        <v>0</v>
      </c>
      <c r="U61" s="10"/>
      <c r="V61" s="10"/>
      <c r="W61" s="10"/>
      <c r="X61" s="10"/>
      <c r="Y61" s="10"/>
      <c r="Z61" s="12"/>
      <c r="AA61" s="12"/>
      <c r="AB61" s="10"/>
      <c r="AC61" s="10"/>
      <c r="AD61" s="10"/>
      <c r="AE61" s="10"/>
    </row>
    <row r="62" spans="1:31" hidden="1">
      <c r="A62" s="277" t="s">
        <v>4595</v>
      </c>
      <c r="B62" s="9" t="s">
        <v>21</v>
      </c>
      <c r="C62" s="9">
        <v>2025</v>
      </c>
      <c r="D62" s="9" t="s">
        <v>27</v>
      </c>
      <c r="E62" s="90" t="s">
        <v>23</v>
      </c>
      <c r="F62" s="9" t="s">
        <v>7</v>
      </c>
      <c r="G62" s="10"/>
      <c r="H62" s="96">
        <v>250606</v>
      </c>
      <c r="I62" s="109" t="s">
        <v>34</v>
      </c>
      <c r="J62" s="115">
        <v>45825</v>
      </c>
      <c r="K62" s="115">
        <v>45839</v>
      </c>
      <c r="L62" s="116">
        <v>186480</v>
      </c>
      <c r="M62" s="117" t="s">
        <v>69</v>
      </c>
      <c r="N62" s="34" t="s">
        <v>29</v>
      </c>
      <c r="O62" s="10"/>
      <c r="P62" s="113">
        <v>45898</v>
      </c>
      <c r="Q62" s="113">
        <v>45898</v>
      </c>
      <c r="R62" s="113">
        <v>45898</v>
      </c>
      <c r="S62" s="37">
        <f t="shared" si="8"/>
        <v>186480</v>
      </c>
      <c r="T62" s="37">
        <f t="shared" si="9"/>
        <v>0</v>
      </c>
      <c r="U62" s="10"/>
      <c r="V62" s="10"/>
      <c r="W62" s="10"/>
      <c r="X62" s="10"/>
      <c r="Y62" s="10"/>
      <c r="Z62" s="12"/>
      <c r="AA62" s="12"/>
      <c r="AB62" s="10"/>
      <c r="AC62" s="10"/>
      <c r="AD62" s="10"/>
      <c r="AE62" s="10"/>
    </row>
    <row r="63" spans="1:31" hidden="1">
      <c r="A63" s="277" t="s">
        <v>4596</v>
      </c>
      <c r="B63" s="9" t="s">
        <v>21</v>
      </c>
      <c r="C63" s="9">
        <v>2025</v>
      </c>
      <c r="D63" s="9" t="s">
        <v>27</v>
      </c>
      <c r="E63" s="90" t="s">
        <v>23</v>
      </c>
      <c r="F63" s="9" t="s">
        <v>7</v>
      </c>
      <c r="G63" s="10"/>
      <c r="H63" s="96">
        <v>250620</v>
      </c>
      <c r="I63" s="109" t="s">
        <v>34</v>
      </c>
      <c r="J63" s="115">
        <v>45831</v>
      </c>
      <c r="K63" s="115">
        <v>45839</v>
      </c>
      <c r="L63" s="116">
        <v>7693688</v>
      </c>
      <c r="M63" s="117" t="s">
        <v>70</v>
      </c>
      <c r="N63" s="34" t="s">
        <v>29</v>
      </c>
      <c r="O63" s="10"/>
      <c r="P63" s="113">
        <v>45898</v>
      </c>
      <c r="Q63" s="113">
        <v>45898</v>
      </c>
      <c r="R63" s="113">
        <v>45898</v>
      </c>
      <c r="S63" s="37">
        <f t="shared" si="8"/>
        <v>7693688</v>
      </c>
      <c r="T63" s="37">
        <f t="shared" si="9"/>
        <v>0</v>
      </c>
      <c r="U63" s="10"/>
      <c r="V63" s="10"/>
      <c r="W63" s="10"/>
      <c r="X63" s="10"/>
      <c r="Y63" s="10"/>
      <c r="Z63" s="12"/>
      <c r="AA63" s="12"/>
      <c r="AB63" s="10"/>
      <c r="AC63" s="10"/>
      <c r="AD63" s="10"/>
      <c r="AE63" s="10"/>
    </row>
    <row r="64" spans="1:31" hidden="1">
      <c r="A64" s="277" t="s">
        <v>4597</v>
      </c>
      <c r="B64" s="9" t="s">
        <v>21</v>
      </c>
      <c r="C64" s="9">
        <v>2025</v>
      </c>
      <c r="D64" s="9" t="s">
        <v>27</v>
      </c>
      <c r="E64" s="90" t="s">
        <v>23</v>
      </c>
      <c r="F64" s="9" t="s">
        <v>7</v>
      </c>
      <c r="G64" s="10"/>
      <c r="H64" s="96">
        <v>250644</v>
      </c>
      <c r="I64" s="109" t="s">
        <v>34</v>
      </c>
      <c r="J64" s="115">
        <v>45838</v>
      </c>
      <c r="K64" s="115">
        <v>45846</v>
      </c>
      <c r="L64" s="116">
        <v>14926536</v>
      </c>
      <c r="M64" s="117" t="s">
        <v>71</v>
      </c>
      <c r="N64" s="34" t="s">
        <v>29</v>
      </c>
      <c r="O64" s="27">
        <f>SUM(L64:L67)</f>
        <v>22097136</v>
      </c>
      <c r="P64" s="113">
        <v>45910</v>
      </c>
      <c r="Q64" s="113">
        <v>45910</v>
      </c>
      <c r="R64" s="113">
        <v>45910</v>
      </c>
      <c r="S64" s="37">
        <f t="shared" ref="S64:S69" si="10">IF(R64="",0,L64)</f>
        <v>14926536</v>
      </c>
      <c r="T64" s="37">
        <f t="shared" ref="T64:T69" si="11">L64-S64</f>
        <v>0</v>
      </c>
      <c r="U64" s="10"/>
      <c r="V64" s="10"/>
      <c r="W64" s="10"/>
      <c r="X64" s="10"/>
      <c r="Y64" s="10"/>
      <c r="Z64" s="12"/>
      <c r="AA64" s="12"/>
      <c r="AB64" s="10"/>
      <c r="AC64" s="10"/>
      <c r="AD64" s="10"/>
      <c r="AE64" s="10"/>
    </row>
    <row r="65" spans="1:31" hidden="1">
      <c r="A65" s="277" t="s">
        <v>4598</v>
      </c>
      <c r="B65" s="9" t="s">
        <v>21</v>
      </c>
      <c r="C65" s="9">
        <v>2025</v>
      </c>
      <c r="D65" s="9" t="s">
        <v>27</v>
      </c>
      <c r="E65" s="90" t="s">
        <v>23</v>
      </c>
      <c r="F65" s="9" t="s">
        <v>7</v>
      </c>
      <c r="G65" s="10"/>
      <c r="H65" s="96">
        <v>250654</v>
      </c>
      <c r="I65" s="109" t="s">
        <v>34</v>
      </c>
      <c r="J65" s="115">
        <v>45838</v>
      </c>
      <c r="K65" s="115">
        <v>45846</v>
      </c>
      <c r="L65" s="116">
        <v>893550</v>
      </c>
      <c r="M65" s="117" t="s">
        <v>72</v>
      </c>
      <c r="N65" s="34" t="s">
        <v>29</v>
      </c>
      <c r="O65" s="10"/>
      <c r="P65" s="113">
        <v>45910</v>
      </c>
      <c r="Q65" s="113">
        <v>45910</v>
      </c>
      <c r="R65" s="113">
        <v>45910</v>
      </c>
      <c r="S65" s="37">
        <f t="shared" si="10"/>
        <v>893550</v>
      </c>
      <c r="T65" s="37">
        <f t="shared" si="11"/>
        <v>0</v>
      </c>
      <c r="U65" s="10"/>
      <c r="V65" s="10"/>
      <c r="W65" s="10"/>
      <c r="X65" s="10"/>
      <c r="Y65" s="10"/>
      <c r="Z65" s="12"/>
      <c r="AA65" s="12"/>
      <c r="AB65" s="10"/>
      <c r="AC65" s="10"/>
      <c r="AD65" s="10"/>
      <c r="AE65" s="10"/>
    </row>
    <row r="66" spans="1:31" hidden="1">
      <c r="A66" s="277" t="s">
        <v>4599</v>
      </c>
      <c r="B66" s="9" t="s">
        <v>21</v>
      </c>
      <c r="C66" s="9">
        <v>2025</v>
      </c>
      <c r="D66" s="9" t="s">
        <v>27</v>
      </c>
      <c r="E66" s="90" t="s">
        <v>23</v>
      </c>
      <c r="F66" s="9" t="s">
        <v>7</v>
      </c>
      <c r="G66" s="10"/>
      <c r="H66" s="96">
        <v>250652</v>
      </c>
      <c r="I66" s="109" t="s">
        <v>34</v>
      </c>
      <c r="J66" s="115">
        <v>45838</v>
      </c>
      <c r="K66" s="115">
        <v>45846</v>
      </c>
      <c r="L66" s="116">
        <v>6202125</v>
      </c>
      <c r="M66" s="117" t="s">
        <v>73</v>
      </c>
      <c r="N66" s="34" t="s">
        <v>29</v>
      </c>
      <c r="O66" s="10"/>
      <c r="P66" s="113">
        <v>45910</v>
      </c>
      <c r="Q66" s="113">
        <v>45910</v>
      </c>
      <c r="R66" s="113">
        <v>45910</v>
      </c>
      <c r="S66" s="37">
        <f t="shared" si="10"/>
        <v>6202125</v>
      </c>
      <c r="T66" s="37">
        <f t="shared" si="11"/>
        <v>0</v>
      </c>
      <c r="U66" s="10"/>
      <c r="V66" s="10"/>
      <c r="W66" s="10"/>
      <c r="X66" s="10"/>
      <c r="Y66" s="10"/>
      <c r="Z66" s="12"/>
      <c r="AA66" s="12"/>
      <c r="AB66" s="10"/>
      <c r="AC66" s="10"/>
      <c r="AD66" s="10"/>
      <c r="AE66" s="10"/>
    </row>
    <row r="67" spans="1:31" hidden="1">
      <c r="A67" s="277" t="s">
        <v>4600</v>
      </c>
      <c r="B67" s="9" t="s">
        <v>21</v>
      </c>
      <c r="C67" s="9">
        <v>2025</v>
      </c>
      <c r="D67" s="9" t="s">
        <v>27</v>
      </c>
      <c r="E67" s="90" t="s">
        <v>23</v>
      </c>
      <c r="F67" s="9" t="s">
        <v>7</v>
      </c>
      <c r="G67" s="10"/>
      <c r="H67" s="96">
        <v>250653</v>
      </c>
      <c r="I67" s="109" t="s">
        <v>34</v>
      </c>
      <c r="J67" s="115">
        <v>45838</v>
      </c>
      <c r="K67" s="115">
        <v>45846</v>
      </c>
      <c r="L67" s="116">
        <v>74925</v>
      </c>
      <c r="M67" s="117" t="s">
        <v>74</v>
      </c>
      <c r="N67" s="34" t="s">
        <v>29</v>
      </c>
      <c r="O67" s="10"/>
      <c r="P67" s="113">
        <v>45910</v>
      </c>
      <c r="Q67" s="113">
        <v>45910</v>
      </c>
      <c r="R67" s="113">
        <v>45910</v>
      </c>
      <c r="S67" s="37">
        <f t="shared" si="10"/>
        <v>74925</v>
      </c>
      <c r="T67" s="37">
        <f t="shared" si="11"/>
        <v>0</v>
      </c>
      <c r="U67" s="10"/>
      <c r="V67" s="10"/>
      <c r="W67" s="10"/>
      <c r="X67" s="10"/>
      <c r="Y67" s="10"/>
      <c r="Z67" s="12"/>
      <c r="AA67" s="12"/>
      <c r="AB67" s="10"/>
      <c r="AC67" s="10"/>
      <c r="AD67" s="10"/>
      <c r="AE67" s="10"/>
    </row>
    <row r="68" spans="1:31" hidden="1">
      <c r="A68" s="277" t="s">
        <v>4601</v>
      </c>
      <c r="B68" s="9" t="s">
        <v>21</v>
      </c>
      <c r="C68" s="9">
        <v>2025</v>
      </c>
      <c r="D68" s="9" t="s">
        <v>27</v>
      </c>
      <c r="E68" s="90" t="s">
        <v>23</v>
      </c>
      <c r="F68" s="9" t="s">
        <v>7</v>
      </c>
      <c r="G68" s="10"/>
      <c r="H68" s="96">
        <v>250754</v>
      </c>
      <c r="I68" s="109" t="s">
        <v>34</v>
      </c>
      <c r="J68" s="115">
        <v>45863</v>
      </c>
      <c r="K68" s="115">
        <v>45874</v>
      </c>
      <c r="L68" s="116">
        <v>2247750</v>
      </c>
      <c r="M68" s="117" t="s">
        <v>75</v>
      </c>
      <c r="N68" s="34" t="s">
        <v>29</v>
      </c>
      <c r="O68" s="27">
        <f>SUM(L68:L69)</f>
        <v>12644037</v>
      </c>
      <c r="P68" s="113">
        <v>45920</v>
      </c>
      <c r="Q68" s="113">
        <v>45920</v>
      </c>
      <c r="R68" s="113">
        <v>45920</v>
      </c>
      <c r="S68" s="37">
        <f t="shared" si="10"/>
        <v>2247750</v>
      </c>
      <c r="T68" s="37">
        <f t="shared" si="11"/>
        <v>0</v>
      </c>
      <c r="U68" s="10"/>
      <c r="V68" s="10"/>
      <c r="W68" s="10"/>
      <c r="X68" s="10"/>
      <c r="Y68" s="10"/>
      <c r="Z68" s="12"/>
      <c r="AA68" s="12"/>
      <c r="AB68" s="10"/>
      <c r="AC68" s="10"/>
      <c r="AD68" s="10"/>
      <c r="AE68" s="10"/>
    </row>
    <row r="69" spans="1:31" hidden="1">
      <c r="A69" s="277" t="s">
        <v>4602</v>
      </c>
      <c r="B69" s="9" t="s">
        <v>21</v>
      </c>
      <c r="C69" s="9">
        <v>2025</v>
      </c>
      <c r="D69" s="9" t="s">
        <v>27</v>
      </c>
      <c r="E69" s="90" t="s">
        <v>23</v>
      </c>
      <c r="F69" s="9" t="s">
        <v>7</v>
      </c>
      <c r="G69" s="10"/>
      <c r="H69" s="96">
        <v>250753</v>
      </c>
      <c r="I69" s="109" t="s">
        <v>34</v>
      </c>
      <c r="J69" s="115">
        <v>45863</v>
      </c>
      <c r="K69" s="115">
        <v>45874</v>
      </c>
      <c r="L69" s="116">
        <v>10396287</v>
      </c>
      <c r="M69" s="117" t="s">
        <v>76</v>
      </c>
      <c r="N69" s="34" t="s">
        <v>29</v>
      </c>
      <c r="O69" s="10"/>
      <c r="P69" s="113">
        <v>45920</v>
      </c>
      <c r="Q69" s="113">
        <v>45920</v>
      </c>
      <c r="R69" s="113">
        <v>45920</v>
      </c>
      <c r="S69" s="37">
        <f t="shared" si="10"/>
        <v>10396287</v>
      </c>
      <c r="T69" s="37">
        <f t="shared" si="11"/>
        <v>0</v>
      </c>
      <c r="U69" s="10"/>
      <c r="V69" s="10"/>
      <c r="W69" s="10"/>
      <c r="X69" s="10"/>
      <c r="Y69" s="10"/>
      <c r="Z69" s="12"/>
      <c r="AA69" s="12"/>
      <c r="AB69" s="10"/>
      <c r="AC69" s="10"/>
      <c r="AD69" s="10"/>
      <c r="AE69" s="10"/>
    </row>
    <row r="70" spans="1:31" hidden="1">
      <c r="A70" s="277" t="s">
        <v>4603</v>
      </c>
      <c r="B70" s="9" t="s">
        <v>21</v>
      </c>
      <c r="C70" s="9">
        <v>2025</v>
      </c>
      <c r="D70" s="9" t="s">
        <v>27</v>
      </c>
      <c r="E70" s="90" t="s">
        <v>23</v>
      </c>
      <c r="F70" s="9" t="s">
        <v>7</v>
      </c>
      <c r="G70" s="10"/>
      <c r="H70" s="96">
        <v>250879</v>
      </c>
      <c r="I70" s="109" t="s">
        <v>34</v>
      </c>
      <c r="J70" s="115">
        <v>45899</v>
      </c>
      <c r="K70" s="115">
        <v>45904</v>
      </c>
      <c r="L70" s="116">
        <v>208125</v>
      </c>
      <c r="M70" s="117" t="s">
        <v>78</v>
      </c>
      <c r="N70" s="34" t="s">
        <v>29</v>
      </c>
      <c r="O70" s="27">
        <f>SUM(L70:L85)</f>
        <v>42914636</v>
      </c>
      <c r="P70" s="113">
        <v>45982</v>
      </c>
      <c r="Q70" s="113">
        <v>45982</v>
      </c>
      <c r="R70" s="113">
        <v>45982</v>
      </c>
      <c r="S70" s="37">
        <f t="shared" ref="S70:S76" si="12">IF(R70="",0,L70)</f>
        <v>208125</v>
      </c>
      <c r="T70" s="37">
        <f t="shared" ref="T70:T76" si="13">L70-S70</f>
        <v>0</v>
      </c>
      <c r="U70" s="10"/>
      <c r="V70" s="10"/>
      <c r="W70" s="10"/>
      <c r="X70" s="10"/>
      <c r="Y70" s="10"/>
      <c r="Z70" s="12"/>
      <c r="AA70" s="12"/>
      <c r="AB70" s="10"/>
      <c r="AC70" s="10"/>
      <c r="AD70" s="10"/>
      <c r="AE70" s="10"/>
    </row>
    <row r="71" spans="1:31" hidden="1">
      <c r="A71" s="277" t="s">
        <v>4604</v>
      </c>
      <c r="B71" s="9" t="s">
        <v>21</v>
      </c>
      <c r="C71" s="9">
        <v>2025</v>
      </c>
      <c r="D71" s="9" t="s">
        <v>27</v>
      </c>
      <c r="E71" s="90" t="s">
        <v>23</v>
      </c>
      <c r="F71" s="9" t="s">
        <v>7</v>
      </c>
      <c r="G71" s="10"/>
      <c r="H71" s="96">
        <v>250880</v>
      </c>
      <c r="I71" s="109" t="s">
        <v>34</v>
      </c>
      <c r="J71" s="115">
        <v>45899</v>
      </c>
      <c r="K71" s="115">
        <v>45904</v>
      </c>
      <c r="L71" s="116">
        <v>446775</v>
      </c>
      <c r="M71" s="117" t="s">
        <v>79</v>
      </c>
      <c r="N71" s="34" t="s">
        <v>29</v>
      </c>
      <c r="O71" s="10"/>
      <c r="P71" s="113">
        <v>45982</v>
      </c>
      <c r="Q71" s="113">
        <v>45982</v>
      </c>
      <c r="R71" s="113">
        <v>45982</v>
      </c>
      <c r="S71" s="37">
        <f t="shared" si="12"/>
        <v>446775</v>
      </c>
      <c r="T71" s="37">
        <f t="shared" si="13"/>
        <v>0</v>
      </c>
      <c r="U71" s="10"/>
      <c r="V71" s="10"/>
      <c r="W71" s="10"/>
      <c r="X71" s="10"/>
      <c r="Y71" s="10"/>
      <c r="Z71" s="12"/>
      <c r="AA71" s="12"/>
      <c r="AB71" s="10"/>
      <c r="AC71" s="10"/>
      <c r="AD71" s="10"/>
      <c r="AE71" s="10"/>
    </row>
    <row r="72" spans="1:31" hidden="1">
      <c r="A72" s="277" t="s">
        <v>4605</v>
      </c>
      <c r="B72" s="9" t="s">
        <v>21</v>
      </c>
      <c r="C72" s="9">
        <v>2025</v>
      </c>
      <c r="D72" s="9" t="s">
        <v>27</v>
      </c>
      <c r="E72" s="90" t="s">
        <v>23</v>
      </c>
      <c r="F72" s="9" t="s">
        <v>7</v>
      </c>
      <c r="G72" s="10"/>
      <c r="H72" s="96">
        <v>250883</v>
      </c>
      <c r="I72" s="109" t="s">
        <v>34</v>
      </c>
      <c r="J72" s="115">
        <v>45899</v>
      </c>
      <c r="K72" s="115">
        <v>45904</v>
      </c>
      <c r="L72" s="116">
        <v>22736350</v>
      </c>
      <c r="M72" s="117" t="s">
        <v>80</v>
      </c>
      <c r="N72" s="34" t="s">
        <v>29</v>
      </c>
      <c r="O72" s="10"/>
      <c r="P72" s="113">
        <v>45982</v>
      </c>
      <c r="Q72" s="113">
        <v>45982</v>
      </c>
      <c r="R72" s="113">
        <v>45982</v>
      </c>
      <c r="S72" s="37">
        <f t="shared" si="12"/>
        <v>22736350</v>
      </c>
      <c r="T72" s="37">
        <f t="shared" si="13"/>
        <v>0</v>
      </c>
      <c r="U72" s="10"/>
      <c r="V72" s="10"/>
      <c r="W72" s="10"/>
      <c r="X72" s="10"/>
      <c r="Y72" s="10"/>
      <c r="Z72" s="12"/>
      <c r="AA72" s="12"/>
      <c r="AB72" s="10"/>
      <c r="AC72" s="10"/>
      <c r="AD72" s="10"/>
      <c r="AE72" s="10"/>
    </row>
    <row r="73" spans="1:31" hidden="1">
      <c r="A73" s="277" t="s">
        <v>4606</v>
      </c>
      <c r="B73" s="9" t="s">
        <v>21</v>
      </c>
      <c r="C73" s="9">
        <v>2025</v>
      </c>
      <c r="D73" s="9" t="s">
        <v>27</v>
      </c>
      <c r="E73" s="90" t="s">
        <v>23</v>
      </c>
      <c r="F73" s="9" t="s">
        <v>7</v>
      </c>
      <c r="G73" s="10"/>
      <c r="H73" s="96">
        <v>250881</v>
      </c>
      <c r="I73" s="109" t="s">
        <v>34</v>
      </c>
      <c r="J73" s="115">
        <v>45899</v>
      </c>
      <c r="K73" s="115">
        <v>45904</v>
      </c>
      <c r="L73" s="116">
        <v>6060600</v>
      </c>
      <c r="M73" s="117" t="s">
        <v>81</v>
      </c>
      <c r="N73" s="34" t="s">
        <v>29</v>
      </c>
      <c r="O73" s="10"/>
      <c r="P73" s="113">
        <v>45982</v>
      </c>
      <c r="Q73" s="113">
        <v>45982</v>
      </c>
      <c r="R73" s="113">
        <v>45982</v>
      </c>
      <c r="S73" s="37">
        <f t="shared" si="12"/>
        <v>6060600</v>
      </c>
      <c r="T73" s="37">
        <f t="shared" si="13"/>
        <v>0</v>
      </c>
      <c r="U73" s="10"/>
      <c r="V73" s="10"/>
      <c r="W73" s="10"/>
      <c r="X73" s="10"/>
      <c r="Y73" s="10"/>
      <c r="Z73" s="12"/>
      <c r="AA73" s="12"/>
      <c r="AB73" s="10"/>
      <c r="AC73" s="10"/>
      <c r="AD73" s="10"/>
      <c r="AE73" s="10"/>
    </row>
    <row r="74" spans="1:31" hidden="1">
      <c r="A74" s="277" t="s">
        <v>4607</v>
      </c>
      <c r="B74" s="9" t="s">
        <v>21</v>
      </c>
      <c r="C74" s="9">
        <v>2025</v>
      </c>
      <c r="D74" s="9" t="s">
        <v>27</v>
      </c>
      <c r="E74" s="90" t="s">
        <v>23</v>
      </c>
      <c r="F74" s="9" t="s">
        <v>7</v>
      </c>
      <c r="G74" s="10"/>
      <c r="H74" s="96">
        <v>250882</v>
      </c>
      <c r="I74" s="109" t="s">
        <v>34</v>
      </c>
      <c r="J74" s="115">
        <v>45901</v>
      </c>
      <c r="K74" s="115">
        <v>45911</v>
      </c>
      <c r="L74" s="116">
        <v>5450655</v>
      </c>
      <c r="M74" s="117" t="s">
        <v>82</v>
      </c>
      <c r="N74" s="34" t="s">
        <v>29</v>
      </c>
      <c r="O74" s="10"/>
      <c r="P74" s="113">
        <v>45982</v>
      </c>
      <c r="Q74" s="113">
        <v>45982</v>
      </c>
      <c r="R74" s="113">
        <v>45982</v>
      </c>
      <c r="S74" s="37">
        <f t="shared" si="12"/>
        <v>5450655</v>
      </c>
      <c r="T74" s="37">
        <f t="shared" si="13"/>
        <v>0</v>
      </c>
      <c r="U74" s="10"/>
      <c r="V74" s="10"/>
      <c r="W74" s="10"/>
      <c r="X74" s="10"/>
      <c r="Y74" s="10"/>
      <c r="Z74" s="12"/>
      <c r="AA74" s="12"/>
      <c r="AB74" s="10"/>
      <c r="AC74" s="10"/>
      <c r="AD74" s="10"/>
      <c r="AE74" s="10"/>
    </row>
    <row r="75" spans="1:31" hidden="1">
      <c r="A75" s="277" t="s">
        <v>4608</v>
      </c>
      <c r="B75" s="9" t="s">
        <v>21</v>
      </c>
      <c r="C75" s="9">
        <v>2025</v>
      </c>
      <c r="D75" s="9" t="s">
        <v>27</v>
      </c>
      <c r="E75" s="90" t="s">
        <v>23</v>
      </c>
      <c r="F75" s="9" t="s">
        <v>7</v>
      </c>
      <c r="G75" s="10"/>
      <c r="H75" s="96">
        <v>250904</v>
      </c>
      <c r="I75" s="109" t="s">
        <v>34</v>
      </c>
      <c r="J75" s="115">
        <v>45904</v>
      </c>
      <c r="K75" s="115">
        <v>45911</v>
      </c>
      <c r="L75" s="116">
        <v>381143</v>
      </c>
      <c r="M75" s="117" t="s">
        <v>83</v>
      </c>
      <c r="N75" s="34" t="s">
        <v>29</v>
      </c>
      <c r="O75" s="10"/>
      <c r="P75" s="113">
        <v>45982</v>
      </c>
      <c r="Q75" s="113">
        <v>45982</v>
      </c>
      <c r="R75" s="113">
        <v>45982</v>
      </c>
      <c r="S75" s="37">
        <f t="shared" si="12"/>
        <v>381143</v>
      </c>
      <c r="T75" s="37">
        <f t="shared" si="13"/>
        <v>0</v>
      </c>
      <c r="U75" s="10"/>
      <c r="V75" s="10"/>
      <c r="W75" s="10"/>
      <c r="X75" s="10"/>
      <c r="Y75" s="10"/>
      <c r="Z75" s="12"/>
      <c r="AA75" s="12"/>
      <c r="AB75" s="10"/>
      <c r="AC75" s="10"/>
      <c r="AD75" s="10"/>
      <c r="AE75" s="10"/>
    </row>
    <row r="76" spans="1:31" hidden="1">
      <c r="A76" s="277" t="s">
        <v>4609</v>
      </c>
      <c r="B76" s="9" t="s">
        <v>21</v>
      </c>
      <c r="C76" s="9">
        <v>2025</v>
      </c>
      <c r="D76" s="9" t="s">
        <v>27</v>
      </c>
      <c r="E76" s="90" t="s">
        <v>23</v>
      </c>
      <c r="F76" s="9" t="s">
        <v>7</v>
      </c>
      <c r="G76" s="10"/>
      <c r="H76" s="96">
        <v>250893</v>
      </c>
      <c r="I76" s="109" t="s">
        <v>34</v>
      </c>
      <c r="J76" s="115">
        <v>45904</v>
      </c>
      <c r="K76" s="115">
        <v>45911</v>
      </c>
      <c r="L76" s="116">
        <f>1418087-26793-187548-51940-1048950</f>
        <v>102856</v>
      </c>
      <c r="M76" s="117" t="s">
        <v>84</v>
      </c>
      <c r="N76" s="34" t="s">
        <v>29</v>
      </c>
      <c r="O76" s="10"/>
      <c r="P76" s="113">
        <v>45982</v>
      </c>
      <c r="Q76" s="113">
        <v>45982</v>
      </c>
      <c r="R76" s="113">
        <v>45982</v>
      </c>
      <c r="S76" s="37">
        <f t="shared" si="12"/>
        <v>102856</v>
      </c>
      <c r="T76" s="37">
        <f t="shared" si="13"/>
        <v>0</v>
      </c>
      <c r="U76" s="10"/>
      <c r="V76" s="10"/>
      <c r="W76" s="10"/>
      <c r="X76" s="10"/>
      <c r="Y76" s="10"/>
      <c r="Z76" s="12"/>
      <c r="AA76" s="12"/>
      <c r="AB76" s="10"/>
      <c r="AC76" s="10"/>
      <c r="AD76" s="10"/>
      <c r="AE76" s="10"/>
    </row>
    <row r="77" spans="1:31" hidden="1">
      <c r="A77" s="277" t="s">
        <v>4610</v>
      </c>
      <c r="B77" s="9" t="s">
        <v>21</v>
      </c>
      <c r="C77" s="9">
        <v>2025</v>
      </c>
      <c r="D77" s="9" t="s">
        <v>27</v>
      </c>
      <c r="E77" s="90" t="s">
        <v>23</v>
      </c>
      <c r="F77" s="9" t="s">
        <v>7</v>
      </c>
      <c r="G77" s="10"/>
      <c r="H77" s="96">
        <v>250919</v>
      </c>
      <c r="I77" s="109" t="s">
        <v>34</v>
      </c>
      <c r="J77" s="115">
        <v>45910</v>
      </c>
      <c r="K77" s="115">
        <v>45925</v>
      </c>
      <c r="L77" s="116">
        <v>479520</v>
      </c>
      <c r="M77" s="117" t="s">
        <v>3703</v>
      </c>
      <c r="N77" s="34" t="s">
        <v>29</v>
      </c>
      <c r="O77" s="10"/>
      <c r="P77" s="113">
        <v>45982</v>
      </c>
      <c r="Q77" s="113">
        <v>45982</v>
      </c>
      <c r="R77" s="113">
        <v>45982</v>
      </c>
      <c r="S77" s="37">
        <f t="shared" ref="S77:S83" si="14">IF(R77="",0,L77)</f>
        <v>479520</v>
      </c>
      <c r="T77" s="37">
        <f t="shared" ref="T77:T83" si="15">L77-S77</f>
        <v>0</v>
      </c>
      <c r="U77" s="10"/>
      <c r="V77" s="10"/>
      <c r="W77" s="10"/>
      <c r="X77" s="10"/>
      <c r="Y77" s="10"/>
      <c r="Z77" s="12"/>
      <c r="AA77" s="12"/>
      <c r="AB77" s="10"/>
      <c r="AC77" s="10"/>
      <c r="AD77" s="10"/>
      <c r="AE77" s="10"/>
    </row>
    <row r="78" spans="1:31" hidden="1">
      <c r="A78" s="277" t="s">
        <v>4611</v>
      </c>
      <c r="B78" s="9" t="s">
        <v>21</v>
      </c>
      <c r="C78" s="9">
        <v>2025</v>
      </c>
      <c r="D78" s="9" t="s">
        <v>27</v>
      </c>
      <c r="E78" s="90" t="s">
        <v>23</v>
      </c>
      <c r="F78" s="9" t="s">
        <v>7</v>
      </c>
      <c r="G78" s="10"/>
      <c r="H78" s="96">
        <v>250917</v>
      </c>
      <c r="I78" s="109" t="s">
        <v>34</v>
      </c>
      <c r="J78" s="115">
        <v>45910</v>
      </c>
      <c r="K78" s="115">
        <v>45925</v>
      </c>
      <c r="L78" s="116">
        <v>1360227</v>
      </c>
      <c r="M78" s="117" t="s">
        <v>3704</v>
      </c>
      <c r="N78" s="34" t="s">
        <v>29</v>
      </c>
      <c r="O78" s="10"/>
      <c r="P78" s="113">
        <v>45982</v>
      </c>
      <c r="Q78" s="113">
        <v>45982</v>
      </c>
      <c r="R78" s="113">
        <v>45982</v>
      </c>
      <c r="S78" s="37">
        <f t="shared" si="14"/>
        <v>1360227</v>
      </c>
      <c r="T78" s="37">
        <f t="shared" si="15"/>
        <v>0</v>
      </c>
      <c r="U78" s="10"/>
      <c r="V78" s="10"/>
      <c r="W78" s="10"/>
      <c r="X78" s="10"/>
      <c r="Y78" s="10"/>
      <c r="Z78" s="12"/>
      <c r="AA78" s="12"/>
      <c r="AB78" s="10"/>
      <c r="AC78" s="10"/>
      <c r="AD78" s="10"/>
      <c r="AE78" s="10"/>
    </row>
    <row r="79" spans="1:31" hidden="1">
      <c r="A79" s="277" t="s">
        <v>4612</v>
      </c>
      <c r="B79" s="9" t="s">
        <v>21</v>
      </c>
      <c r="C79" s="9">
        <v>2025</v>
      </c>
      <c r="D79" s="9" t="s">
        <v>27</v>
      </c>
      <c r="E79" s="90" t="s">
        <v>23</v>
      </c>
      <c r="F79" s="9" t="s">
        <v>7</v>
      </c>
      <c r="G79" s="10"/>
      <c r="H79" s="96">
        <v>250929</v>
      </c>
      <c r="I79" s="109" t="s">
        <v>34</v>
      </c>
      <c r="J79" s="115">
        <v>45912</v>
      </c>
      <c r="K79" s="115">
        <v>45925</v>
      </c>
      <c r="L79" s="116">
        <v>620780</v>
      </c>
      <c r="M79" s="117" t="s">
        <v>3705</v>
      </c>
      <c r="N79" s="34" t="s">
        <v>29</v>
      </c>
      <c r="O79" s="10"/>
      <c r="P79" s="113">
        <v>45982</v>
      </c>
      <c r="Q79" s="113">
        <v>45982</v>
      </c>
      <c r="R79" s="113">
        <v>45982</v>
      </c>
      <c r="S79" s="37">
        <f t="shared" si="14"/>
        <v>620780</v>
      </c>
      <c r="T79" s="37">
        <f t="shared" si="15"/>
        <v>0</v>
      </c>
      <c r="U79" s="10"/>
      <c r="V79" s="10"/>
      <c r="W79" s="10"/>
      <c r="X79" s="10"/>
      <c r="Y79" s="10"/>
      <c r="Z79" s="12"/>
      <c r="AA79" s="12"/>
      <c r="AB79" s="10"/>
      <c r="AC79" s="10"/>
      <c r="AD79" s="10"/>
      <c r="AE79" s="10"/>
    </row>
    <row r="80" spans="1:31" hidden="1">
      <c r="A80" s="277" t="s">
        <v>4613</v>
      </c>
      <c r="B80" s="9" t="s">
        <v>21</v>
      </c>
      <c r="C80" s="9">
        <v>2025</v>
      </c>
      <c r="D80" s="9" t="s">
        <v>27</v>
      </c>
      <c r="E80" s="90" t="s">
        <v>23</v>
      </c>
      <c r="F80" s="9" t="s">
        <v>7</v>
      </c>
      <c r="G80" s="10"/>
      <c r="H80" s="96">
        <v>250938</v>
      </c>
      <c r="I80" s="109" t="s">
        <v>34</v>
      </c>
      <c r="J80" s="115">
        <v>45916</v>
      </c>
      <c r="K80" s="115">
        <v>45925</v>
      </c>
      <c r="L80" s="116">
        <v>777000</v>
      </c>
      <c r="M80" s="117" t="s">
        <v>3706</v>
      </c>
      <c r="N80" s="34" t="s">
        <v>29</v>
      </c>
      <c r="O80" s="10"/>
      <c r="P80" s="113">
        <v>45982</v>
      </c>
      <c r="Q80" s="113">
        <v>45982</v>
      </c>
      <c r="R80" s="113">
        <v>45982</v>
      </c>
      <c r="S80" s="37">
        <f t="shared" si="14"/>
        <v>777000</v>
      </c>
      <c r="T80" s="37">
        <f t="shared" si="15"/>
        <v>0</v>
      </c>
      <c r="U80" s="10"/>
      <c r="V80" s="10"/>
      <c r="W80" s="10"/>
      <c r="X80" s="10"/>
      <c r="Y80" s="10"/>
      <c r="Z80" s="12"/>
      <c r="AA80" s="12"/>
      <c r="AB80" s="10"/>
      <c r="AC80" s="10"/>
      <c r="AD80" s="10"/>
      <c r="AE80" s="10"/>
    </row>
    <row r="81" spans="1:31" hidden="1">
      <c r="A81" s="277" t="s">
        <v>4614</v>
      </c>
      <c r="B81" s="9" t="s">
        <v>21</v>
      </c>
      <c r="C81" s="9">
        <v>2025</v>
      </c>
      <c r="D81" s="9" t="s">
        <v>27</v>
      </c>
      <c r="E81" s="90" t="s">
        <v>23</v>
      </c>
      <c r="F81" s="9" t="s">
        <v>7</v>
      </c>
      <c r="G81" s="10"/>
      <c r="H81" s="96">
        <v>250948</v>
      </c>
      <c r="I81" s="109" t="s">
        <v>34</v>
      </c>
      <c r="J81" s="115">
        <v>45919</v>
      </c>
      <c r="K81" s="115">
        <v>45925</v>
      </c>
      <c r="L81" s="116">
        <v>87413</v>
      </c>
      <c r="M81" s="117" t="s">
        <v>3707</v>
      </c>
      <c r="N81" s="34" t="s">
        <v>29</v>
      </c>
      <c r="O81" s="10"/>
      <c r="P81" s="113">
        <v>45982</v>
      </c>
      <c r="Q81" s="113">
        <v>45982</v>
      </c>
      <c r="R81" s="113">
        <v>45982</v>
      </c>
      <c r="S81" s="37">
        <f t="shared" si="14"/>
        <v>87413</v>
      </c>
      <c r="T81" s="37">
        <f t="shared" si="15"/>
        <v>0</v>
      </c>
      <c r="U81" s="10"/>
      <c r="V81" s="10"/>
      <c r="W81" s="10"/>
      <c r="X81" s="10"/>
      <c r="Y81" s="10"/>
      <c r="Z81" s="12"/>
      <c r="AA81" s="12"/>
      <c r="AB81" s="10"/>
      <c r="AC81" s="10"/>
      <c r="AD81" s="10"/>
      <c r="AE81" s="10"/>
    </row>
    <row r="82" spans="1:31" hidden="1">
      <c r="A82" s="277" t="s">
        <v>4615</v>
      </c>
      <c r="B82" s="9" t="s">
        <v>21</v>
      </c>
      <c r="C82" s="9">
        <v>2025</v>
      </c>
      <c r="D82" s="9" t="s">
        <v>27</v>
      </c>
      <c r="E82" s="90" t="s">
        <v>23</v>
      </c>
      <c r="F82" s="9" t="s">
        <v>7</v>
      </c>
      <c r="G82" s="10"/>
      <c r="H82" s="96">
        <v>250962</v>
      </c>
      <c r="I82" s="109" t="s">
        <v>34</v>
      </c>
      <c r="J82" s="115">
        <v>45924</v>
      </c>
      <c r="K82" s="115">
        <v>45932</v>
      </c>
      <c r="L82" s="116">
        <v>536130</v>
      </c>
      <c r="M82" s="117" t="s">
        <v>3718</v>
      </c>
      <c r="N82" s="34" t="s">
        <v>29</v>
      </c>
      <c r="O82" s="10"/>
      <c r="P82" s="113">
        <v>45982</v>
      </c>
      <c r="Q82" s="113">
        <v>45982</v>
      </c>
      <c r="R82" s="113">
        <v>45982</v>
      </c>
      <c r="S82" s="37">
        <f t="shared" si="14"/>
        <v>536130</v>
      </c>
      <c r="T82" s="37">
        <f t="shared" si="15"/>
        <v>0</v>
      </c>
      <c r="U82" s="10"/>
      <c r="V82" s="10"/>
      <c r="W82" s="10"/>
      <c r="X82" s="10"/>
      <c r="Y82" s="10"/>
      <c r="Z82" s="12"/>
      <c r="AA82" s="12"/>
      <c r="AB82" s="10"/>
      <c r="AC82" s="10"/>
      <c r="AD82" s="10"/>
      <c r="AE82" s="10"/>
    </row>
    <row r="83" spans="1:31" hidden="1">
      <c r="A83" s="277" t="s">
        <v>4616</v>
      </c>
      <c r="B83" s="9" t="s">
        <v>21</v>
      </c>
      <c r="C83" s="9">
        <v>2025</v>
      </c>
      <c r="D83" s="9" t="s">
        <v>27</v>
      </c>
      <c r="E83" s="90" t="s">
        <v>23</v>
      </c>
      <c r="F83" s="9" t="s">
        <v>7</v>
      </c>
      <c r="G83" s="10"/>
      <c r="H83" s="96">
        <v>250960</v>
      </c>
      <c r="I83" s="109" t="s">
        <v>34</v>
      </c>
      <c r="J83" s="115">
        <v>45924</v>
      </c>
      <c r="K83" s="115">
        <v>45932</v>
      </c>
      <c r="L83" s="116">
        <v>2184373</v>
      </c>
      <c r="M83" s="117" t="s">
        <v>3719</v>
      </c>
      <c r="N83" s="34" t="s">
        <v>29</v>
      </c>
      <c r="O83" s="10"/>
      <c r="P83" s="113">
        <v>45982</v>
      </c>
      <c r="Q83" s="113">
        <v>45982</v>
      </c>
      <c r="R83" s="113">
        <v>45982</v>
      </c>
      <c r="S83" s="37">
        <f t="shared" si="14"/>
        <v>2184373</v>
      </c>
      <c r="T83" s="37">
        <f t="shared" si="15"/>
        <v>0</v>
      </c>
      <c r="U83" s="10"/>
      <c r="V83" s="10"/>
      <c r="W83" s="10"/>
      <c r="X83" s="10"/>
      <c r="Y83" s="10"/>
      <c r="Z83" s="12"/>
      <c r="AA83" s="12"/>
      <c r="AB83" s="10"/>
      <c r="AC83" s="10"/>
      <c r="AD83" s="10"/>
      <c r="AE83" s="10"/>
    </row>
    <row r="84" spans="1:31" hidden="1">
      <c r="A84" s="277" t="s">
        <v>4617</v>
      </c>
      <c r="B84" s="9" t="s">
        <v>21</v>
      </c>
      <c r="C84" s="9">
        <v>2025</v>
      </c>
      <c r="D84" s="9" t="s">
        <v>27</v>
      </c>
      <c r="E84" s="90" t="s">
        <v>23</v>
      </c>
      <c r="F84" s="9" t="s">
        <v>7</v>
      </c>
      <c r="G84" s="10"/>
      <c r="H84" s="96">
        <v>250968</v>
      </c>
      <c r="I84" s="109" t="s">
        <v>34</v>
      </c>
      <c r="J84" s="115">
        <v>45925</v>
      </c>
      <c r="K84" s="115">
        <v>45944</v>
      </c>
      <c r="L84" s="116">
        <v>624375</v>
      </c>
      <c r="M84" s="117" t="s">
        <v>3804</v>
      </c>
      <c r="N84" s="34" t="s">
        <v>29</v>
      </c>
      <c r="O84" s="10"/>
      <c r="P84" s="113">
        <v>45982</v>
      </c>
      <c r="Q84" s="113">
        <v>45982</v>
      </c>
      <c r="R84" s="113">
        <v>45982</v>
      </c>
      <c r="S84" s="37">
        <f t="shared" ref="S84:S104" si="16">IF(R84="",0,L84)</f>
        <v>624375</v>
      </c>
      <c r="T84" s="37">
        <f t="shared" ref="T84:T104" si="17">L84-S84</f>
        <v>0</v>
      </c>
      <c r="U84" s="10"/>
      <c r="V84" s="10"/>
      <c r="W84" s="10"/>
      <c r="X84" s="10"/>
      <c r="Y84" s="10"/>
      <c r="Z84" s="12"/>
      <c r="AA84" s="12"/>
      <c r="AB84" s="10"/>
      <c r="AC84" s="10"/>
      <c r="AD84" s="10"/>
      <c r="AE84" s="10"/>
    </row>
    <row r="85" spans="1:31" hidden="1">
      <c r="A85" s="277" t="s">
        <v>4618</v>
      </c>
      <c r="B85" s="9" t="s">
        <v>21</v>
      </c>
      <c r="C85" s="9">
        <v>2025</v>
      </c>
      <c r="D85" s="9" t="s">
        <v>27</v>
      </c>
      <c r="E85" s="90" t="s">
        <v>23</v>
      </c>
      <c r="F85" s="9" t="s">
        <v>7</v>
      </c>
      <c r="G85" s="10"/>
      <c r="H85" s="96">
        <v>250977</v>
      </c>
      <c r="I85" s="109" t="s">
        <v>34</v>
      </c>
      <c r="J85" s="115">
        <v>45929</v>
      </c>
      <c r="K85" s="115">
        <v>45944</v>
      </c>
      <c r="L85" s="116">
        <v>858314</v>
      </c>
      <c r="M85" s="117" t="s">
        <v>3805</v>
      </c>
      <c r="N85" s="34" t="s">
        <v>29</v>
      </c>
      <c r="O85" s="10"/>
      <c r="P85" s="113">
        <v>45982</v>
      </c>
      <c r="Q85" s="113">
        <v>45982</v>
      </c>
      <c r="R85" s="113">
        <v>45982</v>
      </c>
      <c r="S85" s="37">
        <f t="shared" si="16"/>
        <v>858314</v>
      </c>
      <c r="T85" s="37">
        <f t="shared" si="17"/>
        <v>0</v>
      </c>
      <c r="U85" s="10"/>
      <c r="V85" s="10"/>
      <c r="W85" s="10"/>
      <c r="X85" s="10"/>
      <c r="Y85" s="10"/>
      <c r="Z85" s="12"/>
      <c r="AA85" s="12"/>
      <c r="AB85" s="10"/>
      <c r="AC85" s="10"/>
      <c r="AD85" s="10"/>
      <c r="AE85" s="10"/>
    </row>
    <row r="86" spans="1:31" hidden="1">
      <c r="A86" s="277" t="s">
        <v>4619</v>
      </c>
      <c r="B86" s="9" t="s">
        <v>21</v>
      </c>
      <c r="C86" s="9">
        <v>2025</v>
      </c>
      <c r="D86" s="9" t="s">
        <v>27</v>
      </c>
      <c r="E86" s="90" t="s">
        <v>23</v>
      </c>
      <c r="F86" s="9" t="s">
        <v>7</v>
      </c>
      <c r="G86" s="10"/>
      <c r="H86" s="96">
        <v>250989</v>
      </c>
      <c r="I86" s="109" t="s">
        <v>34</v>
      </c>
      <c r="J86" s="115">
        <v>45930</v>
      </c>
      <c r="K86" s="115">
        <v>45944</v>
      </c>
      <c r="L86" s="116">
        <v>749250</v>
      </c>
      <c r="M86" s="117" t="s">
        <v>3806</v>
      </c>
      <c r="N86" s="34" t="s">
        <v>29</v>
      </c>
      <c r="O86" s="27">
        <f>SUM(L86:L99)</f>
        <v>49497541</v>
      </c>
      <c r="P86" s="113">
        <v>46039</v>
      </c>
      <c r="Q86" s="113">
        <v>46039</v>
      </c>
      <c r="R86" s="113">
        <v>46039</v>
      </c>
      <c r="S86" s="37">
        <f t="shared" si="16"/>
        <v>749250</v>
      </c>
      <c r="T86" s="37">
        <f t="shared" si="17"/>
        <v>0</v>
      </c>
      <c r="U86" s="10"/>
      <c r="V86" s="10"/>
      <c r="W86" s="10"/>
      <c r="X86" s="10"/>
      <c r="Y86" s="10"/>
      <c r="Z86" s="12"/>
      <c r="AA86" s="12"/>
      <c r="AB86" s="10"/>
      <c r="AC86" s="10"/>
      <c r="AD86" s="10"/>
      <c r="AE86" s="10"/>
    </row>
    <row r="87" spans="1:31" hidden="1">
      <c r="A87" s="277" t="s">
        <v>4620</v>
      </c>
      <c r="B87" s="9" t="s">
        <v>21</v>
      </c>
      <c r="C87" s="9">
        <v>2025</v>
      </c>
      <c r="D87" s="9" t="s">
        <v>27</v>
      </c>
      <c r="E87" s="90" t="s">
        <v>23</v>
      </c>
      <c r="F87" s="9" t="s">
        <v>7</v>
      </c>
      <c r="G87" s="10"/>
      <c r="H87" s="96">
        <v>250986</v>
      </c>
      <c r="I87" s="109" t="s">
        <v>34</v>
      </c>
      <c r="J87" s="115">
        <v>45930</v>
      </c>
      <c r="K87" s="115">
        <v>45944</v>
      </c>
      <c r="L87" s="116">
        <v>1048950</v>
      </c>
      <c r="M87" s="117" t="s">
        <v>3807</v>
      </c>
      <c r="N87" s="34" t="s">
        <v>29</v>
      </c>
      <c r="O87" s="10"/>
      <c r="P87" s="113">
        <v>46039</v>
      </c>
      <c r="Q87" s="113">
        <v>46039</v>
      </c>
      <c r="R87" s="113">
        <v>46039</v>
      </c>
      <c r="S87" s="37">
        <f t="shared" si="16"/>
        <v>1048950</v>
      </c>
      <c r="T87" s="37">
        <f t="shared" si="17"/>
        <v>0</v>
      </c>
      <c r="U87" s="10"/>
      <c r="V87" s="10"/>
      <c r="W87" s="10"/>
      <c r="X87" s="10"/>
      <c r="Y87" s="10"/>
      <c r="Z87" s="12"/>
      <c r="AA87" s="12"/>
      <c r="AB87" s="10"/>
      <c r="AC87" s="10"/>
      <c r="AD87" s="10"/>
      <c r="AE87" s="10"/>
    </row>
    <row r="88" spans="1:31" hidden="1">
      <c r="A88" s="277" t="s">
        <v>4621</v>
      </c>
      <c r="B88" s="9" t="s">
        <v>21</v>
      </c>
      <c r="C88" s="9">
        <v>2025</v>
      </c>
      <c r="D88" s="9" t="s">
        <v>27</v>
      </c>
      <c r="E88" s="90" t="s">
        <v>23</v>
      </c>
      <c r="F88" s="9" t="s">
        <v>7</v>
      </c>
      <c r="G88" s="10"/>
      <c r="H88" s="96">
        <v>250987</v>
      </c>
      <c r="I88" s="109" t="s">
        <v>34</v>
      </c>
      <c r="J88" s="115">
        <v>45930</v>
      </c>
      <c r="K88" s="115">
        <v>45944</v>
      </c>
      <c r="L88" s="116">
        <v>2331000</v>
      </c>
      <c r="M88" s="117" t="s">
        <v>3808</v>
      </c>
      <c r="N88" s="34" t="s">
        <v>29</v>
      </c>
      <c r="O88" s="10"/>
      <c r="P88" s="113">
        <v>46039</v>
      </c>
      <c r="Q88" s="113">
        <v>46039</v>
      </c>
      <c r="R88" s="113">
        <v>46039</v>
      </c>
      <c r="S88" s="37">
        <f t="shared" si="16"/>
        <v>2331000</v>
      </c>
      <c r="T88" s="37">
        <f t="shared" si="17"/>
        <v>0</v>
      </c>
      <c r="U88" s="10"/>
      <c r="V88" s="10"/>
      <c r="W88" s="10"/>
      <c r="X88" s="10"/>
      <c r="Y88" s="10"/>
      <c r="Z88" s="12"/>
      <c r="AA88" s="12"/>
      <c r="AB88" s="10"/>
      <c r="AC88" s="10"/>
      <c r="AD88" s="10"/>
      <c r="AE88" s="10"/>
    </row>
    <row r="89" spans="1:31" hidden="1">
      <c r="A89" s="277" t="s">
        <v>4622</v>
      </c>
      <c r="B89" s="9" t="s">
        <v>21</v>
      </c>
      <c r="C89" s="9">
        <v>2025</v>
      </c>
      <c r="D89" s="9" t="s">
        <v>27</v>
      </c>
      <c r="E89" s="90" t="s">
        <v>23</v>
      </c>
      <c r="F89" s="9" t="s">
        <v>7</v>
      </c>
      <c r="G89" s="10"/>
      <c r="H89" s="96">
        <v>250988</v>
      </c>
      <c r="I89" s="109" t="s">
        <v>34</v>
      </c>
      <c r="J89" s="115">
        <v>45930</v>
      </c>
      <c r="K89" s="115">
        <v>45944</v>
      </c>
      <c r="L89" s="116">
        <v>12121200</v>
      </c>
      <c r="M89" s="117" t="s">
        <v>3809</v>
      </c>
      <c r="N89" s="34" t="s">
        <v>29</v>
      </c>
      <c r="O89" s="10"/>
      <c r="P89" s="113">
        <v>46039</v>
      </c>
      <c r="Q89" s="113">
        <v>46039</v>
      </c>
      <c r="R89" s="113">
        <v>46039</v>
      </c>
      <c r="S89" s="37">
        <f t="shared" si="16"/>
        <v>12121200</v>
      </c>
      <c r="T89" s="37">
        <f t="shared" si="17"/>
        <v>0</v>
      </c>
      <c r="U89" s="10"/>
      <c r="V89" s="10"/>
      <c r="W89" s="10"/>
      <c r="X89" s="10"/>
      <c r="Y89" s="10"/>
      <c r="Z89" s="12"/>
      <c r="AA89" s="12"/>
      <c r="AB89" s="10"/>
      <c r="AC89" s="10"/>
      <c r="AD89" s="10"/>
      <c r="AE89" s="10"/>
    </row>
    <row r="90" spans="1:31" hidden="1">
      <c r="A90" s="277" t="s">
        <v>4623</v>
      </c>
      <c r="B90" s="9" t="s">
        <v>21</v>
      </c>
      <c r="C90" s="9">
        <v>2025</v>
      </c>
      <c r="D90" s="9" t="s">
        <v>27</v>
      </c>
      <c r="E90" s="90" t="s">
        <v>23</v>
      </c>
      <c r="F90" s="9" t="s">
        <v>7</v>
      </c>
      <c r="G90" s="10"/>
      <c r="H90" s="96">
        <v>250992</v>
      </c>
      <c r="I90" s="109" t="s">
        <v>34</v>
      </c>
      <c r="J90" s="115">
        <v>45930</v>
      </c>
      <c r="K90" s="115">
        <v>45944</v>
      </c>
      <c r="L90" s="116">
        <v>3007243</v>
      </c>
      <c r="M90" s="117" t="s">
        <v>3810</v>
      </c>
      <c r="N90" s="34" t="s">
        <v>29</v>
      </c>
      <c r="O90" s="10"/>
      <c r="P90" s="113">
        <v>46039</v>
      </c>
      <c r="Q90" s="113">
        <v>46039</v>
      </c>
      <c r="R90" s="113">
        <v>46039</v>
      </c>
      <c r="S90" s="37">
        <f t="shared" si="16"/>
        <v>3007243</v>
      </c>
      <c r="T90" s="37">
        <f t="shared" si="17"/>
        <v>0</v>
      </c>
      <c r="U90" s="10"/>
      <c r="V90" s="10"/>
      <c r="W90" s="10"/>
      <c r="X90" s="10"/>
      <c r="Y90" s="10"/>
      <c r="Z90" s="12"/>
      <c r="AA90" s="12"/>
      <c r="AB90" s="10"/>
      <c r="AC90" s="10"/>
      <c r="AD90" s="10"/>
      <c r="AE90" s="10"/>
    </row>
    <row r="91" spans="1:31" hidden="1">
      <c r="A91" s="277" t="s">
        <v>4624</v>
      </c>
      <c r="B91" s="9" t="s">
        <v>21</v>
      </c>
      <c r="C91" s="9">
        <v>2025</v>
      </c>
      <c r="D91" s="9" t="s">
        <v>27</v>
      </c>
      <c r="E91" s="90" t="s">
        <v>23</v>
      </c>
      <c r="F91" s="9" t="s">
        <v>7</v>
      </c>
      <c r="G91" s="10"/>
      <c r="H91" s="96">
        <v>251038</v>
      </c>
      <c r="I91" s="109" t="s">
        <v>34</v>
      </c>
      <c r="J91" s="115">
        <v>45941</v>
      </c>
      <c r="K91" s="115">
        <v>45953</v>
      </c>
      <c r="L91" s="116">
        <v>6283044</v>
      </c>
      <c r="M91" s="117" t="s">
        <v>3868</v>
      </c>
      <c r="N91" s="34" t="s">
        <v>29</v>
      </c>
      <c r="O91" s="10"/>
      <c r="P91" s="113">
        <v>46039</v>
      </c>
      <c r="Q91" s="113">
        <v>46039</v>
      </c>
      <c r="R91" s="113">
        <v>46039</v>
      </c>
      <c r="S91" s="37">
        <f t="shared" si="16"/>
        <v>6283044</v>
      </c>
      <c r="T91" s="37">
        <f t="shared" si="17"/>
        <v>0</v>
      </c>
      <c r="U91" s="10"/>
      <c r="V91" s="10"/>
      <c r="W91" s="10"/>
      <c r="X91" s="10"/>
      <c r="Y91" s="10"/>
      <c r="Z91" s="12"/>
      <c r="AA91" s="12"/>
      <c r="AB91" s="10"/>
      <c r="AC91" s="10"/>
      <c r="AD91" s="10"/>
      <c r="AE91" s="10"/>
    </row>
    <row r="92" spans="1:31" hidden="1">
      <c r="A92" s="277" t="s">
        <v>4625</v>
      </c>
      <c r="B92" s="9" t="s">
        <v>21</v>
      </c>
      <c r="C92" s="9">
        <v>2025</v>
      </c>
      <c r="D92" s="9" t="s">
        <v>27</v>
      </c>
      <c r="E92" s="90" t="s">
        <v>23</v>
      </c>
      <c r="F92" s="9" t="s">
        <v>7</v>
      </c>
      <c r="G92" s="10"/>
      <c r="H92" s="96">
        <v>251037</v>
      </c>
      <c r="I92" s="109" t="s">
        <v>34</v>
      </c>
      <c r="J92" s="115">
        <v>45941</v>
      </c>
      <c r="K92" s="115">
        <v>45953</v>
      </c>
      <c r="L92" s="116">
        <v>749250</v>
      </c>
      <c r="M92" s="117" t="s">
        <v>3869</v>
      </c>
      <c r="N92" s="34" t="s">
        <v>29</v>
      </c>
      <c r="O92" s="10"/>
      <c r="P92" s="113">
        <v>46039</v>
      </c>
      <c r="Q92" s="113">
        <v>46039</v>
      </c>
      <c r="R92" s="113">
        <v>46039</v>
      </c>
      <c r="S92" s="37">
        <f t="shared" si="16"/>
        <v>749250</v>
      </c>
      <c r="T92" s="37">
        <f t="shared" si="17"/>
        <v>0</v>
      </c>
      <c r="U92" s="10"/>
      <c r="V92" s="10"/>
      <c r="W92" s="10"/>
      <c r="X92" s="10"/>
      <c r="Y92" s="10"/>
      <c r="Z92" s="12"/>
      <c r="AA92" s="12"/>
      <c r="AB92" s="10"/>
      <c r="AC92" s="10"/>
      <c r="AD92" s="10"/>
      <c r="AE92" s="10"/>
    </row>
    <row r="93" spans="1:31" hidden="1">
      <c r="A93" s="277" t="s">
        <v>4626</v>
      </c>
      <c r="B93" s="9" t="s">
        <v>21</v>
      </c>
      <c r="C93" s="9">
        <v>2025</v>
      </c>
      <c r="D93" s="9" t="s">
        <v>27</v>
      </c>
      <c r="E93" s="90" t="s">
        <v>23</v>
      </c>
      <c r="F93" s="9" t="s">
        <v>7</v>
      </c>
      <c r="G93" s="10"/>
      <c r="H93" s="96">
        <v>251107</v>
      </c>
      <c r="I93" s="109" t="s">
        <v>34</v>
      </c>
      <c r="J93" s="115">
        <v>45948</v>
      </c>
      <c r="K93" s="115">
        <v>45965</v>
      </c>
      <c r="L93" s="116">
        <v>6925357</v>
      </c>
      <c r="M93" s="117" t="s">
        <v>3930</v>
      </c>
      <c r="N93" s="34" t="s">
        <v>29</v>
      </c>
      <c r="O93" s="10"/>
      <c r="P93" s="113">
        <v>46039</v>
      </c>
      <c r="Q93" s="113">
        <v>46039</v>
      </c>
      <c r="R93" s="113">
        <v>46039</v>
      </c>
      <c r="S93" s="37">
        <f t="shared" si="16"/>
        <v>6925357</v>
      </c>
      <c r="T93" s="37">
        <f t="shared" si="17"/>
        <v>0</v>
      </c>
      <c r="U93" s="10"/>
      <c r="V93" s="10"/>
      <c r="W93" s="10"/>
      <c r="X93" s="10"/>
      <c r="Y93" s="10"/>
      <c r="Z93" s="12"/>
      <c r="AA93" s="12"/>
      <c r="AB93" s="10"/>
      <c r="AC93" s="10"/>
      <c r="AD93" s="10"/>
      <c r="AE93" s="10"/>
    </row>
    <row r="94" spans="1:31" hidden="1">
      <c r="A94" s="277" t="s">
        <v>4627</v>
      </c>
      <c r="B94" s="9" t="s">
        <v>21</v>
      </c>
      <c r="C94" s="9">
        <v>2025</v>
      </c>
      <c r="D94" s="9" t="s">
        <v>27</v>
      </c>
      <c r="E94" s="90" t="s">
        <v>23</v>
      </c>
      <c r="F94" s="9" t="s">
        <v>7</v>
      </c>
      <c r="G94" s="10"/>
      <c r="H94" s="96">
        <v>251086</v>
      </c>
      <c r="I94" s="109" t="s">
        <v>34</v>
      </c>
      <c r="J94" s="115">
        <v>45952</v>
      </c>
      <c r="K94" s="115">
        <v>45965</v>
      </c>
      <c r="L94" s="116">
        <v>3278744</v>
      </c>
      <c r="M94" s="117" t="s">
        <v>3931</v>
      </c>
      <c r="N94" s="34" t="s">
        <v>29</v>
      </c>
      <c r="O94" s="10"/>
      <c r="P94" s="113">
        <v>46039</v>
      </c>
      <c r="Q94" s="113">
        <v>46039</v>
      </c>
      <c r="R94" s="113">
        <v>46039</v>
      </c>
      <c r="S94" s="37">
        <f t="shared" si="16"/>
        <v>3278744</v>
      </c>
      <c r="T94" s="37">
        <f t="shared" si="17"/>
        <v>0</v>
      </c>
      <c r="U94" s="10"/>
      <c r="V94" s="10"/>
      <c r="W94" s="10"/>
      <c r="X94" s="10"/>
      <c r="Y94" s="10"/>
      <c r="Z94" s="12"/>
      <c r="AA94" s="12"/>
      <c r="AB94" s="10"/>
      <c r="AC94" s="10"/>
      <c r="AD94" s="10"/>
      <c r="AE94" s="10"/>
    </row>
    <row r="95" spans="1:31" hidden="1">
      <c r="A95" s="277" t="s">
        <v>4628</v>
      </c>
      <c r="B95" s="9" t="s">
        <v>21</v>
      </c>
      <c r="C95" s="9">
        <v>2025</v>
      </c>
      <c r="D95" s="9" t="s">
        <v>27</v>
      </c>
      <c r="E95" s="90" t="s">
        <v>23</v>
      </c>
      <c r="F95" s="9" t="s">
        <v>7</v>
      </c>
      <c r="G95" s="10"/>
      <c r="H95" s="96">
        <v>251146</v>
      </c>
      <c r="I95" s="109" t="s">
        <v>34</v>
      </c>
      <c r="J95" s="115">
        <v>45954</v>
      </c>
      <c r="K95" s="115">
        <v>45965</v>
      </c>
      <c r="L95" s="116">
        <v>446775</v>
      </c>
      <c r="M95" s="117" t="s">
        <v>3932</v>
      </c>
      <c r="N95" s="34" t="s">
        <v>29</v>
      </c>
      <c r="O95" s="10"/>
      <c r="P95" s="113">
        <v>46039</v>
      </c>
      <c r="Q95" s="113">
        <v>46039</v>
      </c>
      <c r="R95" s="113">
        <v>46039</v>
      </c>
      <c r="S95" s="37">
        <f t="shared" si="16"/>
        <v>446775</v>
      </c>
      <c r="T95" s="37">
        <f t="shared" si="17"/>
        <v>0</v>
      </c>
      <c r="U95" s="10"/>
      <c r="V95" s="10"/>
      <c r="W95" s="10"/>
      <c r="X95" s="10"/>
      <c r="Y95" s="10"/>
      <c r="Z95" s="12"/>
      <c r="AA95" s="12"/>
      <c r="AB95" s="10"/>
      <c r="AC95" s="10"/>
      <c r="AD95" s="10"/>
      <c r="AE95" s="10"/>
    </row>
    <row r="96" spans="1:31" hidden="1">
      <c r="A96" s="277" t="s">
        <v>4629</v>
      </c>
      <c r="B96" s="9" t="s">
        <v>21</v>
      </c>
      <c r="C96" s="9">
        <v>2025</v>
      </c>
      <c r="D96" s="9" t="s">
        <v>27</v>
      </c>
      <c r="E96" s="90" t="s">
        <v>23</v>
      </c>
      <c r="F96" s="9" t="s">
        <v>7</v>
      </c>
      <c r="G96" s="10"/>
      <c r="H96" s="96">
        <v>251120</v>
      </c>
      <c r="I96" s="109" t="s">
        <v>34</v>
      </c>
      <c r="J96" s="115">
        <v>45960</v>
      </c>
      <c r="K96" s="115">
        <v>45965</v>
      </c>
      <c r="L96" s="116">
        <v>7308093</v>
      </c>
      <c r="M96" s="117" t="s">
        <v>3933</v>
      </c>
      <c r="N96" s="34" t="s">
        <v>29</v>
      </c>
      <c r="O96" s="10"/>
      <c r="P96" s="113">
        <v>46039</v>
      </c>
      <c r="Q96" s="113">
        <v>46039</v>
      </c>
      <c r="R96" s="113">
        <v>46039</v>
      </c>
      <c r="S96" s="37">
        <f t="shared" si="16"/>
        <v>7308093</v>
      </c>
      <c r="T96" s="37">
        <f t="shared" si="17"/>
        <v>0</v>
      </c>
      <c r="U96" s="10"/>
      <c r="V96" s="10"/>
      <c r="W96" s="10"/>
      <c r="X96" s="10"/>
      <c r="Y96" s="10"/>
      <c r="Z96" s="12"/>
      <c r="AA96" s="12"/>
      <c r="AB96" s="10"/>
      <c r="AC96" s="10"/>
      <c r="AD96" s="10"/>
      <c r="AE96" s="10"/>
    </row>
    <row r="97" spans="1:31" hidden="1">
      <c r="A97" s="277" t="s">
        <v>4630</v>
      </c>
      <c r="B97" s="9" t="s">
        <v>21</v>
      </c>
      <c r="C97" s="9">
        <v>2025</v>
      </c>
      <c r="D97" s="9" t="s">
        <v>27</v>
      </c>
      <c r="E97" s="90" t="s">
        <v>23</v>
      </c>
      <c r="F97" s="9" t="s">
        <v>7</v>
      </c>
      <c r="G97" s="10"/>
      <c r="H97" s="96">
        <v>251091</v>
      </c>
      <c r="I97" s="109" t="s">
        <v>34</v>
      </c>
      <c r="J97" s="115">
        <v>45961</v>
      </c>
      <c r="K97" s="115">
        <v>45965</v>
      </c>
      <c r="L97" s="116">
        <v>446775</v>
      </c>
      <c r="M97" s="117" t="s">
        <v>3934</v>
      </c>
      <c r="N97" s="34" t="s">
        <v>29</v>
      </c>
      <c r="O97" s="10"/>
      <c r="P97" s="113">
        <v>46039</v>
      </c>
      <c r="Q97" s="113">
        <v>46039</v>
      </c>
      <c r="R97" s="113">
        <v>46039</v>
      </c>
      <c r="S97" s="37">
        <f t="shared" si="16"/>
        <v>446775</v>
      </c>
      <c r="T97" s="37">
        <f t="shared" si="17"/>
        <v>0</v>
      </c>
      <c r="U97" s="10"/>
      <c r="V97" s="10"/>
      <c r="W97" s="10"/>
      <c r="X97" s="10"/>
      <c r="Y97" s="10"/>
      <c r="Z97" s="12"/>
      <c r="AA97" s="12"/>
      <c r="AB97" s="10"/>
      <c r="AC97" s="10"/>
      <c r="AD97" s="10"/>
      <c r="AE97" s="10"/>
    </row>
    <row r="98" spans="1:31" hidden="1">
      <c r="A98" s="277" t="s">
        <v>4631</v>
      </c>
      <c r="B98" s="9" t="s">
        <v>21</v>
      </c>
      <c r="C98" s="9">
        <v>2025</v>
      </c>
      <c r="D98" s="9" t="s">
        <v>27</v>
      </c>
      <c r="E98" s="90" t="s">
        <v>23</v>
      </c>
      <c r="F98" s="9" t="s">
        <v>7</v>
      </c>
      <c r="G98" s="10"/>
      <c r="H98" s="96">
        <v>251147</v>
      </c>
      <c r="I98" s="109" t="s">
        <v>34</v>
      </c>
      <c r="J98" s="115">
        <v>45961</v>
      </c>
      <c r="K98" s="115">
        <v>45965</v>
      </c>
      <c r="L98" s="116">
        <v>1165500</v>
      </c>
      <c r="M98" s="117" t="s">
        <v>3935</v>
      </c>
      <c r="N98" s="34" t="s">
        <v>29</v>
      </c>
      <c r="O98" s="10"/>
      <c r="P98" s="113">
        <v>46039</v>
      </c>
      <c r="Q98" s="113">
        <v>46039</v>
      </c>
      <c r="R98" s="113">
        <v>46039</v>
      </c>
      <c r="S98" s="37">
        <f t="shared" si="16"/>
        <v>1165500</v>
      </c>
      <c r="T98" s="37">
        <f t="shared" si="17"/>
        <v>0</v>
      </c>
      <c r="U98" s="10"/>
      <c r="V98" s="10"/>
      <c r="W98" s="10"/>
      <c r="X98" s="10"/>
      <c r="Y98" s="10"/>
      <c r="Z98" s="12"/>
      <c r="AA98" s="12"/>
      <c r="AB98" s="10"/>
      <c r="AC98" s="10"/>
      <c r="AD98" s="10"/>
      <c r="AE98" s="10"/>
    </row>
    <row r="99" spans="1:31" hidden="1">
      <c r="A99" s="277" t="s">
        <v>4632</v>
      </c>
      <c r="B99" s="9" t="s">
        <v>21</v>
      </c>
      <c r="C99" s="9">
        <v>2025</v>
      </c>
      <c r="D99" s="9" t="s">
        <v>27</v>
      </c>
      <c r="E99" s="90" t="s">
        <v>23</v>
      </c>
      <c r="F99" s="9" t="s">
        <v>7</v>
      </c>
      <c r="G99" s="10"/>
      <c r="H99" s="96">
        <v>251148</v>
      </c>
      <c r="I99" s="109" t="s">
        <v>34</v>
      </c>
      <c r="J99" s="115">
        <v>45961</v>
      </c>
      <c r="K99" s="115">
        <v>45965</v>
      </c>
      <c r="L99" s="116">
        <v>3636360</v>
      </c>
      <c r="M99" s="117" t="s">
        <v>3936</v>
      </c>
      <c r="N99" s="34" t="s">
        <v>29</v>
      </c>
      <c r="O99" s="10"/>
      <c r="P99" s="113">
        <v>46039</v>
      </c>
      <c r="Q99" s="113">
        <v>46039</v>
      </c>
      <c r="R99" s="113">
        <v>46039</v>
      </c>
      <c r="S99" s="37">
        <f t="shared" si="16"/>
        <v>3636360</v>
      </c>
      <c r="T99" s="37">
        <f t="shared" si="17"/>
        <v>0</v>
      </c>
      <c r="U99" s="10"/>
      <c r="V99" s="10"/>
      <c r="W99" s="10"/>
      <c r="X99" s="10"/>
      <c r="Y99" s="10"/>
      <c r="Z99" s="12"/>
      <c r="AA99" s="12"/>
      <c r="AB99" s="10"/>
      <c r="AC99" s="10"/>
      <c r="AD99" s="10"/>
      <c r="AE99" s="10"/>
    </row>
    <row r="100" spans="1:31" hidden="1">
      <c r="A100" s="277" t="s">
        <v>4633</v>
      </c>
      <c r="B100" s="9" t="s">
        <v>21</v>
      </c>
      <c r="C100" s="9">
        <v>2025</v>
      </c>
      <c r="D100" s="9" t="s">
        <v>27</v>
      </c>
      <c r="E100" s="90" t="s">
        <v>23</v>
      </c>
      <c r="F100" s="9" t="s">
        <v>7</v>
      </c>
      <c r="G100" s="10"/>
      <c r="H100" s="96">
        <v>251230</v>
      </c>
      <c r="I100" s="109" t="s">
        <v>34</v>
      </c>
      <c r="J100" s="115">
        <v>45990</v>
      </c>
      <c r="K100" s="115">
        <v>46002</v>
      </c>
      <c r="L100" s="116">
        <v>11504734</v>
      </c>
      <c r="M100" s="117" t="s">
        <v>4090</v>
      </c>
      <c r="N100" s="34" t="s">
        <v>29</v>
      </c>
      <c r="O100" s="27">
        <f>SUM(L100:L106)</f>
        <v>44289545</v>
      </c>
      <c r="P100" s="113">
        <v>46077</v>
      </c>
      <c r="Q100" s="113">
        <v>46077</v>
      </c>
      <c r="R100" s="113">
        <v>46077</v>
      </c>
      <c r="S100" s="37">
        <f t="shared" si="16"/>
        <v>11504734</v>
      </c>
      <c r="T100" s="37">
        <f t="shared" si="17"/>
        <v>0</v>
      </c>
      <c r="U100" s="10"/>
      <c r="V100" s="10"/>
      <c r="W100" s="10"/>
      <c r="X100" s="10"/>
      <c r="Y100" s="10"/>
      <c r="Z100" s="12"/>
      <c r="AA100" s="12"/>
      <c r="AB100" s="10"/>
      <c r="AC100" s="10"/>
      <c r="AD100" s="10"/>
      <c r="AE100" s="10"/>
    </row>
    <row r="101" spans="1:31" hidden="1">
      <c r="A101" s="277" t="s">
        <v>4634</v>
      </c>
      <c r="B101" s="9" t="s">
        <v>21</v>
      </c>
      <c r="C101" s="9">
        <v>2025</v>
      </c>
      <c r="D101" s="9" t="s">
        <v>27</v>
      </c>
      <c r="E101" s="90" t="s">
        <v>23</v>
      </c>
      <c r="F101" s="9" t="s">
        <v>7</v>
      </c>
      <c r="G101" s="10"/>
      <c r="H101" s="96">
        <v>251228</v>
      </c>
      <c r="I101" s="109" t="s">
        <v>34</v>
      </c>
      <c r="J101" s="115">
        <v>45990</v>
      </c>
      <c r="K101" s="115">
        <v>46002</v>
      </c>
      <c r="L101" s="116">
        <v>349650</v>
      </c>
      <c r="M101" s="117" t="s">
        <v>4091</v>
      </c>
      <c r="N101" s="34" t="s">
        <v>29</v>
      </c>
      <c r="O101" s="10"/>
      <c r="P101" s="113">
        <v>46077</v>
      </c>
      <c r="Q101" s="113">
        <v>46077</v>
      </c>
      <c r="R101" s="113">
        <v>46077</v>
      </c>
      <c r="S101" s="37">
        <f t="shared" si="16"/>
        <v>349650</v>
      </c>
      <c r="T101" s="37">
        <f t="shared" si="17"/>
        <v>0</v>
      </c>
      <c r="U101" s="10"/>
      <c r="V101" s="10"/>
      <c r="W101" s="10"/>
      <c r="X101" s="10"/>
      <c r="Y101" s="10"/>
      <c r="Z101" s="12"/>
      <c r="AA101" s="12"/>
      <c r="AB101" s="10"/>
      <c r="AC101" s="10"/>
      <c r="AD101" s="10"/>
      <c r="AE101" s="10"/>
    </row>
    <row r="102" spans="1:31" hidden="1">
      <c r="A102" s="277" t="s">
        <v>4635</v>
      </c>
      <c r="B102" s="9" t="s">
        <v>21</v>
      </c>
      <c r="C102" s="9">
        <v>2025</v>
      </c>
      <c r="D102" s="9" t="s">
        <v>27</v>
      </c>
      <c r="E102" s="90" t="s">
        <v>23</v>
      </c>
      <c r="F102" s="9" t="s">
        <v>7</v>
      </c>
      <c r="G102" s="10"/>
      <c r="H102" s="96">
        <v>251233</v>
      </c>
      <c r="I102" s="109" t="s">
        <v>34</v>
      </c>
      <c r="J102" s="115">
        <v>45994</v>
      </c>
      <c r="K102" s="115">
        <v>46002</v>
      </c>
      <c r="L102" s="116">
        <v>6806021</v>
      </c>
      <c r="M102" s="117" t="s">
        <v>4092</v>
      </c>
      <c r="N102" s="34" t="s">
        <v>29</v>
      </c>
      <c r="O102" s="10"/>
      <c r="P102" s="113">
        <v>46077</v>
      </c>
      <c r="Q102" s="113">
        <v>46077</v>
      </c>
      <c r="R102" s="113">
        <v>46077</v>
      </c>
      <c r="S102" s="37">
        <f t="shared" si="16"/>
        <v>6806021</v>
      </c>
      <c r="T102" s="37">
        <f t="shared" si="17"/>
        <v>0</v>
      </c>
      <c r="U102" s="10"/>
      <c r="V102" s="10"/>
      <c r="W102" s="10"/>
      <c r="X102" s="10"/>
      <c r="Y102" s="10"/>
      <c r="Z102" s="12"/>
      <c r="AA102" s="12"/>
      <c r="AB102" s="10"/>
      <c r="AC102" s="10"/>
      <c r="AD102" s="10"/>
      <c r="AE102" s="10"/>
    </row>
    <row r="103" spans="1:31" hidden="1">
      <c r="A103" s="277" t="s">
        <v>4636</v>
      </c>
      <c r="B103" s="9" t="s">
        <v>21</v>
      </c>
      <c r="C103" s="9">
        <v>2025</v>
      </c>
      <c r="D103" s="9" t="s">
        <v>27</v>
      </c>
      <c r="E103" s="90" t="s">
        <v>23</v>
      </c>
      <c r="F103" s="9" t="s">
        <v>7</v>
      </c>
      <c r="G103" s="10"/>
      <c r="H103" s="96">
        <v>251232</v>
      </c>
      <c r="I103" s="109" t="s">
        <v>34</v>
      </c>
      <c r="J103" s="115">
        <v>45994</v>
      </c>
      <c r="K103" s="115">
        <v>46002</v>
      </c>
      <c r="L103" s="116">
        <v>241425</v>
      </c>
      <c r="M103" s="117" t="s">
        <v>4093</v>
      </c>
      <c r="N103" s="34" t="s">
        <v>29</v>
      </c>
      <c r="O103" s="10"/>
      <c r="P103" s="113">
        <v>46077</v>
      </c>
      <c r="Q103" s="113">
        <v>46077</v>
      </c>
      <c r="R103" s="113">
        <v>46077</v>
      </c>
      <c r="S103" s="37">
        <f t="shared" si="16"/>
        <v>241425</v>
      </c>
      <c r="T103" s="37">
        <f t="shared" si="17"/>
        <v>0</v>
      </c>
      <c r="U103" s="10"/>
      <c r="V103" s="10"/>
      <c r="W103" s="10"/>
      <c r="X103" s="10"/>
      <c r="Y103" s="10"/>
      <c r="Z103" s="12"/>
      <c r="AA103" s="12"/>
      <c r="AB103" s="10"/>
      <c r="AC103" s="10"/>
      <c r="AD103" s="10"/>
      <c r="AE103" s="10"/>
    </row>
    <row r="104" spans="1:31" hidden="1">
      <c r="A104" s="277" t="s">
        <v>4637</v>
      </c>
      <c r="B104" s="9" t="s">
        <v>21</v>
      </c>
      <c r="C104" s="9">
        <v>2025</v>
      </c>
      <c r="D104" s="9" t="s">
        <v>27</v>
      </c>
      <c r="E104" s="90" t="s">
        <v>23</v>
      </c>
      <c r="F104" s="9" t="s">
        <v>7</v>
      </c>
      <c r="G104" s="10"/>
      <c r="H104" s="96">
        <v>251231</v>
      </c>
      <c r="I104" s="109" t="s">
        <v>34</v>
      </c>
      <c r="J104" s="115">
        <v>45994</v>
      </c>
      <c r="K104" s="115">
        <v>46002</v>
      </c>
      <c r="L104" s="116">
        <v>5445987</v>
      </c>
      <c r="M104" s="117" t="s">
        <v>4094</v>
      </c>
      <c r="N104" s="34" t="s">
        <v>29</v>
      </c>
      <c r="O104" s="10"/>
      <c r="P104" s="113">
        <v>46077</v>
      </c>
      <c r="Q104" s="113">
        <v>46077</v>
      </c>
      <c r="R104" s="113">
        <v>46077</v>
      </c>
      <c r="S104" s="37">
        <f t="shared" si="16"/>
        <v>5445987</v>
      </c>
      <c r="T104" s="37">
        <f t="shared" si="17"/>
        <v>0</v>
      </c>
      <c r="U104" s="10"/>
      <c r="V104" s="10"/>
      <c r="W104" s="10"/>
      <c r="X104" s="10"/>
      <c r="Y104" s="10"/>
      <c r="Z104" s="12"/>
      <c r="AA104" s="12"/>
      <c r="AB104" s="10"/>
      <c r="AC104" s="10"/>
      <c r="AD104" s="10"/>
      <c r="AE104" s="10"/>
    </row>
    <row r="105" spans="1:31" hidden="1">
      <c r="A105" s="277" t="s">
        <v>4638</v>
      </c>
      <c r="B105" s="9" t="s">
        <v>21</v>
      </c>
      <c r="C105" s="9">
        <v>2025</v>
      </c>
      <c r="D105" s="9" t="s">
        <v>27</v>
      </c>
      <c r="E105" s="90" t="s">
        <v>23</v>
      </c>
      <c r="F105" s="9" t="s">
        <v>7</v>
      </c>
      <c r="G105" s="10"/>
      <c r="H105" s="96">
        <v>251262</v>
      </c>
      <c r="I105" s="109" t="s">
        <v>34</v>
      </c>
      <c r="J105" s="115">
        <v>46003</v>
      </c>
      <c r="K105" s="115">
        <v>46009</v>
      </c>
      <c r="L105" s="116">
        <v>89355</v>
      </c>
      <c r="M105" s="117" t="s">
        <v>4110</v>
      </c>
      <c r="N105" s="34" t="s">
        <v>29</v>
      </c>
      <c r="O105" s="10"/>
      <c r="P105" s="113">
        <v>46077</v>
      </c>
      <c r="Q105" s="113">
        <v>46077</v>
      </c>
      <c r="R105" s="113">
        <v>46077</v>
      </c>
      <c r="S105" s="37">
        <f t="shared" ref="S105:S111" si="18">IF(R105="",0,L105)</f>
        <v>89355</v>
      </c>
      <c r="T105" s="37">
        <f t="shared" ref="T105:T111" si="19">L105-S105</f>
        <v>0</v>
      </c>
      <c r="U105" s="10"/>
      <c r="V105" s="10"/>
      <c r="W105" s="10"/>
      <c r="X105" s="10"/>
      <c r="Y105" s="10"/>
      <c r="Z105" s="12"/>
      <c r="AA105" s="12"/>
      <c r="AB105" s="10"/>
      <c r="AC105" s="10"/>
      <c r="AD105" s="10"/>
      <c r="AE105" s="10"/>
    </row>
    <row r="106" spans="1:31" hidden="1">
      <c r="A106" s="277" t="s">
        <v>4639</v>
      </c>
      <c r="B106" s="9" t="s">
        <v>21</v>
      </c>
      <c r="C106" s="9">
        <v>2025</v>
      </c>
      <c r="D106" s="9" t="s">
        <v>27</v>
      </c>
      <c r="E106" s="90" t="s">
        <v>23</v>
      </c>
      <c r="F106" s="9" t="s">
        <v>7</v>
      </c>
      <c r="G106" s="10"/>
      <c r="H106" s="96">
        <v>251263</v>
      </c>
      <c r="I106" s="109" t="s">
        <v>34</v>
      </c>
      <c r="J106" s="115">
        <v>46003</v>
      </c>
      <c r="K106" s="115">
        <v>46009</v>
      </c>
      <c r="L106" s="116">
        <v>19852373</v>
      </c>
      <c r="M106" s="117" t="s">
        <v>4111</v>
      </c>
      <c r="N106" s="34" t="s">
        <v>29</v>
      </c>
      <c r="O106" s="10"/>
      <c r="P106" s="113">
        <v>46077</v>
      </c>
      <c r="Q106" s="113">
        <v>46077</v>
      </c>
      <c r="R106" s="113">
        <v>46077</v>
      </c>
      <c r="S106" s="37">
        <f t="shared" si="18"/>
        <v>19852373</v>
      </c>
      <c r="T106" s="37">
        <f t="shared" si="19"/>
        <v>0</v>
      </c>
      <c r="U106" s="10"/>
      <c r="V106" s="10"/>
      <c r="W106" s="10"/>
      <c r="X106" s="10"/>
      <c r="Y106" s="10"/>
      <c r="Z106" s="12"/>
      <c r="AA106" s="12"/>
      <c r="AB106" s="10"/>
      <c r="AC106" s="10"/>
      <c r="AD106" s="10"/>
      <c r="AE106" s="10"/>
    </row>
    <row r="107" spans="1:31" hidden="1">
      <c r="A107" s="277" t="s">
        <v>4640</v>
      </c>
      <c r="B107" s="9" t="s">
        <v>21</v>
      </c>
      <c r="C107" s="9">
        <v>2026</v>
      </c>
      <c r="D107" s="9" t="s">
        <v>27</v>
      </c>
      <c r="E107" s="90" t="s">
        <v>23</v>
      </c>
      <c r="F107" s="9" t="s">
        <v>7</v>
      </c>
      <c r="G107" s="10"/>
      <c r="H107" s="96">
        <v>260026</v>
      </c>
      <c r="I107" s="109" t="s">
        <v>34</v>
      </c>
      <c r="J107" s="115">
        <v>46042</v>
      </c>
      <c r="K107" s="115">
        <v>46053</v>
      </c>
      <c r="L107" s="116">
        <v>40005062</v>
      </c>
      <c r="M107" s="117" t="s">
        <v>4288</v>
      </c>
      <c r="N107" s="34" t="s">
        <v>29</v>
      </c>
      <c r="O107" s="27">
        <f>SUM(L107:L111)</f>
        <v>49681051</v>
      </c>
      <c r="P107" s="113">
        <v>46133</v>
      </c>
      <c r="Q107" s="113">
        <v>46133</v>
      </c>
      <c r="R107" s="113">
        <v>46133</v>
      </c>
      <c r="S107" s="37">
        <f t="shared" si="18"/>
        <v>40005062</v>
      </c>
      <c r="T107" s="37">
        <f t="shared" si="19"/>
        <v>0</v>
      </c>
      <c r="U107" s="10"/>
      <c r="V107" s="10"/>
      <c r="W107" s="10"/>
      <c r="X107" s="10"/>
      <c r="Y107" s="10"/>
      <c r="Z107" s="12"/>
      <c r="AA107" s="12"/>
      <c r="AB107" s="10"/>
      <c r="AC107" s="10"/>
      <c r="AD107" s="10"/>
      <c r="AE107" s="10"/>
    </row>
    <row r="108" spans="1:31" hidden="1">
      <c r="A108" s="277" t="s">
        <v>4641</v>
      </c>
      <c r="B108" s="9" t="s">
        <v>21</v>
      </c>
      <c r="C108" s="9">
        <v>2026</v>
      </c>
      <c r="D108" s="9" t="s">
        <v>27</v>
      </c>
      <c r="E108" s="90" t="s">
        <v>23</v>
      </c>
      <c r="F108" s="9" t="s">
        <v>7</v>
      </c>
      <c r="G108" s="10"/>
      <c r="H108" s="96">
        <v>260025</v>
      </c>
      <c r="I108" s="109" t="s">
        <v>34</v>
      </c>
      <c r="J108" s="115">
        <v>46042</v>
      </c>
      <c r="K108" s="115">
        <v>46053</v>
      </c>
      <c r="L108" s="116">
        <v>466938</v>
      </c>
      <c r="M108" s="117" t="s">
        <v>4286</v>
      </c>
      <c r="N108" s="34" t="s">
        <v>29</v>
      </c>
      <c r="P108" s="113">
        <v>46133</v>
      </c>
      <c r="Q108" s="113">
        <v>46133</v>
      </c>
      <c r="R108" s="113">
        <v>46133</v>
      </c>
      <c r="S108" s="37">
        <f t="shared" si="18"/>
        <v>466938</v>
      </c>
      <c r="T108" s="37">
        <f t="shared" si="19"/>
        <v>0</v>
      </c>
      <c r="U108" s="10"/>
      <c r="V108" s="10"/>
      <c r="W108" s="10"/>
      <c r="X108" s="10"/>
      <c r="Y108" s="10"/>
      <c r="Z108" s="12"/>
      <c r="AA108" s="12"/>
      <c r="AB108" s="10"/>
      <c r="AC108" s="10"/>
      <c r="AD108" s="10"/>
      <c r="AE108" s="10"/>
    </row>
    <row r="109" spans="1:31" hidden="1">
      <c r="A109" s="277" t="s">
        <v>4642</v>
      </c>
      <c r="B109" s="9" t="s">
        <v>21</v>
      </c>
      <c r="C109" s="9">
        <v>2026</v>
      </c>
      <c r="D109" s="9" t="s">
        <v>27</v>
      </c>
      <c r="E109" s="90" t="s">
        <v>23</v>
      </c>
      <c r="F109" s="9" t="s">
        <v>7</v>
      </c>
      <c r="G109" s="10"/>
      <c r="H109" s="96">
        <v>260031</v>
      </c>
      <c r="I109" s="109" t="s">
        <v>34</v>
      </c>
      <c r="J109" s="115">
        <v>46044</v>
      </c>
      <c r="K109" s="115">
        <v>46053</v>
      </c>
      <c r="L109" s="116">
        <v>853313</v>
      </c>
      <c r="M109" s="117" t="s">
        <v>4287</v>
      </c>
      <c r="N109" s="34" t="s">
        <v>29</v>
      </c>
      <c r="O109" s="10"/>
      <c r="P109" s="113">
        <v>46133</v>
      </c>
      <c r="Q109" s="113">
        <v>46133</v>
      </c>
      <c r="R109" s="113">
        <v>46133</v>
      </c>
      <c r="S109" s="37">
        <f t="shared" si="18"/>
        <v>853313</v>
      </c>
      <c r="T109" s="37">
        <f t="shared" si="19"/>
        <v>0</v>
      </c>
      <c r="U109" s="10"/>
      <c r="V109" s="10"/>
      <c r="W109" s="10"/>
      <c r="X109" s="10"/>
      <c r="Y109" s="10"/>
      <c r="Z109" s="12"/>
      <c r="AA109" s="12"/>
      <c r="AB109" s="10"/>
      <c r="AC109" s="10"/>
      <c r="AD109" s="10"/>
      <c r="AE109" s="10"/>
    </row>
    <row r="110" spans="1:31" hidden="1">
      <c r="A110" s="277" t="s">
        <v>4643</v>
      </c>
      <c r="B110" s="9" t="s">
        <v>21</v>
      </c>
      <c r="C110" s="9">
        <v>2026</v>
      </c>
      <c r="D110" s="9" t="s">
        <v>27</v>
      </c>
      <c r="E110" s="90" t="s">
        <v>23</v>
      </c>
      <c r="F110" s="9" t="s">
        <v>7</v>
      </c>
      <c r="G110" s="10"/>
      <c r="H110" s="96">
        <v>260036</v>
      </c>
      <c r="I110" s="109" t="s">
        <v>34</v>
      </c>
      <c r="J110" s="115">
        <v>46044</v>
      </c>
      <c r="K110" s="115">
        <v>46053</v>
      </c>
      <c r="L110" s="116">
        <f>624375-297131-118558-86480</f>
        <v>122206</v>
      </c>
      <c r="M110" s="117" t="s">
        <v>4515</v>
      </c>
      <c r="N110" s="34" t="s">
        <v>29</v>
      </c>
      <c r="O110" s="10"/>
      <c r="P110" s="113">
        <v>46133</v>
      </c>
      <c r="Q110" s="113">
        <v>46133</v>
      </c>
      <c r="R110" s="113">
        <v>46133</v>
      </c>
      <c r="S110" s="37">
        <f t="shared" si="18"/>
        <v>122206</v>
      </c>
      <c r="T110" s="37">
        <f t="shared" si="19"/>
        <v>0</v>
      </c>
      <c r="U110" s="10"/>
      <c r="V110" s="10"/>
      <c r="W110" s="10"/>
      <c r="X110" s="10"/>
      <c r="Y110" s="10"/>
      <c r="Z110" s="12"/>
      <c r="AA110" s="12"/>
      <c r="AB110" s="10"/>
      <c r="AC110" s="10"/>
      <c r="AD110" s="10"/>
      <c r="AE110" s="10"/>
    </row>
    <row r="111" spans="1:31" hidden="1">
      <c r="A111" s="277" t="s">
        <v>4644</v>
      </c>
      <c r="B111" s="9" t="s">
        <v>21</v>
      </c>
      <c r="C111" s="9">
        <v>2026</v>
      </c>
      <c r="D111" s="9" t="s">
        <v>27</v>
      </c>
      <c r="E111" s="90" t="s">
        <v>23</v>
      </c>
      <c r="F111" s="9" t="s">
        <v>7</v>
      </c>
      <c r="G111" s="10"/>
      <c r="H111" s="96">
        <v>251263</v>
      </c>
      <c r="I111" s="109" t="s">
        <v>34</v>
      </c>
      <c r="J111" s="115">
        <v>46044</v>
      </c>
      <c r="K111" s="115">
        <v>46053</v>
      </c>
      <c r="L111" s="116">
        <f>11550159-3150000-28827-137800</f>
        <v>8233532</v>
      </c>
      <c r="M111" s="117" t="s">
        <v>4517</v>
      </c>
      <c r="N111" s="34" t="s">
        <v>29</v>
      </c>
      <c r="O111" s="10"/>
      <c r="P111" s="113">
        <v>46133</v>
      </c>
      <c r="Q111" s="113">
        <v>46133</v>
      </c>
      <c r="R111" s="113">
        <v>46133</v>
      </c>
      <c r="S111" s="37">
        <f t="shared" si="18"/>
        <v>8233532</v>
      </c>
      <c r="T111" s="37">
        <f t="shared" si="19"/>
        <v>0</v>
      </c>
      <c r="U111" s="10"/>
      <c r="V111" s="10"/>
      <c r="W111" s="10"/>
      <c r="X111" s="10"/>
      <c r="Y111" s="10"/>
      <c r="Z111" s="12"/>
      <c r="AA111" s="12"/>
      <c r="AB111" s="10"/>
      <c r="AC111" s="10"/>
      <c r="AD111" s="10"/>
      <c r="AE111" s="10"/>
    </row>
    <row r="112" spans="1:31" hidden="1">
      <c r="A112" s="277" t="s">
        <v>4645</v>
      </c>
      <c r="B112" s="9" t="s">
        <v>21</v>
      </c>
      <c r="C112" s="9">
        <v>2026</v>
      </c>
      <c r="D112" s="9" t="s">
        <v>27</v>
      </c>
      <c r="E112" s="90" t="s">
        <v>23</v>
      </c>
      <c r="F112" s="9" t="s">
        <v>7</v>
      </c>
      <c r="G112" s="10"/>
      <c r="H112" s="96">
        <v>260141</v>
      </c>
      <c r="I112" s="109" t="s">
        <v>34</v>
      </c>
      <c r="J112" s="115">
        <v>46080</v>
      </c>
      <c r="K112" s="115">
        <v>46095</v>
      </c>
      <c r="L112" s="116">
        <f>5553545</f>
        <v>5553545</v>
      </c>
      <c r="M112" s="117" t="s">
        <v>4516</v>
      </c>
      <c r="N112" s="34" t="s">
        <v>29</v>
      </c>
      <c r="O112" s="27">
        <f>SUM(L112:L119)</f>
        <v>37807354</v>
      </c>
      <c r="P112" s="113">
        <v>46185</v>
      </c>
      <c r="Q112" s="113">
        <v>46185</v>
      </c>
      <c r="R112" s="113">
        <v>46185</v>
      </c>
      <c r="S112" s="37">
        <f t="shared" ref="S112:S115" si="20">IF(R112="",0,L112)</f>
        <v>5553545</v>
      </c>
      <c r="T112" s="37">
        <f t="shared" ref="T112:T115" si="21">L112-S112</f>
        <v>0</v>
      </c>
      <c r="U112" s="10"/>
      <c r="V112" s="10"/>
      <c r="W112" s="10"/>
      <c r="X112" s="10"/>
      <c r="Y112" s="10"/>
      <c r="Z112" s="12"/>
      <c r="AA112" s="12"/>
      <c r="AB112" s="10"/>
      <c r="AC112" s="10"/>
      <c r="AD112" s="10"/>
      <c r="AE112" s="10"/>
    </row>
    <row r="113" spans="1:31" hidden="1">
      <c r="A113" s="277" t="s">
        <v>4646</v>
      </c>
      <c r="B113" s="9" t="s">
        <v>21</v>
      </c>
      <c r="C113" s="9">
        <v>2026</v>
      </c>
      <c r="D113" s="9" t="s">
        <v>27</v>
      </c>
      <c r="E113" s="90" t="s">
        <v>23</v>
      </c>
      <c r="F113" s="9" t="s">
        <v>7</v>
      </c>
      <c r="G113" s="10"/>
      <c r="H113" s="96">
        <v>260140</v>
      </c>
      <c r="I113" s="109" t="s">
        <v>34</v>
      </c>
      <c r="J113" s="115">
        <v>46080</v>
      </c>
      <c r="K113" s="115">
        <v>46095</v>
      </c>
      <c r="L113" s="116">
        <v>245588</v>
      </c>
      <c r="M113" s="117" t="s">
        <v>4464</v>
      </c>
      <c r="N113" s="34" t="s">
        <v>29</v>
      </c>
      <c r="O113" s="10"/>
      <c r="P113" s="113">
        <v>46185</v>
      </c>
      <c r="Q113" s="113">
        <v>46185</v>
      </c>
      <c r="R113" s="113">
        <v>46185</v>
      </c>
      <c r="S113" s="37">
        <f t="shared" si="20"/>
        <v>245588</v>
      </c>
      <c r="T113" s="37">
        <f t="shared" si="21"/>
        <v>0</v>
      </c>
      <c r="U113" s="10"/>
      <c r="V113" s="10"/>
      <c r="W113" s="10"/>
      <c r="X113" s="10"/>
      <c r="Y113" s="10"/>
      <c r="Z113" s="12"/>
      <c r="AA113" s="12"/>
      <c r="AB113" s="10"/>
      <c r="AC113" s="10"/>
      <c r="AD113" s="10"/>
      <c r="AE113" s="10"/>
    </row>
    <row r="114" spans="1:31" hidden="1">
      <c r="A114" s="277" t="s">
        <v>4647</v>
      </c>
      <c r="B114" s="9" t="s">
        <v>21</v>
      </c>
      <c r="C114" s="9">
        <v>2026</v>
      </c>
      <c r="D114" s="9" t="s">
        <v>27</v>
      </c>
      <c r="E114" s="90" t="s">
        <v>23</v>
      </c>
      <c r="F114" s="9" t="s">
        <v>7</v>
      </c>
      <c r="G114" s="10"/>
      <c r="H114" s="96">
        <v>260159</v>
      </c>
      <c r="I114" s="109" t="s">
        <v>34</v>
      </c>
      <c r="J114" s="115">
        <v>46085</v>
      </c>
      <c r="K114" s="115">
        <v>46095</v>
      </c>
      <c r="L114" s="116">
        <v>13837297</v>
      </c>
      <c r="M114" s="117" t="s">
        <v>4465</v>
      </c>
      <c r="N114" s="34" t="s">
        <v>29</v>
      </c>
      <c r="O114" s="10"/>
      <c r="P114" s="113">
        <v>46185</v>
      </c>
      <c r="Q114" s="113">
        <v>46185</v>
      </c>
      <c r="R114" s="113">
        <v>46185</v>
      </c>
      <c r="S114" s="37">
        <f t="shared" si="20"/>
        <v>13837297</v>
      </c>
      <c r="T114" s="37">
        <f t="shared" si="21"/>
        <v>0</v>
      </c>
      <c r="U114" s="10"/>
      <c r="V114" s="10"/>
      <c r="W114" s="10"/>
      <c r="X114" s="10"/>
      <c r="Y114" s="10"/>
      <c r="Z114" s="12"/>
      <c r="AA114" s="12"/>
      <c r="AB114" s="10"/>
      <c r="AC114" s="10"/>
      <c r="AD114" s="10"/>
      <c r="AE114" s="10"/>
    </row>
    <row r="115" spans="1:31" hidden="1">
      <c r="A115" s="277" t="s">
        <v>4648</v>
      </c>
      <c r="B115" s="9" t="s">
        <v>21</v>
      </c>
      <c r="C115" s="9">
        <v>2026</v>
      </c>
      <c r="D115" s="9" t="s">
        <v>27</v>
      </c>
      <c r="E115" s="90" t="s">
        <v>23</v>
      </c>
      <c r="F115" s="9" t="s">
        <v>7</v>
      </c>
      <c r="G115" s="10"/>
      <c r="H115" s="96">
        <v>260161</v>
      </c>
      <c r="I115" s="109" t="s">
        <v>34</v>
      </c>
      <c r="J115" s="115">
        <v>46087</v>
      </c>
      <c r="K115" s="115">
        <v>46095</v>
      </c>
      <c r="L115" s="116">
        <v>2623425</v>
      </c>
      <c r="M115" s="117" t="s">
        <v>4466</v>
      </c>
      <c r="N115" s="34" t="s">
        <v>29</v>
      </c>
      <c r="O115" s="10"/>
      <c r="P115" s="113">
        <v>46185</v>
      </c>
      <c r="Q115" s="113">
        <v>46185</v>
      </c>
      <c r="R115" s="113">
        <v>46185</v>
      </c>
      <c r="S115" s="37">
        <f t="shared" si="20"/>
        <v>2623425</v>
      </c>
      <c r="T115" s="37">
        <f t="shared" si="21"/>
        <v>0</v>
      </c>
      <c r="U115" s="10"/>
      <c r="V115" s="10"/>
      <c r="W115" s="10"/>
      <c r="X115" s="10"/>
      <c r="Y115" s="10"/>
      <c r="Z115" s="12"/>
      <c r="AA115" s="12"/>
      <c r="AB115" s="10"/>
      <c r="AC115" s="10"/>
      <c r="AD115" s="10"/>
      <c r="AE115" s="10"/>
    </row>
    <row r="116" spans="1:31" hidden="1">
      <c r="A116" s="277" t="s">
        <v>4649</v>
      </c>
      <c r="B116" s="9" t="s">
        <v>21</v>
      </c>
      <c r="C116" s="9">
        <v>2026</v>
      </c>
      <c r="D116" s="9" t="s">
        <v>27</v>
      </c>
      <c r="E116" s="90" t="s">
        <v>23</v>
      </c>
      <c r="F116" s="9" t="s">
        <v>7</v>
      </c>
      <c r="G116" s="10"/>
      <c r="H116" s="96">
        <v>260163</v>
      </c>
      <c r="I116" s="109" t="s">
        <v>34</v>
      </c>
      <c r="J116" s="115">
        <v>46090</v>
      </c>
      <c r="K116" s="115">
        <v>46107</v>
      </c>
      <c r="L116" s="116">
        <v>657675</v>
      </c>
      <c r="M116" s="117" t="s">
        <v>4478</v>
      </c>
      <c r="N116" s="34" t="s">
        <v>29</v>
      </c>
      <c r="O116" s="10"/>
      <c r="P116" s="113">
        <v>46185</v>
      </c>
      <c r="Q116" s="113">
        <v>46185</v>
      </c>
      <c r="R116" s="113">
        <v>46185</v>
      </c>
      <c r="S116" s="37">
        <f>IF(R116="",0,L116)</f>
        <v>657675</v>
      </c>
      <c r="T116" s="37">
        <f>L116-S116</f>
        <v>0</v>
      </c>
      <c r="U116" s="10"/>
      <c r="V116" s="10"/>
      <c r="W116" s="10"/>
      <c r="X116" s="10"/>
      <c r="Y116" s="10"/>
      <c r="Z116" s="12"/>
      <c r="AA116" s="12"/>
      <c r="AB116" s="10"/>
      <c r="AC116" s="10"/>
      <c r="AD116" s="10"/>
      <c r="AE116" s="10"/>
    </row>
    <row r="117" spans="1:31" hidden="1">
      <c r="A117" s="277" t="s">
        <v>4650</v>
      </c>
      <c r="B117" s="9" t="s">
        <v>21</v>
      </c>
      <c r="C117" s="9">
        <v>2026</v>
      </c>
      <c r="D117" s="9" t="s">
        <v>27</v>
      </c>
      <c r="E117" s="90" t="s">
        <v>23</v>
      </c>
      <c r="F117" s="9" t="s">
        <v>7</v>
      </c>
      <c r="G117" s="10"/>
      <c r="H117" s="96">
        <v>260162</v>
      </c>
      <c r="I117" s="109" t="s">
        <v>34</v>
      </c>
      <c r="J117" s="115">
        <v>46091</v>
      </c>
      <c r="K117" s="115">
        <v>46107</v>
      </c>
      <c r="L117" s="116">
        <v>239760</v>
      </c>
      <c r="M117" s="117" t="s">
        <v>4479</v>
      </c>
      <c r="N117" s="34" t="s">
        <v>29</v>
      </c>
      <c r="O117" s="10"/>
      <c r="P117" s="113">
        <v>46185</v>
      </c>
      <c r="Q117" s="113">
        <v>46185</v>
      </c>
      <c r="R117" s="113">
        <v>46185</v>
      </c>
      <c r="S117" s="37">
        <f>IF(R117="",0,L117)</f>
        <v>239760</v>
      </c>
      <c r="T117" s="37">
        <f>L117-S117</f>
        <v>0</v>
      </c>
      <c r="U117" s="10"/>
      <c r="V117" s="10"/>
      <c r="W117" s="10"/>
      <c r="X117" s="10"/>
      <c r="Y117" s="10"/>
      <c r="Z117" s="12"/>
      <c r="AA117" s="12"/>
      <c r="AB117" s="10"/>
      <c r="AC117" s="10"/>
      <c r="AD117" s="10"/>
      <c r="AE117" s="10"/>
    </row>
    <row r="118" spans="1:31" hidden="1">
      <c r="A118" s="277" t="s">
        <v>4651</v>
      </c>
      <c r="B118" s="9" t="s">
        <v>21</v>
      </c>
      <c r="C118" s="9">
        <v>2026</v>
      </c>
      <c r="D118" s="9" t="s">
        <v>27</v>
      </c>
      <c r="E118" s="90" t="s">
        <v>23</v>
      </c>
      <c r="F118" s="9" t="s">
        <v>7</v>
      </c>
      <c r="G118" s="10"/>
      <c r="H118" s="96">
        <v>260186</v>
      </c>
      <c r="I118" s="109" t="s">
        <v>34</v>
      </c>
      <c r="J118" s="115">
        <v>46107</v>
      </c>
      <c r="K118" s="115">
        <v>46119</v>
      </c>
      <c r="L118" s="116">
        <v>9243525</v>
      </c>
      <c r="M118" s="117" t="s">
        <v>4488</v>
      </c>
      <c r="N118" s="34" t="s">
        <v>29</v>
      </c>
      <c r="O118" s="27"/>
      <c r="P118" s="113">
        <v>46185</v>
      </c>
      <c r="Q118" s="113">
        <v>46185</v>
      </c>
      <c r="R118" s="113">
        <v>46185</v>
      </c>
      <c r="S118" s="37">
        <f>IF(R118="",0,L118)</f>
        <v>9243525</v>
      </c>
      <c r="T118" s="37">
        <f>L118-S118</f>
        <v>0</v>
      </c>
      <c r="U118" s="10"/>
      <c r="V118" s="10"/>
      <c r="W118" s="10"/>
      <c r="X118" s="10"/>
      <c r="Y118" s="10"/>
      <c r="Z118" s="12"/>
      <c r="AA118" s="12"/>
      <c r="AB118" s="10"/>
      <c r="AC118" s="10"/>
      <c r="AD118" s="10"/>
      <c r="AE118" s="10"/>
    </row>
    <row r="119" spans="1:31" hidden="1">
      <c r="A119" s="277" t="s">
        <v>4652</v>
      </c>
      <c r="B119" s="9" t="s">
        <v>21</v>
      </c>
      <c r="C119" s="9">
        <v>2026</v>
      </c>
      <c r="D119" s="9" t="s">
        <v>27</v>
      </c>
      <c r="E119" s="90" t="s">
        <v>23</v>
      </c>
      <c r="F119" s="9" t="s">
        <v>7</v>
      </c>
      <c r="G119" s="10"/>
      <c r="H119" s="96">
        <v>260185</v>
      </c>
      <c r="I119" s="109" t="s">
        <v>34</v>
      </c>
      <c r="J119" s="115">
        <v>46108</v>
      </c>
      <c r="K119" s="115">
        <v>46119</v>
      </c>
      <c r="L119" s="116">
        <v>5406539</v>
      </c>
      <c r="M119" s="117" t="s">
        <v>4489</v>
      </c>
      <c r="N119" s="34" t="s">
        <v>29</v>
      </c>
      <c r="O119" s="10"/>
      <c r="P119" s="113">
        <v>46185</v>
      </c>
      <c r="Q119" s="113">
        <v>46185</v>
      </c>
      <c r="R119" s="113">
        <v>46185</v>
      </c>
      <c r="S119" s="37">
        <f>IF(R119="",0,L119)</f>
        <v>5406539</v>
      </c>
      <c r="T119" s="37">
        <f>L119-S119</f>
        <v>0</v>
      </c>
      <c r="U119" s="10"/>
      <c r="V119" s="10"/>
      <c r="W119" s="10"/>
      <c r="X119" s="10"/>
      <c r="Y119" s="10"/>
      <c r="Z119" s="12"/>
      <c r="AA119" s="12"/>
      <c r="AB119" s="10"/>
      <c r="AC119" s="10"/>
      <c r="AD119" s="10"/>
      <c r="AE119" s="10"/>
    </row>
    <row r="120" spans="1:31" hidden="1">
      <c r="A120" s="277" t="s">
        <v>4653</v>
      </c>
      <c r="B120" s="9" t="s">
        <v>21</v>
      </c>
      <c r="C120" s="9">
        <v>2026</v>
      </c>
      <c r="D120" s="9" t="s">
        <v>27</v>
      </c>
      <c r="E120" s="90" t="s">
        <v>23</v>
      </c>
      <c r="F120" s="9" t="s">
        <v>7</v>
      </c>
      <c r="G120" s="10"/>
      <c r="H120" s="96">
        <v>260224</v>
      </c>
      <c r="I120" s="109" t="s">
        <v>34</v>
      </c>
      <c r="J120" s="115">
        <v>46134</v>
      </c>
      <c r="K120" s="115">
        <v>46147</v>
      </c>
      <c r="L120" s="116">
        <f>13869450</f>
        <v>13869450</v>
      </c>
      <c r="M120" s="117" t="s">
        <v>7098</v>
      </c>
      <c r="N120" s="34" t="s">
        <v>29</v>
      </c>
      <c r="O120" s="10"/>
      <c r="P120" s="113">
        <v>46209</v>
      </c>
      <c r="Q120" s="113">
        <v>46209</v>
      </c>
      <c r="R120" s="113">
        <v>46209</v>
      </c>
      <c r="S120" s="37">
        <f>IF(R120="",0,L120)</f>
        <v>13869450</v>
      </c>
      <c r="T120" s="37">
        <f>L120-S120</f>
        <v>0</v>
      </c>
      <c r="U120" s="10"/>
      <c r="V120" s="10"/>
      <c r="W120" s="10"/>
      <c r="X120" s="10"/>
      <c r="Y120" s="10"/>
      <c r="Z120" s="12"/>
      <c r="AA120" s="12"/>
      <c r="AB120" s="10"/>
      <c r="AC120" s="10"/>
      <c r="AD120" s="10"/>
      <c r="AE120" s="10"/>
    </row>
    <row r="121" spans="1:31" hidden="1">
      <c r="A121" s="277" t="s">
        <v>4654</v>
      </c>
      <c r="B121" s="9" t="s">
        <v>21</v>
      </c>
      <c r="C121" s="9">
        <v>2026</v>
      </c>
      <c r="D121" s="9" t="s">
        <v>27</v>
      </c>
      <c r="E121" s="90" t="s">
        <v>23</v>
      </c>
      <c r="F121" s="9" t="s">
        <v>7</v>
      </c>
      <c r="G121" s="10"/>
      <c r="H121" s="96">
        <v>260226</v>
      </c>
      <c r="I121" s="109" t="s">
        <v>34</v>
      </c>
      <c r="J121" s="115">
        <v>46134</v>
      </c>
      <c r="K121" s="115">
        <v>46147</v>
      </c>
      <c r="L121" s="116">
        <v>19060991</v>
      </c>
      <c r="M121" s="117" t="s">
        <v>7003</v>
      </c>
      <c r="N121" s="34" t="s">
        <v>29</v>
      </c>
      <c r="O121" s="10"/>
      <c r="P121" s="113">
        <v>46209</v>
      </c>
      <c r="Q121" s="113">
        <v>46209</v>
      </c>
      <c r="R121" s="113">
        <v>46209</v>
      </c>
      <c r="S121" s="37">
        <f t="shared" ref="S121:S128" si="22">IF(R121="",0,L121)</f>
        <v>19060991</v>
      </c>
      <c r="T121" s="37">
        <f t="shared" ref="T121:T128" si="23">L121-S121</f>
        <v>0</v>
      </c>
      <c r="U121" s="10"/>
      <c r="V121" s="10"/>
      <c r="W121" s="10"/>
      <c r="X121" s="10"/>
      <c r="Y121" s="10"/>
      <c r="Z121" s="12"/>
      <c r="AA121" s="12"/>
      <c r="AB121" s="10"/>
      <c r="AC121" s="10"/>
      <c r="AD121" s="10"/>
      <c r="AE121" s="10"/>
    </row>
    <row r="122" spans="1:31" hidden="1">
      <c r="A122" s="277" t="s">
        <v>4655</v>
      </c>
      <c r="B122" s="9" t="s">
        <v>21</v>
      </c>
      <c r="C122" s="9">
        <v>2026</v>
      </c>
      <c r="D122" s="9" t="s">
        <v>27</v>
      </c>
      <c r="E122" s="90" t="s">
        <v>23</v>
      </c>
      <c r="F122" s="9" t="s">
        <v>7</v>
      </c>
      <c r="G122" s="10"/>
      <c r="H122" s="96">
        <v>260227</v>
      </c>
      <c r="I122" s="109" t="s">
        <v>34</v>
      </c>
      <c r="J122" s="115">
        <v>46134</v>
      </c>
      <c r="K122" s="115">
        <v>46147</v>
      </c>
      <c r="L122" s="116">
        <v>1642143</v>
      </c>
      <c r="M122" s="117" t="s">
        <v>7004</v>
      </c>
      <c r="N122" s="34" t="s">
        <v>29</v>
      </c>
      <c r="O122" s="10"/>
      <c r="P122" s="113">
        <v>46209</v>
      </c>
      <c r="Q122" s="113">
        <v>46209</v>
      </c>
      <c r="R122" s="113">
        <v>46209</v>
      </c>
      <c r="S122" s="37">
        <f t="shared" si="22"/>
        <v>1642143</v>
      </c>
      <c r="T122" s="37">
        <f t="shared" si="23"/>
        <v>0</v>
      </c>
      <c r="U122" s="10"/>
      <c r="V122" s="10"/>
      <c r="W122" s="10"/>
      <c r="X122" s="10"/>
      <c r="Y122" s="10"/>
      <c r="Z122" s="12"/>
      <c r="AA122" s="12"/>
      <c r="AB122" s="10"/>
      <c r="AC122" s="10"/>
      <c r="AD122" s="10"/>
      <c r="AE122" s="10"/>
    </row>
    <row r="123" spans="1:31" hidden="1">
      <c r="A123" s="277" t="s">
        <v>4656</v>
      </c>
      <c r="B123" s="9" t="s">
        <v>21</v>
      </c>
      <c r="C123" s="9">
        <v>2026</v>
      </c>
      <c r="D123" s="9" t="s">
        <v>27</v>
      </c>
      <c r="E123" s="90" t="s">
        <v>23</v>
      </c>
      <c r="F123" s="9" t="s">
        <v>7</v>
      </c>
      <c r="G123" s="10"/>
      <c r="H123" s="96">
        <v>260225</v>
      </c>
      <c r="I123" s="109" t="s">
        <v>34</v>
      </c>
      <c r="J123" s="115">
        <v>46134</v>
      </c>
      <c r="K123" s="115">
        <v>46147</v>
      </c>
      <c r="L123" s="116">
        <v>1810688</v>
      </c>
      <c r="M123" s="117" t="s">
        <v>7005</v>
      </c>
      <c r="N123" s="34" t="s">
        <v>29</v>
      </c>
      <c r="O123" s="10"/>
      <c r="P123" s="113">
        <v>46209</v>
      </c>
      <c r="Q123" s="113">
        <v>46209</v>
      </c>
      <c r="R123" s="113">
        <v>46209</v>
      </c>
      <c r="S123" s="37">
        <f t="shared" si="22"/>
        <v>1810688</v>
      </c>
      <c r="T123" s="37">
        <f t="shared" si="23"/>
        <v>0</v>
      </c>
      <c r="U123" s="10"/>
      <c r="V123" s="10"/>
      <c r="W123" s="10"/>
      <c r="X123" s="10"/>
      <c r="Y123" s="10"/>
      <c r="Z123" s="12"/>
      <c r="AA123" s="12"/>
      <c r="AB123" s="10"/>
      <c r="AC123" s="10"/>
      <c r="AD123" s="10"/>
      <c r="AE123" s="10"/>
    </row>
    <row r="124" spans="1:31" hidden="1">
      <c r="A124" s="277" t="s">
        <v>4657</v>
      </c>
      <c r="B124" s="9" t="s">
        <v>21</v>
      </c>
      <c r="C124" s="9">
        <v>2026</v>
      </c>
      <c r="D124" s="9" t="s">
        <v>27</v>
      </c>
      <c r="E124" s="90" t="s">
        <v>23</v>
      </c>
      <c r="F124" s="9" t="s">
        <v>7</v>
      </c>
      <c r="G124" s="10"/>
      <c r="H124" s="96">
        <v>260228</v>
      </c>
      <c r="I124" s="109" t="s">
        <v>34</v>
      </c>
      <c r="J124" s="115">
        <v>46134</v>
      </c>
      <c r="K124" s="115">
        <v>46147</v>
      </c>
      <c r="L124" s="116">
        <v>888000</v>
      </c>
      <c r="M124" s="117" t="s">
        <v>7006</v>
      </c>
      <c r="N124" s="34" t="s">
        <v>29</v>
      </c>
      <c r="O124" s="10"/>
      <c r="P124" s="113">
        <v>46209</v>
      </c>
      <c r="Q124" s="113">
        <v>46209</v>
      </c>
      <c r="R124" s="113">
        <v>46209</v>
      </c>
      <c r="S124" s="37">
        <f t="shared" si="22"/>
        <v>888000</v>
      </c>
      <c r="T124" s="37">
        <f t="shared" si="23"/>
        <v>0</v>
      </c>
      <c r="U124" s="10"/>
      <c r="V124" s="10"/>
      <c r="W124" s="10"/>
      <c r="X124" s="10"/>
      <c r="Y124" s="10"/>
      <c r="Z124" s="12"/>
      <c r="AA124" s="12"/>
      <c r="AB124" s="10"/>
      <c r="AC124" s="10"/>
      <c r="AD124" s="10"/>
      <c r="AE124" s="10"/>
    </row>
    <row r="125" spans="1:31" hidden="1">
      <c r="A125" s="277" t="s">
        <v>4658</v>
      </c>
      <c r="B125" s="9" t="s">
        <v>21</v>
      </c>
      <c r="C125" s="9">
        <v>2026</v>
      </c>
      <c r="D125" s="9" t="s">
        <v>27</v>
      </c>
      <c r="E125" s="90" t="s">
        <v>23</v>
      </c>
      <c r="F125" s="9" t="s">
        <v>7</v>
      </c>
      <c r="G125" s="10"/>
      <c r="H125" s="96">
        <v>260229</v>
      </c>
      <c r="I125" s="109" t="s">
        <v>34</v>
      </c>
      <c r="J125" s="115">
        <v>46134</v>
      </c>
      <c r="K125" s="115">
        <v>46147</v>
      </c>
      <c r="L125" s="116">
        <v>399600</v>
      </c>
      <c r="M125" s="117" t="s">
        <v>7007</v>
      </c>
      <c r="N125" s="34" t="s">
        <v>29</v>
      </c>
      <c r="O125" s="10"/>
      <c r="P125" s="113">
        <v>46209</v>
      </c>
      <c r="Q125" s="113">
        <v>46209</v>
      </c>
      <c r="R125" s="113">
        <v>46209</v>
      </c>
      <c r="S125" s="37">
        <f t="shared" si="22"/>
        <v>399600</v>
      </c>
      <c r="T125" s="37">
        <f t="shared" si="23"/>
        <v>0</v>
      </c>
      <c r="U125" s="10"/>
      <c r="V125" s="10"/>
      <c r="W125" s="10"/>
      <c r="X125" s="10"/>
      <c r="Y125" s="10"/>
      <c r="Z125" s="12"/>
      <c r="AA125" s="12"/>
      <c r="AB125" s="10"/>
      <c r="AC125" s="10"/>
      <c r="AD125" s="10"/>
      <c r="AE125" s="10"/>
    </row>
    <row r="126" spans="1:31" hidden="1">
      <c r="A126" s="277" t="s">
        <v>4659</v>
      </c>
      <c r="B126" s="9" t="s">
        <v>21</v>
      </c>
      <c r="C126" s="9">
        <v>2026</v>
      </c>
      <c r="D126" s="9" t="s">
        <v>27</v>
      </c>
      <c r="E126" s="90" t="s">
        <v>23</v>
      </c>
      <c r="F126" s="9" t="s">
        <v>7</v>
      </c>
      <c r="G126" s="10"/>
      <c r="H126" s="96">
        <v>260237</v>
      </c>
      <c r="I126" s="109" t="s">
        <v>34</v>
      </c>
      <c r="J126" s="115">
        <v>46136</v>
      </c>
      <c r="K126" s="115">
        <v>46147</v>
      </c>
      <c r="L126" s="116">
        <v>893550</v>
      </c>
      <c r="M126" s="117" t="s">
        <v>7008</v>
      </c>
      <c r="N126" s="34" t="s">
        <v>29</v>
      </c>
      <c r="O126" s="10"/>
      <c r="P126" s="113">
        <v>46209</v>
      </c>
      <c r="Q126" s="113">
        <v>46209</v>
      </c>
      <c r="R126" s="113">
        <v>46209</v>
      </c>
      <c r="S126" s="37">
        <f t="shared" si="22"/>
        <v>893550</v>
      </c>
      <c r="T126" s="37">
        <f t="shared" si="23"/>
        <v>0</v>
      </c>
      <c r="U126" s="10"/>
      <c r="V126" s="10"/>
      <c r="W126" s="10"/>
      <c r="X126" s="10"/>
      <c r="Y126" s="10"/>
      <c r="Z126" s="12"/>
      <c r="AA126" s="12"/>
      <c r="AB126" s="10"/>
      <c r="AC126" s="10"/>
      <c r="AD126" s="10"/>
      <c r="AE126" s="10"/>
    </row>
    <row r="127" spans="1:31" ht="14.25" hidden="1" customHeight="1">
      <c r="A127" s="277" t="s">
        <v>4660</v>
      </c>
      <c r="B127" s="9" t="s">
        <v>21</v>
      </c>
      <c r="C127" s="9">
        <v>2026</v>
      </c>
      <c r="D127" s="9" t="s">
        <v>27</v>
      </c>
      <c r="E127" s="90" t="s">
        <v>23</v>
      </c>
      <c r="F127" s="9" t="s">
        <v>7</v>
      </c>
      <c r="G127" s="10"/>
      <c r="H127" s="96">
        <v>260239</v>
      </c>
      <c r="I127" s="109" t="s">
        <v>34</v>
      </c>
      <c r="J127" s="115">
        <v>46137</v>
      </c>
      <c r="K127" s="115">
        <v>46147</v>
      </c>
      <c r="L127" s="116">
        <v>91298</v>
      </c>
      <c r="M127" s="117" t="s">
        <v>7009</v>
      </c>
      <c r="N127" s="34" t="s">
        <v>29</v>
      </c>
      <c r="O127" s="10"/>
      <c r="P127" s="113">
        <v>46209</v>
      </c>
      <c r="Q127" s="113">
        <v>46209</v>
      </c>
      <c r="R127" s="113">
        <v>46209</v>
      </c>
      <c r="S127" s="37">
        <f t="shared" si="22"/>
        <v>91298</v>
      </c>
      <c r="T127" s="37">
        <f t="shared" si="23"/>
        <v>0</v>
      </c>
      <c r="U127" s="10"/>
      <c r="V127" s="10"/>
      <c r="W127" s="10"/>
      <c r="X127" s="10"/>
      <c r="Y127" s="10"/>
      <c r="Z127" s="12"/>
      <c r="AA127" s="12"/>
      <c r="AB127" s="10"/>
      <c r="AC127" s="10"/>
      <c r="AD127" s="10"/>
      <c r="AE127" s="10"/>
    </row>
    <row r="128" spans="1:31" ht="14.25" hidden="1" customHeight="1">
      <c r="A128" s="277" t="s">
        <v>4660</v>
      </c>
      <c r="B128" s="9" t="s">
        <v>21</v>
      </c>
      <c r="C128" s="9">
        <v>2026</v>
      </c>
      <c r="D128" s="9" t="s">
        <v>27</v>
      </c>
      <c r="E128" s="90" t="s">
        <v>23</v>
      </c>
      <c r="F128" s="9" t="s">
        <v>7</v>
      </c>
      <c r="G128" s="10"/>
      <c r="H128" s="96">
        <v>260362</v>
      </c>
      <c r="I128" s="109" t="s">
        <v>34</v>
      </c>
      <c r="J128" s="115">
        <v>46188</v>
      </c>
      <c r="K128" s="115">
        <v>46198</v>
      </c>
      <c r="L128" s="116">
        <v>13819802</v>
      </c>
      <c r="M128" s="117" t="s">
        <v>7176</v>
      </c>
      <c r="N128" s="34" t="s">
        <v>29</v>
      </c>
      <c r="O128" s="10"/>
      <c r="P128" s="113">
        <v>46229</v>
      </c>
      <c r="Q128" s="113">
        <v>46229</v>
      </c>
      <c r="R128" s="113">
        <v>46229</v>
      </c>
      <c r="S128" s="37">
        <f t="shared" si="22"/>
        <v>13819802</v>
      </c>
      <c r="T128" s="37">
        <f t="shared" si="23"/>
        <v>0</v>
      </c>
      <c r="U128" s="10"/>
      <c r="V128" s="10"/>
      <c r="W128" s="10"/>
      <c r="X128" s="10"/>
      <c r="Y128" s="10"/>
      <c r="Z128" s="12"/>
      <c r="AA128" s="12"/>
      <c r="AB128" s="10"/>
      <c r="AC128" s="10"/>
      <c r="AD128" s="10"/>
      <c r="AE128" s="10"/>
    </row>
    <row r="129" spans="1:31" ht="14.25" hidden="1" customHeight="1">
      <c r="A129" s="277" t="s">
        <v>4660</v>
      </c>
      <c r="B129" s="9" t="s">
        <v>21</v>
      </c>
      <c r="C129" s="9">
        <v>2026</v>
      </c>
      <c r="D129" s="9" t="s">
        <v>27</v>
      </c>
      <c r="E129" s="90" t="s">
        <v>23</v>
      </c>
      <c r="F129" s="9" t="s">
        <v>7</v>
      </c>
      <c r="G129" s="10"/>
      <c r="H129" s="96">
        <v>260363</v>
      </c>
      <c r="I129" s="109" t="s">
        <v>34</v>
      </c>
      <c r="J129" s="115">
        <v>46188</v>
      </c>
      <c r="K129" s="115">
        <v>46198</v>
      </c>
      <c r="L129" s="116">
        <f>268065-124320</f>
        <v>143745</v>
      </c>
      <c r="M129" s="117" t="s">
        <v>7177</v>
      </c>
      <c r="N129" s="34" t="s">
        <v>29</v>
      </c>
      <c r="O129" s="10"/>
      <c r="P129" s="113">
        <v>46229</v>
      </c>
      <c r="Q129" s="113">
        <v>46229</v>
      </c>
      <c r="R129" s="113">
        <v>46229</v>
      </c>
      <c r="S129" s="37">
        <f t="shared" ref="S129" si="24">IF(R129="",0,L129)</f>
        <v>143745</v>
      </c>
      <c r="T129" s="37">
        <f t="shared" ref="T129" si="25">L129-S129</f>
        <v>0</v>
      </c>
      <c r="U129" s="10"/>
      <c r="V129" s="10"/>
      <c r="W129" s="10"/>
      <c r="X129" s="10"/>
      <c r="Y129" s="10"/>
      <c r="Z129" s="12"/>
      <c r="AA129" s="12"/>
      <c r="AB129" s="10"/>
      <c r="AC129" s="10"/>
      <c r="AD129" s="10"/>
      <c r="AE129" s="10"/>
    </row>
    <row r="130" spans="1:31" ht="14.25" hidden="1" customHeight="1">
      <c r="A130" s="277" t="s">
        <v>4660</v>
      </c>
      <c r="B130" s="9" t="s">
        <v>21</v>
      </c>
      <c r="C130" s="9">
        <v>2026</v>
      </c>
      <c r="D130" s="9" t="s">
        <v>27</v>
      </c>
      <c r="E130" s="90" t="s">
        <v>23</v>
      </c>
      <c r="F130" s="9" t="s">
        <v>7</v>
      </c>
      <c r="G130" s="10"/>
      <c r="H130" s="96">
        <v>260383</v>
      </c>
      <c r="I130" s="109" t="s">
        <v>34</v>
      </c>
      <c r="J130" s="115">
        <v>46192</v>
      </c>
      <c r="K130" s="115">
        <v>46203</v>
      </c>
      <c r="L130" s="116">
        <v>1482333</v>
      </c>
      <c r="M130" s="117" t="s">
        <v>7188</v>
      </c>
      <c r="N130" s="34" t="s">
        <v>29</v>
      </c>
      <c r="O130" s="10"/>
      <c r="P130" s="113">
        <v>46229</v>
      </c>
      <c r="Q130" s="113">
        <v>46229</v>
      </c>
      <c r="R130" s="113">
        <v>46229</v>
      </c>
      <c r="S130" s="37">
        <f t="shared" ref="S130:S140" si="26">IF(R130="",0,L130)</f>
        <v>1482333</v>
      </c>
      <c r="T130" s="37">
        <f t="shared" ref="T130:T140" si="27">L130-S130</f>
        <v>0</v>
      </c>
      <c r="U130" s="10"/>
      <c r="V130" s="10"/>
      <c r="W130" s="10"/>
      <c r="X130" s="10"/>
      <c r="Y130" s="10"/>
      <c r="Z130" s="12"/>
      <c r="AA130" s="12"/>
      <c r="AB130" s="10"/>
      <c r="AC130" s="10"/>
      <c r="AD130" s="10"/>
      <c r="AE130" s="10"/>
    </row>
    <row r="131" spans="1:31" ht="14.25" customHeight="1">
      <c r="A131" s="277" t="s">
        <v>4660</v>
      </c>
      <c r="B131" s="9" t="s">
        <v>21</v>
      </c>
      <c r="C131" s="9">
        <v>2026</v>
      </c>
      <c r="D131" s="9" t="s">
        <v>27</v>
      </c>
      <c r="E131" s="90" t="s">
        <v>23</v>
      </c>
      <c r="F131" s="9" t="s">
        <v>7</v>
      </c>
      <c r="G131" s="10"/>
      <c r="H131" s="96">
        <v>260384</v>
      </c>
      <c r="I131" s="109" t="s">
        <v>34</v>
      </c>
      <c r="J131" s="115">
        <v>46192</v>
      </c>
      <c r="K131" s="115">
        <v>46203</v>
      </c>
      <c r="L131" s="116">
        <v>74925</v>
      </c>
      <c r="M131" s="117" t="s">
        <v>7189</v>
      </c>
      <c r="N131" s="34" t="s">
        <v>29</v>
      </c>
      <c r="O131" s="10"/>
      <c r="P131" s="113">
        <v>46229</v>
      </c>
      <c r="Q131" s="113">
        <v>46229</v>
      </c>
      <c r="R131" s="113">
        <v>46229</v>
      </c>
      <c r="S131" s="37">
        <f t="shared" si="26"/>
        <v>74925</v>
      </c>
      <c r="T131" s="37">
        <f t="shared" si="27"/>
        <v>0</v>
      </c>
      <c r="U131" s="10"/>
      <c r="V131" s="10"/>
      <c r="W131" s="10"/>
      <c r="X131" s="10"/>
      <c r="Y131" s="10"/>
      <c r="Z131" s="12"/>
      <c r="AA131" s="12"/>
      <c r="AB131" s="10"/>
      <c r="AC131" s="10"/>
      <c r="AD131" s="10"/>
      <c r="AE131" s="10"/>
    </row>
    <row r="132" spans="1:31" ht="14.25" customHeight="1">
      <c r="A132" s="277" t="s">
        <v>4660</v>
      </c>
      <c r="B132" s="9" t="s">
        <v>21</v>
      </c>
      <c r="C132" s="9">
        <v>2026</v>
      </c>
      <c r="D132" s="9" t="s">
        <v>27</v>
      </c>
      <c r="E132" s="90" t="s">
        <v>23</v>
      </c>
      <c r="F132" s="9" t="s">
        <v>7</v>
      </c>
      <c r="G132" s="10"/>
      <c r="H132" s="96">
        <v>260382</v>
      </c>
      <c r="I132" s="109" t="s">
        <v>34</v>
      </c>
      <c r="J132" s="115">
        <v>46193</v>
      </c>
      <c r="K132" s="115">
        <v>46203</v>
      </c>
      <c r="L132" s="116">
        <v>217560</v>
      </c>
      <c r="M132" s="117" t="s">
        <v>7190</v>
      </c>
      <c r="N132" s="34" t="s">
        <v>29</v>
      </c>
      <c r="O132" s="10"/>
      <c r="P132" s="113">
        <v>46229</v>
      </c>
      <c r="Q132" s="113">
        <v>46229</v>
      </c>
      <c r="R132" s="113">
        <v>46229</v>
      </c>
      <c r="S132" s="37">
        <f>IF(R132="",0,L132)</f>
        <v>217560</v>
      </c>
      <c r="T132" s="37">
        <f t="shared" si="27"/>
        <v>0</v>
      </c>
      <c r="U132" s="10"/>
      <c r="V132" s="10"/>
      <c r="W132" s="10"/>
      <c r="X132" s="10"/>
      <c r="Y132" s="10"/>
      <c r="Z132" s="12"/>
      <c r="AA132" s="12"/>
      <c r="AB132" s="10"/>
      <c r="AC132" s="10"/>
      <c r="AD132" s="10"/>
      <c r="AE132" s="10"/>
    </row>
    <row r="133" spans="1:31" ht="14.25" customHeight="1">
      <c r="A133" s="277" t="s">
        <v>4660</v>
      </c>
      <c r="B133" s="9" t="s">
        <v>21</v>
      </c>
      <c r="C133" s="9">
        <v>2026</v>
      </c>
      <c r="D133" s="9" t="s">
        <v>77</v>
      </c>
      <c r="E133" s="90" t="s">
        <v>23</v>
      </c>
      <c r="F133" s="9" t="s">
        <v>7</v>
      </c>
      <c r="G133" s="10"/>
      <c r="H133" s="9">
        <v>260452</v>
      </c>
      <c r="I133" s="11" t="s">
        <v>34</v>
      </c>
      <c r="J133" s="12">
        <v>46211</v>
      </c>
      <c r="K133" s="12">
        <v>46224</v>
      </c>
      <c r="L133" s="27">
        <f>3635250-106560</f>
        <v>3528690</v>
      </c>
      <c r="M133" s="10" t="s">
        <v>7417</v>
      </c>
      <c r="N133" s="34">
        <f t="shared" ref="N133:N135" ca="1" si="28">$J$3-J133</f>
        <v>29.463776388889528</v>
      </c>
      <c r="O133" s="10"/>
      <c r="P133" s="39"/>
      <c r="Q133" s="39"/>
      <c r="R133" s="39"/>
      <c r="S133" s="37">
        <f t="shared" si="26"/>
        <v>0</v>
      </c>
      <c r="T133" s="37">
        <f t="shared" si="27"/>
        <v>3528690</v>
      </c>
      <c r="U133" s="10"/>
      <c r="V133" s="10"/>
      <c r="W133" s="10"/>
      <c r="X133" s="10"/>
      <c r="Y133" s="10"/>
      <c r="Z133" s="12"/>
      <c r="AA133" s="12"/>
      <c r="AB133" s="10"/>
      <c r="AC133" s="10"/>
      <c r="AD133" s="10"/>
      <c r="AE133" s="10"/>
    </row>
    <row r="134" spans="1:31" ht="14.25" customHeight="1">
      <c r="A134" s="277" t="s">
        <v>4660</v>
      </c>
      <c r="B134" s="9" t="s">
        <v>21</v>
      </c>
      <c r="C134" s="9">
        <v>2026</v>
      </c>
      <c r="D134" s="9" t="s">
        <v>77</v>
      </c>
      <c r="E134" s="90" t="s">
        <v>23</v>
      </c>
      <c r="F134" s="9" t="s">
        <v>7</v>
      </c>
      <c r="G134" s="10"/>
      <c r="H134" s="9">
        <v>260477</v>
      </c>
      <c r="I134" s="11" t="s">
        <v>34</v>
      </c>
      <c r="J134" s="12">
        <v>46218</v>
      </c>
      <c r="K134" s="12">
        <v>46231</v>
      </c>
      <c r="L134" s="27">
        <v>3727774</v>
      </c>
      <c r="M134" s="10" t="s">
        <v>7448</v>
      </c>
      <c r="N134" s="34">
        <f t="shared" ca="1" si="28"/>
        <v>22.463776388889528</v>
      </c>
      <c r="O134" s="10"/>
      <c r="P134" s="39"/>
      <c r="Q134" s="39"/>
      <c r="R134" s="39"/>
      <c r="S134" s="37">
        <f t="shared" si="26"/>
        <v>0</v>
      </c>
      <c r="T134" s="37">
        <f t="shared" si="27"/>
        <v>3727774</v>
      </c>
      <c r="U134" s="10"/>
      <c r="V134" s="10"/>
      <c r="W134" s="10"/>
      <c r="X134" s="10"/>
      <c r="Y134" s="10"/>
      <c r="Z134" s="12"/>
      <c r="AA134" s="12"/>
      <c r="AB134" s="10"/>
      <c r="AC134" s="10"/>
      <c r="AD134" s="10"/>
      <c r="AE134" s="10"/>
    </row>
    <row r="135" spans="1:31" ht="14.25" customHeight="1">
      <c r="A135" s="277" t="s">
        <v>4660</v>
      </c>
      <c r="B135" s="9" t="s">
        <v>21</v>
      </c>
      <c r="C135" s="9">
        <v>2026</v>
      </c>
      <c r="D135" s="9" t="s">
        <v>77</v>
      </c>
      <c r="E135" s="90" t="s">
        <v>23</v>
      </c>
      <c r="F135" s="9" t="s">
        <v>7</v>
      </c>
      <c r="G135" s="10"/>
      <c r="H135" s="9">
        <v>260475</v>
      </c>
      <c r="I135" s="11" t="s">
        <v>34</v>
      </c>
      <c r="J135" s="12">
        <v>46218</v>
      </c>
      <c r="K135" s="12">
        <v>46231</v>
      </c>
      <c r="L135" s="27">
        <v>224775</v>
      </c>
      <c r="M135" s="10" t="s">
        <v>7449</v>
      </c>
      <c r="N135" s="34">
        <f t="shared" ca="1" si="28"/>
        <v>22.463776388889528</v>
      </c>
      <c r="O135" s="10"/>
      <c r="P135" s="39"/>
      <c r="Q135" s="39"/>
      <c r="R135" s="39"/>
      <c r="S135" s="37">
        <f t="shared" si="26"/>
        <v>0</v>
      </c>
      <c r="T135" s="37">
        <f t="shared" si="27"/>
        <v>224775</v>
      </c>
      <c r="U135" s="10"/>
      <c r="V135" s="10"/>
      <c r="W135" s="10"/>
      <c r="X135" s="10"/>
      <c r="Y135" s="10"/>
      <c r="Z135" s="12"/>
      <c r="AA135" s="12"/>
      <c r="AB135" s="10"/>
      <c r="AC135" s="10"/>
      <c r="AD135" s="10"/>
      <c r="AE135" s="10"/>
    </row>
    <row r="136" spans="1:31" ht="14.25" customHeight="1">
      <c r="A136" s="277" t="s">
        <v>4660</v>
      </c>
      <c r="B136" s="9" t="s">
        <v>21</v>
      </c>
      <c r="C136" s="9">
        <v>2026</v>
      </c>
      <c r="D136" s="9" t="s">
        <v>77</v>
      </c>
      <c r="E136" s="90" t="s">
        <v>23</v>
      </c>
      <c r="F136" s="9" t="s">
        <v>7</v>
      </c>
      <c r="G136" s="10"/>
      <c r="H136" s="9">
        <v>260505</v>
      </c>
      <c r="I136" s="11" t="s">
        <v>34</v>
      </c>
      <c r="J136" s="12">
        <v>46221</v>
      </c>
      <c r="K136" s="12">
        <v>46233</v>
      </c>
      <c r="L136" s="27">
        <v>999999</v>
      </c>
      <c r="M136" s="10" t="s">
        <v>7456</v>
      </c>
      <c r="N136" s="34">
        <f t="shared" ref="N136:N139" ca="1" si="29">$J$3-J136</f>
        <v>19.463776388889528</v>
      </c>
      <c r="O136" s="10"/>
      <c r="P136" s="39"/>
      <c r="Q136" s="39"/>
      <c r="R136" s="39"/>
      <c r="S136" s="37">
        <f t="shared" ref="S136:S139" si="30">IF(R136="",0,L136)</f>
        <v>0</v>
      </c>
      <c r="T136" s="37">
        <f t="shared" ref="T136:T139" si="31">L136-S136</f>
        <v>999999</v>
      </c>
      <c r="U136" s="10"/>
      <c r="V136" s="10"/>
      <c r="W136" s="10"/>
      <c r="X136" s="10"/>
      <c r="Y136" s="10"/>
      <c r="Z136" s="12"/>
      <c r="AA136" s="12"/>
      <c r="AB136" s="10"/>
      <c r="AC136" s="10"/>
      <c r="AD136" s="10"/>
      <c r="AE136" s="10"/>
    </row>
    <row r="137" spans="1:31" ht="14.25" customHeight="1">
      <c r="A137" s="277" t="s">
        <v>4660</v>
      </c>
      <c r="B137" s="9" t="s">
        <v>21</v>
      </c>
      <c r="C137" s="9">
        <v>2026</v>
      </c>
      <c r="D137" s="9" t="s">
        <v>77</v>
      </c>
      <c r="E137" s="90" t="s">
        <v>23</v>
      </c>
      <c r="F137" s="9" t="s">
        <v>7</v>
      </c>
      <c r="G137" s="10"/>
      <c r="H137" s="9">
        <v>260506</v>
      </c>
      <c r="I137" s="11" t="s">
        <v>34</v>
      </c>
      <c r="J137" s="12">
        <v>46221</v>
      </c>
      <c r="K137" s="12">
        <v>46233</v>
      </c>
      <c r="L137" s="27">
        <v>2340411</v>
      </c>
      <c r="M137" s="10" t="s">
        <v>7457</v>
      </c>
      <c r="N137" s="34">
        <f t="shared" ca="1" si="29"/>
        <v>19.463776388889528</v>
      </c>
      <c r="O137" s="10"/>
      <c r="P137" s="39"/>
      <c r="Q137" s="39"/>
      <c r="R137" s="39"/>
      <c r="S137" s="37">
        <f t="shared" si="30"/>
        <v>0</v>
      </c>
      <c r="T137" s="37">
        <f t="shared" si="31"/>
        <v>2340411</v>
      </c>
      <c r="U137" s="10"/>
      <c r="V137" s="10"/>
      <c r="W137" s="10"/>
      <c r="X137" s="10"/>
      <c r="Y137" s="10"/>
      <c r="Z137" s="12"/>
      <c r="AA137" s="12"/>
      <c r="AB137" s="10"/>
      <c r="AC137" s="10"/>
      <c r="AD137" s="10"/>
      <c r="AE137" s="10"/>
    </row>
    <row r="138" spans="1:31" ht="14.25" customHeight="1">
      <c r="A138" s="277" t="s">
        <v>4660</v>
      </c>
      <c r="B138" s="9" t="s">
        <v>21</v>
      </c>
      <c r="C138" s="9">
        <v>2026</v>
      </c>
      <c r="D138" s="9" t="s">
        <v>77</v>
      </c>
      <c r="E138" s="90" t="s">
        <v>23</v>
      </c>
      <c r="F138" s="9" t="s">
        <v>7</v>
      </c>
      <c r="G138" s="10"/>
      <c r="H138" s="9">
        <v>260513</v>
      </c>
      <c r="I138" s="11" t="s">
        <v>34</v>
      </c>
      <c r="J138" s="12">
        <v>46224</v>
      </c>
      <c r="K138" s="12">
        <v>46233</v>
      </c>
      <c r="L138" s="27">
        <v>79920</v>
      </c>
      <c r="M138" s="10" t="s">
        <v>7458</v>
      </c>
      <c r="N138" s="34">
        <f t="shared" ca="1" si="29"/>
        <v>16.463776388889528</v>
      </c>
      <c r="O138" s="10"/>
      <c r="P138" s="39"/>
      <c r="Q138" s="39"/>
      <c r="R138" s="39"/>
      <c r="S138" s="37">
        <f t="shared" si="30"/>
        <v>0</v>
      </c>
      <c r="T138" s="37">
        <f t="shared" si="31"/>
        <v>79920</v>
      </c>
      <c r="U138" s="10"/>
      <c r="V138" s="10"/>
      <c r="W138" s="10"/>
      <c r="X138" s="10"/>
      <c r="Y138" s="10"/>
      <c r="Z138" s="12"/>
      <c r="AA138" s="12"/>
      <c r="AB138" s="10"/>
      <c r="AC138" s="10"/>
      <c r="AD138" s="10"/>
      <c r="AE138" s="10"/>
    </row>
    <row r="139" spans="1:31" ht="14.25" customHeight="1">
      <c r="A139" s="277" t="s">
        <v>4660</v>
      </c>
      <c r="B139" s="9" t="s">
        <v>21</v>
      </c>
      <c r="C139" s="9">
        <v>2026</v>
      </c>
      <c r="D139" s="9" t="s">
        <v>77</v>
      </c>
      <c r="E139" s="90" t="s">
        <v>23</v>
      </c>
      <c r="F139" s="9" t="s">
        <v>7</v>
      </c>
      <c r="G139" s="10"/>
      <c r="H139" s="9">
        <v>260512</v>
      </c>
      <c r="I139" s="11" t="s">
        <v>34</v>
      </c>
      <c r="J139" s="12">
        <v>46224</v>
      </c>
      <c r="K139" s="12">
        <v>46233</v>
      </c>
      <c r="L139" s="27">
        <v>4689839</v>
      </c>
      <c r="M139" s="10" t="s">
        <v>7459</v>
      </c>
      <c r="N139" s="34">
        <f t="shared" ca="1" si="29"/>
        <v>16.463776388889528</v>
      </c>
      <c r="O139" s="10"/>
      <c r="P139" s="39"/>
      <c r="Q139" s="39"/>
      <c r="R139" s="39"/>
      <c r="S139" s="37">
        <f t="shared" si="30"/>
        <v>0</v>
      </c>
      <c r="T139" s="37">
        <f t="shared" si="31"/>
        <v>4689839</v>
      </c>
      <c r="U139" s="10"/>
      <c r="V139" s="10"/>
      <c r="W139" s="10"/>
      <c r="X139" s="10"/>
      <c r="Y139" s="10"/>
      <c r="Z139" s="12"/>
      <c r="AA139" s="12"/>
      <c r="AB139" s="10"/>
      <c r="AC139" s="10"/>
      <c r="AD139" s="10"/>
      <c r="AE139" s="10"/>
    </row>
    <row r="140" spans="1:31" ht="14.25" customHeight="1">
      <c r="A140" s="277" t="s">
        <v>4661</v>
      </c>
      <c r="B140" s="9" t="s">
        <v>21</v>
      </c>
      <c r="C140" s="9"/>
      <c r="D140" s="9"/>
      <c r="E140" s="90"/>
      <c r="F140" s="9"/>
      <c r="G140" s="10"/>
      <c r="H140" s="9"/>
      <c r="I140" s="11"/>
      <c r="J140" s="12"/>
      <c r="K140" s="12"/>
      <c r="L140" s="52"/>
      <c r="M140" s="10"/>
      <c r="N140" s="114">
        <f ca="1">J3-J140</f>
        <v>46240.46377638889</v>
      </c>
      <c r="O140" s="10"/>
      <c r="P140" s="39"/>
      <c r="Q140" s="39"/>
      <c r="R140" s="39"/>
      <c r="S140" s="37">
        <f t="shared" si="26"/>
        <v>0</v>
      </c>
      <c r="T140" s="37">
        <f t="shared" si="27"/>
        <v>0</v>
      </c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</row>
    <row r="141" spans="1:31" ht="14.25" customHeight="1">
      <c r="A141" s="277" t="s">
        <v>4662</v>
      </c>
      <c r="B141" s="9" t="s">
        <v>21</v>
      </c>
      <c r="C141" s="9"/>
      <c r="D141" s="9"/>
      <c r="E141" s="90"/>
      <c r="F141" s="9"/>
      <c r="G141" s="10"/>
      <c r="H141" s="9"/>
      <c r="I141" s="11"/>
      <c r="J141" s="12"/>
      <c r="K141" s="12"/>
      <c r="L141" s="52"/>
      <c r="M141" s="10"/>
      <c r="N141" s="34"/>
      <c r="O141" s="10"/>
      <c r="P141" s="39"/>
      <c r="Q141" s="39"/>
      <c r="R141" s="39"/>
      <c r="S141" s="37"/>
      <c r="T141" s="37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</row>
    <row r="142" spans="1:31" ht="14.25" customHeight="1">
      <c r="A142" s="277" t="s">
        <v>4663</v>
      </c>
      <c r="B142" s="9" t="s">
        <v>21</v>
      </c>
      <c r="C142" s="9"/>
      <c r="D142" s="9"/>
      <c r="E142" s="90"/>
      <c r="F142" s="9"/>
      <c r="G142" s="94" t="s">
        <v>24</v>
      </c>
      <c r="H142" s="95" t="s">
        <v>85</v>
      </c>
      <c r="I142" s="104"/>
      <c r="J142" s="105"/>
      <c r="K142" s="105"/>
      <c r="L142" s="106">
        <f>SUM(L143)</f>
        <v>0</v>
      </c>
      <c r="M142" s="107"/>
      <c r="N142" s="108" t="s">
        <v>26</v>
      </c>
      <c r="O142" s="108"/>
      <c r="P142" s="108"/>
      <c r="Q142" s="108"/>
      <c r="R142" s="108"/>
      <c r="S142" s="106">
        <f>SUM(S143)</f>
        <v>0</v>
      </c>
      <c r="T142" s="106">
        <f>SUM(T143)</f>
        <v>0</v>
      </c>
      <c r="U142" s="10"/>
      <c r="V142" s="52">
        <f>L142-S142</f>
        <v>0</v>
      </c>
      <c r="W142" s="52">
        <f>T142-V142</f>
        <v>0</v>
      </c>
      <c r="X142" s="10"/>
      <c r="Y142" s="10"/>
      <c r="Z142" s="10"/>
      <c r="AA142" s="10"/>
      <c r="AB142" s="10"/>
      <c r="AC142" s="10"/>
      <c r="AD142" s="10"/>
      <c r="AE142" s="10"/>
    </row>
    <row r="143" spans="1:31" ht="14.25" customHeight="1">
      <c r="A143" s="277" t="s">
        <v>4664</v>
      </c>
      <c r="B143" s="9" t="s">
        <v>21</v>
      </c>
      <c r="C143" s="9"/>
      <c r="D143" s="9"/>
      <c r="E143" s="90"/>
      <c r="F143" s="9"/>
      <c r="G143" s="10"/>
      <c r="H143" s="9"/>
      <c r="I143" s="11"/>
      <c r="J143" s="12"/>
      <c r="K143" s="12"/>
      <c r="L143" s="52"/>
      <c r="M143" s="10"/>
      <c r="N143" s="114">
        <f ca="1">$J$3-J143</f>
        <v>46240.46377638889</v>
      </c>
      <c r="O143" s="11"/>
      <c r="P143" s="39"/>
      <c r="Q143" s="39"/>
      <c r="R143" s="39"/>
      <c r="S143" s="37">
        <f>IF(R143="",0,L143)</f>
        <v>0</v>
      </c>
      <c r="T143" s="37">
        <f>L143-S143</f>
        <v>0</v>
      </c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</row>
    <row r="144" spans="1:31" ht="14.25" customHeight="1">
      <c r="A144" s="277" t="s">
        <v>4665</v>
      </c>
      <c r="B144" s="9" t="s">
        <v>21</v>
      </c>
      <c r="C144" s="9"/>
      <c r="D144" s="9"/>
      <c r="E144" s="90"/>
      <c r="F144" s="9"/>
      <c r="G144" s="9"/>
      <c r="H144" s="93"/>
      <c r="I144" s="11"/>
      <c r="J144" s="12"/>
      <c r="K144" s="12"/>
      <c r="L144" s="118"/>
      <c r="M144" s="103"/>
      <c r="N144" s="33"/>
      <c r="O144" s="33"/>
      <c r="P144" s="33"/>
      <c r="Q144" s="33"/>
      <c r="R144" s="33"/>
      <c r="S144" s="118"/>
      <c r="T144" s="118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</row>
    <row r="145" spans="1:31">
      <c r="A145" s="277" t="s">
        <v>4666</v>
      </c>
      <c r="B145" s="9" t="s">
        <v>21</v>
      </c>
      <c r="C145" s="9"/>
      <c r="D145" s="9"/>
      <c r="E145" s="90"/>
      <c r="F145" s="9"/>
      <c r="G145" s="94" t="s">
        <v>24</v>
      </c>
      <c r="H145" s="95" t="s">
        <v>86</v>
      </c>
      <c r="I145" s="104"/>
      <c r="J145" s="105"/>
      <c r="K145" s="105"/>
      <c r="L145" s="106">
        <f>SUM(L146:L292)</f>
        <v>303613021</v>
      </c>
      <c r="M145" s="107"/>
      <c r="N145" s="108" t="s">
        <v>26</v>
      </c>
      <c r="O145" s="108"/>
      <c r="P145" s="108"/>
      <c r="Q145" s="108"/>
      <c r="R145" s="108"/>
      <c r="S145" s="106">
        <f>SUM(S146:S292)</f>
        <v>282462579</v>
      </c>
      <c r="T145" s="106">
        <f>SUM(T146:T292)</f>
        <v>21150442</v>
      </c>
      <c r="U145" s="10"/>
      <c r="V145" s="52">
        <f>L145-S145</f>
        <v>21150442</v>
      </c>
      <c r="W145" s="52">
        <f>T145-V145</f>
        <v>0</v>
      </c>
      <c r="X145" s="10"/>
      <c r="Y145" s="10"/>
      <c r="Z145" s="10"/>
      <c r="AA145" s="10"/>
      <c r="AB145" s="10"/>
      <c r="AC145" s="10"/>
      <c r="AD145" s="10"/>
      <c r="AE145" s="10"/>
    </row>
    <row r="146" spans="1:31" hidden="1">
      <c r="A146" s="277" t="s">
        <v>4667</v>
      </c>
      <c r="B146" s="9" t="s">
        <v>21</v>
      </c>
      <c r="C146" s="9">
        <v>2025</v>
      </c>
      <c r="D146" s="9" t="s">
        <v>27</v>
      </c>
      <c r="E146" s="90" t="s">
        <v>23</v>
      </c>
      <c r="F146" s="9" t="s">
        <v>7</v>
      </c>
      <c r="G146" s="10"/>
      <c r="H146" s="96">
        <v>250195</v>
      </c>
      <c r="I146" s="109" t="s">
        <v>86</v>
      </c>
      <c r="J146" s="115">
        <v>45705</v>
      </c>
      <c r="K146" s="119">
        <v>45720</v>
      </c>
      <c r="L146" s="116">
        <f>398078-257514</f>
        <v>140564</v>
      </c>
      <c r="M146" s="117" t="s">
        <v>87</v>
      </c>
      <c r="N146" s="34" t="s">
        <v>29</v>
      </c>
      <c r="O146" s="31">
        <f>SUM(L146:L165)</f>
        <v>37383174</v>
      </c>
      <c r="P146" s="113">
        <v>45754</v>
      </c>
      <c r="Q146" s="113">
        <v>45754</v>
      </c>
      <c r="R146" s="113">
        <v>45754</v>
      </c>
      <c r="S146" s="37">
        <f t="shared" ref="S146:S153" si="32">IF(R146="",0,L146)</f>
        <v>140564</v>
      </c>
      <c r="T146" s="37">
        <f t="shared" ref="T146:T153" si="33">L146-S146</f>
        <v>0</v>
      </c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</row>
    <row r="147" spans="1:31" hidden="1">
      <c r="A147" s="277" t="s">
        <v>4668</v>
      </c>
      <c r="B147" s="9" t="s">
        <v>21</v>
      </c>
      <c r="C147" s="9">
        <v>2025</v>
      </c>
      <c r="D147" s="9" t="s">
        <v>27</v>
      </c>
      <c r="E147" s="90" t="s">
        <v>23</v>
      </c>
      <c r="F147" s="9" t="s">
        <v>7</v>
      </c>
      <c r="G147" s="10"/>
      <c r="H147" s="96">
        <v>250197</v>
      </c>
      <c r="I147" s="109" t="s">
        <v>86</v>
      </c>
      <c r="J147" s="115">
        <v>45705</v>
      </c>
      <c r="K147" s="119">
        <v>45720</v>
      </c>
      <c r="L147" s="116">
        <v>327771</v>
      </c>
      <c r="M147" s="117" t="s">
        <v>88</v>
      </c>
      <c r="N147" s="34" t="s">
        <v>29</v>
      </c>
      <c r="O147" s="11"/>
      <c r="P147" s="113">
        <v>45754</v>
      </c>
      <c r="Q147" s="113">
        <v>45754</v>
      </c>
      <c r="R147" s="113">
        <v>45754</v>
      </c>
      <c r="S147" s="37">
        <f t="shared" si="32"/>
        <v>327771</v>
      </c>
      <c r="T147" s="37">
        <f t="shared" si="33"/>
        <v>0</v>
      </c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</row>
    <row r="148" spans="1:31" hidden="1">
      <c r="A148" s="277" t="s">
        <v>4669</v>
      </c>
      <c r="B148" s="9" t="s">
        <v>21</v>
      </c>
      <c r="C148" s="9">
        <v>2025</v>
      </c>
      <c r="D148" s="9" t="s">
        <v>27</v>
      </c>
      <c r="E148" s="90" t="s">
        <v>23</v>
      </c>
      <c r="F148" s="9" t="s">
        <v>7</v>
      </c>
      <c r="G148" s="10"/>
      <c r="H148" s="96">
        <v>250196</v>
      </c>
      <c r="I148" s="109" t="s">
        <v>86</v>
      </c>
      <c r="J148" s="115">
        <v>45705</v>
      </c>
      <c r="K148" s="119">
        <v>45720</v>
      </c>
      <c r="L148" s="116">
        <v>219336</v>
      </c>
      <c r="M148" s="117" t="s">
        <v>89</v>
      </c>
      <c r="N148" s="34" t="s">
        <v>29</v>
      </c>
      <c r="O148" s="11"/>
      <c r="P148" s="113">
        <v>45754</v>
      </c>
      <c r="Q148" s="113">
        <v>45754</v>
      </c>
      <c r="R148" s="113">
        <v>45754</v>
      </c>
      <c r="S148" s="37">
        <f t="shared" si="32"/>
        <v>219336</v>
      </c>
      <c r="T148" s="37">
        <f t="shared" si="33"/>
        <v>0</v>
      </c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</row>
    <row r="149" spans="1:31" hidden="1">
      <c r="A149" s="277" t="s">
        <v>4670</v>
      </c>
      <c r="B149" s="9" t="s">
        <v>21</v>
      </c>
      <c r="C149" s="9">
        <v>2025</v>
      </c>
      <c r="D149" s="9" t="s">
        <v>27</v>
      </c>
      <c r="E149" s="90" t="s">
        <v>23</v>
      </c>
      <c r="F149" s="9" t="s">
        <v>7</v>
      </c>
      <c r="G149" s="10"/>
      <c r="H149" s="96">
        <v>250198</v>
      </c>
      <c r="I149" s="109" t="s">
        <v>86</v>
      </c>
      <c r="J149" s="115">
        <v>45705</v>
      </c>
      <c r="K149" s="119">
        <v>45720</v>
      </c>
      <c r="L149" s="116">
        <v>6017499</v>
      </c>
      <c r="M149" s="117" t="s">
        <v>90</v>
      </c>
      <c r="N149" s="34" t="s">
        <v>29</v>
      </c>
      <c r="O149" s="11"/>
      <c r="P149" s="113">
        <v>45754</v>
      </c>
      <c r="Q149" s="113">
        <v>45754</v>
      </c>
      <c r="R149" s="113">
        <v>45754</v>
      </c>
      <c r="S149" s="37">
        <f t="shared" si="32"/>
        <v>6017499</v>
      </c>
      <c r="T149" s="37">
        <f t="shared" si="33"/>
        <v>0</v>
      </c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</row>
    <row r="150" spans="1:31" hidden="1">
      <c r="A150" s="277" t="s">
        <v>4671</v>
      </c>
      <c r="B150" s="9" t="s">
        <v>21</v>
      </c>
      <c r="C150" s="9">
        <v>2025</v>
      </c>
      <c r="D150" s="9" t="s">
        <v>27</v>
      </c>
      <c r="E150" s="90" t="s">
        <v>23</v>
      </c>
      <c r="F150" s="9" t="s">
        <v>7</v>
      </c>
      <c r="G150" s="10"/>
      <c r="H150" s="96">
        <v>250194</v>
      </c>
      <c r="I150" s="109" t="s">
        <v>86</v>
      </c>
      <c r="J150" s="115">
        <v>45705</v>
      </c>
      <c r="K150" s="119">
        <v>45720</v>
      </c>
      <c r="L150" s="116">
        <v>6593400</v>
      </c>
      <c r="M150" s="117" t="s">
        <v>91</v>
      </c>
      <c r="N150" s="34" t="s">
        <v>29</v>
      </c>
      <c r="O150" s="11"/>
      <c r="P150" s="113">
        <v>45754</v>
      </c>
      <c r="Q150" s="113">
        <v>45754</v>
      </c>
      <c r="R150" s="113">
        <v>45754</v>
      </c>
      <c r="S150" s="37">
        <f t="shared" si="32"/>
        <v>6593400</v>
      </c>
      <c r="T150" s="37">
        <f t="shared" si="33"/>
        <v>0</v>
      </c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</row>
    <row r="151" spans="1:31" hidden="1">
      <c r="A151" s="277" t="s">
        <v>4672</v>
      </c>
      <c r="B151" s="9" t="s">
        <v>21</v>
      </c>
      <c r="C151" s="9">
        <v>2025</v>
      </c>
      <c r="D151" s="9" t="s">
        <v>27</v>
      </c>
      <c r="E151" s="90" t="s">
        <v>23</v>
      </c>
      <c r="F151" s="9" t="s">
        <v>7</v>
      </c>
      <c r="G151" s="10"/>
      <c r="H151" s="96">
        <v>250189</v>
      </c>
      <c r="I151" s="109" t="s">
        <v>86</v>
      </c>
      <c r="J151" s="115">
        <v>45706</v>
      </c>
      <c r="K151" s="119">
        <v>45720</v>
      </c>
      <c r="L151" s="116">
        <v>2008271</v>
      </c>
      <c r="M151" s="117" t="s">
        <v>92</v>
      </c>
      <c r="N151" s="34" t="s">
        <v>29</v>
      </c>
      <c r="O151" s="11"/>
      <c r="P151" s="113">
        <v>45754</v>
      </c>
      <c r="Q151" s="113">
        <v>45754</v>
      </c>
      <c r="R151" s="113">
        <v>45754</v>
      </c>
      <c r="S151" s="37">
        <f t="shared" si="32"/>
        <v>2008271</v>
      </c>
      <c r="T151" s="37">
        <f t="shared" si="33"/>
        <v>0</v>
      </c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</row>
    <row r="152" spans="1:31" hidden="1">
      <c r="A152" s="277" t="s">
        <v>4673</v>
      </c>
      <c r="B152" s="9" t="s">
        <v>21</v>
      </c>
      <c r="C152" s="9">
        <v>2025</v>
      </c>
      <c r="D152" s="9" t="s">
        <v>27</v>
      </c>
      <c r="E152" s="90" t="s">
        <v>23</v>
      </c>
      <c r="F152" s="9" t="s">
        <v>7</v>
      </c>
      <c r="G152" s="10"/>
      <c r="H152" s="96">
        <v>250190</v>
      </c>
      <c r="I152" s="109" t="s">
        <v>86</v>
      </c>
      <c r="J152" s="115">
        <v>45706</v>
      </c>
      <c r="K152" s="119">
        <v>45720</v>
      </c>
      <c r="L152" s="116">
        <v>1579502</v>
      </c>
      <c r="M152" s="117" t="s">
        <v>93</v>
      </c>
      <c r="N152" s="34" t="s">
        <v>29</v>
      </c>
      <c r="O152" s="11"/>
      <c r="P152" s="113">
        <v>45754</v>
      </c>
      <c r="Q152" s="113">
        <v>45754</v>
      </c>
      <c r="R152" s="113">
        <v>45754</v>
      </c>
      <c r="S152" s="37">
        <f t="shared" si="32"/>
        <v>1579502</v>
      </c>
      <c r="T152" s="37">
        <f t="shared" si="33"/>
        <v>0</v>
      </c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</row>
    <row r="153" spans="1:31" hidden="1">
      <c r="A153" s="277" t="s">
        <v>4674</v>
      </c>
      <c r="B153" s="9" t="s">
        <v>21</v>
      </c>
      <c r="C153" s="9">
        <v>2025</v>
      </c>
      <c r="D153" s="9" t="s">
        <v>27</v>
      </c>
      <c r="E153" s="90" t="s">
        <v>23</v>
      </c>
      <c r="F153" s="9" t="s">
        <v>7</v>
      </c>
      <c r="G153" s="10"/>
      <c r="H153" s="96">
        <v>250191</v>
      </c>
      <c r="I153" s="109" t="s">
        <v>86</v>
      </c>
      <c r="J153" s="115">
        <v>45706</v>
      </c>
      <c r="K153" s="119">
        <v>45720</v>
      </c>
      <c r="L153" s="116">
        <v>135281</v>
      </c>
      <c r="M153" s="117" t="s">
        <v>94</v>
      </c>
      <c r="N153" s="34" t="s">
        <v>29</v>
      </c>
      <c r="O153" s="11"/>
      <c r="P153" s="113">
        <v>45754</v>
      </c>
      <c r="Q153" s="113">
        <v>45754</v>
      </c>
      <c r="R153" s="113">
        <v>45754</v>
      </c>
      <c r="S153" s="37">
        <f t="shared" si="32"/>
        <v>135281</v>
      </c>
      <c r="T153" s="37">
        <f t="shared" si="33"/>
        <v>0</v>
      </c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</row>
    <row r="154" spans="1:31" hidden="1">
      <c r="A154" s="277" t="s">
        <v>4675</v>
      </c>
      <c r="B154" s="9" t="s">
        <v>21</v>
      </c>
      <c r="C154" s="9">
        <v>2025</v>
      </c>
      <c r="D154" s="9" t="s">
        <v>27</v>
      </c>
      <c r="E154" s="90" t="s">
        <v>23</v>
      </c>
      <c r="F154" s="9" t="s">
        <v>7</v>
      </c>
      <c r="G154" s="10"/>
      <c r="H154" s="96">
        <v>250188</v>
      </c>
      <c r="I154" s="109" t="s">
        <v>86</v>
      </c>
      <c r="J154" s="115">
        <v>45706</v>
      </c>
      <c r="K154" s="119">
        <v>45720</v>
      </c>
      <c r="L154" s="116">
        <v>849150</v>
      </c>
      <c r="M154" s="117" t="s">
        <v>95</v>
      </c>
      <c r="N154" s="34" t="s">
        <v>29</v>
      </c>
      <c r="O154" s="11"/>
      <c r="P154" s="113">
        <v>45754</v>
      </c>
      <c r="Q154" s="113">
        <v>45754</v>
      </c>
      <c r="R154" s="113">
        <v>45754</v>
      </c>
      <c r="S154" s="37">
        <f t="shared" ref="S154:S161" si="34">IF(R154="",0,L154)</f>
        <v>849150</v>
      </c>
      <c r="T154" s="37">
        <f t="shared" ref="T154:T161" si="35">L154-S154</f>
        <v>0</v>
      </c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</row>
    <row r="155" spans="1:31" hidden="1">
      <c r="A155" s="277" t="s">
        <v>4676</v>
      </c>
      <c r="B155" s="9" t="s">
        <v>21</v>
      </c>
      <c r="C155" s="9">
        <v>2025</v>
      </c>
      <c r="D155" s="9" t="s">
        <v>27</v>
      </c>
      <c r="E155" s="90" t="s">
        <v>23</v>
      </c>
      <c r="F155" s="9" t="s">
        <v>7</v>
      </c>
      <c r="G155" s="10"/>
      <c r="H155" s="96">
        <v>250187</v>
      </c>
      <c r="I155" s="109" t="s">
        <v>86</v>
      </c>
      <c r="J155" s="115">
        <v>45706</v>
      </c>
      <c r="K155" s="119">
        <v>45720</v>
      </c>
      <c r="L155" s="116">
        <v>1573092</v>
      </c>
      <c r="M155" s="117" t="s">
        <v>96</v>
      </c>
      <c r="N155" s="34" t="s">
        <v>29</v>
      </c>
      <c r="O155" s="11"/>
      <c r="P155" s="113">
        <v>45754</v>
      </c>
      <c r="Q155" s="113">
        <v>45754</v>
      </c>
      <c r="R155" s="113">
        <v>45754</v>
      </c>
      <c r="S155" s="37">
        <f t="shared" si="34"/>
        <v>1573092</v>
      </c>
      <c r="T155" s="37">
        <f t="shared" si="35"/>
        <v>0</v>
      </c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</row>
    <row r="156" spans="1:31" hidden="1">
      <c r="A156" s="277" t="s">
        <v>4677</v>
      </c>
      <c r="B156" s="9" t="s">
        <v>21</v>
      </c>
      <c r="C156" s="9">
        <v>2025</v>
      </c>
      <c r="D156" s="9" t="s">
        <v>27</v>
      </c>
      <c r="E156" s="90" t="s">
        <v>23</v>
      </c>
      <c r="F156" s="9" t="s">
        <v>7</v>
      </c>
      <c r="G156" s="10"/>
      <c r="H156" s="96">
        <v>250193</v>
      </c>
      <c r="I156" s="109" t="s">
        <v>86</v>
      </c>
      <c r="J156" s="115">
        <v>45708</v>
      </c>
      <c r="K156" s="119">
        <v>45720</v>
      </c>
      <c r="L156" s="116">
        <v>1415250</v>
      </c>
      <c r="M156" s="117" t="s">
        <v>97</v>
      </c>
      <c r="N156" s="34" t="s">
        <v>29</v>
      </c>
      <c r="O156" s="11"/>
      <c r="P156" s="113">
        <v>45754</v>
      </c>
      <c r="Q156" s="113">
        <v>45754</v>
      </c>
      <c r="R156" s="113">
        <v>45754</v>
      </c>
      <c r="S156" s="37">
        <f t="shared" si="34"/>
        <v>1415250</v>
      </c>
      <c r="T156" s="37">
        <f t="shared" si="35"/>
        <v>0</v>
      </c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</row>
    <row r="157" spans="1:31" hidden="1">
      <c r="A157" s="277" t="s">
        <v>4678</v>
      </c>
      <c r="B157" s="9" t="s">
        <v>21</v>
      </c>
      <c r="C157" s="9">
        <v>2025</v>
      </c>
      <c r="D157" s="9" t="s">
        <v>27</v>
      </c>
      <c r="E157" s="90" t="s">
        <v>23</v>
      </c>
      <c r="F157" s="9" t="s">
        <v>7</v>
      </c>
      <c r="G157" s="10"/>
      <c r="H157" s="96">
        <v>250192</v>
      </c>
      <c r="I157" s="109" t="s">
        <v>86</v>
      </c>
      <c r="J157" s="115">
        <v>45708</v>
      </c>
      <c r="K157" s="119">
        <v>45720</v>
      </c>
      <c r="L157" s="116">
        <v>392400</v>
      </c>
      <c r="M157" s="117" t="s">
        <v>98</v>
      </c>
      <c r="N157" s="34" t="s">
        <v>29</v>
      </c>
      <c r="O157" s="11"/>
      <c r="P157" s="113">
        <v>45754</v>
      </c>
      <c r="Q157" s="113">
        <v>45754</v>
      </c>
      <c r="R157" s="113">
        <v>45754</v>
      </c>
      <c r="S157" s="37">
        <f t="shared" si="34"/>
        <v>392400</v>
      </c>
      <c r="T157" s="37">
        <f t="shared" si="35"/>
        <v>0</v>
      </c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</row>
    <row r="158" spans="1:31" hidden="1">
      <c r="A158" s="277" t="s">
        <v>4679</v>
      </c>
      <c r="B158" s="9" t="s">
        <v>21</v>
      </c>
      <c r="C158" s="9">
        <v>2025</v>
      </c>
      <c r="D158" s="9" t="s">
        <v>27</v>
      </c>
      <c r="E158" s="90" t="s">
        <v>23</v>
      </c>
      <c r="F158" s="9" t="s">
        <v>7</v>
      </c>
      <c r="G158" s="10"/>
      <c r="H158" s="96">
        <v>250214</v>
      </c>
      <c r="I158" s="109" t="s">
        <v>86</v>
      </c>
      <c r="J158" s="115">
        <v>45712</v>
      </c>
      <c r="K158" s="119">
        <v>45720</v>
      </c>
      <c r="L158" s="116">
        <v>358419</v>
      </c>
      <c r="M158" s="117" t="s">
        <v>99</v>
      </c>
      <c r="N158" s="34" t="s">
        <v>29</v>
      </c>
      <c r="O158" s="11"/>
      <c r="P158" s="113">
        <v>45754</v>
      </c>
      <c r="Q158" s="113">
        <v>45754</v>
      </c>
      <c r="R158" s="113">
        <v>45754</v>
      </c>
      <c r="S158" s="37">
        <f t="shared" si="34"/>
        <v>358419</v>
      </c>
      <c r="T158" s="37">
        <f t="shared" si="35"/>
        <v>0</v>
      </c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</row>
    <row r="159" spans="1:31" hidden="1">
      <c r="A159" s="277" t="s">
        <v>4680</v>
      </c>
      <c r="B159" s="9" t="s">
        <v>21</v>
      </c>
      <c r="C159" s="9">
        <v>2025</v>
      </c>
      <c r="D159" s="9" t="s">
        <v>27</v>
      </c>
      <c r="E159" s="90" t="s">
        <v>23</v>
      </c>
      <c r="F159" s="9" t="s">
        <v>7</v>
      </c>
      <c r="G159" s="10"/>
      <c r="H159" s="96">
        <v>250228</v>
      </c>
      <c r="I159" s="109" t="s">
        <v>86</v>
      </c>
      <c r="J159" s="115">
        <v>45712</v>
      </c>
      <c r="K159" s="119">
        <v>45720</v>
      </c>
      <c r="L159" s="116">
        <v>4899096</v>
      </c>
      <c r="M159" s="117" t="s">
        <v>100</v>
      </c>
      <c r="N159" s="34" t="s">
        <v>29</v>
      </c>
      <c r="O159" s="11"/>
      <c r="P159" s="113">
        <v>45754</v>
      </c>
      <c r="Q159" s="113">
        <v>45754</v>
      </c>
      <c r="R159" s="113">
        <v>45754</v>
      </c>
      <c r="S159" s="37">
        <f t="shared" si="34"/>
        <v>4899096</v>
      </c>
      <c r="T159" s="37">
        <f t="shared" si="35"/>
        <v>0</v>
      </c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</row>
    <row r="160" spans="1:31" hidden="1">
      <c r="A160" s="277" t="s">
        <v>4681</v>
      </c>
      <c r="B160" s="9" t="s">
        <v>21</v>
      </c>
      <c r="C160" s="9">
        <v>2025</v>
      </c>
      <c r="D160" s="9" t="s">
        <v>27</v>
      </c>
      <c r="E160" s="90" t="s">
        <v>23</v>
      </c>
      <c r="F160" s="9" t="s">
        <v>7</v>
      </c>
      <c r="G160" s="10"/>
      <c r="H160" s="96">
        <v>250227</v>
      </c>
      <c r="I160" s="109" t="s">
        <v>86</v>
      </c>
      <c r="J160" s="115">
        <v>45712</v>
      </c>
      <c r="K160" s="119">
        <v>45720</v>
      </c>
      <c r="L160" s="116">
        <v>4086909</v>
      </c>
      <c r="M160" s="117" t="s">
        <v>101</v>
      </c>
      <c r="N160" s="34" t="s">
        <v>29</v>
      </c>
      <c r="O160" s="11"/>
      <c r="P160" s="113">
        <v>45754</v>
      </c>
      <c r="Q160" s="113">
        <v>45754</v>
      </c>
      <c r="R160" s="113">
        <v>45754</v>
      </c>
      <c r="S160" s="37">
        <f t="shared" si="34"/>
        <v>4086909</v>
      </c>
      <c r="T160" s="37">
        <f t="shared" si="35"/>
        <v>0</v>
      </c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</row>
    <row r="161" spans="1:31" hidden="1">
      <c r="A161" s="277" t="s">
        <v>4682</v>
      </c>
      <c r="B161" s="9" t="s">
        <v>21</v>
      </c>
      <c r="C161" s="9">
        <v>2025</v>
      </c>
      <c r="D161" s="9" t="s">
        <v>27</v>
      </c>
      <c r="E161" s="90" t="s">
        <v>23</v>
      </c>
      <c r="F161" s="9" t="s">
        <v>7</v>
      </c>
      <c r="G161" s="10"/>
      <c r="H161" s="96">
        <v>250272</v>
      </c>
      <c r="I161" s="109" t="s">
        <v>86</v>
      </c>
      <c r="J161" s="115">
        <v>45713</v>
      </c>
      <c r="K161" s="119">
        <v>45720</v>
      </c>
      <c r="L161" s="116">
        <v>1444010</v>
      </c>
      <c r="M161" s="117" t="s">
        <v>102</v>
      </c>
      <c r="N161" s="34" t="s">
        <v>29</v>
      </c>
      <c r="O161" s="11"/>
      <c r="P161" s="113">
        <v>45754</v>
      </c>
      <c r="Q161" s="113">
        <v>45754</v>
      </c>
      <c r="R161" s="113">
        <v>45754</v>
      </c>
      <c r="S161" s="37">
        <f t="shared" si="34"/>
        <v>1444010</v>
      </c>
      <c r="T161" s="37">
        <f t="shared" si="35"/>
        <v>0</v>
      </c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</row>
    <row r="162" spans="1:31" hidden="1">
      <c r="A162" s="277" t="s">
        <v>4683</v>
      </c>
      <c r="B162" s="9" t="s">
        <v>21</v>
      </c>
      <c r="C162" s="9">
        <v>2025</v>
      </c>
      <c r="D162" s="9" t="s">
        <v>27</v>
      </c>
      <c r="E162" s="90" t="s">
        <v>23</v>
      </c>
      <c r="F162" s="9" t="s">
        <v>7</v>
      </c>
      <c r="G162" s="10"/>
      <c r="H162" s="96">
        <v>250273</v>
      </c>
      <c r="I162" s="109" t="s">
        <v>86</v>
      </c>
      <c r="J162" s="115">
        <v>45714</v>
      </c>
      <c r="K162" s="119">
        <v>45729</v>
      </c>
      <c r="L162" s="116">
        <v>1766010</v>
      </c>
      <c r="M162" s="117" t="s">
        <v>103</v>
      </c>
      <c r="N162" s="34" t="s">
        <v>29</v>
      </c>
      <c r="O162" s="11"/>
      <c r="P162" s="113">
        <v>45754</v>
      </c>
      <c r="Q162" s="113">
        <v>45754</v>
      </c>
      <c r="R162" s="113">
        <v>45754</v>
      </c>
      <c r="S162" s="37">
        <f t="shared" ref="S162:S177" si="36">IF(R162="",0,L162)</f>
        <v>1766010</v>
      </c>
      <c r="T162" s="37">
        <f t="shared" ref="T162:T177" si="37">L162-S162</f>
        <v>0</v>
      </c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</row>
    <row r="163" spans="1:31" hidden="1">
      <c r="A163" s="277" t="s">
        <v>4684</v>
      </c>
      <c r="B163" s="9" t="s">
        <v>21</v>
      </c>
      <c r="C163" s="9">
        <v>2025</v>
      </c>
      <c r="D163" s="9" t="s">
        <v>27</v>
      </c>
      <c r="E163" s="90" t="s">
        <v>23</v>
      </c>
      <c r="F163" s="9" t="s">
        <v>7</v>
      </c>
      <c r="G163" s="10"/>
      <c r="H163" s="96">
        <v>250271</v>
      </c>
      <c r="I163" s="109" t="s">
        <v>86</v>
      </c>
      <c r="J163" s="115">
        <v>45716</v>
      </c>
      <c r="K163" s="119">
        <v>45729</v>
      </c>
      <c r="L163" s="116">
        <v>978187</v>
      </c>
      <c r="M163" s="117" t="s">
        <v>104</v>
      </c>
      <c r="N163" s="34" t="s">
        <v>29</v>
      </c>
      <c r="O163" s="11"/>
      <c r="P163" s="113">
        <v>45754</v>
      </c>
      <c r="Q163" s="113">
        <v>45754</v>
      </c>
      <c r="R163" s="113">
        <v>45754</v>
      </c>
      <c r="S163" s="37">
        <f t="shared" si="36"/>
        <v>978187</v>
      </c>
      <c r="T163" s="37">
        <f t="shared" si="37"/>
        <v>0</v>
      </c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</row>
    <row r="164" spans="1:31" hidden="1">
      <c r="A164" s="277" t="s">
        <v>4685</v>
      </c>
      <c r="B164" s="9" t="s">
        <v>21</v>
      </c>
      <c r="C164" s="9">
        <v>2025</v>
      </c>
      <c r="D164" s="9" t="s">
        <v>27</v>
      </c>
      <c r="E164" s="90" t="s">
        <v>23</v>
      </c>
      <c r="F164" s="9" t="s">
        <v>7</v>
      </c>
      <c r="G164" s="10"/>
      <c r="H164" s="96">
        <v>250304</v>
      </c>
      <c r="I164" s="109" t="s">
        <v>86</v>
      </c>
      <c r="J164" s="115">
        <v>45716</v>
      </c>
      <c r="K164" s="119">
        <v>45729</v>
      </c>
      <c r="L164" s="116">
        <v>1935564</v>
      </c>
      <c r="M164" s="117" t="s">
        <v>105</v>
      </c>
      <c r="N164" s="34" t="s">
        <v>29</v>
      </c>
      <c r="O164" s="11"/>
      <c r="P164" s="113">
        <v>45754</v>
      </c>
      <c r="Q164" s="113">
        <v>45754</v>
      </c>
      <c r="R164" s="113">
        <v>45754</v>
      </c>
      <c r="S164" s="37">
        <f t="shared" si="36"/>
        <v>1935564</v>
      </c>
      <c r="T164" s="37">
        <f t="shared" si="37"/>
        <v>0</v>
      </c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</row>
    <row r="165" spans="1:31" hidden="1">
      <c r="A165" s="277" t="s">
        <v>4686</v>
      </c>
      <c r="B165" s="9" t="s">
        <v>21</v>
      </c>
      <c r="C165" s="9">
        <v>2025</v>
      </c>
      <c r="D165" s="9" t="s">
        <v>27</v>
      </c>
      <c r="E165" s="90" t="s">
        <v>23</v>
      </c>
      <c r="F165" s="9" t="s">
        <v>7</v>
      </c>
      <c r="G165" s="10"/>
      <c r="H165" s="96">
        <v>250274</v>
      </c>
      <c r="I165" s="109" t="s">
        <v>86</v>
      </c>
      <c r="J165" s="115">
        <v>45716</v>
      </c>
      <c r="K165" s="119">
        <v>45729</v>
      </c>
      <c r="L165" s="116">
        <v>663463</v>
      </c>
      <c r="M165" s="117" t="s">
        <v>106</v>
      </c>
      <c r="N165" s="34" t="s">
        <v>29</v>
      </c>
      <c r="O165" s="11"/>
      <c r="P165" s="113">
        <v>45754</v>
      </c>
      <c r="Q165" s="113">
        <v>45754</v>
      </c>
      <c r="R165" s="113">
        <v>45754</v>
      </c>
      <c r="S165" s="37">
        <f t="shared" si="36"/>
        <v>663463</v>
      </c>
      <c r="T165" s="37">
        <f t="shared" si="37"/>
        <v>0</v>
      </c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</row>
    <row r="166" spans="1:31" hidden="1">
      <c r="A166" s="277" t="s">
        <v>4687</v>
      </c>
      <c r="B166" s="9" t="s">
        <v>21</v>
      </c>
      <c r="C166" s="9">
        <v>2025</v>
      </c>
      <c r="D166" s="9" t="s">
        <v>27</v>
      </c>
      <c r="E166" s="90" t="s">
        <v>23</v>
      </c>
      <c r="F166" s="9" t="s">
        <v>7</v>
      </c>
      <c r="G166" s="10"/>
      <c r="H166" s="96">
        <v>250300</v>
      </c>
      <c r="I166" s="109" t="s">
        <v>86</v>
      </c>
      <c r="J166" s="115">
        <v>45724</v>
      </c>
      <c r="K166" s="119">
        <v>45734</v>
      </c>
      <c r="L166" s="116">
        <v>1179819</v>
      </c>
      <c r="M166" s="117" t="s">
        <v>107</v>
      </c>
      <c r="N166" s="34" t="s">
        <v>29</v>
      </c>
      <c r="O166" s="31">
        <f>SUM(L166:L186)</f>
        <v>42870394</v>
      </c>
      <c r="P166" s="113">
        <v>45856</v>
      </c>
      <c r="Q166" s="113">
        <v>45856</v>
      </c>
      <c r="R166" s="113">
        <v>45856</v>
      </c>
      <c r="S166" s="37">
        <f t="shared" si="36"/>
        <v>1179819</v>
      </c>
      <c r="T166" s="37">
        <f t="shared" si="37"/>
        <v>0</v>
      </c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</row>
    <row r="167" spans="1:31" hidden="1">
      <c r="A167" s="277" t="s">
        <v>4688</v>
      </c>
      <c r="B167" s="9" t="s">
        <v>21</v>
      </c>
      <c r="C167" s="9">
        <v>2025</v>
      </c>
      <c r="D167" s="9" t="s">
        <v>27</v>
      </c>
      <c r="E167" s="90" t="s">
        <v>23</v>
      </c>
      <c r="F167" s="9" t="s">
        <v>7</v>
      </c>
      <c r="G167" s="10"/>
      <c r="H167" s="96">
        <v>250302</v>
      </c>
      <c r="I167" s="109" t="s">
        <v>86</v>
      </c>
      <c r="J167" s="115">
        <v>45724</v>
      </c>
      <c r="K167" s="119">
        <v>45734</v>
      </c>
      <c r="L167" s="116">
        <v>2888020</v>
      </c>
      <c r="M167" s="117" t="s">
        <v>108</v>
      </c>
      <c r="N167" s="34" t="s">
        <v>29</v>
      </c>
      <c r="O167" s="11"/>
      <c r="P167" s="113">
        <v>45856</v>
      </c>
      <c r="Q167" s="113">
        <v>45856</v>
      </c>
      <c r="R167" s="113">
        <v>45856</v>
      </c>
      <c r="S167" s="37">
        <f t="shared" si="36"/>
        <v>2888020</v>
      </c>
      <c r="T167" s="37">
        <f t="shared" si="37"/>
        <v>0</v>
      </c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</row>
    <row r="168" spans="1:31" hidden="1">
      <c r="A168" s="277" t="s">
        <v>4689</v>
      </c>
      <c r="B168" s="9" t="s">
        <v>21</v>
      </c>
      <c r="C168" s="9">
        <v>2025</v>
      </c>
      <c r="D168" s="9" t="s">
        <v>27</v>
      </c>
      <c r="E168" s="90" t="s">
        <v>23</v>
      </c>
      <c r="F168" s="9" t="s">
        <v>7</v>
      </c>
      <c r="G168" s="10"/>
      <c r="H168" s="96">
        <v>250301</v>
      </c>
      <c r="I168" s="109" t="s">
        <v>86</v>
      </c>
      <c r="J168" s="115">
        <v>45724</v>
      </c>
      <c r="K168" s="119">
        <v>45734</v>
      </c>
      <c r="L168" s="116">
        <v>6646147</v>
      </c>
      <c r="M168" s="117" t="s">
        <v>109</v>
      </c>
      <c r="N168" s="34" t="s">
        <v>29</v>
      </c>
      <c r="O168" s="11"/>
      <c r="P168" s="113">
        <v>45856</v>
      </c>
      <c r="Q168" s="113">
        <v>45856</v>
      </c>
      <c r="R168" s="113">
        <v>45856</v>
      </c>
      <c r="S168" s="37">
        <f t="shared" si="36"/>
        <v>6646147</v>
      </c>
      <c r="T168" s="37">
        <f t="shared" si="37"/>
        <v>0</v>
      </c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</row>
    <row r="169" spans="1:31" hidden="1">
      <c r="A169" s="277" t="s">
        <v>4690</v>
      </c>
      <c r="B169" s="9" t="s">
        <v>21</v>
      </c>
      <c r="C169" s="9">
        <v>2025</v>
      </c>
      <c r="D169" s="9" t="s">
        <v>27</v>
      </c>
      <c r="E169" s="90" t="s">
        <v>23</v>
      </c>
      <c r="F169" s="9" t="s">
        <v>7</v>
      </c>
      <c r="G169" s="10"/>
      <c r="H169" s="96">
        <v>250345</v>
      </c>
      <c r="I169" s="109" t="s">
        <v>86</v>
      </c>
      <c r="J169" s="115">
        <v>45728</v>
      </c>
      <c r="K169" s="119">
        <v>45734</v>
      </c>
      <c r="L169" s="116">
        <v>721500</v>
      </c>
      <c r="M169" s="117" t="s">
        <v>110</v>
      </c>
      <c r="N169" s="34" t="s">
        <v>29</v>
      </c>
      <c r="O169" s="11"/>
      <c r="P169" s="113">
        <v>45856</v>
      </c>
      <c r="Q169" s="113">
        <v>45856</v>
      </c>
      <c r="R169" s="113">
        <v>45856</v>
      </c>
      <c r="S169" s="37">
        <f t="shared" si="36"/>
        <v>721500</v>
      </c>
      <c r="T169" s="37">
        <f t="shared" si="37"/>
        <v>0</v>
      </c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</row>
    <row r="170" spans="1:31" hidden="1">
      <c r="A170" s="277" t="s">
        <v>4691</v>
      </c>
      <c r="B170" s="9" t="s">
        <v>21</v>
      </c>
      <c r="C170" s="9">
        <v>2025</v>
      </c>
      <c r="D170" s="9" t="s">
        <v>27</v>
      </c>
      <c r="E170" s="90" t="s">
        <v>23</v>
      </c>
      <c r="F170" s="9" t="s">
        <v>7</v>
      </c>
      <c r="G170" s="10"/>
      <c r="H170" s="96">
        <v>250344</v>
      </c>
      <c r="I170" s="109" t="s">
        <v>86</v>
      </c>
      <c r="J170" s="115">
        <v>45728</v>
      </c>
      <c r="K170" s="119">
        <v>45734</v>
      </c>
      <c r="L170" s="116">
        <v>4195924</v>
      </c>
      <c r="M170" s="117" t="s">
        <v>111</v>
      </c>
      <c r="N170" s="34" t="s">
        <v>29</v>
      </c>
      <c r="O170" s="11"/>
      <c r="P170" s="113">
        <v>45856</v>
      </c>
      <c r="Q170" s="113">
        <v>45856</v>
      </c>
      <c r="R170" s="113">
        <v>45856</v>
      </c>
      <c r="S170" s="37">
        <f t="shared" si="36"/>
        <v>4195924</v>
      </c>
      <c r="T170" s="37">
        <f t="shared" si="37"/>
        <v>0</v>
      </c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</row>
    <row r="171" spans="1:31" hidden="1">
      <c r="A171" s="277" t="s">
        <v>4692</v>
      </c>
      <c r="B171" s="9" t="s">
        <v>21</v>
      </c>
      <c r="C171" s="9">
        <v>2025</v>
      </c>
      <c r="D171" s="9" t="s">
        <v>27</v>
      </c>
      <c r="E171" s="90" t="s">
        <v>23</v>
      </c>
      <c r="F171" s="9" t="s">
        <v>7</v>
      </c>
      <c r="G171" s="10"/>
      <c r="H171" s="96">
        <v>250339</v>
      </c>
      <c r="I171" s="109" t="s">
        <v>86</v>
      </c>
      <c r="J171" s="115">
        <v>45728</v>
      </c>
      <c r="K171" s="119">
        <v>45752</v>
      </c>
      <c r="L171" s="116">
        <v>716301</v>
      </c>
      <c r="M171" s="117" t="s">
        <v>112</v>
      </c>
      <c r="N171" s="34" t="s">
        <v>29</v>
      </c>
      <c r="O171" s="11"/>
      <c r="P171" s="113">
        <v>45856</v>
      </c>
      <c r="Q171" s="113">
        <v>45856</v>
      </c>
      <c r="R171" s="113">
        <v>45856</v>
      </c>
      <c r="S171" s="37">
        <f t="shared" si="36"/>
        <v>716301</v>
      </c>
      <c r="T171" s="37">
        <f t="shared" si="37"/>
        <v>0</v>
      </c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</row>
    <row r="172" spans="1:31" hidden="1">
      <c r="A172" s="277" t="s">
        <v>4693</v>
      </c>
      <c r="B172" s="9" t="s">
        <v>21</v>
      </c>
      <c r="C172" s="9">
        <v>2025</v>
      </c>
      <c r="D172" s="9" t="s">
        <v>27</v>
      </c>
      <c r="E172" s="90" t="s">
        <v>23</v>
      </c>
      <c r="F172" s="9" t="s">
        <v>7</v>
      </c>
      <c r="G172" s="10"/>
      <c r="H172" s="96">
        <v>250341</v>
      </c>
      <c r="I172" s="109" t="s">
        <v>86</v>
      </c>
      <c r="J172" s="115">
        <v>45730</v>
      </c>
      <c r="K172" s="119">
        <v>45752</v>
      </c>
      <c r="L172" s="116">
        <v>624961</v>
      </c>
      <c r="M172" s="117" t="s">
        <v>113</v>
      </c>
      <c r="N172" s="34" t="s">
        <v>29</v>
      </c>
      <c r="O172" s="11"/>
      <c r="P172" s="113">
        <v>45856</v>
      </c>
      <c r="Q172" s="113">
        <v>45856</v>
      </c>
      <c r="R172" s="113">
        <v>45856</v>
      </c>
      <c r="S172" s="37">
        <f t="shared" si="36"/>
        <v>624961</v>
      </c>
      <c r="T172" s="37">
        <f t="shared" si="37"/>
        <v>0</v>
      </c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</row>
    <row r="173" spans="1:31" hidden="1">
      <c r="A173" s="277" t="s">
        <v>4694</v>
      </c>
      <c r="B173" s="9" t="s">
        <v>21</v>
      </c>
      <c r="C173" s="9">
        <v>2025</v>
      </c>
      <c r="D173" s="9" t="s">
        <v>27</v>
      </c>
      <c r="E173" s="90" t="s">
        <v>23</v>
      </c>
      <c r="F173" s="9" t="s">
        <v>7</v>
      </c>
      <c r="G173" s="10"/>
      <c r="H173" s="96">
        <v>250346</v>
      </c>
      <c r="I173" s="109" t="s">
        <v>86</v>
      </c>
      <c r="J173" s="115">
        <v>45730</v>
      </c>
      <c r="K173" s="119">
        <v>45752</v>
      </c>
      <c r="L173" s="116">
        <v>424575</v>
      </c>
      <c r="M173" s="117" t="s">
        <v>114</v>
      </c>
      <c r="N173" s="34" t="s">
        <v>29</v>
      </c>
      <c r="O173" s="11"/>
      <c r="P173" s="113">
        <v>45856</v>
      </c>
      <c r="Q173" s="113">
        <v>45856</v>
      </c>
      <c r="R173" s="113">
        <v>45856</v>
      </c>
      <c r="S173" s="37">
        <f t="shared" si="36"/>
        <v>424575</v>
      </c>
      <c r="T173" s="37">
        <f t="shared" si="37"/>
        <v>0</v>
      </c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</row>
    <row r="174" spans="1:31" hidden="1">
      <c r="A174" s="277" t="s">
        <v>4695</v>
      </c>
      <c r="B174" s="9" t="s">
        <v>21</v>
      </c>
      <c r="C174" s="9">
        <v>2025</v>
      </c>
      <c r="D174" s="9" t="s">
        <v>27</v>
      </c>
      <c r="E174" s="90" t="s">
        <v>23</v>
      </c>
      <c r="F174" s="9" t="s">
        <v>7</v>
      </c>
      <c r="G174" s="10"/>
      <c r="H174" s="96">
        <v>250395</v>
      </c>
      <c r="I174" s="109" t="s">
        <v>86</v>
      </c>
      <c r="J174" s="115">
        <v>45736</v>
      </c>
      <c r="K174" s="119">
        <v>45757</v>
      </c>
      <c r="L174" s="116">
        <v>2667731</v>
      </c>
      <c r="M174" s="117" t="s">
        <v>115</v>
      </c>
      <c r="N174" s="34" t="s">
        <v>29</v>
      </c>
      <c r="O174" s="11"/>
      <c r="P174" s="113">
        <v>45856</v>
      </c>
      <c r="Q174" s="113">
        <v>45856</v>
      </c>
      <c r="R174" s="113">
        <v>45856</v>
      </c>
      <c r="S174" s="37">
        <f t="shared" si="36"/>
        <v>2667731</v>
      </c>
      <c r="T174" s="37">
        <f t="shared" si="37"/>
        <v>0</v>
      </c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</row>
    <row r="175" spans="1:31" hidden="1">
      <c r="A175" s="277" t="s">
        <v>4696</v>
      </c>
      <c r="B175" s="9" t="s">
        <v>21</v>
      </c>
      <c r="C175" s="9">
        <v>2025</v>
      </c>
      <c r="D175" s="9" t="s">
        <v>27</v>
      </c>
      <c r="E175" s="90" t="s">
        <v>23</v>
      </c>
      <c r="F175" s="9" t="s">
        <v>7</v>
      </c>
      <c r="G175" s="10"/>
      <c r="H175" s="96">
        <v>250396</v>
      </c>
      <c r="I175" s="109" t="s">
        <v>86</v>
      </c>
      <c r="J175" s="115">
        <v>45740</v>
      </c>
      <c r="K175" s="119">
        <v>45757</v>
      </c>
      <c r="L175" s="116">
        <v>449019</v>
      </c>
      <c r="M175" s="117" t="s">
        <v>116</v>
      </c>
      <c r="N175" s="34" t="s">
        <v>29</v>
      </c>
      <c r="O175" s="11"/>
      <c r="P175" s="113">
        <v>45856</v>
      </c>
      <c r="Q175" s="113">
        <v>45856</v>
      </c>
      <c r="R175" s="113">
        <v>45856</v>
      </c>
      <c r="S175" s="37">
        <f t="shared" si="36"/>
        <v>449019</v>
      </c>
      <c r="T175" s="37">
        <f t="shared" si="37"/>
        <v>0</v>
      </c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</row>
    <row r="176" spans="1:31" hidden="1">
      <c r="A176" s="277" t="s">
        <v>4697</v>
      </c>
      <c r="B176" s="9" t="s">
        <v>21</v>
      </c>
      <c r="C176" s="9">
        <v>2025</v>
      </c>
      <c r="D176" s="9" t="s">
        <v>27</v>
      </c>
      <c r="E176" s="90" t="s">
        <v>23</v>
      </c>
      <c r="F176" s="9" t="s">
        <v>7</v>
      </c>
      <c r="G176" s="10"/>
      <c r="H176" s="96">
        <v>250403</v>
      </c>
      <c r="I176" s="109" t="s">
        <v>86</v>
      </c>
      <c r="J176" s="115">
        <v>45743</v>
      </c>
      <c r="K176" s="119">
        <v>45772</v>
      </c>
      <c r="L176" s="116">
        <v>588600</v>
      </c>
      <c r="M176" s="117" t="s">
        <v>117</v>
      </c>
      <c r="N176" s="34" t="s">
        <v>29</v>
      </c>
      <c r="O176" s="11"/>
      <c r="P176" s="113">
        <v>45856</v>
      </c>
      <c r="Q176" s="113">
        <v>45856</v>
      </c>
      <c r="R176" s="113">
        <v>45856</v>
      </c>
      <c r="S176" s="37">
        <f t="shared" si="36"/>
        <v>588600</v>
      </c>
      <c r="T176" s="37">
        <f t="shared" si="37"/>
        <v>0</v>
      </c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</row>
    <row r="177" spans="1:31" hidden="1">
      <c r="A177" s="277" t="s">
        <v>4698</v>
      </c>
      <c r="B177" s="9" t="s">
        <v>21</v>
      </c>
      <c r="C177" s="9">
        <v>2025</v>
      </c>
      <c r="D177" s="9" t="s">
        <v>27</v>
      </c>
      <c r="E177" s="90" t="s">
        <v>23</v>
      </c>
      <c r="F177" s="9" t="s">
        <v>7</v>
      </c>
      <c r="G177" s="10"/>
      <c r="H177" s="96">
        <v>250394</v>
      </c>
      <c r="I177" s="109" t="s">
        <v>86</v>
      </c>
      <c r="J177" s="115">
        <v>45743</v>
      </c>
      <c r="K177" s="119">
        <v>45772</v>
      </c>
      <c r="L177" s="116">
        <v>4899762</v>
      </c>
      <c r="M177" s="117" t="s">
        <v>118</v>
      </c>
      <c r="N177" s="34" t="s">
        <v>29</v>
      </c>
      <c r="O177" s="11"/>
      <c r="P177" s="113">
        <v>45856</v>
      </c>
      <c r="Q177" s="113">
        <v>45856</v>
      </c>
      <c r="R177" s="113">
        <v>45856</v>
      </c>
      <c r="S177" s="37">
        <f t="shared" si="36"/>
        <v>4899762</v>
      </c>
      <c r="T177" s="37">
        <f t="shared" si="37"/>
        <v>0</v>
      </c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</row>
    <row r="178" spans="1:31" hidden="1">
      <c r="A178" s="277" t="s">
        <v>4699</v>
      </c>
      <c r="B178" s="9" t="s">
        <v>21</v>
      </c>
      <c r="C178" s="9">
        <v>2025</v>
      </c>
      <c r="D178" s="9" t="s">
        <v>27</v>
      </c>
      <c r="E178" s="90" t="s">
        <v>23</v>
      </c>
      <c r="F178" s="9" t="s">
        <v>7</v>
      </c>
      <c r="G178" s="10"/>
      <c r="H178" s="96">
        <v>250437</v>
      </c>
      <c r="I178" s="109" t="s">
        <v>86</v>
      </c>
      <c r="J178" s="115">
        <v>45764</v>
      </c>
      <c r="K178" s="119">
        <v>45780</v>
      </c>
      <c r="L178" s="116">
        <v>2414402</v>
      </c>
      <c r="M178" s="117" t="s">
        <v>119</v>
      </c>
      <c r="N178" s="34" t="s">
        <v>29</v>
      </c>
      <c r="O178" s="11"/>
      <c r="P178" s="113">
        <v>45856</v>
      </c>
      <c r="Q178" s="113">
        <v>45856</v>
      </c>
      <c r="R178" s="113">
        <v>45856</v>
      </c>
      <c r="S178" s="37">
        <f t="shared" ref="S178:S187" si="38">IF(R178="",0,L178)</f>
        <v>2414402</v>
      </c>
      <c r="T178" s="37">
        <f t="shared" ref="T178:T187" si="39">L178-S178</f>
        <v>0</v>
      </c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</row>
    <row r="179" spans="1:31" hidden="1">
      <c r="A179" s="277" t="s">
        <v>4700</v>
      </c>
      <c r="B179" s="9" t="s">
        <v>21</v>
      </c>
      <c r="C179" s="9">
        <v>2025</v>
      </c>
      <c r="D179" s="9" t="s">
        <v>27</v>
      </c>
      <c r="E179" s="90" t="s">
        <v>23</v>
      </c>
      <c r="F179" s="9" t="s">
        <v>7</v>
      </c>
      <c r="G179" s="10"/>
      <c r="H179" s="96">
        <v>250436</v>
      </c>
      <c r="I179" s="109" t="s">
        <v>86</v>
      </c>
      <c r="J179" s="115">
        <v>45764</v>
      </c>
      <c r="K179" s="119">
        <v>45780</v>
      </c>
      <c r="L179" s="116">
        <v>5109574</v>
      </c>
      <c r="M179" s="117" t="s">
        <v>120</v>
      </c>
      <c r="N179" s="34" t="s">
        <v>29</v>
      </c>
      <c r="O179" s="11"/>
      <c r="P179" s="113">
        <v>45856</v>
      </c>
      <c r="Q179" s="113">
        <v>45856</v>
      </c>
      <c r="R179" s="113">
        <v>45856</v>
      </c>
      <c r="S179" s="37">
        <f t="shared" si="38"/>
        <v>5109574</v>
      </c>
      <c r="T179" s="37">
        <f t="shared" si="39"/>
        <v>0</v>
      </c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</row>
    <row r="180" spans="1:31" hidden="1">
      <c r="A180" s="277" t="s">
        <v>4701</v>
      </c>
      <c r="B180" s="9" t="s">
        <v>21</v>
      </c>
      <c r="C180" s="9">
        <v>2025</v>
      </c>
      <c r="D180" s="9" t="s">
        <v>27</v>
      </c>
      <c r="E180" s="90" t="s">
        <v>23</v>
      </c>
      <c r="F180" s="9" t="s">
        <v>7</v>
      </c>
      <c r="G180" s="10"/>
      <c r="H180" s="96">
        <v>250467</v>
      </c>
      <c r="I180" s="109" t="s">
        <v>86</v>
      </c>
      <c r="J180" s="115">
        <v>45772</v>
      </c>
      <c r="K180" s="119">
        <v>45785</v>
      </c>
      <c r="L180" s="116">
        <v>568919</v>
      </c>
      <c r="M180" s="117" t="s">
        <v>121</v>
      </c>
      <c r="N180" s="34" t="s">
        <v>29</v>
      </c>
      <c r="O180" s="11"/>
      <c r="P180" s="113">
        <v>45856</v>
      </c>
      <c r="Q180" s="113">
        <v>45856</v>
      </c>
      <c r="R180" s="113">
        <v>45856</v>
      </c>
      <c r="S180" s="37">
        <f t="shared" si="38"/>
        <v>568919</v>
      </c>
      <c r="T180" s="37">
        <f t="shared" si="39"/>
        <v>0</v>
      </c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</row>
    <row r="181" spans="1:31" hidden="1">
      <c r="A181" s="277" t="s">
        <v>4702</v>
      </c>
      <c r="B181" s="9" t="s">
        <v>21</v>
      </c>
      <c r="C181" s="9">
        <v>2025</v>
      </c>
      <c r="D181" s="9" t="s">
        <v>27</v>
      </c>
      <c r="E181" s="90" t="s">
        <v>23</v>
      </c>
      <c r="F181" s="9" t="s">
        <v>7</v>
      </c>
      <c r="G181" s="10"/>
      <c r="H181" s="96">
        <v>250468</v>
      </c>
      <c r="I181" s="109" t="s">
        <v>86</v>
      </c>
      <c r="J181" s="115">
        <v>45772</v>
      </c>
      <c r="K181" s="119">
        <v>45785</v>
      </c>
      <c r="L181" s="116">
        <v>265385</v>
      </c>
      <c r="M181" s="117" t="s">
        <v>122</v>
      </c>
      <c r="N181" s="34" t="s">
        <v>29</v>
      </c>
      <c r="O181" s="11"/>
      <c r="P181" s="113">
        <v>45856</v>
      </c>
      <c r="Q181" s="113">
        <v>45856</v>
      </c>
      <c r="R181" s="113">
        <v>45856</v>
      </c>
      <c r="S181" s="37">
        <f t="shared" si="38"/>
        <v>265385</v>
      </c>
      <c r="T181" s="37">
        <f t="shared" si="39"/>
        <v>0</v>
      </c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</row>
    <row r="182" spans="1:31" hidden="1">
      <c r="A182" s="277" t="s">
        <v>4703</v>
      </c>
      <c r="B182" s="9" t="s">
        <v>21</v>
      </c>
      <c r="C182" s="9">
        <v>2025</v>
      </c>
      <c r="D182" s="9" t="s">
        <v>27</v>
      </c>
      <c r="E182" s="90" t="s">
        <v>23</v>
      </c>
      <c r="F182" s="9" t="s">
        <v>7</v>
      </c>
      <c r="G182" s="10"/>
      <c r="H182" s="96">
        <v>250469</v>
      </c>
      <c r="I182" s="109" t="s">
        <v>86</v>
      </c>
      <c r="J182" s="115">
        <v>45772</v>
      </c>
      <c r="K182" s="119">
        <v>45785</v>
      </c>
      <c r="L182" s="116">
        <v>327771</v>
      </c>
      <c r="M182" s="117" t="s">
        <v>123</v>
      </c>
      <c r="N182" s="34" t="s">
        <v>29</v>
      </c>
      <c r="O182" s="11"/>
      <c r="P182" s="113">
        <v>45856</v>
      </c>
      <c r="Q182" s="113">
        <v>45856</v>
      </c>
      <c r="R182" s="113">
        <v>45856</v>
      </c>
      <c r="S182" s="37">
        <f t="shared" si="38"/>
        <v>327771</v>
      </c>
      <c r="T182" s="37">
        <f t="shared" si="39"/>
        <v>0</v>
      </c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</row>
    <row r="183" spans="1:31" hidden="1">
      <c r="A183" s="277" t="s">
        <v>4704</v>
      </c>
      <c r="B183" s="9" t="s">
        <v>21</v>
      </c>
      <c r="C183" s="9">
        <v>2025</v>
      </c>
      <c r="D183" s="9" t="s">
        <v>27</v>
      </c>
      <c r="E183" s="90" t="s">
        <v>23</v>
      </c>
      <c r="F183" s="9" t="s">
        <v>7</v>
      </c>
      <c r="G183" s="10"/>
      <c r="H183" s="96">
        <v>250475</v>
      </c>
      <c r="I183" s="109" t="s">
        <v>86</v>
      </c>
      <c r="J183" s="115">
        <v>45772</v>
      </c>
      <c r="K183" s="119">
        <v>45785</v>
      </c>
      <c r="L183" s="116">
        <v>1573092</v>
      </c>
      <c r="M183" s="117" t="s">
        <v>124</v>
      </c>
      <c r="N183" s="34" t="s">
        <v>29</v>
      </c>
      <c r="O183" s="11"/>
      <c r="P183" s="113">
        <v>45856</v>
      </c>
      <c r="Q183" s="113">
        <v>45856</v>
      </c>
      <c r="R183" s="113">
        <v>45856</v>
      </c>
      <c r="S183" s="37">
        <f t="shared" si="38"/>
        <v>1573092</v>
      </c>
      <c r="T183" s="37">
        <f t="shared" si="39"/>
        <v>0</v>
      </c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</row>
    <row r="184" spans="1:31" hidden="1">
      <c r="A184" s="277" t="s">
        <v>4705</v>
      </c>
      <c r="B184" s="9" t="s">
        <v>21</v>
      </c>
      <c r="C184" s="9">
        <v>2025</v>
      </c>
      <c r="D184" s="9" t="s">
        <v>27</v>
      </c>
      <c r="E184" s="90" t="s">
        <v>23</v>
      </c>
      <c r="F184" s="9" t="s">
        <v>7</v>
      </c>
      <c r="G184" s="10"/>
      <c r="H184" s="96">
        <v>250476</v>
      </c>
      <c r="I184" s="109" t="s">
        <v>86</v>
      </c>
      <c r="J184" s="115">
        <v>45772</v>
      </c>
      <c r="K184" s="119">
        <v>45785</v>
      </c>
      <c r="L184" s="116">
        <v>1306470</v>
      </c>
      <c r="M184" s="117" t="s">
        <v>125</v>
      </c>
      <c r="N184" s="34" t="s">
        <v>29</v>
      </c>
      <c r="O184" s="11"/>
      <c r="P184" s="113">
        <v>45856</v>
      </c>
      <c r="Q184" s="113">
        <v>45856</v>
      </c>
      <c r="R184" s="113">
        <v>45856</v>
      </c>
      <c r="S184" s="37">
        <f t="shared" si="38"/>
        <v>1306470</v>
      </c>
      <c r="T184" s="37">
        <f t="shared" si="39"/>
        <v>0</v>
      </c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</row>
    <row r="185" spans="1:31" hidden="1">
      <c r="A185" s="277" t="s">
        <v>4706</v>
      </c>
      <c r="B185" s="9" t="s">
        <v>21</v>
      </c>
      <c r="C185" s="9">
        <v>2025</v>
      </c>
      <c r="D185" s="9" t="s">
        <v>27</v>
      </c>
      <c r="E185" s="90" t="s">
        <v>23</v>
      </c>
      <c r="F185" s="9" t="s">
        <v>7</v>
      </c>
      <c r="G185" s="10"/>
      <c r="H185" s="96">
        <v>250472</v>
      </c>
      <c r="I185" s="109" t="s">
        <v>86</v>
      </c>
      <c r="J185" s="115">
        <v>45772</v>
      </c>
      <c r="K185" s="119">
        <v>45785</v>
      </c>
      <c r="L185" s="116">
        <v>2888020</v>
      </c>
      <c r="M185" s="117" t="s">
        <v>126</v>
      </c>
      <c r="N185" s="34" t="s">
        <v>29</v>
      </c>
      <c r="O185" s="11"/>
      <c r="P185" s="113">
        <v>45856</v>
      </c>
      <c r="Q185" s="113">
        <v>45856</v>
      </c>
      <c r="R185" s="113">
        <v>45856</v>
      </c>
      <c r="S185" s="37">
        <f t="shared" si="38"/>
        <v>2888020</v>
      </c>
      <c r="T185" s="37">
        <f t="shared" si="39"/>
        <v>0</v>
      </c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</row>
    <row r="186" spans="1:31" hidden="1">
      <c r="A186" s="277" t="s">
        <v>4707</v>
      </c>
      <c r="B186" s="9" t="s">
        <v>21</v>
      </c>
      <c r="C186" s="9">
        <v>2025</v>
      </c>
      <c r="D186" s="9" t="s">
        <v>27</v>
      </c>
      <c r="E186" s="90" t="s">
        <v>23</v>
      </c>
      <c r="F186" s="9" t="s">
        <v>7</v>
      </c>
      <c r="G186" s="10"/>
      <c r="H186" s="96">
        <v>250477</v>
      </c>
      <c r="I186" s="109" t="s">
        <v>86</v>
      </c>
      <c r="J186" s="115">
        <v>45775</v>
      </c>
      <c r="K186" s="119">
        <v>45785</v>
      </c>
      <c r="L186" s="116">
        <v>2414402</v>
      </c>
      <c r="M186" s="117" t="s">
        <v>127</v>
      </c>
      <c r="N186" s="34" t="s">
        <v>29</v>
      </c>
      <c r="O186" s="11"/>
      <c r="P186" s="113">
        <v>45856</v>
      </c>
      <c r="Q186" s="113">
        <v>45856</v>
      </c>
      <c r="R186" s="113">
        <v>45856</v>
      </c>
      <c r="S186" s="37">
        <f t="shared" si="38"/>
        <v>2414402</v>
      </c>
      <c r="T186" s="37">
        <f t="shared" si="39"/>
        <v>0</v>
      </c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</row>
    <row r="187" spans="1:31" hidden="1">
      <c r="A187" s="277" t="s">
        <v>4708</v>
      </c>
      <c r="B187" s="9" t="s">
        <v>21</v>
      </c>
      <c r="C187" s="9">
        <v>2025</v>
      </c>
      <c r="D187" s="9" t="s">
        <v>27</v>
      </c>
      <c r="E187" s="90" t="s">
        <v>23</v>
      </c>
      <c r="F187" s="9" t="s">
        <v>7</v>
      </c>
      <c r="G187" s="10"/>
      <c r="H187" s="96">
        <v>250544</v>
      </c>
      <c r="I187" s="109" t="s">
        <v>86</v>
      </c>
      <c r="J187" s="115">
        <v>45803</v>
      </c>
      <c r="K187" s="119">
        <v>45818</v>
      </c>
      <c r="L187" s="116">
        <v>7935023</v>
      </c>
      <c r="M187" s="117" t="s">
        <v>128</v>
      </c>
      <c r="N187" s="34" t="s">
        <v>29</v>
      </c>
      <c r="O187" s="31">
        <f>SUM(L187:L197)</f>
        <v>33951759</v>
      </c>
      <c r="P187" s="113">
        <v>45898</v>
      </c>
      <c r="Q187" s="113">
        <v>45898</v>
      </c>
      <c r="R187" s="113">
        <v>45898</v>
      </c>
      <c r="S187" s="37">
        <f t="shared" si="38"/>
        <v>7935023</v>
      </c>
      <c r="T187" s="37">
        <f t="shared" si="39"/>
        <v>0</v>
      </c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</row>
    <row r="188" spans="1:31" hidden="1">
      <c r="A188" s="277" t="s">
        <v>4709</v>
      </c>
      <c r="B188" s="9" t="s">
        <v>21</v>
      </c>
      <c r="C188" s="9">
        <v>2025</v>
      </c>
      <c r="D188" s="9" t="s">
        <v>27</v>
      </c>
      <c r="E188" s="90" t="s">
        <v>23</v>
      </c>
      <c r="F188" s="9" t="s">
        <v>7</v>
      </c>
      <c r="G188" s="10"/>
      <c r="H188" s="96">
        <v>250741</v>
      </c>
      <c r="I188" s="109" t="s">
        <v>86</v>
      </c>
      <c r="J188" s="115">
        <v>45860</v>
      </c>
      <c r="K188" s="119">
        <v>45874</v>
      </c>
      <c r="L188" s="116">
        <v>2962421</v>
      </c>
      <c r="M188" s="117" t="s">
        <v>129</v>
      </c>
      <c r="N188" s="34" t="s">
        <v>29</v>
      </c>
      <c r="O188" s="11"/>
      <c r="P188" s="113">
        <v>45898</v>
      </c>
      <c r="Q188" s="113">
        <v>45898</v>
      </c>
      <c r="R188" s="113">
        <v>45898</v>
      </c>
      <c r="S188" s="37">
        <f t="shared" ref="S188:S195" si="40">IF(R188="",0,L188)</f>
        <v>2962421</v>
      </c>
      <c r="T188" s="37">
        <f t="shared" ref="T188:T195" si="41">L188-S188</f>
        <v>0</v>
      </c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</row>
    <row r="189" spans="1:31" hidden="1">
      <c r="A189" s="277" t="s">
        <v>4710</v>
      </c>
      <c r="B189" s="9" t="s">
        <v>21</v>
      </c>
      <c r="C189" s="9">
        <v>2025</v>
      </c>
      <c r="D189" s="9" t="s">
        <v>27</v>
      </c>
      <c r="E189" s="90" t="s">
        <v>23</v>
      </c>
      <c r="F189" s="9" t="s">
        <v>7</v>
      </c>
      <c r="G189" s="10"/>
      <c r="H189" s="96">
        <v>250740</v>
      </c>
      <c r="I189" s="109" t="s">
        <v>86</v>
      </c>
      <c r="J189" s="115">
        <v>45860</v>
      </c>
      <c r="K189" s="119">
        <v>45874</v>
      </c>
      <c r="L189" s="116">
        <v>125683</v>
      </c>
      <c r="M189" s="117" t="s">
        <v>130</v>
      </c>
      <c r="N189" s="34" t="s">
        <v>29</v>
      </c>
      <c r="O189" s="11"/>
      <c r="P189" s="113">
        <v>45898</v>
      </c>
      <c r="Q189" s="113">
        <v>45898</v>
      </c>
      <c r="R189" s="113">
        <v>45898</v>
      </c>
      <c r="S189" s="37">
        <f t="shared" si="40"/>
        <v>125683</v>
      </c>
      <c r="T189" s="37">
        <f t="shared" si="41"/>
        <v>0</v>
      </c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</row>
    <row r="190" spans="1:31" hidden="1">
      <c r="A190" s="277" t="s">
        <v>4711</v>
      </c>
      <c r="B190" s="9" t="s">
        <v>21</v>
      </c>
      <c r="C190" s="9">
        <v>2025</v>
      </c>
      <c r="D190" s="9" t="s">
        <v>27</v>
      </c>
      <c r="E190" s="90" t="s">
        <v>23</v>
      </c>
      <c r="F190" s="9" t="s">
        <v>7</v>
      </c>
      <c r="G190" s="10"/>
      <c r="H190" s="96">
        <v>250737</v>
      </c>
      <c r="I190" s="109" t="s">
        <v>86</v>
      </c>
      <c r="J190" s="115">
        <v>45860</v>
      </c>
      <c r="K190" s="119">
        <v>45874</v>
      </c>
      <c r="L190" s="116">
        <v>736912</v>
      </c>
      <c r="M190" s="117" t="s">
        <v>131</v>
      </c>
      <c r="N190" s="34" t="s">
        <v>29</v>
      </c>
      <c r="O190" s="11"/>
      <c r="P190" s="113">
        <v>45898</v>
      </c>
      <c r="Q190" s="113">
        <v>45898</v>
      </c>
      <c r="R190" s="113">
        <v>45898</v>
      </c>
      <c r="S190" s="37">
        <f t="shared" si="40"/>
        <v>736912</v>
      </c>
      <c r="T190" s="37">
        <f t="shared" si="41"/>
        <v>0</v>
      </c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</row>
    <row r="191" spans="1:31" hidden="1">
      <c r="A191" s="277" t="s">
        <v>4712</v>
      </c>
      <c r="B191" s="9" t="s">
        <v>21</v>
      </c>
      <c r="C191" s="9">
        <v>2025</v>
      </c>
      <c r="D191" s="9" t="s">
        <v>27</v>
      </c>
      <c r="E191" s="90" t="s">
        <v>23</v>
      </c>
      <c r="F191" s="9" t="s">
        <v>7</v>
      </c>
      <c r="G191" s="10"/>
      <c r="H191" s="96">
        <v>250738</v>
      </c>
      <c r="I191" s="109" t="s">
        <v>86</v>
      </c>
      <c r="J191" s="115">
        <v>45860</v>
      </c>
      <c r="K191" s="119">
        <v>45874</v>
      </c>
      <c r="L191" s="116">
        <v>5650899</v>
      </c>
      <c r="M191" s="117" t="s">
        <v>132</v>
      </c>
      <c r="N191" s="34" t="s">
        <v>29</v>
      </c>
      <c r="O191" s="11"/>
      <c r="P191" s="113">
        <v>45898</v>
      </c>
      <c r="Q191" s="113">
        <v>45898</v>
      </c>
      <c r="R191" s="113">
        <v>45898</v>
      </c>
      <c r="S191" s="37">
        <f t="shared" si="40"/>
        <v>5650899</v>
      </c>
      <c r="T191" s="37">
        <f t="shared" si="41"/>
        <v>0</v>
      </c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</row>
    <row r="192" spans="1:31" hidden="1">
      <c r="A192" s="277" t="s">
        <v>4713</v>
      </c>
      <c r="B192" s="9" t="s">
        <v>21</v>
      </c>
      <c r="C192" s="9">
        <v>2025</v>
      </c>
      <c r="D192" s="9" t="s">
        <v>27</v>
      </c>
      <c r="E192" s="90" t="s">
        <v>23</v>
      </c>
      <c r="F192" s="9" t="s">
        <v>7</v>
      </c>
      <c r="G192" s="10"/>
      <c r="H192" s="96">
        <v>250739</v>
      </c>
      <c r="I192" s="109" t="s">
        <v>86</v>
      </c>
      <c r="J192" s="115">
        <v>45860</v>
      </c>
      <c r="K192" s="119">
        <v>45874</v>
      </c>
      <c r="L192" s="116">
        <v>2888042</v>
      </c>
      <c r="M192" s="117" t="s">
        <v>133</v>
      </c>
      <c r="N192" s="34" t="s">
        <v>29</v>
      </c>
      <c r="O192" s="11"/>
      <c r="P192" s="113">
        <v>45898</v>
      </c>
      <c r="Q192" s="113">
        <v>45898</v>
      </c>
      <c r="R192" s="113">
        <v>45898</v>
      </c>
      <c r="S192" s="37">
        <f t="shared" si="40"/>
        <v>2888042</v>
      </c>
      <c r="T192" s="37">
        <f t="shared" si="41"/>
        <v>0</v>
      </c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</row>
    <row r="193" spans="1:31" hidden="1">
      <c r="A193" s="277" t="s">
        <v>4714</v>
      </c>
      <c r="B193" s="9" t="s">
        <v>21</v>
      </c>
      <c r="C193" s="9">
        <v>2025</v>
      </c>
      <c r="D193" s="9" t="s">
        <v>27</v>
      </c>
      <c r="E193" s="90" t="s">
        <v>23</v>
      </c>
      <c r="F193" s="9" t="s">
        <v>7</v>
      </c>
      <c r="G193" s="10"/>
      <c r="H193" s="96">
        <v>250744</v>
      </c>
      <c r="I193" s="109" t="s">
        <v>86</v>
      </c>
      <c r="J193" s="115">
        <v>45860</v>
      </c>
      <c r="K193" s="119">
        <v>45874</v>
      </c>
      <c r="L193" s="116">
        <v>2359638</v>
      </c>
      <c r="M193" s="117" t="s">
        <v>134</v>
      </c>
      <c r="N193" s="34" t="s">
        <v>29</v>
      </c>
      <c r="O193" s="11"/>
      <c r="P193" s="113">
        <v>45898</v>
      </c>
      <c r="Q193" s="113">
        <v>45898</v>
      </c>
      <c r="R193" s="113">
        <v>45898</v>
      </c>
      <c r="S193" s="37">
        <f t="shared" si="40"/>
        <v>2359638</v>
      </c>
      <c r="T193" s="37">
        <f t="shared" si="41"/>
        <v>0</v>
      </c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</row>
    <row r="194" spans="1:31" hidden="1">
      <c r="A194" s="277" t="s">
        <v>4715</v>
      </c>
      <c r="B194" s="9" t="s">
        <v>21</v>
      </c>
      <c r="C194" s="9">
        <v>2025</v>
      </c>
      <c r="D194" s="9" t="s">
        <v>27</v>
      </c>
      <c r="E194" s="90" t="s">
        <v>23</v>
      </c>
      <c r="F194" s="9" t="s">
        <v>7</v>
      </c>
      <c r="G194" s="10"/>
      <c r="H194" s="96">
        <v>250743</v>
      </c>
      <c r="I194" s="109" t="s">
        <v>86</v>
      </c>
      <c r="J194" s="115">
        <v>45861</v>
      </c>
      <c r="K194" s="119">
        <v>45874</v>
      </c>
      <c r="L194" s="116">
        <v>692098</v>
      </c>
      <c r="M194" s="117" t="s">
        <v>135</v>
      </c>
      <c r="N194" s="34" t="s">
        <v>29</v>
      </c>
      <c r="O194" s="11"/>
      <c r="P194" s="113">
        <v>45898</v>
      </c>
      <c r="Q194" s="113">
        <v>45898</v>
      </c>
      <c r="R194" s="113">
        <v>45898</v>
      </c>
      <c r="S194" s="37">
        <f t="shared" si="40"/>
        <v>692098</v>
      </c>
      <c r="T194" s="37">
        <f t="shared" si="41"/>
        <v>0</v>
      </c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</row>
    <row r="195" spans="1:31" hidden="1">
      <c r="A195" s="277" t="s">
        <v>4716</v>
      </c>
      <c r="B195" s="9" t="s">
        <v>21</v>
      </c>
      <c r="C195" s="9">
        <v>2025</v>
      </c>
      <c r="D195" s="9" t="s">
        <v>27</v>
      </c>
      <c r="E195" s="90" t="s">
        <v>23</v>
      </c>
      <c r="F195" s="9" t="s">
        <v>7</v>
      </c>
      <c r="G195" s="10"/>
      <c r="H195" s="96">
        <v>250742</v>
      </c>
      <c r="I195" s="109" t="s">
        <v>86</v>
      </c>
      <c r="J195" s="115">
        <v>45861</v>
      </c>
      <c r="K195" s="119">
        <v>45874</v>
      </c>
      <c r="L195" s="116">
        <v>8987892</v>
      </c>
      <c r="M195" s="117" t="s">
        <v>136</v>
      </c>
      <c r="N195" s="34" t="s">
        <v>29</v>
      </c>
      <c r="O195" s="11"/>
      <c r="P195" s="113">
        <v>45898</v>
      </c>
      <c r="Q195" s="113">
        <v>45898</v>
      </c>
      <c r="R195" s="113">
        <v>45898</v>
      </c>
      <c r="S195" s="37">
        <f t="shared" si="40"/>
        <v>8987892</v>
      </c>
      <c r="T195" s="37">
        <f t="shared" si="41"/>
        <v>0</v>
      </c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</row>
    <row r="196" spans="1:31" hidden="1">
      <c r="A196" s="277" t="s">
        <v>4717</v>
      </c>
      <c r="B196" s="9" t="s">
        <v>21</v>
      </c>
      <c r="C196" s="9">
        <v>2025</v>
      </c>
      <c r="D196" s="9" t="s">
        <v>27</v>
      </c>
      <c r="E196" s="90" t="s">
        <v>23</v>
      </c>
      <c r="F196" s="9" t="s">
        <v>7</v>
      </c>
      <c r="G196" s="10"/>
      <c r="H196" s="96">
        <v>250705</v>
      </c>
      <c r="I196" s="109" t="s">
        <v>86</v>
      </c>
      <c r="J196" s="115">
        <v>45862</v>
      </c>
      <c r="K196" s="119">
        <v>45888</v>
      </c>
      <c r="L196" s="116">
        <v>1285380</v>
      </c>
      <c r="M196" s="117" t="s">
        <v>137</v>
      </c>
      <c r="N196" s="34" t="s">
        <v>29</v>
      </c>
      <c r="O196" s="11"/>
      <c r="P196" s="113">
        <v>45898</v>
      </c>
      <c r="Q196" s="113">
        <v>45898</v>
      </c>
      <c r="R196" s="113">
        <v>45898</v>
      </c>
      <c r="S196" s="37">
        <f t="shared" ref="S196:S208" si="42">IF(R196="",0,L196)</f>
        <v>1285380</v>
      </c>
      <c r="T196" s="37">
        <f t="shared" ref="T196:T208" si="43">L196-S196</f>
        <v>0</v>
      </c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</row>
    <row r="197" spans="1:31" hidden="1">
      <c r="A197" s="277" t="s">
        <v>4718</v>
      </c>
      <c r="B197" s="9" t="s">
        <v>21</v>
      </c>
      <c r="C197" s="9">
        <v>2025</v>
      </c>
      <c r="D197" s="9" t="s">
        <v>27</v>
      </c>
      <c r="E197" s="90" t="s">
        <v>23</v>
      </c>
      <c r="F197" s="9" t="s">
        <v>7</v>
      </c>
      <c r="G197" s="10"/>
      <c r="H197" s="96">
        <v>250731</v>
      </c>
      <c r="I197" s="109" t="s">
        <v>86</v>
      </c>
      <c r="J197" s="115">
        <v>45866</v>
      </c>
      <c r="K197" s="119">
        <v>45888</v>
      </c>
      <c r="L197" s="116">
        <v>327771</v>
      </c>
      <c r="M197" s="117" t="s">
        <v>138</v>
      </c>
      <c r="N197" s="34" t="s">
        <v>29</v>
      </c>
      <c r="O197" s="11"/>
      <c r="P197" s="113">
        <v>45898</v>
      </c>
      <c r="Q197" s="113">
        <v>45898</v>
      </c>
      <c r="R197" s="113">
        <v>45898</v>
      </c>
      <c r="S197" s="37">
        <f t="shared" si="42"/>
        <v>327771</v>
      </c>
      <c r="T197" s="37">
        <f t="shared" si="43"/>
        <v>0</v>
      </c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</row>
    <row r="198" spans="1:31" hidden="1">
      <c r="A198" s="277" t="s">
        <v>4719</v>
      </c>
      <c r="B198" s="9" t="s">
        <v>21</v>
      </c>
      <c r="C198" s="9">
        <v>2025</v>
      </c>
      <c r="D198" s="9" t="s">
        <v>27</v>
      </c>
      <c r="E198" s="90" t="s">
        <v>23</v>
      </c>
      <c r="F198" s="9" t="s">
        <v>7</v>
      </c>
      <c r="G198" s="10"/>
      <c r="H198" s="96">
        <v>250779</v>
      </c>
      <c r="I198" s="109" t="s">
        <v>86</v>
      </c>
      <c r="J198" s="115">
        <v>45873</v>
      </c>
      <c r="K198" s="119">
        <v>45888</v>
      </c>
      <c r="L198" s="116">
        <v>471922</v>
      </c>
      <c r="M198" s="117" t="s">
        <v>139</v>
      </c>
      <c r="N198" s="34" t="s">
        <v>29</v>
      </c>
      <c r="O198" s="31">
        <f>SUM(L198:L208)</f>
        <v>35342859</v>
      </c>
      <c r="P198" s="113">
        <v>45919</v>
      </c>
      <c r="Q198" s="113">
        <v>45919</v>
      </c>
      <c r="R198" s="113">
        <v>45919</v>
      </c>
      <c r="S198" s="37">
        <f t="shared" si="42"/>
        <v>471922</v>
      </c>
      <c r="T198" s="37">
        <f t="shared" si="43"/>
        <v>0</v>
      </c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</row>
    <row r="199" spans="1:31" hidden="1">
      <c r="A199" s="277" t="s">
        <v>4720</v>
      </c>
      <c r="B199" s="9" t="s">
        <v>21</v>
      </c>
      <c r="C199" s="9">
        <v>2025</v>
      </c>
      <c r="D199" s="9" t="s">
        <v>27</v>
      </c>
      <c r="E199" s="90" t="s">
        <v>23</v>
      </c>
      <c r="F199" s="9" t="s">
        <v>7</v>
      </c>
      <c r="G199" s="10"/>
      <c r="H199" s="96">
        <v>250787</v>
      </c>
      <c r="I199" s="109" t="s">
        <v>86</v>
      </c>
      <c r="J199" s="115">
        <v>45874</v>
      </c>
      <c r="K199" s="119">
        <v>45888</v>
      </c>
      <c r="L199" s="116">
        <v>699966</v>
      </c>
      <c r="M199" s="117" t="s">
        <v>140</v>
      </c>
      <c r="N199" s="34" t="s">
        <v>29</v>
      </c>
      <c r="O199" s="11"/>
      <c r="P199" s="113">
        <v>45919</v>
      </c>
      <c r="Q199" s="113">
        <v>45919</v>
      </c>
      <c r="R199" s="113">
        <v>45919</v>
      </c>
      <c r="S199" s="37">
        <f t="shared" si="42"/>
        <v>699966</v>
      </c>
      <c r="T199" s="37">
        <f t="shared" si="43"/>
        <v>0</v>
      </c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</row>
    <row r="200" spans="1:31" hidden="1">
      <c r="A200" s="277" t="s">
        <v>4721</v>
      </c>
      <c r="B200" s="9" t="s">
        <v>21</v>
      </c>
      <c r="C200" s="9">
        <v>2025</v>
      </c>
      <c r="D200" s="9" t="s">
        <v>27</v>
      </c>
      <c r="E200" s="90" t="s">
        <v>23</v>
      </c>
      <c r="F200" s="9" t="s">
        <v>7</v>
      </c>
      <c r="G200" s="10"/>
      <c r="H200" s="96">
        <v>250799</v>
      </c>
      <c r="I200" s="109" t="s">
        <v>86</v>
      </c>
      <c r="J200" s="115">
        <v>45876</v>
      </c>
      <c r="K200" s="119">
        <v>45888</v>
      </c>
      <c r="L200" s="116">
        <v>17975784</v>
      </c>
      <c r="M200" s="117" t="s">
        <v>141</v>
      </c>
      <c r="N200" s="34" t="s">
        <v>29</v>
      </c>
      <c r="O200" s="11"/>
      <c r="P200" s="113">
        <v>45919</v>
      </c>
      <c r="Q200" s="113">
        <v>45919</v>
      </c>
      <c r="R200" s="113">
        <v>45919</v>
      </c>
      <c r="S200" s="37">
        <f t="shared" si="42"/>
        <v>17975784</v>
      </c>
      <c r="T200" s="37">
        <f t="shared" si="43"/>
        <v>0</v>
      </c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</row>
    <row r="201" spans="1:31" hidden="1">
      <c r="A201" s="277" t="s">
        <v>4722</v>
      </c>
      <c r="B201" s="9" t="s">
        <v>21</v>
      </c>
      <c r="C201" s="9">
        <v>2025</v>
      </c>
      <c r="D201" s="9" t="s">
        <v>27</v>
      </c>
      <c r="E201" s="90" t="s">
        <v>23</v>
      </c>
      <c r="F201" s="9" t="s">
        <v>7</v>
      </c>
      <c r="G201" s="10"/>
      <c r="H201" s="96">
        <v>250798</v>
      </c>
      <c r="I201" s="109" t="s">
        <v>86</v>
      </c>
      <c r="J201" s="115">
        <v>45876</v>
      </c>
      <c r="K201" s="119">
        <v>45888</v>
      </c>
      <c r="L201" s="116">
        <v>2924850</v>
      </c>
      <c r="M201" s="117" t="s">
        <v>142</v>
      </c>
      <c r="N201" s="34" t="s">
        <v>29</v>
      </c>
      <c r="O201" s="11"/>
      <c r="P201" s="113">
        <v>45919</v>
      </c>
      <c r="Q201" s="113">
        <v>45919</v>
      </c>
      <c r="R201" s="113">
        <v>45919</v>
      </c>
      <c r="S201" s="37">
        <f t="shared" si="42"/>
        <v>2924850</v>
      </c>
      <c r="T201" s="37">
        <f t="shared" si="43"/>
        <v>0</v>
      </c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</row>
    <row r="202" spans="1:31" hidden="1">
      <c r="A202" s="277" t="s">
        <v>4723</v>
      </c>
      <c r="B202" s="9" t="s">
        <v>21</v>
      </c>
      <c r="C202" s="9">
        <v>2025</v>
      </c>
      <c r="D202" s="9" t="s">
        <v>27</v>
      </c>
      <c r="E202" s="90" t="s">
        <v>23</v>
      </c>
      <c r="F202" s="9" t="s">
        <v>7</v>
      </c>
      <c r="G202" s="10"/>
      <c r="H202" s="96">
        <v>250797</v>
      </c>
      <c r="I202" s="109" t="s">
        <v>86</v>
      </c>
      <c r="J202" s="115">
        <v>45877</v>
      </c>
      <c r="K202" s="119">
        <v>45888</v>
      </c>
      <c r="L202" s="116">
        <v>1249922</v>
      </c>
      <c r="M202" s="117" t="s">
        <v>143</v>
      </c>
      <c r="N202" s="34" t="s">
        <v>29</v>
      </c>
      <c r="O202" s="11"/>
      <c r="P202" s="113">
        <v>45919</v>
      </c>
      <c r="Q202" s="113">
        <v>45919</v>
      </c>
      <c r="R202" s="113">
        <v>45919</v>
      </c>
      <c r="S202" s="37">
        <f t="shared" si="42"/>
        <v>1249922</v>
      </c>
      <c r="T202" s="37">
        <f t="shared" si="43"/>
        <v>0</v>
      </c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</row>
    <row r="203" spans="1:31" hidden="1">
      <c r="A203" s="277" t="s">
        <v>4724</v>
      </c>
      <c r="B203" s="9" t="s">
        <v>21</v>
      </c>
      <c r="C203" s="9">
        <v>2025</v>
      </c>
      <c r="D203" s="9" t="s">
        <v>27</v>
      </c>
      <c r="E203" s="90" t="s">
        <v>23</v>
      </c>
      <c r="F203" s="9" t="s">
        <v>7</v>
      </c>
      <c r="G203" s="10"/>
      <c r="H203" s="96">
        <v>250796</v>
      </c>
      <c r="I203" s="109" t="s">
        <v>86</v>
      </c>
      <c r="J203" s="115">
        <v>45877</v>
      </c>
      <c r="K203" s="119">
        <v>45888</v>
      </c>
      <c r="L203" s="116">
        <v>1679918</v>
      </c>
      <c r="M203" s="117" t="s">
        <v>144</v>
      </c>
      <c r="N203" s="34" t="s">
        <v>29</v>
      </c>
      <c r="O203" s="11"/>
      <c r="P203" s="113">
        <v>45919</v>
      </c>
      <c r="Q203" s="113">
        <v>45919</v>
      </c>
      <c r="R203" s="113">
        <v>45919</v>
      </c>
      <c r="S203" s="37">
        <f t="shared" si="42"/>
        <v>1679918</v>
      </c>
      <c r="T203" s="37">
        <f t="shared" si="43"/>
        <v>0</v>
      </c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</row>
    <row r="204" spans="1:31" hidden="1">
      <c r="A204" s="277" t="s">
        <v>4725</v>
      </c>
      <c r="B204" s="9" t="s">
        <v>21</v>
      </c>
      <c r="C204" s="9">
        <v>2025</v>
      </c>
      <c r="D204" s="9" t="s">
        <v>27</v>
      </c>
      <c r="E204" s="90" t="s">
        <v>23</v>
      </c>
      <c r="F204" s="9" t="s">
        <v>7</v>
      </c>
      <c r="G204" s="10"/>
      <c r="H204" s="96">
        <v>250803</v>
      </c>
      <c r="I204" s="109" t="s">
        <v>86</v>
      </c>
      <c r="J204" s="115">
        <v>45880</v>
      </c>
      <c r="K204" s="119">
        <v>45888</v>
      </c>
      <c r="L204" s="116">
        <v>326895</v>
      </c>
      <c r="M204" s="117" t="s">
        <v>145</v>
      </c>
      <c r="N204" s="34" t="s">
        <v>29</v>
      </c>
      <c r="O204" s="11"/>
      <c r="P204" s="113">
        <v>45919</v>
      </c>
      <c r="Q204" s="113">
        <v>45919</v>
      </c>
      <c r="R204" s="113">
        <v>45919</v>
      </c>
      <c r="S204" s="37">
        <f t="shared" si="42"/>
        <v>326895</v>
      </c>
      <c r="T204" s="37">
        <f t="shared" si="43"/>
        <v>0</v>
      </c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</row>
    <row r="205" spans="1:31" hidden="1">
      <c r="A205" s="277" t="s">
        <v>4726</v>
      </c>
      <c r="B205" s="9" t="s">
        <v>21</v>
      </c>
      <c r="C205" s="9">
        <v>2025</v>
      </c>
      <c r="D205" s="9" t="s">
        <v>27</v>
      </c>
      <c r="E205" s="90" t="s">
        <v>23</v>
      </c>
      <c r="F205" s="9" t="s">
        <v>7</v>
      </c>
      <c r="G205" s="10"/>
      <c r="H205" s="96">
        <v>250804</v>
      </c>
      <c r="I205" s="109" t="s">
        <v>86</v>
      </c>
      <c r="J205" s="115">
        <v>45880</v>
      </c>
      <c r="K205" s="119">
        <v>45888</v>
      </c>
      <c r="L205" s="116">
        <v>392400</v>
      </c>
      <c r="M205" s="117" t="s">
        <v>146</v>
      </c>
      <c r="N205" s="34" t="s">
        <v>29</v>
      </c>
      <c r="O205" s="11"/>
      <c r="P205" s="113">
        <v>45919</v>
      </c>
      <c r="Q205" s="113">
        <v>45919</v>
      </c>
      <c r="R205" s="113">
        <v>45919</v>
      </c>
      <c r="S205" s="37">
        <f t="shared" si="42"/>
        <v>392400</v>
      </c>
      <c r="T205" s="37">
        <f t="shared" si="43"/>
        <v>0</v>
      </c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</row>
    <row r="206" spans="1:31" hidden="1">
      <c r="A206" s="277" t="s">
        <v>4727</v>
      </c>
      <c r="B206" s="9" t="s">
        <v>21</v>
      </c>
      <c r="C206" s="9">
        <v>2025</v>
      </c>
      <c r="D206" s="9" t="s">
        <v>27</v>
      </c>
      <c r="E206" s="90" t="s">
        <v>23</v>
      </c>
      <c r="F206" s="9" t="s">
        <v>7</v>
      </c>
      <c r="G206" s="10"/>
      <c r="H206" s="96">
        <v>250809</v>
      </c>
      <c r="I206" s="109" t="s">
        <v>86</v>
      </c>
      <c r="J206" s="115">
        <v>45881</v>
      </c>
      <c r="K206" s="119">
        <v>45899</v>
      </c>
      <c r="L206" s="116">
        <v>6593400</v>
      </c>
      <c r="M206" s="117" t="s">
        <v>147</v>
      </c>
      <c r="N206" s="34" t="s">
        <v>29</v>
      </c>
      <c r="O206" s="11"/>
      <c r="P206" s="113">
        <v>45919</v>
      </c>
      <c r="Q206" s="113">
        <v>45919</v>
      </c>
      <c r="R206" s="113">
        <v>45919</v>
      </c>
      <c r="S206" s="37">
        <f t="shared" si="42"/>
        <v>6593400</v>
      </c>
      <c r="T206" s="37">
        <f t="shared" si="43"/>
        <v>0</v>
      </c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</row>
    <row r="207" spans="1:31" hidden="1">
      <c r="A207" s="277" t="s">
        <v>4728</v>
      </c>
      <c r="B207" s="9" t="s">
        <v>21</v>
      </c>
      <c r="C207" s="9">
        <v>2025</v>
      </c>
      <c r="D207" s="9" t="s">
        <v>27</v>
      </c>
      <c r="E207" s="90" t="s">
        <v>23</v>
      </c>
      <c r="F207" s="9" t="s">
        <v>7</v>
      </c>
      <c r="G207" s="10"/>
      <c r="H207" s="96">
        <v>250819</v>
      </c>
      <c r="I207" s="109" t="s">
        <v>86</v>
      </c>
      <c r="J207" s="115">
        <v>45883</v>
      </c>
      <c r="K207" s="119">
        <v>45899</v>
      </c>
      <c r="L207" s="116">
        <v>2287432</v>
      </c>
      <c r="M207" s="117" t="s">
        <v>148</v>
      </c>
      <c r="N207" s="34" t="s">
        <v>29</v>
      </c>
      <c r="O207" s="11"/>
      <c r="P207" s="113">
        <v>45919</v>
      </c>
      <c r="Q207" s="113">
        <v>45919</v>
      </c>
      <c r="R207" s="113">
        <v>45919</v>
      </c>
      <c r="S207" s="37">
        <f t="shared" si="42"/>
        <v>2287432</v>
      </c>
      <c r="T207" s="37">
        <f t="shared" si="43"/>
        <v>0</v>
      </c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</row>
    <row r="208" spans="1:31" hidden="1">
      <c r="A208" s="277" t="s">
        <v>4729</v>
      </c>
      <c r="B208" s="9" t="s">
        <v>21</v>
      </c>
      <c r="C208" s="9">
        <v>2025</v>
      </c>
      <c r="D208" s="9" t="s">
        <v>27</v>
      </c>
      <c r="E208" s="90" t="s">
        <v>23</v>
      </c>
      <c r="F208" s="9" t="s">
        <v>7</v>
      </c>
      <c r="G208" s="10"/>
      <c r="H208" s="96">
        <v>250813</v>
      </c>
      <c r="I208" s="109" t="s">
        <v>86</v>
      </c>
      <c r="J208" s="115">
        <v>45883</v>
      </c>
      <c r="K208" s="119">
        <v>45899</v>
      </c>
      <c r="L208" s="116">
        <v>740370</v>
      </c>
      <c r="M208" s="117" t="s">
        <v>149</v>
      </c>
      <c r="N208" s="34" t="s">
        <v>29</v>
      </c>
      <c r="O208" s="11"/>
      <c r="P208" s="113">
        <v>45919</v>
      </c>
      <c r="Q208" s="113">
        <v>45919</v>
      </c>
      <c r="R208" s="113">
        <v>45919</v>
      </c>
      <c r="S208" s="37">
        <f t="shared" si="42"/>
        <v>740370</v>
      </c>
      <c r="T208" s="37">
        <f t="shared" si="43"/>
        <v>0</v>
      </c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</row>
    <row r="209" spans="1:31" hidden="1">
      <c r="A209" s="277" t="s">
        <v>4730</v>
      </c>
      <c r="B209" s="9" t="s">
        <v>21</v>
      </c>
      <c r="C209" s="9">
        <v>2025</v>
      </c>
      <c r="D209" s="9" t="s">
        <v>27</v>
      </c>
      <c r="E209" s="90" t="s">
        <v>23</v>
      </c>
      <c r="F209" s="9" t="s">
        <v>7</v>
      </c>
      <c r="G209" s="10"/>
      <c r="H209" s="96">
        <v>250849</v>
      </c>
      <c r="I209" s="109" t="s">
        <v>86</v>
      </c>
      <c r="J209" s="115">
        <v>45892</v>
      </c>
      <c r="K209" s="119">
        <v>45916</v>
      </c>
      <c r="L209" s="116">
        <v>4520719</v>
      </c>
      <c r="M209" s="117" t="s">
        <v>150</v>
      </c>
      <c r="N209" s="34" t="s">
        <v>29</v>
      </c>
      <c r="O209" s="31">
        <f>SUM(L209:L226)</f>
        <v>52840913</v>
      </c>
      <c r="P209" s="113">
        <v>45993</v>
      </c>
      <c r="Q209" s="113">
        <v>45993</v>
      </c>
      <c r="R209" s="113">
        <v>45993</v>
      </c>
      <c r="S209" s="37">
        <f t="shared" ref="S209:S226" si="44">IF(R209="",0,L209)</f>
        <v>4520719</v>
      </c>
      <c r="T209" s="37">
        <f t="shared" ref="T209:T226" si="45">L209-S209</f>
        <v>0</v>
      </c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</row>
    <row r="210" spans="1:31" hidden="1">
      <c r="A210" s="277" t="s">
        <v>4731</v>
      </c>
      <c r="B210" s="9" t="s">
        <v>21</v>
      </c>
      <c r="C210" s="9">
        <v>2025</v>
      </c>
      <c r="D210" s="9" t="s">
        <v>27</v>
      </c>
      <c r="E210" s="90" t="s">
        <v>23</v>
      </c>
      <c r="F210" s="9" t="s">
        <v>7</v>
      </c>
      <c r="G210" s="10"/>
      <c r="H210" s="96">
        <v>250861</v>
      </c>
      <c r="I210" s="109" t="s">
        <v>86</v>
      </c>
      <c r="J210" s="115">
        <v>45896</v>
      </c>
      <c r="K210" s="119">
        <v>45916</v>
      </c>
      <c r="L210" s="116">
        <v>1119945</v>
      </c>
      <c r="M210" s="117" t="s">
        <v>151</v>
      </c>
      <c r="N210" s="34" t="s">
        <v>29</v>
      </c>
      <c r="O210" s="11"/>
      <c r="P210" s="113">
        <v>45993</v>
      </c>
      <c r="Q210" s="113">
        <v>45993</v>
      </c>
      <c r="R210" s="113">
        <v>45993</v>
      </c>
      <c r="S210" s="37">
        <f t="shared" si="44"/>
        <v>1119945</v>
      </c>
      <c r="T210" s="37">
        <f t="shared" si="45"/>
        <v>0</v>
      </c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</row>
    <row r="211" spans="1:31" hidden="1">
      <c r="A211" s="277" t="s">
        <v>4732</v>
      </c>
      <c r="B211" s="9" t="s">
        <v>21</v>
      </c>
      <c r="C211" s="9">
        <v>2025</v>
      </c>
      <c r="D211" s="9" t="s">
        <v>27</v>
      </c>
      <c r="E211" s="90" t="s">
        <v>23</v>
      </c>
      <c r="F211" s="9" t="s">
        <v>7</v>
      </c>
      <c r="G211" s="10"/>
      <c r="H211" s="96">
        <v>250870</v>
      </c>
      <c r="I211" s="109" t="s">
        <v>86</v>
      </c>
      <c r="J211" s="115">
        <v>45899</v>
      </c>
      <c r="K211" s="119">
        <v>45916</v>
      </c>
      <c r="L211" s="116">
        <v>219336</v>
      </c>
      <c r="M211" s="117" t="s">
        <v>152</v>
      </c>
      <c r="N211" s="34" t="s">
        <v>29</v>
      </c>
      <c r="O211" s="11"/>
      <c r="P211" s="113">
        <v>45993</v>
      </c>
      <c r="Q211" s="113">
        <v>45993</v>
      </c>
      <c r="R211" s="113">
        <v>45993</v>
      </c>
      <c r="S211" s="37">
        <f t="shared" si="44"/>
        <v>219336</v>
      </c>
      <c r="T211" s="37">
        <f t="shared" si="45"/>
        <v>0</v>
      </c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</row>
    <row r="212" spans="1:31" hidden="1">
      <c r="A212" s="277" t="s">
        <v>4733</v>
      </c>
      <c r="B212" s="9" t="s">
        <v>21</v>
      </c>
      <c r="C212" s="9">
        <v>2025</v>
      </c>
      <c r="D212" s="9" t="s">
        <v>27</v>
      </c>
      <c r="E212" s="90" t="s">
        <v>23</v>
      </c>
      <c r="F212" s="9" t="s">
        <v>7</v>
      </c>
      <c r="G212" s="10"/>
      <c r="H212" s="96">
        <v>250888</v>
      </c>
      <c r="I212" s="109" t="s">
        <v>86</v>
      </c>
      <c r="J212" s="115">
        <v>45899</v>
      </c>
      <c r="K212" s="119">
        <v>45916</v>
      </c>
      <c r="L212" s="116">
        <v>586602</v>
      </c>
      <c r="M212" s="117" t="s">
        <v>153</v>
      </c>
      <c r="N212" s="34" t="s">
        <v>29</v>
      </c>
      <c r="O212" s="11"/>
      <c r="P212" s="113">
        <v>45993</v>
      </c>
      <c r="Q212" s="113">
        <v>45993</v>
      </c>
      <c r="R212" s="113">
        <v>45993</v>
      </c>
      <c r="S212" s="37">
        <f t="shared" si="44"/>
        <v>586602</v>
      </c>
      <c r="T212" s="37">
        <f t="shared" si="45"/>
        <v>0</v>
      </c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</row>
    <row r="213" spans="1:31" hidden="1">
      <c r="A213" s="277" t="s">
        <v>4734</v>
      </c>
      <c r="B213" s="9" t="s">
        <v>21</v>
      </c>
      <c r="C213" s="9">
        <v>2025</v>
      </c>
      <c r="D213" s="9" t="s">
        <v>27</v>
      </c>
      <c r="E213" s="90" t="s">
        <v>23</v>
      </c>
      <c r="F213" s="9" t="s">
        <v>7</v>
      </c>
      <c r="G213" s="10"/>
      <c r="H213" s="96">
        <v>250885</v>
      </c>
      <c r="I213" s="109" t="s">
        <v>86</v>
      </c>
      <c r="J213" s="115">
        <v>45899</v>
      </c>
      <c r="K213" s="119">
        <v>45916</v>
      </c>
      <c r="L213" s="116">
        <v>4963864</v>
      </c>
      <c r="M213" s="117" t="s">
        <v>154</v>
      </c>
      <c r="N213" s="34" t="s">
        <v>29</v>
      </c>
      <c r="O213" s="11"/>
      <c r="P213" s="113">
        <v>45993</v>
      </c>
      <c r="Q213" s="113">
        <v>45993</v>
      </c>
      <c r="R213" s="113">
        <v>45993</v>
      </c>
      <c r="S213" s="37">
        <f t="shared" si="44"/>
        <v>4963864</v>
      </c>
      <c r="T213" s="37">
        <f t="shared" si="45"/>
        <v>0</v>
      </c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</row>
    <row r="214" spans="1:31" hidden="1">
      <c r="A214" s="277" t="s">
        <v>4735</v>
      </c>
      <c r="B214" s="9" t="s">
        <v>21</v>
      </c>
      <c r="C214" s="9">
        <v>2025</v>
      </c>
      <c r="D214" s="9" t="s">
        <v>27</v>
      </c>
      <c r="E214" s="90" t="s">
        <v>23</v>
      </c>
      <c r="F214" s="9" t="s">
        <v>7</v>
      </c>
      <c r="G214" s="10"/>
      <c r="H214" s="96">
        <v>250912</v>
      </c>
      <c r="I214" s="109" t="s">
        <v>86</v>
      </c>
      <c r="J214" s="115">
        <v>45908</v>
      </c>
      <c r="K214" s="119">
        <v>45916</v>
      </c>
      <c r="L214" s="116">
        <v>6660000</v>
      </c>
      <c r="M214" s="117" t="s">
        <v>155</v>
      </c>
      <c r="N214" s="34" t="s">
        <v>29</v>
      </c>
      <c r="O214" s="11"/>
      <c r="P214" s="113">
        <v>45993</v>
      </c>
      <c r="Q214" s="113">
        <v>45993</v>
      </c>
      <c r="R214" s="113">
        <v>45993</v>
      </c>
      <c r="S214" s="37">
        <f t="shared" si="44"/>
        <v>6660000</v>
      </c>
      <c r="T214" s="37">
        <f t="shared" si="45"/>
        <v>0</v>
      </c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</row>
    <row r="215" spans="1:31" hidden="1">
      <c r="A215" s="277" t="s">
        <v>4736</v>
      </c>
      <c r="B215" s="9" t="s">
        <v>21</v>
      </c>
      <c r="C215" s="9">
        <v>2025</v>
      </c>
      <c r="D215" s="9" t="s">
        <v>27</v>
      </c>
      <c r="E215" s="90" t="s">
        <v>23</v>
      </c>
      <c r="F215" s="9" t="s">
        <v>7</v>
      </c>
      <c r="G215" s="10"/>
      <c r="H215" s="96">
        <v>250922</v>
      </c>
      <c r="I215" s="109" t="s">
        <v>86</v>
      </c>
      <c r="J215" s="115">
        <v>45911</v>
      </c>
      <c r="K215" s="119">
        <v>45932</v>
      </c>
      <c r="L215" s="116">
        <v>393326</v>
      </c>
      <c r="M215" s="117" t="s">
        <v>3723</v>
      </c>
      <c r="N215" s="34" t="s">
        <v>29</v>
      </c>
      <c r="O215" s="11"/>
      <c r="P215" s="113">
        <v>45993</v>
      </c>
      <c r="Q215" s="113">
        <v>45993</v>
      </c>
      <c r="R215" s="113">
        <v>45993</v>
      </c>
      <c r="S215" s="37">
        <f t="shared" si="44"/>
        <v>393326</v>
      </c>
      <c r="T215" s="37">
        <f t="shared" si="45"/>
        <v>0</v>
      </c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</row>
    <row r="216" spans="1:31" hidden="1">
      <c r="A216" s="277" t="s">
        <v>4737</v>
      </c>
      <c r="B216" s="9" t="s">
        <v>21</v>
      </c>
      <c r="C216" s="9">
        <v>2025</v>
      </c>
      <c r="D216" s="9" t="s">
        <v>27</v>
      </c>
      <c r="E216" s="90" t="s">
        <v>23</v>
      </c>
      <c r="F216" s="9" t="s">
        <v>7</v>
      </c>
      <c r="G216" s="10"/>
      <c r="H216" s="96">
        <v>250939</v>
      </c>
      <c r="I216" s="109" t="s">
        <v>86</v>
      </c>
      <c r="J216" s="115">
        <v>45915</v>
      </c>
      <c r="K216" s="119">
        <v>45932</v>
      </c>
      <c r="L216" s="116">
        <v>1573092</v>
      </c>
      <c r="M216" s="117" t="s">
        <v>3724</v>
      </c>
      <c r="N216" s="34" t="s">
        <v>29</v>
      </c>
      <c r="O216" s="11"/>
      <c r="P216" s="113">
        <v>45993</v>
      </c>
      <c r="Q216" s="113">
        <v>45993</v>
      </c>
      <c r="R216" s="113">
        <v>45993</v>
      </c>
      <c r="S216" s="37">
        <f t="shared" si="44"/>
        <v>1573092</v>
      </c>
      <c r="T216" s="37">
        <f t="shared" si="45"/>
        <v>0</v>
      </c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</row>
    <row r="217" spans="1:31" hidden="1">
      <c r="A217" s="277" t="s">
        <v>4738</v>
      </c>
      <c r="B217" s="9" t="s">
        <v>21</v>
      </c>
      <c r="C217" s="9">
        <v>2025</v>
      </c>
      <c r="D217" s="9" t="s">
        <v>27</v>
      </c>
      <c r="E217" s="90" t="s">
        <v>23</v>
      </c>
      <c r="F217" s="9" t="s">
        <v>7</v>
      </c>
      <c r="G217" s="10"/>
      <c r="H217" s="96">
        <v>250967</v>
      </c>
      <c r="I217" s="109" t="s">
        <v>86</v>
      </c>
      <c r="J217" s="115">
        <v>45925</v>
      </c>
      <c r="K217" s="119">
        <v>45948</v>
      </c>
      <c r="L217" s="116">
        <v>849454</v>
      </c>
      <c r="M217" s="117" t="s">
        <v>3849</v>
      </c>
      <c r="N217" s="34" t="s">
        <v>29</v>
      </c>
      <c r="O217" s="11"/>
      <c r="P217" s="113">
        <v>45993</v>
      </c>
      <c r="Q217" s="113">
        <v>45993</v>
      </c>
      <c r="R217" s="113">
        <v>45993</v>
      </c>
      <c r="S217" s="37">
        <f t="shared" si="44"/>
        <v>849454</v>
      </c>
      <c r="T217" s="37">
        <f t="shared" si="45"/>
        <v>0</v>
      </c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</row>
    <row r="218" spans="1:31" hidden="1">
      <c r="A218" s="277" t="s">
        <v>4739</v>
      </c>
      <c r="B218" s="9" t="s">
        <v>21</v>
      </c>
      <c r="C218" s="9">
        <v>2025</v>
      </c>
      <c r="D218" s="9" t="s">
        <v>27</v>
      </c>
      <c r="E218" s="90" t="s">
        <v>23</v>
      </c>
      <c r="F218" s="9" t="s">
        <v>7</v>
      </c>
      <c r="G218" s="10"/>
      <c r="H218" s="96">
        <v>250973</v>
      </c>
      <c r="I218" s="109" t="s">
        <v>86</v>
      </c>
      <c r="J218" s="115">
        <v>45926</v>
      </c>
      <c r="K218" s="119">
        <v>45948</v>
      </c>
      <c r="L218" s="116">
        <v>736912</v>
      </c>
      <c r="M218" s="117" t="s">
        <v>3850</v>
      </c>
      <c r="N218" s="34" t="s">
        <v>29</v>
      </c>
      <c r="O218" s="11"/>
      <c r="P218" s="113">
        <v>45993</v>
      </c>
      <c r="Q218" s="113">
        <v>45993</v>
      </c>
      <c r="R218" s="113">
        <v>45993</v>
      </c>
      <c r="S218" s="37">
        <f t="shared" si="44"/>
        <v>736912</v>
      </c>
      <c r="T218" s="37">
        <f t="shared" si="45"/>
        <v>0</v>
      </c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</row>
    <row r="219" spans="1:31" hidden="1">
      <c r="A219" s="277" t="s">
        <v>4740</v>
      </c>
      <c r="B219" s="9" t="s">
        <v>21</v>
      </c>
      <c r="C219" s="9">
        <v>2025</v>
      </c>
      <c r="D219" s="9" t="s">
        <v>27</v>
      </c>
      <c r="E219" s="90" t="s">
        <v>23</v>
      </c>
      <c r="F219" s="9" t="s">
        <v>7</v>
      </c>
      <c r="G219" s="10"/>
      <c r="H219" s="96">
        <v>250974</v>
      </c>
      <c r="I219" s="109" t="s">
        <v>86</v>
      </c>
      <c r="J219" s="115">
        <v>45927</v>
      </c>
      <c r="K219" s="119">
        <v>45948</v>
      </c>
      <c r="L219" s="116">
        <v>1581750</v>
      </c>
      <c r="M219" s="117" t="s">
        <v>3851</v>
      </c>
      <c r="N219" s="34" t="s">
        <v>29</v>
      </c>
      <c r="O219" s="11"/>
      <c r="P219" s="113">
        <v>45993</v>
      </c>
      <c r="Q219" s="113">
        <v>45993</v>
      </c>
      <c r="R219" s="113">
        <v>45993</v>
      </c>
      <c r="S219" s="37">
        <f t="shared" si="44"/>
        <v>1581750</v>
      </c>
      <c r="T219" s="37">
        <f t="shared" si="45"/>
        <v>0</v>
      </c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</row>
    <row r="220" spans="1:31" hidden="1">
      <c r="A220" s="277" t="s">
        <v>4741</v>
      </c>
      <c r="B220" s="9" t="s">
        <v>21</v>
      </c>
      <c r="C220" s="9">
        <v>2025</v>
      </c>
      <c r="D220" s="9" t="s">
        <v>27</v>
      </c>
      <c r="E220" s="90" t="s">
        <v>23</v>
      </c>
      <c r="F220" s="9" t="s">
        <v>7</v>
      </c>
      <c r="G220" s="10"/>
      <c r="H220" s="96">
        <v>250983</v>
      </c>
      <c r="I220" s="109" t="s">
        <v>86</v>
      </c>
      <c r="J220" s="115">
        <v>45929</v>
      </c>
      <c r="K220" s="119">
        <v>45948</v>
      </c>
      <c r="L220" s="116">
        <v>22649487</v>
      </c>
      <c r="M220" s="117" t="s">
        <v>3852</v>
      </c>
      <c r="N220" s="34" t="s">
        <v>29</v>
      </c>
      <c r="O220" s="11"/>
      <c r="P220" s="113">
        <v>45993</v>
      </c>
      <c r="Q220" s="113">
        <v>45993</v>
      </c>
      <c r="R220" s="113">
        <v>45993</v>
      </c>
      <c r="S220" s="37">
        <f t="shared" si="44"/>
        <v>22649487</v>
      </c>
      <c r="T220" s="37">
        <f t="shared" si="45"/>
        <v>0</v>
      </c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</row>
    <row r="221" spans="1:31" hidden="1">
      <c r="A221" s="277" t="s">
        <v>4742</v>
      </c>
      <c r="B221" s="9" t="s">
        <v>21</v>
      </c>
      <c r="C221" s="9">
        <v>2025</v>
      </c>
      <c r="D221" s="9" t="s">
        <v>27</v>
      </c>
      <c r="E221" s="90" t="s">
        <v>23</v>
      </c>
      <c r="F221" s="9" t="s">
        <v>7</v>
      </c>
      <c r="G221" s="10"/>
      <c r="H221" s="96">
        <v>251022</v>
      </c>
      <c r="I221" s="109" t="s">
        <v>86</v>
      </c>
      <c r="J221" s="115">
        <v>45933</v>
      </c>
      <c r="K221" s="119">
        <v>45948</v>
      </c>
      <c r="L221" s="116">
        <v>6329664</v>
      </c>
      <c r="M221" s="117" t="s">
        <v>3853</v>
      </c>
      <c r="N221" s="34" t="s">
        <v>29</v>
      </c>
      <c r="O221" s="11"/>
      <c r="P221" s="113">
        <v>45993</v>
      </c>
      <c r="Q221" s="113">
        <v>45993</v>
      </c>
      <c r="R221" s="113">
        <v>45993</v>
      </c>
      <c r="S221" s="37">
        <f t="shared" si="44"/>
        <v>6329664</v>
      </c>
      <c r="T221" s="37">
        <f t="shared" si="45"/>
        <v>0</v>
      </c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</row>
    <row r="222" spans="1:31" hidden="1">
      <c r="A222" s="277" t="s">
        <v>4743</v>
      </c>
      <c r="B222" s="9" t="s">
        <v>21</v>
      </c>
      <c r="C222" s="9">
        <v>2025</v>
      </c>
      <c r="D222" s="9" t="s">
        <v>27</v>
      </c>
      <c r="E222" s="90" t="s">
        <v>23</v>
      </c>
      <c r="F222" s="9" t="s">
        <v>7</v>
      </c>
      <c r="G222" s="10"/>
      <c r="H222" s="96">
        <v>251013</v>
      </c>
      <c r="I222" s="109" t="s">
        <v>86</v>
      </c>
      <c r="J222" s="115">
        <v>45936</v>
      </c>
      <c r="K222" s="119">
        <v>45948</v>
      </c>
      <c r="L222" s="116">
        <v>81030</v>
      </c>
      <c r="M222" s="117" t="s">
        <v>3854</v>
      </c>
      <c r="N222" s="34" t="s">
        <v>29</v>
      </c>
      <c r="O222" s="11"/>
      <c r="P222" s="113">
        <v>45993</v>
      </c>
      <c r="Q222" s="113">
        <v>45993</v>
      </c>
      <c r="R222" s="113">
        <v>45993</v>
      </c>
      <c r="S222" s="37">
        <f t="shared" si="44"/>
        <v>81030</v>
      </c>
      <c r="T222" s="37">
        <f t="shared" si="45"/>
        <v>0</v>
      </c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</row>
    <row r="223" spans="1:31" hidden="1">
      <c r="A223" s="277" t="s">
        <v>4744</v>
      </c>
      <c r="B223" s="9" t="s">
        <v>21</v>
      </c>
      <c r="C223" s="9">
        <v>2025</v>
      </c>
      <c r="D223" s="9" t="s">
        <v>27</v>
      </c>
      <c r="E223" s="90" t="s">
        <v>23</v>
      </c>
      <c r="F223" s="9" t="s">
        <v>7</v>
      </c>
      <c r="G223" s="10"/>
      <c r="H223" s="96">
        <v>251067</v>
      </c>
      <c r="I223" s="109" t="s">
        <v>86</v>
      </c>
      <c r="J223" s="115">
        <v>45948</v>
      </c>
      <c r="K223" s="119">
        <v>45967</v>
      </c>
      <c r="L223" s="116">
        <v>177000</v>
      </c>
      <c r="M223" s="117" t="s">
        <v>3942</v>
      </c>
      <c r="N223" s="34" t="s">
        <v>29</v>
      </c>
      <c r="O223" s="11"/>
      <c r="P223" s="113">
        <v>45993</v>
      </c>
      <c r="Q223" s="113">
        <v>45993</v>
      </c>
      <c r="R223" s="113">
        <v>45993</v>
      </c>
      <c r="S223" s="37">
        <f t="shared" si="44"/>
        <v>177000</v>
      </c>
      <c r="T223" s="37">
        <f t="shared" si="45"/>
        <v>0</v>
      </c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</row>
    <row r="224" spans="1:31" hidden="1">
      <c r="A224" s="277" t="s">
        <v>4745</v>
      </c>
      <c r="B224" s="9" t="s">
        <v>21</v>
      </c>
      <c r="C224" s="9">
        <v>2025</v>
      </c>
      <c r="D224" s="9" t="s">
        <v>27</v>
      </c>
      <c r="E224" s="90" t="s">
        <v>23</v>
      </c>
      <c r="F224" s="9" t="s">
        <v>7</v>
      </c>
      <c r="G224" s="10"/>
      <c r="H224" s="96">
        <v>251068</v>
      </c>
      <c r="I224" s="109" t="s">
        <v>86</v>
      </c>
      <c r="J224" s="115">
        <v>45950</v>
      </c>
      <c r="K224" s="119">
        <v>45967</v>
      </c>
      <c r="L224" s="116">
        <f>339105-52675</f>
        <v>286430</v>
      </c>
      <c r="M224" s="117" t="s">
        <v>3943</v>
      </c>
      <c r="N224" s="34" t="s">
        <v>29</v>
      </c>
      <c r="O224" s="11"/>
      <c r="P224" s="113">
        <v>45993</v>
      </c>
      <c r="Q224" s="113">
        <v>45993</v>
      </c>
      <c r="R224" s="113">
        <v>45993</v>
      </c>
      <c r="S224" s="37">
        <f t="shared" si="44"/>
        <v>286430</v>
      </c>
      <c r="T224" s="37">
        <f t="shared" si="45"/>
        <v>0</v>
      </c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</row>
    <row r="225" spans="1:31" hidden="1">
      <c r="A225" s="277" t="s">
        <v>4746</v>
      </c>
      <c r="B225" s="9" t="s">
        <v>21</v>
      </c>
      <c r="C225" s="9">
        <v>2025</v>
      </c>
      <c r="D225" s="9" t="s">
        <v>27</v>
      </c>
      <c r="E225" s="90" t="s">
        <v>23</v>
      </c>
      <c r="F225" s="9" t="s">
        <v>7</v>
      </c>
      <c r="G225" s="10"/>
      <c r="H225" s="96">
        <v>251070</v>
      </c>
      <c r="I225" s="109" t="s">
        <v>86</v>
      </c>
      <c r="J225" s="115">
        <v>45950</v>
      </c>
      <c r="K225" s="119">
        <v>45967</v>
      </c>
      <c r="L225" s="116">
        <f>392400-292884</f>
        <v>99516</v>
      </c>
      <c r="M225" s="117" t="s">
        <v>3944</v>
      </c>
      <c r="N225" s="34" t="s">
        <v>29</v>
      </c>
      <c r="O225" s="11"/>
      <c r="P225" s="113">
        <v>45993</v>
      </c>
      <c r="Q225" s="113">
        <v>45993</v>
      </c>
      <c r="R225" s="113">
        <v>45993</v>
      </c>
      <c r="S225" s="37">
        <f t="shared" si="44"/>
        <v>99516</v>
      </c>
      <c r="T225" s="37">
        <f t="shared" si="45"/>
        <v>0</v>
      </c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</row>
    <row r="226" spans="1:31" hidden="1">
      <c r="A226" s="277" t="s">
        <v>4747</v>
      </c>
      <c r="B226" s="9" t="s">
        <v>21</v>
      </c>
      <c r="C226" s="9">
        <v>2025</v>
      </c>
      <c r="D226" s="9" t="s">
        <v>27</v>
      </c>
      <c r="E226" s="90" t="s">
        <v>23</v>
      </c>
      <c r="F226" s="9" t="s">
        <v>7</v>
      </c>
      <c r="G226" s="10"/>
      <c r="H226" s="96">
        <v>251071</v>
      </c>
      <c r="I226" s="109" t="s">
        <v>86</v>
      </c>
      <c r="J226" s="115">
        <v>45950</v>
      </c>
      <c r="K226" s="119">
        <v>45967</v>
      </c>
      <c r="L226" s="116">
        <f>1059606-387419-659401</f>
        <v>12786</v>
      </c>
      <c r="M226" s="117" t="s">
        <v>3945</v>
      </c>
      <c r="N226" s="34" t="s">
        <v>29</v>
      </c>
      <c r="O226" s="11"/>
      <c r="P226" s="113">
        <v>45993</v>
      </c>
      <c r="Q226" s="113">
        <v>45993</v>
      </c>
      <c r="R226" s="113">
        <v>45993</v>
      </c>
      <c r="S226" s="37">
        <f t="shared" si="44"/>
        <v>12786</v>
      </c>
      <c r="T226" s="37">
        <f t="shared" si="45"/>
        <v>0</v>
      </c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</row>
    <row r="227" spans="1:31" hidden="1">
      <c r="A227" s="277" t="s">
        <v>4748</v>
      </c>
      <c r="B227" s="9" t="s">
        <v>21</v>
      </c>
      <c r="C227" s="9">
        <v>2025</v>
      </c>
      <c r="D227" s="9" t="s">
        <v>27</v>
      </c>
      <c r="E227" s="90" t="s">
        <v>23</v>
      </c>
      <c r="F227" s="9" t="s">
        <v>7</v>
      </c>
      <c r="G227" s="10"/>
      <c r="H227" s="96">
        <v>251071</v>
      </c>
      <c r="I227" s="109" t="s">
        <v>86</v>
      </c>
      <c r="J227" s="115">
        <v>45950</v>
      </c>
      <c r="K227" s="119">
        <v>45967</v>
      </c>
      <c r="L227" s="116">
        <f>5220+29024+38392+65346</f>
        <v>137982</v>
      </c>
      <c r="M227" s="117" t="s">
        <v>4032</v>
      </c>
      <c r="N227" s="34" t="s">
        <v>29</v>
      </c>
      <c r="O227" s="11"/>
      <c r="P227" s="113">
        <v>45993</v>
      </c>
      <c r="Q227" s="113">
        <v>45993</v>
      </c>
      <c r="R227" s="113">
        <v>45993</v>
      </c>
      <c r="S227" s="37">
        <f>IF(R227="",0,L227)</f>
        <v>137982</v>
      </c>
      <c r="T227" s="37">
        <f>L227-S227</f>
        <v>0</v>
      </c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</row>
    <row r="228" spans="1:31" hidden="1">
      <c r="A228" s="277" t="s">
        <v>4749</v>
      </c>
      <c r="B228" s="9" t="s">
        <v>21</v>
      </c>
      <c r="C228" s="9">
        <v>2025</v>
      </c>
      <c r="D228" s="9" t="s">
        <v>27</v>
      </c>
      <c r="E228" s="90" t="s">
        <v>23</v>
      </c>
      <c r="F228" s="9" t="s">
        <v>7</v>
      </c>
      <c r="G228" s="10"/>
      <c r="H228" s="96">
        <v>251090</v>
      </c>
      <c r="I228" s="109" t="s">
        <v>86</v>
      </c>
      <c r="J228" s="115">
        <v>45955</v>
      </c>
      <c r="K228" s="119">
        <v>45993</v>
      </c>
      <c r="L228" s="116">
        <v>914893</v>
      </c>
      <c r="M228" s="117" t="s">
        <v>4047</v>
      </c>
      <c r="N228" s="34" t="s">
        <v>29</v>
      </c>
      <c r="O228" s="31">
        <f>SUM(L228:L249)</f>
        <v>37785931</v>
      </c>
      <c r="P228" s="113">
        <v>46072</v>
      </c>
      <c r="Q228" s="113">
        <v>46072</v>
      </c>
      <c r="R228" s="113">
        <v>46072</v>
      </c>
      <c r="S228" s="37">
        <f t="shared" ref="S228:S250" si="46">IF(R228="",0,L228)</f>
        <v>914893</v>
      </c>
      <c r="T228" s="37">
        <f t="shared" ref="T228:T250" si="47">L228-S228</f>
        <v>0</v>
      </c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</row>
    <row r="229" spans="1:31" hidden="1">
      <c r="A229" s="277" t="s">
        <v>4750</v>
      </c>
      <c r="B229" s="9" t="s">
        <v>21</v>
      </c>
      <c r="C229" s="9">
        <v>2025</v>
      </c>
      <c r="D229" s="9" t="s">
        <v>27</v>
      </c>
      <c r="E229" s="90" t="s">
        <v>23</v>
      </c>
      <c r="F229" s="9" t="s">
        <v>7</v>
      </c>
      <c r="G229" s="10"/>
      <c r="H229" s="96">
        <v>251103</v>
      </c>
      <c r="I229" s="109" t="s">
        <v>86</v>
      </c>
      <c r="J229" s="115">
        <v>45955</v>
      </c>
      <c r="K229" s="119">
        <v>45993</v>
      </c>
      <c r="L229" s="116">
        <v>1966365</v>
      </c>
      <c r="M229" s="117" t="s">
        <v>4048</v>
      </c>
      <c r="N229" s="34" t="s">
        <v>29</v>
      </c>
      <c r="O229" s="11"/>
      <c r="P229" s="113">
        <v>46072</v>
      </c>
      <c r="Q229" s="113">
        <v>46072</v>
      </c>
      <c r="R229" s="113">
        <v>46072</v>
      </c>
      <c r="S229" s="37">
        <f t="shared" si="46"/>
        <v>1966365</v>
      </c>
      <c r="T229" s="37">
        <f t="shared" si="47"/>
        <v>0</v>
      </c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</row>
    <row r="230" spans="1:31" hidden="1">
      <c r="A230" s="277" t="s">
        <v>4751</v>
      </c>
      <c r="B230" s="9" t="s">
        <v>21</v>
      </c>
      <c r="C230" s="9">
        <v>2025</v>
      </c>
      <c r="D230" s="9" t="s">
        <v>27</v>
      </c>
      <c r="E230" s="90" t="s">
        <v>23</v>
      </c>
      <c r="F230" s="9" t="s">
        <v>7</v>
      </c>
      <c r="G230" s="10"/>
      <c r="H230" s="96">
        <v>251119</v>
      </c>
      <c r="I230" s="109" t="s">
        <v>86</v>
      </c>
      <c r="J230" s="115">
        <v>45959</v>
      </c>
      <c r="K230" s="119">
        <v>45993</v>
      </c>
      <c r="L230" s="116">
        <v>978187</v>
      </c>
      <c r="M230" s="117" t="s">
        <v>4049</v>
      </c>
      <c r="N230" s="34" t="s">
        <v>29</v>
      </c>
      <c r="O230" s="11"/>
      <c r="P230" s="113">
        <v>46072</v>
      </c>
      <c r="Q230" s="113">
        <v>46072</v>
      </c>
      <c r="R230" s="113">
        <v>46072</v>
      </c>
      <c r="S230" s="37">
        <f t="shared" si="46"/>
        <v>978187</v>
      </c>
      <c r="T230" s="37">
        <f t="shared" si="47"/>
        <v>0</v>
      </c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</row>
    <row r="231" spans="1:31" hidden="1">
      <c r="A231" s="277" t="s">
        <v>4752</v>
      </c>
      <c r="B231" s="9" t="s">
        <v>21</v>
      </c>
      <c r="C231" s="9">
        <v>2025</v>
      </c>
      <c r="D231" s="9" t="s">
        <v>27</v>
      </c>
      <c r="E231" s="90" t="s">
        <v>23</v>
      </c>
      <c r="F231" s="9" t="s">
        <v>7</v>
      </c>
      <c r="G231" s="10"/>
      <c r="H231" s="96">
        <v>251152</v>
      </c>
      <c r="I231" s="109" t="s">
        <v>86</v>
      </c>
      <c r="J231" s="115">
        <v>45961</v>
      </c>
      <c r="K231" s="119">
        <v>45993</v>
      </c>
      <c r="L231" s="116">
        <v>581699</v>
      </c>
      <c r="M231" s="117" t="s">
        <v>4050</v>
      </c>
      <c r="N231" s="34" t="s">
        <v>29</v>
      </c>
      <c r="O231" s="11"/>
      <c r="P231" s="113">
        <v>46072</v>
      </c>
      <c r="Q231" s="113">
        <v>46072</v>
      </c>
      <c r="R231" s="113">
        <v>46072</v>
      </c>
      <c r="S231" s="37">
        <f t="shared" si="46"/>
        <v>581699</v>
      </c>
      <c r="T231" s="37">
        <f t="shared" si="47"/>
        <v>0</v>
      </c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</row>
    <row r="232" spans="1:31" hidden="1">
      <c r="A232" s="277" t="s">
        <v>4753</v>
      </c>
      <c r="B232" s="9" t="s">
        <v>21</v>
      </c>
      <c r="C232" s="9">
        <v>2025</v>
      </c>
      <c r="D232" s="9" t="s">
        <v>27</v>
      </c>
      <c r="E232" s="90" t="s">
        <v>23</v>
      </c>
      <c r="F232" s="9" t="s">
        <v>7</v>
      </c>
      <c r="G232" s="10"/>
      <c r="H232" s="96">
        <v>251163</v>
      </c>
      <c r="I232" s="109" t="s">
        <v>86</v>
      </c>
      <c r="J232" s="115">
        <v>45961</v>
      </c>
      <c r="K232" s="119">
        <v>45993</v>
      </c>
      <c r="L232" s="116">
        <v>1581750</v>
      </c>
      <c r="M232" s="117" t="s">
        <v>4051</v>
      </c>
      <c r="N232" s="34" t="s">
        <v>29</v>
      </c>
      <c r="O232" s="11"/>
      <c r="P232" s="113">
        <v>46072</v>
      </c>
      <c r="Q232" s="113">
        <v>46072</v>
      </c>
      <c r="R232" s="113">
        <v>46072</v>
      </c>
      <c r="S232" s="37">
        <f t="shared" si="46"/>
        <v>1581750</v>
      </c>
      <c r="T232" s="37">
        <f t="shared" si="47"/>
        <v>0</v>
      </c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</row>
    <row r="233" spans="1:31" hidden="1">
      <c r="A233" s="277" t="s">
        <v>4754</v>
      </c>
      <c r="B233" s="9" t="s">
        <v>21</v>
      </c>
      <c r="C233" s="9">
        <v>2025</v>
      </c>
      <c r="D233" s="9" t="s">
        <v>27</v>
      </c>
      <c r="E233" s="90" t="s">
        <v>23</v>
      </c>
      <c r="F233" s="9" t="s">
        <v>7</v>
      </c>
      <c r="G233" s="10"/>
      <c r="H233" s="96">
        <v>251164</v>
      </c>
      <c r="I233" s="109" t="s">
        <v>86</v>
      </c>
      <c r="J233" s="115">
        <v>45961</v>
      </c>
      <c r="K233" s="119">
        <v>45993</v>
      </c>
      <c r="L233" s="116">
        <v>849454</v>
      </c>
      <c r="M233" s="117" t="s">
        <v>4052</v>
      </c>
      <c r="N233" s="34" t="s">
        <v>29</v>
      </c>
      <c r="O233" s="11"/>
      <c r="P233" s="113">
        <v>46072</v>
      </c>
      <c r="Q233" s="113">
        <v>46072</v>
      </c>
      <c r="R233" s="113">
        <v>46072</v>
      </c>
      <c r="S233" s="37">
        <f t="shared" si="46"/>
        <v>849454</v>
      </c>
      <c r="T233" s="37">
        <f t="shared" si="47"/>
        <v>0</v>
      </c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</row>
    <row r="234" spans="1:31" hidden="1">
      <c r="A234" s="277" t="s">
        <v>4755</v>
      </c>
      <c r="B234" s="9" t="s">
        <v>21</v>
      </c>
      <c r="C234" s="9">
        <v>2025</v>
      </c>
      <c r="D234" s="9" t="s">
        <v>27</v>
      </c>
      <c r="E234" s="90" t="s">
        <v>23</v>
      </c>
      <c r="F234" s="9" t="s">
        <v>7</v>
      </c>
      <c r="G234" s="10"/>
      <c r="H234" s="96">
        <v>251142</v>
      </c>
      <c r="I234" s="109" t="s">
        <v>86</v>
      </c>
      <c r="J234" s="115">
        <v>45961</v>
      </c>
      <c r="K234" s="119">
        <v>45993</v>
      </c>
      <c r="L234" s="116">
        <v>653235</v>
      </c>
      <c r="M234" s="117" t="s">
        <v>4053</v>
      </c>
      <c r="N234" s="34" t="s">
        <v>29</v>
      </c>
      <c r="O234" s="11"/>
      <c r="P234" s="113">
        <v>46072</v>
      </c>
      <c r="Q234" s="113">
        <v>46072</v>
      </c>
      <c r="R234" s="113">
        <v>46072</v>
      </c>
      <c r="S234" s="37">
        <f t="shared" si="46"/>
        <v>653235</v>
      </c>
      <c r="T234" s="37">
        <f t="shared" si="47"/>
        <v>0</v>
      </c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</row>
    <row r="235" spans="1:31" hidden="1">
      <c r="A235" s="277" t="s">
        <v>4756</v>
      </c>
      <c r="B235" s="9" t="s">
        <v>21</v>
      </c>
      <c r="C235" s="9">
        <v>2025</v>
      </c>
      <c r="D235" s="9" t="s">
        <v>27</v>
      </c>
      <c r="E235" s="90" t="s">
        <v>23</v>
      </c>
      <c r="F235" s="9" t="s">
        <v>7</v>
      </c>
      <c r="G235" s="10"/>
      <c r="H235" s="96">
        <v>251114</v>
      </c>
      <c r="I235" s="109" t="s">
        <v>86</v>
      </c>
      <c r="J235" s="115">
        <v>45958</v>
      </c>
      <c r="K235" s="119">
        <v>46021</v>
      </c>
      <c r="L235" s="116">
        <v>5527433</v>
      </c>
      <c r="M235" s="117" t="s">
        <v>4136</v>
      </c>
      <c r="N235" s="34" t="s">
        <v>29</v>
      </c>
      <c r="O235" s="11"/>
      <c r="P235" s="113">
        <v>46072</v>
      </c>
      <c r="Q235" s="113">
        <v>46072</v>
      </c>
      <c r="R235" s="113">
        <v>46072</v>
      </c>
      <c r="S235" s="37">
        <f t="shared" si="46"/>
        <v>5527433</v>
      </c>
      <c r="T235" s="37">
        <f t="shared" si="47"/>
        <v>0</v>
      </c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</row>
    <row r="236" spans="1:31" hidden="1">
      <c r="A236" s="277" t="s">
        <v>4757</v>
      </c>
      <c r="B236" s="9" t="s">
        <v>21</v>
      </c>
      <c r="C236" s="9">
        <v>2025</v>
      </c>
      <c r="D236" s="9" t="s">
        <v>27</v>
      </c>
      <c r="E236" s="90" t="s">
        <v>23</v>
      </c>
      <c r="F236" s="9" t="s">
        <v>7</v>
      </c>
      <c r="G236" s="10"/>
      <c r="H236" s="96">
        <v>251118</v>
      </c>
      <c r="I236" s="109" t="s">
        <v>86</v>
      </c>
      <c r="J236" s="115">
        <v>45959</v>
      </c>
      <c r="K236" s="119">
        <v>46021</v>
      </c>
      <c r="L236" s="116">
        <v>9494496</v>
      </c>
      <c r="M236" s="117" t="s">
        <v>4137</v>
      </c>
      <c r="N236" s="34" t="s">
        <v>29</v>
      </c>
      <c r="O236" s="11"/>
      <c r="P236" s="113">
        <v>46072</v>
      </c>
      <c r="Q236" s="113">
        <v>46072</v>
      </c>
      <c r="R236" s="113">
        <v>46072</v>
      </c>
      <c r="S236" s="37">
        <f t="shared" si="46"/>
        <v>9494496</v>
      </c>
      <c r="T236" s="37">
        <f t="shared" si="47"/>
        <v>0</v>
      </c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</row>
    <row r="237" spans="1:31" hidden="1">
      <c r="A237" s="277" t="s">
        <v>4758</v>
      </c>
      <c r="B237" s="9" t="s">
        <v>21</v>
      </c>
      <c r="C237" s="9">
        <v>2025</v>
      </c>
      <c r="D237" s="9" t="s">
        <v>27</v>
      </c>
      <c r="E237" s="90" t="s">
        <v>23</v>
      </c>
      <c r="F237" s="9" t="s">
        <v>7</v>
      </c>
      <c r="G237" s="10"/>
      <c r="H237" s="96">
        <v>251273</v>
      </c>
      <c r="I237" s="109" t="s">
        <v>86</v>
      </c>
      <c r="J237" s="115">
        <v>46006</v>
      </c>
      <c r="K237" s="119">
        <v>46037</v>
      </c>
      <c r="L237" s="116">
        <v>131108</v>
      </c>
      <c r="M237" s="117" t="s">
        <v>4235</v>
      </c>
      <c r="N237" s="34" t="s">
        <v>29</v>
      </c>
      <c r="O237" s="11"/>
      <c r="P237" s="113">
        <v>46072</v>
      </c>
      <c r="Q237" s="113">
        <v>46072</v>
      </c>
      <c r="R237" s="113">
        <v>46072</v>
      </c>
      <c r="S237" s="37">
        <f t="shared" si="46"/>
        <v>131108</v>
      </c>
      <c r="T237" s="37">
        <f t="shared" si="47"/>
        <v>0</v>
      </c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</row>
    <row r="238" spans="1:31" hidden="1">
      <c r="A238" s="277" t="s">
        <v>4759</v>
      </c>
      <c r="B238" s="9" t="s">
        <v>21</v>
      </c>
      <c r="C238" s="9">
        <v>2025</v>
      </c>
      <c r="D238" s="9" t="s">
        <v>27</v>
      </c>
      <c r="E238" s="90" t="s">
        <v>23</v>
      </c>
      <c r="F238" s="9" t="s">
        <v>7</v>
      </c>
      <c r="G238" s="10"/>
      <c r="H238" s="96">
        <v>251274</v>
      </c>
      <c r="I238" s="109" t="s">
        <v>86</v>
      </c>
      <c r="J238" s="115">
        <v>46006</v>
      </c>
      <c r="K238" s="119">
        <v>46037</v>
      </c>
      <c r="L238" s="116">
        <v>53835</v>
      </c>
      <c r="M238" s="117" t="s">
        <v>4236</v>
      </c>
      <c r="N238" s="34" t="s">
        <v>29</v>
      </c>
      <c r="O238" s="11"/>
      <c r="P238" s="113">
        <v>46072</v>
      </c>
      <c r="Q238" s="113">
        <v>46072</v>
      </c>
      <c r="R238" s="113">
        <v>46072</v>
      </c>
      <c r="S238" s="37">
        <f t="shared" si="46"/>
        <v>53835</v>
      </c>
      <c r="T238" s="37">
        <f t="shared" si="47"/>
        <v>0</v>
      </c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</row>
    <row r="239" spans="1:31" hidden="1">
      <c r="A239" s="277" t="s">
        <v>4760</v>
      </c>
      <c r="B239" s="9" t="s">
        <v>21</v>
      </c>
      <c r="C239" s="9">
        <v>2025</v>
      </c>
      <c r="D239" s="9" t="s">
        <v>27</v>
      </c>
      <c r="E239" s="90" t="s">
        <v>23</v>
      </c>
      <c r="F239" s="9" t="s">
        <v>7</v>
      </c>
      <c r="G239" s="10"/>
      <c r="H239" s="96">
        <v>251272</v>
      </c>
      <c r="I239" s="109" t="s">
        <v>86</v>
      </c>
      <c r="J239" s="115">
        <v>46007</v>
      </c>
      <c r="K239" s="119">
        <v>46037</v>
      </c>
      <c r="L239" s="116">
        <v>663463</v>
      </c>
      <c r="M239" s="117" t="s">
        <v>4237</v>
      </c>
      <c r="N239" s="34" t="s">
        <v>29</v>
      </c>
      <c r="O239" s="11"/>
      <c r="P239" s="113">
        <v>46072</v>
      </c>
      <c r="Q239" s="113">
        <v>46072</v>
      </c>
      <c r="R239" s="113">
        <v>46072</v>
      </c>
      <c r="S239" s="37">
        <f t="shared" si="46"/>
        <v>663463</v>
      </c>
      <c r="T239" s="37">
        <f t="shared" si="47"/>
        <v>0</v>
      </c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</row>
    <row r="240" spans="1:31" hidden="1">
      <c r="A240" s="277" t="s">
        <v>4761</v>
      </c>
      <c r="B240" s="9" t="s">
        <v>21</v>
      </c>
      <c r="C240" s="9">
        <v>2025</v>
      </c>
      <c r="D240" s="9" t="s">
        <v>27</v>
      </c>
      <c r="E240" s="90" t="s">
        <v>23</v>
      </c>
      <c r="F240" s="9" t="s">
        <v>7</v>
      </c>
      <c r="G240" s="10"/>
      <c r="H240" s="96">
        <v>251275</v>
      </c>
      <c r="I240" s="109" t="s">
        <v>86</v>
      </c>
      <c r="J240" s="115">
        <v>46007</v>
      </c>
      <c r="K240" s="119">
        <v>46037</v>
      </c>
      <c r="L240" s="116">
        <v>1130179</v>
      </c>
      <c r="M240" s="117" t="s">
        <v>4238</v>
      </c>
      <c r="N240" s="34" t="s">
        <v>29</v>
      </c>
      <c r="O240" s="11"/>
      <c r="P240" s="113">
        <v>46072</v>
      </c>
      <c r="Q240" s="113">
        <v>46072</v>
      </c>
      <c r="R240" s="113">
        <v>46072</v>
      </c>
      <c r="S240" s="37">
        <f t="shared" si="46"/>
        <v>1130179</v>
      </c>
      <c r="T240" s="37">
        <f t="shared" si="47"/>
        <v>0</v>
      </c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</row>
    <row r="241" spans="1:31" hidden="1">
      <c r="A241" s="277" t="s">
        <v>4762</v>
      </c>
      <c r="B241" s="9" t="s">
        <v>21</v>
      </c>
      <c r="C241" s="9">
        <v>2025</v>
      </c>
      <c r="D241" s="9" t="s">
        <v>27</v>
      </c>
      <c r="E241" s="90" t="s">
        <v>23</v>
      </c>
      <c r="F241" s="9" t="s">
        <v>7</v>
      </c>
      <c r="G241" s="10"/>
      <c r="H241" s="96">
        <v>251306</v>
      </c>
      <c r="I241" s="109" t="s">
        <v>86</v>
      </c>
      <c r="J241" s="115">
        <v>46020</v>
      </c>
      <c r="K241" s="119">
        <v>46037</v>
      </c>
      <c r="L241" s="116">
        <v>1581750</v>
      </c>
      <c r="M241" s="117" t="s">
        <v>4239</v>
      </c>
      <c r="N241" s="34" t="s">
        <v>29</v>
      </c>
      <c r="O241" s="11"/>
      <c r="P241" s="113">
        <v>46072</v>
      </c>
      <c r="Q241" s="113">
        <v>46072</v>
      </c>
      <c r="R241" s="113">
        <v>46072</v>
      </c>
      <c r="S241" s="37">
        <f t="shared" si="46"/>
        <v>1581750</v>
      </c>
      <c r="T241" s="37">
        <f t="shared" si="47"/>
        <v>0</v>
      </c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</row>
    <row r="242" spans="1:31" hidden="1">
      <c r="A242" s="277" t="s">
        <v>4763</v>
      </c>
      <c r="B242" s="9" t="s">
        <v>21</v>
      </c>
      <c r="C242" s="9">
        <v>2025</v>
      </c>
      <c r="D242" s="9" t="s">
        <v>27</v>
      </c>
      <c r="E242" s="90" t="s">
        <v>23</v>
      </c>
      <c r="F242" s="9" t="s">
        <v>7</v>
      </c>
      <c r="G242" s="10"/>
      <c r="H242" s="96">
        <v>251307</v>
      </c>
      <c r="I242" s="109" t="s">
        <v>86</v>
      </c>
      <c r="J242" s="115">
        <v>46020</v>
      </c>
      <c r="K242" s="119">
        <v>46037</v>
      </c>
      <c r="L242" s="116">
        <v>631800</v>
      </c>
      <c r="M242" s="117" t="s">
        <v>4240</v>
      </c>
      <c r="N242" s="34" t="s">
        <v>29</v>
      </c>
      <c r="O242" s="11"/>
      <c r="P242" s="113">
        <v>46072</v>
      </c>
      <c r="Q242" s="113">
        <v>46072</v>
      </c>
      <c r="R242" s="113">
        <v>46072</v>
      </c>
      <c r="S242" s="37">
        <f t="shared" si="46"/>
        <v>631800</v>
      </c>
      <c r="T242" s="37">
        <f t="shared" si="47"/>
        <v>0</v>
      </c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</row>
    <row r="243" spans="1:31" hidden="1">
      <c r="A243" s="277" t="s">
        <v>4764</v>
      </c>
      <c r="B243" s="9" t="s">
        <v>21</v>
      </c>
      <c r="C243" s="9">
        <v>2025</v>
      </c>
      <c r="D243" s="9" t="s">
        <v>27</v>
      </c>
      <c r="E243" s="90" t="s">
        <v>23</v>
      </c>
      <c r="F243" s="9" t="s">
        <v>7</v>
      </c>
      <c r="G243" s="10"/>
      <c r="H243" s="96">
        <v>251308</v>
      </c>
      <c r="I243" s="109" t="s">
        <v>86</v>
      </c>
      <c r="J243" s="115">
        <v>46020</v>
      </c>
      <c r="K243" s="119">
        <v>46037</v>
      </c>
      <c r="L243" s="116">
        <v>914893</v>
      </c>
      <c r="M243" s="117" t="s">
        <v>4241</v>
      </c>
      <c r="N243" s="34" t="s">
        <v>29</v>
      </c>
      <c r="O243" s="11"/>
      <c r="P243" s="113">
        <v>46072</v>
      </c>
      <c r="Q243" s="113">
        <v>46072</v>
      </c>
      <c r="R243" s="113">
        <v>46072</v>
      </c>
      <c r="S243" s="37">
        <f t="shared" si="46"/>
        <v>914893</v>
      </c>
      <c r="T243" s="37">
        <f t="shared" si="47"/>
        <v>0</v>
      </c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</row>
    <row r="244" spans="1:31" hidden="1">
      <c r="A244" s="277" t="s">
        <v>4765</v>
      </c>
      <c r="B244" s="9" t="s">
        <v>21</v>
      </c>
      <c r="C244" s="9">
        <v>2025</v>
      </c>
      <c r="D244" s="9" t="s">
        <v>27</v>
      </c>
      <c r="E244" s="90" t="s">
        <v>23</v>
      </c>
      <c r="F244" s="9" t="s">
        <v>7</v>
      </c>
      <c r="G244" s="10"/>
      <c r="H244" s="96">
        <v>251325</v>
      </c>
      <c r="I244" s="109" t="s">
        <v>86</v>
      </c>
      <c r="J244" s="115">
        <v>46021</v>
      </c>
      <c r="K244" s="119">
        <v>46037</v>
      </c>
      <c r="L244" s="116">
        <v>3418800</v>
      </c>
      <c r="M244" s="117" t="s">
        <v>4242</v>
      </c>
      <c r="N244" s="34" t="s">
        <v>29</v>
      </c>
      <c r="O244" s="11"/>
      <c r="P244" s="113">
        <v>46072</v>
      </c>
      <c r="Q244" s="113">
        <v>46072</v>
      </c>
      <c r="R244" s="113">
        <v>46072</v>
      </c>
      <c r="S244" s="37">
        <f t="shared" si="46"/>
        <v>3418800</v>
      </c>
      <c r="T244" s="37">
        <f t="shared" si="47"/>
        <v>0</v>
      </c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</row>
    <row r="245" spans="1:31" hidden="1">
      <c r="A245" s="277" t="s">
        <v>4766</v>
      </c>
      <c r="B245" s="9" t="s">
        <v>21</v>
      </c>
      <c r="C245" s="9">
        <v>2025</v>
      </c>
      <c r="D245" s="9" t="s">
        <v>27</v>
      </c>
      <c r="E245" s="90" t="s">
        <v>23</v>
      </c>
      <c r="F245" s="9" t="s">
        <v>7</v>
      </c>
      <c r="G245" s="10"/>
      <c r="H245" s="96">
        <v>251284</v>
      </c>
      <c r="I245" s="109" t="s">
        <v>86</v>
      </c>
      <c r="J245" s="115">
        <v>46009</v>
      </c>
      <c r="K245" s="119">
        <v>46037</v>
      </c>
      <c r="L245" s="116">
        <v>1005660</v>
      </c>
      <c r="M245" s="117" t="s">
        <v>4243</v>
      </c>
      <c r="N245" s="34" t="s">
        <v>29</v>
      </c>
      <c r="O245" s="11"/>
      <c r="P245" s="113">
        <v>46072</v>
      </c>
      <c r="Q245" s="113">
        <v>46072</v>
      </c>
      <c r="R245" s="113">
        <v>46072</v>
      </c>
      <c r="S245" s="37">
        <f t="shared" si="46"/>
        <v>1005660</v>
      </c>
      <c r="T245" s="37">
        <f t="shared" si="47"/>
        <v>0</v>
      </c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</row>
    <row r="246" spans="1:31" hidden="1">
      <c r="A246" s="277" t="s">
        <v>4767</v>
      </c>
      <c r="B246" s="9" t="s">
        <v>21</v>
      </c>
      <c r="C246" s="9">
        <v>2025</v>
      </c>
      <c r="D246" s="9" t="s">
        <v>27</v>
      </c>
      <c r="E246" s="90" t="s">
        <v>23</v>
      </c>
      <c r="F246" s="9" t="s">
        <v>7</v>
      </c>
      <c r="G246" s="10"/>
      <c r="H246" s="96">
        <v>251295</v>
      </c>
      <c r="I246" s="109" t="s">
        <v>86</v>
      </c>
      <c r="J246" s="115">
        <v>46015</v>
      </c>
      <c r="K246" s="119">
        <v>46037</v>
      </c>
      <c r="L246" s="116">
        <v>1588410</v>
      </c>
      <c r="M246" s="117" t="s">
        <v>4244</v>
      </c>
      <c r="N246" s="34" t="s">
        <v>29</v>
      </c>
      <c r="O246" s="11"/>
      <c r="P246" s="113">
        <v>46072</v>
      </c>
      <c r="Q246" s="113">
        <v>46072</v>
      </c>
      <c r="R246" s="113">
        <v>46072</v>
      </c>
      <c r="S246" s="37">
        <f t="shared" si="46"/>
        <v>1588410</v>
      </c>
      <c r="T246" s="37">
        <f t="shared" si="47"/>
        <v>0</v>
      </c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</row>
    <row r="247" spans="1:31" hidden="1">
      <c r="A247" s="277" t="s">
        <v>4768</v>
      </c>
      <c r="B247" s="9" t="s">
        <v>21</v>
      </c>
      <c r="C247" s="9">
        <v>2025</v>
      </c>
      <c r="D247" s="9" t="s">
        <v>27</v>
      </c>
      <c r="E247" s="90" t="s">
        <v>23</v>
      </c>
      <c r="F247" s="9" t="s">
        <v>7</v>
      </c>
      <c r="G247" s="10"/>
      <c r="H247" s="96">
        <v>251296</v>
      </c>
      <c r="I247" s="109" t="s">
        <v>86</v>
      </c>
      <c r="J247" s="115">
        <v>46015</v>
      </c>
      <c r="K247" s="119">
        <v>46037</v>
      </c>
      <c r="L247" s="116">
        <v>1588410</v>
      </c>
      <c r="M247" s="117" t="s">
        <v>4245</v>
      </c>
      <c r="N247" s="34" t="s">
        <v>29</v>
      </c>
      <c r="O247" s="11"/>
      <c r="P247" s="113">
        <v>46072</v>
      </c>
      <c r="Q247" s="113">
        <v>46072</v>
      </c>
      <c r="R247" s="113">
        <v>46072</v>
      </c>
      <c r="S247" s="37">
        <f t="shared" si="46"/>
        <v>1588410</v>
      </c>
      <c r="T247" s="37">
        <f t="shared" si="47"/>
        <v>0</v>
      </c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</row>
    <row r="248" spans="1:31" hidden="1">
      <c r="A248" s="277" t="s">
        <v>4769</v>
      </c>
      <c r="B248" s="9" t="s">
        <v>21</v>
      </c>
      <c r="C248" s="9">
        <v>2025</v>
      </c>
      <c r="D248" s="9" t="s">
        <v>27</v>
      </c>
      <c r="E248" s="90" t="s">
        <v>23</v>
      </c>
      <c r="F248" s="9" t="s">
        <v>7</v>
      </c>
      <c r="G248" s="10"/>
      <c r="H248" s="96">
        <v>251297</v>
      </c>
      <c r="I248" s="109" t="s">
        <v>86</v>
      </c>
      <c r="J248" s="115">
        <v>46015</v>
      </c>
      <c r="K248" s="119">
        <v>46037</v>
      </c>
      <c r="L248" s="116">
        <v>1130179</v>
      </c>
      <c r="M248" s="117" t="s">
        <v>4246</v>
      </c>
      <c r="N248" s="34" t="s">
        <v>29</v>
      </c>
      <c r="O248" s="11"/>
      <c r="P248" s="113">
        <v>46072</v>
      </c>
      <c r="Q248" s="113">
        <v>46072</v>
      </c>
      <c r="R248" s="113">
        <v>46072</v>
      </c>
      <c r="S248" s="37">
        <f t="shared" si="46"/>
        <v>1130179</v>
      </c>
      <c r="T248" s="37">
        <f t="shared" si="47"/>
        <v>0</v>
      </c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</row>
    <row r="249" spans="1:31" hidden="1">
      <c r="A249" s="277" t="s">
        <v>4770</v>
      </c>
      <c r="B249" s="9" t="s">
        <v>21</v>
      </c>
      <c r="C249" s="9">
        <v>2025</v>
      </c>
      <c r="D249" s="9" t="s">
        <v>27</v>
      </c>
      <c r="E249" s="90" t="s">
        <v>23</v>
      </c>
      <c r="F249" s="9" t="s">
        <v>7</v>
      </c>
      <c r="G249" s="10"/>
      <c r="H249" s="96">
        <v>251294</v>
      </c>
      <c r="I249" s="109" t="s">
        <v>86</v>
      </c>
      <c r="J249" s="115">
        <v>46017</v>
      </c>
      <c r="K249" s="119">
        <v>46037</v>
      </c>
      <c r="L249" s="116">
        <v>1399932</v>
      </c>
      <c r="M249" s="117" t="s">
        <v>4247</v>
      </c>
      <c r="N249" s="34" t="s">
        <v>29</v>
      </c>
      <c r="O249" s="11"/>
      <c r="P249" s="113">
        <v>46072</v>
      </c>
      <c r="Q249" s="113">
        <v>46072</v>
      </c>
      <c r="R249" s="113">
        <v>46072</v>
      </c>
      <c r="S249" s="37">
        <f t="shared" si="46"/>
        <v>1399932</v>
      </c>
      <c r="T249" s="37">
        <f t="shared" si="47"/>
        <v>0</v>
      </c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</row>
    <row r="250" spans="1:31" hidden="1">
      <c r="A250" s="277" t="s">
        <v>4771</v>
      </c>
      <c r="B250" s="9" t="s">
        <v>21</v>
      </c>
      <c r="C250" s="9">
        <v>2026</v>
      </c>
      <c r="D250" s="9" t="s">
        <v>27</v>
      </c>
      <c r="E250" s="90" t="s">
        <v>23</v>
      </c>
      <c r="F250" s="9" t="s">
        <v>7</v>
      </c>
      <c r="G250" s="10"/>
      <c r="H250" s="96">
        <v>260003</v>
      </c>
      <c r="I250" s="109" t="s">
        <v>86</v>
      </c>
      <c r="J250" s="115">
        <v>46028</v>
      </c>
      <c r="K250" s="119">
        <v>46077</v>
      </c>
      <c r="L250" s="116">
        <v>188524</v>
      </c>
      <c r="M250" s="117" t="s">
        <v>4403</v>
      </c>
      <c r="N250" s="34" t="s">
        <v>29</v>
      </c>
      <c r="O250" s="10"/>
      <c r="P250" s="113">
        <v>46148</v>
      </c>
      <c r="Q250" s="113">
        <v>46148</v>
      </c>
      <c r="R250" s="113">
        <v>46148</v>
      </c>
      <c r="S250" s="37">
        <f t="shared" si="46"/>
        <v>188524</v>
      </c>
      <c r="T250" s="37">
        <f t="shared" si="47"/>
        <v>0</v>
      </c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</row>
    <row r="251" spans="1:31" hidden="1">
      <c r="A251" s="277" t="s">
        <v>4772</v>
      </c>
      <c r="B251" s="9" t="s">
        <v>21</v>
      </c>
      <c r="C251" s="9">
        <v>2026</v>
      </c>
      <c r="D251" s="9" t="s">
        <v>27</v>
      </c>
      <c r="E251" s="90" t="s">
        <v>23</v>
      </c>
      <c r="F251" s="9" t="s">
        <v>7</v>
      </c>
      <c r="G251" s="10"/>
      <c r="H251" s="96">
        <v>260137</v>
      </c>
      <c r="I251" s="109" t="s">
        <v>86</v>
      </c>
      <c r="J251" s="115">
        <v>46078</v>
      </c>
      <c r="K251" s="119">
        <v>46086</v>
      </c>
      <c r="L251" s="116">
        <v>1349999</v>
      </c>
      <c r="M251" s="117" t="s">
        <v>4435</v>
      </c>
      <c r="N251" s="34" t="s">
        <v>29</v>
      </c>
      <c r="O251" s="10"/>
      <c r="P251" s="113">
        <v>46148</v>
      </c>
      <c r="Q251" s="113">
        <v>46148</v>
      </c>
      <c r="R251" s="113">
        <v>46148</v>
      </c>
      <c r="S251" s="37">
        <f t="shared" ref="S251:S257" si="48">IF(R251="",0,L251)</f>
        <v>1349999</v>
      </c>
      <c r="T251" s="37">
        <f t="shared" ref="T251:T257" si="49">L251-S251</f>
        <v>0</v>
      </c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</row>
    <row r="252" spans="1:31" hidden="1">
      <c r="A252" s="277" t="s">
        <v>4773</v>
      </c>
      <c r="B252" s="9" t="s">
        <v>21</v>
      </c>
      <c r="C252" s="9">
        <v>2026</v>
      </c>
      <c r="D252" s="9" t="s">
        <v>27</v>
      </c>
      <c r="E252" s="90" t="s">
        <v>23</v>
      </c>
      <c r="F252" s="9" t="s">
        <v>7</v>
      </c>
      <c r="G252" s="10"/>
      <c r="H252" s="96">
        <v>260136</v>
      </c>
      <c r="I252" s="109" t="s">
        <v>86</v>
      </c>
      <c r="J252" s="115">
        <v>46078</v>
      </c>
      <c r="K252" s="119">
        <v>46086</v>
      </c>
      <c r="L252" s="116">
        <v>565090</v>
      </c>
      <c r="M252" s="117" t="s">
        <v>4436</v>
      </c>
      <c r="N252" s="34" t="s">
        <v>29</v>
      </c>
      <c r="O252" s="10"/>
      <c r="P252" s="113">
        <v>46148</v>
      </c>
      <c r="Q252" s="113">
        <v>46148</v>
      </c>
      <c r="R252" s="113">
        <v>46148</v>
      </c>
      <c r="S252" s="37">
        <f t="shared" si="48"/>
        <v>565090</v>
      </c>
      <c r="T252" s="37">
        <f t="shared" si="49"/>
        <v>0</v>
      </c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</row>
    <row r="253" spans="1:31" hidden="1">
      <c r="A253" s="277" t="s">
        <v>4774</v>
      </c>
      <c r="B253" s="9" t="s">
        <v>21</v>
      </c>
      <c r="C253" s="9">
        <v>2026</v>
      </c>
      <c r="D253" s="9" t="s">
        <v>27</v>
      </c>
      <c r="E253" s="90" t="s">
        <v>23</v>
      </c>
      <c r="F253" s="9" t="s">
        <v>7</v>
      </c>
      <c r="G253" s="10"/>
      <c r="H253" s="96">
        <v>260134</v>
      </c>
      <c r="I253" s="109" t="s">
        <v>86</v>
      </c>
      <c r="J253" s="115">
        <v>46078</v>
      </c>
      <c r="K253" s="119">
        <v>46086</v>
      </c>
      <c r="L253" s="116">
        <v>2256741</v>
      </c>
      <c r="M253" s="117" t="s">
        <v>4437</v>
      </c>
      <c r="N253" s="34" t="s">
        <v>29</v>
      </c>
      <c r="O253" s="10"/>
      <c r="P253" s="113">
        <v>46148</v>
      </c>
      <c r="Q253" s="113">
        <v>46148</v>
      </c>
      <c r="R253" s="113">
        <v>46148</v>
      </c>
      <c r="S253" s="37">
        <f t="shared" si="48"/>
        <v>2256741</v>
      </c>
      <c r="T253" s="37">
        <f t="shared" si="49"/>
        <v>0</v>
      </c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</row>
    <row r="254" spans="1:31" hidden="1">
      <c r="A254" s="277" t="s">
        <v>4775</v>
      </c>
      <c r="B254" s="9" t="s">
        <v>21</v>
      </c>
      <c r="C254" s="9">
        <v>2026</v>
      </c>
      <c r="D254" s="9" t="s">
        <v>27</v>
      </c>
      <c r="E254" s="90" t="s">
        <v>23</v>
      </c>
      <c r="F254" s="9" t="s">
        <v>7</v>
      </c>
      <c r="G254" s="10"/>
      <c r="H254" s="96">
        <v>260135</v>
      </c>
      <c r="I254" s="109" t="s">
        <v>86</v>
      </c>
      <c r="J254" s="115">
        <v>46078</v>
      </c>
      <c r="K254" s="119">
        <v>46086</v>
      </c>
      <c r="L254" s="116">
        <v>631801</v>
      </c>
      <c r="M254" s="117" t="s">
        <v>4438</v>
      </c>
      <c r="N254" s="34" t="s">
        <v>29</v>
      </c>
      <c r="O254" s="10"/>
      <c r="P254" s="113">
        <v>46148</v>
      </c>
      <c r="Q254" s="113">
        <v>46148</v>
      </c>
      <c r="R254" s="113">
        <v>46148</v>
      </c>
      <c r="S254" s="37">
        <f t="shared" si="48"/>
        <v>631801</v>
      </c>
      <c r="T254" s="37">
        <f t="shared" si="49"/>
        <v>0</v>
      </c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</row>
    <row r="255" spans="1:31" hidden="1">
      <c r="A255" s="277" t="s">
        <v>4776</v>
      </c>
      <c r="B255" s="9" t="s">
        <v>21</v>
      </c>
      <c r="C255" s="9">
        <v>2026</v>
      </c>
      <c r="D255" s="9" t="s">
        <v>27</v>
      </c>
      <c r="E255" s="90" t="s">
        <v>23</v>
      </c>
      <c r="F255" s="9" t="s">
        <v>7</v>
      </c>
      <c r="G255" s="10"/>
      <c r="H255" s="96">
        <v>260139</v>
      </c>
      <c r="I255" s="109" t="s">
        <v>86</v>
      </c>
      <c r="J255" s="115">
        <v>46080</v>
      </c>
      <c r="K255" s="119">
        <v>46086</v>
      </c>
      <c r="L255" s="116">
        <v>131109</v>
      </c>
      <c r="M255" s="117" t="s">
        <v>4439</v>
      </c>
      <c r="N255" s="34" t="s">
        <v>29</v>
      </c>
      <c r="O255" s="10"/>
      <c r="P255" s="113">
        <v>46148</v>
      </c>
      <c r="Q255" s="113">
        <v>46148</v>
      </c>
      <c r="R255" s="113">
        <v>46148</v>
      </c>
      <c r="S255" s="37">
        <f t="shared" si="48"/>
        <v>131109</v>
      </c>
      <c r="T255" s="37">
        <f t="shared" si="49"/>
        <v>0</v>
      </c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</row>
    <row r="256" spans="1:31" hidden="1">
      <c r="A256" s="277" t="s">
        <v>4777</v>
      </c>
      <c r="B256" s="9" t="s">
        <v>21</v>
      </c>
      <c r="C256" s="9">
        <v>2026</v>
      </c>
      <c r="D256" s="9" t="s">
        <v>27</v>
      </c>
      <c r="E256" s="90" t="s">
        <v>23</v>
      </c>
      <c r="F256" s="9" t="s">
        <v>7</v>
      </c>
      <c r="G256" s="10"/>
      <c r="H256" s="96">
        <v>260157</v>
      </c>
      <c r="I256" s="109" t="s">
        <v>86</v>
      </c>
      <c r="J256" s="115">
        <v>46081</v>
      </c>
      <c r="K256" s="119">
        <v>46086</v>
      </c>
      <c r="L256" s="116">
        <v>313553</v>
      </c>
      <c r="M256" s="117" t="s">
        <v>4440</v>
      </c>
      <c r="N256" s="34" t="s">
        <v>29</v>
      </c>
      <c r="O256" s="10"/>
      <c r="P256" s="113">
        <v>46148</v>
      </c>
      <c r="Q256" s="113">
        <v>46148</v>
      </c>
      <c r="R256" s="113">
        <v>46148</v>
      </c>
      <c r="S256" s="37">
        <f t="shared" si="48"/>
        <v>313553</v>
      </c>
      <c r="T256" s="37">
        <f t="shared" si="49"/>
        <v>0</v>
      </c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</row>
    <row r="257" spans="1:31" hidden="1">
      <c r="A257" s="277" t="s">
        <v>4778</v>
      </c>
      <c r="B257" s="9" t="s">
        <v>21</v>
      </c>
      <c r="C257" s="9">
        <v>2026</v>
      </c>
      <c r="D257" s="9" t="s">
        <v>27</v>
      </c>
      <c r="E257" s="90" t="s">
        <v>23</v>
      </c>
      <c r="F257" s="9" t="s">
        <v>7</v>
      </c>
      <c r="G257" s="10"/>
      <c r="H257" s="96">
        <v>260148</v>
      </c>
      <c r="I257" s="109" t="s">
        <v>86</v>
      </c>
      <c r="J257" s="115">
        <v>46081</v>
      </c>
      <c r="K257" s="119">
        <v>46086</v>
      </c>
      <c r="L257" s="116">
        <v>3907200</v>
      </c>
      <c r="M257" s="117" t="s">
        <v>4441</v>
      </c>
      <c r="N257" s="34" t="s">
        <v>29</v>
      </c>
      <c r="O257" s="10"/>
      <c r="P257" s="113">
        <v>46148</v>
      </c>
      <c r="Q257" s="113">
        <v>46148</v>
      </c>
      <c r="R257" s="113">
        <v>46148</v>
      </c>
      <c r="S257" s="37">
        <f t="shared" si="48"/>
        <v>3907200</v>
      </c>
      <c r="T257" s="37">
        <f t="shared" si="49"/>
        <v>0</v>
      </c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</row>
    <row r="258" spans="1:31" hidden="1">
      <c r="A258" s="277" t="s">
        <v>4779</v>
      </c>
      <c r="B258" s="9" t="s">
        <v>21</v>
      </c>
      <c r="C258" s="9">
        <v>2026</v>
      </c>
      <c r="D258" s="9" t="s">
        <v>27</v>
      </c>
      <c r="E258" s="90" t="s">
        <v>23</v>
      </c>
      <c r="F258" s="9" t="s">
        <v>7</v>
      </c>
      <c r="G258" s="10"/>
      <c r="H258" s="96">
        <v>260169</v>
      </c>
      <c r="I258" s="109" t="s">
        <v>86</v>
      </c>
      <c r="J258" s="115">
        <v>46092</v>
      </c>
      <c r="K258" s="119">
        <v>46121</v>
      </c>
      <c r="L258" s="116">
        <v>940658</v>
      </c>
      <c r="M258" s="117" t="s">
        <v>4503</v>
      </c>
      <c r="N258" s="34" t="s">
        <v>29</v>
      </c>
      <c r="O258" s="10"/>
      <c r="P258" s="113">
        <v>46148</v>
      </c>
      <c r="Q258" s="113">
        <v>46148</v>
      </c>
      <c r="R258" s="113">
        <v>46148</v>
      </c>
      <c r="S258" s="37">
        <f t="shared" ref="S258:S265" si="50">IF(R258="",0,L258)</f>
        <v>940658</v>
      </c>
      <c r="T258" s="37">
        <f t="shared" ref="T258:T265" si="51">L258-S258</f>
        <v>0</v>
      </c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</row>
    <row r="259" spans="1:31" hidden="1">
      <c r="A259" s="277" t="s">
        <v>4780</v>
      </c>
      <c r="B259" s="9" t="s">
        <v>21</v>
      </c>
      <c r="C259" s="9">
        <v>2026</v>
      </c>
      <c r="D259" s="9" t="s">
        <v>27</v>
      </c>
      <c r="E259" s="90" t="s">
        <v>23</v>
      </c>
      <c r="F259" s="9" t="s">
        <v>7</v>
      </c>
      <c r="G259" s="10"/>
      <c r="H259" s="96">
        <v>260171</v>
      </c>
      <c r="I259" s="109" t="s">
        <v>86</v>
      </c>
      <c r="J259" s="115">
        <v>46093</v>
      </c>
      <c r="K259" s="119">
        <v>46121</v>
      </c>
      <c r="L259" s="116">
        <v>3838491</v>
      </c>
      <c r="M259" s="117" t="s">
        <v>4504</v>
      </c>
      <c r="N259" s="34" t="s">
        <v>29</v>
      </c>
      <c r="O259" s="10"/>
      <c r="P259" s="113">
        <v>46148</v>
      </c>
      <c r="Q259" s="113">
        <v>46148</v>
      </c>
      <c r="R259" s="113">
        <v>46148</v>
      </c>
      <c r="S259" s="37">
        <f t="shared" si="50"/>
        <v>3838491</v>
      </c>
      <c r="T259" s="37">
        <f t="shared" si="51"/>
        <v>0</v>
      </c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</row>
    <row r="260" spans="1:31" hidden="1">
      <c r="A260" s="277" t="s">
        <v>4781</v>
      </c>
      <c r="B260" s="9" t="s">
        <v>21</v>
      </c>
      <c r="C260" s="9">
        <v>2026</v>
      </c>
      <c r="D260" s="9" t="s">
        <v>27</v>
      </c>
      <c r="E260" s="90" t="s">
        <v>23</v>
      </c>
      <c r="F260" s="9" t="s">
        <v>7</v>
      </c>
      <c r="G260" s="10"/>
      <c r="H260" s="96">
        <v>260177</v>
      </c>
      <c r="I260" s="109" t="s">
        <v>86</v>
      </c>
      <c r="J260" s="115">
        <v>46097</v>
      </c>
      <c r="K260" s="119">
        <v>46121</v>
      </c>
      <c r="L260" s="116">
        <v>6329664</v>
      </c>
      <c r="M260" s="117" t="s">
        <v>4505</v>
      </c>
      <c r="N260" s="34" t="s">
        <v>29</v>
      </c>
      <c r="O260" s="10"/>
      <c r="P260" s="113">
        <v>46148</v>
      </c>
      <c r="Q260" s="113">
        <v>46148</v>
      </c>
      <c r="R260" s="113">
        <v>46148</v>
      </c>
      <c r="S260" s="37">
        <f t="shared" si="50"/>
        <v>6329664</v>
      </c>
      <c r="T260" s="37">
        <f t="shared" si="51"/>
        <v>0</v>
      </c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</row>
    <row r="261" spans="1:31" hidden="1">
      <c r="A261" s="277" t="s">
        <v>4782</v>
      </c>
      <c r="B261" s="9" t="s">
        <v>21</v>
      </c>
      <c r="C261" s="9">
        <v>2026</v>
      </c>
      <c r="D261" s="9" t="s">
        <v>27</v>
      </c>
      <c r="E261" s="90" t="s">
        <v>23</v>
      </c>
      <c r="F261" s="9" t="s">
        <v>7</v>
      </c>
      <c r="G261" s="10"/>
      <c r="H261" s="96">
        <v>260176</v>
      </c>
      <c r="I261" s="109" t="s">
        <v>86</v>
      </c>
      <c r="J261" s="115">
        <v>46097</v>
      </c>
      <c r="K261" s="119">
        <v>46121</v>
      </c>
      <c r="L261" s="116">
        <v>162060</v>
      </c>
      <c r="M261" s="117" t="s">
        <v>4506</v>
      </c>
      <c r="N261" s="34" t="s">
        <v>29</v>
      </c>
      <c r="O261" s="10"/>
      <c r="P261" s="113">
        <v>46148</v>
      </c>
      <c r="Q261" s="113">
        <v>46148</v>
      </c>
      <c r="R261" s="113">
        <v>46148</v>
      </c>
      <c r="S261" s="37">
        <f t="shared" si="50"/>
        <v>162060</v>
      </c>
      <c r="T261" s="37">
        <f t="shared" si="51"/>
        <v>0</v>
      </c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</row>
    <row r="262" spans="1:31" hidden="1">
      <c r="A262" s="277" t="s">
        <v>4783</v>
      </c>
      <c r="B262" s="9" t="s">
        <v>21</v>
      </c>
      <c r="C262" s="9">
        <v>2026</v>
      </c>
      <c r="D262" s="9" t="s">
        <v>27</v>
      </c>
      <c r="E262" s="90" t="s">
        <v>23</v>
      </c>
      <c r="F262" s="9" t="s">
        <v>7</v>
      </c>
      <c r="G262" s="10"/>
      <c r="H262" s="96">
        <v>260181</v>
      </c>
      <c r="I262" s="109" t="s">
        <v>86</v>
      </c>
      <c r="J262" s="115">
        <v>46099</v>
      </c>
      <c r="K262" s="119">
        <v>46121</v>
      </c>
      <c r="L262" s="116">
        <v>3263755</v>
      </c>
      <c r="M262" s="117" t="s">
        <v>4507</v>
      </c>
      <c r="N262" s="34" t="s">
        <v>29</v>
      </c>
      <c r="O262" s="10"/>
      <c r="P262" s="113">
        <v>46148</v>
      </c>
      <c r="Q262" s="113">
        <v>46148</v>
      </c>
      <c r="R262" s="113">
        <v>46148</v>
      </c>
      <c r="S262" s="37">
        <f t="shared" si="50"/>
        <v>3263755</v>
      </c>
      <c r="T262" s="37">
        <f t="shared" si="51"/>
        <v>0</v>
      </c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</row>
    <row r="263" spans="1:31" hidden="1">
      <c r="A263" s="277" t="s">
        <v>4784</v>
      </c>
      <c r="B263" s="9" t="s">
        <v>21</v>
      </c>
      <c r="C263" s="9">
        <v>2026</v>
      </c>
      <c r="D263" s="9" t="s">
        <v>27</v>
      </c>
      <c r="E263" s="90" t="s">
        <v>23</v>
      </c>
      <c r="F263" s="9" t="s">
        <v>7</v>
      </c>
      <c r="G263" s="10"/>
      <c r="H263" s="96">
        <v>260180</v>
      </c>
      <c r="I263" s="109" t="s">
        <v>86</v>
      </c>
      <c r="J263" s="115">
        <v>46099</v>
      </c>
      <c r="K263" s="119">
        <v>46121</v>
      </c>
      <c r="L263" s="116">
        <v>586913</v>
      </c>
      <c r="M263" s="117" t="s">
        <v>4508</v>
      </c>
      <c r="N263" s="34" t="s">
        <v>29</v>
      </c>
      <c r="O263" s="10"/>
      <c r="P263" s="113">
        <v>46148</v>
      </c>
      <c r="Q263" s="113">
        <v>46148</v>
      </c>
      <c r="R263" s="113">
        <v>46148</v>
      </c>
      <c r="S263" s="37">
        <f t="shared" si="50"/>
        <v>586913</v>
      </c>
      <c r="T263" s="37">
        <f t="shared" si="51"/>
        <v>0</v>
      </c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</row>
    <row r="264" spans="1:31" hidden="1">
      <c r="A264" s="277" t="s">
        <v>4785</v>
      </c>
      <c r="B264" s="9" t="s">
        <v>21</v>
      </c>
      <c r="C264" s="9">
        <v>2026</v>
      </c>
      <c r="D264" s="9" t="s">
        <v>27</v>
      </c>
      <c r="E264" s="90" t="s">
        <v>23</v>
      </c>
      <c r="F264" s="9" t="s">
        <v>7</v>
      </c>
      <c r="G264" s="10"/>
      <c r="H264" s="96">
        <v>260182</v>
      </c>
      <c r="I264" s="109" t="s">
        <v>86</v>
      </c>
      <c r="J264" s="115">
        <v>46099</v>
      </c>
      <c r="K264" s="119">
        <v>46121</v>
      </c>
      <c r="L264" s="116">
        <v>1179819</v>
      </c>
      <c r="M264" s="117" t="s">
        <v>4509</v>
      </c>
      <c r="N264" s="34" t="s">
        <v>29</v>
      </c>
      <c r="O264" s="10"/>
      <c r="P264" s="113">
        <v>46148</v>
      </c>
      <c r="Q264" s="113">
        <v>46148</v>
      </c>
      <c r="R264" s="113">
        <v>46148</v>
      </c>
      <c r="S264" s="37">
        <f t="shared" si="50"/>
        <v>1179819</v>
      </c>
      <c r="T264" s="37">
        <f t="shared" si="51"/>
        <v>0</v>
      </c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</row>
    <row r="265" spans="1:31" hidden="1">
      <c r="A265" s="277" t="s">
        <v>4786</v>
      </c>
      <c r="B265" s="9" t="s">
        <v>21</v>
      </c>
      <c r="C265" s="9">
        <v>2026</v>
      </c>
      <c r="D265" s="9" t="s">
        <v>27</v>
      </c>
      <c r="E265" s="90" t="s">
        <v>23</v>
      </c>
      <c r="F265" s="9" t="s">
        <v>7</v>
      </c>
      <c r="G265" s="10"/>
      <c r="H265" s="96">
        <v>260183</v>
      </c>
      <c r="I265" s="109" t="s">
        <v>86</v>
      </c>
      <c r="J265" s="115">
        <v>46101</v>
      </c>
      <c r="K265" s="119">
        <v>46121</v>
      </c>
      <c r="L265" s="116">
        <v>947701</v>
      </c>
      <c r="M265" s="117" t="s">
        <v>4510</v>
      </c>
      <c r="N265" s="34" t="s">
        <v>29</v>
      </c>
      <c r="O265" s="10"/>
      <c r="P265" s="113">
        <v>46148</v>
      </c>
      <c r="Q265" s="113">
        <v>46148</v>
      </c>
      <c r="R265" s="113">
        <v>46148</v>
      </c>
      <c r="S265" s="37">
        <f t="shared" si="50"/>
        <v>947701</v>
      </c>
      <c r="T265" s="37">
        <f t="shared" si="51"/>
        <v>0</v>
      </c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</row>
    <row r="266" spans="1:31" hidden="1">
      <c r="A266" s="277" t="s">
        <v>4786</v>
      </c>
      <c r="B266" s="9" t="s">
        <v>21</v>
      </c>
      <c r="C266" s="9">
        <v>2026</v>
      </c>
      <c r="D266" s="9" t="s">
        <v>27</v>
      </c>
      <c r="E266" s="90" t="s">
        <v>23</v>
      </c>
      <c r="F266" s="9" t="s">
        <v>7</v>
      </c>
      <c r="G266" s="10"/>
      <c r="H266" s="96">
        <v>260252</v>
      </c>
      <c r="I266" s="109" t="s">
        <v>86</v>
      </c>
      <c r="J266" s="115">
        <v>46142</v>
      </c>
      <c r="K266" s="119">
        <v>46184</v>
      </c>
      <c r="L266" s="116">
        <v>5052010</v>
      </c>
      <c r="M266" s="117" t="s">
        <v>7147</v>
      </c>
      <c r="N266" s="34" t="s">
        <v>29</v>
      </c>
      <c r="O266" s="27">
        <f>SUM(L266:L275)</f>
        <v>15556489</v>
      </c>
      <c r="P266" s="113">
        <v>46200</v>
      </c>
      <c r="Q266" s="113">
        <v>46200</v>
      </c>
      <c r="R266" s="113">
        <v>46200</v>
      </c>
      <c r="S266" s="37">
        <f t="shared" ref="S266:S275" si="52">IF(R266="",0,L266)</f>
        <v>5052010</v>
      </c>
      <c r="T266" s="37">
        <f t="shared" ref="T266:T275" si="53">L266-S266</f>
        <v>0</v>
      </c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</row>
    <row r="267" spans="1:31" hidden="1">
      <c r="A267" s="277" t="s">
        <v>4786</v>
      </c>
      <c r="B267" s="9" t="s">
        <v>21</v>
      </c>
      <c r="C267" s="9">
        <v>2026</v>
      </c>
      <c r="D267" s="9" t="s">
        <v>27</v>
      </c>
      <c r="E267" s="90" t="s">
        <v>23</v>
      </c>
      <c r="F267" s="9" t="s">
        <v>7</v>
      </c>
      <c r="G267" s="10"/>
      <c r="H267" s="96">
        <v>260276</v>
      </c>
      <c r="I267" s="109" t="s">
        <v>86</v>
      </c>
      <c r="J267" s="115">
        <v>46151</v>
      </c>
      <c r="K267" s="119">
        <v>46163</v>
      </c>
      <c r="L267" s="116">
        <v>333053</v>
      </c>
      <c r="M267" s="117" t="s">
        <v>7067</v>
      </c>
      <c r="N267" s="34" t="s">
        <v>29</v>
      </c>
      <c r="P267" s="113">
        <v>46200</v>
      </c>
      <c r="Q267" s="113">
        <v>46200</v>
      </c>
      <c r="R267" s="113">
        <v>46200</v>
      </c>
      <c r="S267" s="37">
        <f t="shared" si="52"/>
        <v>333053</v>
      </c>
      <c r="T267" s="37">
        <f t="shared" si="53"/>
        <v>0</v>
      </c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</row>
    <row r="268" spans="1:31" hidden="1">
      <c r="A268" s="277" t="s">
        <v>4786</v>
      </c>
      <c r="B268" s="9" t="s">
        <v>21</v>
      </c>
      <c r="C268" s="9">
        <v>2026</v>
      </c>
      <c r="D268" s="9" t="s">
        <v>27</v>
      </c>
      <c r="E268" s="90" t="s">
        <v>23</v>
      </c>
      <c r="F268" s="9" t="s">
        <v>7</v>
      </c>
      <c r="G268" s="10"/>
      <c r="H268" s="96">
        <v>260282</v>
      </c>
      <c r="I268" s="109" t="s">
        <v>86</v>
      </c>
      <c r="J268" s="115">
        <v>46155</v>
      </c>
      <c r="K268" s="119">
        <v>46163</v>
      </c>
      <c r="L268" s="116">
        <v>4079694</v>
      </c>
      <c r="M268" s="117" t="s">
        <v>7068</v>
      </c>
      <c r="N268" s="34" t="s">
        <v>29</v>
      </c>
      <c r="O268" s="10"/>
      <c r="P268" s="113">
        <v>46200</v>
      </c>
      <c r="Q268" s="113">
        <v>46200</v>
      </c>
      <c r="R268" s="113">
        <v>46200</v>
      </c>
      <c r="S268" s="37">
        <f t="shared" si="52"/>
        <v>4079694</v>
      </c>
      <c r="T268" s="37">
        <f t="shared" si="53"/>
        <v>0</v>
      </c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</row>
    <row r="269" spans="1:31" hidden="1">
      <c r="A269" s="277" t="s">
        <v>4786</v>
      </c>
      <c r="B269" s="9" t="s">
        <v>21</v>
      </c>
      <c r="C269" s="9">
        <v>2026</v>
      </c>
      <c r="D269" s="9" t="s">
        <v>27</v>
      </c>
      <c r="E269" s="90" t="s">
        <v>23</v>
      </c>
      <c r="F269" s="9" t="s">
        <v>7</v>
      </c>
      <c r="G269" s="10"/>
      <c r="H269" s="96">
        <v>260283</v>
      </c>
      <c r="I269" s="109" t="s">
        <v>86</v>
      </c>
      <c r="J269" s="115">
        <v>46155</v>
      </c>
      <c r="K269" s="119">
        <v>46163</v>
      </c>
      <c r="L269" s="116">
        <v>85381</v>
      </c>
      <c r="M269" s="117" t="s">
        <v>7069</v>
      </c>
      <c r="N269" s="34" t="s">
        <v>29</v>
      </c>
      <c r="O269" s="10"/>
      <c r="P269" s="113">
        <v>46200</v>
      </c>
      <c r="Q269" s="113">
        <v>46200</v>
      </c>
      <c r="R269" s="113">
        <v>46200</v>
      </c>
      <c r="S269" s="37">
        <f t="shared" si="52"/>
        <v>85381</v>
      </c>
      <c r="T269" s="37">
        <f t="shared" si="53"/>
        <v>0</v>
      </c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</row>
    <row r="270" spans="1:31" hidden="1">
      <c r="A270" s="277" t="s">
        <v>4786</v>
      </c>
      <c r="B270" s="9" t="s">
        <v>21</v>
      </c>
      <c r="C270" s="9">
        <v>2026</v>
      </c>
      <c r="D270" s="9" t="s">
        <v>27</v>
      </c>
      <c r="E270" s="90" t="s">
        <v>23</v>
      </c>
      <c r="F270" s="9" t="s">
        <v>7</v>
      </c>
      <c r="G270" s="10"/>
      <c r="H270" s="96">
        <v>260281</v>
      </c>
      <c r="I270" s="109" t="s">
        <v>86</v>
      </c>
      <c r="J270" s="115">
        <v>46155</v>
      </c>
      <c r="K270" s="119">
        <v>46163</v>
      </c>
      <c r="L270" s="116">
        <v>947701</v>
      </c>
      <c r="M270" s="117" t="s">
        <v>7070</v>
      </c>
      <c r="N270" s="34" t="s">
        <v>29</v>
      </c>
      <c r="O270" s="10"/>
      <c r="P270" s="113">
        <v>46200</v>
      </c>
      <c r="Q270" s="113">
        <v>46200</v>
      </c>
      <c r="R270" s="113">
        <v>46200</v>
      </c>
      <c r="S270" s="37">
        <f t="shared" si="52"/>
        <v>947701</v>
      </c>
      <c r="T270" s="37">
        <f t="shared" si="53"/>
        <v>0</v>
      </c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</row>
    <row r="271" spans="1:31" hidden="1">
      <c r="A271" s="277" t="s">
        <v>4786</v>
      </c>
      <c r="B271" s="9" t="s">
        <v>21</v>
      </c>
      <c r="C271" s="9">
        <v>2026</v>
      </c>
      <c r="D271" s="9" t="s">
        <v>27</v>
      </c>
      <c r="E271" s="90" t="s">
        <v>23</v>
      </c>
      <c r="F271" s="9" t="s">
        <v>7</v>
      </c>
      <c r="G271" s="10"/>
      <c r="H271" s="96">
        <v>260286</v>
      </c>
      <c r="I271" s="109" t="s">
        <v>86</v>
      </c>
      <c r="J271" s="115">
        <v>46157</v>
      </c>
      <c r="K271" s="119">
        <v>46163</v>
      </c>
      <c r="L271" s="116">
        <v>185437</v>
      </c>
      <c r="M271" s="117" t="s">
        <v>7071</v>
      </c>
      <c r="N271" s="34" t="s">
        <v>29</v>
      </c>
      <c r="O271" s="10"/>
      <c r="P271" s="113">
        <v>46200</v>
      </c>
      <c r="Q271" s="113">
        <v>46200</v>
      </c>
      <c r="R271" s="113">
        <v>46200</v>
      </c>
      <c r="S271" s="37">
        <f t="shared" si="52"/>
        <v>185437</v>
      </c>
      <c r="T271" s="37">
        <f t="shared" si="53"/>
        <v>0</v>
      </c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</row>
    <row r="272" spans="1:31" hidden="1">
      <c r="A272" s="277" t="s">
        <v>4786</v>
      </c>
      <c r="B272" s="9" t="s">
        <v>21</v>
      </c>
      <c r="C272" s="9">
        <v>2026</v>
      </c>
      <c r="D272" s="9" t="s">
        <v>27</v>
      </c>
      <c r="E272" s="90" t="s">
        <v>23</v>
      </c>
      <c r="F272" s="9" t="s">
        <v>7</v>
      </c>
      <c r="G272" s="10"/>
      <c r="H272" s="96">
        <v>260291</v>
      </c>
      <c r="I272" s="109" t="s">
        <v>86</v>
      </c>
      <c r="J272" s="115">
        <v>46158</v>
      </c>
      <c r="K272" s="119">
        <v>46163</v>
      </c>
      <c r="L272" s="116">
        <v>2699997</v>
      </c>
      <c r="M272" s="117" t="s">
        <v>7072</v>
      </c>
      <c r="N272" s="34" t="s">
        <v>29</v>
      </c>
      <c r="O272" s="10"/>
      <c r="P272" s="113">
        <v>46200</v>
      </c>
      <c r="Q272" s="113">
        <v>46200</v>
      </c>
      <c r="R272" s="113">
        <v>46200</v>
      </c>
      <c r="S272" s="37">
        <f t="shared" si="52"/>
        <v>2699997</v>
      </c>
      <c r="T272" s="37">
        <f t="shared" si="53"/>
        <v>0</v>
      </c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</row>
    <row r="273" spans="1:31" hidden="1">
      <c r="A273" s="277" t="s">
        <v>4786</v>
      </c>
      <c r="B273" s="9" t="s">
        <v>21</v>
      </c>
      <c r="C273" s="9">
        <v>2026</v>
      </c>
      <c r="D273" s="9" t="s">
        <v>27</v>
      </c>
      <c r="E273" s="90" t="s">
        <v>23</v>
      </c>
      <c r="F273" s="9" t="s">
        <v>7</v>
      </c>
      <c r="G273" s="10"/>
      <c r="H273" s="96">
        <v>260290</v>
      </c>
      <c r="I273" s="109" t="s">
        <v>86</v>
      </c>
      <c r="J273" s="115">
        <v>46158</v>
      </c>
      <c r="K273" s="119">
        <v>46163</v>
      </c>
      <c r="L273" s="116">
        <v>511882</v>
      </c>
      <c r="M273" s="117" t="s">
        <v>7073</v>
      </c>
      <c r="N273" s="34" t="s">
        <v>29</v>
      </c>
      <c r="O273" s="10"/>
      <c r="P273" s="113">
        <v>46200</v>
      </c>
      <c r="Q273" s="113">
        <v>46200</v>
      </c>
      <c r="R273" s="113">
        <v>46200</v>
      </c>
      <c r="S273" s="37">
        <f t="shared" si="52"/>
        <v>511882</v>
      </c>
      <c r="T273" s="37">
        <f t="shared" si="53"/>
        <v>0</v>
      </c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</row>
    <row r="274" spans="1:31" hidden="1">
      <c r="A274" s="277" t="s">
        <v>4786</v>
      </c>
      <c r="B274" s="9" t="s">
        <v>21</v>
      </c>
      <c r="C274" s="9">
        <v>2026</v>
      </c>
      <c r="D274" s="9" t="s">
        <v>27</v>
      </c>
      <c r="E274" s="90" t="s">
        <v>23</v>
      </c>
      <c r="F274" s="9" t="s">
        <v>7</v>
      </c>
      <c r="G274" s="10"/>
      <c r="H274" s="96">
        <v>260295</v>
      </c>
      <c r="I274" s="109" t="s">
        <v>86</v>
      </c>
      <c r="J274" s="115">
        <v>46158</v>
      </c>
      <c r="K274" s="119">
        <v>46179</v>
      </c>
      <c r="L274" s="116">
        <v>1179819</v>
      </c>
      <c r="M274" s="117" t="s">
        <v>7112</v>
      </c>
      <c r="N274" s="34" t="s">
        <v>29</v>
      </c>
      <c r="O274" s="10"/>
      <c r="P274" s="113">
        <v>46200</v>
      </c>
      <c r="Q274" s="113">
        <v>46200</v>
      </c>
      <c r="R274" s="113">
        <v>46200</v>
      </c>
      <c r="S274" s="37">
        <f t="shared" si="52"/>
        <v>1179819</v>
      </c>
      <c r="T274" s="37">
        <f t="shared" si="53"/>
        <v>0</v>
      </c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</row>
    <row r="275" spans="1:31">
      <c r="A275" s="277" t="s">
        <v>4786</v>
      </c>
      <c r="B275" s="9" t="s">
        <v>21</v>
      </c>
      <c r="C275" s="9">
        <v>2026</v>
      </c>
      <c r="D275" s="9" t="s">
        <v>27</v>
      </c>
      <c r="E275" s="90" t="s">
        <v>23</v>
      </c>
      <c r="F275" s="9" t="s">
        <v>7</v>
      </c>
      <c r="G275" s="10"/>
      <c r="H275" s="96">
        <v>260302</v>
      </c>
      <c r="I275" s="109" t="s">
        <v>86</v>
      </c>
      <c r="J275" s="115">
        <v>46164</v>
      </c>
      <c r="K275" s="119">
        <v>46179</v>
      </c>
      <c r="L275" s="116">
        <f>1005001-374686-148800</f>
        <v>481515</v>
      </c>
      <c r="M275" s="117" t="s">
        <v>7116</v>
      </c>
      <c r="N275" s="34" t="s">
        <v>29</v>
      </c>
      <c r="O275" s="10"/>
      <c r="P275" s="113">
        <v>46200</v>
      </c>
      <c r="Q275" s="113">
        <v>46200</v>
      </c>
      <c r="R275" s="113">
        <v>46200</v>
      </c>
      <c r="S275" s="37">
        <f t="shared" si="52"/>
        <v>481515</v>
      </c>
      <c r="T275" s="37">
        <f t="shared" si="53"/>
        <v>0</v>
      </c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</row>
    <row r="276" spans="1:31">
      <c r="A276" s="277" t="s">
        <v>4786</v>
      </c>
      <c r="B276" s="9" t="s">
        <v>21</v>
      </c>
      <c r="C276" s="9">
        <v>2026</v>
      </c>
      <c r="D276" s="9" t="s">
        <v>77</v>
      </c>
      <c r="E276" s="90" t="s">
        <v>23</v>
      </c>
      <c r="F276" s="9" t="s">
        <v>7</v>
      </c>
      <c r="G276" s="10"/>
      <c r="H276" s="9">
        <v>260320</v>
      </c>
      <c r="I276" s="11" t="s">
        <v>86</v>
      </c>
      <c r="J276" s="12">
        <v>46172</v>
      </c>
      <c r="K276" s="122">
        <v>46203</v>
      </c>
      <c r="L276" s="27">
        <v>4018200</v>
      </c>
      <c r="M276" s="10" t="s">
        <v>7187</v>
      </c>
      <c r="N276" s="34">
        <f t="shared" ref="N276:N290" ca="1" si="54">$J$3-J276</f>
        <v>68.463776388889528</v>
      </c>
      <c r="O276" s="10"/>
      <c r="P276" s="39"/>
      <c r="Q276" s="39"/>
      <c r="R276" s="39"/>
      <c r="S276" s="37">
        <f t="shared" ref="S276:S290" si="55">IF(R276="",0,L276)</f>
        <v>0</v>
      </c>
      <c r="T276" s="37">
        <f t="shared" ref="T276:T290" si="56">L276-S276</f>
        <v>4018200</v>
      </c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</row>
    <row r="277" spans="1:31">
      <c r="A277" s="277" t="s">
        <v>4786</v>
      </c>
      <c r="B277" s="9" t="s">
        <v>21</v>
      </c>
      <c r="C277" s="9">
        <v>2026</v>
      </c>
      <c r="D277" s="9" t="s">
        <v>77</v>
      </c>
      <c r="E277" s="90" t="s">
        <v>23</v>
      </c>
      <c r="F277" s="9" t="s">
        <v>7</v>
      </c>
      <c r="G277" s="10"/>
      <c r="H277" s="9">
        <v>260353</v>
      </c>
      <c r="I277" s="11" t="s">
        <v>86</v>
      </c>
      <c r="J277" s="12">
        <v>46186</v>
      </c>
      <c r="K277" s="122">
        <v>46224</v>
      </c>
      <c r="L277" s="27">
        <v>3263755</v>
      </c>
      <c r="M277" s="10" t="s">
        <v>7404</v>
      </c>
      <c r="N277" s="34">
        <f t="shared" ca="1" si="54"/>
        <v>54.463776388889528</v>
      </c>
      <c r="O277" s="10"/>
      <c r="P277" s="39"/>
      <c r="Q277" s="39"/>
      <c r="R277" s="39"/>
      <c r="S277" s="37">
        <f t="shared" si="55"/>
        <v>0</v>
      </c>
      <c r="T277" s="37">
        <f t="shared" si="56"/>
        <v>3263755</v>
      </c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</row>
    <row r="278" spans="1:31">
      <c r="A278" s="277" t="s">
        <v>4786</v>
      </c>
      <c r="B278" s="9" t="s">
        <v>21</v>
      </c>
      <c r="C278" s="9">
        <v>2026</v>
      </c>
      <c r="D278" s="9" t="s">
        <v>77</v>
      </c>
      <c r="E278" s="90" t="s">
        <v>23</v>
      </c>
      <c r="F278" s="9" t="s">
        <v>7</v>
      </c>
      <c r="G278" s="10"/>
      <c r="H278" s="9">
        <v>260354</v>
      </c>
      <c r="I278" s="11" t="s">
        <v>86</v>
      </c>
      <c r="J278" s="12">
        <v>46186</v>
      </c>
      <c r="K278" s="122">
        <v>46224</v>
      </c>
      <c r="L278" s="27">
        <v>188525</v>
      </c>
      <c r="M278" s="10" t="s">
        <v>7405</v>
      </c>
      <c r="N278" s="34">
        <f t="shared" ca="1" si="54"/>
        <v>54.463776388889528</v>
      </c>
      <c r="O278" s="10"/>
      <c r="P278" s="39"/>
      <c r="Q278" s="39"/>
      <c r="R278" s="39"/>
      <c r="S278" s="37">
        <f t="shared" si="55"/>
        <v>0</v>
      </c>
      <c r="T278" s="37">
        <f t="shared" si="56"/>
        <v>188525</v>
      </c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</row>
    <row r="279" spans="1:31">
      <c r="A279" s="277" t="s">
        <v>4786</v>
      </c>
      <c r="B279" s="9" t="s">
        <v>21</v>
      </c>
      <c r="C279" s="9">
        <v>2026</v>
      </c>
      <c r="D279" s="9" t="s">
        <v>77</v>
      </c>
      <c r="E279" s="90" t="s">
        <v>23</v>
      </c>
      <c r="F279" s="9" t="s">
        <v>7</v>
      </c>
      <c r="G279" s="10"/>
      <c r="H279" s="9">
        <v>260355</v>
      </c>
      <c r="I279" s="11" t="s">
        <v>86</v>
      </c>
      <c r="J279" s="12">
        <v>46186</v>
      </c>
      <c r="K279" s="122">
        <v>46224</v>
      </c>
      <c r="L279" s="27">
        <v>914891</v>
      </c>
      <c r="M279" s="10" t="s">
        <v>7406</v>
      </c>
      <c r="N279" s="34">
        <f t="shared" ca="1" si="54"/>
        <v>54.463776388889528</v>
      </c>
      <c r="O279" s="10"/>
      <c r="P279" s="39"/>
      <c r="Q279" s="39"/>
      <c r="R279" s="39"/>
      <c r="S279" s="37">
        <f t="shared" si="55"/>
        <v>0</v>
      </c>
      <c r="T279" s="37">
        <f t="shared" si="56"/>
        <v>914891</v>
      </c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</row>
    <row r="280" spans="1:31">
      <c r="A280" s="277" t="s">
        <v>4786</v>
      </c>
      <c r="B280" s="9" t="s">
        <v>21</v>
      </c>
      <c r="C280" s="9">
        <v>2026</v>
      </c>
      <c r="D280" s="9" t="s">
        <v>77</v>
      </c>
      <c r="E280" s="90" t="s">
        <v>23</v>
      </c>
      <c r="F280" s="9" t="s">
        <v>7</v>
      </c>
      <c r="G280" s="10"/>
      <c r="H280" s="9">
        <v>260359</v>
      </c>
      <c r="I280" s="11" t="s">
        <v>86</v>
      </c>
      <c r="J280" s="12">
        <v>46186</v>
      </c>
      <c r="K280" s="122">
        <v>46224</v>
      </c>
      <c r="L280" s="27">
        <v>393273</v>
      </c>
      <c r="M280" s="10" t="s">
        <v>7407</v>
      </c>
      <c r="N280" s="34">
        <f t="shared" ca="1" si="54"/>
        <v>54.463776388889528</v>
      </c>
      <c r="O280" s="10"/>
      <c r="P280" s="39"/>
      <c r="Q280" s="39"/>
      <c r="R280" s="39"/>
      <c r="S280" s="37">
        <f t="shared" si="55"/>
        <v>0</v>
      </c>
      <c r="T280" s="37">
        <f t="shared" si="56"/>
        <v>393273</v>
      </c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</row>
    <row r="281" spans="1:31">
      <c r="A281" s="277" t="s">
        <v>4786</v>
      </c>
      <c r="B281" s="9" t="s">
        <v>21</v>
      </c>
      <c r="C281" s="9">
        <v>2026</v>
      </c>
      <c r="D281" s="9" t="s">
        <v>77</v>
      </c>
      <c r="E281" s="90" t="s">
        <v>23</v>
      </c>
      <c r="F281" s="9" t="s">
        <v>7</v>
      </c>
      <c r="G281" s="10"/>
      <c r="H281" s="9">
        <v>260378</v>
      </c>
      <c r="I281" s="11" t="s">
        <v>86</v>
      </c>
      <c r="J281" s="12">
        <v>46192</v>
      </c>
      <c r="K281" s="122">
        <v>46224</v>
      </c>
      <c r="L281" s="27">
        <v>208461</v>
      </c>
      <c r="M281" s="10" t="s">
        <v>7403</v>
      </c>
      <c r="N281" s="34">
        <f t="shared" ca="1" si="54"/>
        <v>48.463776388889528</v>
      </c>
      <c r="O281" s="10"/>
      <c r="P281" s="39"/>
      <c r="Q281" s="39"/>
      <c r="R281" s="39"/>
      <c r="S281" s="37">
        <f t="shared" si="55"/>
        <v>0</v>
      </c>
      <c r="T281" s="37">
        <f t="shared" si="56"/>
        <v>208461</v>
      </c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</row>
    <row r="282" spans="1:31">
      <c r="A282" s="277" t="s">
        <v>4786</v>
      </c>
      <c r="B282" s="9" t="s">
        <v>21</v>
      </c>
      <c r="C282" s="9">
        <v>2026</v>
      </c>
      <c r="D282" s="9" t="s">
        <v>77</v>
      </c>
      <c r="E282" s="90" t="s">
        <v>23</v>
      </c>
      <c r="F282" s="9" t="s">
        <v>7</v>
      </c>
      <c r="G282" s="10"/>
      <c r="H282" s="9">
        <v>260377</v>
      </c>
      <c r="I282" s="11" t="s">
        <v>86</v>
      </c>
      <c r="J282" s="12">
        <v>46192</v>
      </c>
      <c r="K282" s="122">
        <v>46224</v>
      </c>
      <c r="L282" s="27">
        <v>4105490</v>
      </c>
      <c r="M282" s="10" t="s">
        <v>7408</v>
      </c>
      <c r="N282" s="34">
        <f t="shared" ca="1" si="54"/>
        <v>48.463776388889528</v>
      </c>
      <c r="O282" s="10"/>
      <c r="P282" s="39"/>
      <c r="Q282" s="39"/>
      <c r="R282" s="39"/>
      <c r="S282" s="37">
        <f t="shared" si="55"/>
        <v>0</v>
      </c>
      <c r="T282" s="37">
        <f t="shared" si="56"/>
        <v>4105490</v>
      </c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</row>
    <row r="283" spans="1:31">
      <c r="A283" s="277" t="s">
        <v>4786</v>
      </c>
      <c r="B283" s="9" t="s">
        <v>21</v>
      </c>
      <c r="C283" s="9">
        <v>2026</v>
      </c>
      <c r="D283" s="9" t="s">
        <v>77</v>
      </c>
      <c r="E283" s="90" t="s">
        <v>23</v>
      </c>
      <c r="F283" s="9" t="s">
        <v>7</v>
      </c>
      <c r="G283" s="10"/>
      <c r="H283" s="9">
        <v>260390</v>
      </c>
      <c r="I283" s="11" t="s">
        <v>86</v>
      </c>
      <c r="J283" s="12">
        <v>46195</v>
      </c>
      <c r="K283" s="122">
        <v>46224</v>
      </c>
      <c r="L283" s="27">
        <v>166500</v>
      </c>
      <c r="M283" s="10" t="s">
        <v>7409</v>
      </c>
      <c r="N283" s="34">
        <f t="shared" ca="1" si="54"/>
        <v>45.463776388889528</v>
      </c>
      <c r="O283" s="10"/>
      <c r="P283" s="39"/>
      <c r="Q283" s="39"/>
      <c r="R283" s="39"/>
      <c r="S283" s="37">
        <f t="shared" si="55"/>
        <v>0</v>
      </c>
      <c r="T283" s="37">
        <f t="shared" si="56"/>
        <v>166500</v>
      </c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</row>
    <row r="284" spans="1:31">
      <c r="A284" s="277" t="s">
        <v>4786</v>
      </c>
      <c r="B284" s="9" t="s">
        <v>21</v>
      </c>
      <c r="C284" s="9">
        <v>2026</v>
      </c>
      <c r="D284" s="9" t="s">
        <v>77</v>
      </c>
      <c r="E284" s="90" t="s">
        <v>23</v>
      </c>
      <c r="F284" s="9" t="s">
        <v>7</v>
      </c>
      <c r="G284" s="10"/>
      <c r="H284" s="9">
        <v>260396</v>
      </c>
      <c r="I284" s="11" t="s">
        <v>86</v>
      </c>
      <c r="J284" s="12">
        <v>46197</v>
      </c>
      <c r="K284" s="122">
        <v>46224</v>
      </c>
      <c r="L284" s="27">
        <v>166500</v>
      </c>
      <c r="M284" s="10" t="s">
        <v>7411</v>
      </c>
      <c r="N284" s="34">
        <f t="shared" ca="1" si="54"/>
        <v>43.463776388889528</v>
      </c>
      <c r="O284" s="10"/>
      <c r="P284" s="39"/>
      <c r="Q284" s="39"/>
      <c r="R284" s="39"/>
      <c r="S284" s="37">
        <f t="shared" si="55"/>
        <v>0</v>
      </c>
      <c r="T284" s="37">
        <f t="shared" si="56"/>
        <v>166500</v>
      </c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</row>
    <row r="285" spans="1:31">
      <c r="A285" s="277" t="s">
        <v>4786</v>
      </c>
      <c r="B285" s="9" t="s">
        <v>21</v>
      </c>
      <c r="C285" s="9">
        <v>2026</v>
      </c>
      <c r="D285" s="9" t="s">
        <v>77</v>
      </c>
      <c r="E285" s="90" t="s">
        <v>23</v>
      </c>
      <c r="F285" s="9" t="s">
        <v>7</v>
      </c>
      <c r="G285" s="10"/>
      <c r="H285" s="9">
        <v>260426</v>
      </c>
      <c r="I285" s="11" t="s">
        <v>86</v>
      </c>
      <c r="J285" s="12">
        <v>46203</v>
      </c>
      <c r="K285" s="122">
        <v>46224</v>
      </c>
      <c r="L285" s="27">
        <v>372690</v>
      </c>
      <c r="M285" s="10" t="s">
        <v>7410</v>
      </c>
      <c r="N285" s="34">
        <f t="shared" ca="1" si="54"/>
        <v>37.463776388889528</v>
      </c>
      <c r="O285" s="10"/>
      <c r="P285" s="39"/>
      <c r="Q285" s="39"/>
      <c r="R285" s="39"/>
      <c r="S285" s="37">
        <f t="shared" si="55"/>
        <v>0</v>
      </c>
      <c r="T285" s="37">
        <f t="shared" si="56"/>
        <v>372690</v>
      </c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</row>
    <row r="286" spans="1:31">
      <c r="A286" s="277" t="s">
        <v>4786</v>
      </c>
      <c r="B286" s="9" t="s">
        <v>21</v>
      </c>
      <c r="C286" s="9">
        <v>2026</v>
      </c>
      <c r="D286" s="9" t="s">
        <v>77</v>
      </c>
      <c r="E286" s="90" t="s">
        <v>23</v>
      </c>
      <c r="F286" s="9" t="s">
        <v>7</v>
      </c>
      <c r="G286" s="10"/>
      <c r="H286" s="9">
        <v>260425</v>
      </c>
      <c r="I286" s="11" t="s">
        <v>86</v>
      </c>
      <c r="J286" s="12">
        <v>46203</v>
      </c>
      <c r="K286" s="122">
        <v>46224</v>
      </c>
      <c r="L286" s="27">
        <v>978188</v>
      </c>
      <c r="M286" s="10" t="s">
        <v>7412</v>
      </c>
      <c r="N286" s="34">
        <f t="shared" ca="1" si="54"/>
        <v>37.463776388889528</v>
      </c>
      <c r="O286" s="10"/>
      <c r="P286" s="39"/>
      <c r="Q286" s="39"/>
      <c r="R286" s="39"/>
      <c r="S286" s="37">
        <f t="shared" si="55"/>
        <v>0</v>
      </c>
      <c r="T286" s="37">
        <f t="shared" si="56"/>
        <v>978188</v>
      </c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</row>
    <row r="287" spans="1:31">
      <c r="A287" s="277" t="s">
        <v>4786</v>
      </c>
      <c r="B287" s="9" t="s">
        <v>21</v>
      </c>
      <c r="C287" s="9">
        <v>2026</v>
      </c>
      <c r="D287" s="9" t="s">
        <v>77</v>
      </c>
      <c r="E287" s="90" t="s">
        <v>23</v>
      </c>
      <c r="F287" s="9" t="s">
        <v>7</v>
      </c>
      <c r="G287" s="10"/>
      <c r="H287" s="9">
        <v>260439</v>
      </c>
      <c r="I287" s="11" t="s">
        <v>86</v>
      </c>
      <c r="J287" s="12">
        <v>46209</v>
      </c>
      <c r="K287" s="122">
        <v>46224</v>
      </c>
      <c r="L287" s="27">
        <v>70640</v>
      </c>
      <c r="M287" s="10" t="s">
        <v>7413</v>
      </c>
      <c r="N287" s="34">
        <f t="shared" ca="1" si="54"/>
        <v>31.463776388889528</v>
      </c>
      <c r="O287" s="10"/>
      <c r="P287" s="39"/>
      <c r="Q287" s="39"/>
      <c r="R287" s="39"/>
      <c r="S287" s="37">
        <f t="shared" si="55"/>
        <v>0</v>
      </c>
      <c r="T287" s="37">
        <f t="shared" si="56"/>
        <v>70640</v>
      </c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</row>
    <row r="288" spans="1:31">
      <c r="A288" s="277" t="s">
        <v>4786</v>
      </c>
      <c r="B288" s="9" t="s">
        <v>21</v>
      </c>
      <c r="C288" s="9">
        <v>2026</v>
      </c>
      <c r="D288" s="9" t="s">
        <v>77</v>
      </c>
      <c r="E288" s="90" t="s">
        <v>23</v>
      </c>
      <c r="F288" s="9" t="s">
        <v>7</v>
      </c>
      <c r="G288" s="10"/>
      <c r="H288" s="9">
        <v>260440</v>
      </c>
      <c r="I288" s="11" t="s">
        <v>86</v>
      </c>
      <c r="J288" s="12">
        <v>46209</v>
      </c>
      <c r="K288" s="122">
        <v>46224</v>
      </c>
      <c r="L288" s="27">
        <v>786546</v>
      </c>
      <c r="M288" s="10" t="s">
        <v>7414</v>
      </c>
      <c r="N288" s="34">
        <f t="shared" ca="1" si="54"/>
        <v>31.463776388889528</v>
      </c>
      <c r="O288" s="10"/>
      <c r="P288" s="39"/>
      <c r="Q288" s="39"/>
      <c r="R288" s="39"/>
      <c r="S288" s="37">
        <f t="shared" si="55"/>
        <v>0</v>
      </c>
      <c r="T288" s="37">
        <f t="shared" si="56"/>
        <v>786546</v>
      </c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</row>
    <row r="289" spans="1:31">
      <c r="A289" s="277" t="s">
        <v>4786</v>
      </c>
      <c r="B289" s="9" t="s">
        <v>21</v>
      </c>
      <c r="C289" s="9">
        <v>2026</v>
      </c>
      <c r="D289" s="9" t="s">
        <v>77</v>
      </c>
      <c r="E289" s="90" t="s">
        <v>23</v>
      </c>
      <c r="F289" s="9" t="s">
        <v>7</v>
      </c>
      <c r="G289" s="10"/>
      <c r="H289" s="9">
        <v>260438</v>
      </c>
      <c r="I289" s="11" t="s">
        <v>86</v>
      </c>
      <c r="J289" s="12">
        <v>46209</v>
      </c>
      <c r="K289" s="122">
        <v>46224</v>
      </c>
      <c r="L289" s="27">
        <v>621150</v>
      </c>
      <c r="M289" s="10" t="s">
        <v>7415</v>
      </c>
      <c r="N289" s="34">
        <f t="shared" ca="1" si="54"/>
        <v>31.463776388889528</v>
      </c>
      <c r="O289" s="10"/>
      <c r="P289" s="39"/>
      <c r="Q289" s="39"/>
      <c r="R289" s="39"/>
      <c r="S289" s="37">
        <f t="shared" si="55"/>
        <v>0</v>
      </c>
      <c r="T289" s="37">
        <f t="shared" si="56"/>
        <v>621150</v>
      </c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</row>
    <row r="290" spans="1:31">
      <c r="A290" s="277" t="s">
        <v>4786</v>
      </c>
      <c r="B290" s="9" t="s">
        <v>21</v>
      </c>
      <c r="C290" s="9">
        <v>2026</v>
      </c>
      <c r="D290" s="9" t="s">
        <v>77</v>
      </c>
      <c r="E290" s="90" t="s">
        <v>23</v>
      </c>
      <c r="F290" s="9" t="s">
        <v>7</v>
      </c>
      <c r="G290" s="10"/>
      <c r="H290" s="9">
        <v>260441</v>
      </c>
      <c r="I290" s="11" t="s">
        <v>86</v>
      </c>
      <c r="J290" s="12">
        <v>46209</v>
      </c>
      <c r="K290" s="122">
        <v>46224</v>
      </c>
      <c r="L290" s="27">
        <v>4895633</v>
      </c>
      <c r="M290" s="10" t="s">
        <v>7416</v>
      </c>
      <c r="N290" s="34">
        <f t="shared" ca="1" si="54"/>
        <v>31.463776388889528</v>
      </c>
      <c r="O290" s="10"/>
      <c r="P290" s="39"/>
      <c r="Q290" s="39"/>
      <c r="R290" s="39"/>
      <c r="S290" s="37">
        <f t="shared" si="55"/>
        <v>0</v>
      </c>
      <c r="T290" s="37">
        <f t="shared" si="56"/>
        <v>4895633</v>
      </c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</row>
    <row r="291" spans="1:31" ht="14.25" customHeight="1">
      <c r="A291" s="277" t="s">
        <v>4787</v>
      </c>
      <c r="B291" s="9" t="s">
        <v>21</v>
      </c>
      <c r="C291" s="9"/>
      <c r="D291" s="9"/>
      <c r="E291" s="90"/>
      <c r="F291" s="9"/>
      <c r="G291" s="10"/>
      <c r="H291" s="9"/>
      <c r="I291" s="11"/>
      <c r="J291" s="12"/>
      <c r="K291" s="12"/>
      <c r="L291" s="52"/>
      <c r="M291" s="10"/>
      <c r="N291" s="114">
        <f t="shared" ref="N291" ca="1" si="57">$J$3-J291</f>
        <v>46240.46377638889</v>
      </c>
      <c r="O291" s="11"/>
      <c r="P291" s="39"/>
      <c r="Q291" s="49"/>
      <c r="R291" s="49"/>
      <c r="S291" s="37">
        <f t="shared" ref="S291" si="58">IF(R291="",0,L291)</f>
        <v>0</v>
      </c>
      <c r="T291" s="37">
        <f t="shared" ref="T291" si="59">L291-S291</f>
        <v>0</v>
      </c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</row>
    <row r="292" spans="1:31" ht="14.25" customHeight="1">
      <c r="A292" s="277" t="s">
        <v>4788</v>
      </c>
      <c r="B292" s="9" t="s">
        <v>21</v>
      </c>
      <c r="C292" s="9"/>
      <c r="D292" s="9"/>
      <c r="E292" s="90"/>
      <c r="F292" s="9"/>
      <c r="G292" s="10"/>
      <c r="H292" s="9"/>
      <c r="I292" s="11"/>
      <c r="J292" s="12"/>
      <c r="K292" s="12"/>
      <c r="L292" s="52"/>
      <c r="M292" s="52"/>
      <c r="N292" s="9"/>
      <c r="O292" s="11"/>
      <c r="P292" s="39"/>
      <c r="Q292" s="39"/>
      <c r="R292" s="39"/>
      <c r="S292" s="37"/>
      <c r="T292" s="37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</row>
    <row r="293" spans="1:31">
      <c r="A293" s="277" t="s">
        <v>4789</v>
      </c>
      <c r="B293" s="9" t="s">
        <v>21</v>
      </c>
      <c r="C293" s="9"/>
      <c r="D293" s="9"/>
      <c r="E293" s="90"/>
      <c r="F293" s="9"/>
      <c r="G293" s="94" t="s">
        <v>24</v>
      </c>
      <c r="H293" s="95" t="s">
        <v>156</v>
      </c>
      <c r="I293" s="104"/>
      <c r="J293" s="105"/>
      <c r="K293" s="105"/>
      <c r="L293" s="106">
        <f>SUM(L294:L455)</f>
        <v>1094073848</v>
      </c>
      <c r="M293" s="107"/>
      <c r="N293" s="108" t="s">
        <v>26</v>
      </c>
      <c r="O293" s="108"/>
      <c r="P293" s="108"/>
      <c r="Q293" s="108"/>
      <c r="R293" s="108"/>
      <c r="S293" s="106">
        <f>SUM(S294:S455)</f>
        <v>1050768959</v>
      </c>
      <c r="T293" s="106">
        <f>SUM(T294:T455)</f>
        <v>43304889</v>
      </c>
      <c r="U293" s="10"/>
      <c r="V293" s="52">
        <f>L293-S293</f>
        <v>43304889</v>
      </c>
      <c r="W293" s="52">
        <f>T293-V293</f>
        <v>0</v>
      </c>
      <c r="X293" s="10"/>
      <c r="Y293" s="10"/>
      <c r="Z293" s="10"/>
      <c r="AA293" s="10"/>
      <c r="AB293" s="10"/>
      <c r="AC293" s="10"/>
      <c r="AD293" s="10"/>
      <c r="AE293" s="10"/>
    </row>
    <row r="294" spans="1:31" hidden="1">
      <c r="A294" s="277" t="s">
        <v>4790</v>
      </c>
      <c r="B294" s="9" t="s">
        <v>21</v>
      </c>
      <c r="C294" s="9">
        <v>2025</v>
      </c>
      <c r="D294" s="9" t="s">
        <v>27</v>
      </c>
      <c r="E294" s="90" t="s">
        <v>23</v>
      </c>
      <c r="F294" s="9" t="s">
        <v>7</v>
      </c>
      <c r="G294" s="120"/>
      <c r="H294" s="121">
        <v>250067</v>
      </c>
      <c r="I294" s="121" t="s">
        <v>156</v>
      </c>
      <c r="J294" s="115">
        <v>45675</v>
      </c>
      <c r="K294" s="110">
        <v>45682</v>
      </c>
      <c r="L294" s="111">
        <v>1380680</v>
      </c>
      <c r="M294" s="109" t="s">
        <v>157</v>
      </c>
      <c r="N294" s="34" t="s">
        <v>29</v>
      </c>
      <c r="O294" s="125">
        <f>SUM(L294:L304)</f>
        <v>33283722</v>
      </c>
      <c r="P294" s="113">
        <v>45710</v>
      </c>
      <c r="Q294" s="113">
        <v>45710</v>
      </c>
      <c r="R294" s="113">
        <v>45710</v>
      </c>
      <c r="S294" s="37">
        <f t="shared" ref="S294:S304" si="60">IF(R294="",0,L294)</f>
        <v>1380680</v>
      </c>
      <c r="T294" s="37">
        <f t="shared" ref="T294:T304" si="61">L294-S294</f>
        <v>0</v>
      </c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</row>
    <row r="295" spans="1:31" hidden="1">
      <c r="A295" s="277" t="s">
        <v>4791</v>
      </c>
      <c r="B295" s="9" t="s">
        <v>21</v>
      </c>
      <c r="C295" s="9">
        <v>2025</v>
      </c>
      <c r="D295" s="9" t="s">
        <v>27</v>
      </c>
      <c r="E295" s="90" t="s">
        <v>23</v>
      </c>
      <c r="F295" s="9" t="s">
        <v>7</v>
      </c>
      <c r="G295" s="120"/>
      <c r="H295" s="121">
        <v>250070</v>
      </c>
      <c r="I295" s="121" t="s">
        <v>156</v>
      </c>
      <c r="J295" s="115">
        <v>45678</v>
      </c>
      <c r="K295" s="110">
        <v>45682</v>
      </c>
      <c r="L295" s="111">
        <v>733300</v>
      </c>
      <c r="M295" s="109" t="s">
        <v>158</v>
      </c>
      <c r="N295" s="34" t="s">
        <v>29</v>
      </c>
      <c r="O295" s="11"/>
      <c r="P295" s="113">
        <v>45710</v>
      </c>
      <c r="Q295" s="113">
        <v>45710</v>
      </c>
      <c r="R295" s="113">
        <v>45710</v>
      </c>
      <c r="S295" s="37">
        <f t="shared" si="60"/>
        <v>733300</v>
      </c>
      <c r="T295" s="37">
        <f t="shared" si="61"/>
        <v>0</v>
      </c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</row>
    <row r="296" spans="1:31" hidden="1">
      <c r="A296" s="277" t="s">
        <v>4792</v>
      </c>
      <c r="B296" s="9" t="s">
        <v>21</v>
      </c>
      <c r="C296" s="9">
        <v>2025</v>
      </c>
      <c r="D296" s="9" t="s">
        <v>27</v>
      </c>
      <c r="E296" s="90" t="s">
        <v>23</v>
      </c>
      <c r="F296" s="9" t="s">
        <v>7</v>
      </c>
      <c r="G296" s="120"/>
      <c r="H296" s="121">
        <v>250071</v>
      </c>
      <c r="I296" s="121" t="s">
        <v>156</v>
      </c>
      <c r="J296" s="115">
        <v>45678</v>
      </c>
      <c r="K296" s="110">
        <v>45682</v>
      </c>
      <c r="L296" s="111">
        <v>3293250</v>
      </c>
      <c r="M296" s="109" t="s">
        <v>159</v>
      </c>
      <c r="N296" s="34" t="s">
        <v>29</v>
      </c>
      <c r="O296" s="11"/>
      <c r="P296" s="113">
        <v>45710</v>
      </c>
      <c r="Q296" s="113">
        <v>45710</v>
      </c>
      <c r="R296" s="113">
        <v>45710</v>
      </c>
      <c r="S296" s="37">
        <f t="shared" si="60"/>
        <v>3293250</v>
      </c>
      <c r="T296" s="37">
        <f t="shared" si="61"/>
        <v>0</v>
      </c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</row>
    <row r="297" spans="1:31" hidden="1">
      <c r="A297" s="277" t="s">
        <v>4793</v>
      </c>
      <c r="B297" s="9" t="s">
        <v>21</v>
      </c>
      <c r="C297" s="9">
        <v>2025</v>
      </c>
      <c r="D297" s="9" t="s">
        <v>27</v>
      </c>
      <c r="E297" s="90" t="s">
        <v>23</v>
      </c>
      <c r="F297" s="9" t="s">
        <v>7</v>
      </c>
      <c r="G297" s="120"/>
      <c r="H297" s="121">
        <v>250088</v>
      </c>
      <c r="I297" s="121" t="s">
        <v>156</v>
      </c>
      <c r="J297" s="115">
        <v>45679</v>
      </c>
      <c r="K297" s="110">
        <v>45682</v>
      </c>
      <c r="L297" s="111">
        <v>4737525</v>
      </c>
      <c r="M297" s="109" t="s">
        <v>160</v>
      </c>
      <c r="N297" s="34" t="s">
        <v>29</v>
      </c>
      <c r="O297" s="11"/>
      <c r="P297" s="113">
        <v>45710</v>
      </c>
      <c r="Q297" s="113">
        <v>45710</v>
      </c>
      <c r="R297" s="113">
        <v>45710</v>
      </c>
      <c r="S297" s="37">
        <f t="shared" si="60"/>
        <v>4737525</v>
      </c>
      <c r="T297" s="37">
        <f t="shared" si="61"/>
        <v>0</v>
      </c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</row>
    <row r="298" spans="1:31" hidden="1">
      <c r="A298" s="277" t="s">
        <v>4794</v>
      </c>
      <c r="B298" s="9" t="s">
        <v>21</v>
      </c>
      <c r="C298" s="9">
        <v>2025</v>
      </c>
      <c r="D298" s="9" t="s">
        <v>27</v>
      </c>
      <c r="E298" s="90" t="s">
        <v>23</v>
      </c>
      <c r="F298" s="9" t="s">
        <v>7</v>
      </c>
      <c r="G298" s="120"/>
      <c r="H298" s="121">
        <v>250087</v>
      </c>
      <c r="I298" s="121" t="s">
        <v>156</v>
      </c>
      <c r="J298" s="115">
        <v>45679</v>
      </c>
      <c r="K298" s="110">
        <v>45682</v>
      </c>
      <c r="L298" s="111">
        <v>2383150</v>
      </c>
      <c r="M298" s="109" t="s">
        <v>161</v>
      </c>
      <c r="N298" s="34" t="s">
        <v>29</v>
      </c>
      <c r="O298" s="11"/>
      <c r="P298" s="113">
        <v>45710</v>
      </c>
      <c r="Q298" s="113">
        <v>45710</v>
      </c>
      <c r="R298" s="113">
        <v>45710</v>
      </c>
      <c r="S298" s="37">
        <f t="shared" si="60"/>
        <v>2383150</v>
      </c>
      <c r="T298" s="37">
        <f t="shared" si="61"/>
        <v>0</v>
      </c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</row>
    <row r="299" spans="1:31" hidden="1">
      <c r="A299" s="277" t="s">
        <v>4795</v>
      </c>
      <c r="B299" s="9" t="s">
        <v>21</v>
      </c>
      <c r="C299" s="9">
        <v>2025</v>
      </c>
      <c r="D299" s="9" t="s">
        <v>27</v>
      </c>
      <c r="E299" s="90" t="s">
        <v>23</v>
      </c>
      <c r="F299" s="9" t="s">
        <v>7</v>
      </c>
      <c r="G299" s="120"/>
      <c r="H299" s="121">
        <v>250086</v>
      </c>
      <c r="I299" s="121" t="s">
        <v>156</v>
      </c>
      <c r="J299" s="115">
        <v>45679</v>
      </c>
      <c r="K299" s="110">
        <v>45682</v>
      </c>
      <c r="L299" s="111">
        <v>5334200</v>
      </c>
      <c r="M299" s="109" t="s">
        <v>162</v>
      </c>
      <c r="N299" s="34" t="s">
        <v>29</v>
      </c>
      <c r="O299" s="11"/>
      <c r="P299" s="113">
        <v>45710</v>
      </c>
      <c r="Q299" s="113">
        <v>45710</v>
      </c>
      <c r="R299" s="113">
        <v>45710</v>
      </c>
      <c r="S299" s="37">
        <f t="shared" si="60"/>
        <v>5334200</v>
      </c>
      <c r="T299" s="37">
        <f t="shared" si="61"/>
        <v>0</v>
      </c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</row>
    <row r="300" spans="1:31" hidden="1">
      <c r="A300" s="277" t="s">
        <v>4796</v>
      </c>
      <c r="B300" s="9" t="s">
        <v>21</v>
      </c>
      <c r="C300" s="9">
        <v>2025</v>
      </c>
      <c r="D300" s="9" t="s">
        <v>27</v>
      </c>
      <c r="E300" s="90" t="s">
        <v>23</v>
      </c>
      <c r="F300" s="9" t="s">
        <v>7</v>
      </c>
      <c r="G300" s="120"/>
      <c r="H300" s="121">
        <v>250099</v>
      </c>
      <c r="I300" s="121" t="s">
        <v>156</v>
      </c>
      <c r="J300" s="115">
        <v>45680</v>
      </c>
      <c r="K300" s="110">
        <v>45682</v>
      </c>
      <c r="L300" s="111">
        <v>797150</v>
      </c>
      <c r="M300" s="109" t="s">
        <v>163</v>
      </c>
      <c r="N300" s="34" t="s">
        <v>29</v>
      </c>
      <c r="O300" s="11"/>
      <c r="P300" s="113">
        <v>45710</v>
      </c>
      <c r="Q300" s="113">
        <v>45710</v>
      </c>
      <c r="R300" s="113">
        <v>45710</v>
      </c>
      <c r="S300" s="37">
        <f t="shared" si="60"/>
        <v>797150</v>
      </c>
      <c r="T300" s="37">
        <f t="shared" si="61"/>
        <v>0</v>
      </c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</row>
    <row r="301" spans="1:31" hidden="1">
      <c r="A301" s="277" t="s">
        <v>4797</v>
      </c>
      <c r="B301" s="9" t="s">
        <v>21</v>
      </c>
      <c r="C301" s="9">
        <v>2025</v>
      </c>
      <c r="D301" s="9" t="s">
        <v>27</v>
      </c>
      <c r="E301" s="90" t="s">
        <v>23</v>
      </c>
      <c r="F301" s="9" t="s">
        <v>7</v>
      </c>
      <c r="G301" s="120"/>
      <c r="H301" s="121">
        <v>250098</v>
      </c>
      <c r="I301" s="121" t="s">
        <v>156</v>
      </c>
      <c r="J301" s="115">
        <v>45680</v>
      </c>
      <c r="K301" s="110">
        <v>45682</v>
      </c>
      <c r="L301" s="111">
        <v>2825450</v>
      </c>
      <c r="M301" s="109" t="s">
        <v>164</v>
      </c>
      <c r="N301" s="34" t="s">
        <v>29</v>
      </c>
      <c r="O301" s="11"/>
      <c r="P301" s="113">
        <v>45710</v>
      </c>
      <c r="Q301" s="113">
        <v>45710</v>
      </c>
      <c r="R301" s="113">
        <v>45710</v>
      </c>
      <c r="S301" s="37">
        <f t="shared" si="60"/>
        <v>2825450</v>
      </c>
      <c r="T301" s="37">
        <f t="shared" si="61"/>
        <v>0</v>
      </c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</row>
    <row r="302" spans="1:31" hidden="1">
      <c r="A302" s="277" t="s">
        <v>4798</v>
      </c>
      <c r="B302" s="9" t="s">
        <v>21</v>
      </c>
      <c r="C302" s="9">
        <v>2025</v>
      </c>
      <c r="D302" s="9" t="s">
        <v>27</v>
      </c>
      <c r="E302" s="90" t="s">
        <v>23</v>
      </c>
      <c r="F302" s="9" t="s">
        <v>7</v>
      </c>
      <c r="G302" s="120"/>
      <c r="H302" s="121">
        <v>250097</v>
      </c>
      <c r="I302" s="121" t="s">
        <v>156</v>
      </c>
      <c r="J302" s="115">
        <v>45680</v>
      </c>
      <c r="K302" s="110">
        <v>45682</v>
      </c>
      <c r="L302" s="111">
        <v>2887500</v>
      </c>
      <c r="M302" s="109" t="s">
        <v>165</v>
      </c>
      <c r="N302" s="34" t="s">
        <v>29</v>
      </c>
      <c r="O302" s="11"/>
      <c r="P302" s="113">
        <v>45710</v>
      </c>
      <c r="Q302" s="113">
        <v>45710</v>
      </c>
      <c r="R302" s="113">
        <v>45710</v>
      </c>
      <c r="S302" s="37">
        <f t="shared" si="60"/>
        <v>2887500</v>
      </c>
      <c r="T302" s="37">
        <f t="shared" si="61"/>
        <v>0</v>
      </c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</row>
    <row r="303" spans="1:31" hidden="1">
      <c r="A303" s="277" t="s">
        <v>4799</v>
      </c>
      <c r="B303" s="9" t="s">
        <v>21</v>
      </c>
      <c r="C303" s="9">
        <v>2025</v>
      </c>
      <c r="D303" s="9" t="s">
        <v>27</v>
      </c>
      <c r="E303" s="90" t="s">
        <v>23</v>
      </c>
      <c r="F303" s="9" t="s">
        <v>7</v>
      </c>
      <c r="G303" s="120"/>
      <c r="H303" s="121">
        <v>250105</v>
      </c>
      <c r="I303" s="121" t="s">
        <v>156</v>
      </c>
      <c r="J303" s="115">
        <v>45685</v>
      </c>
      <c r="K303" s="110">
        <v>45694</v>
      </c>
      <c r="L303" s="111">
        <v>4060967</v>
      </c>
      <c r="M303" s="109" t="s">
        <v>166</v>
      </c>
      <c r="N303" s="34" t="s">
        <v>29</v>
      </c>
      <c r="O303" s="11"/>
      <c r="P303" s="113">
        <v>45710</v>
      </c>
      <c r="Q303" s="113">
        <v>45710</v>
      </c>
      <c r="R303" s="113">
        <v>45710</v>
      </c>
      <c r="S303" s="37">
        <f t="shared" si="60"/>
        <v>4060967</v>
      </c>
      <c r="T303" s="37">
        <f t="shared" si="61"/>
        <v>0</v>
      </c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</row>
    <row r="304" spans="1:31" hidden="1">
      <c r="A304" s="277" t="s">
        <v>4800</v>
      </c>
      <c r="B304" s="9" t="s">
        <v>21</v>
      </c>
      <c r="C304" s="9">
        <v>2025</v>
      </c>
      <c r="D304" s="9" t="s">
        <v>27</v>
      </c>
      <c r="E304" s="90" t="s">
        <v>23</v>
      </c>
      <c r="F304" s="9" t="s">
        <v>7</v>
      </c>
      <c r="G304" s="120"/>
      <c r="H304" s="121">
        <v>250086</v>
      </c>
      <c r="I304" s="121" t="s">
        <v>156</v>
      </c>
      <c r="J304" s="115">
        <v>45687</v>
      </c>
      <c r="K304" s="110">
        <v>45694</v>
      </c>
      <c r="L304" s="111">
        <v>4850550</v>
      </c>
      <c r="M304" s="109" t="s">
        <v>167</v>
      </c>
      <c r="N304" s="34" t="s">
        <v>29</v>
      </c>
      <c r="O304" s="11"/>
      <c r="P304" s="113">
        <v>45710</v>
      </c>
      <c r="Q304" s="113">
        <v>45710</v>
      </c>
      <c r="R304" s="113">
        <v>45710</v>
      </c>
      <c r="S304" s="37">
        <f t="shared" si="60"/>
        <v>4850550</v>
      </c>
      <c r="T304" s="37">
        <f t="shared" si="61"/>
        <v>0</v>
      </c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</row>
    <row r="305" spans="1:31" hidden="1">
      <c r="A305" s="277" t="s">
        <v>4801</v>
      </c>
      <c r="B305" s="9" t="s">
        <v>21</v>
      </c>
      <c r="C305" s="9">
        <v>2025</v>
      </c>
      <c r="D305" s="9" t="s">
        <v>27</v>
      </c>
      <c r="E305" s="90" t="s">
        <v>23</v>
      </c>
      <c r="F305" s="9" t="s">
        <v>7</v>
      </c>
      <c r="G305" s="120"/>
      <c r="H305" s="121">
        <v>250115</v>
      </c>
      <c r="I305" s="121" t="s">
        <v>156</v>
      </c>
      <c r="J305" s="115">
        <v>45688</v>
      </c>
      <c r="K305" s="110">
        <v>45701</v>
      </c>
      <c r="L305" s="111">
        <v>610500</v>
      </c>
      <c r="M305" s="109" t="s">
        <v>168</v>
      </c>
      <c r="N305" s="34" t="s">
        <v>29</v>
      </c>
      <c r="O305" s="125">
        <f>SUM(L305:L325)</f>
        <v>64531640</v>
      </c>
      <c r="P305" s="113">
        <v>45741</v>
      </c>
      <c r="Q305" s="113">
        <v>45741</v>
      </c>
      <c r="R305" s="113">
        <v>45741</v>
      </c>
      <c r="S305" s="37">
        <f t="shared" ref="S305:S321" si="62">IF(R305="",0,L305)</f>
        <v>610500</v>
      </c>
      <c r="T305" s="37">
        <f t="shared" ref="T305:T321" si="63">L305-S305</f>
        <v>0</v>
      </c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</row>
    <row r="306" spans="1:31" hidden="1">
      <c r="A306" s="277" t="s">
        <v>4802</v>
      </c>
      <c r="B306" s="9" t="s">
        <v>21</v>
      </c>
      <c r="C306" s="9">
        <v>2025</v>
      </c>
      <c r="D306" s="9" t="s">
        <v>27</v>
      </c>
      <c r="E306" s="90" t="s">
        <v>23</v>
      </c>
      <c r="F306" s="9" t="s">
        <v>7</v>
      </c>
      <c r="G306" s="120"/>
      <c r="H306" s="121">
        <v>2501212</v>
      </c>
      <c r="I306" s="121" t="s">
        <v>156</v>
      </c>
      <c r="J306" s="115">
        <v>45691</v>
      </c>
      <c r="K306" s="110">
        <v>45701</v>
      </c>
      <c r="L306" s="111">
        <v>9394425</v>
      </c>
      <c r="M306" s="109" t="s">
        <v>169</v>
      </c>
      <c r="N306" s="34" t="s">
        <v>29</v>
      </c>
      <c r="O306" s="11"/>
      <c r="P306" s="113">
        <v>45741</v>
      </c>
      <c r="Q306" s="113">
        <v>45741</v>
      </c>
      <c r="R306" s="113">
        <v>45741</v>
      </c>
      <c r="S306" s="37">
        <f t="shared" si="62"/>
        <v>9394425</v>
      </c>
      <c r="T306" s="37">
        <f t="shared" si="63"/>
        <v>0</v>
      </c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</row>
    <row r="307" spans="1:31" hidden="1">
      <c r="A307" s="277" t="s">
        <v>4803</v>
      </c>
      <c r="B307" s="9" t="s">
        <v>21</v>
      </c>
      <c r="C307" s="9">
        <v>2025</v>
      </c>
      <c r="D307" s="9" t="s">
        <v>27</v>
      </c>
      <c r="E307" s="90" t="s">
        <v>23</v>
      </c>
      <c r="F307" s="9" t="s">
        <v>7</v>
      </c>
      <c r="G307" s="120"/>
      <c r="H307" s="121">
        <v>250123</v>
      </c>
      <c r="I307" s="121" t="s">
        <v>156</v>
      </c>
      <c r="J307" s="115">
        <v>45692</v>
      </c>
      <c r="K307" s="110">
        <v>45701</v>
      </c>
      <c r="L307" s="111">
        <v>1293860</v>
      </c>
      <c r="M307" s="109" t="s">
        <v>170</v>
      </c>
      <c r="N307" s="34" t="s">
        <v>29</v>
      </c>
      <c r="O307" s="11"/>
      <c r="P307" s="113">
        <v>45741</v>
      </c>
      <c r="Q307" s="113">
        <v>45741</v>
      </c>
      <c r="R307" s="113">
        <v>45741</v>
      </c>
      <c r="S307" s="37">
        <f t="shared" si="62"/>
        <v>1293860</v>
      </c>
      <c r="T307" s="37">
        <f t="shared" si="63"/>
        <v>0</v>
      </c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</row>
    <row r="308" spans="1:31" hidden="1">
      <c r="A308" s="277" t="s">
        <v>4804</v>
      </c>
      <c r="B308" s="9" t="s">
        <v>21</v>
      </c>
      <c r="C308" s="9">
        <v>2025</v>
      </c>
      <c r="D308" s="9" t="s">
        <v>27</v>
      </c>
      <c r="E308" s="90" t="s">
        <v>23</v>
      </c>
      <c r="F308" s="9" t="s">
        <v>7</v>
      </c>
      <c r="G308" s="120"/>
      <c r="H308" s="121">
        <v>250122</v>
      </c>
      <c r="I308" s="121" t="s">
        <v>156</v>
      </c>
      <c r="J308" s="115">
        <v>45692</v>
      </c>
      <c r="K308" s="110">
        <v>45701</v>
      </c>
      <c r="L308" s="111">
        <v>1572500</v>
      </c>
      <c r="M308" s="109" t="s">
        <v>171</v>
      </c>
      <c r="N308" s="34" t="s">
        <v>29</v>
      </c>
      <c r="O308" s="11"/>
      <c r="P308" s="113">
        <v>45741</v>
      </c>
      <c r="Q308" s="113">
        <v>45741</v>
      </c>
      <c r="R308" s="113">
        <v>45741</v>
      </c>
      <c r="S308" s="37">
        <f t="shared" si="62"/>
        <v>1572500</v>
      </c>
      <c r="T308" s="37">
        <f t="shared" si="63"/>
        <v>0</v>
      </c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</row>
    <row r="309" spans="1:31" hidden="1">
      <c r="A309" s="277" t="s">
        <v>4805</v>
      </c>
      <c r="B309" s="9" t="s">
        <v>21</v>
      </c>
      <c r="C309" s="9">
        <v>2025</v>
      </c>
      <c r="D309" s="9" t="s">
        <v>27</v>
      </c>
      <c r="E309" s="90" t="s">
        <v>23</v>
      </c>
      <c r="F309" s="9" t="s">
        <v>7</v>
      </c>
      <c r="G309" s="120"/>
      <c r="H309" s="121">
        <v>250124</v>
      </c>
      <c r="I309" s="121" t="s">
        <v>156</v>
      </c>
      <c r="J309" s="115">
        <v>45692</v>
      </c>
      <c r="K309" s="110">
        <v>45701</v>
      </c>
      <c r="L309" s="111">
        <v>1013133</v>
      </c>
      <c r="M309" s="109" t="s">
        <v>172</v>
      </c>
      <c r="N309" s="34" t="s">
        <v>29</v>
      </c>
      <c r="O309" s="11"/>
      <c r="P309" s="113">
        <v>45741</v>
      </c>
      <c r="Q309" s="113">
        <v>45741</v>
      </c>
      <c r="R309" s="113">
        <v>45741</v>
      </c>
      <c r="S309" s="37">
        <f t="shared" si="62"/>
        <v>1013133</v>
      </c>
      <c r="T309" s="37">
        <f t="shared" si="63"/>
        <v>0</v>
      </c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</row>
    <row r="310" spans="1:31" hidden="1">
      <c r="A310" s="277" t="s">
        <v>4806</v>
      </c>
      <c r="B310" s="9" t="s">
        <v>21</v>
      </c>
      <c r="C310" s="9">
        <v>2025</v>
      </c>
      <c r="D310" s="9" t="s">
        <v>27</v>
      </c>
      <c r="E310" s="90" t="s">
        <v>23</v>
      </c>
      <c r="F310" s="9" t="s">
        <v>7</v>
      </c>
      <c r="G310" s="120"/>
      <c r="H310" s="121">
        <v>250142</v>
      </c>
      <c r="I310" s="121" t="s">
        <v>156</v>
      </c>
      <c r="J310" s="115">
        <v>45694</v>
      </c>
      <c r="K310" s="110">
        <v>45701</v>
      </c>
      <c r="L310" s="111">
        <v>605100</v>
      </c>
      <c r="M310" s="109" t="s">
        <v>173</v>
      </c>
      <c r="N310" s="34" t="s">
        <v>29</v>
      </c>
      <c r="O310" s="11"/>
      <c r="P310" s="113">
        <v>45741</v>
      </c>
      <c r="Q310" s="113">
        <v>45741</v>
      </c>
      <c r="R310" s="113">
        <v>45741</v>
      </c>
      <c r="S310" s="37">
        <f t="shared" si="62"/>
        <v>605100</v>
      </c>
      <c r="T310" s="37">
        <f t="shared" si="63"/>
        <v>0</v>
      </c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</row>
    <row r="311" spans="1:31" hidden="1">
      <c r="A311" s="277" t="s">
        <v>4807</v>
      </c>
      <c r="B311" s="9" t="s">
        <v>21</v>
      </c>
      <c r="C311" s="9">
        <v>2025</v>
      </c>
      <c r="D311" s="9" t="s">
        <v>27</v>
      </c>
      <c r="E311" s="90" t="s">
        <v>23</v>
      </c>
      <c r="F311" s="9" t="s">
        <v>7</v>
      </c>
      <c r="G311" s="120"/>
      <c r="H311" s="121">
        <v>250141</v>
      </c>
      <c r="I311" s="121" t="s">
        <v>156</v>
      </c>
      <c r="J311" s="115">
        <v>45694</v>
      </c>
      <c r="K311" s="110">
        <v>45701</v>
      </c>
      <c r="L311" s="111">
        <v>5665000</v>
      </c>
      <c r="M311" s="109" t="s">
        <v>174</v>
      </c>
      <c r="N311" s="34" t="s">
        <v>29</v>
      </c>
      <c r="O311" s="11"/>
      <c r="P311" s="113">
        <v>45741</v>
      </c>
      <c r="Q311" s="113">
        <v>45741</v>
      </c>
      <c r="R311" s="113">
        <v>45741</v>
      </c>
      <c r="S311" s="37">
        <f t="shared" si="62"/>
        <v>5665000</v>
      </c>
      <c r="T311" s="37">
        <f t="shared" si="63"/>
        <v>0</v>
      </c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</row>
    <row r="312" spans="1:31" hidden="1">
      <c r="A312" s="277" t="s">
        <v>4808</v>
      </c>
      <c r="B312" s="9" t="s">
        <v>21</v>
      </c>
      <c r="C312" s="9">
        <v>2025</v>
      </c>
      <c r="D312" s="9" t="s">
        <v>27</v>
      </c>
      <c r="E312" s="90" t="s">
        <v>23</v>
      </c>
      <c r="F312" s="9" t="s">
        <v>7</v>
      </c>
      <c r="G312" s="120"/>
      <c r="H312" s="121">
        <v>250146</v>
      </c>
      <c r="I312" s="121" t="s">
        <v>156</v>
      </c>
      <c r="J312" s="115">
        <v>45696</v>
      </c>
      <c r="K312" s="110">
        <v>45701</v>
      </c>
      <c r="L312" s="111">
        <v>3563100</v>
      </c>
      <c r="M312" s="109" t="s">
        <v>175</v>
      </c>
      <c r="N312" s="34" t="s">
        <v>29</v>
      </c>
      <c r="O312" s="11"/>
      <c r="P312" s="113">
        <v>45741</v>
      </c>
      <c r="Q312" s="113">
        <v>45741</v>
      </c>
      <c r="R312" s="113">
        <v>45741</v>
      </c>
      <c r="S312" s="37">
        <f t="shared" si="62"/>
        <v>3563100</v>
      </c>
      <c r="T312" s="37">
        <f t="shared" si="63"/>
        <v>0</v>
      </c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</row>
    <row r="313" spans="1:31" hidden="1">
      <c r="A313" s="277" t="s">
        <v>4809</v>
      </c>
      <c r="B313" s="9" t="s">
        <v>21</v>
      </c>
      <c r="C313" s="9">
        <v>2025</v>
      </c>
      <c r="D313" s="9" t="s">
        <v>27</v>
      </c>
      <c r="E313" s="90" t="s">
        <v>23</v>
      </c>
      <c r="F313" s="9" t="s">
        <v>7</v>
      </c>
      <c r="G313" s="120"/>
      <c r="H313" s="121">
        <v>250145</v>
      </c>
      <c r="I313" s="121" t="s">
        <v>156</v>
      </c>
      <c r="J313" s="115">
        <v>45696</v>
      </c>
      <c r="K313" s="110">
        <v>45701</v>
      </c>
      <c r="L313" s="111">
        <v>2599376</v>
      </c>
      <c r="M313" s="109" t="s">
        <v>176</v>
      </c>
      <c r="N313" s="34" t="s">
        <v>29</v>
      </c>
      <c r="O313" s="11"/>
      <c r="P313" s="113">
        <v>45741</v>
      </c>
      <c r="Q313" s="113">
        <v>45741</v>
      </c>
      <c r="R313" s="113">
        <v>45741</v>
      </c>
      <c r="S313" s="37">
        <f t="shared" si="62"/>
        <v>2599376</v>
      </c>
      <c r="T313" s="37">
        <f t="shared" si="63"/>
        <v>0</v>
      </c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</row>
    <row r="314" spans="1:31" hidden="1">
      <c r="A314" s="277" t="s">
        <v>4810</v>
      </c>
      <c r="B314" s="9" t="s">
        <v>21</v>
      </c>
      <c r="C314" s="9">
        <v>2025</v>
      </c>
      <c r="D314" s="9" t="s">
        <v>27</v>
      </c>
      <c r="E314" s="90" t="s">
        <v>23</v>
      </c>
      <c r="F314" s="9" t="s">
        <v>7</v>
      </c>
      <c r="G314" s="120"/>
      <c r="H314" s="121">
        <v>250154</v>
      </c>
      <c r="I314" s="121" t="s">
        <v>156</v>
      </c>
      <c r="J314" s="115">
        <v>45700</v>
      </c>
      <c r="K314" s="110">
        <v>45708</v>
      </c>
      <c r="L314" s="111">
        <v>993000</v>
      </c>
      <c r="M314" s="109" t="s">
        <v>177</v>
      </c>
      <c r="N314" s="34" t="s">
        <v>29</v>
      </c>
      <c r="O314" s="11"/>
      <c r="P314" s="113">
        <v>45741</v>
      </c>
      <c r="Q314" s="113">
        <v>45741</v>
      </c>
      <c r="R314" s="113">
        <v>45741</v>
      </c>
      <c r="S314" s="37">
        <f t="shared" si="62"/>
        <v>993000</v>
      </c>
      <c r="T314" s="37">
        <f t="shared" si="63"/>
        <v>0</v>
      </c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</row>
    <row r="315" spans="1:31" hidden="1">
      <c r="A315" s="277" t="s">
        <v>4811</v>
      </c>
      <c r="B315" s="9" t="s">
        <v>21</v>
      </c>
      <c r="C315" s="9">
        <v>2025</v>
      </c>
      <c r="D315" s="9" t="s">
        <v>27</v>
      </c>
      <c r="E315" s="90" t="s">
        <v>23</v>
      </c>
      <c r="F315" s="9" t="s">
        <v>7</v>
      </c>
      <c r="G315" s="120"/>
      <c r="H315" s="121">
        <v>250160</v>
      </c>
      <c r="I315" s="121" t="s">
        <v>156</v>
      </c>
      <c r="J315" s="115">
        <v>45701</v>
      </c>
      <c r="K315" s="110">
        <v>45708</v>
      </c>
      <c r="L315" s="111">
        <v>1695270</v>
      </c>
      <c r="M315" s="109" t="s">
        <v>178</v>
      </c>
      <c r="N315" s="34" t="s">
        <v>29</v>
      </c>
      <c r="O315" s="11"/>
      <c r="P315" s="113">
        <v>45741</v>
      </c>
      <c r="Q315" s="113">
        <v>45741</v>
      </c>
      <c r="R315" s="113">
        <v>45741</v>
      </c>
      <c r="S315" s="37">
        <f t="shared" si="62"/>
        <v>1695270</v>
      </c>
      <c r="T315" s="37">
        <f t="shared" si="63"/>
        <v>0</v>
      </c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</row>
    <row r="316" spans="1:31" hidden="1">
      <c r="A316" s="277" t="s">
        <v>4812</v>
      </c>
      <c r="B316" s="9" t="s">
        <v>21</v>
      </c>
      <c r="C316" s="9">
        <v>2025</v>
      </c>
      <c r="D316" s="9" t="s">
        <v>27</v>
      </c>
      <c r="E316" s="90" t="s">
        <v>23</v>
      </c>
      <c r="F316" s="9" t="s">
        <v>7</v>
      </c>
      <c r="G316" s="120"/>
      <c r="H316" s="121">
        <v>250161</v>
      </c>
      <c r="I316" s="121" t="s">
        <v>156</v>
      </c>
      <c r="J316" s="115">
        <v>45701</v>
      </c>
      <c r="K316" s="110">
        <v>45708</v>
      </c>
      <c r="L316" s="111">
        <v>4009000</v>
      </c>
      <c r="M316" s="109" t="s">
        <v>179</v>
      </c>
      <c r="N316" s="34" t="s">
        <v>29</v>
      </c>
      <c r="O316" s="11"/>
      <c r="P316" s="113">
        <v>45741</v>
      </c>
      <c r="Q316" s="113">
        <v>45741</v>
      </c>
      <c r="R316" s="113">
        <v>45741</v>
      </c>
      <c r="S316" s="37">
        <f t="shared" si="62"/>
        <v>4009000</v>
      </c>
      <c r="T316" s="37">
        <f t="shared" si="63"/>
        <v>0</v>
      </c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</row>
    <row r="317" spans="1:31" hidden="1">
      <c r="A317" s="277" t="s">
        <v>4813</v>
      </c>
      <c r="B317" s="9" t="s">
        <v>21</v>
      </c>
      <c r="C317" s="9">
        <v>2025</v>
      </c>
      <c r="D317" s="9" t="s">
        <v>27</v>
      </c>
      <c r="E317" s="90" t="s">
        <v>23</v>
      </c>
      <c r="F317" s="9" t="s">
        <v>7</v>
      </c>
      <c r="G317" s="120"/>
      <c r="H317" s="121">
        <v>250165</v>
      </c>
      <c r="I317" s="121" t="s">
        <v>156</v>
      </c>
      <c r="J317" s="115">
        <v>45702</v>
      </c>
      <c r="K317" s="110">
        <v>45708</v>
      </c>
      <c r="L317" s="111">
        <v>3154000</v>
      </c>
      <c r="M317" s="109" t="s">
        <v>180</v>
      </c>
      <c r="N317" s="34" t="s">
        <v>29</v>
      </c>
      <c r="O317" s="11"/>
      <c r="P317" s="113">
        <v>45741</v>
      </c>
      <c r="Q317" s="113">
        <v>45741</v>
      </c>
      <c r="R317" s="113">
        <v>45741</v>
      </c>
      <c r="S317" s="37">
        <f t="shared" si="62"/>
        <v>3154000</v>
      </c>
      <c r="T317" s="37">
        <f t="shared" si="63"/>
        <v>0</v>
      </c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</row>
    <row r="318" spans="1:31" hidden="1">
      <c r="A318" s="277" t="s">
        <v>4814</v>
      </c>
      <c r="B318" s="9" t="s">
        <v>21</v>
      </c>
      <c r="C318" s="9">
        <v>2025</v>
      </c>
      <c r="D318" s="9" t="s">
        <v>27</v>
      </c>
      <c r="E318" s="90" t="s">
        <v>23</v>
      </c>
      <c r="F318" s="9" t="s">
        <v>7</v>
      </c>
      <c r="G318" s="120"/>
      <c r="H318" s="121">
        <v>250170</v>
      </c>
      <c r="I318" s="121" t="s">
        <v>156</v>
      </c>
      <c r="J318" s="115">
        <v>45703</v>
      </c>
      <c r="K318" s="110">
        <v>45708</v>
      </c>
      <c r="L318" s="111">
        <v>5087600</v>
      </c>
      <c r="M318" s="109" t="s">
        <v>181</v>
      </c>
      <c r="N318" s="34" t="s">
        <v>29</v>
      </c>
      <c r="O318" s="11"/>
      <c r="P318" s="113">
        <v>45741</v>
      </c>
      <c r="Q318" s="113">
        <v>45741</v>
      </c>
      <c r="R318" s="113">
        <v>45741</v>
      </c>
      <c r="S318" s="37">
        <f t="shared" si="62"/>
        <v>5087600</v>
      </c>
      <c r="T318" s="37">
        <f t="shared" si="63"/>
        <v>0</v>
      </c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</row>
    <row r="319" spans="1:31" hidden="1">
      <c r="A319" s="277" t="s">
        <v>4815</v>
      </c>
      <c r="B319" s="9" t="s">
        <v>21</v>
      </c>
      <c r="C319" s="9">
        <v>2025</v>
      </c>
      <c r="D319" s="9" t="s">
        <v>27</v>
      </c>
      <c r="E319" s="90" t="s">
        <v>23</v>
      </c>
      <c r="F319" s="9" t="s">
        <v>7</v>
      </c>
      <c r="G319" s="120"/>
      <c r="H319" s="121">
        <v>250205</v>
      </c>
      <c r="I319" s="121" t="s">
        <v>156</v>
      </c>
      <c r="J319" s="115">
        <v>45705</v>
      </c>
      <c r="K319" s="110">
        <v>45710</v>
      </c>
      <c r="L319" s="111">
        <v>2407207</v>
      </c>
      <c r="M319" s="109" t="s">
        <v>182</v>
      </c>
      <c r="N319" s="34" t="s">
        <v>29</v>
      </c>
      <c r="O319" s="11"/>
      <c r="P319" s="113">
        <v>45741</v>
      </c>
      <c r="Q319" s="113">
        <v>45741</v>
      </c>
      <c r="R319" s="113">
        <v>45741</v>
      </c>
      <c r="S319" s="37">
        <f t="shared" si="62"/>
        <v>2407207</v>
      </c>
      <c r="T319" s="37">
        <f t="shared" si="63"/>
        <v>0</v>
      </c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</row>
    <row r="320" spans="1:31" hidden="1">
      <c r="A320" s="277" t="s">
        <v>4816</v>
      </c>
      <c r="B320" s="9" t="s">
        <v>21</v>
      </c>
      <c r="C320" s="9">
        <v>2025</v>
      </c>
      <c r="D320" s="9" t="s">
        <v>27</v>
      </c>
      <c r="E320" s="90" t="s">
        <v>23</v>
      </c>
      <c r="F320" s="9" t="s">
        <v>7</v>
      </c>
      <c r="G320" s="120"/>
      <c r="H320" s="121">
        <v>250200</v>
      </c>
      <c r="I320" s="121" t="s">
        <v>156</v>
      </c>
      <c r="J320" s="115">
        <v>45706</v>
      </c>
      <c r="K320" s="110">
        <v>45710</v>
      </c>
      <c r="L320" s="111">
        <v>6467399</v>
      </c>
      <c r="M320" s="109" t="s">
        <v>183</v>
      </c>
      <c r="N320" s="34" t="s">
        <v>29</v>
      </c>
      <c r="O320" s="11"/>
      <c r="P320" s="113">
        <v>45741</v>
      </c>
      <c r="Q320" s="113">
        <v>45741</v>
      </c>
      <c r="R320" s="113">
        <v>45741</v>
      </c>
      <c r="S320" s="37">
        <f t="shared" si="62"/>
        <v>6467399</v>
      </c>
      <c r="T320" s="37">
        <f t="shared" si="63"/>
        <v>0</v>
      </c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</row>
    <row r="321" spans="1:31" hidden="1">
      <c r="A321" s="277" t="s">
        <v>4817</v>
      </c>
      <c r="B321" s="9" t="s">
        <v>21</v>
      </c>
      <c r="C321" s="9">
        <v>2025</v>
      </c>
      <c r="D321" s="9" t="s">
        <v>27</v>
      </c>
      <c r="E321" s="90" t="s">
        <v>23</v>
      </c>
      <c r="F321" s="9" t="s">
        <v>7</v>
      </c>
      <c r="G321" s="120"/>
      <c r="H321" s="121">
        <v>250199</v>
      </c>
      <c r="I321" s="121" t="s">
        <v>156</v>
      </c>
      <c r="J321" s="115">
        <v>45706</v>
      </c>
      <c r="K321" s="110">
        <v>45710</v>
      </c>
      <c r="L321" s="111">
        <v>1066433</v>
      </c>
      <c r="M321" s="109" t="s">
        <v>184</v>
      </c>
      <c r="N321" s="34" t="s">
        <v>29</v>
      </c>
      <c r="O321" s="11"/>
      <c r="P321" s="113">
        <v>45741</v>
      </c>
      <c r="Q321" s="113">
        <v>45741</v>
      </c>
      <c r="R321" s="113">
        <v>45741</v>
      </c>
      <c r="S321" s="37">
        <f t="shared" si="62"/>
        <v>1066433</v>
      </c>
      <c r="T321" s="37">
        <f t="shared" si="63"/>
        <v>0</v>
      </c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</row>
    <row r="322" spans="1:31" hidden="1">
      <c r="A322" s="277" t="s">
        <v>4818</v>
      </c>
      <c r="B322" s="9" t="s">
        <v>21</v>
      </c>
      <c r="C322" s="9">
        <v>2025</v>
      </c>
      <c r="D322" s="9" t="s">
        <v>27</v>
      </c>
      <c r="E322" s="90" t="s">
        <v>23</v>
      </c>
      <c r="F322" s="9" t="s">
        <v>7</v>
      </c>
      <c r="G322" s="120"/>
      <c r="H322" s="121">
        <v>250202</v>
      </c>
      <c r="I322" s="121" t="s">
        <v>156</v>
      </c>
      <c r="J322" s="115">
        <v>45707</v>
      </c>
      <c r="K322" s="110">
        <v>45720</v>
      </c>
      <c r="L322" s="111">
        <v>4302560</v>
      </c>
      <c r="M322" s="109" t="s">
        <v>185</v>
      </c>
      <c r="N322" s="34" t="s">
        <v>29</v>
      </c>
      <c r="O322" s="11"/>
      <c r="P322" s="113">
        <v>45741</v>
      </c>
      <c r="Q322" s="113">
        <v>45741</v>
      </c>
      <c r="R322" s="113">
        <v>45741</v>
      </c>
      <c r="S322" s="37">
        <f t="shared" ref="S322:S337" si="64">IF(R322="",0,L322)</f>
        <v>4302560</v>
      </c>
      <c r="T322" s="37">
        <f t="shared" ref="T322:T337" si="65">L322-S322</f>
        <v>0</v>
      </c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</row>
    <row r="323" spans="1:31" hidden="1">
      <c r="A323" s="277" t="s">
        <v>4819</v>
      </c>
      <c r="B323" s="9" t="s">
        <v>21</v>
      </c>
      <c r="C323" s="9">
        <v>2025</v>
      </c>
      <c r="D323" s="9" t="s">
        <v>27</v>
      </c>
      <c r="E323" s="90" t="s">
        <v>23</v>
      </c>
      <c r="F323" s="9" t="s">
        <v>7</v>
      </c>
      <c r="G323" s="120"/>
      <c r="H323" s="121">
        <v>250203</v>
      </c>
      <c r="I323" s="121" t="s">
        <v>156</v>
      </c>
      <c r="J323" s="115">
        <v>45707</v>
      </c>
      <c r="K323" s="110">
        <v>45720</v>
      </c>
      <c r="L323" s="111">
        <v>744755</v>
      </c>
      <c r="M323" s="109" t="s">
        <v>186</v>
      </c>
      <c r="N323" s="34" t="s">
        <v>29</v>
      </c>
      <c r="O323" s="11"/>
      <c r="P323" s="113">
        <v>45741</v>
      </c>
      <c r="Q323" s="113">
        <v>45741</v>
      </c>
      <c r="R323" s="113">
        <v>45741</v>
      </c>
      <c r="S323" s="37">
        <f t="shared" si="64"/>
        <v>744755</v>
      </c>
      <c r="T323" s="37">
        <f t="shared" si="65"/>
        <v>0</v>
      </c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</row>
    <row r="324" spans="1:31" hidden="1">
      <c r="A324" s="277" t="s">
        <v>4820</v>
      </c>
      <c r="B324" s="9" t="s">
        <v>21</v>
      </c>
      <c r="C324" s="9">
        <v>2025</v>
      </c>
      <c r="D324" s="9" t="s">
        <v>27</v>
      </c>
      <c r="E324" s="90" t="s">
        <v>23</v>
      </c>
      <c r="F324" s="9" t="s">
        <v>7</v>
      </c>
      <c r="G324" s="120"/>
      <c r="H324" s="121">
        <v>250201</v>
      </c>
      <c r="I324" s="121" t="s">
        <v>156</v>
      </c>
      <c r="J324" s="115">
        <v>45707</v>
      </c>
      <c r="K324" s="110">
        <v>45720</v>
      </c>
      <c r="L324" s="111">
        <v>1294422</v>
      </c>
      <c r="M324" s="109" t="s">
        <v>187</v>
      </c>
      <c r="N324" s="34" t="s">
        <v>29</v>
      </c>
      <c r="O324" s="11"/>
      <c r="P324" s="113">
        <v>45741</v>
      </c>
      <c r="Q324" s="113">
        <v>45741</v>
      </c>
      <c r="R324" s="113">
        <v>45741</v>
      </c>
      <c r="S324" s="37">
        <f t="shared" si="64"/>
        <v>1294422</v>
      </c>
      <c r="T324" s="37">
        <f t="shared" si="65"/>
        <v>0</v>
      </c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</row>
    <row r="325" spans="1:31" hidden="1">
      <c r="A325" s="277" t="s">
        <v>4821</v>
      </c>
      <c r="B325" s="9" t="s">
        <v>21</v>
      </c>
      <c r="C325" s="9">
        <v>2025</v>
      </c>
      <c r="D325" s="9" t="s">
        <v>27</v>
      </c>
      <c r="E325" s="90" t="s">
        <v>23</v>
      </c>
      <c r="F325" s="9" t="s">
        <v>7</v>
      </c>
      <c r="G325" s="120"/>
      <c r="H325" s="121">
        <v>250204</v>
      </c>
      <c r="I325" s="121" t="s">
        <v>156</v>
      </c>
      <c r="J325" s="115">
        <v>45707</v>
      </c>
      <c r="K325" s="110">
        <v>45720</v>
      </c>
      <c r="L325" s="111">
        <v>6993000</v>
      </c>
      <c r="M325" s="109" t="s">
        <v>188</v>
      </c>
      <c r="N325" s="34" t="s">
        <v>29</v>
      </c>
      <c r="O325" s="11"/>
      <c r="P325" s="113">
        <v>45741</v>
      </c>
      <c r="Q325" s="113">
        <v>45741</v>
      </c>
      <c r="R325" s="113">
        <v>45741</v>
      </c>
      <c r="S325" s="37">
        <f t="shared" si="64"/>
        <v>6993000</v>
      </c>
      <c r="T325" s="37">
        <f t="shared" si="65"/>
        <v>0</v>
      </c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</row>
    <row r="326" spans="1:31" hidden="1">
      <c r="A326" s="277" t="s">
        <v>4822</v>
      </c>
      <c r="B326" s="9" t="s">
        <v>21</v>
      </c>
      <c r="C326" s="9">
        <v>2025</v>
      </c>
      <c r="D326" s="9" t="s">
        <v>27</v>
      </c>
      <c r="E326" s="90" t="s">
        <v>23</v>
      </c>
      <c r="F326" s="9" t="s">
        <v>7</v>
      </c>
      <c r="G326" s="120"/>
      <c r="H326" s="121">
        <v>250235</v>
      </c>
      <c r="I326" s="121" t="s">
        <v>156</v>
      </c>
      <c r="J326" s="115">
        <v>45715</v>
      </c>
      <c r="K326" s="110">
        <v>45720</v>
      </c>
      <c r="L326" s="111">
        <v>402930</v>
      </c>
      <c r="M326" s="109" t="s">
        <v>189</v>
      </c>
      <c r="N326" s="34" t="s">
        <v>29</v>
      </c>
      <c r="O326" s="125">
        <f>SUM(L326:L340)</f>
        <v>52290209</v>
      </c>
      <c r="P326" s="113">
        <v>45797</v>
      </c>
      <c r="Q326" s="113">
        <v>45797</v>
      </c>
      <c r="R326" s="113">
        <v>45797</v>
      </c>
      <c r="S326" s="37">
        <f t="shared" si="64"/>
        <v>402930</v>
      </c>
      <c r="T326" s="37">
        <f t="shared" si="65"/>
        <v>0</v>
      </c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</row>
    <row r="327" spans="1:31" hidden="1">
      <c r="A327" s="277" t="s">
        <v>4823</v>
      </c>
      <c r="B327" s="9" t="s">
        <v>21</v>
      </c>
      <c r="C327" s="9">
        <v>2025</v>
      </c>
      <c r="D327" s="9" t="s">
        <v>27</v>
      </c>
      <c r="E327" s="90" t="s">
        <v>23</v>
      </c>
      <c r="F327" s="9" t="s">
        <v>7</v>
      </c>
      <c r="G327" s="120"/>
      <c r="H327" s="121">
        <v>250236</v>
      </c>
      <c r="I327" s="121" t="s">
        <v>156</v>
      </c>
      <c r="J327" s="115">
        <v>45715</v>
      </c>
      <c r="K327" s="110">
        <v>45720</v>
      </c>
      <c r="L327" s="111">
        <v>2909000</v>
      </c>
      <c r="M327" s="109" t="s">
        <v>190</v>
      </c>
      <c r="N327" s="34" t="s">
        <v>29</v>
      </c>
      <c r="O327" s="11"/>
      <c r="P327" s="113">
        <v>45797</v>
      </c>
      <c r="Q327" s="113">
        <v>45797</v>
      </c>
      <c r="R327" s="113">
        <v>45797</v>
      </c>
      <c r="S327" s="37">
        <f t="shared" si="64"/>
        <v>2909000</v>
      </c>
      <c r="T327" s="37">
        <f t="shared" si="65"/>
        <v>0</v>
      </c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</row>
    <row r="328" spans="1:31" hidden="1">
      <c r="A328" s="277" t="s">
        <v>4824</v>
      </c>
      <c r="B328" s="9" t="s">
        <v>21</v>
      </c>
      <c r="C328" s="9">
        <v>2025</v>
      </c>
      <c r="D328" s="9" t="s">
        <v>27</v>
      </c>
      <c r="E328" s="90" t="s">
        <v>23</v>
      </c>
      <c r="F328" s="9" t="s">
        <v>7</v>
      </c>
      <c r="G328" s="120"/>
      <c r="H328" s="121">
        <v>250241</v>
      </c>
      <c r="I328" s="121" t="s">
        <v>156</v>
      </c>
      <c r="J328" s="115">
        <v>45715</v>
      </c>
      <c r="K328" s="110">
        <v>45720</v>
      </c>
      <c r="L328" s="111">
        <v>2825450</v>
      </c>
      <c r="M328" s="109" t="s">
        <v>191</v>
      </c>
      <c r="N328" s="34" t="s">
        <v>29</v>
      </c>
      <c r="O328" s="11"/>
      <c r="P328" s="113">
        <v>45797</v>
      </c>
      <c r="Q328" s="113">
        <v>45797</v>
      </c>
      <c r="R328" s="113">
        <v>45797</v>
      </c>
      <c r="S328" s="37">
        <f t="shared" si="64"/>
        <v>2825450</v>
      </c>
      <c r="T328" s="37">
        <f t="shared" si="65"/>
        <v>0</v>
      </c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</row>
    <row r="329" spans="1:31" hidden="1">
      <c r="A329" s="277" t="s">
        <v>4825</v>
      </c>
      <c r="B329" s="9" t="s">
        <v>21</v>
      </c>
      <c r="C329" s="9">
        <v>2025</v>
      </c>
      <c r="D329" s="9" t="s">
        <v>27</v>
      </c>
      <c r="E329" s="90" t="s">
        <v>23</v>
      </c>
      <c r="F329" s="9" t="s">
        <v>7</v>
      </c>
      <c r="G329" s="120"/>
      <c r="H329" s="121">
        <v>250242</v>
      </c>
      <c r="I329" s="121" t="s">
        <v>156</v>
      </c>
      <c r="J329" s="115">
        <v>45715</v>
      </c>
      <c r="K329" s="110">
        <v>45720</v>
      </c>
      <c r="L329" s="111">
        <v>9532600</v>
      </c>
      <c r="M329" s="109" t="s">
        <v>192</v>
      </c>
      <c r="N329" s="34" t="s">
        <v>29</v>
      </c>
      <c r="O329" s="11"/>
      <c r="P329" s="113">
        <v>45797</v>
      </c>
      <c r="Q329" s="113">
        <v>45797</v>
      </c>
      <c r="R329" s="113">
        <v>45797</v>
      </c>
      <c r="S329" s="37">
        <f t="shared" si="64"/>
        <v>9532600</v>
      </c>
      <c r="T329" s="37">
        <f t="shared" si="65"/>
        <v>0</v>
      </c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</row>
    <row r="330" spans="1:31" hidden="1">
      <c r="A330" s="277" t="s">
        <v>4826</v>
      </c>
      <c r="B330" s="9" t="s">
        <v>21</v>
      </c>
      <c r="C330" s="9">
        <v>2025</v>
      </c>
      <c r="D330" s="9" t="s">
        <v>27</v>
      </c>
      <c r="E330" s="90" t="s">
        <v>23</v>
      </c>
      <c r="F330" s="9" t="s">
        <v>7</v>
      </c>
      <c r="G330" s="120"/>
      <c r="H330" s="121">
        <v>250234</v>
      </c>
      <c r="I330" s="121" t="s">
        <v>156</v>
      </c>
      <c r="J330" s="115">
        <v>45715</v>
      </c>
      <c r="K330" s="110">
        <v>45720</v>
      </c>
      <c r="L330" s="111">
        <v>1704283</v>
      </c>
      <c r="M330" s="109" t="s">
        <v>193</v>
      </c>
      <c r="N330" s="34" t="s">
        <v>29</v>
      </c>
      <c r="O330" s="11"/>
      <c r="P330" s="113">
        <v>45797</v>
      </c>
      <c r="Q330" s="113">
        <v>45797</v>
      </c>
      <c r="R330" s="113">
        <v>45797</v>
      </c>
      <c r="S330" s="37">
        <f t="shared" si="64"/>
        <v>1704283</v>
      </c>
      <c r="T330" s="37">
        <f t="shared" si="65"/>
        <v>0</v>
      </c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</row>
    <row r="331" spans="1:31" hidden="1">
      <c r="A331" s="277" t="s">
        <v>4827</v>
      </c>
      <c r="B331" s="9" t="s">
        <v>21</v>
      </c>
      <c r="C331" s="9">
        <v>2025</v>
      </c>
      <c r="D331" s="9" t="s">
        <v>27</v>
      </c>
      <c r="E331" s="90" t="s">
        <v>23</v>
      </c>
      <c r="F331" s="9" t="s">
        <v>7</v>
      </c>
      <c r="G331" s="120"/>
      <c r="H331" s="121">
        <v>250251</v>
      </c>
      <c r="I331" s="121" t="s">
        <v>156</v>
      </c>
      <c r="J331" s="115">
        <v>45715</v>
      </c>
      <c r="K331" s="110">
        <v>45722</v>
      </c>
      <c r="L331" s="111">
        <v>900500</v>
      </c>
      <c r="M331" s="109" t="s">
        <v>194</v>
      </c>
      <c r="N331" s="34" t="s">
        <v>29</v>
      </c>
      <c r="O331" s="11"/>
      <c r="P331" s="113">
        <v>45797</v>
      </c>
      <c r="Q331" s="113">
        <v>45797</v>
      </c>
      <c r="R331" s="113">
        <v>45797</v>
      </c>
      <c r="S331" s="37">
        <f t="shared" si="64"/>
        <v>900500</v>
      </c>
      <c r="T331" s="37">
        <f t="shared" si="65"/>
        <v>0</v>
      </c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</row>
    <row r="332" spans="1:31" hidden="1">
      <c r="A332" s="277" t="s">
        <v>4828</v>
      </c>
      <c r="B332" s="9" t="s">
        <v>21</v>
      </c>
      <c r="C332" s="9">
        <v>2025</v>
      </c>
      <c r="D332" s="9" t="s">
        <v>27</v>
      </c>
      <c r="E332" s="90" t="s">
        <v>23</v>
      </c>
      <c r="F332" s="9" t="s">
        <v>7</v>
      </c>
      <c r="G332" s="120"/>
      <c r="H332" s="121">
        <v>250250</v>
      </c>
      <c r="I332" s="121" t="s">
        <v>156</v>
      </c>
      <c r="J332" s="115">
        <v>45715</v>
      </c>
      <c r="K332" s="110">
        <v>45722</v>
      </c>
      <c r="L332" s="111">
        <v>223443</v>
      </c>
      <c r="M332" s="109" t="s">
        <v>195</v>
      </c>
      <c r="N332" s="34" t="s">
        <v>29</v>
      </c>
      <c r="O332" s="11"/>
      <c r="P332" s="113">
        <v>45797</v>
      </c>
      <c r="Q332" s="113">
        <v>45797</v>
      </c>
      <c r="R332" s="113">
        <v>45797</v>
      </c>
      <c r="S332" s="37">
        <f t="shared" si="64"/>
        <v>223443</v>
      </c>
      <c r="T332" s="37">
        <f t="shared" si="65"/>
        <v>0</v>
      </c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</row>
    <row r="333" spans="1:31" hidden="1">
      <c r="A333" s="277" t="s">
        <v>4829</v>
      </c>
      <c r="B333" s="9" t="s">
        <v>21</v>
      </c>
      <c r="C333" s="9">
        <v>2025</v>
      </c>
      <c r="D333" s="9" t="s">
        <v>27</v>
      </c>
      <c r="E333" s="90" t="s">
        <v>23</v>
      </c>
      <c r="F333" s="9" t="s">
        <v>7</v>
      </c>
      <c r="G333" s="120"/>
      <c r="H333" s="121">
        <v>250255</v>
      </c>
      <c r="I333" s="121" t="s">
        <v>156</v>
      </c>
      <c r="J333" s="115">
        <v>45716</v>
      </c>
      <c r="K333" s="110">
        <v>45722</v>
      </c>
      <c r="L333" s="111">
        <v>286000</v>
      </c>
      <c r="M333" s="109" t="s">
        <v>196</v>
      </c>
      <c r="N333" s="34" t="s">
        <v>29</v>
      </c>
      <c r="O333" s="11"/>
      <c r="P333" s="113">
        <v>45797</v>
      </c>
      <c r="Q333" s="113">
        <v>45797</v>
      </c>
      <c r="R333" s="113">
        <v>45797</v>
      </c>
      <c r="S333" s="37">
        <f t="shared" si="64"/>
        <v>286000</v>
      </c>
      <c r="T333" s="37">
        <f t="shared" si="65"/>
        <v>0</v>
      </c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</row>
    <row r="334" spans="1:31" hidden="1">
      <c r="A334" s="277" t="s">
        <v>4830</v>
      </c>
      <c r="B334" s="9" t="s">
        <v>21</v>
      </c>
      <c r="C334" s="9">
        <v>2025</v>
      </c>
      <c r="D334" s="9" t="s">
        <v>27</v>
      </c>
      <c r="E334" s="90" t="s">
        <v>23</v>
      </c>
      <c r="F334" s="9" t="s">
        <v>7</v>
      </c>
      <c r="G334" s="120"/>
      <c r="H334" s="121">
        <v>250254</v>
      </c>
      <c r="I334" s="121" t="s">
        <v>156</v>
      </c>
      <c r="J334" s="115">
        <v>45716</v>
      </c>
      <c r="K334" s="110">
        <v>45722</v>
      </c>
      <c r="L334" s="111">
        <v>2197170</v>
      </c>
      <c r="M334" s="109" t="s">
        <v>197</v>
      </c>
      <c r="N334" s="34" t="s">
        <v>29</v>
      </c>
      <c r="O334" s="11"/>
      <c r="P334" s="113">
        <v>45797</v>
      </c>
      <c r="Q334" s="113">
        <v>45797</v>
      </c>
      <c r="R334" s="113">
        <v>45797</v>
      </c>
      <c r="S334" s="37">
        <f t="shared" si="64"/>
        <v>2197170</v>
      </c>
      <c r="T334" s="37">
        <f t="shared" si="65"/>
        <v>0</v>
      </c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</row>
    <row r="335" spans="1:31" hidden="1">
      <c r="A335" s="277" t="s">
        <v>4831</v>
      </c>
      <c r="B335" s="9" t="s">
        <v>21</v>
      </c>
      <c r="C335" s="9">
        <v>2025</v>
      </c>
      <c r="D335" s="9" t="s">
        <v>27</v>
      </c>
      <c r="E335" s="90" t="s">
        <v>23</v>
      </c>
      <c r="F335" s="9" t="s">
        <v>7</v>
      </c>
      <c r="G335" s="120"/>
      <c r="H335" s="121">
        <v>250253</v>
      </c>
      <c r="I335" s="121" t="s">
        <v>156</v>
      </c>
      <c r="J335" s="115">
        <v>45716</v>
      </c>
      <c r="K335" s="110">
        <v>45722</v>
      </c>
      <c r="L335" s="111">
        <v>2899999</v>
      </c>
      <c r="M335" s="109" t="s">
        <v>198</v>
      </c>
      <c r="N335" s="34" t="s">
        <v>29</v>
      </c>
      <c r="O335" s="11"/>
      <c r="P335" s="113">
        <v>45797</v>
      </c>
      <c r="Q335" s="113">
        <v>45797</v>
      </c>
      <c r="R335" s="113">
        <v>45797</v>
      </c>
      <c r="S335" s="37">
        <f t="shared" si="64"/>
        <v>2899999</v>
      </c>
      <c r="T335" s="37">
        <f t="shared" si="65"/>
        <v>0</v>
      </c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</row>
    <row r="336" spans="1:31" hidden="1">
      <c r="A336" s="277" t="s">
        <v>4832</v>
      </c>
      <c r="B336" s="9" t="s">
        <v>21</v>
      </c>
      <c r="C336" s="9">
        <v>2025</v>
      </c>
      <c r="D336" s="9" t="s">
        <v>27</v>
      </c>
      <c r="E336" s="90" t="s">
        <v>23</v>
      </c>
      <c r="F336" s="9" t="s">
        <v>7</v>
      </c>
      <c r="G336" s="120"/>
      <c r="H336" s="121">
        <v>250252</v>
      </c>
      <c r="I336" s="121" t="s">
        <v>156</v>
      </c>
      <c r="J336" s="115">
        <v>45716</v>
      </c>
      <c r="K336" s="110">
        <v>45722</v>
      </c>
      <c r="L336" s="111">
        <v>11301800</v>
      </c>
      <c r="M336" s="109" t="s">
        <v>199</v>
      </c>
      <c r="N336" s="34" t="s">
        <v>29</v>
      </c>
      <c r="O336" s="11"/>
      <c r="P336" s="113">
        <v>45797</v>
      </c>
      <c r="Q336" s="113">
        <v>45797</v>
      </c>
      <c r="R336" s="113">
        <v>45797</v>
      </c>
      <c r="S336" s="37">
        <f t="shared" si="64"/>
        <v>11301800</v>
      </c>
      <c r="T336" s="37">
        <f t="shared" si="65"/>
        <v>0</v>
      </c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</row>
    <row r="337" spans="1:31" hidden="1">
      <c r="A337" s="277" t="s">
        <v>4833</v>
      </c>
      <c r="B337" s="9" t="s">
        <v>21</v>
      </c>
      <c r="C337" s="9">
        <v>2025</v>
      </c>
      <c r="D337" s="9" t="s">
        <v>27</v>
      </c>
      <c r="E337" s="90" t="s">
        <v>23</v>
      </c>
      <c r="F337" s="9" t="s">
        <v>7</v>
      </c>
      <c r="G337" s="120"/>
      <c r="H337" s="121">
        <v>250275</v>
      </c>
      <c r="I337" s="121" t="s">
        <v>156</v>
      </c>
      <c r="J337" s="115">
        <v>45716</v>
      </c>
      <c r="K337" s="110">
        <v>45722</v>
      </c>
      <c r="L337" s="111">
        <v>8605000</v>
      </c>
      <c r="M337" s="109" t="s">
        <v>200</v>
      </c>
      <c r="N337" s="34" t="s">
        <v>29</v>
      </c>
      <c r="O337" s="11"/>
      <c r="P337" s="113">
        <v>45797</v>
      </c>
      <c r="Q337" s="113">
        <v>45797</v>
      </c>
      <c r="R337" s="113">
        <v>45797</v>
      </c>
      <c r="S337" s="37">
        <f t="shared" si="64"/>
        <v>8605000</v>
      </c>
      <c r="T337" s="37">
        <f t="shared" si="65"/>
        <v>0</v>
      </c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</row>
    <row r="338" spans="1:31" hidden="1">
      <c r="A338" s="277" t="s">
        <v>4834</v>
      </c>
      <c r="B338" s="9" t="s">
        <v>21</v>
      </c>
      <c r="C338" s="9">
        <v>2025</v>
      </c>
      <c r="D338" s="9" t="s">
        <v>27</v>
      </c>
      <c r="E338" s="90" t="s">
        <v>23</v>
      </c>
      <c r="F338" s="9" t="s">
        <v>7</v>
      </c>
      <c r="G338" s="120"/>
      <c r="H338" s="121">
        <v>250294</v>
      </c>
      <c r="I338" s="121" t="s">
        <v>156</v>
      </c>
      <c r="J338" s="115">
        <v>45716</v>
      </c>
      <c r="K338" s="110">
        <v>45727</v>
      </c>
      <c r="L338" s="111">
        <v>1186634</v>
      </c>
      <c r="M338" s="109" t="s">
        <v>201</v>
      </c>
      <c r="N338" s="34" t="s">
        <v>29</v>
      </c>
      <c r="O338" s="11"/>
      <c r="P338" s="113">
        <v>45797</v>
      </c>
      <c r="Q338" s="113">
        <v>45797</v>
      </c>
      <c r="R338" s="113">
        <v>45797</v>
      </c>
      <c r="S338" s="37">
        <f>IF(R338="",0,L338)</f>
        <v>1186634</v>
      </c>
      <c r="T338" s="37">
        <f>L338-S338</f>
        <v>0</v>
      </c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</row>
    <row r="339" spans="1:31" hidden="1">
      <c r="A339" s="277" t="s">
        <v>4835</v>
      </c>
      <c r="B339" s="9" t="s">
        <v>21</v>
      </c>
      <c r="C339" s="9">
        <v>2025</v>
      </c>
      <c r="D339" s="9" t="s">
        <v>27</v>
      </c>
      <c r="E339" s="90" t="s">
        <v>23</v>
      </c>
      <c r="F339" s="9" t="s">
        <v>7</v>
      </c>
      <c r="G339" s="120"/>
      <c r="H339" s="121">
        <v>250293</v>
      </c>
      <c r="I339" s="121" t="s">
        <v>156</v>
      </c>
      <c r="J339" s="115">
        <v>45719</v>
      </c>
      <c r="K339" s="110">
        <v>45727</v>
      </c>
      <c r="L339" s="111">
        <v>2825450</v>
      </c>
      <c r="M339" s="109" t="s">
        <v>202</v>
      </c>
      <c r="N339" s="34" t="s">
        <v>29</v>
      </c>
      <c r="O339" s="11"/>
      <c r="P339" s="113">
        <v>45797</v>
      </c>
      <c r="Q339" s="113">
        <v>45797</v>
      </c>
      <c r="R339" s="113">
        <v>45797</v>
      </c>
      <c r="S339" s="37">
        <f>IF(R339="",0,L339)</f>
        <v>2825450</v>
      </c>
      <c r="T339" s="37">
        <f>L339-S339</f>
        <v>0</v>
      </c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</row>
    <row r="340" spans="1:31" hidden="1">
      <c r="A340" s="277" t="s">
        <v>4836</v>
      </c>
      <c r="B340" s="9" t="s">
        <v>21</v>
      </c>
      <c r="C340" s="9">
        <v>2025</v>
      </c>
      <c r="D340" s="9" t="s">
        <v>27</v>
      </c>
      <c r="E340" s="90" t="s">
        <v>23</v>
      </c>
      <c r="F340" s="9" t="s">
        <v>7</v>
      </c>
      <c r="G340" s="120"/>
      <c r="H340" s="121">
        <v>250277</v>
      </c>
      <c r="I340" s="121" t="s">
        <v>156</v>
      </c>
      <c r="J340" s="115">
        <v>45719</v>
      </c>
      <c r="K340" s="110">
        <v>45727</v>
      </c>
      <c r="L340" s="111">
        <v>4489950</v>
      </c>
      <c r="M340" s="109" t="s">
        <v>203</v>
      </c>
      <c r="N340" s="34" t="s">
        <v>29</v>
      </c>
      <c r="O340" s="11"/>
      <c r="P340" s="113">
        <v>45797</v>
      </c>
      <c r="Q340" s="113">
        <v>45797</v>
      </c>
      <c r="R340" s="113">
        <v>45797</v>
      </c>
      <c r="S340" s="37">
        <f>IF(R340="",0,L340)</f>
        <v>4489950</v>
      </c>
      <c r="T340" s="37">
        <f>L340-S340</f>
        <v>0</v>
      </c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</row>
    <row r="341" spans="1:31" hidden="1">
      <c r="A341" s="277" t="s">
        <v>4837</v>
      </c>
      <c r="B341" s="9" t="s">
        <v>21</v>
      </c>
      <c r="C341" s="9">
        <v>2025</v>
      </c>
      <c r="D341" s="9" t="s">
        <v>27</v>
      </c>
      <c r="E341" s="90" t="s">
        <v>23</v>
      </c>
      <c r="F341" s="9" t="s">
        <v>7</v>
      </c>
      <c r="G341" s="120"/>
      <c r="H341" s="121">
        <v>250384</v>
      </c>
      <c r="I341" s="121" t="s">
        <v>156</v>
      </c>
      <c r="J341" s="115">
        <v>45742</v>
      </c>
      <c r="K341" s="110">
        <v>45755</v>
      </c>
      <c r="L341" s="111">
        <v>1293860</v>
      </c>
      <c r="M341" s="109" t="s">
        <v>204</v>
      </c>
      <c r="N341" s="34" t="s">
        <v>29</v>
      </c>
      <c r="O341" s="125">
        <v>30000000</v>
      </c>
      <c r="P341" s="113">
        <v>45831</v>
      </c>
      <c r="Q341" s="113">
        <v>45831</v>
      </c>
      <c r="R341" s="113">
        <v>45831</v>
      </c>
      <c r="S341" s="37">
        <f t="shared" ref="S341:S349" si="66">IF(R341="",0,L341)</f>
        <v>1293860</v>
      </c>
      <c r="T341" s="37">
        <f t="shared" ref="T341:T349" si="67">L341-S341</f>
        <v>0</v>
      </c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</row>
    <row r="342" spans="1:31" hidden="1">
      <c r="A342" s="277" t="s">
        <v>4838</v>
      </c>
      <c r="B342" s="9" t="s">
        <v>21</v>
      </c>
      <c r="C342" s="9">
        <v>2025</v>
      </c>
      <c r="D342" s="9" t="s">
        <v>27</v>
      </c>
      <c r="E342" s="90" t="s">
        <v>23</v>
      </c>
      <c r="F342" s="9" t="s">
        <v>7</v>
      </c>
      <c r="G342" s="120"/>
      <c r="H342" s="121">
        <v>250389</v>
      </c>
      <c r="I342" s="121" t="s">
        <v>156</v>
      </c>
      <c r="J342" s="115">
        <v>45742</v>
      </c>
      <c r="K342" s="110">
        <v>45755</v>
      </c>
      <c r="L342" s="111">
        <v>11915750</v>
      </c>
      <c r="M342" s="109" t="s">
        <v>205</v>
      </c>
      <c r="N342" s="34" t="s">
        <v>29</v>
      </c>
      <c r="O342" s="11"/>
      <c r="P342" s="113">
        <v>45831</v>
      </c>
      <c r="Q342" s="113">
        <v>45831</v>
      </c>
      <c r="R342" s="113">
        <v>45831</v>
      </c>
      <c r="S342" s="37">
        <f t="shared" si="66"/>
        <v>11915750</v>
      </c>
      <c r="T342" s="37">
        <f t="shared" si="67"/>
        <v>0</v>
      </c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</row>
    <row r="343" spans="1:31" hidden="1">
      <c r="A343" s="277" t="s">
        <v>4839</v>
      </c>
      <c r="B343" s="9" t="s">
        <v>21</v>
      </c>
      <c r="C343" s="9">
        <v>2025</v>
      </c>
      <c r="D343" s="9" t="s">
        <v>27</v>
      </c>
      <c r="E343" s="90" t="s">
        <v>23</v>
      </c>
      <c r="F343" s="9" t="s">
        <v>7</v>
      </c>
      <c r="G343" s="120"/>
      <c r="H343" s="121">
        <v>250385</v>
      </c>
      <c r="I343" s="121" t="s">
        <v>156</v>
      </c>
      <c r="J343" s="115">
        <v>45742</v>
      </c>
      <c r="K343" s="110">
        <v>45755</v>
      </c>
      <c r="L343" s="111">
        <v>9075001</v>
      </c>
      <c r="M343" s="109" t="s">
        <v>206</v>
      </c>
      <c r="N343" s="34" t="s">
        <v>29</v>
      </c>
      <c r="O343" s="11"/>
      <c r="P343" s="113">
        <v>45831</v>
      </c>
      <c r="Q343" s="113">
        <v>45831</v>
      </c>
      <c r="R343" s="113">
        <v>45831</v>
      </c>
      <c r="S343" s="37">
        <f t="shared" si="66"/>
        <v>9075001</v>
      </c>
      <c r="T343" s="37">
        <f t="shared" si="67"/>
        <v>0</v>
      </c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</row>
    <row r="344" spans="1:31" hidden="1">
      <c r="A344" s="277" t="s">
        <v>4840</v>
      </c>
      <c r="B344" s="9" t="s">
        <v>21</v>
      </c>
      <c r="C344" s="9">
        <v>2025</v>
      </c>
      <c r="D344" s="9" t="s">
        <v>27</v>
      </c>
      <c r="E344" s="90" t="s">
        <v>23</v>
      </c>
      <c r="F344" s="9" t="s">
        <v>7</v>
      </c>
      <c r="G344" s="120"/>
      <c r="H344" s="121">
        <v>250391</v>
      </c>
      <c r="I344" s="121" t="s">
        <v>156</v>
      </c>
      <c r="J344" s="115">
        <v>45742</v>
      </c>
      <c r="K344" s="110">
        <v>45755</v>
      </c>
      <c r="L344" s="111">
        <v>2693970</v>
      </c>
      <c r="M344" s="109" t="s">
        <v>207</v>
      </c>
      <c r="N344" s="34" t="s">
        <v>29</v>
      </c>
      <c r="O344" s="11"/>
      <c r="P344" s="113">
        <v>45831</v>
      </c>
      <c r="Q344" s="113">
        <v>45831</v>
      </c>
      <c r="R344" s="113">
        <v>45831</v>
      </c>
      <c r="S344" s="37">
        <f t="shared" si="66"/>
        <v>2693970</v>
      </c>
      <c r="T344" s="37">
        <f t="shared" si="67"/>
        <v>0</v>
      </c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</row>
    <row r="345" spans="1:31" hidden="1">
      <c r="A345" s="277" t="s">
        <v>4841</v>
      </c>
      <c r="B345" s="9" t="s">
        <v>21</v>
      </c>
      <c r="C345" s="9">
        <v>2025</v>
      </c>
      <c r="D345" s="9" t="s">
        <v>27</v>
      </c>
      <c r="E345" s="90" t="s">
        <v>23</v>
      </c>
      <c r="F345" s="9" t="s">
        <v>7</v>
      </c>
      <c r="G345" s="120"/>
      <c r="H345" s="121">
        <v>250388</v>
      </c>
      <c r="I345" s="121" t="s">
        <v>156</v>
      </c>
      <c r="J345" s="115">
        <v>45742</v>
      </c>
      <c r="K345" s="110">
        <v>45755</v>
      </c>
      <c r="L345" s="111">
        <v>2925000</v>
      </c>
      <c r="M345" s="109" t="s">
        <v>208</v>
      </c>
      <c r="N345" s="34" t="s">
        <v>29</v>
      </c>
      <c r="O345" s="11"/>
      <c r="P345" s="113">
        <v>45831</v>
      </c>
      <c r="Q345" s="113">
        <v>45831</v>
      </c>
      <c r="R345" s="113">
        <v>45831</v>
      </c>
      <c r="S345" s="37">
        <f t="shared" si="66"/>
        <v>2925000</v>
      </c>
      <c r="T345" s="37">
        <f t="shared" si="67"/>
        <v>0</v>
      </c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</row>
    <row r="346" spans="1:31" hidden="1">
      <c r="A346" s="277" t="s">
        <v>4842</v>
      </c>
      <c r="B346" s="9" t="s">
        <v>21</v>
      </c>
      <c r="C346" s="9">
        <v>2025</v>
      </c>
      <c r="D346" s="9" t="s">
        <v>27</v>
      </c>
      <c r="E346" s="90" t="s">
        <v>23</v>
      </c>
      <c r="F346" s="9" t="s">
        <v>7</v>
      </c>
      <c r="G346" s="120"/>
      <c r="H346" s="121">
        <v>250386</v>
      </c>
      <c r="I346" s="121" t="s">
        <v>156</v>
      </c>
      <c r="J346" s="115">
        <v>45742</v>
      </c>
      <c r="K346" s="110">
        <v>45755</v>
      </c>
      <c r="L346" s="111">
        <v>23193002</v>
      </c>
      <c r="M346" s="109" t="s">
        <v>209</v>
      </c>
      <c r="N346" s="34" t="s">
        <v>29</v>
      </c>
      <c r="O346" s="11"/>
      <c r="P346" s="113">
        <v>45831</v>
      </c>
      <c r="Q346" s="113">
        <v>45831</v>
      </c>
      <c r="R346" s="113">
        <v>45831</v>
      </c>
      <c r="S346" s="37">
        <f t="shared" si="66"/>
        <v>23193002</v>
      </c>
      <c r="T346" s="37">
        <f t="shared" si="67"/>
        <v>0</v>
      </c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</row>
    <row r="347" spans="1:31" hidden="1">
      <c r="A347" s="277" t="s">
        <v>4843</v>
      </c>
      <c r="B347" s="9" t="s">
        <v>21</v>
      </c>
      <c r="C347" s="9">
        <v>2025</v>
      </c>
      <c r="D347" s="9" t="s">
        <v>27</v>
      </c>
      <c r="E347" s="90" t="s">
        <v>23</v>
      </c>
      <c r="F347" s="9" t="s">
        <v>7</v>
      </c>
      <c r="G347" s="120"/>
      <c r="H347" s="121">
        <v>250386</v>
      </c>
      <c r="I347" s="121" t="s">
        <v>156</v>
      </c>
      <c r="J347" s="115"/>
      <c r="K347" s="110"/>
      <c r="L347" s="111">
        <v>-21096583</v>
      </c>
      <c r="M347" s="109" t="s">
        <v>210</v>
      </c>
      <c r="N347" s="34" t="s">
        <v>29</v>
      </c>
      <c r="O347" s="11"/>
      <c r="P347" s="113">
        <v>45831</v>
      </c>
      <c r="Q347" s="113">
        <v>45831</v>
      </c>
      <c r="R347" s="113">
        <v>45831</v>
      </c>
      <c r="S347" s="37">
        <f>IF(R347="",0,L347)</f>
        <v>-21096583</v>
      </c>
      <c r="T347" s="37">
        <f>L347-S347</f>
        <v>0</v>
      </c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</row>
    <row r="348" spans="1:31" hidden="1">
      <c r="A348" s="277" t="s">
        <v>4844</v>
      </c>
      <c r="B348" s="9" t="s">
        <v>21</v>
      </c>
      <c r="C348" s="9">
        <v>2025</v>
      </c>
      <c r="D348" s="9" t="s">
        <v>27</v>
      </c>
      <c r="E348" s="90" t="s">
        <v>23</v>
      </c>
      <c r="F348" s="9" t="s">
        <v>7</v>
      </c>
      <c r="G348" s="120"/>
      <c r="H348" s="121">
        <v>250386</v>
      </c>
      <c r="I348" s="121" t="s">
        <v>156</v>
      </c>
      <c r="J348" s="115"/>
      <c r="K348" s="110"/>
      <c r="L348" s="111">
        <v>21096583</v>
      </c>
      <c r="M348" s="109" t="s">
        <v>210</v>
      </c>
      <c r="N348" s="34" t="s">
        <v>29</v>
      </c>
      <c r="O348" s="125">
        <f>SUM(L348:L349)</f>
        <v>40255083</v>
      </c>
      <c r="P348" s="113">
        <v>45846</v>
      </c>
      <c r="Q348" s="113">
        <v>45846</v>
      </c>
      <c r="R348" s="113">
        <v>45846</v>
      </c>
      <c r="S348" s="37">
        <f>IF(R348="",0,L348)</f>
        <v>21096583</v>
      </c>
      <c r="T348" s="37">
        <f>L348-S348</f>
        <v>0</v>
      </c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</row>
    <row r="349" spans="1:31" hidden="1">
      <c r="A349" s="277" t="s">
        <v>4845</v>
      </c>
      <c r="B349" s="9" t="s">
        <v>21</v>
      </c>
      <c r="C349" s="9">
        <v>2025</v>
      </c>
      <c r="D349" s="9" t="s">
        <v>27</v>
      </c>
      <c r="E349" s="90" t="s">
        <v>23</v>
      </c>
      <c r="F349" s="9" t="s">
        <v>7</v>
      </c>
      <c r="G349" s="120"/>
      <c r="H349" s="121">
        <v>250383</v>
      </c>
      <c r="I349" s="121" t="s">
        <v>156</v>
      </c>
      <c r="J349" s="115">
        <v>45742</v>
      </c>
      <c r="K349" s="110">
        <v>45755</v>
      </c>
      <c r="L349" s="111">
        <v>19158500</v>
      </c>
      <c r="M349" s="109" t="s">
        <v>211</v>
      </c>
      <c r="N349" s="34" t="s">
        <v>29</v>
      </c>
      <c r="O349" s="11"/>
      <c r="P349" s="113">
        <v>45846</v>
      </c>
      <c r="Q349" s="113">
        <v>45846</v>
      </c>
      <c r="R349" s="113">
        <v>45846</v>
      </c>
      <c r="S349" s="37">
        <f t="shared" si="66"/>
        <v>19158500</v>
      </c>
      <c r="T349" s="37">
        <f t="shared" si="67"/>
        <v>0</v>
      </c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</row>
    <row r="350" spans="1:31" hidden="1">
      <c r="A350" s="277" t="s">
        <v>4846</v>
      </c>
      <c r="B350" s="9" t="s">
        <v>21</v>
      </c>
      <c r="C350" s="9">
        <v>2025</v>
      </c>
      <c r="D350" s="9" t="s">
        <v>27</v>
      </c>
      <c r="E350" s="90" t="s">
        <v>23</v>
      </c>
      <c r="F350" s="9" t="s">
        <v>7</v>
      </c>
      <c r="G350" s="120"/>
      <c r="H350" s="121">
        <v>250365</v>
      </c>
      <c r="I350" s="121" t="s">
        <v>156</v>
      </c>
      <c r="J350" s="115">
        <v>45742</v>
      </c>
      <c r="K350" s="110">
        <v>45759</v>
      </c>
      <c r="L350" s="111">
        <v>9124239</v>
      </c>
      <c r="M350" s="109" t="s">
        <v>212</v>
      </c>
      <c r="N350" s="34" t="s">
        <v>29</v>
      </c>
      <c r="O350" s="125">
        <f>SUM(L350:L360)</f>
        <v>73000000</v>
      </c>
      <c r="P350" s="113">
        <v>45857</v>
      </c>
      <c r="Q350" s="113">
        <v>45857</v>
      </c>
      <c r="R350" s="113">
        <v>45857</v>
      </c>
      <c r="S350" s="37">
        <f t="shared" ref="S350:S365" si="68">IF(R350="",0,L350)</f>
        <v>9124239</v>
      </c>
      <c r="T350" s="37">
        <f t="shared" ref="T350:T365" si="69">L350-S350</f>
        <v>0</v>
      </c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</row>
    <row r="351" spans="1:31" hidden="1">
      <c r="A351" s="277" t="s">
        <v>4847</v>
      </c>
      <c r="B351" s="9" t="s">
        <v>21</v>
      </c>
      <c r="C351" s="9">
        <v>2025</v>
      </c>
      <c r="D351" s="9" t="s">
        <v>27</v>
      </c>
      <c r="E351" s="90" t="s">
        <v>23</v>
      </c>
      <c r="F351" s="9" t="s">
        <v>7</v>
      </c>
      <c r="G351" s="120"/>
      <c r="H351" s="121">
        <v>250366</v>
      </c>
      <c r="I351" s="121" t="s">
        <v>156</v>
      </c>
      <c r="J351" s="115">
        <v>45743</v>
      </c>
      <c r="K351" s="110">
        <v>45755</v>
      </c>
      <c r="L351" s="111">
        <v>2310481</v>
      </c>
      <c r="M351" s="109" t="s">
        <v>213</v>
      </c>
      <c r="N351" s="34" t="s">
        <v>29</v>
      </c>
      <c r="O351" s="11"/>
      <c r="P351" s="113">
        <v>45857</v>
      </c>
      <c r="Q351" s="113">
        <v>45857</v>
      </c>
      <c r="R351" s="113">
        <v>45857</v>
      </c>
      <c r="S351" s="37">
        <f t="shared" si="68"/>
        <v>2310481</v>
      </c>
      <c r="T351" s="37">
        <f t="shared" si="69"/>
        <v>0</v>
      </c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</row>
    <row r="352" spans="1:31" hidden="1">
      <c r="A352" s="277" t="s">
        <v>4848</v>
      </c>
      <c r="B352" s="9" t="s">
        <v>21</v>
      </c>
      <c r="C352" s="9">
        <v>2025</v>
      </c>
      <c r="D352" s="9" t="s">
        <v>27</v>
      </c>
      <c r="E352" s="90" t="s">
        <v>23</v>
      </c>
      <c r="F352" s="9" t="s">
        <v>7</v>
      </c>
      <c r="G352" s="120"/>
      <c r="H352" s="121">
        <v>250367</v>
      </c>
      <c r="I352" s="121" t="s">
        <v>156</v>
      </c>
      <c r="J352" s="115">
        <v>45743</v>
      </c>
      <c r="K352" s="110">
        <v>45755</v>
      </c>
      <c r="L352" s="111">
        <v>1574535</v>
      </c>
      <c r="M352" s="109" t="s">
        <v>214</v>
      </c>
      <c r="N352" s="34" t="s">
        <v>29</v>
      </c>
      <c r="O352" s="11"/>
      <c r="P352" s="113">
        <v>45857</v>
      </c>
      <c r="Q352" s="113">
        <v>45857</v>
      </c>
      <c r="R352" s="113">
        <v>45857</v>
      </c>
      <c r="S352" s="37">
        <f t="shared" si="68"/>
        <v>1574535</v>
      </c>
      <c r="T352" s="37">
        <f t="shared" si="69"/>
        <v>0</v>
      </c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</row>
    <row r="353" spans="1:31" hidden="1">
      <c r="A353" s="277" t="s">
        <v>4849</v>
      </c>
      <c r="B353" s="9" t="s">
        <v>21</v>
      </c>
      <c r="C353" s="9">
        <v>2025</v>
      </c>
      <c r="D353" s="9" t="s">
        <v>27</v>
      </c>
      <c r="E353" s="90" t="s">
        <v>23</v>
      </c>
      <c r="F353" s="9" t="s">
        <v>7</v>
      </c>
      <c r="G353" s="120"/>
      <c r="H353" s="121">
        <v>250368</v>
      </c>
      <c r="I353" s="121" t="s">
        <v>156</v>
      </c>
      <c r="J353" s="115">
        <v>45743</v>
      </c>
      <c r="K353" s="110">
        <v>45755</v>
      </c>
      <c r="L353" s="111">
        <v>9701100</v>
      </c>
      <c r="M353" s="109" t="s">
        <v>215</v>
      </c>
      <c r="N353" s="34" t="s">
        <v>29</v>
      </c>
      <c r="O353" s="11"/>
      <c r="P353" s="113">
        <v>45857</v>
      </c>
      <c r="Q353" s="113">
        <v>45857</v>
      </c>
      <c r="R353" s="113">
        <v>45857</v>
      </c>
      <c r="S353" s="37">
        <f t="shared" si="68"/>
        <v>9701100</v>
      </c>
      <c r="T353" s="37">
        <f t="shared" si="69"/>
        <v>0</v>
      </c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</row>
    <row r="354" spans="1:31" hidden="1">
      <c r="A354" s="277" t="s">
        <v>4850</v>
      </c>
      <c r="B354" s="9" t="s">
        <v>21</v>
      </c>
      <c r="C354" s="9">
        <v>2025</v>
      </c>
      <c r="D354" s="9" t="s">
        <v>27</v>
      </c>
      <c r="E354" s="90" t="s">
        <v>23</v>
      </c>
      <c r="F354" s="9" t="s">
        <v>7</v>
      </c>
      <c r="G354" s="120"/>
      <c r="H354" s="121">
        <v>250369</v>
      </c>
      <c r="I354" s="121" t="s">
        <v>156</v>
      </c>
      <c r="J354" s="115">
        <v>45743</v>
      </c>
      <c r="K354" s="110">
        <v>45755</v>
      </c>
      <c r="L354" s="111">
        <v>3501828</v>
      </c>
      <c r="M354" s="109" t="s">
        <v>216</v>
      </c>
      <c r="N354" s="34" t="s">
        <v>29</v>
      </c>
      <c r="O354" s="11"/>
      <c r="P354" s="113">
        <v>45857</v>
      </c>
      <c r="Q354" s="113">
        <v>45857</v>
      </c>
      <c r="R354" s="113">
        <v>45857</v>
      </c>
      <c r="S354" s="37">
        <f t="shared" si="68"/>
        <v>3501828</v>
      </c>
      <c r="T354" s="37">
        <f t="shared" si="69"/>
        <v>0</v>
      </c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</row>
    <row r="355" spans="1:31" hidden="1">
      <c r="A355" s="277" t="s">
        <v>4851</v>
      </c>
      <c r="B355" s="9" t="s">
        <v>21</v>
      </c>
      <c r="C355" s="9">
        <v>2025</v>
      </c>
      <c r="D355" s="9" t="s">
        <v>27</v>
      </c>
      <c r="E355" s="90" t="s">
        <v>23</v>
      </c>
      <c r="F355" s="9" t="s">
        <v>7</v>
      </c>
      <c r="G355" s="120"/>
      <c r="H355" s="121">
        <v>250382</v>
      </c>
      <c r="I355" s="121" t="s">
        <v>156</v>
      </c>
      <c r="J355" s="115">
        <v>45742</v>
      </c>
      <c r="K355" s="110">
        <v>45755</v>
      </c>
      <c r="L355" s="111">
        <v>7072500</v>
      </c>
      <c r="M355" s="109" t="s">
        <v>217</v>
      </c>
      <c r="N355" s="34" t="s">
        <v>29</v>
      </c>
      <c r="O355" s="11"/>
      <c r="P355" s="113">
        <v>45857</v>
      </c>
      <c r="Q355" s="113">
        <v>45857</v>
      </c>
      <c r="R355" s="113">
        <v>45857</v>
      </c>
      <c r="S355" s="37">
        <f t="shared" si="68"/>
        <v>7072500</v>
      </c>
      <c r="T355" s="37">
        <f t="shared" si="69"/>
        <v>0</v>
      </c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</row>
    <row r="356" spans="1:31" hidden="1">
      <c r="A356" s="277" t="s">
        <v>4852</v>
      </c>
      <c r="B356" s="9" t="s">
        <v>21</v>
      </c>
      <c r="C356" s="9">
        <v>2025</v>
      </c>
      <c r="D356" s="9" t="s">
        <v>27</v>
      </c>
      <c r="E356" s="90" t="s">
        <v>23</v>
      </c>
      <c r="F356" s="9" t="s">
        <v>7</v>
      </c>
      <c r="G356" s="120"/>
      <c r="H356" s="121">
        <v>250387</v>
      </c>
      <c r="I356" s="121" t="s">
        <v>156</v>
      </c>
      <c r="J356" s="115">
        <v>45742</v>
      </c>
      <c r="K356" s="110">
        <v>45755</v>
      </c>
      <c r="L356" s="111">
        <v>9700799</v>
      </c>
      <c r="M356" s="109" t="s">
        <v>218</v>
      </c>
      <c r="N356" s="34" t="s">
        <v>29</v>
      </c>
      <c r="O356" s="11"/>
      <c r="P356" s="113">
        <v>45857</v>
      </c>
      <c r="Q356" s="113">
        <v>45857</v>
      </c>
      <c r="R356" s="113">
        <v>45857</v>
      </c>
      <c r="S356" s="37">
        <f t="shared" si="68"/>
        <v>9700799</v>
      </c>
      <c r="T356" s="37">
        <f t="shared" si="69"/>
        <v>0</v>
      </c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</row>
    <row r="357" spans="1:31" hidden="1">
      <c r="A357" s="277" t="s">
        <v>4853</v>
      </c>
      <c r="B357" s="9" t="s">
        <v>21</v>
      </c>
      <c r="C357" s="9">
        <v>2025</v>
      </c>
      <c r="D357" s="9" t="s">
        <v>27</v>
      </c>
      <c r="E357" s="90" t="s">
        <v>23</v>
      </c>
      <c r="F357" s="9" t="s">
        <v>7</v>
      </c>
      <c r="G357" s="120"/>
      <c r="H357" s="121">
        <v>250390</v>
      </c>
      <c r="I357" s="121" t="s">
        <v>156</v>
      </c>
      <c r="J357" s="115">
        <v>45742</v>
      </c>
      <c r="K357" s="110">
        <v>45755</v>
      </c>
      <c r="L357" s="111">
        <v>11301800</v>
      </c>
      <c r="M357" s="109" t="s">
        <v>219</v>
      </c>
      <c r="N357" s="34" t="s">
        <v>29</v>
      </c>
      <c r="O357" s="11"/>
      <c r="P357" s="113">
        <v>45857</v>
      </c>
      <c r="Q357" s="113">
        <v>45857</v>
      </c>
      <c r="R357" s="113">
        <v>45857</v>
      </c>
      <c r="S357" s="37">
        <f t="shared" si="68"/>
        <v>11301800</v>
      </c>
      <c r="T357" s="37">
        <f t="shared" si="69"/>
        <v>0</v>
      </c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</row>
    <row r="358" spans="1:31" hidden="1">
      <c r="A358" s="277" t="s">
        <v>4854</v>
      </c>
      <c r="B358" s="9" t="s">
        <v>21</v>
      </c>
      <c r="C358" s="9">
        <v>2025</v>
      </c>
      <c r="D358" s="9" t="s">
        <v>27</v>
      </c>
      <c r="E358" s="90" t="s">
        <v>23</v>
      </c>
      <c r="F358" s="9" t="s">
        <v>7</v>
      </c>
      <c r="G358" s="120"/>
      <c r="H358" s="121">
        <v>250392</v>
      </c>
      <c r="I358" s="121" t="s">
        <v>156</v>
      </c>
      <c r="J358" s="115">
        <v>45743</v>
      </c>
      <c r="K358" s="110">
        <v>45755</v>
      </c>
      <c r="L358" s="111">
        <v>1188000</v>
      </c>
      <c r="M358" s="109" t="s">
        <v>220</v>
      </c>
      <c r="N358" s="34" t="s">
        <v>29</v>
      </c>
      <c r="O358" s="11"/>
      <c r="P358" s="113">
        <v>45857</v>
      </c>
      <c r="Q358" s="113">
        <v>45857</v>
      </c>
      <c r="R358" s="113">
        <v>45857</v>
      </c>
      <c r="S358" s="37">
        <f t="shared" si="68"/>
        <v>1188000</v>
      </c>
      <c r="T358" s="37">
        <f t="shared" si="69"/>
        <v>0</v>
      </c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</row>
    <row r="359" spans="1:31" hidden="1">
      <c r="A359" s="277" t="s">
        <v>4855</v>
      </c>
      <c r="B359" s="9" t="s">
        <v>21</v>
      </c>
      <c r="C359" s="9">
        <v>2025</v>
      </c>
      <c r="D359" s="9" t="s">
        <v>27</v>
      </c>
      <c r="E359" s="90" t="s">
        <v>23</v>
      </c>
      <c r="F359" s="9" t="s">
        <v>7</v>
      </c>
      <c r="G359" s="120"/>
      <c r="H359" s="121">
        <v>250415</v>
      </c>
      <c r="I359" s="121" t="s">
        <v>156</v>
      </c>
      <c r="J359" s="115">
        <v>45758</v>
      </c>
      <c r="K359" s="110">
        <v>45766</v>
      </c>
      <c r="L359" s="111">
        <v>1393605</v>
      </c>
      <c r="M359" s="109" t="s">
        <v>221</v>
      </c>
      <c r="N359" s="34" t="s">
        <v>29</v>
      </c>
      <c r="O359" s="11"/>
      <c r="P359" s="113">
        <v>45857</v>
      </c>
      <c r="Q359" s="113">
        <v>45857</v>
      </c>
      <c r="R359" s="113">
        <v>45857</v>
      </c>
      <c r="S359" s="37">
        <f t="shared" si="68"/>
        <v>1393605</v>
      </c>
      <c r="T359" s="37">
        <f t="shared" si="69"/>
        <v>0</v>
      </c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</row>
    <row r="360" spans="1:31" hidden="1">
      <c r="A360" s="277" t="s">
        <v>4856</v>
      </c>
      <c r="B360" s="9" t="s">
        <v>21</v>
      </c>
      <c r="C360" s="9">
        <v>2025</v>
      </c>
      <c r="D360" s="9" t="s">
        <v>27</v>
      </c>
      <c r="E360" s="90" t="s">
        <v>23</v>
      </c>
      <c r="F360" s="9" t="s">
        <v>7</v>
      </c>
      <c r="G360" s="120"/>
      <c r="H360" s="121">
        <v>250551</v>
      </c>
      <c r="I360" s="121" t="s">
        <v>156</v>
      </c>
      <c r="J360" s="115">
        <v>45800</v>
      </c>
      <c r="K360" s="110">
        <v>45808</v>
      </c>
      <c r="L360" s="111">
        <v>16131113</v>
      </c>
      <c r="M360" s="109" t="s">
        <v>222</v>
      </c>
      <c r="N360" s="34" t="s">
        <v>29</v>
      </c>
      <c r="O360" s="11"/>
      <c r="P360" s="113">
        <v>45857</v>
      </c>
      <c r="Q360" s="113">
        <v>45857</v>
      </c>
      <c r="R360" s="113">
        <v>45857</v>
      </c>
      <c r="S360" s="37">
        <f t="shared" si="68"/>
        <v>16131113</v>
      </c>
      <c r="T360" s="37">
        <f t="shared" si="69"/>
        <v>0</v>
      </c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</row>
    <row r="361" spans="1:31" hidden="1">
      <c r="A361" s="277" t="s">
        <v>4857</v>
      </c>
      <c r="B361" s="9" t="s">
        <v>21</v>
      </c>
      <c r="C361" s="9">
        <v>2025</v>
      </c>
      <c r="D361" s="9" t="s">
        <v>27</v>
      </c>
      <c r="E361" s="90" t="s">
        <v>23</v>
      </c>
      <c r="F361" s="9" t="s">
        <v>7</v>
      </c>
      <c r="G361" s="120"/>
      <c r="H361" s="121">
        <v>250551</v>
      </c>
      <c r="I361" s="121" t="s">
        <v>156</v>
      </c>
      <c r="J361" s="115">
        <v>45800</v>
      </c>
      <c r="K361" s="110">
        <v>45808</v>
      </c>
      <c r="L361" s="111">
        <f>27202976-16131113</f>
        <v>11071863</v>
      </c>
      <c r="M361" s="109" t="s">
        <v>223</v>
      </c>
      <c r="N361" s="34" t="s">
        <v>29</v>
      </c>
      <c r="O361" s="125">
        <f>SUM(L361:L365)</f>
        <v>73279378</v>
      </c>
      <c r="P361" s="113">
        <v>45896</v>
      </c>
      <c r="Q361" s="113">
        <v>45896</v>
      </c>
      <c r="R361" s="113">
        <v>45896</v>
      </c>
      <c r="S361" s="37">
        <f t="shared" si="68"/>
        <v>11071863</v>
      </c>
      <c r="T361" s="37">
        <f t="shared" si="69"/>
        <v>0</v>
      </c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</row>
    <row r="362" spans="1:31" hidden="1">
      <c r="A362" s="277" t="s">
        <v>4858</v>
      </c>
      <c r="B362" s="9" t="s">
        <v>21</v>
      </c>
      <c r="C362" s="9">
        <v>2025</v>
      </c>
      <c r="D362" s="9" t="s">
        <v>27</v>
      </c>
      <c r="E362" s="90" t="s">
        <v>23</v>
      </c>
      <c r="F362" s="9" t="s">
        <v>7</v>
      </c>
      <c r="G362" s="120"/>
      <c r="H362" s="121">
        <v>250553</v>
      </c>
      <c r="I362" s="121" t="s">
        <v>156</v>
      </c>
      <c r="J362" s="115">
        <v>45800</v>
      </c>
      <c r="K362" s="110">
        <v>45808</v>
      </c>
      <c r="L362" s="111">
        <v>3262692</v>
      </c>
      <c r="M362" s="109" t="s">
        <v>224</v>
      </c>
      <c r="N362" s="34" t="s">
        <v>29</v>
      </c>
      <c r="O362" s="11"/>
      <c r="P362" s="113">
        <v>45896</v>
      </c>
      <c r="Q362" s="113">
        <v>45896</v>
      </c>
      <c r="R362" s="113">
        <v>45896</v>
      </c>
      <c r="S362" s="37">
        <f t="shared" si="68"/>
        <v>3262692</v>
      </c>
      <c r="T362" s="37">
        <f t="shared" si="69"/>
        <v>0</v>
      </c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</row>
    <row r="363" spans="1:31" hidden="1">
      <c r="A363" s="277" t="s">
        <v>4859</v>
      </c>
      <c r="B363" s="9" t="s">
        <v>21</v>
      </c>
      <c r="C363" s="9">
        <v>2025</v>
      </c>
      <c r="D363" s="9" t="s">
        <v>27</v>
      </c>
      <c r="E363" s="90" t="s">
        <v>23</v>
      </c>
      <c r="F363" s="9" t="s">
        <v>7</v>
      </c>
      <c r="G363" s="120"/>
      <c r="H363" s="121">
        <v>250557</v>
      </c>
      <c r="I363" s="121" t="s">
        <v>156</v>
      </c>
      <c r="J363" s="115">
        <v>45807</v>
      </c>
      <c r="K363" s="110">
        <v>45813</v>
      </c>
      <c r="L363" s="111">
        <v>3757592</v>
      </c>
      <c r="M363" s="109" t="s">
        <v>225</v>
      </c>
      <c r="N363" s="34" t="s">
        <v>29</v>
      </c>
      <c r="O363" s="11"/>
      <c r="P363" s="113">
        <v>45896</v>
      </c>
      <c r="Q363" s="113">
        <v>45896</v>
      </c>
      <c r="R363" s="113">
        <v>45896</v>
      </c>
      <c r="S363" s="37">
        <f t="shared" si="68"/>
        <v>3757592</v>
      </c>
      <c r="T363" s="37">
        <f t="shared" si="69"/>
        <v>0</v>
      </c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</row>
    <row r="364" spans="1:31" hidden="1">
      <c r="A364" s="277" t="s">
        <v>4860</v>
      </c>
      <c r="B364" s="9" t="s">
        <v>21</v>
      </c>
      <c r="C364" s="9">
        <v>2025</v>
      </c>
      <c r="D364" s="9" t="s">
        <v>27</v>
      </c>
      <c r="E364" s="90" t="s">
        <v>23</v>
      </c>
      <c r="F364" s="9" t="s">
        <v>7</v>
      </c>
      <c r="G364" s="120"/>
      <c r="H364" s="121">
        <v>250558</v>
      </c>
      <c r="I364" s="121" t="s">
        <v>156</v>
      </c>
      <c r="J364" s="115">
        <v>45807</v>
      </c>
      <c r="K364" s="110">
        <v>45813</v>
      </c>
      <c r="L364" s="111">
        <v>4132800</v>
      </c>
      <c r="M364" s="109" t="s">
        <v>226</v>
      </c>
      <c r="N364" s="34" t="s">
        <v>29</v>
      </c>
      <c r="O364" s="11"/>
      <c r="P364" s="113">
        <v>45896</v>
      </c>
      <c r="Q364" s="113">
        <v>45896</v>
      </c>
      <c r="R364" s="113">
        <v>45896</v>
      </c>
      <c r="S364" s="37">
        <f t="shared" si="68"/>
        <v>4132800</v>
      </c>
      <c r="T364" s="37">
        <f t="shared" si="69"/>
        <v>0</v>
      </c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</row>
    <row r="365" spans="1:31" hidden="1">
      <c r="A365" s="277" t="s">
        <v>4861</v>
      </c>
      <c r="B365" s="9" t="s">
        <v>21</v>
      </c>
      <c r="C365" s="9">
        <v>2025</v>
      </c>
      <c r="D365" s="9" t="s">
        <v>27</v>
      </c>
      <c r="E365" s="90" t="s">
        <v>23</v>
      </c>
      <c r="F365" s="9" t="s">
        <v>7</v>
      </c>
      <c r="G365" s="120"/>
      <c r="H365" s="121">
        <v>250569</v>
      </c>
      <c r="I365" s="121" t="s">
        <v>156</v>
      </c>
      <c r="J365" s="115">
        <v>45807</v>
      </c>
      <c r="K365" s="110">
        <v>45820</v>
      </c>
      <c r="L365" s="111">
        <v>51054431</v>
      </c>
      <c r="M365" s="109" t="s">
        <v>227</v>
      </c>
      <c r="N365" s="34" t="s">
        <v>29</v>
      </c>
      <c r="O365" s="11"/>
      <c r="P365" s="113">
        <v>45896</v>
      </c>
      <c r="Q365" s="113">
        <v>45896</v>
      </c>
      <c r="R365" s="113">
        <v>45896</v>
      </c>
      <c r="S365" s="37">
        <f t="shared" si="68"/>
        <v>51054431</v>
      </c>
      <c r="T365" s="37">
        <f t="shared" si="69"/>
        <v>0</v>
      </c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</row>
    <row r="366" spans="1:31" hidden="1">
      <c r="A366" s="277" t="s">
        <v>4862</v>
      </c>
      <c r="B366" s="9" t="s">
        <v>21</v>
      </c>
      <c r="C366" s="9">
        <v>2025</v>
      </c>
      <c r="D366" s="9" t="s">
        <v>27</v>
      </c>
      <c r="E366" s="90" t="s">
        <v>23</v>
      </c>
      <c r="F366" s="9" t="s">
        <v>7</v>
      </c>
      <c r="G366" s="120"/>
      <c r="H366" s="121">
        <v>250708</v>
      </c>
      <c r="I366" s="121" t="s">
        <v>156</v>
      </c>
      <c r="J366" s="115">
        <v>45861</v>
      </c>
      <c r="K366" s="110">
        <v>45869</v>
      </c>
      <c r="L366" s="111">
        <v>8574360</v>
      </c>
      <c r="M366" s="109" t="s">
        <v>228</v>
      </c>
      <c r="N366" s="34" t="s">
        <v>29</v>
      </c>
      <c r="O366" s="125">
        <f>SUM(L366:L372)</f>
        <v>70517346</v>
      </c>
      <c r="P366" s="113">
        <v>45945</v>
      </c>
      <c r="Q366" s="113">
        <v>45945</v>
      </c>
      <c r="R366" s="113">
        <v>45945</v>
      </c>
      <c r="S366" s="37">
        <f t="shared" ref="S366:S404" si="70">IF(R366="",0,L366)</f>
        <v>8574360</v>
      </c>
      <c r="T366" s="37">
        <f t="shared" ref="T366:T404" si="71">L366-S366</f>
        <v>0</v>
      </c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</row>
    <row r="367" spans="1:31" hidden="1">
      <c r="A367" s="277" t="s">
        <v>4863</v>
      </c>
      <c r="B367" s="9" t="s">
        <v>21</v>
      </c>
      <c r="C367" s="9">
        <v>2025</v>
      </c>
      <c r="D367" s="9" t="s">
        <v>27</v>
      </c>
      <c r="E367" s="90" t="s">
        <v>23</v>
      </c>
      <c r="F367" s="9" t="s">
        <v>7</v>
      </c>
      <c r="G367" s="120"/>
      <c r="H367" s="121">
        <v>250710</v>
      </c>
      <c r="I367" s="121" t="s">
        <v>156</v>
      </c>
      <c r="J367" s="115">
        <v>45861</v>
      </c>
      <c r="K367" s="110">
        <v>45869</v>
      </c>
      <c r="L367" s="111">
        <v>7266500</v>
      </c>
      <c r="M367" s="109" t="s">
        <v>229</v>
      </c>
      <c r="N367" s="34" t="s">
        <v>29</v>
      </c>
      <c r="O367" s="11"/>
      <c r="P367" s="113">
        <v>45945</v>
      </c>
      <c r="Q367" s="113">
        <v>45945</v>
      </c>
      <c r="R367" s="113">
        <v>45945</v>
      </c>
      <c r="S367" s="37">
        <f t="shared" si="70"/>
        <v>7266500</v>
      </c>
      <c r="T367" s="37">
        <f t="shared" si="71"/>
        <v>0</v>
      </c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</row>
    <row r="368" spans="1:31" hidden="1">
      <c r="A368" s="277" t="s">
        <v>4864</v>
      </c>
      <c r="B368" s="9" t="s">
        <v>21</v>
      </c>
      <c r="C368" s="9">
        <v>2025</v>
      </c>
      <c r="D368" s="9" t="s">
        <v>27</v>
      </c>
      <c r="E368" s="90" t="s">
        <v>23</v>
      </c>
      <c r="F368" s="9" t="s">
        <v>7</v>
      </c>
      <c r="G368" s="120"/>
      <c r="H368" s="121">
        <v>250713</v>
      </c>
      <c r="I368" s="121" t="s">
        <v>156</v>
      </c>
      <c r="J368" s="115">
        <v>45861</v>
      </c>
      <c r="K368" s="110">
        <v>45869</v>
      </c>
      <c r="L368" s="111">
        <v>33000000</v>
      </c>
      <c r="M368" s="109" t="s">
        <v>230</v>
      </c>
      <c r="N368" s="34" t="s">
        <v>29</v>
      </c>
      <c r="O368" s="11"/>
      <c r="P368" s="113">
        <v>45945</v>
      </c>
      <c r="Q368" s="113">
        <v>45945</v>
      </c>
      <c r="R368" s="113">
        <v>45945</v>
      </c>
      <c r="S368" s="37">
        <f t="shared" si="70"/>
        <v>33000000</v>
      </c>
      <c r="T368" s="37">
        <f t="shared" si="71"/>
        <v>0</v>
      </c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</row>
    <row r="369" spans="1:31" hidden="1">
      <c r="A369" s="277" t="s">
        <v>4865</v>
      </c>
      <c r="B369" s="9" t="s">
        <v>21</v>
      </c>
      <c r="C369" s="9">
        <v>2025</v>
      </c>
      <c r="D369" s="9" t="s">
        <v>27</v>
      </c>
      <c r="E369" s="90" t="s">
        <v>23</v>
      </c>
      <c r="F369" s="9" t="s">
        <v>7</v>
      </c>
      <c r="G369" s="120"/>
      <c r="H369" s="121">
        <v>250714</v>
      </c>
      <c r="I369" s="121" t="s">
        <v>156</v>
      </c>
      <c r="J369" s="115">
        <v>45861</v>
      </c>
      <c r="K369" s="110">
        <v>45869</v>
      </c>
      <c r="L369" s="111">
        <v>5550000</v>
      </c>
      <c r="M369" s="109" t="s">
        <v>231</v>
      </c>
      <c r="N369" s="34" t="s">
        <v>29</v>
      </c>
      <c r="O369" s="11"/>
      <c r="P369" s="113">
        <v>45945</v>
      </c>
      <c r="Q369" s="113">
        <v>45945</v>
      </c>
      <c r="R369" s="113">
        <v>45945</v>
      </c>
      <c r="S369" s="37">
        <f t="shared" si="70"/>
        <v>5550000</v>
      </c>
      <c r="T369" s="37">
        <f t="shared" si="71"/>
        <v>0</v>
      </c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</row>
    <row r="370" spans="1:31" hidden="1">
      <c r="A370" s="277" t="s">
        <v>4866</v>
      </c>
      <c r="B370" s="9" t="s">
        <v>21</v>
      </c>
      <c r="C370" s="9">
        <v>2025</v>
      </c>
      <c r="D370" s="9" t="s">
        <v>27</v>
      </c>
      <c r="E370" s="90" t="s">
        <v>23</v>
      </c>
      <c r="F370" s="9" t="s">
        <v>7</v>
      </c>
      <c r="G370" s="120"/>
      <c r="H370" s="121">
        <v>250711</v>
      </c>
      <c r="I370" s="121" t="s">
        <v>156</v>
      </c>
      <c r="J370" s="115">
        <v>45861</v>
      </c>
      <c r="K370" s="110">
        <v>45869</v>
      </c>
      <c r="L370" s="111">
        <v>2539680</v>
      </c>
      <c r="M370" s="109" t="s">
        <v>232</v>
      </c>
      <c r="N370" s="34" t="s">
        <v>29</v>
      </c>
      <c r="O370" s="11"/>
      <c r="P370" s="113">
        <v>45945</v>
      </c>
      <c r="Q370" s="113">
        <v>45945</v>
      </c>
      <c r="R370" s="113">
        <v>45945</v>
      </c>
      <c r="S370" s="37">
        <f t="shared" si="70"/>
        <v>2539680</v>
      </c>
      <c r="T370" s="37">
        <f t="shared" si="71"/>
        <v>0</v>
      </c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</row>
    <row r="371" spans="1:31" hidden="1">
      <c r="A371" s="277" t="s">
        <v>4867</v>
      </c>
      <c r="B371" s="9" t="s">
        <v>21</v>
      </c>
      <c r="C371" s="9">
        <v>2025</v>
      </c>
      <c r="D371" s="9" t="s">
        <v>27</v>
      </c>
      <c r="E371" s="90" t="s">
        <v>23</v>
      </c>
      <c r="F371" s="9" t="s">
        <v>7</v>
      </c>
      <c r="G371" s="120"/>
      <c r="H371" s="121">
        <v>250712</v>
      </c>
      <c r="I371" s="121" t="s">
        <v>156</v>
      </c>
      <c r="J371" s="115">
        <v>45861</v>
      </c>
      <c r="K371" s="110">
        <v>45869</v>
      </c>
      <c r="L371" s="111">
        <v>3438060</v>
      </c>
      <c r="M371" s="109" t="s">
        <v>233</v>
      </c>
      <c r="N371" s="34" t="s">
        <v>29</v>
      </c>
      <c r="O371" s="11"/>
      <c r="P371" s="113">
        <v>45945</v>
      </c>
      <c r="Q371" s="113">
        <v>45945</v>
      </c>
      <c r="R371" s="113">
        <v>45945</v>
      </c>
      <c r="S371" s="37">
        <f t="shared" si="70"/>
        <v>3438060</v>
      </c>
      <c r="T371" s="37">
        <f t="shared" si="71"/>
        <v>0</v>
      </c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</row>
    <row r="372" spans="1:31" hidden="1">
      <c r="A372" s="277" t="s">
        <v>4868</v>
      </c>
      <c r="B372" s="9" t="s">
        <v>21</v>
      </c>
      <c r="C372" s="9">
        <v>2025</v>
      </c>
      <c r="D372" s="9" t="s">
        <v>27</v>
      </c>
      <c r="E372" s="90" t="s">
        <v>23</v>
      </c>
      <c r="F372" s="9" t="s">
        <v>7</v>
      </c>
      <c r="G372" s="120"/>
      <c r="H372" s="121">
        <v>250709</v>
      </c>
      <c r="I372" s="121" t="s">
        <v>156</v>
      </c>
      <c r="J372" s="115">
        <v>45861</v>
      </c>
      <c r="K372" s="110">
        <v>45869</v>
      </c>
      <c r="L372" s="111">
        <v>10148746</v>
      </c>
      <c r="M372" s="109" t="s">
        <v>234</v>
      </c>
      <c r="N372" s="34" t="s">
        <v>29</v>
      </c>
      <c r="O372" s="11"/>
      <c r="P372" s="113">
        <v>45945</v>
      </c>
      <c r="Q372" s="113">
        <v>45945</v>
      </c>
      <c r="R372" s="113">
        <v>45945</v>
      </c>
      <c r="S372" s="37">
        <f t="shared" si="70"/>
        <v>10148746</v>
      </c>
      <c r="T372" s="37">
        <f t="shared" si="71"/>
        <v>0</v>
      </c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</row>
    <row r="373" spans="1:31" hidden="1">
      <c r="A373" s="277" t="s">
        <v>4869</v>
      </c>
      <c r="B373" s="9" t="s">
        <v>21</v>
      </c>
      <c r="C373" s="9">
        <v>2025</v>
      </c>
      <c r="D373" s="9" t="s">
        <v>27</v>
      </c>
      <c r="E373" s="90" t="s">
        <v>23</v>
      </c>
      <c r="F373" s="9" t="s">
        <v>7</v>
      </c>
      <c r="G373" s="120"/>
      <c r="H373" s="121">
        <v>250720</v>
      </c>
      <c r="I373" s="121" t="s">
        <v>156</v>
      </c>
      <c r="J373" s="115">
        <v>45864</v>
      </c>
      <c r="K373" s="110">
        <v>45869</v>
      </c>
      <c r="L373" s="111">
        <v>3075000</v>
      </c>
      <c r="M373" s="109" t="s">
        <v>235</v>
      </c>
      <c r="N373" s="34" t="s">
        <v>29</v>
      </c>
      <c r="O373" s="125">
        <f>SUM(L373:L379)</f>
        <v>49897080</v>
      </c>
      <c r="P373" s="113">
        <v>45952</v>
      </c>
      <c r="Q373" s="113">
        <v>45952</v>
      </c>
      <c r="R373" s="113">
        <v>45952</v>
      </c>
      <c r="S373" s="37">
        <f t="shared" si="70"/>
        <v>3075000</v>
      </c>
      <c r="T373" s="37">
        <f t="shared" si="71"/>
        <v>0</v>
      </c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</row>
    <row r="374" spans="1:31" hidden="1">
      <c r="A374" s="277" t="s">
        <v>4870</v>
      </c>
      <c r="B374" s="9" t="s">
        <v>21</v>
      </c>
      <c r="C374" s="9">
        <v>2025</v>
      </c>
      <c r="D374" s="9" t="s">
        <v>27</v>
      </c>
      <c r="E374" s="90" t="s">
        <v>23</v>
      </c>
      <c r="F374" s="9" t="s">
        <v>7</v>
      </c>
      <c r="G374" s="120"/>
      <c r="H374" s="121">
        <v>250719</v>
      </c>
      <c r="I374" s="121" t="s">
        <v>156</v>
      </c>
      <c r="J374" s="115">
        <v>45864</v>
      </c>
      <c r="K374" s="110">
        <v>45869</v>
      </c>
      <c r="L374" s="111">
        <v>1890000</v>
      </c>
      <c r="M374" s="109" t="s">
        <v>236</v>
      </c>
      <c r="N374" s="34" t="s">
        <v>29</v>
      </c>
      <c r="O374" s="11"/>
      <c r="P374" s="113">
        <v>45952</v>
      </c>
      <c r="Q374" s="113">
        <v>45952</v>
      </c>
      <c r="R374" s="113">
        <v>45952</v>
      </c>
      <c r="S374" s="37">
        <f t="shared" si="70"/>
        <v>1890000</v>
      </c>
      <c r="T374" s="37">
        <f t="shared" si="71"/>
        <v>0</v>
      </c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</row>
    <row r="375" spans="1:31" hidden="1">
      <c r="A375" s="277" t="s">
        <v>4871</v>
      </c>
      <c r="B375" s="9" t="s">
        <v>21</v>
      </c>
      <c r="C375" s="9">
        <v>2025</v>
      </c>
      <c r="D375" s="9" t="s">
        <v>27</v>
      </c>
      <c r="E375" s="90" t="s">
        <v>23</v>
      </c>
      <c r="F375" s="9" t="s">
        <v>7</v>
      </c>
      <c r="G375" s="120"/>
      <c r="H375" s="121">
        <v>250715</v>
      </c>
      <c r="I375" s="121" t="s">
        <v>156</v>
      </c>
      <c r="J375" s="115">
        <v>45864</v>
      </c>
      <c r="K375" s="110">
        <v>45869</v>
      </c>
      <c r="L375" s="111">
        <v>11301800</v>
      </c>
      <c r="M375" s="109" t="s">
        <v>237</v>
      </c>
      <c r="N375" s="34" t="s">
        <v>29</v>
      </c>
      <c r="O375" s="11"/>
      <c r="P375" s="113">
        <v>45952</v>
      </c>
      <c r="Q375" s="113">
        <v>45952</v>
      </c>
      <c r="R375" s="113">
        <v>45952</v>
      </c>
      <c r="S375" s="37">
        <f t="shared" si="70"/>
        <v>11301800</v>
      </c>
      <c r="T375" s="37">
        <f t="shared" si="71"/>
        <v>0</v>
      </c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</row>
    <row r="376" spans="1:31" hidden="1">
      <c r="A376" s="277" t="s">
        <v>4872</v>
      </c>
      <c r="B376" s="9" t="s">
        <v>21</v>
      </c>
      <c r="C376" s="9">
        <v>2025</v>
      </c>
      <c r="D376" s="9" t="s">
        <v>27</v>
      </c>
      <c r="E376" s="90" t="s">
        <v>23</v>
      </c>
      <c r="F376" s="9" t="s">
        <v>7</v>
      </c>
      <c r="G376" s="120"/>
      <c r="H376" s="121">
        <v>250718</v>
      </c>
      <c r="I376" s="121" t="s">
        <v>156</v>
      </c>
      <c r="J376" s="115">
        <v>45864</v>
      </c>
      <c r="K376" s="110">
        <v>45869</v>
      </c>
      <c r="L376" s="111">
        <v>9532600</v>
      </c>
      <c r="M376" s="109" t="s">
        <v>238</v>
      </c>
      <c r="N376" s="34" t="s">
        <v>29</v>
      </c>
      <c r="O376" s="11"/>
      <c r="P376" s="113">
        <v>45952</v>
      </c>
      <c r="Q376" s="113">
        <v>45952</v>
      </c>
      <c r="R376" s="113">
        <v>45952</v>
      </c>
      <c r="S376" s="37">
        <f t="shared" si="70"/>
        <v>9532600</v>
      </c>
      <c r="T376" s="37">
        <f t="shared" si="71"/>
        <v>0</v>
      </c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</row>
    <row r="377" spans="1:31" hidden="1">
      <c r="A377" s="277" t="s">
        <v>4873</v>
      </c>
      <c r="B377" s="9" t="s">
        <v>21</v>
      </c>
      <c r="C377" s="9">
        <v>2025</v>
      </c>
      <c r="D377" s="9" t="s">
        <v>27</v>
      </c>
      <c r="E377" s="90" t="s">
        <v>23</v>
      </c>
      <c r="F377" s="9" t="s">
        <v>7</v>
      </c>
      <c r="G377" s="120"/>
      <c r="H377" s="121">
        <v>250717</v>
      </c>
      <c r="I377" s="121" t="s">
        <v>156</v>
      </c>
      <c r="J377" s="115">
        <v>45864</v>
      </c>
      <c r="K377" s="110">
        <v>45869</v>
      </c>
      <c r="L377" s="111">
        <v>8979900</v>
      </c>
      <c r="M377" s="109" t="s">
        <v>239</v>
      </c>
      <c r="N377" s="34" t="s">
        <v>29</v>
      </c>
      <c r="O377" s="11"/>
      <c r="P377" s="113">
        <v>45952</v>
      </c>
      <c r="Q377" s="113">
        <v>45952</v>
      </c>
      <c r="R377" s="113">
        <v>45952</v>
      </c>
      <c r="S377" s="37">
        <f t="shared" si="70"/>
        <v>8979900</v>
      </c>
      <c r="T377" s="37">
        <f t="shared" si="71"/>
        <v>0</v>
      </c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</row>
    <row r="378" spans="1:31" hidden="1">
      <c r="A378" s="277" t="s">
        <v>4874</v>
      </c>
      <c r="B378" s="9" t="s">
        <v>21</v>
      </c>
      <c r="C378" s="9">
        <v>2025</v>
      </c>
      <c r="D378" s="9" t="s">
        <v>27</v>
      </c>
      <c r="E378" s="90" t="s">
        <v>23</v>
      </c>
      <c r="F378" s="9" t="s">
        <v>7</v>
      </c>
      <c r="G378" s="120"/>
      <c r="H378" s="121">
        <v>250716</v>
      </c>
      <c r="I378" s="121" t="s">
        <v>156</v>
      </c>
      <c r="J378" s="115">
        <v>45864</v>
      </c>
      <c r="K378" s="110">
        <v>45878</v>
      </c>
      <c r="L378" s="111">
        <v>14764400</v>
      </c>
      <c r="M378" s="109" t="s">
        <v>240</v>
      </c>
      <c r="N378" s="34" t="s">
        <v>29</v>
      </c>
      <c r="O378" s="11"/>
      <c r="P378" s="113">
        <v>45952</v>
      </c>
      <c r="Q378" s="113">
        <v>45952</v>
      </c>
      <c r="R378" s="113">
        <v>45952</v>
      </c>
      <c r="S378" s="37">
        <f t="shared" si="70"/>
        <v>14764400</v>
      </c>
      <c r="T378" s="37">
        <f t="shared" si="71"/>
        <v>0</v>
      </c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</row>
    <row r="379" spans="1:31" hidden="1">
      <c r="A379" s="277" t="s">
        <v>4875</v>
      </c>
      <c r="B379" s="9" t="s">
        <v>21</v>
      </c>
      <c r="C379" s="9">
        <v>2025</v>
      </c>
      <c r="D379" s="9" t="s">
        <v>27</v>
      </c>
      <c r="E379" s="90" t="s">
        <v>23</v>
      </c>
      <c r="F379" s="9" t="s">
        <v>7</v>
      </c>
      <c r="G379" s="120"/>
      <c r="H379" s="121">
        <v>250727</v>
      </c>
      <c r="I379" s="121" t="s">
        <v>156</v>
      </c>
      <c r="J379" s="115">
        <v>45866</v>
      </c>
      <c r="K379" s="110">
        <v>45878</v>
      </c>
      <c r="L379" s="111">
        <v>353380</v>
      </c>
      <c r="M379" s="109" t="s">
        <v>241</v>
      </c>
      <c r="N379" s="34" t="s">
        <v>29</v>
      </c>
      <c r="O379" s="11"/>
      <c r="P379" s="113">
        <v>45952</v>
      </c>
      <c r="Q379" s="113">
        <v>45952</v>
      </c>
      <c r="R379" s="113">
        <v>45952</v>
      </c>
      <c r="S379" s="37">
        <f t="shared" si="70"/>
        <v>353380</v>
      </c>
      <c r="T379" s="37">
        <f t="shared" si="71"/>
        <v>0</v>
      </c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</row>
    <row r="380" spans="1:31" hidden="1">
      <c r="A380" s="277" t="s">
        <v>4876</v>
      </c>
      <c r="B380" s="9" t="s">
        <v>21</v>
      </c>
      <c r="C380" s="9">
        <v>2025</v>
      </c>
      <c r="D380" s="9" t="s">
        <v>27</v>
      </c>
      <c r="E380" s="90" t="s">
        <v>23</v>
      </c>
      <c r="F380" s="9" t="s">
        <v>7</v>
      </c>
      <c r="G380" s="120"/>
      <c r="H380" s="121">
        <v>250762</v>
      </c>
      <c r="I380" s="121" t="s">
        <v>156</v>
      </c>
      <c r="J380" s="115">
        <v>45869</v>
      </c>
      <c r="K380" s="110">
        <v>45878</v>
      </c>
      <c r="L380" s="111">
        <v>2099843</v>
      </c>
      <c r="M380" s="109" t="s">
        <v>242</v>
      </c>
      <c r="N380" s="34" t="s">
        <v>29</v>
      </c>
      <c r="O380" s="125">
        <f>SUM(L380:L392)</f>
        <v>72263701</v>
      </c>
      <c r="P380" s="113">
        <v>45957</v>
      </c>
      <c r="Q380" s="113">
        <v>45957</v>
      </c>
      <c r="R380" s="113">
        <v>45957</v>
      </c>
      <c r="S380" s="37">
        <f t="shared" si="70"/>
        <v>2099843</v>
      </c>
      <c r="T380" s="37">
        <f t="shared" si="71"/>
        <v>0</v>
      </c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</row>
    <row r="381" spans="1:31" hidden="1">
      <c r="A381" s="277" t="s">
        <v>4877</v>
      </c>
      <c r="B381" s="9" t="s">
        <v>21</v>
      </c>
      <c r="C381" s="9">
        <v>2025</v>
      </c>
      <c r="D381" s="9" t="s">
        <v>27</v>
      </c>
      <c r="E381" s="90" t="s">
        <v>23</v>
      </c>
      <c r="F381" s="9" t="s">
        <v>7</v>
      </c>
      <c r="G381" s="120"/>
      <c r="H381" s="121">
        <v>250764</v>
      </c>
      <c r="I381" s="121" t="s">
        <v>156</v>
      </c>
      <c r="J381" s="115">
        <v>45869</v>
      </c>
      <c r="K381" s="110">
        <v>45878</v>
      </c>
      <c r="L381" s="111">
        <v>3025500</v>
      </c>
      <c r="M381" s="109" t="s">
        <v>243</v>
      </c>
      <c r="N381" s="34" t="s">
        <v>29</v>
      </c>
      <c r="O381" s="11"/>
      <c r="P381" s="113">
        <v>45957</v>
      </c>
      <c r="Q381" s="113">
        <v>45957</v>
      </c>
      <c r="R381" s="113">
        <v>45957</v>
      </c>
      <c r="S381" s="37">
        <f t="shared" si="70"/>
        <v>3025500</v>
      </c>
      <c r="T381" s="37">
        <f t="shared" si="71"/>
        <v>0</v>
      </c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</row>
    <row r="382" spans="1:31" hidden="1">
      <c r="A382" s="277" t="s">
        <v>4878</v>
      </c>
      <c r="B382" s="9" t="s">
        <v>21</v>
      </c>
      <c r="C382" s="9">
        <v>2025</v>
      </c>
      <c r="D382" s="9" t="s">
        <v>27</v>
      </c>
      <c r="E382" s="90" t="s">
        <v>23</v>
      </c>
      <c r="F382" s="9" t="s">
        <v>7</v>
      </c>
      <c r="G382" s="120"/>
      <c r="H382" s="121">
        <v>250763</v>
      </c>
      <c r="I382" s="121" t="s">
        <v>156</v>
      </c>
      <c r="J382" s="115">
        <v>45869</v>
      </c>
      <c r="K382" s="110">
        <v>45878</v>
      </c>
      <c r="L382" s="111">
        <v>4865998</v>
      </c>
      <c r="M382" s="109" t="s">
        <v>244</v>
      </c>
      <c r="N382" s="34" t="s">
        <v>29</v>
      </c>
      <c r="O382" s="11"/>
      <c r="P382" s="113">
        <v>45957</v>
      </c>
      <c r="Q382" s="113">
        <v>45957</v>
      </c>
      <c r="R382" s="113">
        <v>45957</v>
      </c>
      <c r="S382" s="37">
        <f t="shared" si="70"/>
        <v>4865998</v>
      </c>
      <c r="T382" s="37">
        <f t="shared" si="71"/>
        <v>0</v>
      </c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</row>
    <row r="383" spans="1:31" hidden="1">
      <c r="A383" s="277" t="s">
        <v>4879</v>
      </c>
      <c r="B383" s="9" t="s">
        <v>21</v>
      </c>
      <c r="C383" s="9">
        <v>2025</v>
      </c>
      <c r="D383" s="9" t="s">
        <v>27</v>
      </c>
      <c r="E383" s="90" t="s">
        <v>23</v>
      </c>
      <c r="F383" s="9" t="s">
        <v>7</v>
      </c>
      <c r="G383" s="120"/>
      <c r="H383" s="121">
        <v>250776</v>
      </c>
      <c r="I383" s="121" t="s">
        <v>156</v>
      </c>
      <c r="J383" s="115">
        <v>45869</v>
      </c>
      <c r="K383" s="110">
        <v>45878</v>
      </c>
      <c r="L383" s="111">
        <v>1002000</v>
      </c>
      <c r="M383" s="109" t="s">
        <v>245</v>
      </c>
      <c r="N383" s="34" t="s">
        <v>29</v>
      </c>
      <c r="O383" s="11"/>
      <c r="P383" s="113">
        <v>45957</v>
      </c>
      <c r="Q383" s="113">
        <v>45957</v>
      </c>
      <c r="R383" s="113">
        <v>45957</v>
      </c>
      <c r="S383" s="37">
        <f t="shared" si="70"/>
        <v>1002000</v>
      </c>
      <c r="T383" s="37">
        <f t="shared" si="71"/>
        <v>0</v>
      </c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</row>
    <row r="384" spans="1:31" hidden="1">
      <c r="A384" s="277" t="s">
        <v>4880</v>
      </c>
      <c r="B384" s="9" t="s">
        <v>21</v>
      </c>
      <c r="C384" s="9">
        <v>2025</v>
      </c>
      <c r="D384" s="9" t="s">
        <v>27</v>
      </c>
      <c r="E384" s="90" t="s">
        <v>23</v>
      </c>
      <c r="F384" s="9" t="s">
        <v>7</v>
      </c>
      <c r="G384" s="120"/>
      <c r="H384" s="121">
        <v>250777</v>
      </c>
      <c r="I384" s="121" t="s">
        <v>156</v>
      </c>
      <c r="J384" s="115">
        <v>45869</v>
      </c>
      <c r="K384" s="110">
        <v>45878</v>
      </c>
      <c r="L384" s="111">
        <v>3358860</v>
      </c>
      <c r="M384" s="109" t="s">
        <v>246</v>
      </c>
      <c r="N384" s="34" t="s">
        <v>29</v>
      </c>
      <c r="O384" s="11"/>
      <c r="P384" s="113">
        <v>45957</v>
      </c>
      <c r="Q384" s="113">
        <v>45957</v>
      </c>
      <c r="R384" s="113">
        <v>45957</v>
      </c>
      <c r="S384" s="37">
        <f t="shared" si="70"/>
        <v>3358860</v>
      </c>
      <c r="T384" s="37">
        <f t="shared" si="71"/>
        <v>0</v>
      </c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</row>
    <row r="385" spans="1:31" hidden="1">
      <c r="A385" s="277" t="s">
        <v>4881</v>
      </c>
      <c r="B385" s="9" t="s">
        <v>21</v>
      </c>
      <c r="C385" s="9">
        <v>2025</v>
      </c>
      <c r="D385" s="9" t="s">
        <v>27</v>
      </c>
      <c r="E385" s="90" t="s">
        <v>23</v>
      </c>
      <c r="F385" s="9" t="s">
        <v>7</v>
      </c>
      <c r="G385" s="120"/>
      <c r="H385" s="121">
        <v>250775</v>
      </c>
      <c r="I385" s="121" t="s">
        <v>156</v>
      </c>
      <c r="J385" s="115">
        <v>45869</v>
      </c>
      <c r="K385" s="110">
        <v>45878</v>
      </c>
      <c r="L385" s="111">
        <v>4075920</v>
      </c>
      <c r="M385" s="109" t="s">
        <v>247</v>
      </c>
      <c r="N385" s="34" t="s">
        <v>29</v>
      </c>
      <c r="O385" s="11"/>
      <c r="P385" s="113">
        <v>45957</v>
      </c>
      <c r="Q385" s="113">
        <v>45957</v>
      </c>
      <c r="R385" s="113">
        <v>45957</v>
      </c>
      <c r="S385" s="37">
        <f t="shared" si="70"/>
        <v>4075920</v>
      </c>
      <c r="T385" s="37">
        <f t="shared" si="71"/>
        <v>0</v>
      </c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</row>
    <row r="386" spans="1:31" hidden="1">
      <c r="A386" s="277" t="s">
        <v>4882</v>
      </c>
      <c r="B386" s="9" t="s">
        <v>21</v>
      </c>
      <c r="C386" s="9">
        <v>2025</v>
      </c>
      <c r="D386" s="9" t="s">
        <v>27</v>
      </c>
      <c r="E386" s="90" t="s">
        <v>23</v>
      </c>
      <c r="F386" s="9" t="s">
        <v>7</v>
      </c>
      <c r="G386" s="120"/>
      <c r="H386" s="121">
        <v>250832</v>
      </c>
      <c r="I386" s="121" t="s">
        <v>156</v>
      </c>
      <c r="J386" s="115">
        <v>45888</v>
      </c>
      <c r="K386" s="110">
        <v>45902</v>
      </c>
      <c r="L386" s="111">
        <v>2567000</v>
      </c>
      <c r="M386" s="109" t="s">
        <v>248</v>
      </c>
      <c r="N386" s="34" t="s">
        <v>29</v>
      </c>
      <c r="O386" s="11"/>
      <c r="P386" s="113">
        <v>45957</v>
      </c>
      <c r="Q386" s="113">
        <v>45957</v>
      </c>
      <c r="R386" s="113">
        <v>45957</v>
      </c>
      <c r="S386" s="37">
        <f t="shared" si="70"/>
        <v>2567000</v>
      </c>
      <c r="T386" s="37">
        <f t="shared" si="71"/>
        <v>0</v>
      </c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</row>
    <row r="387" spans="1:31" hidden="1">
      <c r="A387" s="277" t="s">
        <v>4883</v>
      </c>
      <c r="B387" s="9" t="s">
        <v>21</v>
      </c>
      <c r="C387" s="9">
        <v>2025</v>
      </c>
      <c r="D387" s="9" t="s">
        <v>27</v>
      </c>
      <c r="E387" s="90" t="s">
        <v>23</v>
      </c>
      <c r="F387" s="9" t="s">
        <v>7</v>
      </c>
      <c r="G387" s="120"/>
      <c r="H387" s="121">
        <v>250829</v>
      </c>
      <c r="I387" s="121" t="s">
        <v>156</v>
      </c>
      <c r="J387" s="115">
        <v>45888</v>
      </c>
      <c r="K387" s="110">
        <v>45902</v>
      </c>
      <c r="L387" s="111">
        <v>7713201</v>
      </c>
      <c r="M387" s="109" t="s">
        <v>249</v>
      </c>
      <c r="N387" s="34" t="s">
        <v>29</v>
      </c>
      <c r="O387" s="11"/>
      <c r="P387" s="113">
        <v>45957</v>
      </c>
      <c r="Q387" s="113">
        <v>45957</v>
      </c>
      <c r="R387" s="113">
        <v>45957</v>
      </c>
      <c r="S387" s="37">
        <f t="shared" si="70"/>
        <v>7713201</v>
      </c>
      <c r="T387" s="37">
        <f t="shared" si="71"/>
        <v>0</v>
      </c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</row>
    <row r="388" spans="1:31" hidden="1">
      <c r="A388" s="277" t="s">
        <v>4884</v>
      </c>
      <c r="B388" s="9" t="s">
        <v>21</v>
      </c>
      <c r="C388" s="9">
        <v>2025</v>
      </c>
      <c r="D388" s="9" t="s">
        <v>27</v>
      </c>
      <c r="E388" s="90" t="s">
        <v>23</v>
      </c>
      <c r="F388" s="9" t="s">
        <v>7</v>
      </c>
      <c r="G388" s="120"/>
      <c r="H388" s="121">
        <v>250831</v>
      </c>
      <c r="I388" s="121" t="s">
        <v>156</v>
      </c>
      <c r="J388" s="115">
        <v>45888</v>
      </c>
      <c r="K388" s="110">
        <v>45902</v>
      </c>
      <c r="L388" s="111">
        <v>6570000</v>
      </c>
      <c r="M388" s="109" t="s">
        <v>250</v>
      </c>
      <c r="N388" s="34" t="s">
        <v>29</v>
      </c>
      <c r="O388" s="11"/>
      <c r="P388" s="113">
        <v>45957</v>
      </c>
      <c r="Q388" s="113">
        <v>45957</v>
      </c>
      <c r="R388" s="113">
        <v>45957</v>
      </c>
      <c r="S388" s="37">
        <f t="shared" si="70"/>
        <v>6570000</v>
      </c>
      <c r="T388" s="37">
        <f t="shared" si="71"/>
        <v>0</v>
      </c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</row>
    <row r="389" spans="1:31" hidden="1">
      <c r="A389" s="277" t="s">
        <v>4885</v>
      </c>
      <c r="B389" s="9" t="s">
        <v>21</v>
      </c>
      <c r="C389" s="9">
        <v>2025</v>
      </c>
      <c r="D389" s="9" t="s">
        <v>27</v>
      </c>
      <c r="E389" s="90" t="s">
        <v>23</v>
      </c>
      <c r="F389" s="9" t="s">
        <v>7</v>
      </c>
      <c r="G389" s="120"/>
      <c r="H389" s="121">
        <v>250835</v>
      </c>
      <c r="I389" s="121" t="s">
        <v>156</v>
      </c>
      <c r="J389" s="115">
        <v>45888</v>
      </c>
      <c r="K389" s="110">
        <v>45902</v>
      </c>
      <c r="L389" s="111">
        <v>16099999</v>
      </c>
      <c r="M389" s="109" t="s">
        <v>251</v>
      </c>
      <c r="N389" s="34" t="s">
        <v>29</v>
      </c>
      <c r="O389" s="11"/>
      <c r="P389" s="113">
        <v>45957</v>
      </c>
      <c r="Q389" s="113">
        <v>45957</v>
      </c>
      <c r="R389" s="113">
        <v>45957</v>
      </c>
      <c r="S389" s="37">
        <f t="shared" si="70"/>
        <v>16099999</v>
      </c>
      <c r="T389" s="37">
        <f t="shared" si="71"/>
        <v>0</v>
      </c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</row>
    <row r="390" spans="1:31" hidden="1">
      <c r="A390" s="277" t="s">
        <v>4886</v>
      </c>
      <c r="B390" s="9" t="s">
        <v>21</v>
      </c>
      <c r="C390" s="9">
        <v>2025</v>
      </c>
      <c r="D390" s="9" t="s">
        <v>27</v>
      </c>
      <c r="E390" s="90" t="s">
        <v>23</v>
      </c>
      <c r="F390" s="9" t="s">
        <v>7</v>
      </c>
      <c r="G390" s="120"/>
      <c r="H390" s="121">
        <v>250852</v>
      </c>
      <c r="I390" s="121" t="s">
        <v>156</v>
      </c>
      <c r="J390" s="115">
        <v>45894</v>
      </c>
      <c r="K390" s="110">
        <v>45902</v>
      </c>
      <c r="L390" s="111">
        <v>9552000</v>
      </c>
      <c r="M390" s="109" t="s">
        <v>252</v>
      </c>
      <c r="N390" s="34" t="s">
        <v>29</v>
      </c>
      <c r="O390" s="11"/>
      <c r="P390" s="113">
        <v>45957</v>
      </c>
      <c r="Q390" s="113">
        <v>45957</v>
      </c>
      <c r="R390" s="113">
        <v>45957</v>
      </c>
      <c r="S390" s="37">
        <f t="shared" si="70"/>
        <v>9552000</v>
      </c>
      <c r="T390" s="37">
        <f t="shared" si="71"/>
        <v>0</v>
      </c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</row>
    <row r="391" spans="1:31" hidden="1">
      <c r="A391" s="277" t="s">
        <v>4887</v>
      </c>
      <c r="B391" s="9" t="s">
        <v>21</v>
      </c>
      <c r="C391" s="9">
        <v>2025</v>
      </c>
      <c r="D391" s="9" t="s">
        <v>27</v>
      </c>
      <c r="E391" s="90" t="s">
        <v>23</v>
      </c>
      <c r="F391" s="9" t="s">
        <v>7</v>
      </c>
      <c r="G391" s="120"/>
      <c r="H391" s="121">
        <v>250855</v>
      </c>
      <c r="I391" s="121" t="s">
        <v>156</v>
      </c>
      <c r="J391" s="115">
        <v>45895</v>
      </c>
      <c r="K391" s="110">
        <v>45902</v>
      </c>
      <c r="L391" s="111">
        <v>5219500</v>
      </c>
      <c r="M391" s="109" t="s">
        <v>253</v>
      </c>
      <c r="N391" s="34" t="s">
        <v>29</v>
      </c>
      <c r="O391" s="11"/>
      <c r="P391" s="113">
        <v>45957</v>
      </c>
      <c r="Q391" s="113">
        <v>45957</v>
      </c>
      <c r="R391" s="113">
        <v>45957</v>
      </c>
      <c r="S391" s="37">
        <f t="shared" si="70"/>
        <v>5219500</v>
      </c>
      <c r="T391" s="37">
        <f t="shared" si="71"/>
        <v>0</v>
      </c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</row>
    <row r="392" spans="1:31" hidden="1">
      <c r="A392" s="277" t="s">
        <v>4888</v>
      </c>
      <c r="B392" s="9" t="s">
        <v>21</v>
      </c>
      <c r="C392" s="9">
        <v>2025</v>
      </c>
      <c r="D392" s="9" t="s">
        <v>27</v>
      </c>
      <c r="E392" s="90" t="s">
        <v>23</v>
      </c>
      <c r="F392" s="9" t="s">
        <v>7</v>
      </c>
      <c r="G392" s="120"/>
      <c r="H392" s="121">
        <v>250854</v>
      </c>
      <c r="I392" s="121" t="s">
        <v>156</v>
      </c>
      <c r="J392" s="115">
        <v>45895</v>
      </c>
      <c r="K392" s="110">
        <v>45902</v>
      </c>
      <c r="L392" s="111">
        <v>6113880</v>
      </c>
      <c r="M392" s="109" t="s">
        <v>254</v>
      </c>
      <c r="N392" s="34" t="s">
        <v>29</v>
      </c>
      <c r="O392" s="11"/>
      <c r="P392" s="113">
        <v>45957</v>
      </c>
      <c r="Q392" s="113">
        <v>45957</v>
      </c>
      <c r="R392" s="113">
        <v>45957</v>
      </c>
      <c r="S392" s="37">
        <f t="shared" si="70"/>
        <v>6113880</v>
      </c>
      <c r="T392" s="37">
        <f t="shared" si="71"/>
        <v>0</v>
      </c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</row>
    <row r="393" spans="1:31" hidden="1">
      <c r="A393" s="277" t="s">
        <v>4889</v>
      </c>
      <c r="B393" s="9" t="s">
        <v>21</v>
      </c>
      <c r="C393" s="9">
        <v>2025</v>
      </c>
      <c r="D393" s="9" t="s">
        <v>27</v>
      </c>
      <c r="E393" s="90" t="s">
        <v>23</v>
      </c>
      <c r="F393" s="9" t="s">
        <v>7</v>
      </c>
      <c r="G393" s="120"/>
      <c r="H393" s="121">
        <v>250863</v>
      </c>
      <c r="I393" s="121" t="s">
        <v>156</v>
      </c>
      <c r="J393" s="115">
        <v>45897</v>
      </c>
      <c r="K393" s="110">
        <v>45902</v>
      </c>
      <c r="L393" s="111">
        <v>1259906</v>
      </c>
      <c r="M393" s="109" t="s">
        <v>255</v>
      </c>
      <c r="N393" s="34" t="s">
        <v>29</v>
      </c>
      <c r="O393" s="125">
        <f>SUM(L393:L402)</f>
        <v>57440179</v>
      </c>
      <c r="P393" s="113">
        <v>46020</v>
      </c>
      <c r="Q393" s="113">
        <v>46020</v>
      </c>
      <c r="R393" s="113">
        <v>46020</v>
      </c>
      <c r="S393" s="37">
        <f t="shared" si="70"/>
        <v>1259906</v>
      </c>
      <c r="T393" s="37">
        <f t="shared" si="71"/>
        <v>0</v>
      </c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</row>
    <row r="394" spans="1:31" hidden="1">
      <c r="A394" s="277" t="s">
        <v>4890</v>
      </c>
      <c r="B394" s="9" t="s">
        <v>21</v>
      </c>
      <c r="C394" s="9">
        <v>2025</v>
      </c>
      <c r="D394" s="9" t="s">
        <v>27</v>
      </c>
      <c r="E394" s="90" t="s">
        <v>23</v>
      </c>
      <c r="F394" s="9" t="s">
        <v>7</v>
      </c>
      <c r="G394" s="120"/>
      <c r="H394" s="121">
        <v>250865</v>
      </c>
      <c r="I394" s="121" t="s">
        <v>156</v>
      </c>
      <c r="J394" s="115">
        <v>45897</v>
      </c>
      <c r="K394" s="110">
        <v>45902</v>
      </c>
      <c r="L394" s="111">
        <v>4409457</v>
      </c>
      <c r="M394" s="109" t="s">
        <v>256</v>
      </c>
      <c r="N394" s="34" t="s">
        <v>29</v>
      </c>
      <c r="O394" s="11"/>
      <c r="P394" s="113">
        <v>46020</v>
      </c>
      <c r="Q394" s="113">
        <v>46020</v>
      </c>
      <c r="R394" s="113">
        <v>46020</v>
      </c>
      <c r="S394" s="37">
        <f t="shared" si="70"/>
        <v>4409457</v>
      </c>
      <c r="T394" s="37">
        <f t="shared" si="71"/>
        <v>0</v>
      </c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</row>
    <row r="395" spans="1:31" hidden="1">
      <c r="A395" s="277" t="s">
        <v>4891</v>
      </c>
      <c r="B395" s="9" t="s">
        <v>21</v>
      </c>
      <c r="C395" s="9">
        <v>2025</v>
      </c>
      <c r="D395" s="9" t="s">
        <v>27</v>
      </c>
      <c r="E395" s="90" t="s">
        <v>23</v>
      </c>
      <c r="F395" s="9" t="s">
        <v>7</v>
      </c>
      <c r="G395" s="120"/>
      <c r="H395" s="121">
        <v>250900</v>
      </c>
      <c r="I395" s="121" t="s">
        <v>156</v>
      </c>
      <c r="J395" s="115">
        <v>45898</v>
      </c>
      <c r="K395" s="110">
        <v>45911</v>
      </c>
      <c r="L395" s="111">
        <v>2205116</v>
      </c>
      <c r="M395" s="109" t="s">
        <v>257</v>
      </c>
      <c r="N395" s="34" t="s">
        <v>29</v>
      </c>
      <c r="O395" s="11"/>
      <c r="P395" s="113">
        <v>46020</v>
      </c>
      <c r="Q395" s="113">
        <v>46020</v>
      </c>
      <c r="R395" s="113">
        <v>46020</v>
      </c>
      <c r="S395" s="37">
        <f t="shared" si="70"/>
        <v>2205116</v>
      </c>
      <c r="T395" s="37">
        <f t="shared" si="71"/>
        <v>0</v>
      </c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</row>
    <row r="396" spans="1:31" hidden="1">
      <c r="A396" s="277" t="s">
        <v>4892</v>
      </c>
      <c r="B396" s="9" t="s">
        <v>21</v>
      </c>
      <c r="C396" s="9">
        <v>2025</v>
      </c>
      <c r="D396" s="9" t="s">
        <v>27</v>
      </c>
      <c r="E396" s="90" t="s">
        <v>23</v>
      </c>
      <c r="F396" s="9" t="s">
        <v>7</v>
      </c>
      <c r="G396" s="120"/>
      <c r="H396" s="121">
        <v>250877</v>
      </c>
      <c r="I396" s="121" t="s">
        <v>156</v>
      </c>
      <c r="J396" s="115">
        <v>45898</v>
      </c>
      <c r="K396" s="110">
        <v>45911</v>
      </c>
      <c r="L396" s="111">
        <v>3549600</v>
      </c>
      <c r="M396" s="109" t="s">
        <v>258</v>
      </c>
      <c r="N396" s="34" t="s">
        <v>29</v>
      </c>
      <c r="O396" s="11"/>
      <c r="P396" s="113">
        <v>46020</v>
      </c>
      <c r="Q396" s="113">
        <v>46020</v>
      </c>
      <c r="R396" s="113">
        <v>46020</v>
      </c>
      <c r="S396" s="37">
        <f t="shared" si="70"/>
        <v>3549600</v>
      </c>
      <c r="T396" s="37">
        <f t="shared" si="71"/>
        <v>0</v>
      </c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</row>
    <row r="397" spans="1:31" hidden="1">
      <c r="A397" s="277" t="s">
        <v>4893</v>
      </c>
      <c r="B397" s="9" t="s">
        <v>21</v>
      </c>
      <c r="C397" s="9">
        <v>2025</v>
      </c>
      <c r="D397" s="9" t="s">
        <v>27</v>
      </c>
      <c r="E397" s="90" t="s">
        <v>23</v>
      </c>
      <c r="F397" s="9" t="s">
        <v>7</v>
      </c>
      <c r="G397" s="120"/>
      <c r="H397" s="121">
        <v>250902</v>
      </c>
      <c r="I397" s="121" t="s">
        <v>156</v>
      </c>
      <c r="J397" s="115">
        <v>45898</v>
      </c>
      <c r="K397" s="110">
        <v>45911</v>
      </c>
      <c r="L397" s="111">
        <v>8175600</v>
      </c>
      <c r="M397" s="109" t="s">
        <v>259</v>
      </c>
      <c r="N397" s="34" t="s">
        <v>29</v>
      </c>
      <c r="O397" s="11"/>
      <c r="P397" s="113">
        <v>46020</v>
      </c>
      <c r="Q397" s="113">
        <v>46020</v>
      </c>
      <c r="R397" s="113">
        <v>46020</v>
      </c>
      <c r="S397" s="37">
        <f t="shared" si="70"/>
        <v>8175600</v>
      </c>
      <c r="T397" s="37">
        <f t="shared" si="71"/>
        <v>0</v>
      </c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</row>
    <row r="398" spans="1:31" hidden="1">
      <c r="A398" s="277" t="s">
        <v>4894</v>
      </c>
      <c r="B398" s="9" t="s">
        <v>21</v>
      </c>
      <c r="C398" s="9">
        <v>2025</v>
      </c>
      <c r="D398" s="9" t="s">
        <v>27</v>
      </c>
      <c r="E398" s="90" t="s">
        <v>23</v>
      </c>
      <c r="F398" s="9" t="s">
        <v>7</v>
      </c>
      <c r="G398" s="120"/>
      <c r="H398" s="121">
        <v>250876</v>
      </c>
      <c r="I398" s="121" t="s">
        <v>156</v>
      </c>
      <c r="J398" s="115">
        <v>45898</v>
      </c>
      <c r="K398" s="110">
        <v>45911</v>
      </c>
      <c r="L398" s="111">
        <v>9532600</v>
      </c>
      <c r="M398" s="109" t="s">
        <v>260</v>
      </c>
      <c r="N398" s="34" t="s">
        <v>29</v>
      </c>
      <c r="O398" s="11"/>
      <c r="P398" s="113">
        <v>46020</v>
      </c>
      <c r="Q398" s="113">
        <v>46020</v>
      </c>
      <c r="R398" s="113">
        <v>46020</v>
      </c>
      <c r="S398" s="37">
        <f t="shared" si="70"/>
        <v>9532600</v>
      </c>
      <c r="T398" s="37">
        <f t="shared" si="71"/>
        <v>0</v>
      </c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</row>
    <row r="399" spans="1:31" hidden="1">
      <c r="A399" s="277" t="s">
        <v>4895</v>
      </c>
      <c r="B399" s="9" t="s">
        <v>21</v>
      </c>
      <c r="C399" s="9">
        <v>2025</v>
      </c>
      <c r="D399" s="9" t="s">
        <v>27</v>
      </c>
      <c r="E399" s="90" t="s">
        <v>23</v>
      </c>
      <c r="F399" s="9" t="s">
        <v>7</v>
      </c>
      <c r="G399" s="120"/>
      <c r="H399" s="121">
        <v>250899</v>
      </c>
      <c r="I399" s="121" t="s">
        <v>156</v>
      </c>
      <c r="J399" s="115">
        <v>45899</v>
      </c>
      <c r="K399" s="110">
        <v>45911</v>
      </c>
      <c r="L399" s="111">
        <v>985500</v>
      </c>
      <c r="M399" s="109" t="s">
        <v>261</v>
      </c>
      <c r="N399" s="34" t="s">
        <v>29</v>
      </c>
      <c r="O399" s="11"/>
      <c r="P399" s="113">
        <v>46020</v>
      </c>
      <c r="Q399" s="113">
        <v>46020</v>
      </c>
      <c r="R399" s="113">
        <v>46020</v>
      </c>
      <c r="S399" s="37">
        <f t="shared" si="70"/>
        <v>985500</v>
      </c>
      <c r="T399" s="37">
        <f t="shared" si="71"/>
        <v>0</v>
      </c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</row>
    <row r="400" spans="1:31" hidden="1">
      <c r="A400" s="277" t="s">
        <v>4896</v>
      </c>
      <c r="B400" s="9" t="s">
        <v>21</v>
      </c>
      <c r="C400" s="9">
        <v>2025</v>
      </c>
      <c r="D400" s="9" t="s">
        <v>27</v>
      </c>
      <c r="E400" s="90" t="s">
        <v>23</v>
      </c>
      <c r="F400" s="9" t="s">
        <v>7</v>
      </c>
      <c r="G400" s="120"/>
      <c r="H400" s="121">
        <v>250895</v>
      </c>
      <c r="I400" s="121" t="s">
        <v>156</v>
      </c>
      <c r="J400" s="115">
        <v>45899</v>
      </c>
      <c r="K400" s="110">
        <v>45911</v>
      </c>
      <c r="L400" s="111">
        <v>2155000</v>
      </c>
      <c r="M400" s="109" t="s">
        <v>262</v>
      </c>
      <c r="N400" s="34" t="s">
        <v>29</v>
      </c>
      <c r="O400" s="11"/>
      <c r="P400" s="113">
        <v>46020</v>
      </c>
      <c r="Q400" s="113">
        <v>46020</v>
      </c>
      <c r="R400" s="113">
        <v>46020</v>
      </c>
      <c r="S400" s="37">
        <f t="shared" si="70"/>
        <v>2155000</v>
      </c>
      <c r="T400" s="37">
        <f t="shared" si="71"/>
        <v>0</v>
      </c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</row>
    <row r="401" spans="1:31" hidden="1">
      <c r="A401" s="277" t="s">
        <v>4897</v>
      </c>
      <c r="B401" s="9" t="s">
        <v>21</v>
      </c>
      <c r="C401" s="9">
        <v>2025</v>
      </c>
      <c r="D401" s="9" t="s">
        <v>27</v>
      </c>
      <c r="E401" s="90" t="s">
        <v>23</v>
      </c>
      <c r="F401" s="9" t="s">
        <v>7</v>
      </c>
      <c r="G401" s="120"/>
      <c r="H401" s="121">
        <v>250898</v>
      </c>
      <c r="I401" s="121" t="s">
        <v>156</v>
      </c>
      <c r="J401" s="115">
        <v>45899</v>
      </c>
      <c r="K401" s="110">
        <v>45911</v>
      </c>
      <c r="L401" s="111">
        <v>3418800</v>
      </c>
      <c r="M401" s="109" t="s">
        <v>263</v>
      </c>
      <c r="N401" s="34" t="s">
        <v>29</v>
      </c>
      <c r="O401" s="11"/>
      <c r="P401" s="113">
        <v>46020</v>
      </c>
      <c r="Q401" s="113">
        <v>46020</v>
      </c>
      <c r="R401" s="113">
        <v>46020</v>
      </c>
      <c r="S401" s="37">
        <f t="shared" si="70"/>
        <v>3418800</v>
      </c>
      <c r="T401" s="37">
        <f t="shared" si="71"/>
        <v>0</v>
      </c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</row>
    <row r="402" spans="1:31" hidden="1">
      <c r="A402" s="277" t="s">
        <v>4898</v>
      </c>
      <c r="B402" s="9" t="s">
        <v>21</v>
      </c>
      <c r="C402" s="9">
        <v>2025</v>
      </c>
      <c r="D402" s="9" t="s">
        <v>27</v>
      </c>
      <c r="E402" s="90" t="s">
        <v>23</v>
      </c>
      <c r="F402" s="9" t="s">
        <v>7</v>
      </c>
      <c r="G402" s="120"/>
      <c r="H402" s="121">
        <v>250897</v>
      </c>
      <c r="I402" s="121" t="s">
        <v>156</v>
      </c>
      <c r="J402" s="115">
        <v>45899</v>
      </c>
      <c r="K402" s="110">
        <v>45911</v>
      </c>
      <c r="L402" s="111">
        <v>21748600</v>
      </c>
      <c r="M402" s="109" t="s">
        <v>264</v>
      </c>
      <c r="N402" s="34" t="s">
        <v>29</v>
      </c>
      <c r="O402" s="11"/>
      <c r="P402" s="113">
        <v>46020</v>
      </c>
      <c r="Q402" s="113">
        <v>46020</v>
      </c>
      <c r="R402" s="113">
        <v>46020</v>
      </c>
      <c r="S402" s="37">
        <f t="shared" si="70"/>
        <v>21748600</v>
      </c>
      <c r="T402" s="37">
        <f t="shared" si="71"/>
        <v>0</v>
      </c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</row>
    <row r="403" spans="1:31" ht="14.25" hidden="1" customHeight="1">
      <c r="A403" s="277" t="s">
        <v>4899</v>
      </c>
      <c r="B403" s="9" t="s">
        <v>21</v>
      </c>
      <c r="C403" s="9">
        <v>2025</v>
      </c>
      <c r="D403" s="9" t="s">
        <v>27</v>
      </c>
      <c r="E403" s="90" t="s">
        <v>23</v>
      </c>
      <c r="F403" s="9" t="s">
        <v>7</v>
      </c>
      <c r="G403" s="120"/>
      <c r="H403" s="121">
        <v>251128</v>
      </c>
      <c r="I403" s="121" t="s">
        <v>156</v>
      </c>
      <c r="J403" s="115">
        <v>45961</v>
      </c>
      <c r="K403" s="110">
        <v>45972</v>
      </c>
      <c r="L403" s="111">
        <v>49111349</v>
      </c>
      <c r="M403" s="109" t="s">
        <v>3963</v>
      </c>
      <c r="N403" s="34" t="s">
        <v>29</v>
      </c>
      <c r="O403" s="125">
        <f>SUM(L403:L427)</f>
        <v>231866477</v>
      </c>
      <c r="P403" s="113">
        <v>46080</v>
      </c>
      <c r="Q403" s="113">
        <v>46080</v>
      </c>
      <c r="R403" s="113">
        <v>46080</v>
      </c>
      <c r="S403" s="37">
        <f>IF(R403="",0,L403)</f>
        <v>49111349</v>
      </c>
      <c r="T403" s="37">
        <f>L403-S403</f>
        <v>0</v>
      </c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</row>
    <row r="404" spans="1:31" ht="14.25" hidden="1" customHeight="1">
      <c r="A404" s="277" t="s">
        <v>4900</v>
      </c>
      <c r="B404" s="9" t="s">
        <v>21</v>
      </c>
      <c r="C404" s="9">
        <v>2025</v>
      </c>
      <c r="D404" s="9" t="s">
        <v>27</v>
      </c>
      <c r="E404" s="90" t="s">
        <v>23</v>
      </c>
      <c r="F404" s="9" t="s">
        <v>7</v>
      </c>
      <c r="G404" s="120"/>
      <c r="H404" s="121"/>
      <c r="I404" s="121" t="s">
        <v>156</v>
      </c>
      <c r="J404" s="115"/>
      <c r="K404" s="110"/>
      <c r="L404" s="269">
        <v>-1558550</v>
      </c>
      <c r="M404" s="109" t="s">
        <v>4262</v>
      </c>
      <c r="N404" s="34" t="s">
        <v>29</v>
      </c>
      <c r="O404" s="11"/>
      <c r="P404" s="113">
        <v>46080</v>
      </c>
      <c r="Q404" s="113">
        <v>46080</v>
      </c>
      <c r="R404" s="113">
        <v>46080</v>
      </c>
      <c r="S404" s="37">
        <f t="shared" si="70"/>
        <v>-1558550</v>
      </c>
      <c r="T404" s="37">
        <f t="shared" si="71"/>
        <v>0</v>
      </c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</row>
    <row r="405" spans="1:31" ht="14.25" hidden="1" customHeight="1">
      <c r="A405" s="277" t="s">
        <v>4901</v>
      </c>
      <c r="B405" s="9" t="s">
        <v>21</v>
      </c>
      <c r="C405" s="9">
        <v>2025</v>
      </c>
      <c r="D405" s="9" t="s">
        <v>27</v>
      </c>
      <c r="E405" s="90" t="s">
        <v>23</v>
      </c>
      <c r="F405" s="9" t="s">
        <v>7</v>
      </c>
      <c r="G405" s="120"/>
      <c r="H405" s="121">
        <v>251129</v>
      </c>
      <c r="I405" s="121" t="s">
        <v>156</v>
      </c>
      <c r="J405" s="115">
        <v>45961</v>
      </c>
      <c r="K405" s="110">
        <v>45972</v>
      </c>
      <c r="L405" s="111">
        <v>3178596</v>
      </c>
      <c r="M405" s="109" t="s">
        <v>3960</v>
      </c>
      <c r="N405" s="34" t="s">
        <v>29</v>
      </c>
      <c r="O405" s="11"/>
      <c r="P405" s="113">
        <v>46080</v>
      </c>
      <c r="Q405" s="113">
        <v>46080</v>
      </c>
      <c r="R405" s="113">
        <v>46080</v>
      </c>
      <c r="S405" s="37">
        <f t="shared" ref="S405:S412" si="72">IF(R405="",0,L405)</f>
        <v>3178596</v>
      </c>
      <c r="T405" s="37">
        <f t="shared" ref="T405:T412" si="73">L405-S405</f>
        <v>0</v>
      </c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</row>
    <row r="406" spans="1:31" ht="14.25" hidden="1" customHeight="1">
      <c r="A406" s="277" t="s">
        <v>4902</v>
      </c>
      <c r="B406" s="9" t="s">
        <v>21</v>
      </c>
      <c r="C406" s="9">
        <v>2025</v>
      </c>
      <c r="D406" s="9" t="s">
        <v>27</v>
      </c>
      <c r="E406" s="90" t="s">
        <v>23</v>
      </c>
      <c r="F406" s="9" t="s">
        <v>7</v>
      </c>
      <c r="G406" s="120"/>
      <c r="H406" s="121">
        <v>251127</v>
      </c>
      <c r="I406" s="121" t="s">
        <v>156</v>
      </c>
      <c r="J406" s="115">
        <v>45961</v>
      </c>
      <c r="K406" s="110">
        <v>45972</v>
      </c>
      <c r="L406" s="111">
        <v>2931577</v>
      </c>
      <c r="M406" s="109" t="s">
        <v>3961</v>
      </c>
      <c r="N406" s="34" t="s">
        <v>29</v>
      </c>
      <c r="O406" s="11"/>
      <c r="P406" s="113">
        <v>46080</v>
      </c>
      <c r="Q406" s="113">
        <v>46080</v>
      </c>
      <c r="R406" s="113">
        <v>46080</v>
      </c>
      <c r="S406" s="37">
        <f t="shared" si="72"/>
        <v>2931577</v>
      </c>
      <c r="T406" s="37">
        <f t="shared" si="73"/>
        <v>0</v>
      </c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</row>
    <row r="407" spans="1:31" ht="14.25" hidden="1" customHeight="1">
      <c r="A407" s="277" t="s">
        <v>4903</v>
      </c>
      <c r="B407" s="9" t="s">
        <v>21</v>
      </c>
      <c r="C407" s="9">
        <v>2025</v>
      </c>
      <c r="D407" s="9" t="s">
        <v>27</v>
      </c>
      <c r="E407" s="90" t="s">
        <v>23</v>
      </c>
      <c r="F407" s="9" t="s">
        <v>7</v>
      </c>
      <c r="G407" s="120"/>
      <c r="H407" s="121">
        <v>251133</v>
      </c>
      <c r="I407" s="121" t="s">
        <v>156</v>
      </c>
      <c r="J407" s="115">
        <v>45961</v>
      </c>
      <c r="K407" s="110">
        <v>45972</v>
      </c>
      <c r="L407" s="111">
        <v>1764900</v>
      </c>
      <c r="M407" s="109" t="s">
        <v>3962</v>
      </c>
      <c r="N407" s="34" t="s">
        <v>29</v>
      </c>
      <c r="O407" s="11"/>
      <c r="P407" s="113">
        <v>46080</v>
      </c>
      <c r="Q407" s="113">
        <v>46080</v>
      </c>
      <c r="R407" s="113">
        <v>46080</v>
      </c>
      <c r="S407" s="37">
        <f t="shared" si="72"/>
        <v>1764900</v>
      </c>
      <c r="T407" s="37">
        <f t="shared" si="73"/>
        <v>0</v>
      </c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</row>
    <row r="408" spans="1:31" ht="14.25" hidden="1" customHeight="1">
      <c r="A408" s="277" t="s">
        <v>4904</v>
      </c>
      <c r="B408" s="9" t="s">
        <v>21</v>
      </c>
      <c r="C408" s="9">
        <v>2025</v>
      </c>
      <c r="D408" s="9" t="s">
        <v>27</v>
      </c>
      <c r="E408" s="90" t="s">
        <v>23</v>
      </c>
      <c r="F408" s="9" t="s">
        <v>7</v>
      </c>
      <c r="G408" s="120"/>
      <c r="H408" s="121">
        <v>251131</v>
      </c>
      <c r="I408" s="121" t="s">
        <v>156</v>
      </c>
      <c r="J408" s="115">
        <v>45961</v>
      </c>
      <c r="K408" s="110">
        <v>45972</v>
      </c>
      <c r="L408" s="111">
        <v>6150001</v>
      </c>
      <c r="M408" s="109" t="s">
        <v>3964</v>
      </c>
      <c r="N408" s="34" t="s">
        <v>29</v>
      </c>
      <c r="O408" s="11"/>
      <c r="P408" s="113">
        <v>46080</v>
      </c>
      <c r="Q408" s="113">
        <v>46080</v>
      </c>
      <c r="R408" s="113">
        <v>46080</v>
      </c>
      <c r="S408" s="37">
        <f t="shared" si="72"/>
        <v>6150001</v>
      </c>
      <c r="T408" s="37">
        <f t="shared" si="73"/>
        <v>0</v>
      </c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</row>
    <row r="409" spans="1:31" ht="14.25" hidden="1" customHeight="1">
      <c r="A409" s="277" t="s">
        <v>4905</v>
      </c>
      <c r="B409" s="9" t="s">
        <v>21</v>
      </c>
      <c r="C409" s="9">
        <v>2025</v>
      </c>
      <c r="D409" s="9" t="s">
        <v>27</v>
      </c>
      <c r="E409" s="90" t="s">
        <v>23</v>
      </c>
      <c r="F409" s="9" t="s">
        <v>7</v>
      </c>
      <c r="G409" s="120"/>
      <c r="H409" s="121">
        <v>251130</v>
      </c>
      <c r="I409" s="121" t="s">
        <v>156</v>
      </c>
      <c r="J409" s="115">
        <v>45961</v>
      </c>
      <c r="K409" s="110">
        <v>45972</v>
      </c>
      <c r="L409" s="111">
        <v>3020000</v>
      </c>
      <c r="M409" s="109" t="s">
        <v>3965</v>
      </c>
      <c r="N409" s="34" t="s">
        <v>29</v>
      </c>
      <c r="O409" s="11"/>
      <c r="P409" s="113">
        <v>46080</v>
      </c>
      <c r="Q409" s="113">
        <v>46080</v>
      </c>
      <c r="R409" s="113">
        <v>46080</v>
      </c>
      <c r="S409" s="37">
        <f t="shared" si="72"/>
        <v>3020000</v>
      </c>
      <c r="T409" s="37">
        <f t="shared" si="73"/>
        <v>0</v>
      </c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</row>
    <row r="410" spans="1:31" ht="14.25" hidden="1" customHeight="1">
      <c r="A410" s="277" t="s">
        <v>4906</v>
      </c>
      <c r="B410" s="9" t="s">
        <v>21</v>
      </c>
      <c r="C410" s="9">
        <v>2025</v>
      </c>
      <c r="D410" s="9" t="s">
        <v>27</v>
      </c>
      <c r="E410" s="90" t="s">
        <v>23</v>
      </c>
      <c r="F410" s="9" t="s">
        <v>7</v>
      </c>
      <c r="G410" s="120"/>
      <c r="H410" s="121">
        <v>251132</v>
      </c>
      <c r="I410" s="121" t="s">
        <v>156</v>
      </c>
      <c r="J410" s="115">
        <v>45961</v>
      </c>
      <c r="K410" s="110">
        <v>45972</v>
      </c>
      <c r="L410" s="111">
        <v>802001</v>
      </c>
      <c r="M410" s="109" t="s">
        <v>3966</v>
      </c>
      <c r="N410" s="34" t="s">
        <v>29</v>
      </c>
      <c r="O410" s="11"/>
      <c r="P410" s="113">
        <v>46080</v>
      </c>
      <c r="Q410" s="113">
        <v>46080</v>
      </c>
      <c r="R410" s="113">
        <v>46080</v>
      </c>
      <c r="S410" s="37">
        <f t="shared" si="72"/>
        <v>802001</v>
      </c>
      <c r="T410" s="37">
        <f t="shared" si="73"/>
        <v>0</v>
      </c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</row>
    <row r="411" spans="1:31" ht="14.25" hidden="1" customHeight="1">
      <c r="A411" s="277" t="s">
        <v>4907</v>
      </c>
      <c r="B411" s="9" t="s">
        <v>21</v>
      </c>
      <c r="C411" s="9">
        <v>2025</v>
      </c>
      <c r="D411" s="9" t="s">
        <v>27</v>
      </c>
      <c r="E411" s="90" t="s">
        <v>23</v>
      </c>
      <c r="F411" s="9" t="s">
        <v>7</v>
      </c>
      <c r="G411" s="120"/>
      <c r="H411" s="121">
        <v>251157</v>
      </c>
      <c r="I411" s="121" t="s">
        <v>156</v>
      </c>
      <c r="J411" s="115">
        <v>45961</v>
      </c>
      <c r="K411" s="110">
        <v>45972</v>
      </c>
      <c r="L411" s="111">
        <v>1740000</v>
      </c>
      <c r="M411" s="109" t="s">
        <v>3967</v>
      </c>
      <c r="N411" s="34" t="s">
        <v>29</v>
      </c>
      <c r="O411" s="11"/>
      <c r="P411" s="113">
        <v>46080</v>
      </c>
      <c r="Q411" s="113">
        <v>46080</v>
      </c>
      <c r="R411" s="113">
        <v>46080</v>
      </c>
      <c r="S411" s="37">
        <f t="shared" si="72"/>
        <v>1740000</v>
      </c>
      <c r="T411" s="37">
        <f t="shared" si="73"/>
        <v>0</v>
      </c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</row>
    <row r="412" spans="1:31" ht="14.25" hidden="1" customHeight="1">
      <c r="A412" s="277" t="s">
        <v>4908</v>
      </c>
      <c r="B412" s="9" t="s">
        <v>21</v>
      </c>
      <c r="C412" s="9">
        <v>2025</v>
      </c>
      <c r="D412" s="9" t="s">
        <v>27</v>
      </c>
      <c r="E412" s="90" t="s">
        <v>23</v>
      </c>
      <c r="F412" s="9" t="s">
        <v>7</v>
      </c>
      <c r="G412" s="120"/>
      <c r="H412" s="121">
        <v>251155</v>
      </c>
      <c r="I412" s="121" t="s">
        <v>156</v>
      </c>
      <c r="J412" s="115">
        <v>45961</v>
      </c>
      <c r="K412" s="110">
        <v>45972</v>
      </c>
      <c r="L412" s="111">
        <v>1740000</v>
      </c>
      <c r="M412" s="109" t="s">
        <v>3968</v>
      </c>
      <c r="N412" s="34" t="s">
        <v>29</v>
      </c>
      <c r="O412" s="11"/>
      <c r="P412" s="113">
        <v>46080</v>
      </c>
      <c r="Q412" s="113">
        <v>46080</v>
      </c>
      <c r="R412" s="113">
        <v>46080</v>
      </c>
      <c r="S412" s="37">
        <f t="shared" si="72"/>
        <v>1740000</v>
      </c>
      <c r="T412" s="37">
        <f t="shared" si="73"/>
        <v>0</v>
      </c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</row>
    <row r="413" spans="1:31" ht="14.25" hidden="1" customHeight="1">
      <c r="A413" s="277" t="s">
        <v>4909</v>
      </c>
      <c r="B413" s="9" t="s">
        <v>21</v>
      </c>
      <c r="C413" s="9">
        <v>2025</v>
      </c>
      <c r="D413" s="9" t="s">
        <v>27</v>
      </c>
      <c r="E413" s="90" t="s">
        <v>23</v>
      </c>
      <c r="F413" s="9" t="s">
        <v>7</v>
      </c>
      <c r="G413" s="120"/>
      <c r="H413" s="121">
        <v>251154</v>
      </c>
      <c r="I413" s="121" t="s">
        <v>156</v>
      </c>
      <c r="J413" s="115">
        <v>45961</v>
      </c>
      <c r="K413" s="110">
        <v>45972</v>
      </c>
      <c r="L413" s="111">
        <v>19964000</v>
      </c>
      <c r="M413" s="109" t="s">
        <v>3969</v>
      </c>
      <c r="N413" s="34" t="s">
        <v>29</v>
      </c>
      <c r="O413" s="11"/>
      <c r="P413" s="113">
        <v>46080</v>
      </c>
      <c r="Q413" s="113">
        <v>46080</v>
      </c>
      <c r="R413" s="113">
        <v>46080</v>
      </c>
      <c r="S413" s="37">
        <f>IF(R413="",0,L413)</f>
        <v>19964000</v>
      </c>
      <c r="T413" s="37">
        <f>L413-S413</f>
        <v>0</v>
      </c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</row>
    <row r="414" spans="1:31" hidden="1">
      <c r="A414" s="277" t="s">
        <v>4910</v>
      </c>
      <c r="B414" s="9" t="s">
        <v>21</v>
      </c>
      <c r="C414" s="9">
        <v>2025</v>
      </c>
      <c r="D414" s="9" t="s">
        <v>27</v>
      </c>
      <c r="E414" s="90" t="s">
        <v>23</v>
      </c>
      <c r="F414" s="9" t="s">
        <v>7</v>
      </c>
      <c r="G414" s="120"/>
      <c r="H414" s="121">
        <v>251160</v>
      </c>
      <c r="I414" s="121" t="s">
        <v>156</v>
      </c>
      <c r="J414" s="115">
        <v>45961</v>
      </c>
      <c r="K414" s="110">
        <v>45972</v>
      </c>
      <c r="L414" s="111">
        <v>17075500</v>
      </c>
      <c r="M414" s="109" t="s">
        <v>3970</v>
      </c>
      <c r="N414" s="34" t="s">
        <v>29</v>
      </c>
      <c r="O414" s="11"/>
      <c r="P414" s="113">
        <v>46080</v>
      </c>
      <c r="Q414" s="113">
        <v>46080</v>
      </c>
      <c r="R414" s="113">
        <v>46080</v>
      </c>
      <c r="S414" s="37">
        <f>IF(R414="",0,L414)</f>
        <v>17075500</v>
      </c>
      <c r="T414" s="37">
        <f>L414-S414</f>
        <v>0</v>
      </c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</row>
    <row r="415" spans="1:31" hidden="1">
      <c r="A415" s="277" t="s">
        <v>4911</v>
      </c>
      <c r="B415" s="9" t="s">
        <v>21</v>
      </c>
      <c r="C415" s="9">
        <v>2025</v>
      </c>
      <c r="D415" s="9" t="s">
        <v>27</v>
      </c>
      <c r="E415" s="90" t="s">
        <v>23</v>
      </c>
      <c r="F415" s="9" t="s">
        <v>7</v>
      </c>
      <c r="G415" s="120"/>
      <c r="H415" s="121">
        <v>251158</v>
      </c>
      <c r="I415" s="121" t="s">
        <v>156</v>
      </c>
      <c r="J415" s="115">
        <v>45961</v>
      </c>
      <c r="K415" s="110">
        <v>45972</v>
      </c>
      <c r="L415" s="111">
        <v>2250015</v>
      </c>
      <c r="M415" s="109" t="s">
        <v>3971</v>
      </c>
      <c r="N415" s="34" t="s">
        <v>29</v>
      </c>
      <c r="O415" s="11"/>
      <c r="P415" s="113">
        <v>46080</v>
      </c>
      <c r="Q415" s="113">
        <v>46080</v>
      </c>
      <c r="R415" s="113">
        <v>46080</v>
      </c>
      <c r="S415" s="37">
        <f>IF(R415="",0,L415)</f>
        <v>2250015</v>
      </c>
      <c r="T415" s="37">
        <f>L415-S415</f>
        <v>0</v>
      </c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</row>
    <row r="416" spans="1:31" hidden="1">
      <c r="A416" s="277" t="s">
        <v>4912</v>
      </c>
      <c r="B416" s="9" t="s">
        <v>21</v>
      </c>
      <c r="C416" s="9">
        <v>2025</v>
      </c>
      <c r="D416" s="9" t="s">
        <v>27</v>
      </c>
      <c r="E416" s="90" t="s">
        <v>23</v>
      </c>
      <c r="F416" s="9" t="s">
        <v>7</v>
      </c>
      <c r="G416" s="120"/>
      <c r="H416" s="121">
        <v>251159</v>
      </c>
      <c r="I416" s="121" t="s">
        <v>156</v>
      </c>
      <c r="J416" s="115">
        <v>45961</v>
      </c>
      <c r="K416" s="110">
        <v>45972</v>
      </c>
      <c r="L416" s="111">
        <v>11352499</v>
      </c>
      <c r="M416" s="109" t="s">
        <v>3972</v>
      </c>
      <c r="N416" s="34" t="s">
        <v>29</v>
      </c>
      <c r="O416" s="11"/>
      <c r="P416" s="113">
        <v>46080</v>
      </c>
      <c r="Q416" s="113">
        <v>46080</v>
      </c>
      <c r="R416" s="113">
        <v>46080</v>
      </c>
      <c r="S416" s="37">
        <f>IF(R416="",0,L416)</f>
        <v>11352499</v>
      </c>
      <c r="T416" s="37">
        <f>L416-S416</f>
        <v>0</v>
      </c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</row>
    <row r="417" spans="1:31" hidden="1">
      <c r="A417" s="277" t="s">
        <v>4913</v>
      </c>
      <c r="B417" s="9" t="s">
        <v>21</v>
      </c>
      <c r="C417" s="9">
        <v>2025</v>
      </c>
      <c r="D417" s="9" t="s">
        <v>27</v>
      </c>
      <c r="E417" s="90" t="s">
        <v>23</v>
      </c>
      <c r="F417" s="9" t="s">
        <v>7</v>
      </c>
      <c r="G417" s="120"/>
      <c r="H417" s="121">
        <v>251156</v>
      </c>
      <c r="I417" s="121" t="s">
        <v>156</v>
      </c>
      <c r="J417" s="115">
        <v>45961</v>
      </c>
      <c r="K417" s="110">
        <v>45972</v>
      </c>
      <c r="L417" s="111">
        <v>1160000</v>
      </c>
      <c r="M417" s="109" t="s">
        <v>3973</v>
      </c>
      <c r="N417" s="34" t="s">
        <v>29</v>
      </c>
      <c r="O417" s="263"/>
      <c r="P417" s="113">
        <v>46080</v>
      </c>
      <c r="Q417" s="113">
        <v>46080</v>
      </c>
      <c r="R417" s="113">
        <v>46080</v>
      </c>
      <c r="S417" s="37">
        <f>IF(R417="",0,L417)</f>
        <v>1160000</v>
      </c>
      <c r="T417" s="37">
        <f>L417-S417</f>
        <v>0</v>
      </c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</row>
    <row r="418" spans="1:31" hidden="1">
      <c r="A418" s="277" t="s">
        <v>4914</v>
      </c>
      <c r="B418" s="9" t="s">
        <v>21</v>
      </c>
      <c r="C418" s="9">
        <v>2025</v>
      </c>
      <c r="D418" s="9" t="s">
        <v>27</v>
      </c>
      <c r="E418" s="90" t="s">
        <v>23</v>
      </c>
      <c r="F418" s="9" t="s">
        <v>7</v>
      </c>
      <c r="G418" s="120"/>
      <c r="H418" s="121">
        <v>251324</v>
      </c>
      <c r="I418" s="121" t="s">
        <v>156</v>
      </c>
      <c r="J418" s="115">
        <v>46021</v>
      </c>
      <c r="K418" s="110">
        <v>46030</v>
      </c>
      <c r="L418" s="111">
        <v>7795500</v>
      </c>
      <c r="M418" s="109" t="s">
        <v>4201</v>
      </c>
      <c r="N418" s="34" t="s">
        <v>29</v>
      </c>
      <c r="O418" s="11"/>
      <c r="P418" s="113">
        <v>46080</v>
      </c>
      <c r="Q418" s="113">
        <v>46080</v>
      </c>
      <c r="R418" s="113">
        <v>46080</v>
      </c>
      <c r="S418" s="37">
        <f t="shared" ref="S418:S427" si="74">IF(R418="",0,L418)</f>
        <v>7795500</v>
      </c>
      <c r="T418" s="37">
        <f t="shared" ref="T418:T427" si="75">L418-S418</f>
        <v>0</v>
      </c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</row>
    <row r="419" spans="1:31" hidden="1">
      <c r="A419" s="277" t="s">
        <v>4915</v>
      </c>
      <c r="B419" s="9" t="s">
        <v>21</v>
      </c>
      <c r="C419" s="9">
        <v>2025</v>
      </c>
      <c r="D419" s="9" t="s">
        <v>27</v>
      </c>
      <c r="E419" s="90" t="s">
        <v>23</v>
      </c>
      <c r="F419" s="9" t="s">
        <v>7</v>
      </c>
      <c r="G419" s="120"/>
      <c r="H419" s="121">
        <v>251322</v>
      </c>
      <c r="I419" s="121" t="s">
        <v>156</v>
      </c>
      <c r="J419" s="115">
        <v>46021</v>
      </c>
      <c r="K419" s="110">
        <v>46030</v>
      </c>
      <c r="L419" s="111">
        <v>19354000</v>
      </c>
      <c r="M419" s="109" t="s">
        <v>4202</v>
      </c>
      <c r="N419" s="34" t="s">
        <v>29</v>
      </c>
      <c r="O419" s="11"/>
      <c r="P419" s="113">
        <v>46080</v>
      </c>
      <c r="Q419" s="113">
        <v>46080</v>
      </c>
      <c r="R419" s="113">
        <v>46080</v>
      </c>
      <c r="S419" s="37">
        <f t="shared" si="74"/>
        <v>19354000</v>
      </c>
      <c r="T419" s="37">
        <f t="shared" si="75"/>
        <v>0</v>
      </c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</row>
    <row r="420" spans="1:31" hidden="1">
      <c r="A420" s="277" t="s">
        <v>4916</v>
      </c>
      <c r="B420" s="9" t="s">
        <v>21</v>
      </c>
      <c r="C420" s="9">
        <v>2025</v>
      </c>
      <c r="D420" s="9" t="s">
        <v>27</v>
      </c>
      <c r="E420" s="90" t="s">
        <v>23</v>
      </c>
      <c r="F420" s="9" t="s">
        <v>7</v>
      </c>
      <c r="G420" s="120"/>
      <c r="H420" s="121">
        <v>251318</v>
      </c>
      <c r="I420" s="121" t="s">
        <v>156</v>
      </c>
      <c r="J420" s="115">
        <v>46021</v>
      </c>
      <c r="K420" s="110">
        <v>46030</v>
      </c>
      <c r="L420" s="111">
        <v>14414500</v>
      </c>
      <c r="M420" s="109" t="s">
        <v>4203</v>
      </c>
      <c r="N420" s="34" t="s">
        <v>29</v>
      </c>
      <c r="O420" s="11"/>
      <c r="P420" s="113">
        <v>46080</v>
      </c>
      <c r="Q420" s="113">
        <v>46080</v>
      </c>
      <c r="R420" s="113">
        <v>46080</v>
      </c>
      <c r="S420" s="37">
        <f t="shared" si="74"/>
        <v>14414500</v>
      </c>
      <c r="T420" s="37">
        <f t="shared" si="75"/>
        <v>0</v>
      </c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</row>
    <row r="421" spans="1:31" hidden="1">
      <c r="A421" s="277" t="s">
        <v>4917</v>
      </c>
      <c r="B421" s="9" t="s">
        <v>21</v>
      </c>
      <c r="C421" s="9">
        <v>2025</v>
      </c>
      <c r="D421" s="9" t="s">
        <v>27</v>
      </c>
      <c r="E421" s="90" t="s">
        <v>23</v>
      </c>
      <c r="F421" s="9" t="s">
        <v>7</v>
      </c>
      <c r="G421" s="120"/>
      <c r="H421" s="121">
        <v>251317</v>
      </c>
      <c r="I421" s="121" t="s">
        <v>156</v>
      </c>
      <c r="J421" s="115">
        <v>46021</v>
      </c>
      <c r="K421" s="110">
        <v>46030</v>
      </c>
      <c r="L421" s="111">
        <v>8306969</v>
      </c>
      <c r="M421" s="109" t="s">
        <v>4204</v>
      </c>
      <c r="N421" s="34" t="s">
        <v>29</v>
      </c>
      <c r="O421" s="11"/>
      <c r="P421" s="113">
        <v>46080</v>
      </c>
      <c r="Q421" s="113">
        <v>46080</v>
      </c>
      <c r="R421" s="113">
        <v>46080</v>
      </c>
      <c r="S421" s="37">
        <f t="shared" si="74"/>
        <v>8306969</v>
      </c>
      <c r="T421" s="37">
        <f t="shared" si="75"/>
        <v>0</v>
      </c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</row>
    <row r="422" spans="1:31" hidden="1">
      <c r="A422" s="277" t="s">
        <v>4918</v>
      </c>
      <c r="B422" s="9" t="s">
        <v>21</v>
      </c>
      <c r="C422" s="9">
        <v>2025</v>
      </c>
      <c r="D422" s="9" t="s">
        <v>27</v>
      </c>
      <c r="E422" s="90" t="s">
        <v>23</v>
      </c>
      <c r="F422" s="9" t="s">
        <v>7</v>
      </c>
      <c r="G422" s="120"/>
      <c r="H422" s="121">
        <v>251319</v>
      </c>
      <c r="I422" s="121" t="s">
        <v>156</v>
      </c>
      <c r="J422" s="115">
        <v>46021</v>
      </c>
      <c r="K422" s="110">
        <v>46030</v>
      </c>
      <c r="L422" s="111">
        <v>6199200</v>
      </c>
      <c r="M422" s="109" t="s">
        <v>4205</v>
      </c>
      <c r="N422" s="34" t="s">
        <v>29</v>
      </c>
      <c r="O422" s="11"/>
      <c r="P422" s="113">
        <v>46080</v>
      </c>
      <c r="Q422" s="113">
        <v>46080</v>
      </c>
      <c r="R422" s="113">
        <v>46080</v>
      </c>
      <c r="S422" s="37">
        <f t="shared" si="74"/>
        <v>6199200</v>
      </c>
      <c r="T422" s="37">
        <f t="shared" si="75"/>
        <v>0</v>
      </c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</row>
    <row r="423" spans="1:31" hidden="1">
      <c r="A423" s="277" t="s">
        <v>4919</v>
      </c>
      <c r="B423" s="9" t="s">
        <v>21</v>
      </c>
      <c r="C423" s="9">
        <v>2025</v>
      </c>
      <c r="D423" s="9" t="s">
        <v>27</v>
      </c>
      <c r="E423" s="90" t="s">
        <v>23</v>
      </c>
      <c r="F423" s="9" t="s">
        <v>7</v>
      </c>
      <c r="G423" s="120"/>
      <c r="H423" s="121">
        <v>251314</v>
      </c>
      <c r="I423" s="121" t="s">
        <v>156</v>
      </c>
      <c r="J423" s="115">
        <v>46021</v>
      </c>
      <c r="K423" s="110">
        <v>46030</v>
      </c>
      <c r="L423" s="111">
        <v>21098000</v>
      </c>
      <c r="M423" s="109" t="s">
        <v>4206</v>
      </c>
      <c r="N423" s="34" t="s">
        <v>29</v>
      </c>
      <c r="O423" s="11"/>
      <c r="P423" s="113">
        <v>46080</v>
      </c>
      <c r="Q423" s="113">
        <v>46080</v>
      </c>
      <c r="R423" s="113">
        <v>46080</v>
      </c>
      <c r="S423" s="37">
        <f t="shared" si="74"/>
        <v>21098000</v>
      </c>
      <c r="T423" s="37">
        <f t="shared" si="75"/>
        <v>0</v>
      </c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</row>
    <row r="424" spans="1:31" hidden="1">
      <c r="A424" s="277" t="s">
        <v>4920</v>
      </c>
      <c r="B424" s="9" t="s">
        <v>21</v>
      </c>
      <c r="C424" s="9">
        <v>2025</v>
      </c>
      <c r="D424" s="9" t="s">
        <v>27</v>
      </c>
      <c r="E424" s="90" t="s">
        <v>23</v>
      </c>
      <c r="F424" s="9" t="s">
        <v>7</v>
      </c>
      <c r="G424" s="120"/>
      <c r="H424" s="121">
        <v>251321</v>
      </c>
      <c r="I424" s="121" t="s">
        <v>156</v>
      </c>
      <c r="J424" s="115">
        <v>46021</v>
      </c>
      <c r="K424" s="110">
        <v>46030</v>
      </c>
      <c r="L424" s="111">
        <v>2144520</v>
      </c>
      <c r="M424" s="109" t="s">
        <v>4207</v>
      </c>
      <c r="N424" s="34" t="s">
        <v>29</v>
      </c>
      <c r="O424" s="11"/>
      <c r="P424" s="113">
        <v>46080</v>
      </c>
      <c r="Q424" s="113">
        <v>46080</v>
      </c>
      <c r="R424" s="113">
        <v>46080</v>
      </c>
      <c r="S424" s="37">
        <f t="shared" si="74"/>
        <v>2144520</v>
      </c>
      <c r="T424" s="37">
        <f t="shared" si="75"/>
        <v>0</v>
      </c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</row>
    <row r="425" spans="1:31" hidden="1">
      <c r="A425" s="277" t="s">
        <v>4921</v>
      </c>
      <c r="B425" s="9" t="s">
        <v>21</v>
      </c>
      <c r="C425" s="9">
        <v>2025</v>
      </c>
      <c r="D425" s="9" t="s">
        <v>27</v>
      </c>
      <c r="E425" s="90" t="s">
        <v>23</v>
      </c>
      <c r="F425" s="9" t="s">
        <v>7</v>
      </c>
      <c r="G425" s="120"/>
      <c r="H425" s="121">
        <v>251320</v>
      </c>
      <c r="I425" s="121" t="s">
        <v>156</v>
      </c>
      <c r="J425" s="115">
        <v>46021</v>
      </c>
      <c r="K425" s="110">
        <v>46030</v>
      </c>
      <c r="L425" s="111">
        <v>196200</v>
      </c>
      <c r="M425" s="109" t="s">
        <v>4208</v>
      </c>
      <c r="N425" s="34" t="s">
        <v>29</v>
      </c>
      <c r="O425" s="11"/>
      <c r="P425" s="113">
        <v>46080</v>
      </c>
      <c r="Q425" s="113">
        <v>46080</v>
      </c>
      <c r="R425" s="113">
        <v>46080</v>
      </c>
      <c r="S425" s="37">
        <f t="shared" si="74"/>
        <v>196200</v>
      </c>
      <c r="T425" s="37">
        <f t="shared" si="75"/>
        <v>0</v>
      </c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</row>
    <row r="426" spans="1:31" hidden="1">
      <c r="A426" s="277" t="s">
        <v>4922</v>
      </c>
      <c r="B426" s="9" t="s">
        <v>21</v>
      </c>
      <c r="C426" s="9">
        <v>2025</v>
      </c>
      <c r="D426" s="9" t="s">
        <v>27</v>
      </c>
      <c r="E426" s="90" t="s">
        <v>23</v>
      </c>
      <c r="F426" s="9" t="s">
        <v>7</v>
      </c>
      <c r="G426" s="120"/>
      <c r="H426" s="121">
        <v>251316</v>
      </c>
      <c r="I426" s="121" t="s">
        <v>156</v>
      </c>
      <c r="J426" s="115">
        <v>46021</v>
      </c>
      <c r="K426" s="110">
        <v>46030</v>
      </c>
      <c r="L426" s="111">
        <v>16405700</v>
      </c>
      <c r="M426" s="109" t="s">
        <v>4209</v>
      </c>
      <c r="N426" s="34" t="s">
        <v>29</v>
      </c>
      <c r="O426" s="11"/>
      <c r="P426" s="113">
        <v>46080</v>
      </c>
      <c r="Q426" s="113">
        <v>46080</v>
      </c>
      <c r="R426" s="113">
        <v>46080</v>
      </c>
      <c r="S426" s="37">
        <f t="shared" si="74"/>
        <v>16405700</v>
      </c>
      <c r="T426" s="37">
        <f t="shared" si="75"/>
        <v>0</v>
      </c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</row>
    <row r="427" spans="1:31" hidden="1">
      <c r="A427" s="277" t="s">
        <v>4923</v>
      </c>
      <c r="B427" s="9" t="s">
        <v>21</v>
      </c>
      <c r="C427" s="9">
        <v>2025</v>
      </c>
      <c r="D427" s="9" t="s">
        <v>27</v>
      </c>
      <c r="E427" s="90" t="s">
        <v>23</v>
      </c>
      <c r="F427" s="9" t="s">
        <v>7</v>
      </c>
      <c r="G427" s="120"/>
      <c r="H427" s="121">
        <v>251315</v>
      </c>
      <c r="I427" s="121" t="s">
        <v>156</v>
      </c>
      <c r="J427" s="115">
        <v>46021</v>
      </c>
      <c r="K427" s="110">
        <v>46030</v>
      </c>
      <c r="L427" s="111">
        <v>15270000</v>
      </c>
      <c r="M427" s="109" t="s">
        <v>4210</v>
      </c>
      <c r="N427" s="34" t="s">
        <v>29</v>
      </c>
      <c r="O427" s="11"/>
      <c r="P427" s="113">
        <v>46080</v>
      </c>
      <c r="Q427" s="113">
        <v>46080</v>
      </c>
      <c r="R427" s="113">
        <v>46080</v>
      </c>
      <c r="S427" s="37">
        <f t="shared" si="74"/>
        <v>15270000</v>
      </c>
      <c r="T427" s="37">
        <f t="shared" si="75"/>
        <v>0</v>
      </c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</row>
    <row r="428" spans="1:31" hidden="1">
      <c r="A428" s="277" t="s">
        <v>4924</v>
      </c>
      <c r="B428" s="9" t="s">
        <v>21</v>
      </c>
      <c r="C428" s="9">
        <v>2026</v>
      </c>
      <c r="D428" s="9" t="s">
        <v>27</v>
      </c>
      <c r="E428" s="90" t="s">
        <v>23</v>
      </c>
      <c r="F428" s="9" t="s">
        <v>7</v>
      </c>
      <c r="G428" s="120"/>
      <c r="H428" s="121">
        <v>260156</v>
      </c>
      <c r="I428" s="121" t="s">
        <v>156</v>
      </c>
      <c r="J428" s="115">
        <v>46083</v>
      </c>
      <c r="K428" s="110">
        <v>46095</v>
      </c>
      <c r="L428" s="111">
        <v>726000</v>
      </c>
      <c r="M428" s="109" t="s">
        <v>4459</v>
      </c>
      <c r="N428" s="34" t="s">
        <v>29</v>
      </c>
      <c r="O428" s="125">
        <f>SUM(L428:L434)</f>
        <v>92351849</v>
      </c>
      <c r="P428" s="113">
        <v>46148</v>
      </c>
      <c r="Q428" s="113">
        <v>46148</v>
      </c>
      <c r="R428" s="113">
        <v>46148</v>
      </c>
      <c r="S428" s="37">
        <f>IF(R428="",0,L428)</f>
        <v>726000</v>
      </c>
      <c r="T428" s="37">
        <f>L428-S428</f>
        <v>0</v>
      </c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</row>
    <row r="429" spans="1:31" hidden="1">
      <c r="A429" s="277" t="s">
        <v>4925</v>
      </c>
      <c r="B429" s="9" t="s">
        <v>21</v>
      </c>
      <c r="C429" s="9">
        <v>2026</v>
      </c>
      <c r="D429" s="9" t="s">
        <v>27</v>
      </c>
      <c r="E429" s="90" t="s">
        <v>23</v>
      </c>
      <c r="F429" s="9" t="s">
        <v>7</v>
      </c>
      <c r="G429" s="120"/>
      <c r="H429" s="121">
        <v>260153</v>
      </c>
      <c r="I429" s="121" t="s">
        <v>156</v>
      </c>
      <c r="J429" s="115">
        <v>46081</v>
      </c>
      <c r="K429" s="110">
        <v>46095</v>
      </c>
      <c r="L429" s="111">
        <v>82168119</v>
      </c>
      <c r="M429" s="109" t="s">
        <v>4460</v>
      </c>
      <c r="N429" s="34" t="s">
        <v>29</v>
      </c>
      <c r="O429" s="11"/>
      <c r="P429" s="113">
        <v>46148</v>
      </c>
      <c r="Q429" s="113">
        <v>46148</v>
      </c>
      <c r="R429" s="113">
        <v>46148</v>
      </c>
      <c r="S429" s="37">
        <f t="shared" ref="S429:S432" si="76">IF(R429="",0,L429)</f>
        <v>82168119</v>
      </c>
      <c r="T429" s="37">
        <f t="shared" ref="T429:T432" si="77">L429-S429</f>
        <v>0</v>
      </c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</row>
    <row r="430" spans="1:31" hidden="1">
      <c r="A430" s="277" t="s">
        <v>4926</v>
      </c>
      <c r="B430" s="9" t="s">
        <v>21</v>
      </c>
      <c r="C430" s="9">
        <v>2026</v>
      </c>
      <c r="D430" s="9" t="s">
        <v>27</v>
      </c>
      <c r="E430" s="90" t="s">
        <v>23</v>
      </c>
      <c r="F430" s="9" t="s">
        <v>7</v>
      </c>
      <c r="G430" s="120"/>
      <c r="H430" s="121">
        <v>260155</v>
      </c>
      <c r="I430" s="121" t="s">
        <v>156</v>
      </c>
      <c r="J430" s="115">
        <v>46081</v>
      </c>
      <c r="K430" s="110">
        <v>46095</v>
      </c>
      <c r="L430" s="111">
        <v>4310000</v>
      </c>
      <c r="M430" s="109" t="s">
        <v>4461</v>
      </c>
      <c r="N430" s="34" t="s">
        <v>29</v>
      </c>
      <c r="O430" s="11"/>
      <c r="P430" s="113">
        <v>46148</v>
      </c>
      <c r="Q430" s="113">
        <v>46148</v>
      </c>
      <c r="R430" s="113">
        <v>46148</v>
      </c>
      <c r="S430" s="37">
        <f t="shared" si="76"/>
        <v>4310000</v>
      </c>
      <c r="T430" s="37">
        <f t="shared" si="77"/>
        <v>0</v>
      </c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</row>
    <row r="431" spans="1:31" hidden="1">
      <c r="A431" s="277" t="s">
        <v>4927</v>
      </c>
      <c r="B431" s="9" t="s">
        <v>21</v>
      </c>
      <c r="C431" s="9">
        <v>2026</v>
      </c>
      <c r="D431" s="9" t="s">
        <v>27</v>
      </c>
      <c r="E431" s="90" t="s">
        <v>23</v>
      </c>
      <c r="F431" s="9" t="s">
        <v>7</v>
      </c>
      <c r="G431" s="120"/>
      <c r="H431" s="121">
        <v>260151</v>
      </c>
      <c r="I431" s="121" t="s">
        <v>156</v>
      </c>
      <c r="J431" s="115">
        <v>46081</v>
      </c>
      <c r="K431" s="110">
        <v>46095</v>
      </c>
      <c r="L431" s="111">
        <f>888000-632700</f>
        <v>255300</v>
      </c>
      <c r="M431" s="109" t="s">
        <v>4462</v>
      </c>
      <c r="N431" s="34" t="s">
        <v>29</v>
      </c>
      <c r="O431" s="11"/>
      <c r="P431" s="113">
        <v>46148</v>
      </c>
      <c r="Q431" s="113">
        <v>46148</v>
      </c>
      <c r="R431" s="113">
        <v>46148</v>
      </c>
      <c r="S431" s="37">
        <f t="shared" si="76"/>
        <v>255300</v>
      </c>
      <c r="T431" s="37">
        <f t="shared" si="77"/>
        <v>0</v>
      </c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</row>
    <row r="432" spans="1:31" hidden="1">
      <c r="A432" s="277" t="s">
        <v>4928</v>
      </c>
      <c r="B432" s="9" t="s">
        <v>21</v>
      </c>
      <c r="C432" s="9">
        <v>2026</v>
      </c>
      <c r="D432" s="9" t="s">
        <v>27</v>
      </c>
      <c r="E432" s="90" t="s">
        <v>23</v>
      </c>
      <c r="F432" s="9" t="s">
        <v>7</v>
      </c>
      <c r="G432" s="120"/>
      <c r="H432" s="121">
        <v>260152</v>
      </c>
      <c r="I432" s="121" t="s">
        <v>156</v>
      </c>
      <c r="J432" s="115">
        <v>46081</v>
      </c>
      <c r="K432" s="110">
        <v>46095</v>
      </c>
      <c r="L432" s="111">
        <v>1925400</v>
      </c>
      <c r="M432" s="109" t="s">
        <v>4463</v>
      </c>
      <c r="N432" s="34" t="s">
        <v>29</v>
      </c>
      <c r="O432" s="11"/>
      <c r="P432" s="113">
        <v>46148</v>
      </c>
      <c r="Q432" s="113">
        <v>46148</v>
      </c>
      <c r="R432" s="113">
        <v>46148</v>
      </c>
      <c r="S432" s="37">
        <f t="shared" si="76"/>
        <v>1925400</v>
      </c>
      <c r="T432" s="37">
        <f t="shared" si="77"/>
        <v>0</v>
      </c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</row>
    <row r="433" spans="1:31" hidden="1">
      <c r="A433" s="277" t="s">
        <v>4929</v>
      </c>
      <c r="B433" s="9" t="s">
        <v>21</v>
      </c>
      <c r="C433" s="9">
        <v>2026</v>
      </c>
      <c r="D433" s="9" t="s">
        <v>27</v>
      </c>
      <c r="E433" s="90" t="s">
        <v>23</v>
      </c>
      <c r="F433" s="9" t="s">
        <v>7</v>
      </c>
      <c r="G433" s="120"/>
      <c r="H433" s="121">
        <v>260172</v>
      </c>
      <c r="I433" s="121" t="s">
        <v>156</v>
      </c>
      <c r="J433" s="115">
        <v>46093</v>
      </c>
      <c r="K433" s="110">
        <v>46114</v>
      </c>
      <c r="L433" s="111">
        <v>2664000</v>
      </c>
      <c r="M433" s="109" t="s">
        <v>4486</v>
      </c>
      <c r="N433" s="34" t="s">
        <v>29</v>
      </c>
      <c r="O433" s="11"/>
      <c r="P433" s="113">
        <v>46148</v>
      </c>
      <c r="Q433" s="113">
        <v>46148</v>
      </c>
      <c r="R433" s="113">
        <v>46148</v>
      </c>
      <c r="S433" s="37">
        <f>IF(R433="",0,L433)</f>
        <v>2664000</v>
      </c>
      <c r="T433" s="37">
        <f>L433-S433</f>
        <v>0</v>
      </c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</row>
    <row r="434" spans="1:31" hidden="1">
      <c r="A434" s="277" t="s">
        <v>4930</v>
      </c>
      <c r="B434" s="9" t="s">
        <v>21</v>
      </c>
      <c r="C434" s="9">
        <v>2026</v>
      </c>
      <c r="D434" s="9" t="s">
        <v>27</v>
      </c>
      <c r="E434" s="90" t="s">
        <v>23</v>
      </c>
      <c r="F434" s="9" t="s">
        <v>7</v>
      </c>
      <c r="G434" s="120"/>
      <c r="H434" s="121">
        <v>260174</v>
      </c>
      <c r="I434" s="121" t="s">
        <v>156</v>
      </c>
      <c r="J434" s="115">
        <v>46094</v>
      </c>
      <c r="K434" s="110">
        <v>46114</v>
      </c>
      <c r="L434" s="111">
        <v>303030</v>
      </c>
      <c r="M434" s="109" t="s">
        <v>4487</v>
      </c>
      <c r="N434" s="34" t="s">
        <v>29</v>
      </c>
      <c r="O434" s="11"/>
      <c r="P434" s="113">
        <v>46148</v>
      </c>
      <c r="Q434" s="113">
        <v>46148</v>
      </c>
      <c r="R434" s="113">
        <v>46148</v>
      </c>
      <c r="S434" s="37">
        <f>IF(R434="",0,L434)</f>
        <v>303030</v>
      </c>
      <c r="T434" s="37">
        <f>L434-S434</f>
        <v>0</v>
      </c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</row>
    <row r="435" spans="1:31" hidden="1">
      <c r="A435" s="277" t="s">
        <v>4931</v>
      </c>
      <c r="B435" s="9" t="s">
        <v>21</v>
      </c>
      <c r="C435" s="9">
        <v>2026</v>
      </c>
      <c r="D435" s="9" t="s">
        <v>27</v>
      </c>
      <c r="E435" s="90" t="s">
        <v>23</v>
      </c>
      <c r="F435" s="9" t="s">
        <v>7</v>
      </c>
      <c r="G435" s="120"/>
      <c r="H435" s="121">
        <v>260197</v>
      </c>
      <c r="I435" s="121" t="s">
        <v>156</v>
      </c>
      <c r="J435" s="115">
        <v>46112</v>
      </c>
      <c r="K435" s="110">
        <v>46126</v>
      </c>
      <c r="L435" s="111">
        <v>4062759</v>
      </c>
      <c r="M435" s="109" t="s">
        <v>6984</v>
      </c>
      <c r="N435" s="34" t="s">
        <v>29</v>
      </c>
      <c r="O435" s="125">
        <f>+L435</f>
        <v>4062759</v>
      </c>
      <c r="P435" s="113">
        <v>46167</v>
      </c>
      <c r="Q435" s="113">
        <v>46167</v>
      </c>
      <c r="R435" s="113">
        <v>46167</v>
      </c>
      <c r="S435" s="37">
        <f>IF(R435="",0,L435)</f>
        <v>4062759</v>
      </c>
      <c r="T435" s="37">
        <f>L435-S435</f>
        <v>0</v>
      </c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</row>
    <row r="436" spans="1:31" hidden="1">
      <c r="A436" s="277" t="s">
        <v>4932</v>
      </c>
      <c r="B436" s="9" t="s">
        <v>21</v>
      </c>
      <c r="C436" s="9">
        <v>2026</v>
      </c>
      <c r="D436" s="9" t="s">
        <v>27</v>
      </c>
      <c r="E436" s="90" t="s">
        <v>23</v>
      </c>
      <c r="F436" s="9" t="s">
        <v>7</v>
      </c>
      <c r="G436" s="120"/>
      <c r="H436" s="121">
        <v>260263</v>
      </c>
      <c r="I436" s="121" t="s">
        <v>156</v>
      </c>
      <c r="J436" s="115">
        <v>46142</v>
      </c>
      <c r="K436" s="110">
        <v>46163</v>
      </c>
      <c r="L436" s="111">
        <v>249750</v>
      </c>
      <c r="M436" s="109" t="s">
        <v>7063</v>
      </c>
      <c r="N436" s="34" t="s">
        <v>29</v>
      </c>
      <c r="O436" s="125">
        <f>SUM(L436:L442)</f>
        <v>26698312</v>
      </c>
      <c r="P436" s="113">
        <v>46185</v>
      </c>
      <c r="Q436" s="113">
        <v>46185</v>
      </c>
      <c r="R436" s="113">
        <v>46185</v>
      </c>
      <c r="S436" s="37">
        <f t="shared" ref="S436:S439" si="78">IF(R436="",0,L436)</f>
        <v>249750</v>
      </c>
      <c r="T436" s="37">
        <f t="shared" ref="T436:T439" si="79">L436-S436</f>
        <v>0</v>
      </c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</row>
    <row r="437" spans="1:31" hidden="1">
      <c r="A437" s="277" t="s">
        <v>4933</v>
      </c>
      <c r="B437" s="9" t="s">
        <v>21</v>
      </c>
      <c r="C437" s="9">
        <v>2026</v>
      </c>
      <c r="D437" s="9" t="s">
        <v>27</v>
      </c>
      <c r="E437" s="90" t="s">
        <v>23</v>
      </c>
      <c r="F437" s="9" t="s">
        <v>7</v>
      </c>
      <c r="G437" s="120"/>
      <c r="H437" s="121">
        <v>260261</v>
      </c>
      <c r="I437" s="121" t="s">
        <v>156</v>
      </c>
      <c r="J437" s="115">
        <v>46142</v>
      </c>
      <c r="K437" s="110">
        <v>46163</v>
      </c>
      <c r="L437" s="111">
        <v>3684440</v>
      </c>
      <c r="M437" s="109" t="s">
        <v>7064</v>
      </c>
      <c r="N437" s="34" t="s">
        <v>29</v>
      </c>
      <c r="O437" s="125"/>
      <c r="P437" s="113">
        <v>46185</v>
      </c>
      <c r="Q437" s="113">
        <v>46185</v>
      </c>
      <c r="R437" s="113">
        <v>46185</v>
      </c>
      <c r="S437" s="37">
        <f t="shared" si="78"/>
        <v>3684440</v>
      </c>
      <c r="T437" s="37">
        <f t="shared" si="79"/>
        <v>0</v>
      </c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</row>
    <row r="438" spans="1:31" hidden="1">
      <c r="A438" s="277" t="s">
        <v>4934</v>
      </c>
      <c r="B438" s="9" t="s">
        <v>21</v>
      </c>
      <c r="C438" s="9">
        <v>2026</v>
      </c>
      <c r="D438" s="9" t="s">
        <v>27</v>
      </c>
      <c r="E438" s="90" t="s">
        <v>23</v>
      </c>
      <c r="F438" s="9" t="s">
        <v>7</v>
      </c>
      <c r="G438" s="120"/>
      <c r="H438" s="121">
        <v>260258</v>
      </c>
      <c r="I438" s="121" t="s">
        <v>156</v>
      </c>
      <c r="J438" s="115">
        <v>46142</v>
      </c>
      <c r="K438" s="110">
        <v>46163</v>
      </c>
      <c r="L438" s="111">
        <v>3461400</v>
      </c>
      <c r="M438" s="109" t="s">
        <v>7065</v>
      </c>
      <c r="N438" s="34" t="s">
        <v>29</v>
      </c>
      <c r="O438" s="125"/>
      <c r="P438" s="113">
        <v>46185</v>
      </c>
      <c r="Q438" s="113">
        <v>46185</v>
      </c>
      <c r="R438" s="113">
        <v>46185</v>
      </c>
      <c r="S438" s="37">
        <f t="shared" si="78"/>
        <v>3461400</v>
      </c>
      <c r="T438" s="37">
        <f t="shared" si="79"/>
        <v>0</v>
      </c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</row>
    <row r="439" spans="1:31" hidden="1">
      <c r="A439" s="277" t="s">
        <v>4935</v>
      </c>
      <c r="B439" s="9" t="s">
        <v>21</v>
      </c>
      <c r="C439" s="9">
        <v>2026</v>
      </c>
      <c r="D439" s="9" t="s">
        <v>27</v>
      </c>
      <c r="E439" s="90" t="s">
        <v>23</v>
      </c>
      <c r="F439" s="9" t="s">
        <v>7</v>
      </c>
      <c r="G439" s="120"/>
      <c r="H439" s="121">
        <v>260262</v>
      </c>
      <c r="I439" s="121" t="s">
        <v>156</v>
      </c>
      <c r="J439" s="115">
        <v>46142</v>
      </c>
      <c r="K439" s="110">
        <v>46163</v>
      </c>
      <c r="L439" s="111">
        <v>392401</v>
      </c>
      <c r="M439" s="109" t="s">
        <v>7066</v>
      </c>
      <c r="N439" s="34" t="s">
        <v>29</v>
      </c>
      <c r="O439" s="125"/>
      <c r="P439" s="113">
        <v>46185</v>
      </c>
      <c r="Q439" s="113">
        <v>46185</v>
      </c>
      <c r="R439" s="113">
        <v>46185</v>
      </c>
      <c r="S439" s="37">
        <f t="shared" si="78"/>
        <v>392401</v>
      </c>
      <c r="T439" s="37">
        <f t="shared" si="79"/>
        <v>0</v>
      </c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</row>
    <row r="440" spans="1:31" hidden="1">
      <c r="A440" s="277" t="s">
        <v>4935</v>
      </c>
      <c r="B440" s="9" t="s">
        <v>21</v>
      </c>
      <c r="C440" s="9">
        <v>2026</v>
      </c>
      <c r="D440" s="9" t="s">
        <v>27</v>
      </c>
      <c r="E440" s="90" t="s">
        <v>23</v>
      </c>
      <c r="F440" s="9" t="s">
        <v>7</v>
      </c>
      <c r="G440" s="120"/>
      <c r="H440" s="121">
        <v>260272</v>
      </c>
      <c r="I440" s="121" t="s">
        <v>156</v>
      </c>
      <c r="J440" s="115">
        <v>46150</v>
      </c>
      <c r="K440" s="110">
        <v>46175</v>
      </c>
      <c r="L440" s="111">
        <v>6958850</v>
      </c>
      <c r="M440" s="109" t="s">
        <v>7099</v>
      </c>
      <c r="N440" s="34" t="s">
        <v>29</v>
      </c>
      <c r="O440" s="125"/>
      <c r="P440" s="113">
        <v>46185</v>
      </c>
      <c r="Q440" s="113">
        <v>46185</v>
      </c>
      <c r="R440" s="113">
        <v>46185</v>
      </c>
      <c r="S440" s="37">
        <f t="shared" ref="S440:S443" si="80">IF(R440="",0,L440)</f>
        <v>6958850</v>
      </c>
      <c r="T440" s="37">
        <f t="shared" ref="T440:T443" si="81">L440-S440</f>
        <v>0</v>
      </c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</row>
    <row r="441" spans="1:31" hidden="1">
      <c r="A441" s="277" t="s">
        <v>4935</v>
      </c>
      <c r="B441" s="9" t="s">
        <v>21</v>
      </c>
      <c r="C441" s="9">
        <v>2026</v>
      </c>
      <c r="D441" s="9" t="s">
        <v>27</v>
      </c>
      <c r="E441" s="90" t="s">
        <v>23</v>
      </c>
      <c r="F441" s="9" t="s">
        <v>7</v>
      </c>
      <c r="G441" s="120"/>
      <c r="H441" s="121">
        <v>260273</v>
      </c>
      <c r="I441" s="121" t="s">
        <v>156</v>
      </c>
      <c r="J441" s="115">
        <v>46150</v>
      </c>
      <c r="K441" s="110">
        <v>46175</v>
      </c>
      <c r="L441" s="111">
        <v>7870471</v>
      </c>
      <c r="M441" s="109" t="s">
        <v>7150</v>
      </c>
      <c r="N441" s="34" t="s">
        <v>29</v>
      </c>
      <c r="O441" s="125"/>
      <c r="P441" s="113">
        <v>46185</v>
      </c>
      <c r="Q441" s="113">
        <v>46185</v>
      </c>
      <c r="R441" s="113">
        <v>46185</v>
      </c>
      <c r="S441" s="37">
        <f t="shared" si="80"/>
        <v>7870471</v>
      </c>
      <c r="T441" s="37">
        <f t="shared" si="81"/>
        <v>0</v>
      </c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</row>
    <row r="442" spans="1:31" ht="14.25" hidden="1" customHeight="1">
      <c r="A442" s="277" t="s">
        <v>4935</v>
      </c>
      <c r="B442" s="9" t="s">
        <v>21</v>
      </c>
      <c r="C442" s="9">
        <v>2026</v>
      </c>
      <c r="D442" s="9" t="s">
        <v>27</v>
      </c>
      <c r="E442" s="90" t="s">
        <v>23</v>
      </c>
      <c r="F442" s="9" t="s">
        <v>7</v>
      </c>
      <c r="G442" s="120"/>
      <c r="H442" s="121">
        <v>260271</v>
      </c>
      <c r="I442" s="121" t="s">
        <v>156</v>
      </c>
      <c r="J442" s="115">
        <v>46150</v>
      </c>
      <c r="K442" s="110">
        <v>46175</v>
      </c>
      <c r="L442" s="111">
        <v>4081000</v>
      </c>
      <c r="M442" s="109" t="s">
        <v>7100</v>
      </c>
      <c r="N442" s="34" t="s">
        <v>29</v>
      </c>
      <c r="O442" s="125"/>
      <c r="P442" s="113">
        <v>46185</v>
      </c>
      <c r="Q442" s="113">
        <v>46185</v>
      </c>
      <c r="R442" s="113">
        <v>46185</v>
      </c>
      <c r="S442" s="37">
        <f t="shared" si="80"/>
        <v>4081000</v>
      </c>
      <c r="T442" s="37">
        <f t="shared" si="81"/>
        <v>0</v>
      </c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</row>
    <row r="443" spans="1:31" ht="14.25" hidden="1" customHeight="1">
      <c r="A443" s="277" t="s">
        <v>4935</v>
      </c>
      <c r="B443" s="9" t="s">
        <v>21</v>
      </c>
      <c r="C443" s="9">
        <v>2026</v>
      </c>
      <c r="D443" s="9" t="s">
        <v>27</v>
      </c>
      <c r="E443" s="90" t="s">
        <v>23</v>
      </c>
      <c r="F443" s="9" t="s">
        <v>7</v>
      </c>
      <c r="G443" s="120"/>
      <c r="H443" s="121">
        <v>260280</v>
      </c>
      <c r="I443" s="121" t="s">
        <v>156</v>
      </c>
      <c r="J443" s="115">
        <v>46155</v>
      </c>
      <c r="K443" s="110">
        <v>46175</v>
      </c>
      <c r="L443" s="111">
        <v>42218500</v>
      </c>
      <c r="M443" s="109" t="s">
        <v>7101</v>
      </c>
      <c r="N443" s="34" t="s">
        <v>29</v>
      </c>
      <c r="O443" s="125"/>
      <c r="P443" s="113">
        <v>46200</v>
      </c>
      <c r="Q443" s="113">
        <v>46200</v>
      </c>
      <c r="R443" s="113">
        <v>46200</v>
      </c>
      <c r="S443" s="37">
        <f t="shared" si="80"/>
        <v>42218500</v>
      </c>
      <c r="T443" s="37">
        <f t="shared" si="81"/>
        <v>0</v>
      </c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</row>
    <row r="444" spans="1:31" ht="14.25" hidden="1" customHeight="1">
      <c r="A444" s="277" t="s">
        <v>4935</v>
      </c>
      <c r="B444" s="9" t="s">
        <v>21</v>
      </c>
      <c r="C444" s="9">
        <v>2026</v>
      </c>
      <c r="D444" s="9" t="s">
        <v>27</v>
      </c>
      <c r="E444" s="90" t="s">
        <v>23</v>
      </c>
      <c r="F444" s="9" t="s">
        <v>7</v>
      </c>
      <c r="G444" s="120"/>
      <c r="H444" s="121">
        <v>260301</v>
      </c>
      <c r="I444" s="121" t="s">
        <v>156</v>
      </c>
      <c r="J444" s="115">
        <v>46164</v>
      </c>
      <c r="K444" s="110">
        <v>46184</v>
      </c>
      <c r="L444" s="111">
        <v>24087375</v>
      </c>
      <c r="M444" s="109" t="s">
        <v>7139</v>
      </c>
      <c r="N444" s="34" t="s">
        <v>29</v>
      </c>
      <c r="O444" s="125"/>
      <c r="P444" s="113">
        <v>46225</v>
      </c>
      <c r="Q444" s="113">
        <v>46225</v>
      </c>
      <c r="R444" s="113">
        <v>46225</v>
      </c>
      <c r="S444" s="37">
        <f t="shared" ref="S444:S454" si="82">IF(R444="",0,L444)</f>
        <v>24087375</v>
      </c>
      <c r="T444" s="37">
        <f t="shared" ref="T444:T454" si="83">L444-S444</f>
        <v>0</v>
      </c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</row>
    <row r="445" spans="1:31" ht="14.25" hidden="1" customHeight="1">
      <c r="A445" s="277" t="s">
        <v>4935</v>
      </c>
      <c r="B445" s="9" t="s">
        <v>21</v>
      </c>
      <c r="C445" s="9">
        <v>2026</v>
      </c>
      <c r="D445" s="9" t="s">
        <v>27</v>
      </c>
      <c r="E445" s="90" t="s">
        <v>23</v>
      </c>
      <c r="F445" s="9" t="s">
        <v>7</v>
      </c>
      <c r="G445" s="120"/>
      <c r="H445" s="121">
        <v>260304</v>
      </c>
      <c r="I445" s="121" t="s">
        <v>156</v>
      </c>
      <c r="J445" s="115">
        <v>46165</v>
      </c>
      <c r="K445" s="110">
        <v>46184</v>
      </c>
      <c r="L445" s="111">
        <v>1536000</v>
      </c>
      <c r="M445" s="109" t="s">
        <v>7140</v>
      </c>
      <c r="N445" s="34" t="s">
        <v>29</v>
      </c>
      <c r="O445" s="125"/>
      <c r="P445" s="113">
        <v>46225</v>
      </c>
      <c r="Q445" s="113">
        <v>46225</v>
      </c>
      <c r="R445" s="113">
        <v>46225</v>
      </c>
      <c r="S445" s="37">
        <f t="shared" si="82"/>
        <v>1536000</v>
      </c>
      <c r="T445" s="37">
        <f t="shared" si="83"/>
        <v>0</v>
      </c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</row>
    <row r="446" spans="1:31" ht="14.25" hidden="1" customHeight="1">
      <c r="A446" s="277" t="s">
        <v>4935</v>
      </c>
      <c r="B446" s="9" t="s">
        <v>21</v>
      </c>
      <c r="C446" s="9">
        <v>2026</v>
      </c>
      <c r="D446" s="9" t="s">
        <v>27</v>
      </c>
      <c r="E446" s="90" t="s">
        <v>23</v>
      </c>
      <c r="F446" s="9" t="s">
        <v>7</v>
      </c>
      <c r="G446" s="120"/>
      <c r="H446" s="121">
        <v>260305</v>
      </c>
      <c r="I446" s="121" t="s">
        <v>156</v>
      </c>
      <c r="J446" s="115">
        <v>46168</v>
      </c>
      <c r="K446" s="110">
        <v>46184</v>
      </c>
      <c r="L446" s="111">
        <v>2181181</v>
      </c>
      <c r="M446" s="109" t="s">
        <v>7141</v>
      </c>
      <c r="N446" s="34" t="s">
        <v>29</v>
      </c>
      <c r="O446" s="125"/>
      <c r="P446" s="113">
        <v>46225</v>
      </c>
      <c r="Q446" s="113">
        <v>46225</v>
      </c>
      <c r="R446" s="113">
        <v>46225</v>
      </c>
      <c r="S446" s="37">
        <f t="shared" si="82"/>
        <v>2181181</v>
      </c>
      <c r="T446" s="37">
        <f t="shared" si="83"/>
        <v>0</v>
      </c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</row>
    <row r="447" spans="1:31" ht="14.25" hidden="1" customHeight="1">
      <c r="A447" s="277" t="s">
        <v>4935</v>
      </c>
      <c r="B447" s="9" t="s">
        <v>21</v>
      </c>
      <c r="C447" s="9">
        <v>2026</v>
      </c>
      <c r="D447" s="9" t="s">
        <v>27</v>
      </c>
      <c r="E447" s="90" t="s">
        <v>23</v>
      </c>
      <c r="F447" s="9" t="s">
        <v>7</v>
      </c>
      <c r="G447" s="120"/>
      <c r="H447" s="121">
        <v>260306</v>
      </c>
      <c r="I447" s="121" t="s">
        <v>156</v>
      </c>
      <c r="J447" s="115">
        <v>46167</v>
      </c>
      <c r="K447" s="110">
        <v>46184</v>
      </c>
      <c r="L447" s="111">
        <v>837159</v>
      </c>
      <c r="M447" s="109" t="s">
        <v>7142</v>
      </c>
      <c r="N447" s="34" t="s">
        <v>29</v>
      </c>
      <c r="O447" s="125"/>
      <c r="P447" s="113">
        <v>46225</v>
      </c>
      <c r="Q447" s="113">
        <v>46225</v>
      </c>
      <c r="R447" s="113">
        <v>46225</v>
      </c>
      <c r="S447" s="37">
        <f t="shared" si="82"/>
        <v>837159</v>
      </c>
      <c r="T447" s="37">
        <f t="shared" si="83"/>
        <v>0</v>
      </c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</row>
    <row r="448" spans="1:31" ht="14.25" hidden="1" customHeight="1">
      <c r="A448" s="277" t="s">
        <v>4935</v>
      </c>
      <c r="B448" s="9" t="s">
        <v>21</v>
      </c>
      <c r="C448" s="9">
        <v>2026</v>
      </c>
      <c r="D448" s="9" t="s">
        <v>27</v>
      </c>
      <c r="E448" s="90" t="s">
        <v>23</v>
      </c>
      <c r="F448" s="9" t="s">
        <v>7</v>
      </c>
      <c r="G448" s="120"/>
      <c r="H448" s="121">
        <v>260315</v>
      </c>
      <c r="I448" s="121" t="s">
        <v>156</v>
      </c>
      <c r="J448" s="115">
        <v>46172</v>
      </c>
      <c r="K448" s="110">
        <v>46184</v>
      </c>
      <c r="L448" s="111">
        <v>4320209</v>
      </c>
      <c r="M448" s="109" t="s">
        <v>7143</v>
      </c>
      <c r="N448" s="34" t="s">
        <v>29</v>
      </c>
      <c r="O448" s="125"/>
      <c r="P448" s="113">
        <v>46225</v>
      </c>
      <c r="Q448" s="113">
        <v>46225</v>
      </c>
      <c r="R448" s="113">
        <v>46225</v>
      </c>
      <c r="S448" s="37">
        <f t="shared" si="82"/>
        <v>4320209</v>
      </c>
      <c r="T448" s="37">
        <f t="shared" si="83"/>
        <v>0</v>
      </c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</row>
    <row r="449" spans="1:31" ht="14.25" customHeight="1">
      <c r="A449" s="277" t="s">
        <v>4935</v>
      </c>
      <c r="B449" s="9" t="s">
        <v>21</v>
      </c>
      <c r="C449" s="9">
        <v>2026</v>
      </c>
      <c r="D449" s="9" t="s">
        <v>27</v>
      </c>
      <c r="E449" s="90" t="s">
        <v>23</v>
      </c>
      <c r="F449" s="9" t="s">
        <v>7</v>
      </c>
      <c r="G449" s="120"/>
      <c r="H449" s="121">
        <v>260316</v>
      </c>
      <c r="I449" s="121" t="s">
        <v>156</v>
      </c>
      <c r="J449" s="115">
        <v>46172</v>
      </c>
      <c r="K449" s="110">
        <v>46184</v>
      </c>
      <c r="L449" s="111">
        <v>3850800</v>
      </c>
      <c r="M449" s="109" t="s">
        <v>7144</v>
      </c>
      <c r="N449" s="34" t="s">
        <v>29</v>
      </c>
      <c r="O449" s="125"/>
      <c r="P449" s="113">
        <v>46225</v>
      </c>
      <c r="Q449" s="113">
        <v>46225</v>
      </c>
      <c r="R449" s="113">
        <v>46225</v>
      </c>
      <c r="S449" s="37">
        <f t="shared" si="82"/>
        <v>3850800</v>
      </c>
      <c r="T449" s="37">
        <f t="shared" si="83"/>
        <v>0</v>
      </c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</row>
    <row r="450" spans="1:31" ht="14.25" customHeight="1">
      <c r="A450" s="277" t="s">
        <v>4935</v>
      </c>
      <c r="B450" s="9" t="s">
        <v>21</v>
      </c>
      <c r="C450" s="9">
        <v>2026</v>
      </c>
      <c r="D450" s="9" t="s">
        <v>77</v>
      </c>
      <c r="E450" s="90" t="s">
        <v>23</v>
      </c>
      <c r="F450" s="9" t="s">
        <v>7</v>
      </c>
      <c r="G450" s="120"/>
      <c r="H450" s="126">
        <v>260370</v>
      </c>
      <c r="I450" s="126" t="s">
        <v>156</v>
      </c>
      <c r="J450" s="12">
        <v>46192</v>
      </c>
      <c r="K450" s="127">
        <v>46210</v>
      </c>
      <c r="L450" s="128">
        <v>392400</v>
      </c>
      <c r="M450" s="11" t="s">
        <v>7342</v>
      </c>
      <c r="N450" s="34">
        <f t="shared" ref="N450:N453" ca="1" si="84">$J$3-J450</f>
        <v>48.463776388889528</v>
      </c>
      <c r="O450" s="125">
        <f>SUM(L450:L452)</f>
        <v>26034434</v>
      </c>
      <c r="P450" s="39"/>
      <c r="Q450" s="39"/>
      <c r="R450" s="39"/>
      <c r="S450" s="37">
        <f t="shared" si="82"/>
        <v>0</v>
      </c>
      <c r="T450" s="37">
        <f t="shared" si="83"/>
        <v>392400</v>
      </c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</row>
    <row r="451" spans="1:31" ht="14.25" customHeight="1">
      <c r="A451" s="277" t="s">
        <v>4935</v>
      </c>
      <c r="B451" s="9" t="s">
        <v>21</v>
      </c>
      <c r="C451" s="9">
        <v>2026</v>
      </c>
      <c r="D451" s="9" t="s">
        <v>77</v>
      </c>
      <c r="E451" s="90" t="s">
        <v>23</v>
      </c>
      <c r="F451" s="9" t="s">
        <v>7</v>
      </c>
      <c r="G451" s="120"/>
      <c r="H451" s="126">
        <v>260371</v>
      </c>
      <c r="I451" s="126" t="s">
        <v>156</v>
      </c>
      <c r="J451" s="12">
        <v>46192</v>
      </c>
      <c r="K451" s="127">
        <v>46210</v>
      </c>
      <c r="L451" s="128">
        <v>11065240</v>
      </c>
      <c r="M451" s="11" t="s">
        <v>7343</v>
      </c>
      <c r="N451" s="34">
        <f t="shared" ca="1" si="84"/>
        <v>48.463776388889528</v>
      </c>
      <c r="O451" s="125"/>
      <c r="P451" s="39"/>
      <c r="Q451" s="39"/>
      <c r="R451" s="39"/>
      <c r="S451" s="37">
        <f t="shared" si="82"/>
        <v>0</v>
      </c>
      <c r="T451" s="37">
        <f t="shared" si="83"/>
        <v>11065240</v>
      </c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</row>
    <row r="452" spans="1:31" ht="14.25" customHeight="1">
      <c r="A452" s="277" t="s">
        <v>4935</v>
      </c>
      <c r="B452" s="9" t="s">
        <v>21</v>
      </c>
      <c r="C452" s="9">
        <v>2026</v>
      </c>
      <c r="D452" s="9" t="s">
        <v>77</v>
      </c>
      <c r="E452" s="90" t="s">
        <v>23</v>
      </c>
      <c r="F452" s="9" t="s">
        <v>7</v>
      </c>
      <c r="G452" s="120"/>
      <c r="H452" s="126">
        <v>260369</v>
      </c>
      <c r="I452" s="126" t="s">
        <v>156</v>
      </c>
      <c r="J452" s="12">
        <v>46192</v>
      </c>
      <c r="K452" s="127">
        <v>46210</v>
      </c>
      <c r="L452" s="128">
        <v>14576794</v>
      </c>
      <c r="M452" s="11" t="s">
        <v>7344</v>
      </c>
      <c r="N452" s="34">
        <f t="shared" ca="1" si="84"/>
        <v>48.463776388889528</v>
      </c>
      <c r="O452" s="125"/>
      <c r="P452" s="39"/>
      <c r="Q452" s="39"/>
      <c r="R452" s="39"/>
      <c r="S452" s="37">
        <f t="shared" si="82"/>
        <v>0</v>
      </c>
      <c r="T452" s="37">
        <f t="shared" si="83"/>
        <v>14576794</v>
      </c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</row>
    <row r="453" spans="1:31" ht="14.25" customHeight="1">
      <c r="A453" s="277" t="s">
        <v>4935</v>
      </c>
      <c r="B453" s="9" t="s">
        <v>21</v>
      </c>
      <c r="C453" s="9">
        <v>2026</v>
      </c>
      <c r="D453" s="9" t="s">
        <v>77</v>
      </c>
      <c r="E453" s="90" t="s">
        <v>23</v>
      </c>
      <c r="F453" s="9" t="s">
        <v>7</v>
      </c>
      <c r="G453" s="120"/>
      <c r="H453" s="126">
        <v>260416</v>
      </c>
      <c r="I453" s="126" t="s">
        <v>156</v>
      </c>
      <c r="J453" s="12">
        <v>46203</v>
      </c>
      <c r="K453" s="127">
        <v>46226</v>
      </c>
      <c r="L453" s="128">
        <v>17270455</v>
      </c>
      <c r="M453" s="11" t="s">
        <v>7431</v>
      </c>
      <c r="N453" s="34">
        <f t="shared" ca="1" si="84"/>
        <v>37.463776388889528</v>
      </c>
      <c r="O453" s="125"/>
      <c r="P453" s="39"/>
      <c r="Q453" s="39"/>
      <c r="R453" s="39"/>
      <c r="S453" s="37">
        <f t="shared" si="82"/>
        <v>0</v>
      </c>
      <c r="T453" s="37">
        <f t="shared" si="83"/>
        <v>17270455</v>
      </c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</row>
    <row r="454" spans="1:31" ht="14.25" customHeight="1">
      <c r="A454" s="277" t="s">
        <v>4936</v>
      </c>
      <c r="B454" s="9" t="s">
        <v>21</v>
      </c>
      <c r="C454" s="9"/>
      <c r="D454" s="9"/>
      <c r="E454" s="90"/>
      <c r="F454" s="9"/>
      <c r="G454" s="120"/>
      <c r="H454" s="126"/>
      <c r="I454" s="126"/>
      <c r="J454" s="12"/>
      <c r="K454" s="12"/>
      <c r="L454" s="128"/>
      <c r="M454" s="11"/>
      <c r="N454" s="129"/>
      <c r="O454" s="11"/>
      <c r="P454" s="39"/>
      <c r="Q454" s="39"/>
      <c r="R454" s="39"/>
      <c r="S454" s="37">
        <f t="shared" si="82"/>
        <v>0</v>
      </c>
      <c r="T454" s="37">
        <f t="shared" si="83"/>
        <v>0</v>
      </c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</row>
    <row r="455" spans="1:31" ht="14.25" customHeight="1">
      <c r="A455" s="277" t="s">
        <v>4937</v>
      </c>
      <c r="B455" s="9" t="s">
        <v>21</v>
      </c>
      <c r="C455" s="9"/>
      <c r="D455" s="9"/>
      <c r="E455" s="90"/>
      <c r="F455" s="9"/>
      <c r="G455" s="10"/>
      <c r="H455" s="9"/>
      <c r="I455" s="11"/>
      <c r="J455" s="12"/>
      <c r="K455" s="12"/>
      <c r="L455" s="52"/>
      <c r="M455" s="10"/>
      <c r="N455" s="9"/>
      <c r="O455" s="11"/>
      <c r="P455" s="39"/>
      <c r="Q455" s="39"/>
      <c r="R455" s="39"/>
      <c r="S455" s="37">
        <f>IF(R455="",0,L455)</f>
        <v>0</v>
      </c>
      <c r="T455" s="37">
        <f>L455-S455</f>
        <v>0</v>
      </c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</row>
    <row r="456" spans="1:31" ht="14.25" customHeight="1">
      <c r="A456" s="277" t="s">
        <v>4938</v>
      </c>
      <c r="B456" s="9" t="s">
        <v>21</v>
      </c>
      <c r="C456" s="9"/>
      <c r="D456" s="9"/>
      <c r="E456" s="90"/>
      <c r="F456" s="9"/>
      <c r="G456" s="94" t="s">
        <v>24</v>
      </c>
      <c r="H456" s="95" t="s">
        <v>265</v>
      </c>
      <c r="I456" s="104"/>
      <c r="J456" s="105"/>
      <c r="K456" s="105"/>
      <c r="L456" s="106">
        <f>SUM(L457:L457)</f>
        <v>0</v>
      </c>
      <c r="M456" s="107"/>
      <c r="N456" s="108" t="s">
        <v>26</v>
      </c>
      <c r="O456" s="108"/>
      <c r="P456" s="108"/>
      <c r="Q456" s="108"/>
      <c r="R456" s="108"/>
      <c r="S456" s="106">
        <f>SUM(S457:S457)</f>
        <v>0</v>
      </c>
      <c r="T456" s="106">
        <f>SUM(T457:T457)</f>
        <v>0</v>
      </c>
      <c r="U456" s="10"/>
      <c r="V456" s="52">
        <f>L456-S456</f>
        <v>0</v>
      </c>
      <c r="W456" s="52">
        <f>T456-V456</f>
        <v>0</v>
      </c>
      <c r="X456" s="10"/>
      <c r="Y456" s="10"/>
      <c r="Z456" s="10"/>
      <c r="AA456" s="10"/>
      <c r="AB456" s="10"/>
      <c r="AC456" s="10"/>
      <c r="AD456" s="10"/>
      <c r="AE456" s="10"/>
    </row>
    <row r="457" spans="1:31" ht="14.25" customHeight="1">
      <c r="A457" s="277" t="s">
        <v>4939</v>
      </c>
      <c r="B457" s="9" t="s">
        <v>21</v>
      </c>
      <c r="C457" s="9"/>
      <c r="D457" s="9"/>
      <c r="E457" s="90"/>
      <c r="F457" s="9"/>
      <c r="G457" s="10"/>
      <c r="H457" s="9"/>
      <c r="I457" s="11"/>
      <c r="J457" s="12"/>
      <c r="K457" s="12"/>
      <c r="L457" s="52"/>
      <c r="M457" s="10"/>
      <c r="N457" s="114">
        <f ca="1">$J$3-J457</f>
        <v>46240.46377638889</v>
      </c>
      <c r="O457" s="11"/>
      <c r="P457" s="39"/>
      <c r="Q457" s="39"/>
      <c r="R457" s="39"/>
      <c r="S457" s="37">
        <f>IF(R457="",0,L457)</f>
        <v>0</v>
      </c>
      <c r="T457" s="37">
        <f>L457-S457</f>
        <v>0</v>
      </c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</row>
    <row r="458" spans="1:31" ht="14.25" customHeight="1">
      <c r="A458" s="277" t="s">
        <v>4940</v>
      </c>
      <c r="B458" s="9" t="s">
        <v>21</v>
      </c>
      <c r="C458" s="9"/>
      <c r="D458" s="9"/>
      <c r="E458" s="90"/>
      <c r="F458" s="9"/>
      <c r="G458" s="10"/>
      <c r="H458" s="9"/>
      <c r="I458" s="11"/>
      <c r="J458" s="12"/>
      <c r="K458" s="12"/>
      <c r="L458" s="52"/>
      <c r="M458" s="10"/>
      <c r="N458" s="9"/>
      <c r="O458" s="11"/>
      <c r="P458" s="39"/>
      <c r="Q458" s="39"/>
      <c r="R458" s="39"/>
      <c r="S458" s="37"/>
      <c r="T458" s="37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</row>
    <row r="459" spans="1:31">
      <c r="A459" s="277" t="s">
        <v>4941</v>
      </c>
      <c r="B459" s="9" t="s">
        <v>21</v>
      </c>
      <c r="C459" s="9"/>
      <c r="D459" s="9"/>
      <c r="E459" s="90"/>
      <c r="F459" s="9"/>
      <c r="G459" s="94" t="s">
        <v>24</v>
      </c>
      <c r="H459" s="95" t="s">
        <v>266</v>
      </c>
      <c r="I459" s="104"/>
      <c r="J459" s="105"/>
      <c r="K459" s="105"/>
      <c r="L459" s="106">
        <f>SUM(L460:L540)</f>
        <v>874438929</v>
      </c>
      <c r="M459" s="107"/>
      <c r="N459" s="108" t="s">
        <v>26</v>
      </c>
      <c r="O459" s="108"/>
      <c r="P459" s="108"/>
      <c r="Q459" s="108"/>
      <c r="R459" s="108"/>
      <c r="S459" s="106">
        <f>SUM(S460:S540)</f>
        <v>703572035</v>
      </c>
      <c r="T459" s="106">
        <f>SUM(T460:T540)</f>
        <v>170866894</v>
      </c>
      <c r="U459" s="10"/>
      <c r="V459" s="52">
        <f>L459-S459</f>
        <v>170866894</v>
      </c>
      <c r="W459" s="52">
        <f>T459-V459</f>
        <v>0</v>
      </c>
      <c r="X459" s="10"/>
      <c r="Y459" s="10"/>
      <c r="Z459" s="10"/>
      <c r="AA459" s="10"/>
      <c r="AB459" s="10"/>
      <c r="AC459" s="10"/>
      <c r="AD459" s="10"/>
      <c r="AE459" s="10"/>
    </row>
    <row r="460" spans="1:31" hidden="1">
      <c r="A460" s="277" t="s">
        <v>4942</v>
      </c>
      <c r="B460" s="9" t="s">
        <v>21</v>
      </c>
      <c r="C460" s="9">
        <v>2025</v>
      </c>
      <c r="D460" s="9" t="s">
        <v>27</v>
      </c>
      <c r="E460" s="90" t="s">
        <v>23</v>
      </c>
      <c r="F460" s="9" t="s">
        <v>7</v>
      </c>
      <c r="G460" s="10"/>
      <c r="H460" s="96">
        <v>250040</v>
      </c>
      <c r="I460" s="109" t="s">
        <v>266</v>
      </c>
      <c r="J460" s="115">
        <v>45666</v>
      </c>
      <c r="K460" s="119">
        <v>45680</v>
      </c>
      <c r="L460" s="116">
        <v>249750</v>
      </c>
      <c r="M460" s="117" t="s">
        <v>267</v>
      </c>
      <c r="N460" s="34" t="s">
        <v>29</v>
      </c>
      <c r="O460" s="10"/>
      <c r="P460" s="113">
        <v>45824</v>
      </c>
      <c r="Q460" s="113">
        <v>45824</v>
      </c>
      <c r="R460" s="113">
        <v>45824</v>
      </c>
      <c r="S460" s="37">
        <f t="shared" ref="S460:S477" si="85">IF(R460="",0,L460)</f>
        <v>249750</v>
      </c>
      <c r="T460" s="37">
        <f t="shared" ref="T460:T477" si="86">L460-S460</f>
        <v>0</v>
      </c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</row>
    <row r="461" spans="1:31" hidden="1">
      <c r="A461" s="277" t="s">
        <v>4943</v>
      </c>
      <c r="B461" s="9" t="s">
        <v>21</v>
      </c>
      <c r="C461" s="9">
        <v>2025</v>
      </c>
      <c r="D461" s="9" t="s">
        <v>27</v>
      </c>
      <c r="E461" s="90" t="s">
        <v>23</v>
      </c>
      <c r="F461" s="9" t="s">
        <v>7</v>
      </c>
      <c r="G461" s="10"/>
      <c r="H461" s="96">
        <v>250041</v>
      </c>
      <c r="I461" s="109" t="s">
        <v>266</v>
      </c>
      <c r="J461" s="115">
        <v>45666</v>
      </c>
      <c r="K461" s="119">
        <v>45680</v>
      </c>
      <c r="L461" s="116">
        <v>290820</v>
      </c>
      <c r="M461" s="117" t="s">
        <v>268</v>
      </c>
      <c r="N461" s="34" t="s">
        <v>29</v>
      </c>
      <c r="O461" s="10"/>
      <c r="P461" s="113">
        <v>45824</v>
      </c>
      <c r="Q461" s="113">
        <v>45824</v>
      </c>
      <c r="R461" s="113">
        <v>45824</v>
      </c>
      <c r="S461" s="37">
        <f t="shared" si="85"/>
        <v>290820</v>
      </c>
      <c r="T461" s="37">
        <f t="shared" si="86"/>
        <v>0</v>
      </c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</row>
    <row r="462" spans="1:31" hidden="1">
      <c r="A462" s="277" t="s">
        <v>4944</v>
      </c>
      <c r="B462" s="9" t="s">
        <v>21</v>
      </c>
      <c r="C462" s="9">
        <v>2025</v>
      </c>
      <c r="D462" s="9" t="s">
        <v>27</v>
      </c>
      <c r="E462" s="90" t="s">
        <v>23</v>
      </c>
      <c r="F462" s="9" t="s">
        <v>7</v>
      </c>
      <c r="G462" s="10"/>
      <c r="H462" s="96">
        <v>250038</v>
      </c>
      <c r="I462" s="109" t="s">
        <v>266</v>
      </c>
      <c r="J462" s="115">
        <v>45666</v>
      </c>
      <c r="K462" s="119">
        <v>45680</v>
      </c>
      <c r="L462" s="116">
        <v>272672</v>
      </c>
      <c r="M462" s="117" t="s">
        <v>269</v>
      </c>
      <c r="N462" s="34" t="s">
        <v>29</v>
      </c>
      <c r="O462" s="10"/>
      <c r="P462" s="113">
        <v>45824</v>
      </c>
      <c r="Q462" s="113">
        <v>45824</v>
      </c>
      <c r="R462" s="113">
        <v>45824</v>
      </c>
      <c r="S462" s="37">
        <f t="shared" si="85"/>
        <v>272672</v>
      </c>
      <c r="T462" s="37">
        <f t="shared" si="86"/>
        <v>0</v>
      </c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</row>
    <row r="463" spans="1:31" hidden="1">
      <c r="A463" s="277" t="s">
        <v>4945</v>
      </c>
      <c r="B463" s="9" t="s">
        <v>21</v>
      </c>
      <c r="C463" s="9">
        <v>2025</v>
      </c>
      <c r="D463" s="9" t="s">
        <v>27</v>
      </c>
      <c r="E463" s="90" t="s">
        <v>23</v>
      </c>
      <c r="F463" s="9" t="s">
        <v>7</v>
      </c>
      <c r="G463" s="10"/>
      <c r="H463" s="96">
        <v>250039</v>
      </c>
      <c r="I463" s="109" t="s">
        <v>266</v>
      </c>
      <c r="J463" s="115">
        <v>45666</v>
      </c>
      <c r="K463" s="119">
        <v>45680</v>
      </c>
      <c r="L463" s="116">
        <v>15682802</v>
      </c>
      <c r="M463" s="117" t="s">
        <v>270</v>
      </c>
      <c r="N463" s="34" t="s">
        <v>29</v>
      </c>
      <c r="O463" s="27">
        <f>SUM(L463:L465)</f>
        <v>30000000</v>
      </c>
      <c r="P463" s="113">
        <v>45831</v>
      </c>
      <c r="Q463" s="113">
        <v>45831</v>
      </c>
      <c r="R463" s="113">
        <v>45831</v>
      </c>
      <c r="S463" s="37">
        <f t="shared" si="85"/>
        <v>15682802</v>
      </c>
      <c r="T463" s="37">
        <f t="shared" si="86"/>
        <v>0</v>
      </c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</row>
    <row r="464" spans="1:31" hidden="1">
      <c r="A464" s="277" t="s">
        <v>4946</v>
      </c>
      <c r="B464" s="9" t="s">
        <v>21</v>
      </c>
      <c r="C464" s="9">
        <v>2025</v>
      </c>
      <c r="D464" s="9" t="s">
        <v>27</v>
      </c>
      <c r="E464" s="90" t="s">
        <v>23</v>
      </c>
      <c r="F464" s="9" t="s">
        <v>7</v>
      </c>
      <c r="G464" s="10"/>
      <c r="H464" s="96">
        <v>250037</v>
      </c>
      <c r="I464" s="109" t="s">
        <v>266</v>
      </c>
      <c r="J464" s="115">
        <v>45667</v>
      </c>
      <c r="K464" s="119">
        <v>45696</v>
      </c>
      <c r="L464" s="116">
        <v>36252095</v>
      </c>
      <c r="M464" s="117" t="s">
        <v>271</v>
      </c>
      <c r="N464" s="34" t="s">
        <v>29</v>
      </c>
      <c r="O464" s="10"/>
      <c r="P464" s="113">
        <v>45831</v>
      </c>
      <c r="Q464" s="113">
        <v>45831</v>
      </c>
      <c r="R464" s="113">
        <v>45831</v>
      </c>
      <c r="S464" s="37">
        <f t="shared" si="85"/>
        <v>36252095</v>
      </c>
      <c r="T464" s="37">
        <f t="shared" si="86"/>
        <v>0</v>
      </c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</row>
    <row r="465" spans="1:31" hidden="1">
      <c r="A465" s="277" t="s">
        <v>4947</v>
      </c>
      <c r="B465" s="9" t="s">
        <v>21</v>
      </c>
      <c r="C465" s="9">
        <v>2025</v>
      </c>
      <c r="D465" s="9" t="s">
        <v>27</v>
      </c>
      <c r="E465" s="90" t="s">
        <v>23</v>
      </c>
      <c r="F465" s="9" t="s">
        <v>7</v>
      </c>
      <c r="G465" s="10"/>
      <c r="H465" s="96">
        <v>250037</v>
      </c>
      <c r="I465" s="109" t="s">
        <v>266</v>
      </c>
      <c r="J465" s="115">
        <v>45667</v>
      </c>
      <c r="K465" s="119">
        <v>45696</v>
      </c>
      <c r="L465" s="116">
        <f>-14317198-7617699</f>
        <v>-21934897</v>
      </c>
      <c r="M465" s="117" t="s">
        <v>272</v>
      </c>
      <c r="N465" s="34" t="s">
        <v>29</v>
      </c>
      <c r="O465" s="10"/>
      <c r="P465" s="113">
        <v>45831</v>
      </c>
      <c r="Q465" s="113">
        <v>45831</v>
      </c>
      <c r="R465" s="113">
        <v>45831</v>
      </c>
      <c r="S465" s="37"/>
      <c r="T465" s="37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</row>
    <row r="466" spans="1:31" hidden="1">
      <c r="A466" s="277" t="s">
        <v>4948</v>
      </c>
      <c r="B466" s="9" t="s">
        <v>21</v>
      </c>
      <c r="C466" s="9">
        <v>2025</v>
      </c>
      <c r="D466" s="9" t="s">
        <v>27</v>
      </c>
      <c r="E466" s="90" t="s">
        <v>23</v>
      </c>
      <c r="F466" s="9" t="s">
        <v>7</v>
      </c>
      <c r="G466" s="10"/>
      <c r="H466" s="96">
        <v>250037</v>
      </c>
      <c r="I466" s="109" t="s">
        <v>266</v>
      </c>
      <c r="J466" s="115">
        <v>45667</v>
      </c>
      <c r="K466" s="119">
        <v>45696</v>
      </c>
      <c r="L466" s="116">
        <v>21934897</v>
      </c>
      <c r="M466" s="117" t="s">
        <v>272</v>
      </c>
      <c r="N466" s="34" t="s">
        <v>29</v>
      </c>
      <c r="O466" s="27">
        <f>SUM(L466:L469)</f>
        <v>31234200</v>
      </c>
      <c r="P466" s="113">
        <v>45861</v>
      </c>
      <c r="Q466" s="113">
        <v>45861</v>
      </c>
      <c r="R466" s="113">
        <v>45861</v>
      </c>
      <c r="S466" s="37"/>
      <c r="T466" s="37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</row>
    <row r="467" spans="1:31" hidden="1">
      <c r="A467" s="277" t="s">
        <v>4949</v>
      </c>
      <c r="B467" s="9" t="s">
        <v>21</v>
      </c>
      <c r="C467" s="9">
        <v>2025</v>
      </c>
      <c r="D467" s="9" t="s">
        <v>27</v>
      </c>
      <c r="E467" s="90" t="s">
        <v>23</v>
      </c>
      <c r="F467" s="9" t="s">
        <v>7</v>
      </c>
      <c r="G467" s="10"/>
      <c r="H467" s="96">
        <v>250036</v>
      </c>
      <c r="I467" s="109" t="s">
        <v>266</v>
      </c>
      <c r="J467" s="115">
        <v>45668</v>
      </c>
      <c r="K467" s="119">
        <v>45696</v>
      </c>
      <c r="L467" s="116">
        <v>5494500</v>
      </c>
      <c r="M467" s="117" t="s">
        <v>273</v>
      </c>
      <c r="N467" s="34" t="s">
        <v>29</v>
      </c>
      <c r="O467" s="10"/>
      <c r="P467" s="113">
        <v>45861</v>
      </c>
      <c r="Q467" s="113">
        <v>45861</v>
      </c>
      <c r="R467" s="113">
        <v>45861</v>
      </c>
      <c r="S467" s="37">
        <f t="shared" si="85"/>
        <v>5494500</v>
      </c>
      <c r="T467" s="37">
        <f t="shared" si="86"/>
        <v>0</v>
      </c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</row>
    <row r="468" spans="1:31" hidden="1">
      <c r="A468" s="277" t="s">
        <v>4950</v>
      </c>
      <c r="B468" s="9" t="s">
        <v>21</v>
      </c>
      <c r="C468" s="9">
        <v>2025</v>
      </c>
      <c r="D468" s="9" t="s">
        <v>27</v>
      </c>
      <c r="E468" s="90" t="s">
        <v>23</v>
      </c>
      <c r="F468" s="9" t="s">
        <v>7</v>
      </c>
      <c r="G468" s="10"/>
      <c r="H468" s="96">
        <v>250069</v>
      </c>
      <c r="I468" s="109" t="s">
        <v>266</v>
      </c>
      <c r="J468" s="115">
        <v>45674</v>
      </c>
      <c r="K468" s="119">
        <v>45696</v>
      </c>
      <c r="L468" s="116">
        <v>1163003</v>
      </c>
      <c r="M468" s="117" t="s">
        <v>274</v>
      </c>
      <c r="N468" s="34" t="s">
        <v>29</v>
      </c>
      <c r="O468" s="10"/>
      <c r="P468" s="113">
        <v>45861</v>
      </c>
      <c r="Q468" s="113">
        <v>45861</v>
      </c>
      <c r="R468" s="113">
        <v>45861</v>
      </c>
      <c r="S468" s="37">
        <f t="shared" si="85"/>
        <v>1163003</v>
      </c>
      <c r="T468" s="37">
        <f t="shared" si="86"/>
        <v>0</v>
      </c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</row>
    <row r="469" spans="1:31" hidden="1">
      <c r="A469" s="277" t="s">
        <v>4951</v>
      </c>
      <c r="B469" s="9" t="s">
        <v>21</v>
      </c>
      <c r="C469" s="9">
        <v>2025</v>
      </c>
      <c r="D469" s="9" t="s">
        <v>27</v>
      </c>
      <c r="E469" s="90" t="s">
        <v>23</v>
      </c>
      <c r="F469" s="9" t="s">
        <v>7</v>
      </c>
      <c r="G469" s="10"/>
      <c r="H469" s="96">
        <v>250082</v>
      </c>
      <c r="I469" s="109" t="s">
        <v>266</v>
      </c>
      <c r="J469" s="115">
        <v>45675</v>
      </c>
      <c r="K469" s="119">
        <v>45696</v>
      </c>
      <c r="L469" s="116">
        <v>2641800</v>
      </c>
      <c r="M469" s="117" t="s">
        <v>275</v>
      </c>
      <c r="N469" s="34" t="s">
        <v>29</v>
      </c>
      <c r="O469" s="10"/>
      <c r="P469" s="113">
        <v>45861</v>
      </c>
      <c r="Q469" s="113">
        <v>45861</v>
      </c>
      <c r="R469" s="113">
        <v>45861</v>
      </c>
      <c r="S469" s="37">
        <f t="shared" si="85"/>
        <v>2641800</v>
      </c>
      <c r="T469" s="37">
        <f t="shared" si="86"/>
        <v>0</v>
      </c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</row>
    <row r="470" spans="1:31" hidden="1">
      <c r="A470" s="277" t="s">
        <v>4952</v>
      </c>
      <c r="B470" s="9" t="s">
        <v>21</v>
      </c>
      <c r="C470" s="9">
        <v>2025</v>
      </c>
      <c r="D470" s="9" t="s">
        <v>27</v>
      </c>
      <c r="E470" s="90" t="s">
        <v>23</v>
      </c>
      <c r="F470" s="9" t="s">
        <v>7</v>
      </c>
      <c r="G470" s="10"/>
      <c r="H470" s="96">
        <v>250083</v>
      </c>
      <c r="I470" s="109" t="s">
        <v>266</v>
      </c>
      <c r="J470" s="115">
        <v>45674</v>
      </c>
      <c r="K470" s="119">
        <v>45696</v>
      </c>
      <c r="L470" s="116">
        <v>13580626</v>
      </c>
      <c r="M470" s="117" t="s">
        <v>276</v>
      </c>
      <c r="N470" s="34" t="s">
        <v>29</v>
      </c>
      <c r="O470" s="27">
        <f>SUM(L470:L474)</f>
        <v>43466788</v>
      </c>
      <c r="P470" s="113">
        <v>45890</v>
      </c>
      <c r="Q470" s="113">
        <v>45890</v>
      </c>
      <c r="R470" s="113">
        <v>45890</v>
      </c>
      <c r="S470" s="37">
        <f t="shared" si="85"/>
        <v>13580626</v>
      </c>
      <c r="T470" s="37">
        <f t="shared" si="86"/>
        <v>0</v>
      </c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</row>
    <row r="471" spans="1:31" hidden="1">
      <c r="A471" s="277" t="s">
        <v>4953</v>
      </c>
      <c r="B471" s="9" t="s">
        <v>21</v>
      </c>
      <c r="C471" s="9">
        <v>2025</v>
      </c>
      <c r="D471" s="9" t="s">
        <v>27</v>
      </c>
      <c r="E471" s="90" t="s">
        <v>23</v>
      </c>
      <c r="F471" s="9" t="s">
        <v>7</v>
      </c>
      <c r="G471" s="10"/>
      <c r="H471" s="96">
        <v>250094</v>
      </c>
      <c r="I471" s="109" t="s">
        <v>266</v>
      </c>
      <c r="J471" s="115">
        <v>45679</v>
      </c>
      <c r="K471" s="119">
        <v>45696</v>
      </c>
      <c r="L471" s="116">
        <v>910246</v>
      </c>
      <c r="M471" s="117" t="s">
        <v>277</v>
      </c>
      <c r="N471" s="34" t="s">
        <v>29</v>
      </c>
      <c r="O471" s="10"/>
      <c r="P471" s="113">
        <v>45890</v>
      </c>
      <c r="Q471" s="113">
        <v>45890</v>
      </c>
      <c r="R471" s="113">
        <v>45890</v>
      </c>
      <c r="S471" s="37">
        <f t="shared" si="85"/>
        <v>910246</v>
      </c>
      <c r="T471" s="37">
        <f t="shared" si="86"/>
        <v>0</v>
      </c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</row>
    <row r="472" spans="1:31" hidden="1">
      <c r="A472" s="277" t="s">
        <v>4954</v>
      </c>
      <c r="B472" s="9" t="s">
        <v>21</v>
      </c>
      <c r="C472" s="9">
        <v>2025</v>
      </c>
      <c r="D472" s="9" t="s">
        <v>27</v>
      </c>
      <c r="E472" s="90" t="s">
        <v>23</v>
      </c>
      <c r="F472" s="9" t="s">
        <v>7</v>
      </c>
      <c r="G472" s="10"/>
      <c r="H472" s="96">
        <v>250112</v>
      </c>
      <c r="I472" s="109" t="s">
        <v>266</v>
      </c>
      <c r="J472" s="115">
        <v>45688</v>
      </c>
      <c r="K472" s="119">
        <v>45696</v>
      </c>
      <c r="L472" s="116">
        <v>22671469</v>
      </c>
      <c r="M472" s="117" t="s">
        <v>278</v>
      </c>
      <c r="N472" s="34" t="s">
        <v>29</v>
      </c>
      <c r="O472" s="10"/>
      <c r="P472" s="113">
        <v>45890</v>
      </c>
      <c r="Q472" s="113">
        <v>45890</v>
      </c>
      <c r="R472" s="113">
        <v>45890</v>
      </c>
      <c r="S472" s="37">
        <f t="shared" si="85"/>
        <v>22671469</v>
      </c>
      <c r="T472" s="37">
        <f t="shared" si="86"/>
        <v>0</v>
      </c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</row>
    <row r="473" spans="1:31" hidden="1">
      <c r="A473" s="277" t="s">
        <v>4955</v>
      </c>
      <c r="B473" s="9" t="s">
        <v>21</v>
      </c>
      <c r="C473" s="9">
        <v>2025</v>
      </c>
      <c r="D473" s="9" t="s">
        <v>27</v>
      </c>
      <c r="E473" s="90" t="s">
        <v>23</v>
      </c>
      <c r="F473" s="9" t="s">
        <v>7</v>
      </c>
      <c r="G473" s="10"/>
      <c r="H473" s="96">
        <v>250094</v>
      </c>
      <c r="I473" s="109" t="s">
        <v>266</v>
      </c>
      <c r="J473" s="115">
        <v>45688</v>
      </c>
      <c r="K473" s="119">
        <v>45696</v>
      </c>
      <c r="L473" s="116">
        <v>6118300</v>
      </c>
      <c r="M473" s="117" t="s">
        <v>279</v>
      </c>
      <c r="N473" s="34" t="s">
        <v>29</v>
      </c>
      <c r="O473" s="10"/>
      <c r="P473" s="113">
        <v>45890</v>
      </c>
      <c r="Q473" s="113">
        <v>45890</v>
      </c>
      <c r="R473" s="113">
        <v>45890</v>
      </c>
      <c r="S473" s="37">
        <f t="shared" si="85"/>
        <v>6118300</v>
      </c>
      <c r="T473" s="37">
        <f t="shared" si="86"/>
        <v>0</v>
      </c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</row>
    <row r="474" spans="1:31" hidden="1">
      <c r="A474" s="277" t="s">
        <v>4956</v>
      </c>
      <c r="B474" s="9" t="s">
        <v>21</v>
      </c>
      <c r="C474" s="9">
        <v>2025</v>
      </c>
      <c r="D474" s="9" t="s">
        <v>27</v>
      </c>
      <c r="E474" s="90" t="s">
        <v>23</v>
      </c>
      <c r="F474" s="9" t="s">
        <v>7</v>
      </c>
      <c r="G474" s="10"/>
      <c r="H474" s="96">
        <v>250094</v>
      </c>
      <c r="I474" s="109" t="s">
        <v>266</v>
      </c>
      <c r="J474" s="115">
        <v>45688</v>
      </c>
      <c r="K474" s="119">
        <v>45696</v>
      </c>
      <c r="L474" s="116">
        <v>186147</v>
      </c>
      <c r="M474" s="117" t="s">
        <v>280</v>
      </c>
      <c r="N474" s="34" t="s">
        <v>29</v>
      </c>
      <c r="O474" s="10"/>
      <c r="P474" s="113">
        <v>45890</v>
      </c>
      <c r="Q474" s="113">
        <v>45890</v>
      </c>
      <c r="R474" s="113">
        <v>45890</v>
      </c>
      <c r="S474" s="37">
        <f t="shared" si="85"/>
        <v>186147</v>
      </c>
      <c r="T474" s="37">
        <f t="shared" si="86"/>
        <v>0</v>
      </c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</row>
    <row r="475" spans="1:31" hidden="1">
      <c r="A475" s="277" t="s">
        <v>4957</v>
      </c>
      <c r="B475" s="9" t="s">
        <v>21</v>
      </c>
      <c r="C475" s="9">
        <v>2025</v>
      </c>
      <c r="D475" s="9" t="s">
        <v>27</v>
      </c>
      <c r="E475" s="90" t="s">
        <v>23</v>
      </c>
      <c r="F475" s="9" t="s">
        <v>7</v>
      </c>
      <c r="G475" s="10"/>
      <c r="H475" s="96">
        <v>250094</v>
      </c>
      <c r="I475" s="109" t="s">
        <v>266</v>
      </c>
      <c r="J475" s="115">
        <v>45688</v>
      </c>
      <c r="K475" s="119">
        <v>45696</v>
      </c>
      <c r="L475" s="116">
        <v>7348811</v>
      </c>
      <c r="M475" s="117" t="s">
        <v>281</v>
      </c>
      <c r="N475" s="34" t="s">
        <v>29</v>
      </c>
      <c r="O475" s="27">
        <f>SUM(L475:L483)</f>
        <v>27475943.5</v>
      </c>
      <c r="P475" s="113">
        <v>45898</v>
      </c>
      <c r="Q475" s="113">
        <v>45898</v>
      </c>
      <c r="R475" s="113">
        <v>45898</v>
      </c>
      <c r="S475" s="37">
        <f t="shared" si="85"/>
        <v>7348811</v>
      </c>
      <c r="T475" s="37">
        <f t="shared" si="86"/>
        <v>0</v>
      </c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</row>
    <row r="476" spans="1:31" hidden="1">
      <c r="A476" s="277" t="s">
        <v>4958</v>
      </c>
      <c r="B476" s="9" t="s">
        <v>21</v>
      </c>
      <c r="C476" s="9">
        <v>2025</v>
      </c>
      <c r="D476" s="9" t="s">
        <v>27</v>
      </c>
      <c r="E476" s="90" t="s">
        <v>23</v>
      </c>
      <c r="F476" s="9" t="s">
        <v>7</v>
      </c>
      <c r="G476" s="10"/>
      <c r="H476" s="96">
        <v>250094</v>
      </c>
      <c r="I476" s="109" t="s">
        <v>266</v>
      </c>
      <c r="J476" s="115">
        <v>45688</v>
      </c>
      <c r="K476" s="119">
        <v>45696</v>
      </c>
      <c r="L476" s="116">
        <v>647241</v>
      </c>
      <c r="M476" s="117" t="s">
        <v>282</v>
      </c>
      <c r="N476" s="34" t="s">
        <v>29</v>
      </c>
      <c r="O476" s="10"/>
      <c r="P476" s="113">
        <v>45898</v>
      </c>
      <c r="Q476" s="113">
        <v>45898</v>
      </c>
      <c r="R476" s="113">
        <v>45898</v>
      </c>
      <c r="S476" s="37">
        <f t="shared" si="85"/>
        <v>647241</v>
      </c>
      <c r="T476" s="37">
        <f t="shared" si="86"/>
        <v>0</v>
      </c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</row>
    <row r="477" spans="1:31" hidden="1">
      <c r="A477" s="277" t="s">
        <v>4959</v>
      </c>
      <c r="B477" s="9" t="s">
        <v>21</v>
      </c>
      <c r="C477" s="9">
        <v>2025</v>
      </c>
      <c r="D477" s="9" t="s">
        <v>27</v>
      </c>
      <c r="E477" s="90" t="s">
        <v>23</v>
      </c>
      <c r="F477" s="9" t="s">
        <v>7</v>
      </c>
      <c r="G477" s="10"/>
      <c r="H477" s="96">
        <v>250143</v>
      </c>
      <c r="I477" s="109" t="s">
        <v>266</v>
      </c>
      <c r="J477" s="115">
        <v>45693</v>
      </c>
      <c r="K477" s="119">
        <v>45703</v>
      </c>
      <c r="L477" s="116">
        <v>598845</v>
      </c>
      <c r="M477" s="117" t="s">
        <v>283</v>
      </c>
      <c r="N477" s="34" t="s">
        <v>29</v>
      </c>
      <c r="O477" s="10"/>
      <c r="P477" s="113">
        <v>45898</v>
      </c>
      <c r="Q477" s="113">
        <v>45898</v>
      </c>
      <c r="R477" s="113">
        <v>45898</v>
      </c>
      <c r="S477" s="37">
        <f t="shared" si="85"/>
        <v>598845</v>
      </c>
      <c r="T477" s="37">
        <f t="shared" si="86"/>
        <v>0</v>
      </c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</row>
    <row r="478" spans="1:31" hidden="1">
      <c r="A478" s="277" t="s">
        <v>4960</v>
      </c>
      <c r="B478" s="9" t="s">
        <v>21</v>
      </c>
      <c r="C478" s="9">
        <v>2025</v>
      </c>
      <c r="D478" s="9" t="s">
        <v>27</v>
      </c>
      <c r="E478" s="90" t="s">
        <v>23</v>
      </c>
      <c r="F478" s="9" t="s">
        <v>7</v>
      </c>
      <c r="G478" s="10"/>
      <c r="H478" s="96">
        <v>250248</v>
      </c>
      <c r="I478" s="109" t="s">
        <v>266</v>
      </c>
      <c r="J478" s="115">
        <v>45715</v>
      </c>
      <c r="K478" s="119">
        <v>45720</v>
      </c>
      <c r="L478" s="116">
        <v>366300</v>
      </c>
      <c r="M478" s="117" t="s">
        <v>284</v>
      </c>
      <c r="N478" s="34" t="s">
        <v>29</v>
      </c>
      <c r="O478" s="10"/>
      <c r="P478" s="113">
        <v>45898</v>
      </c>
      <c r="Q478" s="113">
        <v>45898</v>
      </c>
      <c r="R478" s="113">
        <v>45898</v>
      </c>
      <c r="S478" s="37">
        <f t="shared" ref="S478:S485" si="87">IF(R478="",0,L478)</f>
        <v>366300</v>
      </c>
      <c r="T478" s="37">
        <f t="shared" ref="T478:T487" si="88">L478-S478</f>
        <v>0</v>
      </c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</row>
    <row r="479" spans="1:31" hidden="1">
      <c r="A479" s="277" t="s">
        <v>4961</v>
      </c>
      <c r="B479" s="9" t="s">
        <v>21</v>
      </c>
      <c r="C479" s="9">
        <v>2025</v>
      </c>
      <c r="D479" s="9" t="s">
        <v>27</v>
      </c>
      <c r="E479" s="90" t="s">
        <v>23</v>
      </c>
      <c r="F479" s="9" t="s">
        <v>7</v>
      </c>
      <c r="G479" s="10"/>
      <c r="H479" s="96">
        <v>250247</v>
      </c>
      <c r="I479" s="109" t="s">
        <v>266</v>
      </c>
      <c r="J479" s="115">
        <v>45715</v>
      </c>
      <c r="K479" s="119">
        <v>45720</v>
      </c>
      <c r="L479" s="116">
        <f>1759572-865500</f>
        <v>894072</v>
      </c>
      <c r="M479" s="117" t="s">
        <v>285</v>
      </c>
      <c r="N479" s="34" t="s">
        <v>29</v>
      </c>
      <c r="O479" s="10"/>
      <c r="P479" s="113">
        <v>45898</v>
      </c>
      <c r="Q479" s="113">
        <v>45898</v>
      </c>
      <c r="R479" s="113">
        <v>45898</v>
      </c>
      <c r="S479" s="37">
        <f t="shared" si="87"/>
        <v>894072</v>
      </c>
      <c r="T479" s="37">
        <f t="shared" si="88"/>
        <v>0</v>
      </c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</row>
    <row r="480" spans="1:31" hidden="1">
      <c r="A480" s="277" t="s">
        <v>4962</v>
      </c>
      <c r="B480" s="9" t="s">
        <v>21</v>
      </c>
      <c r="C480" s="9">
        <v>2025</v>
      </c>
      <c r="D480" s="9" t="s">
        <v>27</v>
      </c>
      <c r="E480" s="90" t="s">
        <v>23</v>
      </c>
      <c r="F480" s="9" t="s">
        <v>7</v>
      </c>
      <c r="G480" s="10"/>
      <c r="H480" s="96">
        <v>250249</v>
      </c>
      <c r="I480" s="109" t="s">
        <v>266</v>
      </c>
      <c r="J480" s="115">
        <v>45715</v>
      </c>
      <c r="K480" s="119">
        <v>45720</v>
      </c>
      <c r="L480" s="116">
        <v>272672</v>
      </c>
      <c r="M480" s="117" t="s">
        <v>286</v>
      </c>
      <c r="N480" s="34" t="s">
        <v>29</v>
      </c>
      <c r="O480" s="10"/>
      <c r="P480" s="113">
        <v>45898</v>
      </c>
      <c r="Q480" s="113">
        <v>45898</v>
      </c>
      <c r="R480" s="113">
        <v>45898</v>
      </c>
      <c r="S480" s="37">
        <f t="shared" si="87"/>
        <v>272672</v>
      </c>
      <c r="T480" s="37">
        <f t="shared" si="88"/>
        <v>0</v>
      </c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</row>
    <row r="481" spans="1:31" hidden="1">
      <c r="A481" s="277" t="s">
        <v>4963</v>
      </c>
      <c r="B481" s="9" t="s">
        <v>21</v>
      </c>
      <c r="C481" s="9">
        <v>2025</v>
      </c>
      <c r="D481" s="9" t="s">
        <v>27</v>
      </c>
      <c r="E481" s="90" t="s">
        <v>23</v>
      </c>
      <c r="F481" s="9" t="s">
        <v>7</v>
      </c>
      <c r="G481" s="10"/>
      <c r="H481" s="96">
        <v>250232</v>
      </c>
      <c r="I481" s="109" t="s">
        <v>266</v>
      </c>
      <c r="J481" s="115">
        <v>45715</v>
      </c>
      <c r="K481" s="119">
        <v>45720</v>
      </c>
      <c r="L481" s="116">
        <v>4078866</v>
      </c>
      <c r="M481" s="117" t="s">
        <v>287</v>
      </c>
      <c r="N481" s="34" t="s">
        <v>29</v>
      </c>
      <c r="O481" s="10"/>
      <c r="P481" s="113">
        <v>45898</v>
      </c>
      <c r="Q481" s="113">
        <v>45898</v>
      </c>
      <c r="R481" s="113">
        <v>45898</v>
      </c>
      <c r="S481" s="37">
        <f t="shared" si="87"/>
        <v>4078866</v>
      </c>
      <c r="T481" s="37">
        <f t="shared" si="88"/>
        <v>0</v>
      </c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</row>
    <row r="482" spans="1:31" hidden="1">
      <c r="A482" s="277" t="s">
        <v>4964</v>
      </c>
      <c r="B482" s="9" t="s">
        <v>21</v>
      </c>
      <c r="C482" s="9">
        <v>2025</v>
      </c>
      <c r="D482" s="9" t="s">
        <v>27</v>
      </c>
      <c r="E482" s="90" t="s">
        <v>23</v>
      </c>
      <c r="F482" s="9" t="s">
        <v>7</v>
      </c>
      <c r="G482" s="10"/>
      <c r="H482" s="96">
        <v>250231</v>
      </c>
      <c r="I482" s="109" t="s">
        <v>266</v>
      </c>
      <c r="J482" s="115">
        <v>45715</v>
      </c>
      <c r="K482" s="119">
        <v>45720</v>
      </c>
      <c r="L482" s="116">
        <v>2039433</v>
      </c>
      <c r="M482" s="117" t="s">
        <v>288</v>
      </c>
      <c r="N482" s="34" t="s">
        <v>29</v>
      </c>
      <c r="O482" s="10"/>
      <c r="P482" s="113">
        <v>45898</v>
      </c>
      <c r="Q482" s="113">
        <v>45898</v>
      </c>
      <c r="R482" s="113">
        <v>45898</v>
      </c>
      <c r="S482" s="37">
        <f t="shared" si="87"/>
        <v>2039433</v>
      </c>
      <c r="T482" s="37">
        <f t="shared" si="88"/>
        <v>0</v>
      </c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</row>
    <row r="483" spans="1:31" hidden="1">
      <c r="A483" s="277" t="s">
        <v>4965</v>
      </c>
      <c r="B483" s="9" t="s">
        <v>21</v>
      </c>
      <c r="C483" s="9">
        <v>2025</v>
      </c>
      <c r="D483" s="9" t="s">
        <v>27</v>
      </c>
      <c r="E483" s="90" t="s">
        <v>23</v>
      </c>
      <c r="F483" s="9" t="s">
        <v>7</v>
      </c>
      <c r="G483" s="10"/>
      <c r="H483" s="96">
        <v>250246</v>
      </c>
      <c r="I483" s="109" t="s">
        <v>266</v>
      </c>
      <c r="J483" s="115">
        <v>45715</v>
      </c>
      <c r="K483" s="119">
        <v>45720</v>
      </c>
      <c r="L483" s="116">
        <f>22459407/2</f>
        <v>11229703.5</v>
      </c>
      <c r="M483" s="117" t="s">
        <v>289</v>
      </c>
      <c r="N483" s="34" t="s">
        <v>29</v>
      </c>
      <c r="O483" s="10"/>
      <c r="P483" s="113">
        <v>45898</v>
      </c>
      <c r="Q483" s="113">
        <v>45898</v>
      </c>
      <c r="R483" s="113">
        <v>45898</v>
      </c>
      <c r="S483" s="37">
        <f t="shared" si="87"/>
        <v>11229703.5</v>
      </c>
      <c r="T483" s="37">
        <f t="shared" si="88"/>
        <v>0</v>
      </c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</row>
    <row r="484" spans="1:31" hidden="1">
      <c r="A484" s="277" t="s">
        <v>4966</v>
      </c>
      <c r="B484" s="9" t="s">
        <v>21</v>
      </c>
      <c r="C484" s="9">
        <v>2025</v>
      </c>
      <c r="D484" s="9" t="s">
        <v>27</v>
      </c>
      <c r="E484" s="90" t="s">
        <v>23</v>
      </c>
      <c r="F484" s="9" t="s">
        <v>7</v>
      </c>
      <c r="G484" s="10"/>
      <c r="H484" s="96">
        <v>250246</v>
      </c>
      <c r="I484" s="109" t="s">
        <v>266</v>
      </c>
      <c r="J484" s="115">
        <v>45715</v>
      </c>
      <c r="K484" s="119">
        <v>45720</v>
      </c>
      <c r="L484" s="116">
        <f>22459407/2</f>
        <v>11229703.5</v>
      </c>
      <c r="M484" s="117" t="s">
        <v>290</v>
      </c>
      <c r="N484" s="34" t="s">
        <v>29</v>
      </c>
      <c r="O484" s="27">
        <f>SUM(L484:L488)</f>
        <v>45481628.5</v>
      </c>
      <c r="P484" s="113">
        <v>45917</v>
      </c>
      <c r="Q484" s="113">
        <v>45917</v>
      </c>
      <c r="R484" s="113">
        <v>45917</v>
      </c>
      <c r="S484" s="37">
        <f t="shared" si="87"/>
        <v>11229703.5</v>
      </c>
      <c r="T484" s="37">
        <f t="shared" si="88"/>
        <v>0</v>
      </c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</row>
    <row r="485" spans="1:31" hidden="1">
      <c r="A485" s="277" t="s">
        <v>4967</v>
      </c>
      <c r="B485" s="9" t="s">
        <v>21</v>
      </c>
      <c r="C485" s="9">
        <v>2025</v>
      </c>
      <c r="D485" s="9" t="s">
        <v>27</v>
      </c>
      <c r="E485" s="90" t="s">
        <v>23</v>
      </c>
      <c r="F485" s="9" t="s">
        <v>7</v>
      </c>
      <c r="G485" s="10"/>
      <c r="H485" s="96">
        <v>250244</v>
      </c>
      <c r="I485" s="109" t="s">
        <v>266</v>
      </c>
      <c r="J485" s="115">
        <v>45715</v>
      </c>
      <c r="K485" s="119">
        <v>45720</v>
      </c>
      <c r="L485" s="116">
        <v>9193020</v>
      </c>
      <c r="M485" s="117" t="s">
        <v>291</v>
      </c>
      <c r="N485" s="34" t="s">
        <v>29</v>
      </c>
      <c r="O485" s="10"/>
      <c r="P485" s="113">
        <v>45917</v>
      </c>
      <c r="Q485" s="113">
        <v>45917</v>
      </c>
      <c r="R485" s="113">
        <v>45917</v>
      </c>
      <c r="S485" s="37">
        <f t="shared" si="87"/>
        <v>9193020</v>
      </c>
      <c r="T485" s="37">
        <f t="shared" si="88"/>
        <v>0</v>
      </c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</row>
    <row r="486" spans="1:31" hidden="1">
      <c r="A486" s="277" t="s">
        <v>4968</v>
      </c>
      <c r="B486" s="9" t="s">
        <v>21</v>
      </c>
      <c r="C486" s="9">
        <v>2025</v>
      </c>
      <c r="D486" s="9" t="s">
        <v>27</v>
      </c>
      <c r="E486" s="90" t="s">
        <v>23</v>
      </c>
      <c r="F486" s="9" t="s">
        <v>7</v>
      </c>
      <c r="G486" s="10"/>
      <c r="H486" s="96">
        <v>250245</v>
      </c>
      <c r="I486" s="109" t="s">
        <v>266</v>
      </c>
      <c r="J486" s="115">
        <v>45716</v>
      </c>
      <c r="K486" s="119">
        <v>45722</v>
      </c>
      <c r="L486" s="116">
        <v>144300</v>
      </c>
      <c r="M486" s="117" t="s">
        <v>292</v>
      </c>
      <c r="N486" s="34" t="s">
        <v>29</v>
      </c>
      <c r="O486" s="10"/>
      <c r="P486" s="113">
        <v>45917</v>
      </c>
      <c r="Q486" s="113">
        <v>45917</v>
      </c>
      <c r="R486" s="113">
        <v>45917</v>
      </c>
      <c r="S486" s="37">
        <f t="shared" ref="S486:S500" si="89">IF(R486="",0,L486)</f>
        <v>144300</v>
      </c>
      <c r="T486" s="37">
        <f t="shared" si="88"/>
        <v>0</v>
      </c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</row>
    <row r="487" spans="1:31" hidden="1">
      <c r="A487" s="277" t="s">
        <v>4969</v>
      </c>
      <c r="B487" s="9" t="s">
        <v>21</v>
      </c>
      <c r="C487" s="9">
        <v>2025</v>
      </c>
      <c r="D487" s="9" t="s">
        <v>27</v>
      </c>
      <c r="E487" s="90" t="s">
        <v>23</v>
      </c>
      <c r="F487" s="9" t="s">
        <v>7</v>
      </c>
      <c r="G487" s="10"/>
      <c r="H487" s="96">
        <v>250292</v>
      </c>
      <c r="I487" s="109" t="s">
        <v>266</v>
      </c>
      <c r="J487" s="115">
        <v>45716</v>
      </c>
      <c r="K487" s="119">
        <v>45722</v>
      </c>
      <c r="L487" s="116">
        <v>6737822</v>
      </c>
      <c r="M487" s="117" t="s">
        <v>293</v>
      </c>
      <c r="N487" s="34" t="s">
        <v>29</v>
      </c>
      <c r="O487" s="10"/>
      <c r="P487" s="113">
        <v>45917</v>
      </c>
      <c r="Q487" s="113">
        <v>45917</v>
      </c>
      <c r="R487" s="113">
        <v>45917</v>
      </c>
      <c r="S487" s="37">
        <f t="shared" si="89"/>
        <v>6737822</v>
      </c>
      <c r="T487" s="37">
        <f t="shared" si="88"/>
        <v>0</v>
      </c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</row>
    <row r="488" spans="1:31" hidden="1">
      <c r="A488" s="277" t="s">
        <v>4970</v>
      </c>
      <c r="B488" s="9" t="s">
        <v>21</v>
      </c>
      <c r="C488" s="9">
        <v>2025</v>
      </c>
      <c r="D488" s="9" t="s">
        <v>27</v>
      </c>
      <c r="E488" s="90" t="s">
        <v>23</v>
      </c>
      <c r="F488" s="9" t="s">
        <v>7</v>
      </c>
      <c r="G488" s="10"/>
      <c r="H488" s="96">
        <v>250402</v>
      </c>
      <c r="I488" s="109" t="s">
        <v>266</v>
      </c>
      <c r="J488" s="115">
        <v>45737</v>
      </c>
      <c r="K488" s="119">
        <v>45743</v>
      </c>
      <c r="L488" s="116">
        <f>18176783</f>
        <v>18176783</v>
      </c>
      <c r="M488" s="117" t="s">
        <v>294</v>
      </c>
      <c r="N488" s="34" t="s">
        <v>29</v>
      </c>
      <c r="O488" s="10"/>
      <c r="P488" s="113">
        <v>45917</v>
      </c>
      <c r="Q488" s="113">
        <v>45917</v>
      </c>
      <c r="R488" s="113">
        <v>45917</v>
      </c>
      <c r="S488" s="37">
        <f t="shared" si="89"/>
        <v>18176783</v>
      </c>
      <c r="T488" s="37">
        <f t="shared" ref="T488:T500" si="90">L488-S488</f>
        <v>0</v>
      </c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</row>
    <row r="489" spans="1:31" hidden="1">
      <c r="A489" s="277" t="s">
        <v>4971</v>
      </c>
      <c r="B489" s="9" t="s">
        <v>21</v>
      </c>
      <c r="C489" s="9">
        <v>2025</v>
      </c>
      <c r="D489" s="9" t="s">
        <v>27</v>
      </c>
      <c r="E489" s="90" t="s">
        <v>23</v>
      </c>
      <c r="F489" s="9" t="s">
        <v>7</v>
      </c>
      <c r="G489" s="10"/>
      <c r="H489" s="96">
        <v>250400</v>
      </c>
      <c r="I489" s="109" t="s">
        <v>266</v>
      </c>
      <c r="J489" s="115">
        <v>45737</v>
      </c>
      <c r="K489" s="119">
        <v>45743</v>
      </c>
      <c r="L489" s="116">
        <v>860805</v>
      </c>
      <c r="M489" s="117" t="s">
        <v>295</v>
      </c>
      <c r="N489" s="34" t="s">
        <v>29</v>
      </c>
      <c r="O489" s="27">
        <f>SUM(L489:L493)</f>
        <v>32992116</v>
      </c>
      <c r="P489" s="113">
        <v>45924</v>
      </c>
      <c r="Q489" s="113">
        <v>45924</v>
      </c>
      <c r="R489" s="113">
        <v>45924</v>
      </c>
      <c r="S489" s="37">
        <f t="shared" si="89"/>
        <v>860805</v>
      </c>
      <c r="T489" s="37">
        <f t="shared" si="90"/>
        <v>0</v>
      </c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</row>
    <row r="490" spans="1:31" hidden="1">
      <c r="A490" s="277" t="s">
        <v>4972</v>
      </c>
      <c r="B490" s="9" t="s">
        <v>21</v>
      </c>
      <c r="C490" s="9">
        <v>2025</v>
      </c>
      <c r="D490" s="9" t="s">
        <v>27</v>
      </c>
      <c r="E490" s="90" t="s">
        <v>23</v>
      </c>
      <c r="F490" s="9" t="s">
        <v>7</v>
      </c>
      <c r="G490" s="10"/>
      <c r="H490" s="96">
        <v>250397</v>
      </c>
      <c r="I490" s="109" t="s">
        <v>266</v>
      </c>
      <c r="J490" s="115">
        <v>45737</v>
      </c>
      <c r="K490" s="119">
        <v>45743</v>
      </c>
      <c r="L490" s="116">
        <v>23707713</v>
      </c>
      <c r="M490" s="117" t="s">
        <v>296</v>
      </c>
      <c r="N490" s="34" t="s">
        <v>29</v>
      </c>
      <c r="O490" s="10"/>
      <c r="P490" s="113">
        <v>45924</v>
      </c>
      <c r="Q490" s="113">
        <v>45924</v>
      </c>
      <c r="R490" s="113">
        <v>45924</v>
      </c>
      <c r="S490" s="37">
        <f t="shared" si="89"/>
        <v>23707713</v>
      </c>
      <c r="T490" s="37">
        <f t="shared" si="90"/>
        <v>0</v>
      </c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</row>
    <row r="491" spans="1:31" hidden="1">
      <c r="A491" s="277" t="s">
        <v>4973</v>
      </c>
      <c r="B491" s="9" t="s">
        <v>21</v>
      </c>
      <c r="C491" s="9">
        <v>2025</v>
      </c>
      <c r="D491" s="9" t="s">
        <v>27</v>
      </c>
      <c r="E491" s="90" t="s">
        <v>23</v>
      </c>
      <c r="F491" s="9" t="s">
        <v>7</v>
      </c>
      <c r="G491" s="10"/>
      <c r="H491" s="96">
        <v>250399</v>
      </c>
      <c r="I491" s="109" t="s">
        <v>266</v>
      </c>
      <c r="J491" s="115">
        <v>45738</v>
      </c>
      <c r="K491" s="119">
        <v>45743</v>
      </c>
      <c r="L491" s="116">
        <v>5785320</v>
      </c>
      <c r="M491" s="117" t="s">
        <v>297</v>
      </c>
      <c r="N491" s="34" t="s">
        <v>29</v>
      </c>
      <c r="O491" s="10"/>
      <c r="P491" s="113">
        <v>45924</v>
      </c>
      <c r="Q491" s="113">
        <v>45924</v>
      </c>
      <c r="R491" s="113">
        <v>45924</v>
      </c>
      <c r="S491" s="37">
        <f t="shared" si="89"/>
        <v>5785320</v>
      </c>
      <c r="T491" s="37">
        <f t="shared" si="90"/>
        <v>0</v>
      </c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</row>
    <row r="492" spans="1:31" hidden="1">
      <c r="A492" s="277" t="s">
        <v>4974</v>
      </c>
      <c r="B492" s="9" t="s">
        <v>21</v>
      </c>
      <c r="C492" s="9">
        <v>2025</v>
      </c>
      <c r="D492" s="9" t="s">
        <v>27</v>
      </c>
      <c r="E492" s="90" t="s">
        <v>23</v>
      </c>
      <c r="F492" s="9" t="s">
        <v>7</v>
      </c>
      <c r="G492" s="10"/>
      <c r="H492" s="96">
        <v>250398</v>
      </c>
      <c r="I492" s="109" t="s">
        <v>266</v>
      </c>
      <c r="J492" s="115">
        <v>45738</v>
      </c>
      <c r="K492" s="119">
        <v>45743</v>
      </c>
      <c r="L492" s="116">
        <v>598845</v>
      </c>
      <c r="M492" s="117" t="s">
        <v>298</v>
      </c>
      <c r="N492" s="34" t="s">
        <v>29</v>
      </c>
      <c r="O492" s="10"/>
      <c r="P492" s="113">
        <v>45924</v>
      </c>
      <c r="Q492" s="113">
        <v>45924</v>
      </c>
      <c r="R492" s="113">
        <v>45924</v>
      </c>
      <c r="S492" s="37">
        <f t="shared" si="89"/>
        <v>598845</v>
      </c>
      <c r="T492" s="37">
        <f t="shared" si="90"/>
        <v>0</v>
      </c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</row>
    <row r="493" spans="1:31" hidden="1">
      <c r="A493" s="277" t="s">
        <v>4975</v>
      </c>
      <c r="B493" s="9" t="s">
        <v>21</v>
      </c>
      <c r="C493" s="9">
        <v>2025</v>
      </c>
      <c r="D493" s="9" t="s">
        <v>27</v>
      </c>
      <c r="E493" s="90" t="s">
        <v>23</v>
      </c>
      <c r="F493" s="9" t="s">
        <v>7</v>
      </c>
      <c r="G493" s="10"/>
      <c r="H493" s="96">
        <v>250375</v>
      </c>
      <c r="I493" s="109" t="s">
        <v>266</v>
      </c>
      <c r="J493" s="115">
        <v>45744</v>
      </c>
      <c r="K493" s="119">
        <v>45759</v>
      </c>
      <c r="L493" s="116">
        <v>2039433</v>
      </c>
      <c r="M493" s="117" t="s">
        <v>299</v>
      </c>
      <c r="N493" s="34" t="s">
        <v>29</v>
      </c>
      <c r="O493" s="10"/>
      <c r="P493" s="113">
        <v>45924</v>
      </c>
      <c r="Q493" s="113">
        <v>45924</v>
      </c>
      <c r="R493" s="113">
        <v>45924</v>
      </c>
      <c r="S493" s="37">
        <f t="shared" si="89"/>
        <v>2039433</v>
      </c>
      <c r="T493" s="37">
        <f t="shared" si="90"/>
        <v>0</v>
      </c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</row>
    <row r="494" spans="1:31" hidden="1">
      <c r="A494" s="277" t="s">
        <v>4976</v>
      </c>
      <c r="B494" s="9" t="s">
        <v>21</v>
      </c>
      <c r="C494" s="9">
        <v>2025</v>
      </c>
      <c r="D494" s="9" t="s">
        <v>27</v>
      </c>
      <c r="E494" s="90" t="s">
        <v>23</v>
      </c>
      <c r="F494" s="9" t="s">
        <v>7</v>
      </c>
      <c r="G494" s="10"/>
      <c r="H494" s="96">
        <v>250504</v>
      </c>
      <c r="I494" s="109" t="s">
        <v>266</v>
      </c>
      <c r="J494" s="115">
        <v>45777</v>
      </c>
      <c r="K494" s="119">
        <v>45790</v>
      </c>
      <c r="L494" s="116">
        <v>6118300</v>
      </c>
      <c r="M494" s="117" t="s">
        <v>300</v>
      </c>
      <c r="N494" s="34" t="s">
        <v>29</v>
      </c>
      <c r="O494" s="27">
        <f>SUM(L494:L495)</f>
        <v>43181910</v>
      </c>
      <c r="P494" s="113">
        <v>45930</v>
      </c>
      <c r="Q494" s="113">
        <v>45930</v>
      </c>
      <c r="R494" s="113">
        <v>45930</v>
      </c>
      <c r="S494" s="37">
        <f t="shared" si="89"/>
        <v>6118300</v>
      </c>
      <c r="T494" s="37">
        <f t="shared" si="90"/>
        <v>0</v>
      </c>
      <c r="U494" s="10"/>
      <c r="V494" s="27">
        <f>L494+L495</f>
        <v>43181910</v>
      </c>
      <c r="W494" s="10"/>
      <c r="X494" s="10"/>
      <c r="Y494" s="10"/>
      <c r="Z494" s="10"/>
      <c r="AA494" s="10"/>
      <c r="AB494" s="10"/>
      <c r="AC494" s="10"/>
      <c r="AD494" s="10"/>
      <c r="AE494" s="10"/>
    </row>
    <row r="495" spans="1:31" hidden="1">
      <c r="A495" s="277" t="s">
        <v>4977</v>
      </c>
      <c r="B495" s="9" t="s">
        <v>21</v>
      </c>
      <c r="C495" s="9">
        <v>2025</v>
      </c>
      <c r="D495" s="9" t="s">
        <v>27</v>
      </c>
      <c r="E495" s="90" t="s">
        <v>23</v>
      </c>
      <c r="F495" s="9" t="s">
        <v>7</v>
      </c>
      <c r="G495" s="10"/>
      <c r="H495" s="96">
        <v>250492</v>
      </c>
      <c r="I495" s="109" t="s">
        <v>266</v>
      </c>
      <c r="J495" s="115">
        <v>45777</v>
      </c>
      <c r="K495" s="119">
        <v>45790</v>
      </c>
      <c r="L495" s="116">
        <v>37063610</v>
      </c>
      <c r="M495" s="117" t="s">
        <v>301</v>
      </c>
      <c r="N495" s="34" t="s">
        <v>29</v>
      </c>
      <c r="O495" s="10"/>
      <c r="P495" s="113">
        <v>45930</v>
      </c>
      <c r="Q495" s="113">
        <v>45930</v>
      </c>
      <c r="R495" s="113">
        <v>45930</v>
      </c>
      <c r="S495" s="37">
        <f t="shared" si="89"/>
        <v>37063610</v>
      </c>
      <c r="T495" s="37">
        <f t="shared" si="90"/>
        <v>0</v>
      </c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</row>
    <row r="496" spans="1:31" hidden="1">
      <c r="A496" s="277" t="s">
        <v>4978</v>
      </c>
      <c r="B496" s="9" t="s">
        <v>21</v>
      </c>
      <c r="C496" s="9">
        <v>2025</v>
      </c>
      <c r="D496" s="9" t="s">
        <v>27</v>
      </c>
      <c r="E496" s="90" t="s">
        <v>23</v>
      </c>
      <c r="F496" s="9" t="s">
        <v>7</v>
      </c>
      <c r="G496" s="10"/>
      <c r="H496" s="96">
        <v>250625</v>
      </c>
      <c r="I496" s="109" t="s">
        <v>266</v>
      </c>
      <c r="J496" s="115">
        <v>45828</v>
      </c>
      <c r="K496" s="119">
        <v>45836</v>
      </c>
      <c r="L496" s="116">
        <v>45441957</v>
      </c>
      <c r="M496" s="117" t="s">
        <v>302</v>
      </c>
      <c r="N496" s="34" t="s">
        <v>29</v>
      </c>
      <c r="O496" s="10"/>
      <c r="P496" s="113">
        <v>45959</v>
      </c>
      <c r="Q496" s="113">
        <v>45959</v>
      </c>
      <c r="R496" s="113">
        <v>45959</v>
      </c>
      <c r="S496" s="37">
        <f t="shared" si="89"/>
        <v>45441957</v>
      </c>
      <c r="T496" s="37">
        <f t="shared" si="90"/>
        <v>0</v>
      </c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</row>
    <row r="497" spans="1:31" hidden="1">
      <c r="A497" s="277" t="s">
        <v>4979</v>
      </c>
      <c r="B497" s="9" t="s">
        <v>21</v>
      </c>
      <c r="C497" s="9">
        <v>2025</v>
      </c>
      <c r="D497" s="9" t="s">
        <v>27</v>
      </c>
      <c r="E497" s="90" t="s">
        <v>23</v>
      </c>
      <c r="F497" s="9" t="s">
        <v>7</v>
      </c>
      <c r="G497" s="10"/>
      <c r="H497" s="96">
        <v>250626</v>
      </c>
      <c r="I497" s="109" t="s">
        <v>266</v>
      </c>
      <c r="J497" s="115">
        <v>45828</v>
      </c>
      <c r="K497" s="119">
        <v>45836</v>
      </c>
      <c r="L497" s="116">
        <v>5494500</v>
      </c>
      <c r="M497" s="117" t="s">
        <v>303</v>
      </c>
      <c r="N497" s="34" t="s">
        <v>29</v>
      </c>
      <c r="O497" s="27">
        <f>SUM(L497:L499)</f>
        <v>51160094</v>
      </c>
      <c r="P497" s="113">
        <v>45988</v>
      </c>
      <c r="Q497" s="113">
        <v>45988</v>
      </c>
      <c r="R497" s="113">
        <v>45988</v>
      </c>
      <c r="S497" s="37">
        <f t="shared" si="89"/>
        <v>5494500</v>
      </c>
      <c r="T497" s="37">
        <f t="shared" si="90"/>
        <v>0</v>
      </c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</row>
    <row r="498" spans="1:31" hidden="1">
      <c r="A498" s="277" t="s">
        <v>4980</v>
      </c>
      <c r="B498" s="9" t="s">
        <v>21</v>
      </c>
      <c r="C498" s="9">
        <v>2025</v>
      </c>
      <c r="D498" s="9" t="s">
        <v>27</v>
      </c>
      <c r="E498" s="90" t="s">
        <v>23</v>
      </c>
      <c r="F498" s="9" t="s">
        <v>7</v>
      </c>
      <c r="G498" s="10"/>
      <c r="H498" s="96">
        <v>250618</v>
      </c>
      <c r="I498" s="109" t="s">
        <v>266</v>
      </c>
      <c r="J498" s="115">
        <v>45833</v>
      </c>
      <c r="K498" s="119">
        <v>45836</v>
      </c>
      <c r="L498" s="116">
        <v>45256587</v>
      </c>
      <c r="M498" s="117" t="s">
        <v>304</v>
      </c>
      <c r="N498" s="34" t="s">
        <v>29</v>
      </c>
      <c r="O498" s="10"/>
      <c r="P498" s="113">
        <v>45988</v>
      </c>
      <c r="Q498" s="113">
        <v>45988</v>
      </c>
      <c r="R498" s="113">
        <v>45988</v>
      </c>
      <c r="S498" s="37">
        <f t="shared" si="89"/>
        <v>45256587</v>
      </c>
      <c r="T498" s="37">
        <f t="shared" si="90"/>
        <v>0</v>
      </c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</row>
    <row r="499" spans="1:31" ht="15" hidden="1" customHeight="1">
      <c r="A499" s="277" t="s">
        <v>4981</v>
      </c>
      <c r="B499" s="9" t="s">
        <v>21</v>
      </c>
      <c r="C499" s="9">
        <v>2025</v>
      </c>
      <c r="D499" s="9" t="s">
        <v>27</v>
      </c>
      <c r="E499" s="90" t="s">
        <v>23</v>
      </c>
      <c r="F499" s="9" t="s">
        <v>7</v>
      </c>
      <c r="G499" s="10"/>
      <c r="H499" s="96">
        <v>250651</v>
      </c>
      <c r="I499" s="109" t="s">
        <v>266</v>
      </c>
      <c r="J499" s="115">
        <v>45833</v>
      </c>
      <c r="K499" s="119">
        <v>45836</v>
      </c>
      <c r="L499" s="116">
        <v>409007</v>
      </c>
      <c r="M499" s="117" t="s">
        <v>305</v>
      </c>
      <c r="N499" s="34" t="s">
        <v>29</v>
      </c>
      <c r="O499" s="10"/>
      <c r="P499" s="113">
        <v>45988</v>
      </c>
      <c r="Q499" s="113">
        <v>45988</v>
      </c>
      <c r="R499" s="113">
        <v>45988</v>
      </c>
      <c r="S499" s="37">
        <f t="shared" si="89"/>
        <v>409007</v>
      </c>
      <c r="T499" s="37">
        <f t="shared" si="90"/>
        <v>0</v>
      </c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</row>
    <row r="500" spans="1:31" ht="15" hidden="1" customHeight="1">
      <c r="A500" s="277" t="s">
        <v>4982</v>
      </c>
      <c r="B500" s="9" t="s">
        <v>21</v>
      </c>
      <c r="C500" s="9">
        <v>2025</v>
      </c>
      <c r="D500" s="9" t="s">
        <v>27</v>
      </c>
      <c r="E500" s="90" t="s">
        <v>23</v>
      </c>
      <c r="F500" s="9" t="s">
        <v>7</v>
      </c>
      <c r="G500" s="10"/>
      <c r="H500" s="96">
        <v>250645</v>
      </c>
      <c r="I500" s="109" t="s">
        <v>266</v>
      </c>
      <c r="J500" s="115">
        <v>45838</v>
      </c>
      <c r="K500" s="119">
        <v>45848</v>
      </c>
      <c r="L500" s="116">
        <v>6118300</v>
      </c>
      <c r="M500" s="117" t="s">
        <v>306</v>
      </c>
      <c r="N500" s="34" t="s">
        <v>29</v>
      </c>
      <c r="O500" s="27">
        <f>SUM(L500:L502)</f>
        <v>51866631</v>
      </c>
      <c r="P500" s="113">
        <v>46014</v>
      </c>
      <c r="Q500" s="113">
        <v>46014</v>
      </c>
      <c r="R500" s="113">
        <v>46014</v>
      </c>
      <c r="S500" s="37">
        <f t="shared" si="89"/>
        <v>6118300</v>
      </c>
      <c r="T500" s="37">
        <f t="shared" si="90"/>
        <v>0</v>
      </c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</row>
    <row r="501" spans="1:31" ht="15" hidden="1" customHeight="1">
      <c r="A501" s="277" t="s">
        <v>4983</v>
      </c>
      <c r="B501" s="9" t="s">
        <v>21</v>
      </c>
      <c r="C501" s="9">
        <v>2025</v>
      </c>
      <c r="D501" s="9" t="s">
        <v>27</v>
      </c>
      <c r="E501" s="90" t="s">
        <v>23</v>
      </c>
      <c r="F501" s="9" t="s">
        <v>7</v>
      </c>
      <c r="G501" s="10"/>
      <c r="H501" s="96">
        <v>250722</v>
      </c>
      <c r="I501" s="109" t="s">
        <v>266</v>
      </c>
      <c r="J501" s="115">
        <v>45863</v>
      </c>
      <c r="K501" s="119">
        <v>45869</v>
      </c>
      <c r="L501" s="116">
        <f>2054055-129704-1399488</f>
        <v>524863</v>
      </c>
      <c r="M501" s="117" t="s">
        <v>307</v>
      </c>
      <c r="N501" s="34" t="s">
        <v>29</v>
      </c>
      <c r="O501" s="10"/>
      <c r="P501" s="113">
        <v>46014</v>
      </c>
      <c r="Q501" s="113">
        <v>46014</v>
      </c>
      <c r="R501" s="113">
        <v>46014</v>
      </c>
      <c r="S501" s="37">
        <f t="shared" ref="S501:S506" si="91">IF(R501="",0,L501)</f>
        <v>524863</v>
      </c>
      <c r="T501" s="37">
        <f t="shared" ref="T501:T506" si="92">L501-S501</f>
        <v>0</v>
      </c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</row>
    <row r="502" spans="1:31" ht="15" hidden="1" customHeight="1">
      <c r="A502" s="277" t="s">
        <v>4984</v>
      </c>
      <c r="B502" s="9" t="s">
        <v>21</v>
      </c>
      <c r="C502" s="9">
        <v>2025</v>
      </c>
      <c r="D502" s="9" t="s">
        <v>27</v>
      </c>
      <c r="E502" s="90" t="s">
        <v>23</v>
      </c>
      <c r="F502" s="9" t="s">
        <v>7</v>
      </c>
      <c r="G502" s="10"/>
      <c r="H502" s="96">
        <v>250723</v>
      </c>
      <c r="I502" s="109" t="s">
        <v>266</v>
      </c>
      <c r="J502" s="115">
        <v>45863</v>
      </c>
      <c r="K502" s="119">
        <v>45869</v>
      </c>
      <c r="L502" s="116">
        <v>45223468</v>
      </c>
      <c r="M502" s="117" t="s">
        <v>308</v>
      </c>
      <c r="N502" s="34" t="s">
        <v>29</v>
      </c>
      <c r="O502" s="10"/>
      <c r="P502" s="113">
        <v>46014</v>
      </c>
      <c r="Q502" s="113">
        <v>46014</v>
      </c>
      <c r="R502" s="113">
        <v>46014</v>
      </c>
      <c r="S502" s="37">
        <f t="shared" si="91"/>
        <v>45223468</v>
      </c>
      <c r="T502" s="37">
        <f t="shared" si="92"/>
        <v>0</v>
      </c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</row>
    <row r="503" spans="1:31" ht="15" hidden="1" customHeight="1">
      <c r="A503" s="277" t="s">
        <v>4985</v>
      </c>
      <c r="B503" s="9" t="s">
        <v>21</v>
      </c>
      <c r="C503" s="9">
        <v>2025</v>
      </c>
      <c r="D503" s="9" t="s">
        <v>27</v>
      </c>
      <c r="E503" s="90" t="s">
        <v>23</v>
      </c>
      <c r="F503" s="9" t="s">
        <v>7</v>
      </c>
      <c r="G503" s="10"/>
      <c r="H503" s="96">
        <v>250721</v>
      </c>
      <c r="I503" s="109" t="s">
        <v>266</v>
      </c>
      <c r="J503" s="115">
        <v>45863</v>
      </c>
      <c r="K503" s="119">
        <v>45869</v>
      </c>
      <c r="L503" s="116">
        <v>2208123</v>
      </c>
      <c r="M503" s="117" t="s">
        <v>309</v>
      </c>
      <c r="N503" s="34" t="s">
        <v>29</v>
      </c>
      <c r="O503" s="27">
        <f>SUM(L503:L508)</f>
        <v>53043345</v>
      </c>
      <c r="P503" s="113">
        <v>46024</v>
      </c>
      <c r="Q503" s="113">
        <v>46024</v>
      </c>
      <c r="R503" s="113">
        <v>46024</v>
      </c>
      <c r="S503" s="37">
        <f t="shared" si="91"/>
        <v>2208123</v>
      </c>
      <c r="T503" s="37">
        <f t="shared" si="92"/>
        <v>0</v>
      </c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</row>
    <row r="504" spans="1:31" ht="15" hidden="1" customHeight="1">
      <c r="A504" s="277" t="s">
        <v>4986</v>
      </c>
      <c r="B504" s="9" t="s">
        <v>21</v>
      </c>
      <c r="C504" s="9">
        <v>2025</v>
      </c>
      <c r="D504" s="9" t="s">
        <v>27</v>
      </c>
      <c r="E504" s="90" t="s">
        <v>23</v>
      </c>
      <c r="F504" s="9" t="s">
        <v>7</v>
      </c>
      <c r="G504" s="10"/>
      <c r="H504" s="96">
        <v>250728</v>
      </c>
      <c r="I504" s="109" t="s">
        <v>266</v>
      </c>
      <c r="J504" s="115">
        <v>45867</v>
      </c>
      <c r="K504" s="119">
        <v>45874</v>
      </c>
      <c r="L504" s="116">
        <v>22448912</v>
      </c>
      <c r="M504" s="117" t="s">
        <v>310</v>
      </c>
      <c r="N504" s="34" t="s">
        <v>29</v>
      </c>
      <c r="O504" s="10"/>
      <c r="P504" s="113">
        <v>46024</v>
      </c>
      <c r="Q504" s="113">
        <v>46024</v>
      </c>
      <c r="R504" s="113">
        <v>46024</v>
      </c>
      <c r="S504" s="37">
        <f t="shared" si="91"/>
        <v>22448912</v>
      </c>
      <c r="T504" s="37">
        <f t="shared" si="92"/>
        <v>0</v>
      </c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</row>
    <row r="505" spans="1:31" ht="15" hidden="1" customHeight="1">
      <c r="A505" s="277" t="s">
        <v>4987</v>
      </c>
      <c r="B505" s="9" t="s">
        <v>21</v>
      </c>
      <c r="C505" s="9">
        <v>2025</v>
      </c>
      <c r="D505" s="9" t="s">
        <v>27</v>
      </c>
      <c r="E505" s="90" t="s">
        <v>23</v>
      </c>
      <c r="F505" s="9" t="s">
        <v>7</v>
      </c>
      <c r="G505" s="10"/>
      <c r="H505" s="96">
        <v>250756</v>
      </c>
      <c r="I505" s="109" t="s">
        <v>266</v>
      </c>
      <c r="J505" s="115">
        <v>45868</v>
      </c>
      <c r="K505" s="119">
        <v>45876</v>
      </c>
      <c r="L505" s="116">
        <v>4917300</v>
      </c>
      <c r="M505" s="117" t="s">
        <v>311</v>
      </c>
      <c r="N505" s="34" t="s">
        <v>29</v>
      </c>
      <c r="O505" s="10"/>
      <c r="P505" s="113">
        <v>46024</v>
      </c>
      <c r="Q505" s="113">
        <v>46024</v>
      </c>
      <c r="R505" s="113">
        <v>46024</v>
      </c>
      <c r="S505" s="37">
        <f t="shared" si="91"/>
        <v>4917300</v>
      </c>
      <c r="T505" s="37">
        <f t="shared" si="92"/>
        <v>0</v>
      </c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</row>
    <row r="506" spans="1:31" ht="15" hidden="1" customHeight="1">
      <c r="A506" s="277" t="s">
        <v>4988</v>
      </c>
      <c r="B506" s="9" t="s">
        <v>21</v>
      </c>
      <c r="C506" s="9">
        <v>2025</v>
      </c>
      <c r="D506" s="9" t="s">
        <v>27</v>
      </c>
      <c r="E506" s="90" t="s">
        <v>23</v>
      </c>
      <c r="F506" s="9" t="s">
        <v>7</v>
      </c>
      <c r="G506" s="10"/>
      <c r="H506" s="96">
        <v>250757</v>
      </c>
      <c r="I506" s="109" t="s">
        <v>266</v>
      </c>
      <c r="J506" s="115">
        <v>45869</v>
      </c>
      <c r="K506" s="119">
        <v>45876</v>
      </c>
      <c r="L506" s="116">
        <v>18393322</v>
      </c>
      <c r="M506" s="117" t="s">
        <v>312</v>
      </c>
      <c r="N506" s="34" t="s">
        <v>29</v>
      </c>
      <c r="O506" s="10"/>
      <c r="P506" s="113">
        <v>46024</v>
      </c>
      <c r="Q506" s="113">
        <v>46024</v>
      </c>
      <c r="R506" s="113">
        <v>46024</v>
      </c>
      <c r="S506" s="37">
        <f t="shared" si="91"/>
        <v>18393322</v>
      </c>
      <c r="T506" s="37">
        <f t="shared" si="92"/>
        <v>0</v>
      </c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</row>
    <row r="507" spans="1:31" ht="15" hidden="1" customHeight="1">
      <c r="A507" s="277" t="s">
        <v>4989</v>
      </c>
      <c r="B507" s="9" t="s">
        <v>21</v>
      </c>
      <c r="C507" s="9">
        <v>2025</v>
      </c>
      <c r="D507" s="9" t="s">
        <v>27</v>
      </c>
      <c r="E507" s="90" t="s">
        <v>23</v>
      </c>
      <c r="F507" s="9" t="s">
        <v>7</v>
      </c>
      <c r="G507" s="10"/>
      <c r="H507" s="96">
        <v>251003</v>
      </c>
      <c r="I507" s="109" t="s">
        <v>266</v>
      </c>
      <c r="J507" s="115">
        <v>45930</v>
      </c>
      <c r="K507" s="119">
        <v>45937</v>
      </c>
      <c r="L507" s="116">
        <f>971019-57831</f>
        <v>913188</v>
      </c>
      <c r="M507" s="117" t="s">
        <v>3739</v>
      </c>
      <c r="N507" s="34" t="s">
        <v>29</v>
      </c>
      <c r="O507" s="10"/>
      <c r="P507" s="113">
        <v>46024</v>
      </c>
      <c r="Q507" s="113">
        <v>46024</v>
      </c>
      <c r="R507" s="113">
        <v>46024</v>
      </c>
      <c r="S507" s="37">
        <f t="shared" ref="S507:S539" si="93">IF(R507="",0,L507)</f>
        <v>913188</v>
      </c>
      <c r="T507" s="37">
        <f t="shared" ref="T507:T539" si="94">L507-S507</f>
        <v>0</v>
      </c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</row>
    <row r="508" spans="1:31" ht="15" hidden="1" customHeight="1">
      <c r="A508" s="277" t="s">
        <v>4990</v>
      </c>
      <c r="B508" s="9" t="s">
        <v>21</v>
      </c>
      <c r="C508" s="9">
        <v>2025</v>
      </c>
      <c r="D508" s="9" t="s">
        <v>27</v>
      </c>
      <c r="E508" s="90" t="s">
        <v>23</v>
      </c>
      <c r="F508" s="9" t="s">
        <v>7</v>
      </c>
      <c r="G508" s="10"/>
      <c r="H508" s="96">
        <v>250999</v>
      </c>
      <c r="I508" s="109" t="s">
        <v>266</v>
      </c>
      <c r="J508" s="115">
        <v>45930</v>
      </c>
      <c r="K508" s="119">
        <v>45937</v>
      </c>
      <c r="L508" s="116">
        <v>4162500</v>
      </c>
      <c r="M508" s="117" t="s">
        <v>3740</v>
      </c>
      <c r="N508" s="34" t="s">
        <v>29</v>
      </c>
      <c r="O508" s="10"/>
      <c r="P508" s="113">
        <v>46024</v>
      </c>
      <c r="Q508" s="113">
        <v>46024</v>
      </c>
      <c r="R508" s="113">
        <v>46024</v>
      </c>
      <c r="S508" s="37">
        <f t="shared" si="93"/>
        <v>4162500</v>
      </c>
      <c r="T508" s="37">
        <f t="shared" si="94"/>
        <v>0</v>
      </c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</row>
    <row r="509" spans="1:31" ht="15" hidden="1" customHeight="1">
      <c r="A509" s="277" t="s">
        <v>4991</v>
      </c>
      <c r="B509" s="9" t="s">
        <v>21</v>
      </c>
      <c r="C509" s="9">
        <v>2025</v>
      </c>
      <c r="D509" s="9" t="s">
        <v>27</v>
      </c>
      <c r="E509" s="90" t="s">
        <v>23</v>
      </c>
      <c r="F509" s="9" t="s">
        <v>7</v>
      </c>
      <c r="G509" s="10"/>
      <c r="H509" s="96">
        <v>250994</v>
      </c>
      <c r="I509" s="109" t="s">
        <v>266</v>
      </c>
      <c r="J509" s="115">
        <v>45930</v>
      </c>
      <c r="K509" s="119">
        <v>45937</v>
      </c>
      <c r="L509" s="116">
        <v>77086137</v>
      </c>
      <c r="M509" s="117" t="s">
        <v>3741</v>
      </c>
      <c r="N509" s="34" t="s">
        <v>29</v>
      </c>
      <c r="O509" s="27">
        <f>SUM(L509:L515)</f>
        <v>114410218</v>
      </c>
      <c r="P509" s="113">
        <v>46042</v>
      </c>
      <c r="Q509" s="113">
        <v>46042</v>
      </c>
      <c r="R509" s="113">
        <v>46042</v>
      </c>
      <c r="S509" s="37">
        <f t="shared" si="93"/>
        <v>77086137</v>
      </c>
      <c r="T509" s="37">
        <f t="shared" si="94"/>
        <v>0</v>
      </c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</row>
    <row r="510" spans="1:31" ht="15" hidden="1" customHeight="1">
      <c r="A510" s="277" t="s">
        <v>4992</v>
      </c>
      <c r="B510" s="9" t="s">
        <v>21</v>
      </c>
      <c r="C510" s="9">
        <v>2025</v>
      </c>
      <c r="D510" s="9" t="s">
        <v>27</v>
      </c>
      <c r="E510" s="90" t="s">
        <v>23</v>
      </c>
      <c r="F510" s="9" t="s">
        <v>7</v>
      </c>
      <c r="G510" s="10"/>
      <c r="H510" s="96">
        <v>251000</v>
      </c>
      <c r="I510" s="109" t="s">
        <v>266</v>
      </c>
      <c r="J510" s="115">
        <v>45930</v>
      </c>
      <c r="K510" s="119">
        <v>45937</v>
      </c>
      <c r="L510" s="116">
        <v>676545</v>
      </c>
      <c r="M510" s="117" t="s">
        <v>3742</v>
      </c>
      <c r="N510" s="34" t="s">
        <v>29</v>
      </c>
      <c r="O510" s="10"/>
      <c r="P510" s="113">
        <v>46042</v>
      </c>
      <c r="Q510" s="113">
        <v>46042</v>
      </c>
      <c r="R510" s="113">
        <v>46042</v>
      </c>
      <c r="S510" s="37">
        <f t="shared" si="93"/>
        <v>676545</v>
      </c>
      <c r="T510" s="37">
        <f t="shared" si="94"/>
        <v>0</v>
      </c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</row>
    <row r="511" spans="1:31" ht="15" hidden="1" customHeight="1">
      <c r="A511" s="277" t="s">
        <v>4993</v>
      </c>
      <c r="B511" s="9" t="s">
        <v>21</v>
      </c>
      <c r="C511" s="9">
        <v>2025</v>
      </c>
      <c r="D511" s="9" t="s">
        <v>27</v>
      </c>
      <c r="E511" s="90" t="s">
        <v>23</v>
      </c>
      <c r="F511" s="9" t="s">
        <v>7</v>
      </c>
      <c r="G511" s="10"/>
      <c r="H511" s="96">
        <v>251005</v>
      </c>
      <c r="I511" s="109" t="s">
        <v>266</v>
      </c>
      <c r="J511" s="115">
        <v>45930</v>
      </c>
      <c r="K511" s="119">
        <v>45937</v>
      </c>
      <c r="L511" s="116">
        <v>7725045</v>
      </c>
      <c r="M511" s="117" t="s">
        <v>3743</v>
      </c>
      <c r="N511" s="34" t="s">
        <v>29</v>
      </c>
      <c r="O511" s="10"/>
      <c r="P511" s="113">
        <v>46042</v>
      </c>
      <c r="Q511" s="113">
        <v>46042</v>
      </c>
      <c r="R511" s="113">
        <v>46042</v>
      </c>
      <c r="S511" s="37">
        <f t="shared" si="93"/>
        <v>7725045</v>
      </c>
      <c r="T511" s="37">
        <f t="shared" si="94"/>
        <v>0</v>
      </c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</row>
    <row r="512" spans="1:31" ht="15" hidden="1" customHeight="1">
      <c r="A512" s="277" t="s">
        <v>4994</v>
      </c>
      <c r="B512" s="9" t="s">
        <v>21</v>
      </c>
      <c r="C512" s="9">
        <v>2025</v>
      </c>
      <c r="D512" s="9" t="s">
        <v>27</v>
      </c>
      <c r="E512" s="90" t="s">
        <v>23</v>
      </c>
      <c r="F512" s="9" t="s">
        <v>7</v>
      </c>
      <c r="G512" s="10"/>
      <c r="H512" s="96">
        <v>251004</v>
      </c>
      <c r="I512" s="109" t="s">
        <v>266</v>
      </c>
      <c r="J512" s="115">
        <v>45930</v>
      </c>
      <c r="K512" s="119">
        <v>45937</v>
      </c>
      <c r="L512" s="116">
        <v>13769106</v>
      </c>
      <c r="M512" s="117" t="s">
        <v>3744</v>
      </c>
      <c r="N512" s="34" t="s">
        <v>29</v>
      </c>
      <c r="O512" s="10"/>
      <c r="P512" s="113">
        <v>46042</v>
      </c>
      <c r="Q512" s="113">
        <v>46042</v>
      </c>
      <c r="R512" s="113">
        <v>46042</v>
      </c>
      <c r="S512" s="37">
        <f t="shared" si="93"/>
        <v>13769106</v>
      </c>
      <c r="T512" s="37">
        <f t="shared" si="94"/>
        <v>0</v>
      </c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</row>
    <row r="513" spans="1:31" ht="15" hidden="1" customHeight="1">
      <c r="A513" s="277" t="s">
        <v>4995</v>
      </c>
      <c r="B513" s="9" t="s">
        <v>21</v>
      </c>
      <c r="C513" s="9">
        <v>2025</v>
      </c>
      <c r="D513" s="9" t="s">
        <v>27</v>
      </c>
      <c r="E513" s="90" t="s">
        <v>23</v>
      </c>
      <c r="F513" s="9" t="s">
        <v>7</v>
      </c>
      <c r="G513" s="10"/>
      <c r="H513" s="96">
        <v>250995</v>
      </c>
      <c r="I513" s="109" t="s">
        <v>266</v>
      </c>
      <c r="J513" s="115">
        <v>45930</v>
      </c>
      <c r="K513" s="119">
        <v>45937</v>
      </c>
      <c r="L513" s="116">
        <v>8979565</v>
      </c>
      <c r="M513" s="117" t="s">
        <v>3745</v>
      </c>
      <c r="N513" s="34" t="s">
        <v>29</v>
      </c>
      <c r="O513" s="10"/>
      <c r="P513" s="113">
        <v>46042</v>
      </c>
      <c r="Q513" s="113">
        <v>46042</v>
      </c>
      <c r="R513" s="113">
        <v>46042</v>
      </c>
      <c r="S513" s="37">
        <f t="shared" si="93"/>
        <v>8979565</v>
      </c>
      <c r="T513" s="37">
        <f t="shared" si="94"/>
        <v>0</v>
      </c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</row>
    <row r="514" spans="1:31" hidden="1">
      <c r="A514" s="277" t="s">
        <v>4996</v>
      </c>
      <c r="B514" s="9" t="s">
        <v>21</v>
      </c>
      <c r="C514" s="9">
        <v>2025</v>
      </c>
      <c r="D514" s="9" t="s">
        <v>27</v>
      </c>
      <c r="E514" s="90" t="s">
        <v>23</v>
      </c>
      <c r="F514" s="9" t="s">
        <v>7</v>
      </c>
      <c r="G514" s="10"/>
      <c r="H514" s="96">
        <v>250998</v>
      </c>
      <c r="I514" s="109" t="s">
        <v>266</v>
      </c>
      <c r="J514" s="115">
        <v>45930</v>
      </c>
      <c r="K514" s="119">
        <v>45937</v>
      </c>
      <c r="L514" s="116">
        <v>388500</v>
      </c>
      <c r="M514" s="117" t="s">
        <v>3746</v>
      </c>
      <c r="N514" s="34" t="s">
        <v>29</v>
      </c>
      <c r="O514" s="10"/>
      <c r="P514" s="113">
        <v>46042</v>
      </c>
      <c r="Q514" s="113">
        <v>46042</v>
      </c>
      <c r="R514" s="113">
        <v>46042</v>
      </c>
      <c r="S514" s="37">
        <f t="shared" si="93"/>
        <v>388500</v>
      </c>
      <c r="T514" s="37">
        <f t="shared" si="94"/>
        <v>0</v>
      </c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</row>
    <row r="515" spans="1:31" hidden="1">
      <c r="A515" s="277" t="s">
        <v>4997</v>
      </c>
      <c r="B515" s="9" t="s">
        <v>21</v>
      </c>
      <c r="C515" s="9">
        <v>2025</v>
      </c>
      <c r="D515" s="9" t="s">
        <v>27</v>
      </c>
      <c r="E515" s="90" t="s">
        <v>23</v>
      </c>
      <c r="F515" s="9" t="s">
        <v>7</v>
      </c>
      <c r="G515" s="10"/>
      <c r="H515" s="96">
        <v>251001</v>
      </c>
      <c r="I515" s="109" t="s">
        <v>266</v>
      </c>
      <c r="J515" s="115">
        <v>45930</v>
      </c>
      <c r="K515" s="119">
        <v>45937</v>
      </c>
      <c r="L515" s="116">
        <v>5785320</v>
      </c>
      <c r="M515" s="117" t="s">
        <v>3747</v>
      </c>
      <c r="N515" s="34" t="s">
        <v>29</v>
      </c>
      <c r="O515" s="10"/>
      <c r="P515" s="113">
        <v>46042</v>
      </c>
      <c r="Q515" s="113">
        <v>46042</v>
      </c>
      <c r="R515" s="113">
        <v>46042</v>
      </c>
      <c r="S515" s="37">
        <f t="shared" si="93"/>
        <v>5785320</v>
      </c>
      <c r="T515" s="37">
        <f t="shared" si="94"/>
        <v>0</v>
      </c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</row>
    <row r="516" spans="1:31" hidden="1">
      <c r="A516" s="277" t="s">
        <v>4998</v>
      </c>
      <c r="B516" s="9" t="s">
        <v>21</v>
      </c>
      <c r="C516" s="9">
        <v>2025</v>
      </c>
      <c r="D516" s="9" t="s">
        <v>27</v>
      </c>
      <c r="E516" s="90" t="s">
        <v>23</v>
      </c>
      <c r="F516" s="9" t="s">
        <v>7</v>
      </c>
      <c r="G516" s="10"/>
      <c r="H516" s="96">
        <v>251122</v>
      </c>
      <c r="I516" s="109" t="s">
        <v>266</v>
      </c>
      <c r="J516" s="115">
        <v>45958</v>
      </c>
      <c r="K516" s="119">
        <v>45965</v>
      </c>
      <c r="L516" s="116">
        <v>11224456</v>
      </c>
      <c r="M516" s="117" t="s">
        <v>3921</v>
      </c>
      <c r="N516" s="34" t="s">
        <v>29</v>
      </c>
      <c r="O516" s="10"/>
      <c r="P516" s="113">
        <v>46128</v>
      </c>
      <c r="Q516" s="113">
        <v>46128</v>
      </c>
      <c r="R516" s="113">
        <v>46128</v>
      </c>
      <c r="S516" s="37">
        <f t="shared" si="93"/>
        <v>11224456</v>
      </c>
      <c r="T516" s="37">
        <f t="shared" si="94"/>
        <v>0</v>
      </c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</row>
    <row r="517" spans="1:31" hidden="1">
      <c r="A517" s="277" t="s">
        <v>4999</v>
      </c>
      <c r="B517" s="9" t="s">
        <v>21</v>
      </c>
      <c r="C517" s="9">
        <v>2025</v>
      </c>
      <c r="D517" s="9" t="s">
        <v>27</v>
      </c>
      <c r="E517" s="90" t="s">
        <v>23</v>
      </c>
      <c r="F517" s="9" t="s">
        <v>7</v>
      </c>
      <c r="G517" s="10"/>
      <c r="H517" s="96">
        <v>251121</v>
      </c>
      <c r="I517" s="109" t="s">
        <v>266</v>
      </c>
      <c r="J517" s="115">
        <v>45958</v>
      </c>
      <c r="K517" s="119">
        <v>45965</v>
      </c>
      <c r="L517" s="116">
        <v>11495826</v>
      </c>
      <c r="M517" s="117" t="s">
        <v>3922</v>
      </c>
      <c r="N517" s="34" t="s">
        <v>29</v>
      </c>
      <c r="O517" s="10"/>
      <c r="P517" s="113">
        <v>46128</v>
      </c>
      <c r="Q517" s="113">
        <v>46128</v>
      </c>
      <c r="R517" s="113">
        <v>46128</v>
      </c>
      <c r="S517" s="37">
        <f t="shared" si="93"/>
        <v>11495826</v>
      </c>
      <c r="T517" s="37">
        <f t="shared" si="94"/>
        <v>0</v>
      </c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</row>
    <row r="518" spans="1:31" hidden="1">
      <c r="A518" s="277" t="s">
        <v>5000</v>
      </c>
      <c r="B518" s="9" t="s">
        <v>21</v>
      </c>
      <c r="C518" s="9">
        <v>2025</v>
      </c>
      <c r="D518" s="9" t="s">
        <v>27</v>
      </c>
      <c r="E518" s="90" t="s">
        <v>23</v>
      </c>
      <c r="F518" s="9" t="s">
        <v>7</v>
      </c>
      <c r="G518" s="10"/>
      <c r="H518" s="96">
        <v>251224</v>
      </c>
      <c r="I518" s="109" t="s">
        <v>266</v>
      </c>
      <c r="J518" s="115">
        <v>45990</v>
      </c>
      <c r="K518" s="119">
        <v>45995</v>
      </c>
      <c r="L518" s="116">
        <v>4983900</v>
      </c>
      <c r="M518" s="117" t="s">
        <v>4056</v>
      </c>
      <c r="N518" s="34" t="s">
        <v>29</v>
      </c>
      <c r="O518" s="10"/>
      <c r="P518" s="113">
        <v>46128</v>
      </c>
      <c r="Q518" s="113">
        <v>46128</v>
      </c>
      <c r="R518" s="113">
        <v>46128</v>
      </c>
      <c r="S518" s="37">
        <f t="shared" si="93"/>
        <v>4983900</v>
      </c>
      <c r="T518" s="37">
        <f t="shared" si="94"/>
        <v>0</v>
      </c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</row>
    <row r="519" spans="1:31" hidden="1">
      <c r="A519" s="277" t="s">
        <v>5001</v>
      </c>
      <c r="B519" s="9" t="s">
        <v>21</v>
      </c>
      <c r="C519" s="9">
        <v>2025</v>
      </c>
      <c r="D519" s="9" t="s">
        <v>27</v>
      </c>
      <c r="E519" s="90" t="s">
        <v>23</v>
      </c>
      <c r="F519" s="9" t="s">
        <v>7</v>
      </c>
      <c r="G519" s="10"/>
      <c r="H519" s="96">
        <v>251219</v>
      </c>
      <c r="I519" s="109" t="s">
        <v>266</v>
      </c>
      <c r="J519" s="115">
        <v>45990</v>
      </c>
      <c r="K519" s="119">
        <v>45995</v>
      </c>
      <c r="L519" s="116">
        <v>144300</v>
      </c>
      <c r="M519" s="117" t="s">
        <v>4057</v>
      </c>
      <c r="N519" s="34" t="s">
        <v>29</v>
      </c>
      <c r="O519" s="10"/>
      <c r="P519" s="113">
        <v>46128</v>
      </c>
      <c r="Q519" s="113">
        <v>46128</v>
      </c>
      <c r="R519" s="113">
        <v>46128</v>
      </c>
      <c r="S519" s="37">
        <f t="shared" si="93"/>
        <v>144300</v>
      </c>
      <c r="T519" s="37">
        <f t="shared" si="94"/>
        <v>0</v>
      </c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</row>
    <row r="520" spans="1:31" hidden="1">
      <c r="A520" s="277" t="s">
        <v>5002</v>
      </c>
      <c r="B520" s="9" t="s">
        <v>21</v>
      </c>
      <c r="C520" s="9">
        <v>2025</v>
      </c>
      <c r="D520" s="9" t="s">
        <v>27</v>
      </c>
      <c r="E520" s="90" t="s">
        <v>23</v>
      </c>
      <c r="F520" s="9" t="s">
        <v>7</v>
      </c>
      <c r="G520" s="10"/>
      <c r="H520" s="96">
        <v>251218</v>
      </c>
      <c r="I520" s="109" t="s">
        <v>266</v>
      </c>
      <c r="J520" s="115">
        <v>45990</v>
      </c>
      <c r="K520" s="119">
        <v>45995</v>
      </c>
      <c r="L520" s="116">
        <v>366300</v>
      </c>
      <c r="M520" s="117" t="s">
        <v>4058</v>
      </c>
      <c r="N520" s="34" t="s">
        <v>29</v>
      </c>
      <c r="O520" s="10"/>
      <c r="P520" s="113">
        <v>46128</v>
      </c>
      <c r="Q520" s="113">
        <v>46128</v>
      </c>
      <c r="R520" s="113">
        <v>46128</v>
      </c>
      <c r="S520" s="37">
        <f t="shared" si="93"/>
        <v>366300</v>
      </c>
      <c r="T520" s="37">
        <f t="shared" si="94"/>
        <v>0</v>
      </c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</row>
    <row r="521" spans="1:31" hidden="1">
      <c r="A521" s="277" t="s">
        <v>5003</v>
      </c>
      <c r="B521" s="9" t="s">
        <v>21</v>
      </c>
      <c r="C521" s="9">
        <v>2025</v>
      </c>
      <c r="D521" s="9" t="s">
        <v>27</v>
      </c>
      <c r="E521" s="90" t="s">
        <v>23</v>
      </c>
      <c r="F521" s="9" t="s">
        <v>7</v>
      </c>
      <c r="G521" s="10"/>
      <c r="H521" s="96">
        <v>251221</v>
      </c>
      <c r="I521" s="109" t="s">
        <v>266</v>
      </c>
      <c r="J521" s="115">
        <v>45990</v>
      </c>
      <c r="K521" s="119">
        <v>45995</v>
      </c>
      <c r="L521" s="116">
        <v>4427957</v>
      </c>
      <c r="M521" s="117" t="s">
        <v>4059</v>
      </c>
      <c r="N521" s="34" t="s">
        <v>29</v>
      </c>
      <c r="O521" s="10"/>
      <c r="P521" s="113">
        <v>46128</v>
      </c>
      <c r="Q521" s="113">
        <v>46128</v>
      </c>
      <c r="R521" s="113">
        <v>46128</v>
      </c>
      <c r="S521" s="37">
        <f t="shared" si="93"/>
        <v>4427957</v>
      </c>
      <c r="T521" s="37">
        <f t="shared" si="94"/>
        <v>0</v>
      </c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</row>
    <row r="522" spans="1:31" hidden="1">
      <c r="A522" s="277" t="s">
        <v>5004</v>
      </c>
      <c r="B522" s="9" t="s">
        <v>21</v>
      </c>
      <c r="C522" s="9">
        <v>2025</v>
      </c>
      <c r="D522" s="9" t="s">
        <v>27</v>
      </c>
      <c r="E522" s="90" t="s">
        <v>23</v>
      </c>
      <c r="F522" s="9" t="s">
        <v>7</v>
      </c>
      <c r="G522" s="10"/>
      <c r="H522" s="96">
        <v>251220</v>
      </c>
      <c r="I522" s="109" t="s">
        <v>266</v>
      </c>
      <c r="J522" s="115">
        <v>45990</v>
      </c>
      <c r="K522" s="119">
        <v>45995</v>
      </c>
      <c r="L522" s="116">
        <v>22888644</v>
      </c>
      <c r="M522" s="117" t="s">
        <v>4060</v>
      </c>
      <c r="N522" s="34" t="s">
        <v>29</v>
      </c>
      <c r="O522" s="10"/>
      <c r="P522" s="113">
        <v>46128</v>
      </c>
      <c r="Q522" s="113">
        <v>46128</v>
      </c>
      <c r="R522" s="113">
        <v>46128</v>
      </c>
      <c r="S522" s="37">
        <f t="shared" si="93"/>
        <v>22888644</v>
      </c>
      <c r="T522" s="37">
        <f t="shared" si="94"/>
        <v>0</v>
      </c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</row>
    <row r="523" spans="1:31" hidden="1">
      <c r="A523" s="277" t="s">
        <v>5005</v>
      </c>
      <c r="B523" s="9" t="s">
        <v>21</v>
      </c>
      <c r="C523" s="9">
        <v>2025</v>
      </c>
      <c r="D523" s="9" t="s">
        <v>27</v>
      </c>
      <c r="E523" s="90" t="s">
        <v>23</v>
      </c>
      <c r="F523" s="9" t="s">
        <v>7</v>
      </c>
      <c r="G523" s="10"/>
      <c r="H523" s="96">
        <v>251222</v>
      </c>
      <c r="I523" s="109" t="s">
        <v>266</v>
      </c>
      <c r="J523" s="115">
        <v>45990</v>
      </c>
      <c r="K523" s="119">
        <v>45995</v>
      </c>
      <c r="L523" s="116">
        <v>598845</v>
      </c>
      <c r="M523" s="117" t="s">
        <v>4061</v>
      </c>
      <c r="N523" s="34" t="s">
        <v>29</v>
      </c>
      <c r="O523" s="10"/>
      <c r="P523" s="113">
        <v>46128</v>
      </c>
      <c r="Q523" s="113">
        <v>46128</v>
      </c>
      <c r="R523" s="113">
        <v>46128</v>
      </c>
      <c r="S523" s="37">
        <f t="shared" si="93"/>
        <v>598845</v>
      </c>
      <c r="T523" s="37">
        <f t="shared" si="94"/>
        <v>0</v>
      </c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</row>
    <row r="524" spans="1:31" ht="14.25" customHeight="1">
      <c r="A524" s="277" t="s">
        <v>5006</v>
      </c>
      <c r="B524" s="9" t="s">
        <v>21</v>
      </c>
      <c r="C524" s="9">
        <v>2025</v>
      </c>
      <c r="D524" s="9" t="s">
        <v>27</v>
      </c>
      <c r="E524" s="90" t="s">
        <v>23</v>
      </c>
      <c r="F524" s="9" t="s">
        <v>7</v>
      </c>
      <c r="G524" s="10"/>
      <c r="H524" s="96">
        <v>251223</v>
      </c>
      <c r="I524" s="109" t="s">
        <v>266</v>
      </c>
      <c r="J524" s="115">
        <v>45990</v>
      </c>
      <c r="K524" s="119">
        <v>45995</v>
      </c>
      <c r="L524" s="116">
        <v>38629907</v>
      </c>
      <c r="M524" s="117" t="s">
        <v>4062</v>
      </c>
      <c r="N524" s="34" t="s">
        <v>29</v>
      </c>
      <c r="O524" s="10"/>
      <c r="P524" s="113">
        <v>46128</v>
      </c>
      <c r="Q524" s="113">
        <v>46128</v>
      </c>
      <c r="R524" s="113">
        <v>46128</v>
      </c>
      <c r="S524" s="37">
        <f t="shared" si="93"/>
        <v>38629907</v>
      </c>
      <c r="T524" s="37">
        <f t="shared" si="94"/>
        <v>0</v>
      </c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</row>
    <row r="525" spans="1:31" ht="14.25" customHeight="1">
      <c r="A525" s="277" t="s">
        <v>5007</v>
      </c>
      <c r="B525" s="9" t="s">
        <v>21</v>
      </c>
      <c r="C525" s="9">
        <v>2026</v>
      </c>
      <c r="D525" s="9" t="s">
        <v>27</v>
      </c>
      <c r="E525" s="90" t="s">
        <v>23</v>
      </c>
      <c r="F525" s="9" t="s">
        <v>7</v>
      </c>
      <c r="G525" s="10"/>
      <c r="H525" s="96">
        <v>260028</v>
      </c>
      <c r="I525" s="109" t="s">
        <v>266</v>
      </c>
      <c r="J525" s="115">
        <v>46044</v>
      </c>
      <c r="K525" s="119">
        <v>46049</v>
      </c>
      <c r="L525" s="116">
        <v>38243827</v>
      </c>
      <c r="M525" s="117" t="s">
        <v>7197</v>
      </c>
      <c r="N525" s="34" t="s">
        <v>29</v>
      </c>
      <c r="O525" s="10"/>
      <c r="P525" s="113">
        <v>46209</v>
      </c>
      <c r="Q525" s="113">
        <v>46209</v>
      </c>
      <c r="R525" s="113">
        <v>46209</v>
      </c>
      <c r="S525" s="37">
        <f t="shared" ref="S525" si="95">IF(R525="",0,L525)</f>
        <v>38243827</v>
      </c>
      <c r="T525" s="37">
        <f t="shared" ref="T525" si="96">L525-S525</f>
        <v>0</v>
      </c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</row>
    <row r="526" spans="1:31" ht="14.25" customHeight="1">
      <c r="A526" s="277" t="s">
        <v>5007</v>
      </c>
      <c r="B526" s="9" t="s">
        <v>21</v>
      </c>
      <c r="C526" s="9">
        <v>2026</v>
      </c>
      <c r="D526" s="9" t="s">
        <v>77</v>
      </c>
      <c r="E526" s="90" t="s">
        <v>23</v>
      </c>
      <c r="F526" s="9" t="s">
        <v>7</v>
      </c>
      <c r="G526" s="10"/>
      <c r="H526" s="9">
        <v>260028</v>
      </c>
      <c r="I526" s="11" t="s">
        <v>266</v>
      </c>
      <c r="J526" s="12">
        <v>46044</v>
      </c>
      <c r="K526" s="122">
        <v>46049</v>
      </c>
      <c r="L526" s="27">
        <f>138243827-38243827</f>
        <v>100000000</v>
      </c>
      <c r="M526" s="10" t="s">
        <v>7198</v>
      </c>
      <c r="N526" s="34">
        <f t="shared" ref="N526:N538" ca="1" si="97">$J$3-J526</f>
        <v>196.46377638888953</v>
      </c>
      <c r="O526" s="10"/>
      <c r="P526" s="39"/>
      <c r="Q526" s="39"/>
      <c r="R526" s="39"/>
      <c r="S526" s="37">
        <f t="shared" si="93"/>
        <v>0</v>
      </c>
      <c r="T526" s="37">
        <f t="shared" si="94"/>
        <v>100000000</v>
      </c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</row>
    <row r="527" spans="1:31" ht="14.25" customHeight="1">
      <c r="A527" s="277" t="s">
        <v>5008</v>
      </c>
      <c r="B527" s="9" t="s">
        <v>21</v>
      </c>
      <c r="C527" s="9">
        <v>2026</v>
      </c>
      <c r="D527" s="9" t="s">
        <v>77</v>
      </c>
      <c r="E527" s="90" t="s">
        <v>23</v>
      </c>
      <c r="F527" s="9" t="s">
        <v>7</v>
      </c>
      <c r="G527" s="10"/>
      <c r="H527" s="9">
        <v>260029</v>
      </c>
      <c r="I527" s="11" t="s">
        <v>266</v>
      </c>
      <c r="J527" s="12">
        <v>46044</v>
      </c>
      <c r="K527" s="122">
        <v>46049</v>
      </c>
      <c r="L527" s="27">
        <v>366300</v>
      </c>
      <c r="M527" s="10" t="s">
        <v>4273</v>
      </c>
      <c r="N527" s="34">
        <f t="shared" ca="1" si="97"/>
        <v>196.46377638888953</v>
      </c>
      <c r="O527" s="10"/>
      <c r="P527" s="39"/>
      <c r="Q527" s="39"/>
      <c r="R527" s="39"/>
      <c r="S527" s="37">
        <f t="shared" si="93"/>
        <v>0</v>
      </c>
      <c r="T527" s="37">
        <f t="shared" si="94"/>
        <v>366300</v>
      </c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</row>
    <row r="528" spans="1:31" ht="14.25" customHeight="1">
      <c r="A528" s="277" t="s">
        <v>5009</v>
      </c>
      <c r="B528" s="9" t="s">
        <v>21</v>
      </c>
      <c r="C528" s="9">
        <v>2026</v>
      </c>
      <c r="D528" s="9" t="s">
        <v>77</v>
      </c>
      <c r="E528" s="90" t="s">
        <v>23</v>
      </c>
      <c r="F528" s="9" t="s">
        <v>7</v>
      </c>
      <c r="G528" s="10"/>
      <c r="H528" s="9">
        <v>260030</v>
      </c>
      <c r="I528" s="11" t="s">
        <v>266</v>
      </c>
      <c r="J528" s="12">
        <v>46044</v>
      </c>
      <c r="K528" s="122">
        <v>46049</v>
      </c>
      <c r="L528" s="27">
        <v>3989618</v>
      </c>
      <c r="M528" s="10" t="s">
        <v>4274</v>
      </c>
      <c r="N528" s="34">
        <f t="shared" ca="1" si="97"/>
        <v>196.46377638888953</v>
      </c>
      <c r="O528" s="10"/>
      <c r="P528" s="39"/>
      <c r="Q528" s="39"/>
      <c r="R528" s="39"/>
      <c r="S528" s="37">
        <f t="shared" si="93"/>
        <v>0</v>
      </c>
      <c r="T528" s="37">
        <f t="shared" si="94"/>
        <v>3989618</v>
      </c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</row>
    <row r="529" spans="1:31" ht="14.25" customHeight="1">
      <c r="A529" s="277" t="s">
        <v>5010</v>
      </c>
      <c r="B529" s="9" t="s">
        <v>21</v>
      </c>
      <c r="C529" s="9">
        <v>2026</v>
      </c>
      <c r="D529" s="9" t="s">
        <v>77</v>
      </c>
      <c r="E529" s="90" t="s">
        <v>23</v>
      </c>
      <c r="F529" s="9" t="s">
        <v>7</v>
      </c>
      <c r="G529" s="10"/>
      <c r="H529" s="9">
        <v>260032</v>
      </c>
      <c r="I529" s="11" t="s">
        <v>266</v>
      </c>
      <c r="J529" s="12">
        <v>46044</v>
      </c>
      <c r="K529" s="122">
        <v>46049</v>
      </c>
      <c r="L529" s="27">
        <v>199800</v>
      </c>
      <c r="M529" s="10" t="s">
        <v>4275</v>
      </c>
      <c r="N529" s="34">
        <f t="shared" ca="1" si="97"/>
        <v>196.46377638888953</v>
      </c>
      <c r="O529" s="10"/>
      <c r="P529" s="39"/>
      <c r="Q529" s="39"/>
      <c r="R529" s="39"/>
      <c r="S529" s="37">
        <f t="shared" si="93"/>
        <v>0</v>
      </c>
      <c r="T529" s="37">
        <f t="shared" si="94"/>
        <v>199800</v>
      </c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</row>
    <row r="530" spans="1:31" ht="14.25" customHeight="1">
      <c r="A530" s="277" t="s">
        <v>5011</v>
      </c>
      <c r="B530" s="9" t="s">
        <v>21</v>
      </c>
      <c r="C530" s="9">
        <v>2026</v>
      </c>
      <c r="D530" s="9" t="s">
        <v>77</v>
      </c>
      <c r="E530" s="90" t="s">
        <v>23</v>
      </c>
      <c r="F530" s="9" t="s">
        <v>7</v>
      </c>
      <c r="G530" s="10"/>
      <c r="H530" s="9">
        <v>260037</v>
      </c>
      <c r="I530" s="11" t="s">
        <v>266</v>
      </c>
      <c r="J530" s="12">
        <v>46044</v>
      </c>
      <c r="K530" s="122">
        <v>46049</v>
      </c>
      <c r="L530" s="27">
        <v>2036295</v>
      </c>
      <c r="M530" s="10" t="s">
        <v>4276</v>
      </c>
      <c r="N530" s="34">
        <f t="shared" ca="1" si="97"/>
        <v>196.46377638888953</v>
      </c>
      <c r="O530" s="10"/>
      <c r="P530" s="39"/>
      <c r="Q530" s="39"/>
      <c r="R530" s="39"/>
      <c r="S530" s="37">
        <f t="shared" si="93"/>
        <v>0</v>
      </c>
      <c r="T530" s="37">
        <f t="shared" si="94"/>
        <v>2036295</v>
      </c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</row>
    <row r="531" spans="1:31" ht="14.25" customHeight="1">
      <c r="A531" s="277" t="s">
        <v>5012</v>
      </c>
      <c r="B531" s="9" t="s">
        <v>21</v>
      </c>
      <c r="C531" s="9">
        <v>2026</v>
      </c>
      <c r="D531" s="9" t="s">
        <v>77</v>
      </c>
      <c r="E531" s="90" t="s">
        <v>23</v>
      </c>
      <c r="F531" s="9" t="s">
        <v>7</v>
      </c>
      <c r="G531" s="10"/>
      <c r="H531" s="9">
        <v>260099</v>
      </c>
      <c r="I531" s="11" t="s">
        <v>266</v>
      </c>
      <c r="J531" s="12">
        <v>46052</v>
      </c>
      <c r="K531" s="122">
        <v>46058</v>
      </c>
      <c r="L531" s="27">
        <v>7599060</v>
      </c>
      <c r="M531" s="10" t="s">
        <v>4308</v>
      </c>
      <c r="N531" s="34">
        <f t="shared" ca="1" si="97"/>
        <v>188.46377638888953</v>
      </c>
      <c r="O531" s="10"/>
      <c r="P531" s="39"/>
      <c r="Q531" s="39"/>
      <c r="R531" s="39"/>
      <c r="S531" s="37">
        <f t="shared" si="93"/>
        <v>0</v>
      </c>
      <c r="T531" s="37">
        <f t="shared" si="94"/>
        <v>7599060</v>
      </c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</row>
    <row r="532" spans="1:31" ht="14.25" customHeight="1">
      <c r="A532" s="277" t="s">
        <v>5013</v>
      </c>
      <c r="B532" s="9" t="s">
        <v>21</v>
      </c>
      <c r="C532" s="9">
        <v>2026</v>
      </c>
      <c r="D532" s="9" t="s">
        <v>77</v>
      </c>
      <c r="E532" s="90" t="s">
        <v>23</v>
      </c>
      <c r="F532" s="9" t="s">
        <v>7</v>
      </c>
      <c r="G532" s="10"/>
      <c r="H532" s="9">
        <v>260066</v>
      </c>
      <c r="I532" s="11" t="s">
        <v>266</v>
      </c>
      <c r="J532" s="12">
        <v>46052</v>
      </c>
      <c r="K532" s="122">
        <v>46058</v>
      </c>
      <c r="L532" s="27">
        <f>5344650-154401</f>
        <v>5190249</v>
      </c>
      <c r="M532" s="10" t="s">
        <v>4309</v>
      </c>
      <c r="N532" s="34">
        <f t="shared" ca="1" si="97"/>
        <v>188.46377638888953</v>
      </c>
      <c r="O532" s="10"/>
      <c r="P532" s="39"/>
      <c r="Q532" s="39"/>
      <c r="R532" s="39"/>
      <c r="S532" s="37">
        <f t="shared" si="93"/>
        <v>0</v>
      </c>
      <c r="T532" s="37">
        <f t="shared" si="94"/>
        <v>5190249</v>
      </c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</row>
    <row r="533" spans="1:31" ht="14.25" customHeight="1">
      <c r="A533" s="277" t="s">
        <v>5014</v>
      </c>
      <c r="B533" s="9" t="s">
        <v>21</v>
      </c>
      <c r="C533" s="9">
        <v>2026</v>
      </c>
      <c r="D533" s="9" t="s">
        <v>77</v>
      </c>
      <c r="E533" s="90" t="s">
        <v>23</v>
      </c>
      <c r="F533" s="9" t="s">
        <v>7</v>
      </c>
      <c r="G533" s="10"/>
      <c r="H533" s="9">
        <v>260067</v>
      </c>
      <c r="I533" s="11" t="s">
        <v>266</v>
      </c>
      <c r="J533" s="12">
        <v>46052</v>
      </c>
      <c r="K533" s="122">
        <v>46058</v>
      </c>
      <c r="L533" s="27">
        <v>27648766</v>
      </c>
      <c r="M533" s="10" t="s">
        <v>4310</v>
      </c>
      <c r="N533" s="34">
        <f t="shared" ca="1" si="97"/>
        <v>188.46377638888953</v>
      </c>
      <c r="O533" s="10"/>
      <c r="P533" s="39"/>
      <c r="Q533" s="39"/>
      <c r="R533" s="39"/>
      <c r="S533" s="37">
        <f t="shared" ref="S533:S538" si="98">IF(R533="",0,L533)</f>
        <v>0</v>
      </c>
      <c r="T533" s="37">
        <f t="shared" ref="T533:T538" si="99">L533-S533</f>
        <v>27648766</v>
      </c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</row>
    <row r="534" spans="1:31" ht="14.25" customHeight="1">
      <c r="A534" s="277" t="s">
        <v>5015</v>
      </c>
      <c r="B534" s="9" t="s">
        <v>21</v>
      </c>
      <c r="C534" s="9">
        <v>2026</v>
      </c>
      <c r="D534" s="9" t="s">
        <v>77</v>
      </c>
      <c r="E534" s="90" t="s">
        <v>23</v>
      </c>
      <c r="F534" s="9" t="s">
        <v>7</v>
      </c>
      <c r="G534" s="10"/>
      <c r="H534" s="9">
        <v>260100</v>
      </c>
      <c r="I534" s="11" t="s">
        <v>266</v>
      </c>
      <c r="J534" s="12">
        <v>46053</v>
      </c>
      <c r="K534" s="122">
        <v>46065</v>
      </c>
      <c r="L534" s="27">
        <f>9216255-41958</f>
        <v>9174297</v>
      </c>
      <c r="M534" s="10" t="s">
        <v>7087</v>
      </c>
      <c r="N534" s="34">
        <f t="shared" ca="1" si="97"/>
        <v>187.46377638888953</v>
      </c>
      <c r="O534" s="10"/>
      <c r="P534" s="39"/>
      <c r="Q534" s="39"/>
      <c r="R534" s="39"/>
      <c r="S534" s="37">
        <f t="shared" si="98"/>
        <v>0</v>
      </c>
      <c r="T534" s="37">
        <f t="shared" si="99"/>
        <v>9174297</v>
      </c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</row>
    <row r="535" spans="1:31" ht="14.25" customHeight="1">
      <c r="A535" s="277" t="s">
        <v>5016</v>
      </c>
      <c r="B535" s="9" t="s">
        <v>21</v>
      </c>
      <c r="C535" s="9">
        <v>2026</v>
      </c>
      <c r="D535" s="9" t="s">
        <v>77</v>
      </c>
      <c r="E535" s="90" t="s">
        <v>23</v>
      </c>
      <c r="F535" s="9" t="s">
        <v>7</v>
      </c>
      <c r="G535" s="10"/>
      <c r="H535" s="9">
        <v>260065</v>
      </c>
      <c r="I535" s="11" t="s">
        <v>266</v>
      </c>
      <c r="J535" s="12">
        <v>46053</v>
      </c>
      <c r="K535" s="122">
        <v>46065</v>
      </c>
      <c r="L535" s="27">
        <f>7599060-41958</f>
        <v>7557102</v>
      </c>
      <c r="M535" s="10" t="s">
        <v>4536</v>
      </c>
      <c r="N535" s="34">
        <f t="shared" ca="1" si="97"/>
        <v>187.46377638888953</v>
      </c>
      <c r="O535" s="10"/>
      <c r="P535" s="39"/>
      <c r="Q535" s="39"/>
      <c r="R535" s="39"/>
      <c r="S535" s="37">
        <f t="shared" si="98"/>
        <v>0</v>
      </c>
      <c r="T535" s="37">
        <f t="shared" si="99"/>
        <v>7557102</v>
      </c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</row>
    <row r="536" spans="1:31" ht="14.25" customHeight="1">
      <c r="A536" s="277" t="s">
        <v>5016</v>
      </c>
      <c r="B536" s="9" t="s">
        <v>21</v>
      </c>
      <c r="C536" s="9">
        <v>2026</v>
      </c>
      <c r="D536" s="9" t="s">
        <v>77</v>
      </c>
      <c r="E536" s="90" t="s">
        <v>23</v>
      </c>
      <c r="F536" s="9" t="s">
        <v>7</v>
      </c>
      <c r="G536" s="10"/>
      <c r="H536" s="9">
        <v>260330</v>
      </c>
      <c r="I536" s="11" t="s">
        <v>266</v>
      </c>
      <c r="J536" s="12">
        <v>46172</v>
      </c>
      <c r="K536" s="122">
        <v>46184</v>
      </c>
      <c r="L536" s="27">
        <f>2039326-335000-308580</f>
        <v>1395746</v>
      </c>
      <c r="M536" s="10" t="s">
        <v>7184</v>
      </c>
      <c r="N536" s="34">
        <f t="shared" ca="1" si="97"/>
        <v>68.463776388889528</v>
      </c>
      <c r="O536" s="10"/>
      <c r="P536" s="39"/>
      <c r="Q536" s="39"/>
      <c r="R536" s="39"/>
      <c r="S536" s="37">
        <f t="shared" si="98"/>
        <v>0</v>
      </c>
      <c r="T536" s="37">
        <f t="shared" si="99"/>
        <v>1395746</v>
      </c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</row>
    <row r="537" spans="1:31" ht="14.25" customHeight="1">
      <c r="A537" s="277" t="s">
        <v>5016</v>
      </c>
      <c r="B537" s="9" t="s">
        <v>21</v>
      </c>
      <c r="C537" s="9">
        <v>2026</v>
      </c>
      <c r="D537" s="9" t="s">
        <v>77</v>
      </c>
      <c r="E537" s="90" t="s">
        <v>23</v>
      </c>
      <c r="F537" s="9" t="s">
        <v>7</v>
      </c>
      <c r="G537" s="10"/>
      <c r="H537" s="9">
        <v>260409</v>
      </c>
      <c r="I537" s="11" t="s">
        <v>266</v>
      </c>
      <c r="J537" s="12">
        <v>46199</v>
      </c>
      <c r="K537" s="122">
        <v>46205</v>
      </c>
      <c r="L537" s="27">
        <v>1217409</v>
      </c>
      <c r="M537" s="10" t="s">
        <v>7311</v>
      </c>
      <c r="N537" s="34">
        <f t="shared" ca="1" si="97"/>
        <v>41.463776388889528</v>
      </c>
      <c r="O537" s="10"/>
      <c r="P537" s="39"/>
      <c r="Q537" s="39"/>
      <c r="R537" s="39"/>
      <c r="S537" s="37">
        <f t="shared" si="98"/>
        <v>0</v>
      </c>
      <c r="T537" s="37">
        <f t="shared" si="99"/>
        <v>1217409</v>
      </c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</row>
    <row r="538" spans="1:31" ht="14.25" customHeight="1">
      <c r="A538" s="277" t="s">
        <v>5016</v>
      </c>
      <c r="B538" s="9" t="s">
        <v>21</v>
      </c>
      <c r="C538" s="9">
        <v>2026</v>
      </c>
      <c r="D538" s="9" t="s">
        <v>77</v>
      </c>
      <c r="E538" s="90" t="s">
        <v>23</v>
      </c>
      <c r="F538" s="9" t="s">
        <v>7</v>
      </c>
      <c r="G538" s="10"/>
      <c r="H538" s="9">
        <v>260490</v>
      </c>
      <c r="I538" s="11" t="s">
        <v>266</v>
      </c>
      <c r="J538" s="12">
        <v>46220</v>
      </c>
      <c r="K538" s="122">
        <v>46224</v>
      </c>
      <c r="L538" s="27">
        <f>6117980-241980-199800-1054500-129448</f>
        <v>4492252</v>
      </c>
      <c r="M538" s="10" t="s">
        <v>7418</v>
      </c>
      <c r="N538" s="34">
        <f t="shared" ca="1" si="97"/>
        <v>20.463776388889528</v>
      </c>
      <c r="O538" s="10"/>
      <c r="P538" s="39"/>
      <c r="Q538" s="39"/>
      <c r="R538" s="39"/>
      <c r="S538" s="37">
        <f t="shared" si="98"/>
        <v>0</v>
      </c>
      <c r="T538" s="37">
        <f t="shared" si="99"/>
        <v>4492252</v>
      </c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</row>
    <row r="539" spans="1:31" ht="14.25" customHeight="1">
      <c r="A539" s="277" t="s">
        <v>5017</v>
      </c>
      <c r="B539" s="9" t="s">
        <v>21</v>
      </c>
      <c r="C539" s="9"/>
      <c r="D539" s="9"/>
      <c r="E539" s="90"/>
      <c r="F539" s="9"/>
      <c r="G539" s="10"/>
      <c r="H539" s="9"/>
      <c r="I539" s="11"/>
      <c r="J539" s="122"/>
      <c r="K539" s="122"/>
      <c r="L539" s="27"/>
      <c r="M539" s="10"/>
      <c r="N539" s="114">
        <f ca="1">$J$3-J539</f>
        <v>46240.46377638889</v>
      </c>
      <c r="O539" s="10"/>
      <c r="P539" s="39"/>
      <c r="Q539" s="39"/>
      <c r="R539" s="39"/>
      <c r="S539" s="37">
        <f t="shared" si="93"/>
        <v>0</v>
      </c>
      <c r="T539" s="37">
        <f t="shared" si="94"/>
        <v>0</v>
      </c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</row>
    <row r="540" spans="1:31" ht="14.25" customHeight="1">
      <c r="A540" s="277" t="s">
        <v>5018</v>
      </c>
      <c r="B540" s="9" t="s">
        <v>21</v>
      </c>
      <c r="C540" s="9"/>
      <c r="D540" s="9"/>
      <c r="E540" s="90"/>
      <c r="F540" s="9"/>
      <c r="G540" s="10"/>
      <c r="H540" s="9"/>
      <c r="I540" s="11"/>
      <c r="J540" s="12"/>
      <c r="K540" s="12"/>
      <c r="L540" s="52"/>
      <c r="M540" s="10"/>
      <c r="N540" s="9"/>
      <c r="O540" s="11"/>
      <c r="P540" s="39"/>
      <c r="Q540" s="39"/>
      <c r="R540" s="39"/>
      <c r="S540" s="37"/>
      <c r="T540" s="37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</row>
    <row r="541" spans="1:31">
      <c r="A541" s="277" t="s">
        <v>5019</v>
      </c>
      <c r="B541" s="9" t="s">
        <v>21</v>
      </c>
      <c r="C541" s="9"/>
      <c r="D541" s="9"/>
      <c r="E541" s="90"/>
      <c r="F541" s="9"/>
      <c r="G541" s="94" t="s">
        <v>24</v>
      </c>
      <c r="H541" s="95" t="s">
        <v>313</v>
      </c>
      <c r="I541" s="104"/>
      <c r="J541" s="105"/>
      <c r="K541" s="105"/>
      <c r="L541" s="106">
        <f>SUM(L542:L542)</f>
        <v>0</v>
      </c>
      <c r="M541" s="107"/>
      <c r="N541" s="108" t="s">
        <v>26</v>
      </c>
      <c r="O541" s="108"/>
      <c r="P541" s="108"/>
      <c r="Q541" s="108"/>
      <c r="R541" s="108"/>
      <c r="S541" s="106">
        <f>SUM(S542:S542)</f>
        <v>0</v>
      </c>
      <c r="T541" s="106">
        <f>SUM(T542:T542)</f>
        <v>0</v>
      </c>
      <c r="U541" s="10"/>
      <c r="V541" s="52">
        <f>L541-S541</f>
        <v>0</v>
      </c>
      <c r="W541" s="52">
        <f>T541-V541</f>
        <v>0</v>
      </c>
      <c r="X541" s="10"/>
      <c r="Y541" s="10"/>
      <c r="Z541" s="10"/>
      <c r="AA541" s="10"/>
      <c r="AB541" s="10"/>
      <c r="AC541" s="10"/>
      <c r="AD541" s="10"/>
      <c r="AE541" s="10"/>
    </row>
    <row r="542" spans="1:31" ht="14.25" customHeight="1">
      <c r="A542" s="277" t="s">
        <v>5020</v>
      </c>
      <c r="B542" s="9" t="s">
        <v>21</v>
      </c>
      <c r="C542" s="9"/>
      <c r="D542" s="9"/>
      <c r="E542" s="90"/>
      <c r="F542" s="9"/>
      <c r="G542" s="10"/>
      <c r="H542" s="9"/>
      <c r="I542" s="11"/>
      <c r="J542" s="12"/>
      <c r="K542" s="12"/>
      <c r="L542" s="52"/>
      <c r="M542" s="10"/>
      <c r="N542" s="114">
        <f ca="1">$J$3-J542</f>
        <v>46240.46377638889</v>
      </c>
      <c r="O542" s="10"/>
      <c r="P542" s="39"/>
      <c r="Q542" s="39"/>
      <c r="R542" s="39"/>
      <c r="S542" s="37">
        <f>IF(R542="",0,L542)</f>
        <v>0</v>
      </c>
      <c r="T542" s="37">
        <f>L542-S542</f>
        <v>0</v>
      </c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</row>
    <row r="543" spans="1:31" ht="14.25" customHeight="1">
      <c r="A543" s="277" t="s">
        <v>5021</v>
      </c>
      <c r="B543" s="9" t="s">
        <v>21</v>
      </c>
      <c r="C543" s="9"/>
      <c r="D543" s="9"/>
      <c r="E543" s="90"/>
      <c r="F543" s="9"/>
      <c r="G543" s="9"/>
      <c r="H543" s="9"/>
      <c r="I543" s="11"/>
      <c r="J543" s="12"/>
      <c r="K543" s="12"/>
      <c r="L543" s="130"/>
      <c r="M543" s="130"/>
      <c r="N543" s="9"/>
      <c r="O543" s="11"/>
      <c r="P543" s="9"/>
      <c r="Q543" s="9"/>
      <c r="R543" s="9"/>
      <c r="S543" s="9"/>
      <c r="T543" s="9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</row>
    <row r="544" spans="1:31" ht="14.25" customHeight="1">
      <c r="A544" s="277" t="s">
        <v>5022</v>
      </c>
      <c r="B544" s="9" t="s">
        <v>21</v>
      </c>
      <c r="C544" s="9"/>
      <c r="D544" s="9"/>
      <c r="E544" s="90"/>
      <c r="F544" s="9"/>
      <c r="G544" s="94" t="s">
        <v>24</v>
      </c>
      <c r="H544" s="95" t="s">
        <v>314</v>
      </c>
      <c r="I544" s="104"/>
      <c r="J544" s="105"/>
      <c r="K544" s="105"/>
      <c r="L544" s="106">
        <f>SUM(L545:L548)</f>
        <v>777000</v>
      </c>
      <c r="M544" s="107"/>
      <c r="N544" s="108" t="s">
        <v>26</v>
      </c>
      <c r="O544" s="108"/>
      <c r="P544" s="108"/>
      <c r="Q544" s="108"/>
      <c r="R544" s="108"/>
      <c r="S544" s="106">
        <f>SUM(S545:S548)</f>
        <v>777000</v>
      </c>
      <c r="T544" s="106">
        <f>SUM(T545:T548)</f>
        <v>0</v>
      </c>
      <c r="U544" s="10"/>
      <c r="V544" s="52">
        <f>L544-S544</f>
        <v>0</v>
      </c>
      <c r="W544" s="52">
        <f>T544-V544</f>
        <v>0</v>
      </c>
      <c r="X544" s="10"/>
      <c r="Y544" s="10"/>
      <c r="Z544" s="10"/>
      <c r="AA544" s="10"/>
      <c r="AB544" s="10"/>
      <c r="AC544" s="10"/>
      <c r="AD544" s="10"/>
      <c r="AE544" s="10"/>
    </row>
    <row r="545" spans="1:31" ht="14.25" customHeight="1">
      <c r="A545" s="277" t="s">
        <v>5023</v>
      </c>
      <c r="B545" s="9" t="s">
        <v>21</v>
      </c>
      <c r="C545" s="9">
        <v>2024</v>
      </c>
      <c r="D545" s="9" t="s">
        <v>27</v>
      </c>
      <c r="E545" s="90" t="s">
        <v>23</v>
      </c>
      <c r="F545" s="9" t="s">
        <v>7</v>
      </c>
      <c r="G545" s="10"/>
      <c r="H545" s="96">
        <v>242554</v>
      </c>
      <c r="I545" s="109" t="s">
        <v>314</v>
      </c>
      <c r="J545" s="115">
        <v>45650</v>
      </c>
      <c r="K545" s="115">
        <v>45675</v>
      </c>
      <c r="L545" s="131">
        <v>310800</v>
      </c>
      <c r="M545" s="117" t="s">
        <v>315</v>
      </c>
      <c r="N545" s="34" t="s">
        <v>29</v>
      </c>
      <c r="O545" s="125">
        <f>SUM(L545:L546)</f>
        <v>777000</v>
      </c>
      <c r="P545" s="113">
        <v>45783</v>
      </c>
      <c r="Q545" s="113">
        <v>45783</v>
      </c>
      <c r="R545" s="113">
        <v>45783</v>
      </c>
      <c r="S545" s="37">
        <f>IF(R545="",0,L545)</f>
        <v>310800</v>
      </c>
      <c r="T545" s="37">
        <f>L545-S545</f>
        <v>0</v>
      </c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</row>
    <row r="546" spans="1:31" ht="14.25" customHeight="1">
      <c r="A546" s="277" t="s">
        <v>5024</v>
      </c>
      <c r="B546" s="9" t="s">
        <v>21</v>
      </c>
      <c r="C546" s="9">
        <v>2025</v>
      </c>
      <c r="D546" s="9" t="s">
        <v>27</v>
      </c>
      <c r="E546" s="90" t="s">
        <v>23</v>
      </c>
      <c r="F546" s="9" t="s">
        <v>7</v>
      </c>
      <c r="G546" s="10"/>
      <c r="H546" s="96">
        <v>250051</v>
      </c>
      <c r="I546" s="109" t="s">
        <v>314</v>
      </c>
      <c r="J546" s="115">
        <v>45672</v>
      </c>
      <c r="K546" s="115">
        <v>45706</v>
      </c>
      <c r="L546" s="131">
        <v>466200</v>
      </c>
      <c r="M546" s="117" t="s">
        <v>316</v>
      </c>
      <c r="N546" s="34" t="s">
        <v>29</v>
      </c>
      <c r="O546" s="11"/>
      <c r="P546" s="113">
        <v>45783</v>
      </c>
      <c r="Q546" s="113">
        <v>45783</v>
      </c>
      <c r="R546" s="113">
        <v>45783</v>
      </c>
      <c r="S546" s="37">
        <f>IF(R546="",0,L546)</f>
        <v>466200</v>
      </c>
      <c r="T546" s="37">
        <f>L546-S546</f>
        <v>0</v>
      </c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</row>
    <row r="547" spans="1:31" ht="14.25" customHeight="1">
      <c r="A547" s="277" t="s">
        <v>5025</v>
      </c>
      <c r="B547" s="9" t="s">
        <v>21</v>
      </c>
      <c r="C547" s="9"/>
      <c r="D547" s="9"/>
      <c r="E547" s="90"/>
      <c r="F547" s="9"/>
      <c r="G547" s="10"/>
      <c r="H547" s="9"/>
      <c r="I547" s="11"/>
      <c r="J547" s="12"/>
      <c r="K547" s="12"/>
      <c r="L547" s="52"/>
      <c r="M547" s="10"/>
      <c r="N547" s="114">
        <f ca="1">$J$3-J547</f>
        <v>46240.46377638889</v>
      </c>
      <c r="O547" s="52"/>
      <c r="P547" s="39"/>
      <c r="Q547" s="49"/>
      <c r="R547" s="49"/>
      <c r="S547" s="37">
        <f>IF(R547="",0,L547)</f>
        <v>0</v>
      </c>
      <c r="T547" s="37">
        <f>L547-S547</f>
        <v>0</v>
      </c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</row>
    <row r="548" spans="1:31" ht="14.25" customHeight="1">
      <c r="A548" s="277" t="s">
        <v>5026</v>
      </c>
      <c r="B548" s="9" t="s">
        <v>21</v>
      </c>
      <c r="C548" s="9"/>
      <c r="D548" s="9"/>
      <c r="E548" s="90"/>
      <c r="F548" s="9"/>
      <c r="G548" s="10"/>
      <c r="H548" s="9"/>
      <c r="I548" s="11"/>
      <c r="J548" s="12"/>
      <c r="K548" s="12"/>
      <c r="L548" s="52"/>
      <c r="M548" s="10"/>
      <c r="N548" s="9"/>
      <c r="O548" s="11"/>
      <c r="P548" s="39"/>
      <c r="Q548" s="39"/>
      <c r="R548" s="39"/>
      <c r="S548" s="37"/>
      <c r="T548" s="37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</row>
    <row r="549" spans="1:31" ht="13.5" customHeight="1">
      <c r="A549" s="277" t="s">
        <v>5027</v>
      </c>
      <c r="B549" s="9" t="s">
        <v>21</v>
      </c>
      <c r="C549" s="9"/>
      <c r="D549" s="9"/>
      <c r="E549" s="90"/>
      <c r="F549" s="9"/>
      <c r="G549" s="94" t="s">
        <v>24</v>
      </c>
      <c r="H549" s="95" t="s">
        <v>317</v>
      </c>
      <c r="I549" s="104"/>
      <c r="J549" s="105"/>
      <c r="K549" s="105"/>
      <c r="L549" s="106">
        <f>SUM(L550:L609)</f>
        <v>115791234</v>
      </c>
      <c r="M549" s="107"/>
      <c r="N549" s="108" t="s">
        <v>26</v>
      </c>
      <c r="O549" s="108"/>
      <c r="P549" s="108"/>
      <c r="Q549" s="108"/>
      <c r="R549" s="108"/>
      <c r="S549" s="106">
        <f>SUM(S550:S609)</f>
        <v>111755239</v>
      </c>
      <c r="T549" s="106">
        <f>SUM(T550:T609)</f>
        <v>4035995</v>
      </c>
      <c r="U549" s="10"/>
      <c r="V549" s="52">
        <f>L549-S549</f>
        <v>4035995</v>
      </c>
      <c r="W549" s="52">
        <f>T549-V549</f>
        <v>0</v>
      </c>
      <c r="X549" s="10"/>
      <c r="Y549" s="10"/>
      <c r="Z549" s="10"/>
      <c r="AA549" s="10"/>
      <c r="AB549" s="10"/>
      <c r="AC549" s="10"/>
      <c r="AD549" s="10"/>
      <c r="AE549" s="10"/>
    </row>
    <row r="550" spans="1:31" ht="14.25" hidden="1" customHeight="1">
      <c r="A550" s="277" t="s">
        <v>5028</v>
      </c>
      <c r="B550" s="9" t="s">
        <v>21</v>
      </c>
      <c r="C550" s="9">
        <v>2025</v>
      </c>
      <c r="D550" s="9" t="s">
        <v>27</v>
      </c>
      <c r="E550" s="90" t="s">
        <v>23</v>
      </c>
      <c r="F550" s="9" t="s">
        <v>7</v>
      </c>
      <c r="G550" s="10"/>
      <c r="H550" s="96">
        <v>250028</v>
      </c>
      <c r="I550" s="109" t="s">
        <v>319</v>
      </c>
      <c r="J550" s="115">
        <v>45660</v>
      </c>
      <c r="K550" s="119">
        <v>45692</v>
      </c>
      <c r="L550" s="116">
        <v>6569153</v>
      </c>
      <c r="M550" s="117" t="s">
        <v>320</v>
      </c>
      <c r="N550" s="34" t="s">
        <v>29</v>
      </c>
      <c r="O550" s="31">
        <f>SUM(L550:L562)</f>
        <v>21261338</v>
      </c>
      <c r="P550" s="113">
        <v>45812</v>
      </c>
      <c r="Q550" s="113">
        <v>45812</v>
      </c>
      <c r="R550" s="113">
        <v>45812</v>
      </c>
      <c r="S550" s="37">
        <f t="shared" ref="S550:S556" si="100">IF(R550="",0,L550)</f>
        <v>6569153</v>
      </c>
      <c r="T550" s="37">
        <f t="shared" ref="T550:T556" si="101">L550-S550</f>
        <v>0</v>
      </c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</row>
    <row r="551" spans="1:31" ht="14.25" hidden="1" customHeight="1">
      <c r="A551" s="277" t="s">
        <v>5029</v>
      </c>
      <c r="B551" s="9" t="s">
        <v>21</v>
      </c>
      <c r="C551" s="9">
        <v>2025</v>
      </c>
      <c r="D551" s="9" t="s">
        <v>27</v>
      </c>
      <c r="E551" s="90" t="s">
        <v>23</v>
      </c>
      <c r="F551" s="9" t="s">
        <v>7</v>
      </c>
      <c r="G551" s="10"/>
      <c r="H551" s="96">
        <v>250029</v>
      </c>
      <c r="I551" s="109" t="s">
        <v>319</v>
      </c>
      <c r="J551" s="115">
        <v>45665</v>
      </c>
      <c r="K551" s="119">
        <v>45692</v>
      </c>
      <c r="L551" s="116">
        <v>300978</v>
      </c>
      <c r="M551" s="117" t="s">
        <v>321</v>
      </c>
      <c r="N551" s="34" t="s">
        <v>29</v>
      </c>
      <c r="O551" s="11"/>
      <c r="P551" s="113">
        <v>45812</v>
      </c>
      <c r="Q551" s="113">
        <v>45812</v>
      </c>
      <c r="R551" s="113">
        <v>45812</v>
      </c>
      <c r="S551" s="37">
        <f t="shared" si="100"/>
        <v>300978</v>
      </c>
      <c r="T551" s="37">
        <f t="shared" si="101"/>
        <v>0</v>
      </c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</row>
    <row r="552" spans="1:31" ht="14.25" hidden="1" customHeight="1">
      <c r="A552" s="277" t="s">
        <v>5030</v>
      </c>
      <c r="B552" s="9" t="s">
        <v>21</v>
      </c>
      <c r="C552" s="9">
        <v>2025</v>
      </c>
      <c r="D552" s="9" t="s">
        <v>27</v>
      </c>
      <c r="E552" s="90" t="s">
        <v>23</v>
      </c>
      <c r="F552" s="9" t="s">
        <v>7</v>
      </c>
      <c r="G552" s="10"/>
      <c r="H552" s="96">
        <v>250030</v>
      </c>
      <c r="I552" s="109" t="s">
        <v>319</v>
      </c>
      <c r="J552" s="115">
        <v>45667</v>
      </c>
      <c r="K552" s="119">
        <v>45692</v>
      </c>
      <c r="L552" s="116">
        <v>483321</v>
      </c>
      <c r="M552" s="117" t="s">
        <v>322</v>
      </c>
      <c r="N552" s="34" t="s">
        <v>29</v>
      </c>
      <c r="O552" s="11"/>
      <c r="P552" s="113">
        <v>45812</v>
      </c>
      <c r="Q552" s="113">
        <v>45812</v>
      </c>
      <c r="R552" s="113">
        <v>45812</v>
      </c>
      <c r="S552" s="37">
        <f t="shared" si="100"/>
        <v>483321</v>
      </c>
      <c r="T552" s="37">
        <f t="shared" si="101"/>
        <v>0</v>
      </c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</row>
    <row r="553" spans="1:31" ht="14.25" hidden="1" customHeight="1">
      <c r="A553" s="277" t="s">
        <v>5031</v>
      </c>
      <c r="B553" s="9" t="s">
        <v>21</v>
      </c>
      <c r="C553" s="9">
        <v>2025</v>
      </c>
      <c r="D553" s="9" t="s">
        <v>27</v>
      </c>
      <c r="E553" s="90" t="s">
        <v>23</v>
      </c>
      <c r="F553" s="9" t="s">
        <v>7</v>
      </c>
      <c r="G553" s="10"/>
      <c r="H553" s="96">
        <v>250057</v>
      </c>
      <c r="I553" s="109" t="s">
        <v>319</v>
      </c>
      <c r="J553" s="115">
        <v>45673</v>
      </c>
      <c r="K553" s="119">
        <v>45692</v>
      </c>
      <c r="L553" s="116">
        <v>3559237</v>
      </c>
      <c r="M553" s="117" t="s">
        <v>323</v>
      </c>
      <c r="N553" s="34" t="s">
        <v>29</v>
      </c>
      <c r="O553" s="11"/>
      <c r="P553" s="113">
        <v>45812</v>
      </c>
      <c r="Q553" s="113">
        <v>45812</v>
      </c>
      <c r="R553" s="113">
        <v>45812</v>
      </c>
      <c r="S553" s="37">
        <f t="shared" si="100"/>
        <v>3559237</v>
      </c>
      <c r="T553" s="37">
        <f t="shared" si="101"/>
        <v>0</v>
      </c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</row>
    <row r="554" spans="1:31" hidden="1">
      <c r="A554" s="277" t="s">
        <v>5032</v>
      </c>
      <c r="B554" s="9" t="s">
        <v>21</v>
      </c>
      <c r="C554" s="9">
        <v>2025</v>
      </c>
      <c r="D554" s="9" t="s">
        <v>27</v>
      </c>
      <c r="E554" s="90" t="s">
        <v>23</v>
      </c>
      <c r="F554" s="9" t="s">
        <v>7</v>
      </c>
      <c r="G554" s="10"/>
      <c r="H554" s="96">
        <v>250080</v>
      </c>
      <c r="I554" s="109" t="s">
        <v>319</v>
      </c>
      <c r="J554" s="115">
        <v>45677</v>
      </c>
      <c r="K554" s="119">
        <v>45706</v>
      </c>
      <c r="L554" s="116">
        <v>1482272</v>
      </c>
      <c r="M554" s="117" t="s">
        <v>324</v>
      </c>
      <c r="N554" s="34" t="s">
        <v>29</v>
      </c>
      <c r="O554" s="11"/>
      <c r="P554" s="113">
        <v>45812</v>
      </c>
      <c r="Q554" s="113">
        <v>45812</v>
      </c>
      <c r="R554" s="113">
        <v>45812</v>
      </c>
      <c r="S554" s="37">
        <f t="shared" si="100"/>
        <v>1482272</v>
      </c>
      <c r="T554" s="37">
        <f t="shared" si="101"/>
        <v>0</v>
      </c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</row>
    <row r="555" spans="1:31" hidden="1">
      <c r="A555" s="277" t="s">
        <v>5033</v>
      </c>
      <c r="B555" s="9" t="s">
        <v>21</v>
      </c>
      <c r="C555" s="9">
        <v>2025</v>
      </c>
      <c r="D555" s="9" t="s">
        <v>27</v>
      </c>
      <c r="E555" s="90" t="s">
        <v>23</v>
      </c>
      <c r="F555" s="9" t="s">
        <v>7</v>
      </c>
      <c r="G555" s="10"/>
      <c r="H555" s="96">
        <v>250096</v>
      </c>
      <c r="I555" s="109" t="s">
        <v>319</v>
      </c>
      <c r="J555" s="115">
        <v>45679</v>
      </c>
      <c r="K555" s="119">
        <v>45706</v>
      </c>
      <c r="L555" s="116">
        <v>858660</v>
      </c>
      <c r="M555" s="117" t="s">
        <v>325</v>
      </c>
      <c r="N555" s="34" t="s">
        <v>29</v>
      </c>
      <c r="O555" s="11"/>
      <c r="P555" s="113">
        <v>45812</v>
      </c>
      <c r="Q555" s="113">
        <v>45812</v>
      </c>
      <c r="R555" s="113">
        <v>45812</v>
      </c>
      <c r="S555" s="37">
        <f t="shared" si="100"/>
        <v>858660</v>
      </c>
      <c r="T555" s="37">
        <f t="shared" si="101"/>
        <v>0</v>
      </c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</row>
    <row r="556" spans="1:31" hidden="1">
      <c r="A556" s="277" t="s">
        <v>5034</v>
      </c>
      <c r="B556" s="9" t="s">
        <v>21</v>
      </c>
      <c r="C556" s="9">
        <v>2025</v>
      </c>
      <c r="D556" s="9" t="s">
        <v>27</v>
      </c>
      <c r="E556" s="90" t="s">
        <v>23</v>
      </c>
      <c r="F556" s="9" t="s">
        <v>7</v>
      </c>
      <c r="G556" s="10"/>
      <c r="H556" s="96">
        <v>250138</v>
      </c>
      <c r="I556" s="109" t="s">
        <v>319</v>
      </c>
      <c r="J556" s="115">
        <v>45687</v>
      </c>
      <c r="K556" s="119">
        <v>45706</v>
      </c>
      <c r="L556" s="116">
        <v>1131732</v>
      </c>
      <c r="M556" s="117" t="s">
        <v>326</v>
      </c>
      <c r="N556" s="34" t="s">
        <v>29</v>
      </c>
      <c r="O556" s="11"/>
      <c r="P556" s="113">
        <v>45812</v>
      </c>
      <c r="Q556" s="113">
        <v>45812</v>
      </c>
      <c r="R556" s="113">
        <v>45812</v>
      </c>
      <c r="S556" s="37">
        <f t="shared" si="100"/>
        <v>1131732</v>
      </c>
      <c r="T556" s="37">
        <f t="shared" si="101"/>
        <v>0</v>
      </c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</row>
    <row r="557" spans="1:31" hidden="1">
      <c r="A557" s="277" t="s">
        <v>5035</v>
      </c>
      <c r="B557" s="9" t="s">
        <v>21</v>
      </c>
      <c r="C557" s="9">
        <v>2025</v>
      </c>
      <c r="D557" s="9" t="s">
        <v>27</v>
      </c>
      <c r="E557" s="90" t="s">
        <v>23</v>
      </c>
      <c r="F557" s="9" t="s">
        <v>7</v>
      </c>
      <c r="G557" s="10"/>
      <c r="H557" s="96">
        <v>250186</v>
      </c>
      <c r="I557" s="109" t="s">
        <v>319</v>
      </c>
      <c r="J557" s="115">
        <v>45706</v>
      </c>
      <c r="K557" s="119">
        <v>45734</v>
      </c>
      <c r="L557" s="116">
        <v>1857507</v>
      </c>
      <c r="M557" s="117" t="s">
        <v>327</v>
      </c>
      <c r="N557" s="34" t="s">
        <v>29</v>
      </c>
      <c r="O557" s="11"/>
      <c r="P557" s="113">
        <v>45812</v>
      </c>
      <c r="Q557" s="113">
        <v>45812</v>
      </c>
      <c r="R557" s="113">
        <v>45812</v>
      </c>
      <c r="S557" s="37">
        <f t="shared" ref="S557:S562" si="102">IF(R557="",0,L557)</f>
        <v>1857507</v>
      </c>
      <c r="T557" s="37">
        <f t="shared" ref="T557:T562" si="103">L557-S557</f>
        <v>0</v>
      </c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</row>
    <row r="558" spans="1:31" hidden="1">
      <c r="A558" s="277" t="s">
        <v>5036</v>
      </c>
      <c r="B558" s="9" t="s">
        <v>21</v>
      </c>
      <c r="C558" s="9">
        <v>2025</v>
      </c>
      <c r="D558" s="9" t="s">
        <v>27</v>
      </c>
      <c r="E558" s="90" t="s">
        <v>23</v>
      </c>
      <c r="F558" s="9" t="s">
        <v>7</v>
      </c>
      <c r="G558" s="10"/>
      <c r="H558" s="96">
        <v>250353</v>
      </c>
      <c r="I558" s="109" t="s">
        <v>319</v>
      </c>
      <c r="J558" s="115">
        <v>45707</v>
      </c>
      <c r="K558" s="119">
        <v>45734</v>
      </c>
      <c r="L558" s="116">
        <v>1803423</v>
      </c>
      <c r="M558" s="117" t="s">
        <v>328</v>
      </c>
      <c r="N558" s="34" t="s">
        <v>29</v>
      </c>
      <c r="O558" s="11"/>
      <c r="P558" s="113">
        <v>45812</v>
      </c>
      <c r="Q558" s="113">
        <v>45812</v>
      </c>
      <c r="R558" s="113">
        <v>45812</v>
      </c>
      <c r="S558" s="37">
        <f t="shared" si="102"/>
        <v>1803423</v>
      </c>
      <c r="T558" s="37">
        <f t="shared" si="103"/>
        <v>0</v>
      </c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</row>
    <row r="559" spans="1:31" hidden="1">
      <c r="A559" s="277" t="s">
        <v>5037</v>
      </c>
      <c r="B559" s="9" t="s">
        <v>21</v>
      </c>
      <c r="C559" s="9">
        <v>2025</v>
      </c>
      <c r="D559" s="9" t="s">
        <v>27</v>
      </c>
      <c r="E559" s="90" t="s">
        <v>23</v>
      </c>
      <c r="F559" s="9" t="s">
        <v>7</v>
      </c>
      <c r="G559" s="10"/>
      <c r="H559" s="96">
        <v>250297</v>
      </c>
      <c r="I559" s="109" t="s">
        <v>319</v>
      </c>
      <c r="J559" s="115">
        <v>45713</v>
      </c>
      <c r="K559" s="119">
        <v>45734</v>
      </c>
      <c r="L559" s="116">
        <v>512072</v>
      </c>
      <c r="M559" s="117" t="s">
        <v>329</v>
      </c>
      <c r="N559" s="34" t="s">
        <v>29</v>
      </c>
      <c r="O559" s="11"/>
      <c r="P559" s="113">
        <v>45812</v>
      </c>
      <c r="Q559" s="113">
        <v>45812</v>
      </c>
      <c r="R559" s="113">
        <v>45812</v>
      </c>
      <c r="S559" s="37">
        <f t="shared" si="102"/>
        <v>512072</v>
      </c>
      <c r="T559" s="37">
        <f t="shared" si="103"/>
        <v>0</v>
      </c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</row>
    <row r="560" spans="1:31" hidden="1">
      <c r="A560" s="277" t="s">
        <v>5038</v>
      </c>
      <c r="B560" s="9" t="s">
        <v>21</v>
      </c>
      <c r="C560" s="9">
        <v>2025</v>
      </c>
      <c r="D560" s="9" t="s">
        <v>27</v>
      </c>
      <c r="E560" s="90" t="s">
        <v>23</v>
      </c>
      <c r="F560" s="9" t="s">
        <v>7</v>
      </c>
      <c r="G560" s="10"/>
      <c r="H560" s="96">
        <v>250296</v>
      </c>
      <c r="I560" s="109" t="s">
        <v>319</v>
      </c>
      <c r="J560" s="115">
        <v>45722</v>
      </c>
      <c r="K560" s="119">
        <v>45783</v>
      </c>
      <c r="L560" s="116">
        <v>321737</v>
      </c>
      <c r="M560" s="117" t="s">
        <v>330</v>
      </c>
      <c r="N560" s="34" t="s">
        <v>29</v>
      </c>
      <c r="O560" s="11"/>
      <c r="P560" s="113">
        <v>45812</v>
      </c>
      <c r="Q560" s="113">
        <v>45812</v>
      </c>
      <c r="R560" s="113">
        <v>45812</v>
      </c>
      <c r="S560" s="37">
        <f t="shared" si="102"/>
        <v>321737</v>
      </c>
      <c r="T560" s="37">
        <f t="shared" si="103"/>
        <v>0</v>
      </c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</row>
    <row r="561" spans="1:31" hidden="1">
      <c r="A561" s="277" t="s">
        <v>5039</v>
      </c>
      <c r="B561" s="9" t="s">
        <v>21</v>
      </c>
      <c r="C561" s="9">
        <v>2025</v>
      </c>
      <c r="D561" s="9" t="s">
        <v>27</v>
      </c>
      <c r="E561" s="90" t="s">
        <v>23</v>
      </c>
      <c r="F561" s="9" t="s">
        <v>7</v>
      </c>
      <c r="G561" s="10"/>
      <c r="H561" s="96">
        <v>250295</v>
      </c>
      <c r="I561" s="109" t="s">
        <v>319</v>
      </c>
      <c r="J561" s="115">
        <v>45722</v>
      </c>
      <c r="K561" s="119">
        <v>45783</v>
      </c>
      <c r="L561" s="116">
        <v>577422</v>
      </c>
      <c r="M561" s="117" t="s">
        <v>331</v>
      </c>
      <c r="N561" s="34" t="s">
        <v>29</v>
      </c>
      <c r="O561" s="11"/>
      <c r="P561" s="113">
        <v>45812</v>
      </c>
      <c r="Q561" s="113">
        <v>45812</v>
      </c>
      <c r="R561" s="113">
        <v>45812</v>
      </c>
      <c r="S561" s="37">
        <f t="shared" si="102"/>
        <v>577422</v>
      </c>
      <c r="T561" s="37">
        <f t="shared" si="103"/>
        <v>0</v>
      </c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</row>
    <row r="562" spans="1:31" ht="14.25" hidden="1" customHeight="1">
      <c r="A562" s="277" t="s">
        <v>5040</v>
      </c>
      <c r="B562" s="9" t="s">
        <v>21</v>
      </c>
      <c r="C562" s="9">
        <v>2025</v>
      </c>
      <c r="D562" s="9" t="s">
        <v>27</v>
      </c>
      <c r="E562" s="90" t="s">
        <v>23</v>
      </c>
      <c r="F562" s="9" t="s">
        <v>7</v>
      </c>
      <c r="G562" s="10"/>
      <c r="H562" s="96">
        <v>250353</v>
      </c>
      <c r="I562" s="109" t="s">
        <v>319</v>
      </c>
      <c r="J562" s="115">
        <v>45735</v>
      </c>
      <c r="K562" s="119">
        <v>45783</v>
      </c>
      <c r="L562" s="116">
        <v>1803824</v>
      </c>
      <c r="M562" s="117" t="s">
        <v>332</v>
      </c>
      <c r="N562" s="34" t="s">
        <v>29</v>
      </c>
      <c r="O562" s="11"/>
      <c r="P562" s="113">
        <v>45812</v>
      </c>
      <c r="Q562" s="113">
        <v>45812</v>
      </c>
      <c r="R562" s="113">
        <v>45812</v>
      </c>
      <c r="S562" s="37">
        <f t="shared" si="102"/>
        <v>1803824</v>
      </c>
      <c r="T562" s="37">
        <f t="shared" si="103"/>
        <v>0</v>
      </c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</row>
    <row r="563" spans="1:31" ht="14.25" hidden="1" customHeight="1">
      <c r="A563" s="277" t="s">
        <v>5041</v>
      </c>
      <c r="B563" s="9" t="s">
        <v>21</v>
      </c>
      <c r="C563" s="9">
        <v>2025</v>
      </c>
      <c r="D563" s="9" t="s">
        <v>27</v>
      </c>
      <c r="E563" s="90" t="s">
        <v>23</v>
      </c>
      <c r="F563" s="9" t="s">
        <v>7</v>
      </c>
      <c r="G563" s="10"/>
      <c r="H563" s="96">
        <v>250298</v>
      </c>
      <c r="I563" s="109" t="s">
        <v>319</v>
      </c>
      <c r="J563" s="115">
        <v>45719</v>
      </c>
      <c r="K563" s="119">
        <v>45785</v>
      </c>
      <c r="L563" s="116">
        <v>2015327</v>
      </c>
      <c r="M563" s="117" t="s">
        <v>333</v>
      </c>
      <c r="N563" s="34" t="s">
        <v>29</v>
      </c>
      <c r="O563" s="31">
        <f>SUM(L563:L576)</f>
        <v>31204498</v>
      </c>
      <c r="P563" s="113">
        <v>45890</v>
      </c>
      <c r="Q563" s="113">
        <v>45890</v>
      </c>
      <c r="R563" s="113">
        <v>45890</v>
      </c>
      <c r="S563" s="37">
        <f t="shared" ref="S563:S577" si="104">IF(R563="",0,L563)</f>
        <v>2015327</v>
      </c>
      <c r="T563" s="37">
        <f t="shared" ref="T563:T577" si="105">L563-S563</f>
        <v>0</v>
      </c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</row>
    <row r="564" spans="1:31" ht="14.25" hidden="1" customHeight="1">
      <c r="A564" s="277" t="s">
        <v>5042</v>
      </c>
      <c r="B564" s="9" t="s">
        <v>21</v>
      </c>
      <c r="C564" s="9">
        <v>2025</v>
      </c>
      <c r="D564" s="9" t="s">
        <v>27</v>
      </c>
      <c r="E564" s="90" t="s">
        <v>23</v>
      </c>
      <c r="F564" s="9" t="s">
        <v>7</v>
      </c>
      <c r="G564" s="10"/>
      <c r="H564" s="96">
        <v>250280</v>
      </c>
      <c r="I564" s="109" t="s">
        <v>319</v>
      </c>
      <c r="J564" s="115">
        <v>45721</v>
      </c>
      <c r="K564" s="119">
        <v>45785</v>
      </c>
      <c r="L564" s="116">
        <v>419814</v>
      </c>
      <c r="M564" s="117" t="s">
        <v>334</v>
      </c>
      <c r="N564" s="34" t="s">
        <v>29</v>
      </c>
      <c r="O564" s="11"/>
      <c r="P564" s="113">
        <v>45890</v>
      </c>
      <c r="Q564" s="113">
        <v>45890</v>
      </c>
      <c r="R564" s="113">
        <v>45890</v>
      </c>
      <c r="S564" s="37">
        <f t="shared" si="104"/>
        <v>419814</v>
      </c>
      <c r="T564" s="37">
        <f t="shared" si="105"/>
        <v>0</v>
      </c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</row>
    <row r="565" spans="1:31" ht="14.25" hidden="1" customHeight="1">
      <c r="A565" s="277" t="s">
        <v>5043</v>
      </c>
      <c r="B565" s="9" t="s">
        <v>21</v>
      </c>
      <c r="C565" s="9">
        <v>2025</v>
      </c>
      <c r="D565" s="9" t="s">
        <v>27</v>
      </c>
      <c r="E565" s="90" t="s">
        <v>23</v>
      </c>
      <c r="F565" s="9" t="s">
        <v>7</v>
      </c>
      <c r="G565" s="10"/>
      <c r="H565" s="96">
        <v>250381</v>
      </c>
      <c r="I565" s="109" t="s">
        <v>319</v>
      </c>
      <c r="J565" s="115">
        <v>45736</v>
      </c>
      <c r="K565" s="119">
        <v>45805</v>
      </c>
      <c r="L565" s="116">
        <v>470001</v>
      </c>
      <c r="M565" s="117" t="s">
        <v>335</v>
      </c>
      <c r="N565" s="34" t="s">
        <v>29</v>
      </c>
      <c r="O565" s="11"/>
      <c r="P565" s="113">
        <v>45890</v>
      </c>
      <c r="Q565" s="113">
        <v>45890</v>
      </c>
      <c r="R565" s="113">
        <v>45890</v>
      </c>
      <c r="S565" s="37">
        <f t="shared" si="104"/>
        <v>470001</v>
      </c>
      <c r="T565" s="37">
        <f t="shared" si="105"/>
        <v>0</v>
      </c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</row>
    <row r="566" spans="1:31" ht="14.25" hidden="1" customHeight="1">
      <c r="A566" s="277" t="s">
        <v>5044</v>
      </c>
      <c r="B566" s="9" t="s">
        <v>21</v>
      </c>
      <c r="C566" s="9">
        <v>2025</v>
      </c>
      <c r="D566" s="9" t="s">
        <v>27</v>
      </c>
      <c r="E566" s="90" t="s">
        <v>23</v>
      </c>
      <c r="F566" s="9" t="s">
        <v>7</v>
      </c>
      <c r="G566" s="10"/>
      <c r="H566" s="96">
        <v>250371</v>
      </c>
      <c r="I566" s="109" t="s">
        <v>319</v>
      </c>
      <c r="J566" s="115">
        <v>45742</v>
      </c>
      <c r="K566" s="119">
        <v>45783</v>
      </c>
      <c r="L566" s="116">
        <v>4909066</v>
      </c>
      <c r="M566" s="117" t="s">
        <v>336</v>
      </c>
      <c r="N566" s="34" t="s">
        <v>29</v>
      </c>
      <c r="O566" s="11"/>
      <c r="P566" s="113">
        <v>45890</v>
      </c>
      <c r="Q566" s="113">
        <v>45890</v>
      </c>
      <c r="R566" s="113">
        <v>45890</v>
      </c>
      <c r="S566" s="37">
        <f t="shared" si="104"/>
        <v>4909066</v>
      </c>
      <c r="T566" s="37">
        <f t="shared" si="105"/>
        <v>0</v>
      </c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</row>
    <row r="567" spans="1:31" ht="14.25" hidden="1" customHeight="1">
      <c r="A567" s="277" t="s">
        <v>5045</v>
      </c>
      <c r="B567" s="9" t="s">
        <v>21</v>
      </c>
      <c r="C567" s="9">
        <v>2025</v>
      </c>
      <c r="D567" s="9" t="s">
        <v>27</v>
      </c>
      <c r="E567" s="90" t="s">
        <v>23</v>
      </c>
      <c r="F567" s="9" t="s">
        <v>7</v>
      </c>
      <c r="G567" s="10"/>
      <c r="H567" s="96">
        <v>250377</v>
      </c>
      <c r="I567" s="109" t="s">
        <v>319</v>
      </c>
      <c r="J567" s="115">
        <v>45742</v>
      </c>
      <c r="K567" s="119">
        <v>45783</v>
      </c>
      <c r="L567" s="116">
        <v>121405</v>
      </c>
      <c r="M567" s="117" t="s">
        <v>337</v>
      </c>
      <c r="N567" s="34" t="s">
        <v>29</v>
      </c>
      <c r="O567" s="11"/>
      <c r="P567" s="113">
        <v>45890</v>
      </c>
      <c r="Q567" s="113">
        <v>45890</v>
      </c>
      <c r="R567" s="113">
        <v>45890</v>
      </c>
      <c r="S567" s="37">
        <f t="shared" si="104"/>
        <v>121405</v>
      </c>
      <c r="T567" s="37">
        <f t="shared" si="105"/>
        <v>0</v>
      </c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</row>
    <row r="568" spans="1:31" ht="14.25" hidden="1" customHeight="1">
      <c r="A568" s="277" t="s">
        <v>5046</v>
      </c>
      <c r="B568" s="9" t="s">
        <v>21</v>
      </c>
      <c r="C568" s="9">
        <v>2025</v>
      </c>
      <c r="D568" s="9" t="s">
        <v>27</v>
      </c>
      <c r="E568" s="90" t="s">
        <v>23</v>
      </c>
      <c r="F568" s="9" t="s">
        <v>7</v>
      </c>
      <c r="G568" s="10"/>
      <c r="H568" s="96">
        <v>250372</v>
      </c>
      <c r="I568" s="109" t="s">
        <v>319</v>
      </c>
      <c r="J568" s="115">
        <v>45742</v>
      </c>
      <c r="K568" s="119">
        <v>45783</v>
      </c>
      <c r="L568" s="116">
        <v>1013855</v>
      </c>
      <c r="M568" s="117" t="s">
        <v>338</v>
      </c>
      <c r="N568" s="34" t="s">
        <v>29</v>
      </c>
      <c r="O568" s="11"/>
      <c r="P568" s="113">
        <v>45890</v>
      </c>
      <c r="Q568" s="113">
        <v>45890</v>
      </c>
      <c r="R568" s="113">
        <v>45890</v>
      </c>
      <c r="S568" s="37">
        <f t="shared" si="104"/>
        <v>1013855</v>
      </c>
      <c r="T568" s="37">
        <f t="shared" si="105"/>
        <v>0</v>
      </c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</row>
    <row r="569" spans="1:31" ht="14.25" hidden="1" customHeight="1">
      <c r="A569" s="277" t="s">
        <v>5047</v>
      </c>
      <c r="B569" s="9" t="s">
        <v>21</v>
      </c>
      <c r="C569" s="9">
        <v>2025</v>
      </c>
      <c r="D569" s="9" t="s">
        <v>27</v>
      </c>
      <c r="E569" s="90" t="s">
        <v>23</v>
      </c>
      <c r="F569" s="9" t="s">
        <v>7</v>
      </c>
      <c r="G569" s="10"/>
      <c r="H569" s="96">
        <v>250414</v>
      </c>
      <c r="I569" s="109" t="s">
        <v>319</v>
      </c>
      <c r="J569" s="115">
        <v>45758</v>
      </c>
      <c r="K569" s="119">
        <v>45783</v>
      </c>
      <c r="L569" s="116">
        <v>2451454</v>
      </c>
      <c r="M569" s="117" t="s">
        <v>339</v>
      </c>
      <c r="N569" s="34" t="s">
        <v>29</v>
      </c>
      <c r="O569" s="11"/>
      <c r="P569" s="113">
        <v>45890</v>
      </c>
      <c r="Q569" s="113">
        <v>45890</v>
      </c>
      <c r="R569" s="113">
        <v>45890</v>
      </c>
      <c r="S569" s="37">
        <f t="shared" si="104"/>
        <v>2451454</v>
      </c>
      <c r="T569" s="37">
        <f t="shared" si="105"/>
        <v>0</v>
      </c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</row>
    <row r="570" spans="1:31" ht="14.25" hidden="1" customHeight="1">
      <c r="A570" s="277" t="s">
        <v>5048</v>
      </c>
      <c r="B570" s="9" t="s">
        <v>21</v>
      </c>
      <c r="C570" s="9">
        <v>2025</v>
      </c>
      <c r="D570" s="9" t="s">
        <v>27</v>
      </c>
      <c r="E570" s="90" t="s">
        <v>23</v>
      </c>
      <c r="F570" s="9" t="s">
        <v>7</v>
      </c>
      <c r="G570" s="10"/>
      <c r="H570" s="96">
        <v>250455</v>
      </c>
      <c r="I570" s="109" t="s">
        <v>319</v>
      </c>
      <c r="J570" s="115">
        <v>45766</v>
      </c>
      <c r="K570" s="119">
        <v>45805</v>
      </c>
      <c r="L570" s="116">
        <v>337500</v>
      </c>
      <c r="M570" s="117" t="s">
        <v>340</v>
      </c>
      <c r="N570" s="34" t="s">
        <v>29</v>
      </c>
      <c r="O570" s="11"/>
      <c r="P570" s="113">
        <v>45890</v>
      </c>
      <c r="Q570" s="113">
        <v>45890</v>
      </c>
      <c r="R570" s="113">
        <v>45890</v>
      </c>
      <c r="S570" s="37">
        <f t="shared" si="104"/>
        <v>337500</v>
      </c>
      <c r="T570" s="37">
        <f t="shared" si="105"/>
        <v>0</v>
      </c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</row>
    <row r="571" spans="1:31" ht="14.25" hidden="1" customHeight="1">
      <c r="A571" s="277" t="s">
        <v>5049</v>
      </c>
      <c r="B571" s="9" t="s">
        <v>21</v>
      </c>
      <c r="C571" s="9">
        <v>2025</v>
      </c>
      <c r="D571" s="9" t="s">
        <v>27</v>
      </c>
      <c r="E571" s="90" t="s">
        <v>23</v>
      </c>
      <c r="F571" s="9" t="s">
        <v>7</v>
      </c>
      <c r="G571" s="10"/>
      <c r="H571" s="96">
        <v>250587</v>
      </c>
      <c r="I571" s="109" t="s">
        <v>319</v>
      </c>
      <c r="J571" s="115">
        <v>45813</v>
      </c>
      <c r="K571" s="119">
        <v>45839</v>
      </c>
      <c r="L571" s="116">
        <v>4863701</v>
      </c>
      <c r="M571" s="117" t="s">
        <v>341</v>
      </c>
      <c r="N571" s="34" t="s">
        <v>29</v>
      </c>
      <c r="O571" s="11"/>
      <c r="P571" s="113">
        <v>45890</v>
      </c>
      <c r="Q571" s="113">
        <v>45890</v>
      </c>
      <c r="R571" s="113">
        <v>45890</v>
      </c>
      <c r="S571" s="37">
        <f t="shared" si="104"/>
        <v>4863701</v>
      </c>
      <c r="T571" s="37">
        <f t="shared" si="105"/>
        <v>0</v>
      </c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</row>
    <row r="572" spans="1:31" ht="14.25" hidden="1" customHeight="1">
      <c r="A572" s="277" t="s">
        <v>5050</v>
      </c>
      <c r="B572" s="9" t="s">
        <v>21</v>
      </c>
      <c r="C572" s="9">
        <v>2025</v>
      </c>
      <c r="D572" s="9" t="s">
        <v>27</v>
      </c>
      <c r="E572" s="90" t="s">
        <v>23</v>
      </c>
      <c r="F572" s="9" t="s">
        <v>7</v>
      </c>
      <c r="G572" s="10"/>
      <c r="H572" s="96">
        <v>250593</v>
      </c>
      <c r="I572" s="109" t="s">
        <v>319</v>
      </c>
      <c r="J572" s="115">
        <v>45817</v>
      </c>
      <c r="K572" s="119">
        <v>45853</v>
      </c>
      <c r="L572" s="116">
        <v>3523644</v>
      </c>
      <c r="M572" s="117" t="s">
        <v>342</v>
      </c>
      <c r="N572" s="34" t="s">
        <v>29</v>
      </c>
      <c r="O572" s="11"/>
      <c r="P572" s="113">
        <v>45890</v>
      </c>
      <c r="Q572" s="113">
        <v>45890</v>
      </c>
      <c r="R572" s="113">
        <v>45890</v>
      </c>
      <c r="S572" s="37">
        <f t="shared" si="104"/>
        <v>3523644</v>
      </c>
      <c r="T572" s="37">
        <f t="shared" si="105"/>
        <v>0</v>
      </c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</row>
    <row r="573" spans="1:31" ht="14.25" hidden="1" customHeight="1">
      <c r="A573" s="277" t="s">
        <v>5051</v>
      </c>
      <c r="B573" s="9" t="s">
        <v>21</v>
      </c>
      <c r="C573" s="9">
        <v>2025</v>
      </c>
      <c r="D573" s="9" t="s">
        <v>27</v>
      </c>
      <c r="E573" s="90" t="s">
        <v>23</v>
      </c>
      <c r="F573" s="9" t="s">
        <v>7</v>
      </c>
      <c r="G573" s="10"/>
      <c r="H573" s="96">
        <v>250597</v>
      </c>
      <c r="I573" s="109" t="s">
        <v>319</v>
      </c>
      <c r="J573" s="115">
        <v>45819</v>
      </c>
      <c r="K573" s="119">
        <v>45853</v>
      </c>
      <c r="L573" s="116">
        <v>6636450</v>
      </c>
      <c r="M573" s="117" t="s">
        <v>343</v>
      </c>
      <c r="N573" s="34" t="s">
        <v>29</v>
      </c>
      <c r="O573" s="11"/>
      <c r="P573" s="113">
        <v>45890</v>
      </c>
      <c r="Q573" s="113">
        <v>45890</v>
      </c>
      <c r="R573" s="113">
        <v>45890</v>
      </c>
      <c r="S573" s="37">
        <f t="shared" si="104"/>
        <v>6636450</v>
      </c>
      <c r="T573" s="37">
        <f t="shared" si="105"/>
        <v>0</v>
      </c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</row>
    <row r="574" spans="1:31" ht="14.25" hidden="1" customHeight="1">
      <c r="A574" s="277" t="s">
        <v>5052</v>
      </c>
      <c r="B574" s="9" t="s">
        <v>21</v>
      </c>
      <c r="C574" s="9">
        <v>2025</v>
      </c>
      <c r="D574" s="9" t="s">
        <v>27</v>
      </c>
      <c r="E574" s="90" t="s">
        <v>23</v>
      </c>
      <c r="F574" s="9" t="s">
        <v>7</v>
      </c>
      <c r="G574" s="10"/>
      <c r="H574" s="96">
        <v>250621</v>
      </c>
      <c r="I574" s="109" t="s">
        <v>319</v>
      </c>
      <c r="J574" s="115">
        <v>45828</v>
      </c>
      <c r="K574" s="119">
        <v>45846</v>
      </c>
      <c r="L574" s="116">
        <v>555000</v>
      </c>
      <c r="M574" s="117" t="s">
        <v>344</v>
      </c>
      <c r="N574" s="34" t="s">
        <v>29</v>
      </c>
      <c r="O574" s="11"/>
      <c r="P574" s="113">
        <v>45890</v>
      </c>
      <c r="Q574" s="113">
        <v>45890</v>
      </c>
      <c r="R574" s="113">
        <v>45890</v>
      </c>
      <c r="S574" s="37">
        <f t="shared" si="104"/>
        <v>555000</v>
      </c>
      <c r="T574" s="37">
        <f t="shared" si="105"/>
        <v>0</v>
      </c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</row>
    <row r="575" spans="1:31" ht="14.25" hidden="1" customHeight="1">
      <c r="A575" s="277" t="s">
        <v>5053</v>
      </c>
      <c r="B575" s="9" t="s">
        <v>21</v>
      </c>
      <c r="C575" s="9">
        <v>2025</v>
      </c>
      <c r="D575" s="9" t="s">
        <v>27</v>
      </c>
      <c r="E575" s="90" t="s">
        <v>23</v>
      </c>
      <c r="F575" s="9" t="s">
        <v>7</v>
      </c>
      <c r="G575" s="10"/>
      <c r="H575" s="96">
        <v>250616</v>
      </c>
      <c r="I575" s="109" t="s">
        <v>319</v>
      </c>
      <c r="J575" s="115">
        <v>45828</v>
      </c>
      <c r="K575" s="119">
        <v>45853</v>
      </c>
      <c r="L575" s="116">
        <v>3362279</v>
      </c>
      <c r="M575" s="117" t="s">
        <v>345</v>
      </c>
      <c r="N575" s="34" t="s">
        <v>29</v>
      </c>
      <c r="O575" s="11"/>
      <c r="P575" s="113">
        <v>45890</v>
      </c>
      <c r="Q575" s="113">
        <v>45890</v>
      </c>
      <c r="R575" s="113">
        <v>45890</v>
      </c>
      <c r="S575" s="37">
        <f t="shared" si="104"/>
        <v>3362279</v>
      </c>
      <c r="T575" s="37">
        <f t="shared" si="105"/>
        <v>0</v>
      </c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</row>
    <row r="576" spans="1:31" ht="14.25" hidden="1" customHeight="1">
      <c r="A576" s="277" t="s">
        <v>5054</v>
      </c>
      <c r="B576" s="9" t="s">
        <v>21</v>
      </c>
      <c r="C576" s="9">
        <v>2025</v>
      </c>
      <c r="D576" s="9" t="s">
        <v>27</v>
      </c>
      <c r="E576" s="90" t="s">
        <v>23</v>
      </c>
      <c r="F576" s="9" t="s">
        <v>7</v>
      </c>
      <c r="G576" s="10"/>
      <c r="H576" s="96">
        <v>250628</v>
      </c>
      <c r="I576" s="109" t="s">
        <v>319</v>
      </c>
      <c r="J576" s="115">
        <v>45833</v>
      </c>
      <c r="K576" s="119">
        <v>45846</v>
      </c>
      <c r="L576" s="116">
        <v>525002</v>
      </c>
      <c r="M576" s="117" t="s">
        <v>346</v>
      </c>
      <c r="N576" s="34" t="s">
        <v>29</v>
      </c>
      <c r="O576" s="11"/>
      <c r="P576" s="113">
        <v>45890</v>
      </c>
      <c r="Q576" s="113">
        <v>45890</v>
      </c>
      <c r="R576" s="113">
        <v>45890</v>
      </c>
      <c r="S576" s="37">
        <f t="shared" si="104"/>
        <v>525002</v>
      </c>
      <c r="T576" s="37">
        <f t="shared" si="105"/>
        <v>0</v>
      </c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</row>
    <row r="577" spans="1:31" ht="14.25" hidden="1" customHeight="1">
      <c r="A577" s="277" t="s">
        <v>5055</v>
      </c>
      <c r="B577" s="9" t="s">
        <v>21</v>
      </c>
      <c r="C577" s="9">
        <v>2025</v>
      </c>
      <c r="D577" s="9" t="s">
        <v>27</v>
      </c>
      <c r="E577" s="90" t="s">
        <v>23</v>
      </c>
      <c r="F577" s="9" t="s">
        <v>7</v>
      </c>
      <c r="G577" s="10"/>
      <c r="H577" s="96">
        <v>250699</v>
      </c>
      <c r="I577" s="109" t="s">
        <v>319</v>
      </c>
      <c r="J577" s="115">
        <v>45855</v>
      </c>
      <c r="K577" s="119">
        <v>45874</v>
      </c>
      <c r="L577" s="116">
        <v>8773897</v>
      </c>
      <c r="M577" s="117" t="s">
        <v>347</v>
      </c>
      <c r="N577" s="34" t="s">
        <v>29</v>
      </c>
      <c r="O577" s="31">
        <f>SUM(L577:L584)</f>
        <v>23058279</v>
      </c>
      <c r="P577" s="113">
        <v>45958</v>
      </c>
      <c r="Q577" s="113">
        <v>45958</v>
      </c>
      <c r="R577" s="113">
        <v>45958</v>
      </c>
      <c r="S577" s="37">
        <f t="shared" si="104"/>
        <v>8773897</v>
      </c>
      <c r="T577" s="37">
        <f t="shared" si="105"/>
        <v>0</v>
      </c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</row>
    <row r="578" spans="1:31" ht="14.25" hidden="1" customHeight="1">
      <c r="A578" s="277" t="s">
        <v>5056</v>
      </c>
      <c r="B578" s="9" t="s">
        <v>21</v>
      </c>
      <c r="C578" s="9">
        <v>2025</v>
      </c>
      <c r="D578" s="9" t="s">
        <v>27</v>
      </c>
      <c r="E578" s="90" t="s">
        <v>23</v>
      </c>
      <c r="F578" s="9" t="s">
        <v>7</v>
      </c>
      <c r="G578" s="10"/>
      <c r="H578" s="96">
        <v>250846</v>
      </c>
      <c r="I578" s="109" t="s">
        <v>319</v>
      </c>
      <c r="J578" s="115">
        <v>45891</v>
      </c>
      <c r="K578" s="119">
        <v>45916</v>
      </c>
      <c r="L578" s="116">
        <v>7324046</v>
      </c>
      <c r="M578" s="117" t="s">
        <v>348</v>
      </c>
      <c r="N578" s="34" t="s">
        <v>29</v>
      </c>
      <c r="O578" s="11"/>
      <c r="P578" s="113">
        <v>45958</v>
      </c>
      <c r="Q578" s="113">
        <v>45958</v>
      </c>
      <c r="R578" s="113">
        <v>45958</v>
      </c>
      <c r="S578" s="37">
        <f t="shared" ref="S578:S584" si="106">IF(R578="",0,L578)</f>
        <v>7324046</v>
      </c>
      <c r="T578" s="37">
        <f t="shared" ref="T578:T584" si="107">L578-S578</f>
        <v>0</v>
      </c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</row>
    <row r="579" spans="1:31" ht="14.25" hidden="1" customHeight="1">
      <c r="A579" s="277" t="s">
        <v>5057</v>
      </c>
      <c r="B579" s="9" t="s">
        <v>21</v>
      </c>
      <c r="C579" s="9">
        <v>2025</v>
      </c>
      <c r="D579" s="9" t="s">
        <v>27</v>
      </c>
      <c r="E579" s="90" t="s">
        <v>23</v>
      </c>
      <c r="F579" s="9" t="s">
        <v>7</v>
      </c>
      <c r="G579" s="10"/>
      <c r="H579" s="96">
        <v>250873</v>
      </c>
      <c r="I579" s="109" t="s">
        <v>319</v>
      </c>
      <c r="J579" s="115">
        <v>45897</v>
      </c>
      <c r="K579" s="119">
        <v>45916</v>
      </c>
      <c r="L579" s="116">
        <v>2395502</v>
      </c>
      <c r="M579" s="117" t="s">
        <v>349</v>
      </c>
      <c r="N579" s="34" t="s">
        <v>29</v>
      </c>
      <c r="O579" s="11"/>
      <c r="P579" s="113">
        <v>45958</v>
      </c>
      <c r="Q579" s="113">
        <v>45958</v>
      </c>
      <c r="R579" s="113">
        <v>45958</v>
      </c>
      <c r="S579" s="37">
        <f t="shared" si="106"/>
        <v>2395502</v>
      </c>
      <c r="T579" s="37">
        <f t="shared" si="107"/>
        <v>0</v>
      </c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</row>
    <row r="580" spans="1:31" ht="14.25" hidden="1" customHeight="1">
      <c r="A580" s="277" t="s">
        <v>5058</v>
      </c>
      <c r="B580" s="9" t="s">
        <v>21</v>
      </c>
      <c r="C580" s="9">
        <v>2025</v>
      </c>
      <c r="D580" s="9" t="s">
        <v>27</v>
      </c>
      <c r="E580" s="90" t="s">
        <v>23</v>
      </c>
      <c r="F580" s="9" t="s">
        <v>7</v>
      </c>
      <c r="G580" s="10"/>
      <c r="H580" s="96">
        <v>250847</v>
      </c>
      <c r="I580" s="109" t="s">
        <v>319</v>
      </c>
      <c r="J580" s="115">
        <v>45891</v>
      </c>
      <c r="K580" s="119">
        <v>45916</v>
      </c>
      <c r="L580" s="116">
        <v>2000009</v>
      </c>
      <c r="M580" s="117" t="s">
        <v>350</v>
      </c>
      <c r="N580" s="34" t="s">
        <v>29</v>
      </c>
      <c r="O580" s="11"/>
      <c r="P580" s="113">
        <v>45958</v>
      </c>
      <c r="Q580" s="113">
        <v>45958</v>
      </c>
      <c r="R580" s="113">
        <v>45958</v>
      </c>
      <c r="S580" s="37">
        <f t="shared" si="106"/>
        <v>2000009</v>
      </c>
      <c r="T580" s="37">
        <f t="shared" si="107"/>
        <v>0</v>
      </c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</row>
    <row r="581" spans="1:31" ht="14.25" hidden="1" customHeight="1">
      <c r="A581" s="277" t="s">
        <v>5059</v>
      </c>
      <c r="B581" s="9" t="s">
        <v>21</v>
      </c>
      <c r="C581" s="9">
        <v>2025</v>
      </c>
      <c r="D581" s="9" t="s">
        <v>27</v>
      </c>
      <c r="E581" s="90" t="s">
        <v>23</v>
      </c>
      <c r="F581" s="9" t="s">
        <v>7</v>
      </c>
      <c r="G581" s="10"/>
      <c r="H581" s="96">
        <v>250907</v>
      </c>
      <c r="I581" s="109" t="s">
        <v>319</v>
      </c>
      <c r="J581" s="115">
        <v>45902</v>
      </c>
      <c r="K581" s="119">
        <v>45923</v>
      </c>
      <c r="L581" s="116">
        <v>118498</v>
      </c>
      <c r="M581" s="117" t="s">
        <v>3688</v>
      </c>
      <c r="N581" s="34" t="s">
        <v>29</v>
      </c>
      <c r="O581" s="11"/>
      <c r="P581" s="113">
        <v>45958</v>
      </c>
      <c r="Q581" s="113">
        <v>45958</v>
      </c>
      <c r="R581" s="113">
        <v>45958</v>
      </c>
      <c r="S581" s="37">
        <f t="shared" si="106"/>
        <v>118498</v>
      </c>
      <c r="T581" s="37">
        <f t="shared" si="107"/>
        <v>0</v>
      </c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</row>
    <row r="582" spans="1:31" ht="14.25" hidden="1" customHeight="1">
      <c r="A582" s="277" t="s">
        <v>5060</v>
      </c>
      <c r="B582" s="9" t="s">
        <v>21</v>
      </c>
      <c r="C582" s="9">
        <v>2025</v>
      </c>
      <c r="D582" s="9" t="s">
        <v>27</v>
      </c>
      <c r="E582" s="90" t="s">
        <v>23</v>
      </c>
      <c r="F582" s="9" t="s">
        <v>7</v>
      </c>
      <c r="G582" s="10"/>
      <c r="H582" s="96">
        <v>250906</v>
      </c>
      <c r="I582" s="109" t="s">
        <v>319</v>
      </c>
      <c r="J582" s="115">
        <v>45902</v>
      </c>
      <c r="K582" s="119">
        <v>45923</v>
      </c>
      <c r="L582" s="116">
        <v>1079999</v>
      </c>
      <c r="M582" s="117" t="s">
        <v>3689</v>
      </c>
      <c r="N582" s="34" t="s">
        <v>29</v>
      </c>
      <c r="O582" s="11"/>
      <c r="P582" s="113">
        <v>45958</v>
      </c>
      <c r="Q582" s="113">
        <v>45958</v>
      </c>
      <c r="R582" s="113">
        <v>45958</v>
      </c>
      <c r="S582" s="37">
        <f t="shared" si="106"/>
        <v>1079999</v>
      </c>
      <c r="T582" s="37">
        <f t="shared" si="107"/>
        <v>0</v>
      </c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</row>
    <row r="583" spans="1:31" ht="14.25" hidden="1" customHeight="1">
      <c r="A583" s="277" t="s">
        <v>5061</v>
      </c>
      <c r="B583" s="9" t="s">
        <v>21</v>
      </c>
      <c r="C583" s="9">
        <v>2025</v>
      </c>
      <c r="D583" s="9" t="s">
        <v>27</v>
      </c>
      <c r="E583" s="90" t="s">
        <v>23</v>
      </c>
      <c r="F583" s="9" t="s">
        <v>7</v>
      </c>
      <c r="G583" s="10"/>
      <c r="H583" s="96">
        <v>250916</v>
      </c>
      <c r="I583" s="109" t="s">
        <v>319</v>
      </c>
      <c r="J583" s="115">
        <v>45910</v>
      </c>
      <c r="K583" s="119">
        <v>45932</v>
      </c>
      <c r="L583" s="116">
        <v>1156327</v>
      </c>
      <c r="M583" s="117" t="s">
        <v>3725</v>
      </c>
      <c r="N583" s="34" t="s">
        <v>29</v>
      </c>
      <c r="O583" s="11"/>
      <c r="P583" s="113">
        <v>45958</v>
      </c>
      <c r="Q583" s="113">
        <v>45958</v>
      </c>
      <c r="R583" s="113">
        <v>45958</v>
      </c>
      <c r="S583" s="37">
        <f t="shared" si="106"/>
        <v>1156327</v>
      </c>
      <c r="T583" s="37">
        <f t="shared" si="107"/>
        <v>0</v>
      </c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</row>
    <row r="584" spans="1:31" ht="14.25" hidden="1" customHeight="1">
      <c r="A584" s="277" t="s">
        <v>5062</v>
      </c>
      <c r="B584" s="9" t="s">
        <v>21</v>
      </c>
      <c r="C584" s="9">
        <v>2025</v>
      </c>
      <c r="D584" s="9" t="s">
        <v>27</v>
      </c>
      <c r="E584" s="90" t="s">
        <v>23</v>
      </c>
      <c r="F584" s="9" t="s">
        <v>7</v>
      </c>
      <c r="G584" s="10"/>
      <c r="H584" s="96">
        <v>250933</v>
      </c>
      <c r="I584" s="109" t="s">
        <v>319</v>
      </c>
      <c r="J584" s="115">
        <v>45911</v>
      </c>
      <c r="K584" s="119">
        <v>45932</v>
      </c>
      <c r="L584" s="116">
        <v>210001</v>
      </c>
      <c r="M584" s="117" t="s">
        <v>3726</v>
      </c>
      <c r="N584" s="34" t="s">
        <v>29</v>
      </c>
      <c r="O584" s="11"/>
      <c r="P584" s="113">
        <v>45958</v>
      </c>
      <c r="Q584" s="113">
        <v>45958</v>
      </c>
      <c r="R584" s="113">
        <v>45958</v>
      </c>
      <c r="S584" s="37">
        <f t="shared" si="106"/>
        <v>210001</v>
      </c>
      <c r="T584" s="37">
        <f t="shared" si="107"/>
        <v>0</v>
      </c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</row>
    <row r="585" spans="1:31" ht="14.25" hidden="1" customHeight="1">
      <c r="A585" s="277" t="s">
        <v>5063</v>
      </c>
      <c r="B585" s="9" t="s">
        <v>21</v>
      </c>
      <c r="C585" s="9">
        <v>2025</v>
      </c>
      <c r="D585" s="9" t="s">
        <v>27</v>
      </c>
      <c r="E585" s="90" t="s">
        <v>23</v>
      </c>
      <c r="F585" s="9" t="s">
        <v>7</v>
      </c>
      <c r="G585" s="10"/>
      <c r="H585" s="96">
        <v>251125</v>
      </c>
      <c r="I585" s="109" t="s">
        <v>319</v>
      </c>
      <c r="J585" s="115">
        <v>45960</v>
      </c>
      <c r="K585" s="119">
        <v>45981</v>
      </c>
      <c r="L585" s="116">
        <v>1375013</v>
      </c>
      <c r="M585" s="117" t="s">
        <v>4010</v>
      </c>
      <c r="N585" s="34" t="s">
        <v>29</v>
      </c>
      <c r="O585" s="31">
        <f>SUM(L585:L587)</f>
        <v>10981658</v>
      </c>
      <c r="P585" s="113">
        <v>46088</v>
      </c>
      <c r="Q585" s="113">
        <v>46088</v>
      </c>
      <c r="R585" s="113">
        <v>46088</v>
      </c>
      <c r="S585" s="37">
        <f t="shared" ref="S585:S605" si="108">IF(R585="",0,L585)</f>
        <v>1375013</v>
      </c>
      <c r="T585" s="37">
        <f t="shared" ref="T585:T605" si="109">L585-S585</f>
        <v>0</v>
      </c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</row>
    <row r="586" spans="1:31" ht="14.25" hidden="1" customHeight="1">
      <c r="A586" s="277" t="s">
        <v>5064</v>
      </c>
      <c r="B586" s="9" t="s">
        <v>21</v>
      </c>
      <c r="C586" s="9">
        <v>2025</v>
      </c>
      <c r="D586" s="9" t="s">
        <v>27</v>
      </c>
      <c r="E586" s="90" t="s">
        <v>23</v>
      </c>
      <c r="F586" s="9" t="s">
        <v>7</v>
      </c>
      <c r="G586" s="10"/>
      <c r="H586" s="96">
        <v>251124</v>
      </c>
      <c r="I586" s="109" t="s">
        <v>319</v>
      </c>
      <c r="J586" s="115">
        <v>45960</v>
      </c>
      <c r="K586" s="119">
        <v>45993</v>
      </c>
      <c r="L586" s="116">
        <v>202342</v>
      </c>
      <c r="M586" s="117" t="s">
        <v>4041</v>
      </c>
      <c r="N586" s="34" t="s">
        <v>29</v>
      </c>
      <c r="O586" s="11"/>
      <c r="P586" s="113">
        <v>46088</v>
      </c>
      <c r="Q586" s="113">
        <v>46088</v>
      </c>
      <c r="R586" s="113">
        <v>46088</v>
      </c>
      <c r="S586" s="37">
        <f t="shared" si="108"/>
        <v>202342</v>
      </c>
      <c r="T586" s="37">
        <f t="shared" si="109"/>
        <v>0</v>
      </c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</row>
    <row r="587" spans="1:31" ht="14.25" hidden="1" customHeight="1">
      <c r="A587" s="277" t="s">
        <v>5065</v>
      </c>
      <c r="B587" s="9" t="s">
        <v>21</v>
      </c>
      <c r="C587" s="9">
        <v>2025</v>
      </c>
      <c r="D587" s="9" t="s">
        <v>27</v>
      </c>
      <c r="E587" s="90" t="s">
        <v>23</v>
      </c>
      <c r="F587" s="9" t="s">
        <v>7</v>
      </c>
      <c r="G587" s="10"/>
      <c r="H587" s="96">
        <v>251126</v>
      </c>
      <c r="I587" s="109" t="s">
        <v>319</v>
      </c>
      <c r="J587" s="115">
        <v>45960</v>
      </c>
      <c r="K587" s="119">
        <v>45993</v>
      </c>
      <c r="L587" s="116">
        <v>9404303</v>
      </c>
      <c r="M587" s="117" t="s">
        <v>4042</v>
      </c>
      <c r="N587" s="34" t="s">
        <v>29</v>
      </c>
      <c r="O587" s="11"/>
      <c r="P587" s="113">
        <v>46088</v>
      </c>
      <c r="Q587" s="113">
        <v>46088</v>
      </c>
      <c r="R587" s="113">
        <v>46088</v>
      </c>
      <c r="S587" s="37">
        <f t="shared" si="108"/>
        <v>9404303</v>
      </c>
      <c r="T587" s="37">
        <f t="shared" si="109"/>
        <v>0</v>
      </c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</row>
    <row r="588" spans="1:31" ht="14.25" hidden="1" customHeight="1">
      <c r="A588" s="277" t="s">
        <v>5066</v>
      </c>
      <c r="B588" s="9" t="s">
        <v>21</v>
      </c>
      <c r="C588" s="9">
        <v>2025</v>
      </c>
      <c r="D588" s="9" t="s">
        <v>27</v>
      </c>
      <c r="E588" s="90" t="s">
        <v>23</v>
      </c>
      <c r="F588" s="9" t="s">
        <v>7</v>
      </c>
      <c r="G588" s="10"/>
      <c r="H588" s="96">
        <v>251151</v>
      </c>
      <c r="I588" s="109" t="s">
        <v>319</v>
      </c>
      <c r="J588" s="115">
        <v>45961</v>
      </c>
      <c r="K588" s="119">
        <v>45993</v>
      </c>
      <c r="L588" s="116">
        <v>546769</v>
      </c>
      <c r="M588" s="117" t="s">
        <v>4043</v>
      </c>
      <c r="N588" s="34" t="s">
        <v>29</v>
      </c>
      <c r="O588" s="31">
        <f>SUM(L588:L601)</f>
        <v>16937204</v>
      </c>
      <c r="P588" s="113">
        <v>46181</v>
      </c>
      <c r="Q588" s="113">
        <v>46181</v>
      </c>
      <c r="R588" s="113">
        <v>46181</v>
      </c>
      <c r="S588" s="37">
        <f t="shared" si="108"/>
        <v>546769</v>
      </c>
      <c r="T588" s="37">
        <f t="shared" si="109"/>
        <v>0</v>
      </c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</row>
    <row r="589" spans="1:31" ht="14.25" hidden="1" customHeight="1">
      <c r="A589" s="277" t="s">
        <v>5067</v>
      </c>
      <c r="B589" s="9" t="s">
        <v>21</v>
      </c>
      <c r="C589" s="9">
        <v>2025</v>
      </c>
      <c r="D589" s="9" t="s">
        <v>27</v>
      </c>
      <c r="E589" s="90" t="s">
        <v>23</v>
      </c>
      <c r="F589" s="9" t="s">
        <v>7</v>
      </c>
      <c r="G589" s="10"/>
      <c r="H589" s="96">
        <v>251141</v>
      </c>
      <c r="I589" s="109" t="s">
        <v>319</v>
      </c>
      <c r="J589" s="115">
        <v>45964</v>
      </c>
      <c r="K589" s="119">
        <v>45993</v>
      </c>
      <c r="L589" s="116">
        <v>1367331</v>
      </c>
      <c r="M589" s="117" t="s">
        <v>4044</v>
      </c>
      <c r="N589" s="34" t="s">
        <v>29</v>
      </c>
      <c r="O589" s="11"/>
      <c r="P589" s="113">
        <v>46181</v>
      </c>
      <c r="Q589" s="113">
        <v>46181</v>
      </c>
      <c r="R589" s="113">
        <v>46181</v>
      </c>
      <c r="S589" s="37">
        <f t="shared" si="108"/>
        <v>1367331</v>
      </c>
      <c r="T589" s="37">
        <f t="shared" si="109"/>
        <v>0</v>
      </c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</row>
    <row r="590" spans="1:31" ht="14.25" hidden="1" customHeight="1">
      <c r="A590" s="277" t="s">
        <v>5068</v>
      </c>
      <c r="B590" s="9" t="s">
        <v>21</v>
      </c>
      <c r="C590" s="9">
        <v>2025</v>
      </c>
      <c r="D590" s="9" t="s">
        <v>27</v>
      </c>
      <c r="E590" s="90" t="s">
        <v>23</v>
      </c>
      <c r="F590" s="9" t="s">
        <v>7</v>
      </c>
      <c r="G590" s="10"/>
      <c r="H590" s="96">
        <v>251181</v>
      </c>
      <c r="I590" s="109" t="s">
        <v>319</v>
      </c>
      <c r="J590" s="115">
        <v>45972</v>
      </c>
      <c r="K590" s="119">
        <v>45993</v>
      </c>
      <c r="L590" s="116">
        <v>2300608</v>
      </c>
      <c r="M590" s="117" t="s">
        <v>4045</v>
      </c>
      <c r="N590" s="34" t="s">
        <v>29</v>
      </c>
      <c r="O590" s="11"/>
      <c r="P590" s="113">
        <v>46181</v>
      </c>
      <c r="Q590" s="113">
        <v>46181</v>
      </c>
      <c r="R590" s="113">
        <v>46181</v>
      </c>
      <c r="S590" s="37">
        <f t="shared" si="108"/>
        <v>2300608</v>
      </c>
      <c r="T590" s="37">
        <f t="shared" si="109"/>
        <v>0</v>
      </c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</row>
    <row r="591" spans="1:31" ht="14.25" hidden="1" customHeight="1">
      <c r="A591" s="277" t="s">
        <v>5069</v>
      </c>
      <c r="B591" s="9" t="s">
        <v>21</v>
      </c>
      <c r="C591" s="9">
        <v>2025</v>
      </c>
      <c r="D591" s="9" t="s">
        <v>27</v>
      </c>
      <c r="E591" s="90" t="s">
        <v>23</v>
      </c>
      <c r="F591" s="9" t="s">
        <v>7</v>
      </c>
      <c r="G591" s="10"/>
      <c r="H591" s="96">
        <v>251182</v>
      </c>
      <c r="I591" s="109" t="s">
        <v>319</v>
      </c>
      <c r="J591" s="115">
        <v>45972</v>
      </c>
      <c r="K591" s="119">
        <v>46000</v>
      </c>
      <c r="L591" s="116">
        <v>525002</v>
      </c>
      <c r="M591" s="117" t="s">
        <v>4068</v>
      </c>
      <c r="N591" s="34" t="s">
        <v>29</v>
      </c>
      <c r="O591" s="11"/>
      <c r="P591" s="113">
        <v>46181</v>
      </c>
      <c r="Q591" s="113">
        <v>46181</v>
      </c>
      <c r="R591" s="113">
        <v>46181</v>
      </c>
      <c r="S591" s="37">
        <f t="shared" si="108"/>
        <v>525002</v>
      </c>
      <c r="T591" s="37">
        <f t="shared" si="109"/>
        <v>0</v>
      </c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</row>
    <row r="592" spans="1:31" ht="14.25" hidden="1" customHeight="1">
      <c r="A592" s="277" t="s">
        <v>5070</v>
      </c>
      <c r="B592" s="9" t="s">
        <v>21</v>
      </c>
      <c r="C592" s="9">
        <v>2025</v>
      </c>
      <c r="D592" s="9" t="s">
        <v>27</v>
      </c>
      <c r="E592" s="90" t="s">
        <v>23</v>
      </c>
      <c r="F592" s="9" t="s">
        <v>7</v>
      </c>
      <c r="G592" s="10"/>
      <c r="H592" s="96">
        <v>251184</v>
      </c>
      <c r="I592" s="109" t="s">
        <v>319</v>
      </c>
      <c r="J592" s="115">
        <v>45976</v>
      </c>
      <c r="K592" s="119">
        <v>45993</v>
      </c>
      <c r="L592" s="116">
        <v>1316574</v>
      </c>
      <c r="M592" s="117" t="s">
        <v>4046</v>
      </c>
      <c r="N592" s="34" t="s">
        <v>29</v>
      </c>
      <c r="O592" s="11"/>
      <c r="P592" s="113">
        <v>46181</v>
      </c>
      <c r="Q592" s="113">
        <v>46181</v>
      </c>
      <c r="R592" s="113">
        <v>46181</v>
      </c>
      <c r="S592" s="37">
        <f t="shared" si="108"/>
        <v>1316574</v>
      </c>
      <c r="T592" s="37">
        <f t="shared" si="109"/>
        <v>0</v>
      </c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</row>
    <row r="593" spans="1:31" ht="14.25" hidden="1" customHeight="1">
      <c r="A593" s="277" t="s">
        <v>5071</v>
      </c>
      <c r="B593" s="9" t="s">
        <v>21</v>
      </c>
      <c r="C593" s="9">
        <v>2025</v>
      </c>
      <c r="D593" s="9" t="s">
        <v>27</v>
      </c>
      <c r="E593" s="90" t="s">
        <v>23</v>
      </c>
      <c r="F593" s="9" t="s">
        <v>7</v>
      </c>
      <c r="G593" s="10"/>
      <c r="H593" s="96">
        <v>251207</v>
      </c>
      <c r="I593" s="109" t="s">
        <v>4134</v>
      </c>
      <c r="J593" s="115">
        <v>45989</v>
      </c>
      <c r="K593" s="119">
        <v>46014</v>
      </c>
      <c r="L593" s="116">
        <v>879987</v>
      </c>
      <c r="M593" s="117" t="s">
        <v>4165</v>
      </c>
      <c r="N593" s="34" t="s">
        <v>29</v>
      </c>
      <c r="O593" s="11"/>
      <c r="P593" s="113">
        <v>46181</v>
      </c>
      <c r="Q593" s="113">
        <v>46181</v>
      </c>
      <c r="R593" s="113">
        <v>46181</v>
      </c>
      <c r="S593" s="37">
        <f t="shared" si="108"/>
        <v>879987</v>
      </c>
      <c r="T593" s="37">
        <f t="shared" si="109"/>
        <v>0</v>
      </c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</row>
    <row r="594" spans="1:31" ht="14.25" hidden="1" customHeight="1">
      <c r="A594" s="277" t="s">
        <v>5072</v>
      </c>
      <c r="B594" s="9" t="s">
        <v>21</v>
      </c>
      <c r="C594" s="9">
        <v>2025</v>
      </c>
      <c r="D594" s="9" t="s">
        <v>27</v>
      </c>
      <c r="E594" s="90" t="s">
        <v>23</v>
      </c>
      <c r="F594" s="9" t="s">
        <v>7</v>
      </c>
      <c r="G594" s="10"/>
      <c r="H594" s="96">
        <v>251240</v>
      </c>
      <c r="I594" s="109" t="s">
        <v>4134</v>
      </c>
      <c r="J594" s="115">
        <v>45994</v>
      </c>
      <c r="K594" s="119">
        <v>46014</v>
      </c>
      <c r="L594" s="116">
        <v>740588</v>
      </c>
      <c r="M594" s="117" t="s">
        <v>4166</v>
      </c>
      <c r="N594" s="34" t="s">
        <v>29</v>
      </c>
      <c r="O594" s="11"/>
      <c r="P594" s="113">
        <v>46181</v>
      </c>
      <c r="Q594" s="113">
        <v>46181</v>
      </c>
      <c r="R594" s="113">
        <v>46181</v>
      </c>
      <c r="S594" s="37">
        <f t="shared" si="108"/>
        <v>740588</v>
      </c>
      <c r="T594" s="37">
        <f t="shared" si="109"/>
        <v>0</v>
      </c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</row>
    <row r="595" spans="1:31" ht="14.25" hidden="1" customHeight="1">
      <c r="A595" s="277" t="s">
        <v>5073</v>
      </c>
      <c r="B595" s="9" t="s">
        <v>21</v>
      </c>
      <c r="C595" s="9">
        <v>2025</v>
      </c>
      <c r="D595" s="9" t="s">
        <v>27</v>
      </c>
      <c r="E595" s="90" t="s">
        <v>23</v>
      </c>
      <c r="F595" s="9" t="s">
        <v>7</v>
      </c>
      <c r="G595" s="10"/>
      <c r="H595" s="96">
        <v>251241</v>
      </c>
      <c r="I595" s="109" t="s">
        <v>4134</v>
      </c>
      <c r="J595" s="115">
        <v>45994</v>
      </c>
      <c r="K595" s="119">
        <v>46014</v>
      </c>
      <c r="L595" s="116">
        <v>960001</v>
      </c>
      <c r="M595" s="117" t="s">
        <v>4167</v>
      </c>
      <c r="N595" s="34" t="s">
        <v>29</v>
      </c>
      <c r="O595" s="11"/>
      <c r="P595" s="113">
        <v>46181</v>
      </c>
      <c r="Q595" s="113">
        <v>46181</v>
      </c>
      <c r="R595" s="113">
        <v>46181</v>
      </c>
      <c r="S595" s="37">
        <f t="shared" si="108"/>
        <v>960001</v>
      </c>
      <c r="T595" s="37">
        <f t="shared" si="109"/>
        <v>0</v>
      </c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</row>
    <row r="596" spans="1:31" ht="14.25" hidden="1" customHeight="1">
      <c r="A596" s="277" t="s">
        <v>5074</v>
      </c>
      <c r="B596" s="9" t="s">
        <v>21</v>
      </c>
      <c r="C596" s="9">
        <v>2025</v>
      </c>
      <c r="D596" s="9" t="s">
        <v>27</v>
      </c>
      <c r="E596" s="90" t="s">
        <v>23</v>
      </c>
      <c r="F596" s="9" t="s">
        <v>7</v>
      </c>
      <c r="G596" s="10"/>
      <c r="H596" s="96">
        <v>251245</v>
      </c>
      <c r="I596" s="109" t="s">
        <v>4134</v>
      </c>
      <c r="J596" s="115">
        <v>45996</v>
      </c>
      <c r="K596" s="119">
        <v>46014</v>
      </c>
      <c r="L596" s="116">
        <v>1079999</v>
      </c>
      <c r="M596" s="117" t="s">
        <v>4168</v>
      </c>
      <c r="N596" s="34" t="s">
        <v>29</v>
      </c>
      <c r="O596" s="11"/>
      <c r="P596" s="113">
        <v>46181</v>
      </c>
      <c r="Q596" s="113">
        <v>46181</v>
      </c>
      <c r="R596" s="113">
        <v>46181</v>
      </c>
      <c r="S596" s="37">
        <f t="shared" si="108"/>
        <v>1079999</v>
      </c>
      <c r="T596" s="37">
        <f t="shared" si="109"/>
        <v>0</v>
      </c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</row>
    <row r="597" spans="1:31" ht="14.25" hidden="1" customHeight="1">
      <c r="A597" s="277" t="s">
        <v>5075</v>
      </c>
      <c r="B597" s="9" t="s">
        <v>21</v>
      </c>
      <c r="C597" s="9">
        <v>2025</v>
      </c>
      <c r="D597" s="9" t="s">
        <v>27</v>
      </c>
      <c r="E597" s="90" t="s">
        <v>23</v>
      </c>
      <c r="F597" s="9" t="s">
        <v>7</v>
      </c>
      <c r="G597" s="10"/>
      <c r="H597" s="96">
        <v>251257</v>
      </c>
      <c r="I597" s="109" t="s">
        <v>4134</v>
      </c>
      <c r="J597" s="115">
        <v>46002</v>
      </c>
      <c r="K597" s="119">
        <v>46021</v>
      </c>
      <c r="L597" s="116">
        <v>303996</v>
      </c>
      <c r="M597" s="117" t="s">
        <v>4135</v>
      </c>
      <c r="N597" s="34" t="s">
        <v>29</v>
      </c>
      <c r="O597" s="11"/>
      <c r="P597" s="113">
        <v>46181</v>
      </c>
      <c r="Q597" s="113">
        <v>46181</v>
      </c>
      <c r="R597" s="113">
        <v>46181</v>
      </c>
      <c r="S597" s="37">
        <f t="shared" si="108"/>
        <v>303996</v>
      </c>
      <c r="T597" s="37">
        <f t="shared" si="109"/>
        <v>0</v>
      </c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</row>
    <row r="598" spans="1:31" ht="14.25" hidden="1" customHeight="1">
      <c r="A598" s="277" t="s">
        <v>5076</v>
      </c>
      <c r="B598" s="9" t="s">
        <v>21</v>
      </c>
      <c r="C598" s="9">
        <v>2025</v>
      </c>
      <c r="D598" s="9" t="s">
        <v>27</v>
      </c>
      <c r="E598" s="90" t="s">
        <v>23</v>
      </c>
      <c r="F598" s="9" t="s">
        <v>7</v>
      </c>
      <c r="G598" s="10"/>
      <c r="H598" s="96">
        <v>251291</v>
      </c>
      <c r="I598" s="109" t="s">
        <v>4134</v>
      </c>
      <c r="J598" s="115">
        <v>46015</v>
      </c>
      <c r="K598" s="119">
        <v>46037</v>
      </c>
      <c r="L598" s="116">
        <v>2069998</v>
      </c>
      <c r="M598" s="117" t="s">
        <v>4230</v>
      </c>
      <c r="N598" s="34" t="s">
        <v>29</v>
      </c>
      <c r="O598" s="11"/>
      <c r="P598" s="113">
        <v>46181</v>
      </c>
      <c r="Q598" s="113">
        <v>46181</v>
      </c>
      <c r="R598" s="113">
        <v>46181</v>
      </c>
      <c r="S598" s="37">
        <f t="shared" si="108"/>
        <v>2069998</v>
      </c>
      <c r="T598" s="37">
        <f t="shared" si="109"/>
        <v>0</v>
      </c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</row>
    <row r="599" spans="1:31" ht="14.25" hidden="1" customHeight="1">
      <c r="A599" s="277" t="s">
        <v>5077</v>
      </c>
      <c r="B599" s="9" t="s">
        <v>21</v>
      </c>
      <c r="C599" s="9">
        <v>2025</v>
      </c>
      <c r="D599" s="9" t="s">
        <v>27</v>
      </c>
      <c r="E599" s="90" t="s">
        <v>23</v>
      </c>
      <c r="F599" s="9" t="s">
        <v>7</v>
      </c>
      <c r="G599" s="10"/>
      <c r="H599" s="96">
        <v>251289</v>
      </c>
      <c r="I599" s="109" t="s">
        <v>4134</v>
      </c>
      <c r="J599" s="115">
        <v>46015</v>
      </c>
      <c r="K599" s="119">
        <v>46049</v>
      </c>
      <c r="L599" s="116">
        <v>1576733</v>
      </c>
      <c r="M599" s="117" t="s">
        <v>4278</v>
      </c>
      <c r="N599" s="34" t="s">
        <v>29</v>
      </c>
      <c r="O599" s="11"/>
      <c r="P599" s="113">
        <v>46181</v>
      </c>
      <c r="Q599" s="113">
        <v>46181</v>
      </c>
      <c r="R599" s="113">
        <v>46181</v>
      </c>
      <c r="S599" s="37">
        <f t="shared" si="108"/>
        <v>1576733</v>
      </c>
      <c r="T599" s="37">
        <f t="shared" si="109"/>
        <v>0</v>
      </c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</row>
    <row r="600" spans="1:31" ht="14.25" hidden="1" customHeight="1">
      <c r="A600" s="277" t="s">
        <v>5078</v>
      </c>
      <c r="B600" s="9" t="s">
        <v>21</v>
      </c>
      <c r="C600" s="9">
        <v>2025</v>
      </c>
      <c r="D600" s="9" t="s">
        <v>27</v>
      </c>
      <c r="E600" s="90" t="s">
        <v>23</v>
      </c>
      <c r="F600" s="9" t="s">
        <v>7</v>
      </c>
      <c r="G600" s="10"/>
      <c r="H600" s="96">
        <v>251293</v>
      </c>
      <c r="I600" s="109" t="s">
        <v>4134</v>
      </c>
      <c r="J600" s="115">
        <v>46017</v>
      </c>
      <c r="K600" s="119">
        <v>46049</v>
      </c>
      <c r="L600" s="116">
        <v>1469620</v>
      </c>
      <c r="M600" s="117" t="s">
        <v>4279</v>
      </c>
      <c r="N600" s="34" t="s">
        <v>29</v>
      </c>
      <c r="O600" s="11"/>
      <c r="P600" s="113">
        <v>46181</v>
      </c>
      <c r="Q600" s="113">
        <v>46181</v>
      </c>
      <c r="R600" s="113">
        <v>46181</v>
      </c>
      <c r="S600" s="37">
        <f t="shared" si="108"/>
        <v>1469620</v>
      </c>
      <c r="T600" s="37">
        <f t="shared" si="109"/>
        <v>0</v>
      </c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</row>
    <row r="601" spans="1:31" ht="14.25" customHeight="1">
      <c r="A601" s="277" t="s">
        <v>5079</v>
      </c>
      <c r="B601" s="9" t="s">
        <v>21</v>
      </c>
      <c r="C601" s="9">
        <v>2025</v>
      </c>
      <c r="D601" s="9" t="s">
        <v>27</v>
      </c>
      <c r="E601" s="90" t="s">
        <v>23</v>
      </c>
      <c r="F601" s="9" t="s">
        <v>7</v>
      </c>
      <c r="G601" s="10"/>
      <c r="H601" s="96">
        <v>251292</v>
      </c>
      <c r="I601" s="109" t="s">
        <v>4134</v>
      </c>
      <c r="J601" s="115">
        <v>46017</v>
      </c>
      <c r="K601" s="119">
        <v>46072</v>
      </c>
      <c r="L601" s="116">
        <v>1799998</v>
      </c>
      <c r="M601" s="117" t="s">
        <v>4368</v>
      </c>
      <c r="N601" s="34" t="s">
        <v>29</v>
      </c>
      <c r="O601" s="11"/>
      <c r="P601" s="113">
        <v>46181</v>
      </c>
      <c r="Q601" s="113">
        <v>46181</v>
      </c>
      <c r="R601" s="113">
        <v>46181</v>
      </c>
      <c r="S601" s="37">
        <f t="shared" si="108"/>
        <v>1799998</v>
      </c>
      <c r="T601" s="37">
        <f t="shared" si="109"/>
        <v>0</v>
      </c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</row>
    <row r="602" spans="1:31" ht="14.25" customHeight="1">
      <c r="A602" s="277" t="s">
        <v>5080</v>
      </c>
      <c r="B602" s="9" t="s">
        <v>21</v>
      </c>
      <c r="C602" s="9">
        <v>2026</v>
      </c>
      <c r="D602" s="9" t="s">
        <v>27</v>
      </c>
      <c r="E602" s="90" t="s">
        <v>23</v>
      </c>
      <c r="F602" s="9" t="s">
        <v>7</v>
      </c>
      <c r="G602" s="10"/>
      <c r="H602" s="96">
        <v>260167</v>
      </c>
      <c r="I602" s="109" t="s">
        <v>4134</v>
      </c>
      <c r="J602" s="115">
        <v>46091</v>
      </c>
      <c r="K602" s="119">
        <v>46112</v>
      </c>
      <c r="L602" s="116">
        <v>2902267</v>
      </c>
      <c r="M602" s="117" t="s">
        <v>4481</v>
      </c>
      <c r="N602" s="34" t="s">
        <v>29</v>
      </c>
      <c r="O602" s="31">
        <f>SUM(L602:L605)</f>
        <v>8312262</v>
      </c>
      <c r="P602" s="113">
        <v>46188</v>
      </c>
      <c r="Q602" s="113">
        <v>46188</v>
      </c>
      <c r="R602" s="113">
        <v>46188</v>
      </c>
      <c r="S602" s="37">
        <f t="shared" si="108"/>
        <v>2902267</v>
      </c>
      <c r="T602" s="37">
        <f t="shared" si="109"/>
        <v>0</v>
      </c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</row>
    <row r="603" spans="1:31" ht="14.25" customHeight="1">
      <c r="A603" s="277" t="s">
        <v>5081</v>
      </c>
      <c r="B603" s="9" t="s">
        <v>21</v>
      </c>
      <c r="C603" s="9">
        <v>2026</v>
      </c>
      <c r="D603" s="9" t="s">
        <v>27</v>
      </c>
      <c r="E603" s="90" t="s">
        <v>23</v>
      </c>
      <c r="F603" s="9" t="s">
        <v>7</v>
      </c>
      <c r="G603" s="10"/>
      <c r="H603" s="96">
        <v>260166</v>
      </c>
      <c r="I603" s="109" t="s">
        <v>4134</v>
      </c>
      <c r="J603" s="115">
        <v>46091</v>
      </c>
      <c r="K603" s="119">
        <v>46121</v>
      </c>
      <c r="L603" s="116">
        <v>450000</v>
      </c>
      <c r="M603" s="117" t="s">
        <v>4511</v>
      </c>
      <c r="N603" s="34" t="s">
        <v>29</v>
      </c>
      <c r="O603" s="11"/>
      <c r="P603" s="113">
        <v>46188</v>
      </c>
      <c r="Q603" s="113">
        <v>46188</v>
      </c>
      <c r="R603" s="113">
        <v>46188</v>
      </c>
      <c r="S603" s="37">
        <f t="shared" si="108"/>
        <v>450000</v>
      </c>
      <c r="T603" s="37">
        <f t="shared" si="109"/>
        <v>0</v>
      </c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</row>
    <row r="604" spans="1:31" ht="14.25" customHeight="1">
      <c r="A604" s="277" t="s">
        <v>5082</v>
      </c>
      <c r="B604" s="9" t="s">
        <v>21</v>
      </c>
      <c r="C604" s="9">
        <v>2026</v>
      </c>
      <c r="D604" s="9" t="s">
        <v>27</v>
      </c>
      <c r="E604" s="90" t="s">
        <v>23</v>
      </c>
      <c r="F604" s="9" t="s">
        <v>7</v>
      </c>
      <c r="G604" s="10"/>
      <c r="H604" s="96">
        <v>260165</v>
      </c>
      <c r="I604" s="109" t="s">
        <v>4134</v>
      </c>
      <c r="J604" s="115">
        <v>46091</v>
      </c>
      <c r="K604" s="119">
        <v>46121</v>
      </c>
      <c r="L604" s="116">
        <v>2799997</v>
      </c>
      <c r="M604" s="117" t="s">
        <v>4512</v>
      </c>
      <c r="N604" s="34" t="s">
        <v>29</v>
      </c>
      <c r="O604" s="11"/>
      <c r="P604" s="113">
        <v>46188</v>
      </c>
      <c r="Q604" s="113">
        <v>46188</v>
      </c>
      <c r="R604" s="113">
        <v>46188</v>
      </c>
      <c r="S604" s="37">
        <f t="shared" si="108"/>
        <v>2799997</v>
      </c>
      <c r="T604" s="37">
        <f t="shared" si="109"/>
        <v>0</v>
      </c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</row>
    <row r="605" spans="1:31" ht="14.25" customHeight="1">
      <c r="A605" s="277" t="s">
        <v>5083</v>
      </c>
      <c r="B605" s="9" t="s">
        <v>21</v>
      </c>
      <c r="C605" s="9">
        <v>2026</v>
      </c>
      <c r="D605" s="9" t="s">
        <v>27</v>
      </c>
      <c r="E605" s="90" t="s">
        <v>23</v>
      </c>
      <c r="F605" s="9" t="s">
        <v>7</v>
      </c>
      <c r="G605" s="10"/>
      <c r="H605" s="96">
        <v>260170</v>
      </c>
      <c r="I605" s="109" t="s">
        <v>4134</v>
      </c>
      <c r="J605" s="115">
        <v>46092</v>
      </c>
      <c r="K605" s="119">
        <v>46121</v>
      </c>
      <c r="L605" s="116">
        <v>2159998</v>
      </c>
      <c r="M605" s="117" t="s">
        <v>4513</v>
      </c>
      <c r="N605" s="34" t="s">
        <v>29</v>
      </c>
      <c r="O605" s="11"/>
      <c r="P605" s="113">
        <v>46188</v>
      </c>
      <c r="Q605" s="113">
        <v>46188</v>
      </c>
      <c r="R605" s="113">
        <v>46188</v>
      </c>
      <c r="S605" s="37">
        <f t="shared" si="108"/>
        <v>2159998</v>
      </c>
      <c r="T605" s="37">
        <f t="shared" si="109"/>
        <v>0</v>
      </c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</row>
    <row r="606" spans="1:31" ht="14.25" customHeight="1">
      <c r="A606" s="277" t="s">
        <v>5083</v>
      </c>
      <c r="B606" s="9" t="s">
        <v>21</v>
      </c>
      <c r="C606" s="9">
        <v>2026</v>
      </c>
      <c r="D606" s="9" t="s">
        <v>77</v>
      </c>
      <c r="E606" s="90" t="s">
        <v>23</v>
      </c>
      <c r="F606" s="9" t="s">
        <v>7</v>
      </c>
      <c r="G606" s="10"/>
      <c r="H606" s="9">
        <v>260372</v>
      </c>
      <c r="I606" s="11" t="s">
        <v>4134</v>
      </c>
      <c r="J606" s="12">
        <v>46190</v>
      </c>
      <c r="K606" s="122">
        <v>46226</v>
      </c>
      <c r="L606" s="27">
        <v>3955058</v>
      </c>
      <c r="M606" s="10" t="s">
        <v>7429</v>
      </c>
      <c r="N606" s="34">
        <f t="shared" ref="N606:N607" ca="1" si="110">$J$3-J606</f>
        <v>50.463776388889528</v>
      </c>
      <c r="O606" s="11"/>
      <c r="P606" s="39"/>
      <c r="Q606" s="39"/>
      <c r="R606" s="39"/>
      <c r="S606" s="37">
        <f t="shared" ref="S606:S607" si="111">IF(R606="",0,L606)</f>
        <v>0</v>
      </c>
      <c r="T606" s="37">
        <f t="shared" ref="T606:T607" si="112">L606-S606</f>
        <v>3955058</v>
      </c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</row>
    <row r="607" spans="1:31" ht="14.25" customHeight="1">
      <c r="A607" s="277" t="s">
        <v>5083</v>
      </c>
      <c r="B607" s="9" t="s">
        <v>21</v>
      </c>
      <c r="C607" s="9">
        <v>2026</v>
      </c>
      <c r="D607" s="9" t="s">
        <v>77</v>
      </c>
      <c r="E607" s="90" t="s">
        <v>23</v>
      </c>
      <c r="F607" s="9" t="s">
        <v>7</v>
      </c>
      <c r="G607" s="10"/>
      <c r="H607" s="9">
        <v>260373</v>
      </c>
      <c r="I607" s="11" t="s">
        <v>4134</v>
      </c>
      <c r="J607" s="12">
        <v>46190</v>
      </c>
      <c r="K607" s="122">
        <v>46226</v>
      </c>
      <c r="L607" s="27">
        <v>80937</v>
      </c>
      <c r="M607" s="10" t="s">
        <v>7430</v>
      </c>
      <c r="N607" s="34">
        <f t="shared" ca="1" si="110"/>
        <v>50.463776388889528</v>
      </c>
      <c r="O607" s="11"/>
      <c r="P607" s="39"/>
      <c r="Q607" s="39"/>
      <c r="R607" s="39"/>
      <c r="S607" s="37">
        <f t="shared" si="111"/>
        <v>0</v>
      </c>
      <c r="T607" s="37">
        <f t="shared" si="112"/>
        <v>80937</v>
      </c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</row>
    <row r="608" spans="1:31" ht="14.25" customHeight="1">
      <c r="A608" s="277" t="s">
        <v>5084</v>
      </c>
      <c r="B608" s="9" t="s">
        <v>21</v>
      </c>
      <c r="C608" s="9"/>
      <c r="D608" s="9"/>
      <c r="E608" s="90"/>
      <c r="F608" s="9"/>
      <c r="G608" s="10"/>
      <c r="H608" s="9"/>
      <c r="I608" s="11"/>
      <c r="J608" s="12"/>
      <c r="K608" s="122"/>
      <c r="L608" s="52"/>
      <c r="M608" s="10"/>
      <c r="N608" s="114">
        <f ca="1">$J$3-J608</f>
        <v>46240.46377638889</v>
      </c>
      <c r="O608" s="11"/>
      <c r="P608" s="39"/>
      <c r="Q608" s="39"/>
      <c r="R608" s="39"/>
      <c r="S608" s="37">
        <f>IF(R608="",0,L608)</f>
        <v>0</v>
      </c>
      <c r="T608" s="37">
        <f>L608-S608</f>
        <v>0</v>
      </c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</row>
    <row r="609" spans="1:31" ht="14.25" customHeight="1">
      <c r="A609" s="277" t="s">
        <v>5085</v>
      </c>
      <c r="B609" s="9" t="s">
        <v>21</v>
      </c>
      <c r="C609" s="9"/>
      <c r="D609" s="9"/>
      <c r="E609" s="90"/>
      <c r="F609" s="9"/>
      <c r="G609" s="10"/>
      <c r="H609" s="9"/>
      <c r="I609" s="11"/>
      <c r="J609" s="12"/>
      <c r="K609" s="12"/>
      <c r="L609" s="52"/>
      <c r="M609" s="10"/>
      <c r="N609" s="9"/>
      <c r="O609" s="11"/>
      <c r="P609" s="39"/>
      <c r="Q609" s="39"/>
      <c r="R609" s="39"/>
      <c r="S609" s="37"/>
      <c r="T609" s="37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</row>
    <row r="610" spans="1:31" ht="14.25" customHeight="1">
      <c r="A610" s="277" t="s">
        <v>5086</v>
      </c>
      <c r="B610" s="9" t="s">
        <v>21</v>
      </c>
      <c r="C610" s="9"/>
      <c r="D610" s="9"/>
      <c r="E610" s="90"/>
      <c r="F610" s="9"/>
      <c r="G610" s="94" t="s">
        <v>24</v>
      </c>
      <c r="H610" s="95" t="s">
        <v>351</v>
      </c>
      <c r="I610" s="104"/>
      <c r="J610" s="105"/>
      <c r="K610" s="105"/>
      <c r="L610" s="106">
        <f>SUM(L611:L612)</f>
        <v>1776000</v>
      </c>
      <c r="M610" s="107"/>
      <c r="N610" s="108" t="s">
        <v>26</v>
      </c>
      <c r="O610" s="108"/>
      <c r="P610" s="108"/>
      <c r="Q610" s="108"/>
      <c r="R610" s="108"/>
      <c r="S610" s="106">
        <f>SUM(S611:S612)</f>
        <v>1776000</v>
      </c>
      <c r="T610" s="106">
        <f>SUM(T611:T612)</f>
        <v>0</v>
      </c>
      <c r="U610" s="10"/>
      <c r="V610" s="52">
        <f>L610-S610</f>
        <v>0</v>
      </c>
      <c r="W610" s="52">
        <f>T610-V610</f>
        <v>0</v>
      </c>
      <c r="X610" s="10"/>
      <c r="Y610" s="10"/>
      <c r="Z610" s="10"/>
      <c r="AA610" s="10"/>
      <c r="AB610" s="10"/>
      <c r="AC610" s="10"/>
      <c r="AD610" s="10"/>
      <c r="AE610" s="10"/>
    </row>
    <row r="611" spans="1:31" ht="14.25" customHeight="1">
      <c r="A611" s="277" t="s">
        <v>5087</v>
      </c>
      <c r="B611" s="9" t="s">
        <v>21</v>
      </c>
      <c r="C611" s="9">
        <v>2025</v>
      </c>
      <c r="D611" s="9" t="s">
        <v>27</v>
      </c>
      <c r="E611" s="90" t="s">
        <v>23</v>
      </c>
      <c r="F611" s="9" t="s">
        <v>7</v>
      </c>
      <c r="G611" s="10"/>
      <c r="H611" s="96">
        <v>250351</v>
      </c>
      <c r="I611" s="109" t="s">
        <v>351</v>
      </c>
      <c r="J611" s="115">
        <v>45723</v>
      </c>
      <c r="K611" s="115">
        <v>45736</v>
      </c>
      <c r="L611" s="131">
        <v>1776000</v>
      </c>
      <c r="M611" s="117" t="s">
        <v>352</v>
      </c>
      <c r="N611" s="34" t="s">
        <v>29</v>
      </c>
      <c r="O611" s="11"/>
      <c r="P611" s="113">
        <v>45764</v>
      </c>
      <c r="Q611" s="113">
        <v>45764</v>
      </c>
      <c r="R611" s="113">
        <v>45764</v>
      </c>
      <c r="S611" s="37">
        <f>IF(R611="",0,L611)</f>
        <v>1776000</v>
      </c>
      <c r="T611" s="37">
        <f>L611-S611</f>
        <v>0</v>
      </c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</row>
    <row r="612" spans="1:31" ht="14.25" customHeight="1">
      <c r="A612" s="277" t="s">
        <v>5088</v>
      </c>
      <c r="B612" s="9" t="s">
        <v>21</v>
      </c>
      <c r="C612" s="9"/>
      <c r="D612" s="9"/>
      <c r="E612" s="90"/>
      <c r="F612" s="9"/>
      <c r="G612" s="10"/>
      <c r="H612" s="9"/>
      <c r="I612" s="11"/>
      <c r="J612" s="12"/>
      <c r="K612" s="12"/>
      <c r="L612" s="52"/>
      <c r="M612" s="10"/>
      <c r="N612" s="114">
        <f ca="1">$J$3-J612</f>
        <v>46240.46377638889</v>
      </c>
      <c r="O612" s="11"/>
      <c r="P612" s="39"/>
      <c r="Q612" s="39"/>
      <c r="R612" s="39"/>
      <c r="S612" s="37"/>
      <c r="T612" s="37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</row>
    <row r="613" spans="1:31" ht="14.25" customHeight="1">
      <c r="A613" s="277" t="s">
        <v>5089</v>
      </c>
      <c r="B613" s="9" t="s">
        <v>21</v>
      </c>
      <c r="C613" s="9"/>
      <c r="D613" s="9"/>
      <c r="E613" s="90"/>
      <c r="F613" s="9"/>
      <c r="G613" s="10"/>
      <c r="H613" s="9"/>
      <c r="I613" s="11"/>
      <c r="J613" s="12"/>
      <c r="K613" s="12"/>
      <c r="L613" s="52"/>
      <c r="M613" s="10"/>
      <c r="N613" s="34"/>
      <c r="O613" s="11"/>
      <c r="P613" s="39"/>
      <c r="Q613" s="39"/>
      <c r="R613" s="39"/>
      <c r="S613" s="37"/>
      <c r="T613" s="37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</row>
    <row r="614" spans="1:31" ht="14.25" customHeight="1">
      <c r="A614" s="277" t="s">
        <v>5090</v>
      </c>
      <c r="B614" s="9" t="s">
        <v>21</v>
      </c>
      <c r="C614" s="9"/>
      <c r="D614" s="9"/>
      <c r="E614" s="90"/>
      <c r="F614" s="9"/>
      <c r="G614" s="94" t="s">
        <v>24</v>
      </c>
      <c r="H614" s="95" t="s">
        <v>353</v>
      </c>
      <c r="I614" s="104"/>
      <c r="J614" s="105"/>
      <c r="K614" s="105"/>
      <c r="L614" s="106">
        <f>SUM(L615:L617)</f>
        <v>372560</v>
      </c>
      <c r="M614" s="107"/>
      <c r="N614" s="108" t="s">
        <v>26</v>
      </c>
      <c r="O614" s="108"/>
      <c r="P614" s="108"/>
      <c r="Q614" s="108"/>
      <c r="R614" s="108"/>
      <c r="S614" s="106">
        <f>SUM(S615:S617)</f>
        <v>372560</v>
      </c>
      <c r="T614" s="106">
        <f>SUM(T615:T617)</f>
        <v>0</v>
      </c>
      <c r="U614" s="10"/>
      <c r="V614" s="52">
        <f>L614-S614</f>
        <v>0</v>
      </c>
      <c r="W614" s="52">
        <f>T614-V614</f>
        <v>0</v>
      </c>
      <c r="X614" s="10"/>
      <c r="Y614" s="10"/>
      <c r="Z614" s="10"/>
      <c r="AA614" s="10"/>
      <c r="AB614" s="10"/>
      <c r="AC614" s="10"/>
      <c r="AD614" s="10"/>
      <c r="AE614" s="10"/>
    </row>
    <row r="615" spans="1:31" ht="14.25" customHeight="1">
      <c r="A615" s="277" t="s">
        <v>5091</v>
      </c>
      <c r="B615" s="9" t="s">
        <v>21</v>
      </c>
      <c r="C615" s="9">
        <v>2024</v>
      </c>
      <c r="D615" s="9" t="s">
        <v>27</v>
      </c>
      <c r="E615" s="90" t="s">
        <v>23</v>
      </c>
      <c r="F615" s="9" t="s">
        <v>7</v>
      </c>
      <c r="G615" s="10"/>
      <c r="H615" s="96">
        <v>242060</v>
      </c>
      <c r="I615" s="109" t="s">
        <v>353</v>
      </c>
      <c r="J615" s="115">
        <v>45562</v>
      </c>
      <c r="K615" s="115">
        <v>45589</v>
      </c>
      <c r="L615" s="131">
        <v>155000</v>
      </c>
      <c r="M615" s="117" t="s">
        <v>354</v>
      </c>
      <c r="N615" s="34" t="s">
        <v>29</v>
      </c>
      <c r="O615" s="125">
        <f>SUM(L615:L616)</f>
        <v>372560</v>
      </c>
      <c r="P615" s="113">
        <v>45663</v>
      </c>
      <c r="Q615" s="113">
        <v>45663</v>
      </c>
      <c r="R615" s="113">
        <v>45663</v>
      </c>
      <c r="S615" s="37">
        <f>IF(R615="",0,L615)</f>
        <v>155000</v>
      </c>
      <c r="T615" s="37">
        <f>L615-S615</f>
        <v>0</v>
      </c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</row>
    <row r="616" spans="1:31" ht="14.25" customHeight="1">
      <c r="A616" s="277" t="s">
        <v>5092</v>
      </c>
      <c r="B616" s="9" t="s">
        <v>21</v>
      </c>
      <c r="C616" s="9">
        <v>2024</v>
      </c>
      <c r="D616" s="9" t="s">
        <v>27</v>
      </c>
      <c r="E616" s="90" t="s">
        <v>23</v>
      </c>
      <c r="F616" s="9" t="s">
        <v>7</v>
      </c>
      <c r="G616" s="10"/>
      <c r="H616" s="96">
        <v>242059</v>
      </c>
      <c r="I616" s="109" t="s">
        <v>353</v>
      </c>
      <c r="J616" s="115">
        <v>45562</v>
      </c>
      <c r="K616" s="115">
        <v>45589</v>
      </c>
      <c r="L616" s="131">
        <v>217560</v>
      </c>
      <c r="M616" s="117" t="s">
        <v>355</v>
      </c>
      <c r="N616" s="34" t="s">
        <v>29</v>
      </c>
      <c r="O616" s="11"/>
      <c r="P616" s="113">
        <v>45663</v>
      </c>
      <c r="Q616" s="113">
        <v>45663</v>
      </c>
      <c r="R616" s="113">
        <v>45663</v>
      </c>
      <c r="S616" s="37">
        <f>IF(R616="",0,L616)</f>
        <v>217560</v>
      </c>
      <c r="T616" s="37">
        <f>L616-S616</f>
        <v>0</v>
      </c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</row>
    <row r="617" spans="1:31" ht="14.25" customHeight="1">
      <c r="A617" s="277" t="s">
        <v>5093</v>
      </c>
      <c r="B617" s="9" t="s">
        <v>21</v>
      </c>
      <c r="C617" s="9"/>
      <c r="D617" s="9"/>
      <c r="E617" s="90"/>
      <c r="F617" s="9"/>
      <c r="G617" s="10"/>
      <c r="H617" s="9"/>
      <c r="I617" s="11"/>
      <c r="J617" s="12"/>
      <c r="K617" s="12"/>
      <c r="L617" s="52"/>
      <c r="M617" s="10"/>
      <c r="N617" s="114">
        <f ca="1">$J$3-J617</f>
        <v>46240.46377638889</v>
      </c>
      <c r="O617" s="11"/>
      <c r="P617" s="39"/>
      <c r="Q617" s="39"/>
      <c r="R617" s="39"/>
      <c r="S617" s="37">
        <f>IF(R617="",0,L617)</f>
        <v>0</v>
      </c>
      <c r="T617" s="37">
        <f>L617-S617</f>
        <v>0</v>
      </c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</row>
    <row r="618" spans="1:31" ht="14.25" customHeight="1">
      <c r="A618" s="277" t="s">
        <v>5094</v>
      </c>
      <c r="B618" s="9" t="s">
        <v>21</v>
      </c>
      <c r="C618" s="9"/>
      <c r="D618" s="9"/>
      <c r="E618" s="90"/>
      <c r="F618" s="9"/>
      <c r="G618" s="10"/>
      <c r="H618" s="9"/>
      <c r="I618" s="11"/>
      <c r="J618" s="12"/>
      <c r="K618" s="12"/>
      <c r="L618" s="52"/>
      <c r="M618" s="10"/>
      <c r="N618" s="9"/>
      <c r="O618" s="11"/>
      <c r="P618" s="39"/>
      <c r="Q618" s="39"/>
      <c r="R618" s="39"/>
      <c r="S618" s="37"/>
      <c r="T618" s="37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</row>
    <row r="619" spans="1:31" ht="14.25" customHeight="1">
      <c r="A619" s="277" t="s">
        <v>5095</v>
      </c>
      <c r="B619" s="9" t="s">
        <v>21</v>
      </c>
      <c r="C619" s="9"/>
      <c r="D619" s="9"/>
      <c r="E619" s="90"/>
      <c r="F619" s="9"/>
      <c r="G619" s="94" t="s">
        <v>24</v>
      </c>
      <c r="H619" s="95" t="s">
        <v>356</v>
      </c>
      <c r="I619" s="104"/>
      <c r="J619" s="105"/>
      <c r="K619" s="105"/>
      <c r="L619" s="106">
        <f>SUM(L620:L635)</f>
        <v>10655445</v>
      </c>
      <c r="M619" s="107"/>
      <c r="N619" s="108" t="s">
        <v>26</v>
      </c>
      <c r="O619" s="108"/>
      <c r="P619" s="108"/>
      <c r="Q619" s="108"/>
      <c r="R619" s="108"/>
      <c r="S619" s="106">
        <f>SUM(S620:S635)</f>
        <v>7789425</v>
      </c>
      <c r="T619" s="106">
        <f>SUM(T620:T635)</f>
        <v>2866020</v>
      </c>
      <c r="U619" s="10"/>
      <c r="V619" s="52">
        <f>L619-S619</f>
        <v>2866020</v>
      </c>
      <c r="W619" s="52">
        <f>T619-V619</f>
        <v>0</v>
      </c>
      <c r="X619" s="10"/>
      <c r="Y619" s="10"/>
      <c r="Z619" s="10"/>
      <c r="AA619" s="10"/>
      <c r="AB619" s="10"/>
      <c r="AC619" s="10"/>
      <c r="AD619" s="10"/>
      <c r="AE619" s="10"/>
    </row>
    <row r="620" spans="1:31" ht="14.25" hidden="1" customHeight="1">
      <c r="A620" s="277" t="s">
        <v>5096</v>
      </c>
      <c r="B620" s="9" t="s">
        <v>21</v>
      </c>
      <c r="C620" s="9">
        <v>2025</v>
      </c>
      <c r="D620" s="9" t="s">
        <v>27</v>
      </c>
      <c r="E620" s="90" t="s">
        <v>23</v>
      </c>
      <c r="F620" s="9" t="s">
        <v>7</v>
      </c>
      <c r="G620" s="10"/>
      <c r="H620" s="96">
        <v>250060</v>
      </c>
      <c r="I620" s="109" t="s">
        <v>356</v>
      </c>
      <c r="J620" s="115">
        <v>45674</v>
      </c>
      <c r="K620" s="115">
        <v>45692</v>
      </c>
      <c r="L620" s="116">
        <v>424575</v>
      </c>
      <c r="M620" s="117" t="s">
        <v>357</v>
      </c>
      <c r="N620" s="34" t="s">
        <v>29</v>
      </c>
      <c r="O620" s="11"/>
      <c r="P620" s="113">
        <v>45792</v>
      </c>
      <c r="Q620" s="113">
        <v>45792</v>
      </c>
      <c r="R620" s="113">
        <v>45792</v>
      </c>
      <c r="S620" s="37">
        <f t="shared" ref="S620:S626" si="113">IF(R620="",0,L620)</f>
        <v>424575</v>
      </c>
      <c r="T620" s="37">
        <f t="shared" ref="T620:T626" si="114">L620-S620</f>
        <v>0</v>
      </c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</row>
    <row r="621" spans="1:31" ht="14.25" hidden="1" customHeight="1">
      <c r="A621" s="277" t="s">
        <v>5097</v>
      </c>
      <c r="B621" s="9" t="s">
        <v>21</v>
      </c>
      <c r="C621" s="9">
        <v>2025</v>
      </c>
      <c r="D621" s="9" t="s">
        <v>27</v>
      </c>
      <c r="E621" s="90" t="s">
        <v>23</v>
      </c>
      <c r="F621" s="9" t="s">
        <v>7</v>
      </c>
      <c r="G621" s="10"/>
      <c r="H621" s="96">
        <v>250171</v>
      </c>
      <c r="I621" s="109" t="s">
        <v>356</v>
      </c>
      <c r="J621" s="115">
        <v>45703</v>
      </c>
      <c r="K621" s="115">
        <v>45720</v>
      </c>
      <c r="L621" s="116">
        <v>1703850</v>
      </c>
      <c r="M621" s="117" t="s">
        <v>358</v>
      </c>
      <c r="N621" s="34" t="s">
        <v>29</v>
      </c>
      <c r="O621" s="11"/>
      <c r="P621" s="113">
        <v>45792</v>
      </c>
      <c r="Q621" s="113">
        <v>45792</v>
      </c>
      <c r="R621" s="113">
        <v>45792</v>
      </c>
      <c r="S621" s="37">
        <f t="shared" si="113"/>
        <v>1703850</v>
      </c>
      <c r="T621" s="37">
        <f t="shared" si="114"/>
        <v>0</v>
      </c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</row>
    <row r="622" spans="1:31" ht="14.25" hidden="1" customHeight="1">
      <c r="A622" s="277" t="s">
        <v>5098</v>
      </c>
      <c r="B622" s="9" t="s">
        <v>21</v>
      </c>
      <c r="C622" s="9">
        <v>2025</v>
      </c>
      <c r="D622" s="9" t="s">
        <v>27</v>
      </c>
      <c r="E622" s="90" t="s">
        <v>23</v>
      </c>
      <c r="F622" s="9" t="s">
        <v>7</v>
      </c>
      <c r="G622" s="10"/>
      <c r="H622" s="96">
        <v>250320</v>
      </c>
      <c r="I622" s="109" t="s">
        <v>356</v>
      </c>
      <c r="J622" s="115">
        <v>45721</v>
      </c>
      <c r="K622" s="115">
        <v>45755</v>
      </c>
      <c r="L622" s="116">
        <v>166500</v>
      </c>
      <c r="M622" s="117" t="s">
        <v>359</v>
      </c>
      <c r="N622" s="34" t="s">
        <v>29</v>
      </c>
      <c r="O622" s="11"/>
      <c r="P622" s="113">
        <v>45792</v>
      </c>
      <c r="Q622" s="113">
        <v>45792</v>
      </c>
      <c r="R622" s="113">
        <v>45792</v>
      </c>
      <c r="S622" s="37">
        <f t="shared" si="113"/>
        <v>166500</v>
      </c>
      <c r="T622" s="37">
        <f t="shared" si="114"/>
        <v>0</v>
      </c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</row>
    <row r="623" spans="1:31" ht="14.25" hidden="1" customHeight="1">
      <c r="A623" s="277" t="s">
        <v>5099</v>
      </c>
      <c r="B623" s="9" t="s">
        <v>21</v>
      </c>
      <c r="C623" s="9">
        <v>2025</v>
      </c>
      <c r="D623" s="9" t="s">
        <v>27</v>
      </c>
      <c r="E623" s="90" t="s">
        <v>23</v>
      </c>
      <c r="F623" s="9" t="s">
        <v>7</v>
      </c>
      <c r="G623" s="10"/>
      <c r="H623" s="96">
        <v>250320</v>
      </c>
      <c r="I623" s="109" t="s">
        <v>356</v>
      </c>
      <c r="J623" s="115">
        <v>45798</v>
      </c>
      <c r="K623" s="115">
        <v>45829</v>
      </c>
      <c r="L623" s="116">
        <v>815850</v>
      </c>
      <c r="M623" s="117" t="s">
        <v>360</v>
      </c>
      <c r="N623" s="34" t="s">
        <v>29</v>
      </c>
      <c r="O623" s="31">
        <f>SUM(L623:L626)</f>
        <v>4212450</v>
      </c>
      <c r="P623" s="113">
        <v>45902</v>
      </c>
      <c r="Q623" s="113">
        <v>45902</v>
      </c>
      <c r="R623" s="113">
        <v>45902</v>
      </c>
      <c r="S623" s="37">
        <f t="shared" si="113"/>
        <v>815850</v>
      </c>
      <c r="T623" s="37">
        <f t="shared" si="114"/>
        <v>0</v>
      </c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</row>
    <row r="624" spans="1:31" ht="14.25" hidden="1" customHeight="1">
      <c r="A624" s="277" t="s">
        <v>5100</v>
      </c>
      <c r="B624" s="9" t="s">
        <v>21</v>
      </c>
      <c r="C624" s="9">
        <v>2025</v>
      </c>
      <c r="D624" s="9" t="s">
        <v>27</v>
      </c>
      <c r="E624" s="90" t="s">
        <v>23</v>
      </c>
      <c r="F624" s="9" t="s">
        <v>7</v>
      </c>
      <c r="G624" s="10"/>
      <c r="H624" s="96">
        <v>250320</v>
      </c>
      <c r="I624" s="109" t="s">
        <v>356</v>
      </c>
      <c r="J624" s="115">
        <v>45805</v>
      </c>
      <c r="K624" s="115">
        <v>45829</v>
      </c>
      <c r="L624" s="116">
        <v>1007325</v>
      </c>
      <c r="M624" s="117" t="s">
        <v>361</v>
      </c>
      <c r="N624" s="34" t="s">
        <v>29</v>
      </c>
      <c r="O624" s="11"/>
      <c r="P624" s="113">
        <v>45902</v>
      </c>
      <c r="Q624" s="113">
        <v>45902</v>
      </c>
      <c r="R624" s="113">
        <v>45902</v>
      </c>
      <c r="S624" s="37">
        <f t="shared" si="113"/>
        <v>1007325</v>
      </c>
      <c r="T624" s="37">
        <f t="shared" si="114"/>
        <v>0</v>
      </c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</row>
    <row r="625" spans="1:31" ht="14.25" hidden="1" customHeight="1">
      <c r="A625" s="277" t="s">
        <v>5101</v>
      </c>
      <c r="B625" s="9" t="s">
        <v>21</v>
      </c>
      <c r="C625" s="9">
        <v>2025</v>
      </c>
      <c r="D625" s="9" t="s">
        <v>27</v>
      </c>
      <c r="E625" s="90" t="s">
        <v>23</v>
      </c>
      <c r="F625" s="9" t="s">
        <v>7</v>
      </c>
      <c r="G625" s="10"/>
      <c r="H625" s="96">
        <v>250623</v>
      </c>
      <c r="I625" s="109" t="s">
        <v>356</v>
      </c>
      <c r="J625" s="115">
        <v>45833</v>
      </c>
      <c r="K625" s="115">
        <v>45867</v>
      </c>
      <c r="L625" s="116">
        <v>2156175</v>
      </c>
      <c r="M625" s="117" t="s">
        <v>362</v>
      </c>
      <c r="N625" s="34" t="s">
        <v>29</v>
      </c>
      <c r="O625" s="11"/>
      <c r="P625" s="113">
        <v>45902</v>
      </c>
      <c r="Q625" s="113">
        <v>45902</v>
      </c>
      <c r="R625" s="113">
        <v>45902</v>
      </c>
      <c r="S625" s="37">
        <f t="shared" si="113"/>
        <v>2156175</v>
      </c>
      <c r="T625" s="37">
        <f t="shared" si="114"/>
        <v>0</v>
      </c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</row>
    <row r="626" spans="1:31" ht="14.25" hidden="1" customHeight="1">
      <c r="A626" s="277" t="s">
        <v>5102</v>
      </c>
      <c r="B626" s="9" t="s">
        <v>21</v>
      </c>
      <c r="C626" s="9">
        <v>2025</v>
      </c>
      <c r="D626" s="9" t="s">
        <v>27</v>
      </c>
      <c r="E626" s="90" t="s">
        <v>23</v>
      </c>
      <c r="F626" s="9" t="s">
        <v>7</v>
      </c>
      <c r="G626" s="10"/>
      <c r="H626" s="96">
        <v>250658</v>
      </c>
      <c r="I626" s="109" t="s">
        <v>356</v>
      </c>
      <c r="J626" s="115">
        <v>45842</v>
      </c>
      <c r="K626" s="115">
        <v>45867</v>
      </c>
      <c r="L626" s="116">
        <v>233100</v>
      </c>
      <c r="M626" s="117" t="s">
        <v>363</v>
      </c>
      <c r="N626" s="34" t="s">
        <v>29</v>
      </c>
      <c r="O626" s="11"/>
      <c r="P626" s="113">
        <v>45902</v>
      </c>
      <c r="Q626" s="113">
        <v>45902</v>
      </c>
      <c r="R626" s="113">
        <v>45902</v>
      </c>
      <c r="S626" s="37">
        <f t="shared" si="113"/>
        <v>233100</v>
      </c>
      <c r="T626" s="37">
        <f t="shared" si="114"/>
        <v>0</v>
      </c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</row>
    <row r="627" spans="1:31" ht="14.25" hidden="1" customHeight="1">
      <c r="A627" s="277" t="s">
        <v>5103</v>
      </c>
      <c r="B627" s="9" t="s">
        <v>21</v>
      </c>
      <c r="C627" s="9">
        <v>2025</v>
      </c>
      <c r="D627" s="9" t="s">
        <v>27</v>
      </c>
      <c r="E627" s="90" t="s">
        <v>23</v>
      </c>
      <c r="F627" s="9" t="s">
        <v>7</v>
      </c>
      <c r="G627" s="10"/>
      <c r="H627" s="96">
        <v>250838</v>
      </c>
      <c r="I627" s="109" t="s">
        <v>356</v>
      </c>
      <c r="J627" s="115">
        <v>45890</v>
      </c>
      <c r="K627" s="115">
        <v>45923</v>
      </c>
      <c r="L627" s="116">
        <v>649350</v>
      </c>
      <c r="M627" s="117" t="s">
        <v>3690</v>
      </c>
      <c r="N627" s="34" t="s">
        <v>29</v>
      </c>
      <c r="O627" s="31">
        <f>SUM(L627:L629)</f>
        <v>1282050</v>
      </c>
      <c r="P627" s="113">
        <v>46002</v>
      </c>
      <c r="Q627" s="113">
        <v>46002</v>
      </c>
      <c r="R627" s="113">
        <v>46002</v>
      </c>
      <c r="S627" s="37">
        <f t="shared" ref="S627:S634" si="115">IF(R627="",0,L627)</f>
        <v>649350</v>
      </c>
      <c r="T627" s="37">
        <f t="shared" ref="T627:T634" si="116">L627-S627</f>
        <v>0</v>
      </c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</row>
    <row r="628" spans="1:31" ht="14.25" hidden="1" customHeight="1">
      <c r="A628" s="277" t="s">
        <v>5104</v>
      </c>
      <c r="B628" s="9" t="s">
        <v>21</v>
      </c>
      <c r="C628" s="9">
        <v>2025</v>
      </c>
      <c r="D628" s="9" t="s">
        <v>27</v>
      </c>
      <c r="E628" s="90" t="s">
        <v>23</v>
      </c>
      <c r="F628" s="9" t="s">
        <v>7</v>
      </c>
      <c r="G628" s="10"/>
      <c r="H628" s="96">
        <v>250842</v>
      </c>
      <c r="I628" s="109" t="s">
        <v>356</v>
      </c>
      <c r="J628" s="115">
        <v>45891</v>
      </c>
      <c r="K628" s="115">
        <v>45923</v>
      </c>
      <c r="L628" s="116">
        <v>333000</v>
      </c>
      <c r="M628" s="117" t="s">
        <v>3691</v>
      </c>
      <c r="N628" s="34" t="s">
        <v>29</v>
      </c>
      <c r="O628" s="11"/>
      <c r="P628" s="113">
        <v>46002</v>
      </c>
      <c r="Q628" s="113">
        <v>46002</v>
      </c>
      <c r="R628" s="113">
        <v>46002</v>
      </c>
      <c r="S628" s="37">
        <f t="shared" si="115"/>
        <v>333000</v>
      </c>
      <c r="T628" s="37">
        <f t="shared" si="116"/>
        <v>0</v>
      </c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</row>
    <row r="629" spans="1:31" ht="14.25" customHeight="1">
      <c r="A629" s="277" t="s">
        <v>5105</v>
      </c>
      <c r="B629" s="9" t="s">
        <v>21</v>
      </c>
      <c r="C629" s="9">
        <v>2025</v>
      </c>
      <c r="D629" s="9" t="s">
        <v>27</v>
      </c>
      <c r="E629" s="90" t="s">
        <v>23</v>
      </c>
      <c r="F629" s="9" t="s">
        <v>7</v>
      </c>
      <c r="G629" s="10"/>
      <c r="H629" s="96">
        <v>250894</v>
      </c>
      <c r="I629" s="109" t="s">
        <v>356</v>
      </c>
      <c r="J629" s="115">
        <v>45903</v>
      </c>
      <c r="K629" s="115">
        <v>45948</v>
      </c>
      <c r="L629" s="116">
        <v>299700</v>
      </c>
      <c r="M629" s="117" t="s">
        <v>3856</v>
      </c>
      <c r="N629" s="34" t="s">
        <v>29</v>
      </c>
      <c r="O629" s="11"/>
      <c r="P629" s="113">
        <v>46002</v>
      </c>
      <c r="Q629" s="113">
        <v>46002</v>
      </c>
      <c r="R629" s="113">
        <v>46002</v>
      </c>
      <c r="S629" s="37">
        <f t="shared" si="115"/>
        <v>299700</v>
      </c>
      <c r="T629" s="37">
        <f t="shared" si="116"/>
        <v>0</v>
      </c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</row>
    <row r="630" spans="1:31" ht="14.25" customHeight="1">
      <c r="A630" s="277" t="s">
        <v>5106</v>
      </c>
      <c r="B630" s="9" t="s">
        <v>21</v>
      </c>
      <c r="C630" s="9">
        <v>2025</v>
      </c>
      <c r="D630" s="9" t="s">
        <v>77</v>
      </c>
      <c r="E630" s="90" t="s">
        <v>23</v>
      </c>
      <c r="F630" s="9" t="s">
        <v>7</v>
      </c>
      <c r="G630" s="10"/>
      <c r="H630" s="9">
        <v>251259</v>
      </c>
      <c r="I630" s="11" t="s">
        <v>356</v>
      </c>
      <c r="J630" s="12">
        <v>46003</v>
      </c>
      <c r="K630" s="12">
        <v>46032</v>
      </c>
      <c r="L630" s="27">
        <v>509490</v>
      </c>
      <c r="M630" s="10" t="s">
        <v>4211</v>
      </c>
      <c r="N630" s="34">
        <f ca="1">$J$3-J630</f>
        <v>237.46377638888953</v>
      </c>
      <c r="O630" s="31">
        <f>SUM(L630:L633)</f>
        <v>2866020</v>
      </c>
      <c r="P630" s="39"/>
      <c r="Q630" s="39"/>
      <c r="R630" s="39"/>
      <c r="S630" s="37">
        <f t="shared" si="115"/>
        <v>0</v>
      </c>
      <c r="T630" s="37">
        <f t="shared" si="116"/>
        <v>509490</v>
      </c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</row>
    <row r="631" spans="1:31" ht="14.25" customHeight="1">
      <c r="A631" s="277" t="s">
        <v>5107</v>
      </c>
      <c r="B631" s="9" t="s">
        <v>21</v>
      </c>
      <c r="C631" s="9">
        <v>2026</v>
      </c>
      <c r="D631" s="9" t="s">
        <v>77</v>
      </c>
      <c r="E631" s="90" t="s">
        <v>23</v>
      </c>
      <c r="F631" s="9" t="s">
        <v>7</v>
      </c>
      <c r="G631" s="10"/>
      <c r="H631" s="9">
        <v>260033</v>
      </c>
      <c r="I631" s="11" t="s">
        <v>356</v>
      </c>
      <c r="J631" s="12">
        <v>46048</v>
      </c>
      <c r="K631" s="12">
        <v>46072</v>
      </c>
      <c r="L631" s="27">
        <v>1505160</v>
      </c>
      <c r="M631" s="10" t="s">
        <v>4363</v>
      </c>
      <c r="N631" s="34">
        <f ca="1">$J$3-J631</f>
        <v>192.46377638888953</v>
      </c>
      <c r="O631" s="11"/>
      <c r="P631" s="39"/>
      <c r="Q631" s="39"/>
      <c r="R631" s="39"/>
      <c r="S631" s="37">
        <f t="shared" si="115"/>
        <v>0</v>
      </c>
      <c r="T631" s="37">
        <f t="shared" si="116"/>
        <v>1505160</v>
      </c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</row>
    <row r="632" spans="1:31" ht="14.25" customHeight="1">
      <c r="A632" s="277" t="s">
        <v>5108</v>
      </c>
      <c r="B632" s="9" t="s">
        <v>21</v>
      </c>
      <c r="C632" s="9">
        <v>2026</v>
      </c>
      <c r="D632" s="9" t="s">
        <v>77</v>
      </c>
      <c r="E632" s="90" t="s">
        <v>23</v>
      </c>
      <c r="F632" s="9" t="s">
        <v>7</v>
      </c>
      <c r="G632" s="10"/>
      <c r="H632" s="9">
        <v>260190</v>
      </c>
      <c r="I632" s="11" t="s">
        <v>356</v>
      </c>
      <c r="J632" s="12">
        <v>46112</v>
      </c>
      <c r="K632" s="12">
        <v>46130</v>
      </c>
      <c r="L632" s="27">
        <v>673770</v>
      </c>
      <c r="M632" s="10" t="s">
        <v>4533</v>
      </c>
      <c r="N632" s="34">
        <f ca="1">$J$3-J632</f>
        <v>128.46377638888953</v>
      </c>
      <c r="O632" s="11"/>
      <c r="P632" s="39"/>
      <c r="Q632" s="39"/>
      <c r="R632" s="39"/>
      <c r="S632" s="37">
        <f>IF(R632="",0,L632)</f>
        <v>0</v>
      </c>
      <c r="T632" s="37">
        <f>L632-S632</f>
        <v>673770</v>
      </c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</row>
    <row r="633" spans="1:31" ht="14.25" customHeight="1">
      <c r="A633" s="277" t="s">
        <v>5109</v>
      </c>
      <c r="B633" s="9" t="s">
        <v>21</v>
      </c>
      <c r="C633" s="9">
        <v>2026</v>
      </c>
      <c r="D633" s="9" t="s">
        <v>77</v>
      </c>
      <c r="E633" s="90" t="s">
        <v>23</v>
      </c>
      <c r="F633" s="9" t="s">
        <v>7</v>
      </c>
      <c r="G633" s="10"/>
      <c r="H633" s="9">
        <v>260194</v>
      </c>
      <c r="I633" s="11" t="s">
        <v>356</v>
      </c>
      <c r="J633" s="12">
        <v>46113</v>
      </c>
      <c r="K633" s="12">
        <v>46130</v>
      </c>
      <c r="L633" s="27">
        <v>177600</v>
      </c>
      <c r="M633" s="10" t="s">
        <v>4532</v>
      </c>
      <c r="N633" s="34">
        <f ca="1">$J$3-J633</f>
        <v>127.46377638888953</v>
      </c>
      <c r="O633" s="11"/>
      <c r="P633" s="39"/>
      <c r="Q633" s="39"/>
      <c r="R633" s="39"/>
      <c r="S633" s="37">
        <f>IF(R633="",0,L633)</f>
        <v>0</v>
      </c>
      <c r="T633" s="37">
        <f>L633-S633</f>
        <v>177600</v>
      </c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</row>
    <row r="634" spans="1:31" ht="14.25" customHeight="1">
      <c r="A634" s="277" t="s">
        <v>5110</v>
      </c>
      <c r="B634" s="9" t="s">
        <v>21</v>
      </c>
      <c r="C634" s="9"/>
      <c r="D634" s="9"/>
      <c r="E634" s="90"/>
      <c r="F634" s="9"/>
      <c r="G634" s="10"/>
      <c r="H634" s="9"/>
      <c r="I634" s="11"/>
      <c r="J634" s="12"/>
      <c r="K634" s="12"/>
      <c r="L634" s="52"/>
      <c r="M634" s="10"/>
      <c r="N634" s="114">
        <f ca="1">$J$3-J634</f>
        <v>46240.46377638889</v>
      </c>
      <c r="O634" s="11"/>
      <c r="P634" s="39"/>
      <c r="Q634" s="39"/>
      <c r="R634" s="39"/>
      <c r="S634" s="37">
        <f t="shared" si="115"/>
        <v>0</v>
      </c>
      <c r="T634" s="37">
        <f t="shared" si="116"/>
        <v>0</v>
      </c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</row>
    <row r="635" spans="1:31" ht="14.25" customHeight="1">
      <c r="A635" s="277" t="s">
        <v>5111</v>
      </c>
      <c r="B635" s="9" t="s">
        <v>21</v>
      </c>
      <c r="C635" s="9"/>
      <c r="D635" s="9"/>
      <c r="E635" s="90"/>
      <c r="F635" s="9"/>
      <c r="G635" s="10"/>
      <c r="H635" s="9"/>
      <c r="I635" s="11"/>
      <c r="J635" s="12"/>
      <c r="K635" s="12"/>
      <c r="L635" s="52"/>
      <c r="M635" s="10"/>
      <c r="N635" s="9"/>
      <c r="O635" s="11"/>
      <c r="P635" s="39"/>
      <c r="Q635" s="39"/>
      <c r="R635" s="39"/>
      <c r="S635" s="37"/>
      <c r="T635" s="37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</row>
    <row r="636" spans="1:31">
      <c r="A636" s="277" t="s">
        <v>5112</v>
      </c>
      <c r="B636" s="9" t="s">
        <v>21</v>
      </c>
      <c r="C636" s="9"/>
      <c r="D636" s="9"/>
      <c r="E636" s="90"/>
      <c r="F636" s="9"/>
      <c r="G636" s="94" t="s">
        <v>24</v>
      </c>
      <c r="H636" s="95" t="s">
        <v>364</v>
      </c>
      <c r="I636" s="104"/>
      <c r="J636" s="105"/>
      <c r="K636" s="105"/>
      <c r="L636" s="106">
        <f>SUM(L637:L645)</f>
        <v>40565824</v>
      </c>
      <c r="M636" s="107"/>
      <c r="N636" s="108" t="s">
        <v>26</v>
      </c>
      <c r="O636" s="108"/>
      <c r="P636" s="108"/>
      <c r="Q636" s="108"/>
      <c r="R636" s="108"/>
      <c r="S636" s="106">
        <f>SUM(S637:S645)</f>
        <v>40565824</v>
      </c>
      <c r="T636" s="106">
        <f>SUM(T637:T645)</f>
        <v>0</v>
      </c>
      <c r="U636" s="10"/>
      <c r="V636" s="52">
        <f>L636-S636</f>
        <v>0</v>
      </c>
      <c r="W636" s="52">
        <f>T636-V636</f>
        <v>0</v>
      </c>
      <c r="X636" s="10"/>
      <c r="Y636" s="10"/>
      <c r="Z636" s="10"/>
      <c r="AA636" s="10"/>
      <c r="AB636" s="10"/>
      <c r="AC636" s="10"/>
      <c r="AD636" s="10"/>
      <c r="AE636" s="10"/>
    </row>
    <row r="637" spans="1:31" ht="14.25" hidden="1" customHeight="1">
      <c r="A637" s="277" t="s">
        <v>5113</v>
      </c>
      <c r="B637" s="9" t="s">
        <v>21</v>
      </c>
      <c r="C637" s="9">
        <v>2025</v>
      </c>
      <c r="D637" s="9" t="s">
        <v>27</v>
      </c>
      <c r="E637" s="90" t="s">
        <v>23</v>
      </c>
      <c r="F637" s="9" t="s">
        <v>7</v>
      </c>
      <c r="G637" s="10"/>
      <c r="H637" s="96">
        <v>250157</v>
      </c>
      <c r="I637" s="109" t="s">
        <v>364</v>
      </c>
      <c r="J637" s="115">
        <v>45699</v>
      </c>
      <c r="K637" s="115">
        <v>45731</v>
      </c>
      <c r="L637" s="116">
        <v>10464920</v>
      </c>
      <c r="M637" s="117" t="s">
        <v>365</v>
      </c>
      <c r="N637" s="34" t="s">
        <v>29</v>
      </c>
      <c r="O637" s="31">
        <f>SUM(L637:L640)</f>
        <v>14669964</v>
      </c>
      <c r="P637" s="113">
        <v>45783</v>
      </c>
      <c r="Q637" s="113">
        <v>45783</v>
      </c>
      <c r="R637" s="113">
        <v>45783</v>
      </c>
      <c r="S637" s="37">
        <f t="shared" ref="S637:S644" si="117">IF(R637="",0,L637)</f>
        <v>10464920</v>
      </c>
      <c r="T637" s="37">
        <f t="shared" ref="T637:T644" si="118">L637-S637</f>
        <v>0</v>
      </c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</row>
    <row r="638" spans="1:31" ht="14.25" hidden="1" customHeight="1">
      <c r="A638" s="277" t="s">
        <v>5114</v>
      </c>
      <c r="B638" s="9" t="s">
        <v>21</v>
      </c>
      <c r="C638" s="9">
        <v>2025</v>
      </c>
      <c r="D638" s="9" t="s">
        <v>27</v>
      </c>
      <c r="E638" s="90" t="s">
        <v>23</v>
      </c>
      <c r="F638" s="9" t="s">
        <v>7</v>
      </c>
      <c r="G638" s="10"/>
      <c r="H638" s="96">
        <v>250327</v>
      </c>
      <c r="I638" s="109" t="s">
        <v>364</v>
      </c>
      <c r="J638" s="115">
        <v>45721</v>
      </c>
      <c r="K638" s="115">
        <v>45733</v>
      </c>
      <c r="L638" s="116">
        <v>2578200</v>
      </c>
      <c r="M638" s="117" t="s">
        <v>366</v>
      </c>
      <c r="N638" s="34" t="s">
        <v>29</v>
      </c>
      <c r="O638" s="11"/>
      <c r="P638" s="113">
        <v>45783</v>
      </c>
      <c r="Q638" s="113">
        <v>45783</v>
      </c>
      <c r="R638" s="113">
        <v>45783</v>
      </c>
      <c r="S638" s="37">
        <f t="shared" si="117"/>
        <v>2578200</v>
      </c>
      <c r="T638" s="37">
        <f t="shared" si="118"/>
        <v>0</v>
      </c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</row>
    <row r="639" spans="1:31" ht="14.25" hidden="1" customHeight="1">
      <c r="A639" s="277" t="s">
        <v>5115</v>
      </c>
      <c r="B639" s="9" t="s">
        <v>21</v>
      </c>
      <c r="C639" s="9">
        <v>2025</v>
      </c>
      <c r="D639" s="9" t="s">
        <v>27</v>
      </c>
      <c r="E639" s="90" t="s">
        <v>23</v>
      </c>
      <c r="F639" s="9" t="s">
        <v>7</v>
      </c>
      <c r="G639" s="10"/>
      <c r="H639" s="96">
        <v>250325</v>
      </c>
      <c r="I639" s="109" t="s">
        <v>364</v>
      </c>
      <c r="J639" s="115">
        <v>45721</v>
      </c>
      <c r="K639" s="115">
        <v>45733</v>
      </c>
      <c r="L639" s="116">
        <v>472344</v>
      </c>
      <c r="M639" s="117" t="s">
        <v>367</v>
      </c>
      <c r="N639" s="34" t="s">
        <v>29</v>
      </c>
      <c r="O639" s="11"/>
      <c r="P639" s="113">
        <v>45783</v>
      </c>
      <c r="Q639" s="113">
        <v>45783</v>
      </c>
      <c r="R639" s="113">
        <v>45783</v>
      </c>
      <c r="S639" s="37">
        <f t="shared" si="117"/>
        <v>472344</v>
      </c>
      <c r="T639" s="37">
        <f t="shared" si="118"/>
        <v>0</v>
      </c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</row>
    <row r="640" spans="1:31" ht="14.25" hidden="1" customHeight="1">
      <c r="A640" s="277" t="s">
        <v>5116</v>
      </c>
      <c r="B640" s="9" t="s">
        <v>21</v>
      </c>
      <c r="C640" s="9">
        <v>2025</v>
      </c>
      <c r="D640" s="9" t="s">
        <v>27</v>
      </c>
      <c r="E640" s="90" t="s">
        <v>23</v>
      </c>
      <c r="F640" s="9" t="s">
        <v>7</v>
      </c>
      <c r="G640" s="10"/>
      <c r="H640" s="96">
        <v>250350</v>
      </c>
      <c r="I640" s="109" t="s">
        <v>364</v>
      </c>
      <c r="J640" s="115">
        <v>45728</v>
      </c>
      <c r="K640" s="115">
        <v>45757</v>
      </c>
      <c r="L640" s="116">
        <v>1154500</v>
      </c>
      <c r="M640" s="117" t="s">
        <v>368</v>
      </c>
      <c r="N640" s="34" t="s">
        <v>29</v>
      </c>
      <c r="O640" s="11"/>
      <c r="P640" s="113">
        <v>45783</v>
      </c>
      <c r="Q640" s="113">
        <v>45783</v>
      </c>
      <c r="R640" s="113">
        <v>45783</v>
      </c>
      <c r="S640" s="37">
        <f t="shared" si="117"/>
        <v>1154500</v>
      </c>
      <c r="T640" s="37">
        <f t="shared" si="118"/>
        <v>0</v>
      </c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</row>
    <row r="641" spans="1:31" ht="14.25" hidden="1" customHeight="1">
      <c r="A641" s="277" t="s">
        <v>5117</v>
      </c>
      <c r="B641" s="9" t="s">
        <v>21</v>
      </c>
      <c r="C641" s="9">
        <v>2025</v>
      </c>
      <c r="D641" s="9" t="s">
        <v>27</v>
      </c>
      <c r="E641" s="90" t="s">
        <v>23</v>
      </c>
      <c r="F641" s="9" t="s">
        <v>7</v>
      </c>
      <c r="G641" s="10"/>
      <c r="H641" s="96">
        <v>250517</v>
      </c>
      <c r="I641" s="109" t="s">
        <v>364</v>
      </c>
      <c r="J641" s="115">
        <v>45785</v>
      </c>
      <c r="K641" s="115">
        <v>45817</v>
      </c>
      <c r="L641" s="116">
        <v>14506688</v>
      </c>
      <c r="M641" s="117" t="s">
        <v>369</v>
      </c>
      <c r="N641" s="34" t="s">
        <v>29</v>
      </c>
      <c r="O641" s="11"/>
      <c r="P641" s="113">
        <v>45857</v>
      </c>
      <c r="Q641" s="113">
        <v>45857</v>
      </c>
      <c r="R641" s="113">
        <v>45857</v>
      </c>
      <c r="S641" s="37">
        <f t="shared" si="117"/>
        <v>14506688</v>
      </c>
      <c r="T641" s="37">
        <f t="shared" si="118"/>
        <v>0</v>
      </c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</row>
    <row r="642" spans="1:31" ht="14.25" hidden="1" customHeight="1">
      <c r="A642" s="277" t="s">
        <v>5118</v>
      </c>
      <c r="B642" s="9" t="s">
        <v>21</v>
      </c>
      <c r="C642" s="9">
        <v>2025</v>
      </c>
      <c r="D642" s="9" t="s">
        <v>27</v>
      </c>
      <c r="E642" s="90" t="s">
        <v>23</v>
      </c>
      <c r="F642" s="9" t="s">
        <v>7</v>
      </c>
      <c r="G642" s="10"/>
      <c r="H642" s="96">
        <v>250629</v>
      </c>
      <c r="I642" s="109" t="s">
        <v>364</v>
      </c>
      <c r="J642" s="115">
        <v>45832</v>
      </c>
      <c r="K642" s="115">
        <v>45852</v>
      </c>
      <c r="L642" s="116">
        <v>4310928</v>
      </c>
      <c r="M642" s="117" t="s">
        <v>370</v>
      </c>
      <c r="N642" s="34" t="s">
        <v>29</v>
      </c>
      <c r="O642" s="31">
        <f>SUM(L642:L643)</f>
        <v>11389172</v>
      </c>
      <c r="P642" s="113">
        <v>45932</v>
      </c>
      <c r="Q642" s="113">
        <v>45932</v>
      </c>
      <c r="R642" s="113">
        <v>45932</v>
      </c>
      <c r="S642" s="37">
        <f t="shared" si="117"/>
        <v>4310928</v>
      </c>
      <c r="T642" s="37">
        <f t="shared" si="118"/>
        <v>0</v>
      </c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</row>
    <row r="643" spans="1:31" ht="14.25" customHeight="1">
      <c r="A643" s="277" t="s">
        <v>5119</v>
      </c>
      <c r="B643" s="9" t="s">
        <v>21</v>
      </c>
      <c r="C643" s="9">
        <v>2025</v>
      </c>
      <c r="D643" s="9" t="s">
        <v>27</v>
      </c>
      <c r="E643" s="90" t="s">
        <v>23</v>
      </c>
      <c r="F643" s="9" t="s">
        <v>7</v>
      </c>
      <c r="G643" s="10"/>
      <c r="H643" s="96">
        <v>250834</v>
      </c>
      <c r="I643" s="109" t="s">
        <v>364</v>
      </c>
      <c r="J643" s="115">
        <v>45869</v>
      </c>
      <c r="K643" s="115">
        <v>45883</v>
      </c>
      <c r="L643" s="116">
        <v>7078244</v>
      </c>
      <c r="M643" s="117" t="s">
        <v>371</v>
      </c>
      <c r="N643" s="34" t="s">
        <v>29</v>
      </c>
      <c r="O643" s="11"/>
      <c r="P643" s="113">
        <v>45932</v>
      </c>
      <c r="Q643" s="113">
        <v>45932</v>
      </c>
      <c r="R643" s="113">
        <v>45932</v>
      </c>
      <c r="S643" s="37">
        <f t="shared" si="117"/>
        <v>7078244</v>
      </c>
      <c r="T643" s="37">
        <f t="shared" si="118"/>
        <v>0</v>
      </c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</row>
    <row r="644" spans="1:31" ht="14.25" customHeight="1">
      <c r="A644" s="277" t="s">
        <v>5120</v>
      </c>
      <c r="B644" s="9" t="s">
        <v>21</v>
      </c>
      <c r="C644" s="9"/>
      <c r="D644" s="9"/>
      <c r="E644" s="90"/>
      <c r="F644" s="9"/>
      <c r="G644" s="10"/>
      <c r="H644" s="9"/>
      <c r="I644" s="11"/>
      <c r="J644" s="12"/>
      <c r="K644" s="12"/>
      <c r="L644" s="27"/>
      <c r="M644" s="10"/>
      <c r="N644" s="114">
        <f ca="1">$J$3-J644</f>
        <v>46240.46377638889</v>
      </c>
      <c r="O644" s="11"/>
      <c r="P644" s="39"/>
      <c r="Q644" s="39"/>
      <c r="R644" s="39"/>
      <c r="S644" s="37">
        <f t="shared" si="117"/>
        <v>0</v>
      </c>
      <c r="T644" s="37">
        <f t="shared" si="118"/>
        <v>0</v>
      </c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</row>
    <row r="645" spans="1:31">
      <c r="A645" s="277" t="s">
        <v>5121</v>
      </c>
      <c r="B645" s="9" t="s">
        <v>21</v>
      </c>
      <c r="C645" s="9"/>
      <c r="D645" s="9"/>
      <c r="E645" s="90"/>
      <c r="F645" s="9"/>
      <c r="G645" s="10"/>
      <c r="H645" s="9"/>
      <c r="I645" s="11"/>
      <c r="J645" s="12"/>
      <c r="K645" s="12"/>
      <c r="L645" s="27"/>
      <c r="M645" s="10"/>
      <c r="N645" s="34"/>
      <c r="O645" s="11"/>
      <c r="P645" s="39"/>
      <c r="Q645" s="39"/>
      <c r="R645" s="39"/>
      <c r="S645" s="37"/>
      <c r="T645" s="37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</row>
    <row r="646" spans="1:31">
      <c r="A646" s="277" t="s">
        <v>5122</v>
      </c>
      <c r="B646" s="9" t="s">
        <v>21</v>
      </c>
      <c r="C646" s="9"/>
      <c r="D646" s="9"/>
      <c r="E646" s="90"/>
      <c r="F646" s="9"/>
      <c r="G646" s="94" t="s">
        <v>24</v>
      </c>
      <c r="H646" s="95" t="s">
        <v>7460</v>
      </c>
      <c r="I646" s="104"/>
      <c r="J646" s="105"/>
      <c r="K646" s="105"/>
      <c r="L646" s="106">
        <f>SUM(L647:L648)</f>
        <v>1209989</v>
      </c>
      <c r="M646" s="107"/>
      <c r="N646" s="108" t="s">
        <v>26</v>
      </c>
      <c r="O646" s="108"/>
      <c r="P646" s="108"/>
      <c r="Q646" s="108"/>
      <c r="R646" s="108"/>
      <c r="S646" s="106">
        <f>SUM(S647:S648)</f>
        <v>0</v>
      </c>
      <c r="T646" s="106">
        <f>SUM(T647:T648)</f>
        <v>1209989</v>
      </c>
      <c r="U646" s="10"/>
      <c r="V646" s="52">
        <f>L646-S646</f>
        <v>1209989</v>
      </c>
      <c r="W646" s="52">
        <f>T646-V646</f>
        <v>0</v>
      </c>
      <c r="X646" s="10"/>
      <c r="Y646" s="10"/>
      <c r="Z646" s="10"/>
      <c r="AA646" s="10"/>
      <c r="AB646" s="10"/>
      <c r="AC646" s="10"/>
      <c r="AD646" s="10"/>
      <c r="AE646" s="10"/>
    </row>
    <row r="647" spans="1:31" ht="14.25" customHeight="1">
      <c r="A647" s="277" t="s">
        <v>5123</v>
      </c>
      <c r="B647" s="9" t="s">
        <v>21</v>
      </c>
      <c r="C647" s="9">
        <v>2026</v>
      </c>
      <c r="D647" s="9" t="s">
        <v>77</v>
      </c>
      <c r="E647" s="90" t="s">
        <v>23</v>
      </c>
      <c r="F647" s="9" t="s">
        <v>7</v>
      </c>
      <c r="G647" s="10"/>
      <c r="H647" s="9">
        <v>260410</v>
      </c>
      <c r="I647" s="11" t="s">
        <v>7460</v>
      </c>
      <c r="J647" s="12">
        <v>46200</v>
      </c>
      <c r="K647" s="12">
        <v>46234</v>
      </c>
      <c r="L647" s="27">
        <v>1209989</v>
      </c>
      <c r="M647" s="10" t="s">
        <v>7930</v>
      </c>
      <c r="N647" s="34">
        <f ca="1">$J$3-J647</f>
        <v>40.463776388889528</v>
      </c>
      <c r="O647" s="11"/>
      <c r="P647" s="39"/>
      <c r="Q647" s="39"/>
      <c r="R647" s="39"/>
      <c r="S647" s="37">
        <f>IF(R647="",0,L647)</f>
        <v>0</v>
      </c>
      <c r="T647" s="37">
        <f>L647-S647</f>
        <v>1209989</v>
      </c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</row>
    <row r="648" spans="1:31" ht="14.25" customHeight="1">
      <c r="A648" s="277" t="s">
        <v>5124</v>
      </c>
      <c r="B648" s="9" t="s">
        <v>21</v>
      </c>
      <c r="C648" s="9"/>
      <c r="D648" s="9"/>
      <c r="E648" s="90"/>
      <c r="F648" s="9"/>
      <c r="G648" s="10"/>
      <c r="H648" s="9"/>
      <c r="I648" s="11"/>
      <c r="J648" s="12"/>
      <c r="K648" s="12"/>
      <c r="L648" s="27"/>
      <c r="M648" s="10"/>
      <c r="N648" s="114">
        <f ca="1">$J$3-J648</f>
        <v>46240.46377638889</v>
      </c>
      <c r="O648" s="11"/>
      <c r="P648" s="39"/>
      <c r="Q648" s="39"/>
      <c r="R648" s="39"/>
      <c r="S648" s="37">
        <f>IF(R648="",0,L648)</f>
        <v>0</v>
      </c>
      <c r="T648" s="37">
        <f>L648-S648</f>
        <v>0</v>
      </c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</row>
    <row r="649" spans="1:31">
      <c r="A649" s="277" t="s">
        <v>5125</v>
      </c>
      <c r="B649" s="9"/>
      <c r="C649" s="9"/>
      <c r="D649" s="9"/>
      <c r="E649" s="90"/>
      <c r="F649" s="9"/>
      <c r="G649" s="10"/>
      <c r="H649" s="9"/>
      <c r="I649" s="11"/>
      <c r="J649" s="12"/>
      <c r="K649" s="12"/>
      <c r="L649" s="27"/>
      <c r="M649" s="10"/>
      <c r="N649" s="34"/>
      <c r="O649" s="11"/>
      <c r="P649" s="39"/>
      <c r="Q649" s="39"/>
      <c r="R649" s="39"/>
      <c r="S649" s="37"/>
      <c r="T649" s="37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</row>
    <row r="650" spans="1:31">
      <c r="A650" s="277" t="s">
        <v>5126</v>
      </c>
      <c r="B650" s="9" t="s">
        <v>21</v>
      </c>
      <c r="C650" s="9"/>
      <c r="D650" s="9"/>
      <c r="E650" s="90"/>
      <c r="F650" s="9"/>
      <c r="G650" s="94" t="s">
        <v>24</v>
      </c>
      <c r="H650" s="95" t="s">
        <v>4397</v>
      </c>
      <c r="I650" s="104"/>
      <c r="J650" s="105"/>
      <c r="K650" s="105"/>
      <c r="L650" s="106">
        <f>SUM(L651:L652)</f>
        <v>1776000</v>
      </c>
      <c r="M650" s="107"/>
      <c r="N650" s="108" t="s">
        <v>26</v>
      </c>
      <c r="O650" s="108"/>
      <c r="P650" s="108"/>
      <c r="Q650" s="108"/>
      <c r="R650" s="108"/>
      <c r="S650" s="106">
        <f>SUM(S651:S652)</f>
        <v>0</v>
      </c>
      <c r="T650" s="106">
        <f>SUM(T651:T652)</f>
        <v>1776000</v>
      </c>
      <c r="U650" s="10"/>
      <c r="V650" s="52">
        <f>L650-S650</f>
        <v>1776000</v>
      </c>
      <c r="W650" s="52">
        <f>T650-V650</f>
        <v>0</v>
      </c>
      <c r="X650" s="10"/>
      <c r="Y650" s="10"/>
      <c r="Z650" s="10"/>
      <c r="AA650" s="10"/>
      <c r="AB650" s="10"/>
      <c r="AC650" s="10"/>
      <c r="AD650" s="10"/>
      <c r="AE650" s="10"/>
    </row>
    <row r="651" spans="1:31" ht="14.25" customHeight="1">
      <c r="A651" s="277" t="s">
        <v>5127</v>
      </c>
      <c r="B651" s="9" t="s">
        <v>21</v>
      </c>
      <c r="C651" s="9">
        <v>2026</v>
      </c>
      <c r="D651" s="9" t="s">
        <v>77</v>
      </c>
      <c r="E651" s="90" t="s">
        <v>23</v>
      </c>
      <c r="F651" s="9" t="s">
        <v>7</v>
      </c>
      <c r="G651" s="10"/>
      <c r="H651" s="9">
        <v>260125</v>
      </c>
      <c r="I651" s="11" t="s">
        <v>4397</v>
      </c>
      <c r="J651" s="12">
        <v>46072</v>
      </c>
      <c r="K651" s="12">
        <v>46077</v>
      </c>
      <c r="L651" s="27">
        <v>1776000</v>
      </c>
      <c r="M651" s="10" t="s">
        <v>4398</v>
      </c>
      <c r="N651" s="34">
        <f ca="1">$J$3-J651</f>
        <v>168.46377638888953</v>
      </c>
      <c r="O651" s="11"/>
      <c r="P651" s="39"/>
      <c r="Q651" s="39"/>
      <c r="R651" s="39"/>
      <c r="S651" s="37">
        <f>IF(R651="",0,L651)</f>
        <v>0</v>
      </c>
      <c r="T651" s="37">
        <f>L651-S651</f>
        <v>1776000</v>
      </c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</row>
    <row r="652" spans="1:31" ht="14.25" customHeight="1">
      <c r="A652" s="277" t="s">
        <v>5128</v>
      </c>
      <c r="B652" s="9" t="s">
        <v>21</v>
      </c>
      <c r="C652" s="9"/>
      <c r="D652" s="9"/>
      <c r="E652" s="90"/>
      <c r="F652" s="9"/>
      <c r="G652" s="10"/>
      <c r="H652" s="9"/>
      <c r="I652" s="11"/>
      <c r="J652" s="12"/>
      <c r="K652" s="12"/>
      <c r="L652" s="27"/>
      <c r="M652" s="10"/>
      <c r="N652" s="114">
        <f ca="1">$J$3-J652</f>
        <v>46240.46377638889</v>
      </c>
      <c r="O652" s="11"/>
      <c r="P652" s="39"/>
      <c r="Q652" s="39"/>
      <c r="R652" s="39"/>
      <c r="S652" s="37">
        <f>IF(R652="",0,L652)</f>
        <v>0</v>
      </c>
      <c r="T652" s="37">
        <f>L652-S652</f>
        <v>0</v>
      </c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</row>
    <row r="653" spans="1:31" ht="14.25" customHeight="1">
      <c r="A653" s="277" t="s">
        <v>5129</v>
      </c>
      <c r="B653" s="9" t="s">
        <v>21</v>
      </c>
      <c r="C653" s="9"/>
      <c r="D653" s="9"/>
      <c r="E653" s="90"/>
      <c r="F653" s="9"/>
      <c r="G653" s="10"/>
      <c r="H653" s="9"/>
      <c r="I653" s="11"/>
      <c r="J653" s="12"/>
      <c r="K653" s="12"/>
      <c r="L653" s="27"/>
      <c r="M653" s="10"/>
      <c r="N653" s="34"/>
      <c r="O653" s="11"/>
      <c r="P653" s="39"/>
      <c r="Q653" s="39"/>
      <c r="R653" s="39"/>
      <c r="S653" s="37"/>
      <c r="T653" s="37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</row>
    <row r="654" spans="1:31">
      <c r="A654" s="277" t="s">
        <v>5130</v>
      </c>
      <c r="B654" s="9" t="s">
        <v>21</v>
      </c>
      <c r="C654" s="9"/>
      <c r="D654" s="9"/>
      <c r="E654" s="90"/>
      <c r="F654" s="9"/>
      <c r="G654" s="94" t="s">
        <v>24</v>
      </c>
      <c r="H654" s="95" t="s">
        <v>7060</v>
      </c>
      <c r="I654" s="104"/>
      <c r="J654" s="105"/>
      <c r="K654" s="105"/>
      <c r="L654" s="106">
        <f>SUM(L655:L658)</f>
        <v>16677772</v>
      </c>
      <c r="M654" s="107"/>
      <c r="N654" s="108" t="s">
        <v>26</v>
      </c>
      <c r="O654" s="108"/>
      <c r="P654" s="108"/>
      <c r="Q654" s="108"/>
      <c r="R654" s="108"/>
      <c r="S654" s="106">
        <f>SUM(S655:S658)</f>
        <v>0</v>
      </c>
      <c r="T654" s="106">
        <f>SUM(T655:T658)</f>
        <v>16677772</v>
      </c>
      <c r="U654" s="10"/>
      <c r="V654" s="52">
        <f>L654-S654</f>
        <v>16677772</v>
      </c>
      <c r="W654" s="52">
        <f>T654-V654</f>
        <v>0</v>
      </c>
      <c r="X654" s="10"/>
      <c r="Y654" s="10"/>
      <c r="Z654" s="10"/>
      <c r="AA654" s="10"/>
      <c r="AB654" s="10"/>
      <c r="AC654" s="10"/>
      <c r="AD654" s="10"/>
      <c r="AE654" s="10"/>
    </row>
    <row r="655" spans="1:31" ht="14.25" customHeight="1">
      <c r="A655" s="277" t="s">
        <v>5131</v>
      </c>
      <c r="B655" s="9" t="s">
        <v>21</v>
      </c>
      <c r="C655" s="9">
        <v>2026</v>
      </c>
      <c r="D655" s="9" t="s">
        <v>77</v>
      </c>
      <c r="E655" s="90" t="s">
        <v>23</v>
      </c>
      <c r="F655" s="9"/>
      <c r="G655" s="10"/>
      <c r="H655" s="9">
        <v>260222</v>
      </c>
      <c r="I655" s="11" t="s">
        <v>7060</v>
      </c>
      <c r="J655" s="12">
        <v>46133</v>
      </c>
      <c r="K655" s="12">
        <v>46163</v>
      </c>
      <c r="L655" s="27">
        <v>7939852</v>
      </c>
      <c r="M655" s="10" t="s">
        <v>7061</v>
      </c>
      <c r="N655" s="34">
        <f t="shared" ref="N655:N656" ca="1" si="119">$J$3-J655</f>
        <v>107.46377638888953</v>
      </c>
      <c r="O655" s="11"/>
      <c r="P655" s="39"/>
      <c r="Q655" s="39"/>
      <c r="R655" s="39"/>
      <c r="S655" s="37">
        <f t="shared" ref="S655:S656" si="120">IF(R655="",0,L655)</f>
        <v>0</v>
      </c>
      <c r="T655" s="37">
        <f t="shared" ref="T655:T656" si="121">L655-S655</f>
        <v>7939852</v>
      </c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</row>
    <row r="656" spans="1:31" ht="14.25" customHeight="1">
      <c r="A656" s="277" t="s">
        <v>5132</v>
      </c>
      <c r="B656" s="9" t="s">
        <v>21</v>
      </c>
      <c r="C656" s="9">
        <v>2026</v>
      </c>
      <c r="D656" s="9" t="s">
        <v>77</v>
      </c>
      <c r="E656" s="90" t="s">
        <v>23</v>
      </c>
      <c r="F656" s="9"/>
      <c r="G656" s="10"/>
      <c r="H656" s="9">
        <v>260221</v>
      </c>
      <c r="I656" s="11" t="s">
        <v>7060</v>
      </c>
      <c r="J656" s="12">
        <v>46133</v>
      </c>
      <c r="K656" s="12">
        <v>46163</v>
      </c>
      <c r="L656" s="27">
        <v>532800</v>
      </c>
      <c r="M656" s="10" t="s">
        <v>7062</v>
      </c>
      <c r="N656" s="34">
        <f t="shared" ca="1" si="119"/>
        <v>107.46377638888953</v>
      </c>
      <c r="O656" s="11"/>
      <c r="P656" s="39"/>
      <c r="Q656" s="39"/>
      <c r="R656" s="39"/>
      <c r="S656" s="37">
        <f t="shared" si="120"/>
        <v>0</v>
      </c>
      <c r="T656" s="37">
        <f t="shared" si="121"/>
        <v>532800</v>
      </c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</row>
    <row r="657" spans="1:31" ht="14.25" customHeight="1">
      <c r="A657" s="277" t="s">
        <v>5133</v>
      </c>
      <c r="B657" s="9" t="s">
        <v>21</v>
      </c>
      <c r="C657" s="9">
        <v>2026</v>
      </c>
      <c r="D657" s="9" t="s">
        <v>77</v>
      </c>
      <c r="E657" s="90" t="s">
        <v>23</v>
      </c>
      <c r="F657" s="9"/>
      <c r="G657" s="10"/>
      <c r="H657" s="9">
        <v>260289</v>
      </c>
      <c r="I657" s="11" t="s">
        <v>7060</v>
      </c>
      <c r="J657" s="12">
        <v>46157</v>
      </c>
      <c r="K657" s="12">
        <v>46182</v>
      </c>
      <c r="L657" s="27">
        <v>8205120</v>
      </c>
      <c r="M657" s="10" t="s">
        <v>7115</v>
      </c>
      <c r="N657" s="34">
        <f t="shared" ref="N657" ca="1" si="122">$J$3-J657</f>
        <v>83.463776388889528</v>
      </c>
      <c r="O657" s="11"/>
      <c r="P657" s="39"/>
      <c r="Q657" s="39"/>
      <c r="R657" s="39"/>
      <c r="S657" s="37">
        <f t="shared" ref="S657" si="123">IF(R657="",0,L657)</f>
        <v>0</v>
      </c>
      <c r="T657" s="37">
        <f t="shared" ref="T657" si="124">L657-S657</f>
        <v>8205120</v>
      </c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</row>
    <row r="658" spans="1:31" ht="14.25" customHeight="1">
      <c r="A658" s="277" t="s">
        <v>5134</v>
      </c>
      <c r="B658" s="9" t="s">
        <v>21</v>
      </c>
      <c r="C658" s="9"/>
      <c r="D658" s="9"/>
      <c r="E658" s="90"/>
      <c r="F658" s="9"/>
      <c r="G658" s="10"/>
      <c r="H658" s="9"/>
      <c r="I658" s="11"/>
      <c r="J658" s="12"/>
      <c r="K658" s="12"/>
      <c r="L658" s="27"/>
      <c r="M658" s="10"/>
      <c r="N658" s="114">
        <f ca="1">$J$3-J658</f>
        <v>46240.46377638889</v>
      </c>
      <c r="O658" s="11"/>
      <c r="P658" s="39"/>
      <c r="Q658" s="39"/>
      <c r="R658" s="39"/>
      <c r="S658" s="37">
        <f t="shared" ref="S658" si="125">IF(R658="",0,L658)</f>
        <v>0</v>
      </c>
      <c r="T658" s="37">
        <f t="shared" ref="T658" si="126">L658-S658</f>
        <v>0</v>
      </c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</row>
    <row r="659" spans="1:31" ht="14.25" customHeight="1">
      <c r="A659" s="277" t="s">
        <v>5135</v>
      </c>
      <c r="B659" s="9" t="s">
        <v>21</v>
      </c>
      <c r="C659" s="9"/>
      <c r="D659" s="9"/>
      <c r="E659" s="90"/>
      <c r="F659" s="9"/>
      <c r="G659" s="10"/>
      <c r="H659" s="9"/>
      <c r="I659" s="11"/>
      <c r="J659" s="12"/>
      <c r="K659" s="12"/>
      <c r="L659" s="27"/>
      <c r="M659" s="10"/>
      <c r="N659" s="34"/>
      <c r="O659" s="11"/>
      <c r="P659" s="39"/>
      <c r="Q659" s="39"/>
      <c r="R659" s="39"/>
      <c r="S659" s="37"/>
      <c r="T659" s="37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</row>
    <row r="660" spans="1:31">
      <c r="A660" s="277" t="s">
        <v>5136</v>
      </c>
      <c r="B660" s="9" t="s">
        <v>21</v>
      </c>
      <c r="C660" s="9"/>
      <c r="D660" s="9"/>
      <c r="E660" s="90"/>
      <c r="F660" s="9"/>
      <c r="G660" s="94" t="s">
        <v>24</v>
      </c>
      <c r="H660" s="95" t="s">
        <v>4085</v>
      </c>
      <c r="I660" s="104"/>
      <c r="J660" s="105"/>
      <c r="K660" s="105"/>
      <c r="L660" s="106">
        <f>SUM(L661:L664)</f>
        <v>14414198</v>
      </c>
      <c r="M660" s="107"/>
      <c r="N660" s="108" t="s">
        <v>26</v>
      </c>
      <c r="O660" s="108"/>
      <c r="P660" s="108"/>
      <c r="Q660" s="108"/>
      <c r="R660" s="108"/>
      <c r="S660" s="106">
        <f>SUM(S661:S664)</f>
        <v>8014200</v>
      </c>
      <c r="T660" s="106">
        <f>SUM(T661:T664)</f>
        <v>6399998</v>
      </c>
      <c r="U660" s="10"/>
      <c r="V660" s="52">
        <f>L660-S660</f>
        <v>6399998</v>
      </c>
      <c r="W660" s="52">
        <f>T660-V660</f>
        <v>0</v>
      </c>
      <c r="X660" s="10"/>
      <c r="Y660" s="10"/>
      <c r="Z660" s="10"/>
      <c r="AA660" s="10"/>
      <c r="AB660" s="10"/>
      <c r="AC660" s="10"/>
      <c r="AD660" s="10"/>
      <c r="AE660" s="10"/>
    </row>
    <row r="661" spans="1:31">
      <c r="A661" s="277" t="s">
        <v>5137</v>
      </c>
      <c r="B661" s="9" t="s">
        <v>21</v>
      </c>
      <c r="C661" s="9">
        <v>2025</v>
      </c>
      <c r="D661" s="9" t="s">
        <v>27</v>
      </c>
      <c r="E661" s="90" t="s">
        <v>23</v>
      </c>
      <c r="F661" s="9"/>
      <c r="G661" s="120"/>
      <c r="H661" s="121">
        <v>251225</v>
      </c>
      <c r="I661" s="121" t="s">
        <v>4085</v>
      </c>
      <c r="J661" s="110">
        <v>45988</v>
      </c>
      <c r="K661" s="110">
        <v>46000</v>
      </c>
      <c r="L661" s="111">
        <v>3796200</v>
      </c>
      <c r="M661" s="112" t="s">
        <v>7353</v>
      </c>
      <c r="N661" s="34" t="s">
        <v>29</v>
      </c>
      <c r="O661" s="149"/>
      <c r="P661" s="124">
        <v>46209</v>
      </c>
      <c r="Q661" s="124">
        <v>46209</v>
      </c>
      <c r="R661" s="124">
        <v>46209</v>
      </c>
      <c r="S661" s="37">
        <f>IF(R661="",0,L661)</f>
        <v>3796200</v>
      </c>
      <c r="T661" s="37">
        <f>L661-S661</f>
        <v>0</v>
      </c>
      <c r="U661" s="10"/>
      <c r="V661" s="52"/>
      <c r="W661" s="52"/>
      <c r="X661" s="10"/>
      <c r="Y661" s="10"/>
      <c r="Z661" s="10"/>
      <c r="AA661" s="10"/>
      <c r="AB661" s="10"/>
      <c r="AC661" s="10"/>
      <c r="AD661" s="10"/>
      <c r="AE661" s="10"/>
    </row>
    <row r="662" spans="1:31">
      <c r="A662" s="277" t="s">
        <v>5138</v>
      </c>
      <c r="B662" s="9" t="s">
        <v>21</v>
      </c>
      <c r="C662" s="9">
        <v>2026</v>
      </c>
      <c r="D662" s="9" t="s">
        <v>27</v>
      </c>
      <c r="E662" s="90" t="s">
        <v>23</v>
      </c>
      <c r="F662" s="9"/>
      <c r="G662" s="120"/>
      <c r="H662" s="121">
        <v>260202</v>
      </c>
      <c r="I662" s="121" t="s">
        <v>4085</v>
      </c>
      <c r="J662" s="110">
        <v>46111</v>
      </c>
      <c r="K662" s="110">
        <v>46120</v>
      </c>
      <c r="L662" s="111">
        <v>4218000</v>
      </c>
      <c r="M662" s="112" t="s">
        <v>4501</v>
      </c>
      <c r="N662" s="34" t="s">
        <v>29</v>
      </c>
      <c r="O662" s="149"/>
      <c r="P662" s="124">
        <v>46209</v>
      </c>
      <c r="Q662" s="124">
        <v>46209</v>
      </c>
      <c r="R662" s="124">
        <v>46209</v>
      </c>
      <c r="S662" s="37">
        <f>IF(R662="",0,L662)</f>
        <v>4218000</v>
      </c>
      <c r="T662" s="37">
        <f>L662-S662</f>
        <v>0</v>
      </c>
      <c r="U662" s="10"/>
      <c r="V662" s="52"/>
      <c r="W662" s="52"/>
      <c r="X662" s="10"/>
      <c r="Y662" s="10"/>
      <c r="Z662" s="10"/>
      <c r="AA662" s="10"/>
      <c r="AB662" s="10"/>
      <c r="AC662" s="10"/>
      <c r="AD662" s="10"/>
      <c r="AE662" s="10"/>
    </row>
    <row r="663" spans="1:31">
      <c r="A663" s="277" t="s">
        <v>5139</v>
      </c>
      <c r="B663" s="9" t="s">
        <v>21</v>
      </c>
      <c r="C663" s="9">
        <v>2026</v>
      </c>
      <c r="D663" s="9" t="s">
        <v>77</v>
      </c>
      <c r="E663" s="90" t="s">
        <v>23</v>
      </c>
      <c r="F663" s="9"/>
      <c r="G663" s="120"/>
      <c r="H663" s="126">
        <v>260456</v>
      </c>
      <c r="I663" s="126" t="s">
        <v>4085</v>
      </c>
      <c r="J663" s="127">
        <v>46206</v>
      </c>
      <c r="K663" s="127">
        <v>46214</v>
      </c>
      <c r="L663" s="128">
        <v>6399998</v>
      </c>
      <c r="M663" s="140" t="s">
        <v>7354</v>
      </c>
      <c r="N663" s="34">
        <f t="shared" ref="N663" ca="1" si="127">$J$3-J663</f>
        <v>34.463776388889528</v>
      </c>
      <c r="O663" s="149"/>
      <c r="P663" s="146"/>
      <c r="Q663" s="146"/>
      <c r="R663" s="146"/>
      <c r="S663" s="37">
        <f>IF(R663="",0,L663)</f>
        <v>0</v>
      </c>
      <c r="T663" s="37">
        <f>L663-S663</f>
        <v>6399998</v>
      </c>
      <c r="U663" s="10"/>
      <c r="V663" s="52"/>
      <c r="W663" s="52"/>
      <c r="X663" s="10"/>
      <c r="Y663" s="10"/>
      <c r="Z663" s="10"/>
      <c r="AA663" s="10"/>
      <c r="AB663" s="10"/>
      <c r="AC663" s="10"/>
      <c r="AD663" s="10"/>
      <c r="AE663" s="10"/>
    </row>
    <row r="664" spans="1:31">
      <c r="A664" s="277" t="s">
        <v>5140</v>
      </c>
      <c r="B664" s="9" t="s">
        <v>21</v>
      </c>
      <c r="C664" s="9"/>
      <c r="D664" s="9"/>
      <c r="E664" s="90"/>
      <c r="F664" s="9"/>
      <c r="G664" s="120"/>
      <c r="H664" s="180"/>
      <c r="I664" s="126"/>
      <c r="J664" s="127"/>
      <c r="K664" s="127"/>
      <c r="L664" s="172"/>
      <c r="M664" s="173"/>
      <c r="N664" s="114">
        <f ca="1">$J$3-J664</f>
        <v>46240.46377638889</v>
      </c>
      <c r="O664" s="149"/>
      <c r="P664" s="149"/>
      <c r="Q664" s="149"/>
      <c r="R664" s="149"/>
      <c r="S664" s="37">
        <f>IF(R664="",0,L664)</f>
        <v>0</v>
      </c>
      <c r="T664" s="37">
        <f>L664-S664</f>
        <v>0</v>
      </c>
      <c r="U664" s="10"/>
      <c r="V664" s="52"/>
      <c r="W664" s="52"/>
      <c r="X664" s="10"/>
      <c r="Y664" s="10"/>
      <c r="Z664" s="10"/>
      <c r="AA664" s="10"/>
      <c r="AB664" s="10"/>
      <c r="AC664" s="10"/>
      <c r="AD664" s="10"/>
      <c r="AE664" s="10"/>
    </row>
    <row r="665" spans="1:31" ht="14.25" customHeight="1">
      <c r="A665" s="277" t="s">
        <v>5141</v>
      </c>
      <c r="B665" s="9" t="s">
        <v>21</v>
      </c>
      <c r="C665" s="9"/>
      <c r="D665" s="9"/>
      <c r="E665" s="90"/>
      <c r="F665" s="9"/>
      <c r="G665" s="10"/>
      <c r="H665" s="9"/>
      <c r="I665" s="11"/>
      <c r="J665" s="12"/>
      <c r="K665" s="12"/>
      <c r="L665" s="27"/>
      <c r="M665" s="10"/>
      <c r="N665" s="34"/>
      <c r="O665" s="11"/>
      <c r="P665" s="39"/>
      <c r="Q665" s="39"/>
      <c r="R665" s="39"/>
      <c r="S665" s="37"/>
      <c r="T665" s="37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</row>
    <row r="666" spans="1:31" ht="14.25" customHeight="1">
      <c r="A666" s="277" t="s">
        <v>5142</v>
      </c>
      <c r="B666" s="9" t="s">
        <v>21</v>
      </c>
      <c r="C666" s="9"/>
      <c r="D666" s="9"/>
      <c r="E666" s="90"/>
      <c r="F666" s="9"/>
      <c r="G666" s="94" t="s">
        <v>24</v>
      </c>
      <c r="H666" s="95" t="s">
        <v>372</v>
      </c>
      <c r="I666" s="104"/>
      <c r="J666" s="105"/>
      <c r="K666" s="105"/>
      <c r="L666" s="106">
        <f>SUM(L667:L769)</f>
        <v>623249748</v>
      </c>
      <c r="M666" s="107"/>
      <c r="N666" s="108" t="s">
        <v>26</v>
      </c>
      <c r="O666" s="108"/>
      <c r="P666" s="108"/>
      <c r="Q666" s="108"/>
      <c r="R666" s="108"/>
      <c r="S666" s="106">
        <f>SUM(S667:S769)</f>
        <v>544068632</v>
      </c>
      <c r="T666" s="106">
        <f>SUM(T667:T769)</f>
        <v>79181116</v>
      </c>
      <c r="U666" s="10"/>
      <c r="V666" s="52">
        <f>L666-S666</f>
        <v>79181116</v>
      </c>
      <c r="W666" s="52">
        <f>T666-V666</f>
        <v>0</v>
      </c>
      <c r="X666" s="10"/>
      <c r="Y666" s="10"/>
      <c r="Z666" s="10"/>
      <c r="AA666" s="10"/>
      <c r="AB666" s="10"/>
      <c r="AC666" s="10"/>
      <c r="AD666" s="10"/>
      <c r="AE666" s="10"/>
    </row>
    <row r="667" spans="1:31" hidden="1">
      <c r="A667" s="277" t="s">
        <v>5143</v>
      </c>
      <c r="B667" s="9" t="s">
        <v>21</v>
      </c>
      <c r="C667" s="9">
        <v>2024</v>
      </c>
      <c r="D667" s="9" t="s">
        <v>27</v>
      </c>
      <c r="E667" s="90" t="s">
        <v>23</v>
      </c>
      <c r="F667" s="9" t="s">
        <v>7</v>
      </c>
      <c r="G667" s="10"/>
      <c r="H667" s="96">
        <v>242345</v>
      </c>
      <c r="I667" s="109" t="s">
        <v>372</v>
      </c>
      <c r="J667" s="115">
        <v>45608</v>
      </c>
      <c r="K667" s="119">
        <v>45622</v>
      </c>
      <c r="L667" s="116">
        <v>985957</v>
      </c>
      <c r="M667" s="117" t="s">
        <v>373</v>
      </c>
      <c r="N667" s="34" t="s">
        <v>29</v>
      </c>
      <c r="O667" s="31">
        <f>SUM(L667:L673)</f>
        <v>11418368</v>
      </c>
      <c r="P667" s="113">
        <v>45659</v>
      </c>
      <c r="Q667" s="113">
        <v>45659</v>
      </c>
      <c r="R667" s="113">
        <v>45659</v>
      </c>
      <c r="S667" s="37">
        <f t="shared" ref="S667:S674" si="128">IF(R667="",0,L667)</f>
        <v>985957</v>
      </c>
      <c r="T667" s="37">
        <f t="shared" ref="T667:T674" si="129">L667-S667</f>
        <v>0</v>
      </c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</row>
    <row r="668" spans="1:31" hidden="1">
      <c r="A668" s="277" t="s">
        <v>5144</v>
      </c>
      <c r="B668" s="9" t="s">
        <v>21</v>
      </c>
      <c r="C668" s="9">
        <v>2024</v>
      </c>
      <c r="D668" s="9" t="s">
        <v>27</v>
      </c>
      <c r="E668" s="90" t="s">
        <v>23</v>
      </c>
      <c r="F668" s="9" t="s">
        <v>7</v>
      </c>
      <c r="G668" s="10"/>
      <c r="H668" s="96">
        <v>242346</v>
      </c>
      <c r="I668" s="109" t="s">
        <v>372</v>
      </c>
      <c r="J668" s="115">
        <v>45608</v>
      </c>
      <c r="K668" s="119">
        <v>45622</v>
      </c>
      <c r="L668" s="116">
        <v>198146</v>
      </c>
      <c r="M668" s="117" t="s">
        <v>374</v>
      </c>
      <c r="N668" s="34" t="s">
        <v>29</v>
      </c>
      <c r="O668" s="11"/>
      <c r="P668" s="113">
        <v>45659</v>
      </c>
      <c r="Q668" s="113">
        <v>45659</v>
      </c>
      <c r="R668" s="113">
        <v>45659</v>
      </c>
      <c r="S668" s="37">
        <f t="shared" si="128"/>
        <v>198146</v>
      </c>
      <c r="T668" s="37">
        <f t="shared" si="129"/>
        <v>0</v>
      </c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</row>
    <row r="669" spans="1:31" hidden="1">
      <c r="A669" s="277" t="s">
        <v>5145</v>
      </c>
      <c r="B669" s="9" t="s">
        <v>21</v>
      </c>
      <c r="C669" s="9">
        <v>2024</v>
      </c>
      <c r="D669" s="9" t="s">
        <v>27</v>
      </c>
      <c r="E669" s="90" t="s">
        <v>23</v>
      </c>
      <c r="F669" s="9" t="s">
        <v>7</v>
      </c>
      <c r="G669" s="10"/>
      <c r="H669" s="96">
        <v>242344</v>
      </c>
      <c r="I669" s="109" t="s">
        <v>372</v>
      </c>
      <c r="J669" s="115">
        <v>45609</v>
      </c>
      <c r="K669" s="119">
        <v>45622</v>
      </c>
      <c r="L669" s="116">
        <v>1418025</v>
      </c>
      <c r="M669" s="117" t="s">
        <v>375</v>
      </c>
      <c r="N669" s="34" t="s">
        <v>29</v>
      </c>
      <c r="O669" s="11"/>
      <c r="P669" s="113">
        <v>45659</v>
      </c>
      <c r="Q669" s="113">
        <v>45659</v>
      </c>
      <c r="R669" s="113">
        <v>45659</v>
      </c>
      <c r="S669" s="37">
        <f t="shared" si="128"/>
        <v>1418025</v>
      </c>
      <c r="T669" s="37">
        <f t="shared" si="129"/>
        <v>0</v>
      </c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</row>
    <row r="670" spans="1:31" hidden="1">
      <c r="A670" s="277" t="s">
        <v>5146</v>
      </c>
      <c r="B670" s="9" t="s">
        <v>21</v>
      </c>
      <c r="C670" s="9">
        <v>2024</v>
      </c>
      <c r="D670" s="9" t="s">
        <v>27</v>
      </c>
      <c r="E670" s="90" t="s">
        <v>23</v>
      </c>
      <c r="F670" s="9" t="s">
        <v>7</v>
      </c>
      <c r="G670" s="10"/>
      <c r="H670" s="96">
        <v>242370</v>
      </c>
      <c r="I670" s="109" t="s">
        <v>372</v>
      </c>
      <c r="J670" s="115">
        <v>45612</v>
      </c>
      <c r="K670" s="119">
        <v>45622</v>
      </c>
      <c r="L670" s="116">
        <v>1152646</v>
      </c>
      <c r="M670" s="117" t="s">
        <v>376</v>
      </c>
      <c r="N670" s="34" t="s">
        <v>29</v>
      </c>
      <c r="O670" s="11"/>
      <c r="P670" s="113">
        <v>45659</v>
      </c>
      <c r="Q670" s="113">
        <v>45659</v>
      </c>
      <c r="R670" s="113">
        <v>45659</v>
      </c>
      <c r="S670" s="37">
        <f t="shared" si="128"/>
        <v>1152646</v>
      </c>
      <c r="T670" s="37">
        <f t="shared" si="129"/>
        <v>0</v>
      </c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</row>
    <row r="671" spans="1:31" hidden="1">
      <c r="A671" s="277" t="s">
        <v>5147</v>
      </c>
      <c r="B671" s="9" t="s">
        <v>21</v>
      </c>
      <c r="C671" s="9">
        <v>2024</v>
      </c>
      <c r="D671" s="9" t="s">
        <v>27</v>
      </c>
      <c r="E671" s="90" t="s">
        <v>23</v>
      </c>
      <c r="F671" s="9" t="s">
        <v>7</v>
      </c>
      <c r="G671" s="10"/>
      <c r="H671" s="96">
        <v>242292</v>
      </c>
      <c r="I671" s="109" t="s">
        <v>372</v>
      </c>
      <c r="J671" s="115">
        <v>45604</v>
      </c>
      <c r="K671" s="119">
        <v>45622</v>
      </c>
      <c r="L671" s="116">
        <v>2907889</v>
      </c>
      <c r="M671" s="117" t="s">
        <v>377</v>
      </c>
      <c r="N671" s="34" t="s">
        <v>29</v>
      </c>
      <c r="O671" s="11"/>
      <c r="P671" s="113">
        <v>45659</v>
      </c>
      <c r="Q671" s="113">
        <v>45659</v>
      </c>
      <c r="R671" s="113">
        <v>45659</v>
      </c>
      <c r="S671" s="37">
        <f t="shared" si="128"/>
        <v>2907889</v>
      </c>
      <c r="T671" s="37">
        <f t="shared" si="129"/>
        <v>0</v>
      </c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</row>
    <row r="672" spans="1:31" hidden="1">
      <c r="A672" s="277" t="s">
        <v>5148</v>
      </c>
      <c r="B672" s="9" t="s">
        <v>21</v>
      </c>
      <c r="C672" s="9">
        <v>2024</v>
      </c>
      <c r="D672" s="9" t="s">
        <v>27</v>
      </c>
      <c r="E672" s="90" t="s">
        <v>23</v>
      </c>
      <c r="F672" s="9" t="s">
        <v>7</v>
      </c>
      <c r="G672" s="10"/>
      <c r="H672" s="96">
        <v>242281</v>
      </c>
      <c r="I672" s="109" t="s">
        <v>372</v>
      </c>
      <c r="J672" s="115">
        <v>45604</v>
      </c>
      <c r="K672" s="119">
        <v>45622</v>
      </c>
      <c r="L672" s="116">
        <v>4515679</v>
      </c>
      <c r="M672" s="117" t="s">
        <v>378</v>
      </c>
      <c r="N672" s="34" t="s">
        <v>29</v>
      </c>
      <c r="O672" s="11"/>
      <c r="P672" s="113">
        <v>45659</v>
      </c>
      <c r="Q672" s="113">
        <v>45659</v>
      </c>
      <c r="R672" s="113">
        <v>45659</v>
      </c>
      <c r="S672" s="37">
        <f t="shared" si="128"/>
        <v>4515679</v>
      </c>
      <c r="T672" s="37">
        <f t="shared" si="129"/>
        <v>0</v>
      </c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</row>
    <row r="673" spans="1:31" hidden="1">
      <c r="A673" s="277" t="s">
        <v>5149</v>
      </c>
      <c r="B673" s="9" t="s">
        <v>21</v>
      </c>
      <c r="C673" s="9">
        <v>2024</v>
      </c>
      <c r="D673" s="9" t="s">
        <v>27</v>
      </c>
      <c r="E673" s="90" t="s">
        <v>23</v>
      </c>
      <c r="F673" s="9" t="s">
        <v>7</v>
      </c>
      <c r="G673" s="10"/>
      <c r="H673" s="96">
        <v>242293</v>
      </c>
      <c r="I673" s="109" t="s">
        <v>372</v>
      </c>
      <c r="J673" s="115">
        <v>45601</v>
      </c>
      <c r="K673" s="119">
        <v>45622</v>
      </c>
      <c r="L673" s="116">
        <v>240026</v>
      </c>
      <c r="M673" s="117" t="s">
        <v>379</v>
      </c>
      <c r="N673" s="34" t="s">
        <v>29</v>
      </c>
      <c r="O673" s="11"/>
      <c r="P673" s="113">
        <v>45659</v>
      </c>
      <c r="Q673" s="113">
        <v>45659</v>
      </c>
      <c r="R673" s="113">
        <v>45659</v>
      </c>
      <c r="S673" s="37">
        <f t="shared" si="128"/>
        <v>240026</v>
      </c>
      <c r="T673" s="37">
        <f t="shared" si="129"/>
        <v>0</v>
      </c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</row>
    <row r="674" spans="1:31" hidden="1">
      <c r="A674" s="277" t="s">
        <v>5150</v>
      </c>
      <c r="B674" s="9" t="s">
        <v>21</v>
      </c>
      <c r="C674" s="9">
        <v>2024</v>
      </c>
      <c r="D674" s="9" t="s">
        <v>27</v>
      </c>
      <c r="E674" s="90" t="s">
        <v>23</v>
      </c>
      <c r="F674" s="9" t="s">
        <v>7</v>
      </c>
      <c r="G674" s="10"/>
      <c r="H674" s="96">
        <v>242401</v>
      </c>
      <c r="I674" s="109" t="s">
        <v>372</v>
      </c>
      <c r="J674" s="115">
        <v>45618</v>
      </c>
      <c r="K674" s="119">
        <v>45631</v>
      </c>
      <c r="L674" s="116">
        <v>3500002</v>
      </c>
      <c r="M674" s="117" t="s">
        <v>380</v>
      </c>
      <c r="N674" s="34" t="s">
        <v>29</v>
      </c>
      <c r="O674" s="31">
        <f>SUM(L674:L679)</f>
        <v>20915637</v>
      </c>
      <c r="P674" s="113">
        <v>45663</v>
      </c>
      <c r="Q674" s="113">
        <v>45663</v>
      </c>
      <c r="R674" s="113">
        <v>45663</v>
      </c>
      <c r="S674" s="37">
        <f t="shared" si="128"/>
        <v>3500002</v>
      </c>
      <c r="T674" s="37">
        <f t="shared" si="129"/>
        <v>0</v>
      </c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</row>
    <row r="675" spans="1:31" hidden="1">
      <c r="A675" s="277" t="s">
        <v>5151</v>
      </c>
      <c r="B675" s="9" t="s">
        <v>21</v>
      </c>
      <c r="C675" s="9">
        <v>2024</v>
      </c>
      <c r="D675" s="9" t="s">
        <v>27</v>
      </c>
      <c r="E675" s="90" t="s">
        <v>23</v>
      </c>
      <c r="F675" s="9" t="s">
        <v>7</v>
      </c>
      <c r="G675" s="10"/>
      <c r="H675" s="96">
        <v>242474</v>
      </c>
      <c r="I675" s="109" t="s">
        <v>372</v>
      </c>
      <c r="J675" s="115">
        <v>45633</v>
      </c>
      <c r="K675" s="119">
        <v>45638</v>
      </c>
      <c r="L675" s="116">
        <v>778387</v>
      </c>
      <c r="M675" s="117" t="s">
        <v>381</v>
      </c>
      <c r="N675" s="34" t="s">
        <v>29</v>
      </c>
      <c r="O675" s="11"/>
      <c r="P675" s="113">
        <v>45663</v>
      </c>
      <c r="Q675" s="113">
        <v>45663</v>
      </c>
      <c r="R675" s="113">
        <v>45663</v>
      </c>
      <c r="S675" s="37">
        <f>IF(R675="",0,L675)</f>
        <v>778387</v>
      </c>
      <c r="T675" s="37">
        <f>L675-S675</f>
        <v>0</v>
      </c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</row>
    <row r="676" spans="1:31" hidden="1">
      <c r="A676" s="277" t="s">
        <v>5152</v>
      </c>
      <c r="B676" s="9" t="s">
        <v>21</v>
      </c>
      <c r="C676" s="9">
        <v>2024</v>
      </c>
      <c r="D676" s="9" t="s">
        <v>27</v>
      </c>
      <c r="E676" s="90" t="s">
        <v>23</v>
      </c>
      <c r="F676" s="9" t="s">
        <v>7</v>
      </c>
      <c r="G676" s="10"/>
      <c r="H676" s="96">
        <v>242473</v>
      </c>
      <c r="I676" s="109" t="s">
        <v>372</v>
      </c>
      <c r="J676" s="115">
        <v>45633</v>
      </c>
      <c r="K676" s="119">
        <v>45638</v>
      </c>
      <c r="L676" s="116">
        <v>4307787</v>
      </c>
      <c r="M676" s="117" t="s">
        <v>382</v>
      </c>
      <c r="N676" s="34" t="s">
        <v>29</v>
      </c>
      <c r="O676" s="11"/>
      <c r="P676" s="113">
        <v>45663</v>
      </c>
      <c r="Q676" s="113">
        <v>45663</v>
      </c>
      <c r="R676" s="113">
        <v>45663</v>
      </c>
      <c r="S676" s="37">
        <f>IF(R676="",0,L676)</f>
        <v>4307787</v>
      </c>
      <c r="T676" s="37">
        <f>L676-S676</f>
        <v>0</v>
      </c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</row>
    <row r="677" spans="1:31" hidden="1">
      <c r="A677" s="277" t="s">
        <v>5153</v>
      </c>
      <c r="B677" s="9" t="s">
        <v>21</v>
      </c>
      <c r="C677" s="9">
        <v>2024</v>
      </c>
      <c r="D677" s="9" t="s">
        <v>27</v>
      </c>
      <c r="E677" s="90" t="s">
        <v>23</v>
      </c>
      <c r="F677" s="9" t="s">
        <v>7</v>
      </c>
      <c r="G677" s="10"/>
      <c r="H677" s="96">
        <v>242477</v>
      </c>
      <c r="I677" s="109" t="s">
        <v>372</v>
      </c>
      <c r="J677" s="115">
        <v>45633</v>
      </c>
      <c r="K677" s="119">
        <v>45638</v>
      </c>
      <c r="L677" s="116">
        <v>840114</v>
      </c>
      <c r="M677" s="117" t="s">
        <v>383</v>
      </c>
      <c r="N677" s="34" t="s">
        <v>29</v>
      </c>
      <c r="O677" s="11"/>
      <c r="P677" s="113">
        <v>45663</v>
      </c>
      <c r="Q677" s="113">
        <v>45663</v>
      </c>
      <c r="R677" s="113">
        <v>45663</v>
      </c>
      <c r="S677" s="37">
        <f>IF(R677="",0,L677)</f>
        <v>840114</v>
      </c>
      <c r="T677" s="37">
        <f>L677-S677</f>
        <v>0</v>
      </c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</row>
    <row r="678" spans="1:31" hidden="1">
      <c r="A678" s="277" t="s">
        <v>5154</v>
      </c>
      <c r="B678" s="9" t="s">
        <v>21</v>
      </c>
      <c r="C678" s="9">
        <v>2024</v>
      </c>
      <c r="D678" s="9" t="s">
        <v>27</v>
      </c>
      <c r="E678" s="90" t="s">
        <v>23</v>
      </c>
      <c r="F678" s="9" t="s">
        <v>7</v>
      </c>
      <c r="G678" s="10"/>
      <c r="H678" s="96">
        <v>242475</v>
      </c>
      <c r="I678" s="109" t="s">
        <v>372</v>
      </c>
      <c r="J678" s="115">
        <v>45633</v>
      </c>
      <c r="K678" s="119">
        <v>45638</v>
      </c>
      <c r="L678" s="116">
        <v>6109939</v>
      </c>
      <c r="M678" s="117" t="s">
        <v>384</v>
      </c>
      <c r="N678" s="34" t="s">
        <v>29</v>
      </c>
      <c r="O678" s="11"/>
      <c r="P678" s="113">
        <v>45663</v>
      </c>
      <c r="Q678" s="113">
        <v>45663</v>
      </c>
      <c r="R678" s="113">
        <v>45663</v>
      </c>
      <c r="S678" s="37">
        <f>IF(R678="",0,L678)</f>
        <v>6109939</v>
      </c>
      <c r="T678" s="37">
        <f>L678-S678</f>
        <v>0</v>
      </c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</row>
    <row r="679" spans="1:31" ht="14.25" hidden="1" customHeight="1">
      <c r="A679" s="277" t="s">
        <v>5155</v>
      </c>
      <c r="B679" s="9" t="s">
        <v>21</v>
      </c>
      <c r="C679" s="9">
        <v>2024</v>
      </c>
      <c r="D679" s="9" t="s">
        <v>27</v>
      </c>
      <c r="E679" s="90" t="s">
        <v>23</v>
      </c>
      <c r="F679" s="9" t="s">
        <v>7</v>
      </c>
      <c r="G679" s="10"/>
      <c r="H679" s="96">
        <v>242476</v>
      </c>
      <c r="I679" s="109" t="s">
        <v>372</v>
      </c>
      <c r="J679" s="115">
        <v>45635</v>
      </c>
      <c r="K679" s="119">
        <v>45650</v>
      </c>
      <c r="L679" s="116">
        <v>5379408</v>
      </c>
      <c r="M679" s="117" t="s">
        <v>385</v>
      </c>
      <c r="N679" s="34" t="s">
        <v>29</v>
      </c>
      <c r="O679" s="11"/>
      <c r="P679" s="113">
        <v>45663</v>
      </c>
      <c r="Q679" s="113">
        <v>45663</v>
      </c>
      <c r="R679" s="113">
        <v>45663</v>
      </c>
      <c r="S679" s="37">
        <f>IF(R679="",0,L679)</f>
        <v>5379408</v>
      </c>
      <c r="T679" s="37">
        <f>L679-S679</f>
        <v>0</v>
      </c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</row>
    <row r="680" spans="1:31" ht="14.25" hidden="1" customHeight="1">
      <c r="A680" s="277" t="s">
        <v>5156</v>
      </c>
      <c r="B680" s="9" t="s">
        <v>21</v>
      </c>
      <c r="C680" s="9">
        <v>2025</v>
      </c>
      <c r="D680" s="9" t="s">
        <v>27</v>
      </c>
      <c r="E680" s="90" t="s">
        <v>23</v>
      </c>
      <c r="F680" s="9" t="s">
        <v>7</v>
      </c>
      <c r="G680" s="10"/>
      <c r="H680" s="96">
        <v>250027</v>
      </c>
      <c r="I680" s="109" t="s">
        <v>372</v>
      </c>
      <c r="J680" s="115">
        <v>45667</v>
      </c>
      <c r="K680" s="119">
        <v>45685</v>
      </c>
      <c r="L680" s="116">
        <v>2794094</v>
      </c>
      <c r="M680" s="117" t="s">
        <v>386</v>
      </c>
      <c r="N680" s="34" t="s">
        <v>29</v>
      </c>
      <c r="O680" s="31">
        <f>SUM(L680:L683)</f>
        <v>38574249</v>
      </c>
      <c r="P680" s="113">
        <v>45710</v>
      </c>
      <c r="Q680" s="113">
        <v>45710</v>
      </c>
      <c r="R680" s="113">
        <v>45710</v>
      </c>
      <c r="S680" s="37">
        <f t="shared" ref="S680:S685" si="130">IF(R680="",0,L680)</f>
        <v>2794094</v>
      </c>
      <c r="T680" s="37">
        <f t="shared" ref="T680:T685" si="131">L680-S680</f>
        <v>0</v>
      </c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</row>
    <row r="681" spans="1:31" ht="14.25" hidden="1" customHeight="1">
      <c r="A681" s="277" t="s">
        <v>5157</v>
      </c>
      <c r="B681" s="9" t="s">
        <v>21</v>
      </c>
      <c r="C681" s="9">
        <v>2025</v>
      </c>
      <c r="D681" s="9" t="s">
        <v>27</v>
      </c>
      <c r="E681" s="90" t="s">
        <v>23</v>
      </c>
      <c r="F681" s="9" t="s">
        <v>7</v>
      </c>
      <c r="G681" s="10"/>
      <c r="H681" s="96">
        <v>250025</v>
      </c>
      <c r="I681" s="109" t="s">
        <v>372</v>
      </c>
      <c r="J681" s="115">
        <v>45667</v>
      </c>
      <c r="K681" s="119">
        <v>45685</v>
      </c>
      <c r="L681" s="116">
        <v>8965680</v>
      </c>
      <c r="M681" s="117" t="s">
        <v>387</v>
      </c>
      <c r="N681" s="34" t="s">
        <v>29</v>
      </c>
      <c r="O681" s="11"/>
      <c r="P681" s="113">
        <v>45710</v>
      </c>
      <c r="Q681" s="113">
        <v>45710</v>
      </c>
      <c r="R681" s="113">
        <v>45710</v>
      </c>
      <c r="S681" s="37">
        <f t="shared" si="130"/>
        <v>8965680</v>
      </c>
      <c r="T681" s="37">
        <f t="shared" si="131"/>
        <v>0</v>
      </c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</row>
    <row r="682" spans="1:31" ht="14.25" hidden="1" customHeight="1">
      <c r="A682" s="277" t="s">
        <v>5158</v>
      </c>
      <c r="B682" s="9" t="s">
        <v>21</v>
      </c>
      <c r="C682" s="9">
        <v>2025</v>
      </c>
      <c r="D682" s="9" t="s">
        <v>27</v>
      </c>
      <c r="E682" s="90" t="s">
        <v>23</v>
      </c>
      <c r="F682" s="9" t="s">
        <v>7</v>
      </c>
      <c r="G682" s="10"/>
      <c r="H682" s="96">
        <v>250026</v>
      </c>
      <c r="I682" s="109" t="s">
        <v>372</v>
      </c>
      <c r="J682" s="115">
        <v>45667</v>
      </c>
      <c r="K682" s="119">
        <v>45685</v>
      </c>
      <c r="L682" s="116">
        <v>23314473</v>
      </c>
      <c r="M682" s="117" t="s">
        <v>388</v>
      </c>
      <c r="N682" s="34" t="s">
        <v>29</v>
      </c>
      <c r="O682" s="11"/>
      <c r="P682" s="113">
        <v>45710</v>
      </c>
      <c r="Q682" s="113">
        <v>45710</v>
      </c>
      <c r="R682" s="113">
        <v>45710</v>
      </c>
      <c r="S682" s="37">
        <f t="shared" si="130"/>
        <v>23314473</v>
      </c>
      <c r="T682" s="37">
        <f t="shared" si="131"/>
        <v>0</v>
      </c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</row>
    <row r="683" spans="1:31" ht="14.25" hidden="1" customHeight="1">
      <c r="A683" s="277" t="s">
        <v>5159</v>
      </c>
      <c r="B683" s="9" t="s">
        <v>21</v>
      </c>
      <c r="C683" s="9">
        <v>2025</v>
      </c>
      <c r="D683" s="9" t="s">
        <v>27</v>
      </c>
      <c r="E683" s="90" t="s">
        <v>23</v>
      </c>
      <c r="F683" s="9" t="s">
        <v>7</v>
      </c>
      <c r="G683" s="10"/>
      <c r="H683" s="96">
        <v>250048</v>
      </c>
      <c r="I683" s="109" t="s">
        <v>372</v>
      </c>
      <c r="J683" s="115">
        <v>45671</v>
      </c>
      <c r="K683" s="119">
        <v>45685</v>
      </c>
      <c r="L683" s="116">
        <v>3500002</v>
      </c>
      <c r="M683" s="117" t="s">
        <v>389</v>
      </c>
      <c r="N683" s="34" t="s">
        <v>29</v>
      </c>
      <c r="O683" s="11"/>
      <c r="P683" s="113">
        <v>45710</v>
      </c>
      <c r="Q683" s="113">
        <v>45710</v>
      </c>
      <c r="R683" s="113">
        <v>45710</v>
      </c>
      <c r="S683" s="37">
        <f t="shared" si="130"/>
        <v>3500002</v>
      </c>
      <c r="T683" s="37">
        <f t="shared" si="131"/>
        <v>0</v>
      </c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</row>
    <row r="684" spans="1:31" ht="14.25" hidden="1" customHeight="1">
      <c r="A684" s="277" t="s">
        <v>5160</v>
      </c>
      <c r="B684" s="9" t="s">
        <v>21</v>
      </c>
      <c r="C684" s="9">
        <v>2025</v>
      </c>
      <c r="D684" s="9" t="s">
        <v>27</v>
      </c>
      <c r="E684" s="90" t="s">
        <v>23</v>
      </c>
      <c r="F684" s="9" t="s">
        <v>7</v>
      </c>
      <c r="G684" s="10"/>
      <c r="H684" s="96">
        <v>250114</v>
      </c>
      <c r="I684" s="109" t="s">
        <v>372</v>
      </c>
      <c r="J684" s="115">
        <v>45688</v>
      </c>
      <c r="K684" s="119">
        <v>45708</v>
      </c>
      <c r="L684" s="116">
        <v>2445352</v>
      </c>
      <c r="M684" s="117" t="s">
        <v>390</v>
      </c>
      <c r="N684" s="34" t="s">
        <v>29</v>
      </c>
      <c r="O684" s="31">
        <f>SUM(L684:L685)</f>
        <v>9088069</v>
      </c>
      <c r="P684" s="113">
        <v>45731</v>
      </c>
      <c r="Q684" s="113">
        <v>45731</v>
      </c>
      <c r="R684" s="113">
        <v>45731</v>
      </c>
      <c r="S684" s="37">
        <f t="shared" si="130"/>
        <v>2445352</v>
      </c>
      <c r="T684" s="37">
        <f t="shared" si="131"/>
        <v>0</v>
      </c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</row>
    <row r="685" spans="1:31" ht="14.25" hidden="1" customHeight="1">
      <c r="A685" s="277" t="s">
        <v>5161</v>
      </c>
      <c r="B685" s="9" t="s">
        <v>21</v>
      </c>
      <c r="C685" s="9">
        <v>2025</v>
      </c>
      <c r="D685" s="9" t="s">
        <v>27</v>
      </c>
      <c r="E685" s="90" t="s">
        <v>23</v>
      </c>
      <c r="F685" s="9" t="s">
        <v>7</v>
      </c>
      <c r="G685" s="10"/>
      <c r="H685" s="96">
        <v>250113</v>
      </c>
      <c r="I685" s="109" t="s">
        <v>372</v>
      </c>
      <c r="J685" s="115">
        <v>45688</v>
      </c>
      <c r="K685" s="119">
        <v>45708</v>
      </c>
      <c r="L685" s="116">
        <v>6642717</v>
      </c>
      <c r="M685" s="117" t="s">
        <v>391</v>
      </c>
      <c r="N685" s="34" t="s">
        <v>29</v>
      </c>
      <c r="O685" s="11"/>
      <c r="P685" s="113">
        <v>45731</v>
      </c>
      <c r="Q685" s="113">
        <v>45731</v>
      </c>
      <c r="R685" s="113">
        <v>45731</v>
      </c>
      <c r="S685" s="37">
        <f t="shared" si="130"/>
        <v>6642717</v>
      </c>
      <c r="T685" s="37">
        <f t="shared" si="131"/>
        <v>0</v>
      </c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</row>
    <row r="686" spans="1:31" ht="14.25" hidden="1" customHeight="1">
      <c r="A686" s="277" t="s">
        <v>5162</v>
      </c>
      <c r="B686" s="9" t="s">
        <v>21</v>
      </c>
      <c r="C686" s="9">
        <v>2025</v>
      </c>
      <c r="D686" s="9" t="s">
        <v>27</v>
      </c>
      <c r="E686" s="90" t="s">
        <v>23</v>
      </c>
      <c r="F686" s="9" t="s">
        <v>7</v>
      </c>
      <c r="G686" s="10"/>
      <c r="H686" s="96">
        <v>250243</v>
      </c>
      <c r="I686" s="109" t="s">
        <v>372</v>
      </c>
      <c r="J686" s="115">
        <v>45715</v>
      </c>
      <c r="K686" s="119">
        <v>45727</v>
      </c>
      <c r="L686" s="116">
        <v>498390</v>
      </c>
      <c r="M686" s="117" t="s">
        <v>392</v>
      </c>
      <c r="N686" s="34" t="s">
        <v>29</v>
      </c>
      <c r="O686" s="31">
        <f>SUM(L686:L696)</f>
        <v>59047851</v>
      </c>
      <c r="P686" s="113">
        <v>45783</v>
      </c>
      <c r="Q686" s="113">
        <v>45783</v>
      </c>
      <c r="R686" s="113">
        <v>45783</v>
      </c>
      <c r="S686" s="37">
        <f t="shared" ref="S686:S693" si="132">IF(R686="",0,L686)</f>
        <v>498390</v>
      </c>
      <c r="T686" s="37">
        <f t="shared" ref="T686:T693" si="133">L686-S686</f>
        <v>0</v>
      </c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</row>
    <row r="687" spans="1:31" ht="14.25" hidden="1" customHeight="1">
      <c r="A687" s="277" t="s">
        <v>5163</v>
      </c>
      <c r="B687" s="9" t="s">
        <v>21</v>
      </c>
      <c r="C687" s="9">
        <v>2025</v>
      </c>
      <c r="D687" s="9" t="s">
        <v>27</v>
      </c>
      <c r="E687" s="90" t="s">
        <v>23</v>
      </c>
      <c r="F687" s="9" t="s">
        <v>7</v>
      </c>
      <c r="G687" s="10"/>
      <c r="H687" s="96">
        <v>250256</v>
      </c>
      <c r="I687" s="109" t="s">
        <v>372</v>
      </c>
      <c r="J687" s="115">
        <v>45716</v>
      </c>
      <c r="K687" s="119">
        <v>45727</v>
      </c>
      <c r="L687" s="116">
        <v>4496782</v>
      </c>
      <c r="M687" s="117" t="s">
        <v>393</v>
      </c>
      <c r="N687" s="34" t="s">
        <v>29</v>
      </c>
      <c r="O687" s="11"/>
      <c r="P687" s="113">
        <v>45783</v>
      </c>
      <c r="Q687" s="113">
        <v>45783</v>
      </c>
      <c r="R687" s="113">
        <v>45783</v>
      </c>
      <c r="S687" s="37">
        <f t="shared" si="132"/>
        <v>4496782</v>
      </c>
      <c r="T687" s="37">
        <f t="shared" si="133"/>
        <v>0</v>
      </c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</row>
    <row r="688" spans="1:31" ht="14.25" hidden="1" customHeight="1">
      <c r="A688" s="277" t="s">
        <v>5164</v>
      </c>
      <c r="B688" s="9" t="s">
        <v>21</v>
      </c>
      <c r="C688" s="9">
        <v>2025</v>
      </c>
      <c r="D688" s="9" t="s">
        <v>27</v>
      </c>
      <c r="E688" s="90" t="s">
        <v>23</v>
      </c>
      <c r="F688" s="9" t="s">
        <v>7</v>
      </c>
      <c r="G688" s="10"/>
      <c r="H688" s="96">
        <v>250284</v>
      </c>
      <c r="I688" s="109" t="s">
        <v>372</v>
      </c>
      <c r="J688" s="115">
        <v>45716</v>
      </c>
      <c r="K688" s="119">
        <v>45727</v>
      </c>
      <c r="L688" s="116">
        <v>7402816</v>
      </c>
      <c r="M688" s="117" t="s">
        <v>394</v>
      </c>
      <c r="N688" s="34" t="s">
        <v>29</v>
      </c>
      <c r="O688" s="11"/>
      <c r="P688" s="113">
        <v>45783</v>
      </c>
      <c r="Q688" s="113">
        <v>45783</v>
      </c>
      <c r="R688" s="113">
        <v>45783</v>
      </c>
      <c r="S688" s="37">
        <f t="shared" si="132"/>
        <v>7402816</v>
      </c>
      <c r="T688" s="37">
        <f t="shared" si="133"/>
        <v>0</v>
      </c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</row>
    <row r="689" spans="1:31" ht="14.25" hidden="1" customHeight="1">
      <c r="A689" s="277" t="s">
        <v>5165</v>
      </c>
      <c r="B689" s="9" t="s">
        <v>21</v>
      </c>
      <c r="C689" s="9">
        <v>2025</v>
      </c>
      <c r="D689" s="9" t="s">
        <v>27</v>
      </c>
      <c r="E689" s="90" t="s">
        <v>23</v>
      </c>
      <c r="F689" s="9" t="s">
        <v>7</v>
      </c>
      <c r="G689" s="10"/>
      <c r="H689" s="96">
        <v>250257</v>
      </c>
      <c r="I689" s="109" t="s">
        <v>372</v>
      </c>
      <c r="J689" s="115">
        <v>45716</v>
      </c>
      <c r="K689" s="119">
        <v>45727</v>
      </c>
      <c r="L689" s="116">
        <v>13481360</v>
      </c>
      <c r="M689" s="117" t="s">
        <v>395</v>
      </c>
      <c r="N689" s="34" t="s">
        <v>29</v>
      </c>
      <c r="O689" s="11"/>
      <c r="P689" s="113">
        <v>45783</v>
      </c>
      <c r="Q689" s="113">
        <v>45783</v>
      </c>
      <c r="R689" s="113">
        <v>45783</v>
      </c>
      <c r="S689" s="37">
        <f t="shared" si="132"/>
        <v>13481360</v>
      </c>
      <c r="T689" s="37">
        <f t="shared" si="133"/>
        <v>0</v>
      </c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</row>
    <row r="690" spans="1:31" ht="14.25" hidden="1" customHeight="1">
      <c r="A690" s="277" t="s">
        <v>5166</v>
      </c>
      <c r="B690" s="9" t="s">
        <v>21</v>
      </c>
      <c r="C690" s="9">
        <v>2025</v>
      </c>
      <c r="D690" s="9" t="s">
        <v>27</v>
      </c>
      <c r="E690" s="90" t="s">
        <v>23</v>
      </c>
      <c r="F690" s="9" t="s">
        <v>7</v>
      </c>
      <c r="G690" s="10"/>
      <c r="H690" s="96">
        <v>250283</v>
      </c>
      <c r="I690" s="109" t="s">
        <v>372</v>
      </c>
      <c r="J690" s="115">
        <v>45716</v>
      </c>
      <c r="K690" s="119">
        <v>45727</v>
      </c>
      <c r="L690" s="116">
        <v>7360417</v>
      </c>
      <c r="M690" s="117" t="s">
        <v>396</v>
      </c>
      <c r="N690" s="34" t="s">
        <v>29</v>
      </c>
      <c r="O690" s="11"/>
      <c r="P690" s="113">
        <v>45783</v>
      </c>
      <c r="Q690" s="113">
        <v>45783</v>
      </c>
      <c r="R690" s="113">
        <v>45783</v>
      </c>
      <c r="S690" s="37">
        <f t="shared" si="132"/>
        <v>7360417</v>
      </c>
      <c r="T690" s="37">
        <f t="shared" si="133"/>
        <v>0</v>
      </c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</row>
    <row r="691" spans="1:31" ht="14.25" hidden="1" customHeight="1">
      <c r="A691" s="277" t="s">
        <v>5167</v>
      </c>
      <c r="B691" s="9" t="s">
        <v>21</v>
      </c>
      <c r="C691" s="9">
        <v>2025</v>
      </c>
      <c r="D691" s="9" t="s">
        <v>27</v>
      </c>
      <c r="E691" s="90" t="s">
        <v>23</v>
      </c>
      <c r="F691" s="9" t="s">
        <v>7</v>
      </c>
      <c r="G691" s="10"/>
      <c r="H691" s="96">
        <v>250281</v>
      </c>
      <c r="I691" s="109" t="s">
        <v>372</v>
      </c>
      <c r="J691" s="115">
        <v>45721</v>
      </c>
      <c r="K691" s="119">
        <v>45736</v>
      </c>
      <c r="L691" s="116">
        <v>1668008</v>
      </c>
      <c r="M691" s="117" t="s">
        <v>397</v>
      </c>
      <c r="N691" s="34" t="s">
        <v>29</v>
      </c>
      <c r="O691" s="11"/>
      <c r="P691" s="113">
        <v>45783</v>
      </c>
      <c r="Q691" s="113">
        <v>45783</v>
      </c>
      <c r="R691" s="113">
        <v>45783</v>
      </c>
      <c r="S691" s="37">
        <f t="shared" si="132"/>
        <v>1668008</v>
      </c>
      <c r="T691" s="37">
        <f t="shared" si="133"/>
        <v>0</v>
      </c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</row>
    <row r="692" spans="1:31" ht="14.25" hidden="1" customHeight="1">
      <c r="A692" s="277" t="s">
        <v>5168</v>
      </c>
      <c r="B692" s="9" t="s">
        <v>21</v>
      </c>
      <c r="C692" s="9">
        <v>2025</v>
      </c>
      <c r="D692" s="9" t="s">
        <v>27</v>
      </c>
      <c r="E692" s="90" t="s">
        <v>23</v>
      </c>
      <c r="F692" s="9" t="s">
        <v>7</v>
      </c>
      <c r="G692" s="10"/>
      <c r="H692" s="96">
        <v>250282</v>
      </c>
      <c r="I692" s="109" t="s">
        <v>372</v>
      </c>
      <c r="J692" s="115">
        <v>45721</v>
      </c>
      <c r="K692" s="119">
        <v>45736</v>
      </c>
      <c r="L692" s="116">
        <v>1243077</v>
      </c>
      <c r="M692" s="117" t="s">
        <v>398</v>
      </c>
      <c r="N692" s="34" t="s">
        <v>29</v>
      </c>
      <c r="O692" s="11"/>
      <c r="P692" s="113">
        <v>45783</v>
      </c>
      <c r="Q692" s="113">
        <v>45783</v>
      </c>
      <c r="R692" s="113">
        <v>45783</v>
      </c>
      <c r="S692" s="37">
        <f t="shared" si="132"/>
        <v>1243077</v>
      </c>
      <c r="T692" s="37">
        <f t="shared" si="133"/>
        <v>0</v>
      </c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</row>
    <row r="693" spans="1:31" ht="14.25" hidden="1" customHeight="1">
      <c r="A693" s="277" t="s">
        <v>5169</v>
      </c>
      <c r="B693" s="9" t="s">
        <v>21</v>
      </c>
      <c r="C693" s="9">
        <v>2025</v>
      </c>
      <c r="D693" s="9" t="s">
        <v>27</v>
      </c>
      <c r="E693" s="90" t="s">
        <v>23</v>
      </c>
      <c r="F693" s="9" t="s">
        <v>7</v>
      </c>
      <c r="G693" s="10"/>
      <c r="H693" s="96">
        <v>250285</v>
      </c>
      <c r="I693" s="109" t="s">
        <v>372</v>
      </c>
      <c r="J693" s="115">
        <v>45722</v>
      </c>
      <c r="K693" s="119">
        <v>45736</v>
      </c>
      <c r="L693" s="116">
        <v>448995</v>
      </c>
      <c r="M693" s="117" t="s">
        <v>399</v>
      </c>
      <c r="N693" s="34" t="s">
        <v>29</v>
      </c>
      <c r="O693" s="11"/>
      <c r="P693" s="113">
        <v>45783</v>
      </c>
      <c r="Q693" s="113">
        <v>45783</v>
      </c>
      <c r="R693" s="113">
        <v>45783</v>
      </c>
      <c r="S693" s="37">
        <f t="shared" si="132"/>
        <v>448995</v>
      </c>
      <c r="T693" s="37">
        <f t="shared" si="133"/>
        <v>0</v>
      </c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</row>
    <row r="694" spans="1:31" ht="14.25" hidden="1" customHeight="1">
      <c r="A694" s="277" t="s">
        <v>5170</v>
      </c>
      <c r="B694" s="9" t="s">
        <v>21</v>
      </c>
      <c r="C694" s="9">
        <v>2025</v>
      </c>
      <c r="D694" s="9" t="s">
        <v>27</v>
      </c>
      <c r="E694" s="90" t="s">
        <v>23</v>
      </c>
      <c r="F694" s="9" t="s">
        <v>7</v>
      </c>
      <c r="G694" s="10"/>
      <c r="H694" s="96">
        <v>250355</v>
      </c>
      <c r="I694" s="109" t="s">
        <v>372</v>
      </c>
      <c r="J694" s="115">
        <v>45736</v>
      </c>
      <c r="K694" s="119">
        <v>45755</v>
      </c>
      <c r="L694" s="116">
        <v>20426336</v>
      </c>
      <c r="M694" s="117" t="s">
        <v>400</v>
      </c>
      <c r="N694" s="34" t="s">
        <v>29</v>
      </c>
      <c r="O694" s="11"/>
      <c r="P694" s="113">
        <v>45783</v>
      </c>
      <c r="Q694" s="113">
        <v>45783</v>
      </c>
      <c r="R694" s="113">
        <v>45783</v>
      </c>
      <c r="S694" s="37">
        <f t="shared" ref="S694:S702" si="134">IF(R694="",0,L694)</f>
        <v>20426336</v>
      </c>
      <c r="T694" s="37">
        <f t="shared" ref="T694:T702" si="135">L694-S694</f>
        <v>0</v>
      </c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</row>
    <row r="695" spans="1:31" ht="14.25" hidden="1" customHeight="1">
      <c r="A695" s="277" t="s">
        <v>5171</v>
      </c>
      <c r="B695" s="9" t="s">
        <v>21</v>
      </c>
      <c r="C695" s="9">
        <v>2025</v>
      </c>
      <c r="D695" s="9" t="s">
        <v>27</v>
      </c>
      <c r="E695" s="90" t="s">
        <v>23</v>
      </c>
      <c r="F695" s="9" t="s">
        <v>7</v>
      </c>
      <c r="G695" s="10"/>
      <c r="H695" s="96">
        <v>250358</v>
      </c>
      <c r="I695" s="109" t="s">
        <v>372</v>
      </c>
      <c r="J695" s="115">
        <v>45736</v>
      </c>
      <c r="K695" s="119">
        <v>45755</v>
      </c>
      <c r="L695" s="116">
        <v>430014</v>
      </c>
      <c r="M695" s="117" t="s">
        <v>401</v>
      </c>
      <c r="N695" s="34" t="s">
        <v>29</v>
      </c>
      <c r="O695" s="11"/>
      <c r="P695" s="113">
        <v>45783</v>
      </c>
      <c r="Q695" s="113">
        <v>45783</v>
      </c>
      <c r="R695" s="113">
        <v>45783</v>
      </c>
      <c r="S695" s="37">
        <f t="shared" si="134"/>
        <v>430014</v>
      </c>
      <c r="T695" s="37">
        <f t="shared" si="135"/>
        <v>0</v>
      </c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</row>
    <row r="696" spans="1:31" ht="14.25" hidden="1" customHeight="1">
      <c r="A696" s="277" t="s">
        <v>5172</v>
      </c>
      <c r="B696" s="9" t="s">
        <v>21</v>
      </c>
      <c r="C696" s="9">
        <v>2025</v>
      </c>
      <c r="D696" s="9" t="s">
        <v>27</v>
      </c>
      <c r="E696" s="90" t="s">
        <v>23</v>
      </c>
      <c r="F696" s="9" t="s">
        <v>7</v>
      </c>
      <c r="G696" s="10"/>
      <c r="H696" s="96">
        <v>250356</v>
      </c>
      <c r="I696" s="109" t="s">
        <v>372</v>
      </c>
      <c r="J696" s="115">
        <v>45736</v>
      </c>
      <c r="K696" s="119">
        <v>45755</v>
      </c>
      <c r="L696" s="116">
        <v>1591656</v>
      </c>
      <c r="M696" s="117" t="s">
        <v>402</v>
      </c>
      <c r="N696" s="34" t="s">
        <v>29</v>
      </c>
      <c r="O696" s="11"/>
      <c r="P696" s="113">
        <v>45783</v>
      </c>
      <c r="Q696" s="113">
        <v>45783</v>
      </c>
      <c r="R696" s="113">
        <v>45783</v>
      </c>
      <c r="S696" s="37">
        <f t="shared" si="134"/>
        <v>1591656</v>
      </c>
      <c r="T696" s="37">
        <f t="shared" si="135"/>
        <v>0</v>
      </c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</row>
    <row r="697" spans="1:31" ht="14.25" hidden="1" customHeight="1">
      <c r="A697" s="277" t="s">
        <v>5173</v>
      </c>
      <c r="B697" s="9" t="s">
        <v>21</v>
      </c>
      <c r="C697" s="9">
        <v>2025</v>
      </c>
      <c r="D697" s="9" t="s">
        <v>27</v>
      </c>
      <c r="E697" s="90" t="s">
        <v>23</v>
      </c>
      <c r="F697" s="9" t="s">
        <v>7</v>
      </c>
      <c r="G697" s="10"/>
      <c r="H697" s="96">
        <v>250376</v>
      </c>
      <c r="I697" s="109" t="s">
        <v>372</v>
      </c>
      <c r="J697" s="115">
        <v>45744</v>
      </c>
      <c r="K697" s="119">
        <v>45769</v>
      </c>
      <c r="L697" s="116">
        <v>6740680</v>
      </c>
      <c r="M697" s="117" t="s">
        <v>403</v>
      </c>
      <c r="N697" s="34" t="s">
        <v>29</v>
      </c>
      <c r="O697" s="11"/>
      <c r="P697" s="113">
        <v>45807</v>
      </c>
      <c r="Q697" s="113">
        <v>45807</v>
      </c>
      <c r="R697" s="113">
        <v>45807</v>
      </c>
      <c r="S697" s="37">
        <f t="shared" si="134"/>
        <v>6740680</v>
      </c>
      <c r="T697" s="37">
        <f t="shared" si="135"/>
        <v>0</v>
      </c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</row>
    <row r="698" spans="1:31" ht="14.25" hidden="1" customHeight="1">
      <c r="A698" s="277" t="s">
        <v>5174</v>
      </c>
      <c r="B698" s="9" t="s">
        <v>21</v>
      </c>
      <c r="C698" s="9">
        <v>2025</v>
      </c>
      <c r="D698" s="9" t="s">
        <v>27</v>
      </c>
      <c r="E698" s="90" t="s">
        <v>23</v>
      </c>
      <c r="F698" s="9" t="s">
        <v>7</v>
      </c>
      <c r="G698" s="10"/>
      <c r="H698" s="96">
        <v>250508</v>
      </c>
      <c r="I698" s="109" t="s">
        <v>372</v>
      </c>
      <c r="J698" s="115">
        <v>45775</v>
      </c>
      <c r="K698" s="119">
        <v>45790</v>
      </c>
      <c r="L698" s="116">
        <v>954849</v>
      </c>
      <c r="M698" s="117" t="s">
        <v>404</v>
      </c>
      <c r="N698" s="34" t="s">
        <v>29</v>
      </c>
      <c r="O698" s="31">
        <f>SUM(L698:L701)</f>
        <v>20806400</v>
      </c>
      <c r="P698" s="113">
        <v>45853</v>
      </c>
      <c r="Q698" s="113">
        <v>45853</v>
      </c>
      <c r="R698" s="113">
        <v>45853</v>
      </c>
      <c r="S698" s="37">
        <f t="shared" si="134"/>
        <v>954849</v>
      </c>
      <c r="T698" s="37">
        <f t="shared" si="135"/>
        <v>0</v>
      </c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</row>
    <row r="699" spans="1:31" ht="14.25" hidden="1" customHeight="1">
      <c r="A699" s="277" t="s">
        <v>5175</v>
      </c>
      <c r="B699" s="9" t="s">
        <v>21</v>
      </c>
      <c r="C699" s="9">
        <v>2025</v>
      </c>
      <c r="D699" s="9" t="s">
        <v>27</v>
      </c>
      <c r="E699" s="90" t="s">
        <v>23</v>
      </c>
      <c r="F699" s="9" t="s">
        <v>7</v>
      </c>
      <c r="G699" s="10"/>
      <c r="H699" s="96">
        <v>250486</v>
      </c>
      <c r="I699" s="109" t="s">
        <v>372</v>
      </c>
      <c r="J699" s="115">
        <v>45777</v>
      </c>
      <c r="K699" s="119">
        <v>45790</v>
      </c>
      <c r="L699" s="116">
        <v>3971182</v>
      </c>
      <c r="M699" s="117" t="s">
        <v>405</v>
      </c>
      <c r="N699" s="34" t="s">
        <v>29</v>
      </c>
      <c r="O699" s="11"/>
      <c r="P699" s="113">
        <v>45853</v>
      </c>
      <c r="Q699" s="113">
        <v>45853</v>
      </c>
      <c r="R699" s="113">
        <v>45853</v>
      </c>
      <c r="S699" s="37">
        <f t="shared" si="134"/>
        <v>3971182</v>
      </c>
      <c r="T699" s="37">
        <f t="shared" si="135"/>
        <v>0</v>
      </c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</row>
    <row r="700" spans="1:31" ht="14.25" hidden="1" customHeight="1">
      <c r="A700" s="277" t="s">
        <v>5176</v>
      </c>
      <c r="B700" s="9" t="s">
        <v>21</v>
      </c>
      <c r="C700" s="9">
        <v>2025</v>
      </c>
      <c r="D700" s="9" t="s">
        <v>27</v>
      </c>
      <c r="E700" s="90" t="s">
        <v>23</v>
      </c>
      <c r="F700" s="9" t="s">
        <v>7</v>
      </c>
      <c r="G700" s="10"/>
      <c r="H700" s="96">
        <v>250487</v>
      </c>
      <c r="I700" s="109" t="s">
        <v>372</v>
      </c>
      <c r="J700" s="115">
        <v>45777</v>
      </c>
      <c r="K700" s="119">
        <v>45790</v>
      </c>
      <c r="L700" s="116">
        <v>13930355</v>
      </c>
      <c r="M700" s="117" t="s">
        <v>406</v>
      </c>
      <c r="N700" s="34" t="s">
        <v>29</v>
      </c>
      <c r="O700" s="11"/>
      <c r="P700" s="113">
        <v>45853</v>
      </c>
      <c r="Q700" s="113">
        <v>45853</v>
      </c>
      <c r="R700" s="113">
        <v>45853</v>
      </c>
      <c r="S700" s="37">
        <f t="shared" si="134"/>
        <v>13930355</v>
      </c>
      <c r="T700" s="37">
        <f t="shared" si="135"/>
        <v>0</v>
      </c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</row>
    <row r="701" spans="1:31" ht="14.25" hidden="1" customHeight="1">
      <c r="A701" s="277" t="s">
        <v>5177</v>
      </c>
      <c r="B701" s="9" t="s">
        <v>21</v>
      </c>
      <c r="C701" s="9">
        <v>2025</v>
      </c>
      <c r="D701" s="9" t="s">
        <v>27</v>
      </c>
      <c r="E701" s="90" t="s">
        <v>23</v>
      </c>
      <c r="F701" s="9" t="s">
        <v>7</v>
      </c>
      <c r="G701" s="10"/>
      <c r="H701" s="96">
        <v>250488</v>
      </c>
      <c r="I701" s="109" t="s">
        <v>372</v>
      </c>
      <c r="J701" s="115">
        <v>45777</v>
      </c>
      <c r="K701" s="119">
        <v>45790</v>
      </c>
      <c r="L701" s="116">
        <v>1950014</v>
      </c>
      <c r="M701" s="117" t="s">
        <v>407</v>
      </c>
      <c r="N701" s="34" t="s">
        <v>29</v>
      </c>
      <c r="O701" s="11"/>
      <c r="P701" s="113">
        <v>45853</v>
      </c>
      <c r="Q701" s="113">
        <v>45853</v>
      </c>
      <c r="R701" s="113">
        <v>45853</v>
      </c>
      <c r="S701" s="37">
        <f t="shared" si="134"/>
        <v>1950014</v>
      </c>
      <c r="T701" s="37">
        <f t="shared" si="135"/>
        <v>0</v>
      </c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</row>
    <row r="702" spans="1:31" ht="14.25" hidden="1" customHeight="1">
      <c r="A702" s="277" t="s">
        <v>5178</v>
      </c>
      <c r="B702" s="9" t="s">
        <v>21</v>
      </c>
      <c r="C702" s="9">
        <v>2025</v>
      </c>
      <c r="D702" s="9" t="s">
        <v>27</v>
      </c>
      <c r="E702" s="90" t="s">
        <v>23</v>
      </c>
      <c r="F702" s="9" t="s">
        <v>7</v>
      </c>
      <c r="G702" s="10"/>
      <c r="H702" s="96">
        <v>250490</v>
      </c>
      <c r="I702" s="109" t="s">
        <v>372</v>
      </c>
      <c r="J702" s="115">
        <v>45777</v>
      </c>
      <c r="K702" s="119">
        <v>45790</v>
      </c>
      <c r="L702" s="116">
        <v>28377364</v>
      </c>
      <c r="M702" s="117" t="s">
        <v>408</v>
      </c>
      <c r="N702" s="34" t="s">
        <v>29</v>
      </c>
      <c r="O702" s="11"/>
      <c r="P702" s="113">
        <v>45857</v>
      </c>
      <c r="Q702" s="113">
        <v>45857</v>
      </c>
      <c r="R702" s="113">
        <v>45857</v>
      </c>
      <c r="S702" s="37">
        <f t="shared" si="134"/>
        <v>28377364</v>
      </c>
      <c r="T702" s="37">
        <f t="shared" si="135"/>
        <v>0</v>
      </c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</row>
    <row r="703" spans="1:31" ht="14.25" hidden="1" customHeight="1">
      <c r="A703" s="277" t="s">
        <v>5179</v>
      </c>
      <c r="B703" s="9" t="s">
        <v>21</v>
      </c>
      <c r="C703" s="9">
        <v>2025</v>
      </c>
      <c r="D703" s="9" t="s">
        <v>27</v>
      </c>
      <c r="E703" s="90" t="s">
        <v>23</v>
      </c>
      <c r="F703" s="9" t="s">
        <v>7</v>
      </c>
      <c r="G703" s="10"/>
      <c r="H703" s="96">
        <v>250530</v>
      </c>
      <c r="I703" s="109" t="s">
        <v>372</v>
      </c>
      <c r="J703" s="115">
        <v>45793</v>
      </c>
      <c r="K703" s="119">
        <v>45805</v>
      </c>
      <c r="L703" s="116">
        <v>900000</v>
      </c>
      <c r="M703" s="117" t="s">
        <v>409</v>
      </c>
      <c r="N703" s="34" t="s">
        <v>29</v>
      </c>
      <c r="O703" s="31">
        <f>SUM(L703:L714)</f>
        <v>27487513</v>
      </c>
      <c r="P703" s="113">
        <v>45889</v>
      </c>
      <c r="Q703" s="113">
        <v>45889</v>
      </c>
      <c r="R703" s="113">
        <v>45889</v>
      </c>
      <c r="S703" s="37">
        <f t="shared" ref="S703:S708" si="136">IF(R703="",0,L703)</f>
        <v>900000</v>
      </c>
      <c r="T703" s="37">
        <f t="shared" ref="T703:T708" si="137">L703-S703</f>
        <v>0</v>
      </c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</row>
    <row r="704" spans="1:31" ht="14.25" hidden="1" customHeight="1">
      <c r="A704" s="277" t="s">
        <v>5180</v>
      </c>
      <c r="B704" s="9" t="s">
        <v>21</v>
      </c>
      <c r="C704" s="9">
        <v>2025</v>
      </c>
      <c r="D704" s="9" t="s">
        <v>27</v>
      </c>
      <c r="E704" s="90" t="s">
        <v>23</v>
      </c>
      <c r="F704" s="9" t="s">
        <v>7</v>
      </c>
      <c r="G704" s="10"/>
      <c r="H704" s="96">
        <v>250531</v>
      </c>
      <c r="I704" s="109" t="s">
        <v>372</v>
      </c>
      <c r="J704" s="115">
        <v>45793</v>
      </c>
      <c r="K704" s="119">
        <v>45805</v>
      </c>
      <c r="L704" s="116">
        <v>900000</v>
      </c>
      <c r="M704" s="117" t="s">
        <v>410</v>
      </c>
      <c r="N704" s="34" t="s">
        <v>29</v>
      </c>
      <c r="O704" s="11"/>
      <c r="P704" s="113">
        <v>45889</v>
      </c>
      <c r="Q704" s="113">
        <v>45889</v>
      </c>
      <c r="R704" s="113">
        <v>45889</v>
      </c>
      <c r="S704" s="37">
        <f t="shared" si="136"/>
        <v>900000</v>
      </c>
      <c r="T704" s="37">
        <f t="shared" si="137"/>
        <v>0</v>
      </c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</row>
    <row r="705" spans="1:31" ht="14.25" hidden="1" customHeight="1">
      <c r="A705" s="277" t="s">
        <v>5181</v>
      </c>
      <c r="B705" s="9" t="s">
        <v>21</v>
      </c>
      <c r="C705" s="9">
        <v>2025</v>
      </c>
      <c r="D705" s="9" t="s">
        <v>27</v>
      </c>
      <c r="E705" s="90" t="s">
        <v>23</v>
      </c>
      <c r="F705" s="9" t="s">
        <v>7</v>
      </c>
      <c r="G705" s="10"/>
      <c r="H705" s="96">
        <v>250532</v>
      </c>
      <c r="I705" s="109" t="s">
        <v>372</v>
      </c>
      <c r="J705" s="115">
        <v>45793</v>
      </c>
      <c r="K705" s="119">
        <v>45805</v>
      </c>
      <c r="L705" s="116">
        <v>900000</v>
      </c>
      <c r="M705" s="117" t="s">
        <v>411</v>
      </c>
      <c r="N705" s="34" t="s">
        <v>29</v>
      </c>
      <c r="O705" s="11"/>
      <c r="P705" s="113">
        <v>45889</v>
      </c>
      <c r="Q705" s="113">
        <v>45889</v>
      </c>
      <c r="R705" s="113">
        <v>45889</v>
      </c>
      <c r="S705" s="37">
        <f t="shared" si="136"/>
        <v>900000</v>
      </c>
      <c r="T705" s="37">
        <f t="shared" si="137"/>
        <v>0</v>
      </c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</row>
    <row r="706" spans="1:31" ht="14.25" hidden="1" customHeight="1">
      <c r="A706" s="277" t="s">
        <v>5182</v>
      </c>
      <c r="B706" s="9" t="s">
        <v>21</v>
      </c>
      <c r="C706" s="9">
        <v>2025</v>
      </c>
      <c r="D706" s="9" t="s">
        <v>27</v>
      </c>
      <c r="E706" s="90" t="s">
        <v>23</v>
      </c>
      <c r="F706" s="9" t="s">
        <v>7</v>
      </c>
      <c r="G706" s="10"/>
      <c r="H706" s="96">
        <v>250533</v>
      </c>
      <c r="I706" s="109" t="s">
        <v>372</v>
      </c>
      <c r="J706" s="115">
        <v>45793</v>
      </c>
      <c r="K706" s="119">
        <v>45805</v>
      </c>
      <c r="L706" s="116">
        <v>900000</v>
      </c>
      <c r="M706" s="117" t="s">
        <v>412</v>
      </c>
      <c r="N706" s="34" t="s">
        <v>29</v>
      </c>
      <c r="O706" s="11"/>
      <c r="P706" s="113">
        <v>45889</v>
      </c>
      <c r="Q706" s="113">
        <v>45889</v>
      </c>
      <c r="R706" s="113">
        <v>45889</v>
      </c>
      <c r="S706" s="37">
        <f t="shared" si="136"/>
        <v>900000</v>
      </c>
      <c r="T706" s="37">
        <f t="shared" si="137"/>
        <v>0</v>
      </c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</row>
    <row r="707" spans="1:31" ht="14.25" hidden="1" customHeight="1">
      <c r="A707" s="277" t="s">
        <v>5183</v>
      </c>
      <c r="B707" s="9" t="s">
        <v>21</v>
      </c>
      <c r="C707" s="9">
        <v>2025</v>
      </c>
      <c r="D707" s="9" t="s">
        <v>27</v>
      </c>
      <c r="E707" s="90" t="s">
        <v>23</v>
      </c>
      <c r="F707" s="9" t="s">
        <v>7</v>
      </c>
      <c r="G707" s="10"/>
      <c r="H707" s="96">
        <v>250529</v>
      </c>
      <c r="I707" s="109" t="s">
        <v>372</v>
      </c>
      <c r="J707" s="115">
        <v>45793</v>
      </c>
      <c r="K707" s="119">
        <v>45805</v>
      </c>
      <c r="L707" s="116">
        <v>1248511</v>
      </c>
      <c r="M707" s="117" t="s">
        <v>413</v>
      </c>
      <c r="N707" s="34" t="s">
        <v>29</v>
      </c>
      <c r="O707" s="11"/>
      <c r="P707" s="113">
        <v>45889</v>
      </c>
      <c r="Q707" s="113">
        <v>45889</v>
      </c>
      <c r="R707" s="113">
        <v>45889</v>
      </c>
      <c r="S707" s="37">
        <f t="shared" si="136"/>
        <v>1248511</v>
      </c>
      <c r="T707" s="37">
        <f t="shared" si="137"/>
        <v>0</v>
      </c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</row>
    <row r="708" spans="1:31" ht="14.25" hidden="1" customHeight="1">
      <c r="A708" s="277" t="s">
        <v>5184</v>
      </c>
      <c r="B708" s="9" t="s">
        <v>21</v>
      </c>
      <c r="C708" s="9">
        <v>2025</v>
      </c>
      <c r="D708" s="9" t="s">
        <v>27</v>
      </c>
      <c r="E708" s="90" t="s">
        <v>23</v>
      </c>
      <c r="F708" s="9" t="s">
        <v>7</v>
      </c>
      <c r="G708" s="10"/>
      <c r="H708" s="96">
        <v>250538</v>
      </c>
      <c r="I708" s="109" t="s">
        <v>372</v>
      </c>
      <c r="J708" s="115">
        <v>45793</v>
      </c>
      <c r="K708" s="119">
        <v>45813</v>
      </c>
      <c r="L708" s="116">
        <v>666000</v>
      </c>
      <c r="M708" s="117" t="s">
        <v>414</v>
      </c>
      <c r="N708" s="34" t="s">
        <v>29</v>
      </c>
      <c r="O708" s="11"/>
      <c r="P708" s="113">
        <v>45889</v>
      </c>
      <c r="Q708" s="113">
        <v>45889</v>
      </c>
      <c r="R708" s="113">
        <v>45889</v>
      </c>
      <c r="S708" s="37">
        <f t="shared" si="136"/>
        <v>666000</v>
      </c>
      <c r="T708" s="37">
        <f t="shared" si="137"/>
        <v>0</v>
      </c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</row>
    <row r="709" spans="1:31" ht="14.25" hidden="1" customHeight="1">
      <c r="A709" s="277" t="s">
        <v>5185</v>
      </c>
      <c r="B709" s="9" t="s">
        <v>21</v>
      </c>
      <c r="C709" s="9">
        <v>2025</v>
      </c>
      <c r="D709" s="9" t="s">
        <v>27</v>
      </c>
      <c r="E709" s="90" t="s">
        <v>23</v>
      </c>
      <c r="F709" s="9" t="s">
        <v>7</v>
      </c>
      <c r="G709" s="10"/>
      <c r="H709" s="96">
        <v>250565</v>
      </c>
      <c r="I709" s="109" t="s">
        <v>372</v>
      </c>
      <c r="J709" s="115">
        <v>45808</v>
      </c>
      <c r="K709" s="119">
        <v>45827</v>
      </c>
      <c r="L709" s="116">
        <v>1136862</v>
      </c>
      <c r="M709" s="117" t="s">
        <v>415</v>
      </c>
      <c r="N709" s="34" t="s">
        <v>29</v>
      </c>
      <c r="O709" s="11"/>
      <c r="P709" s="113">
        <v>45889</v>
      </c>
      <c r="Q709" s="113">
        <v>45889</v>
      </c>
      <c r="R709" s="113">
        <v>45889</v>
      </c>
      <c r="S709" s="37">
        <f t="shared" ref="S709:S715" si="138">IF(R709="",0,L709)</f>
        <v>1136862</v>
      </c>
      <c r="T709" s="37">
        <f t="shared" ref="T709:T715" si="139">L709-S709</f>
        <v>0</v>
      </c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</row>
    <row r="710" spans="1:31" ht="14.25" hidden="1" customHeight="1">
      <c r="A710" s="277" t="s">
        <v>5186</v>
      </c>
      <c r="B710" s="9" t="s">
        <v>21</v>
      </c>
      <c r="C710" s="9">
        <v>2025</v>
      </c>
      <c r="D710" s="9" t="s">
        <v>27</v>
      </c>
      <c r="E710" s="90" t="s">
        <v>23</v>
      </c>
      <c r="F710" s="9" t="s">
        <v>7</v>
      </c>
      <c r="G710" s="10"/>
      <c r="H710" s="96">
        <v>250564</v>
      </c>
      <c r="I710" s="109" t="s">
        <v>372</v>
      </c>
      <c r="J710" s="115">
        <v>45808</v>
      </c>
      <c r="K710" s="119">
        <v>45827</v>
      </c>
      <c r="L710" s="116">
        <v>333000</v>
      </c>
      <c r="M710" s="117" t="s">
        <v>416</v>
      </c>
      <c r="N710" s="34" t="s">
        <v>29</v>
      </c>
      <c r="O710" s="11"/>
      <c r="P710" s="113">
        <v>45889</v>
      </c>
      <c r="Q710" s="113">
        <v>45889</v>
      </c>
      <c r="R710" s="113">
        <v>45889</v>
      </c>
      <c r="S710" s="37">
        <f t="shared" si="138"/>
        <v>333000</v>
      </c>
      <c r="T710" s="37">
        <f t="shared" si="139"/>
        <v>0</v>
      </c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</row>
    <row r="711" spans="1:31" ht="14.25" hidden="1" customHeight="1">
      <c r="A711" s="277" t="s">
        <v>5187</v>
      </c>
      <c r="B711" s="9" t="s">
        <v>21</v>
      </c>
      <c r="C711" s="9">
        <v>2025</v>
      </c>
      <c r="D711" s="9" t="s">
        <v>27</v>
      </c>
      <c r="E711" s="90" t="s">
        <v>23</v>
      </c>
      <c r="F711" s="9" t="s">
        <v>7</v>
      </c>
      <c r="G711" s="10"/>
      <c r="H711" s="96">
        <v>250567</v>
      </c>
      <c r="I711" s="109" t="s">
        <v>372</v>
      </c>
      <c r="J711" s="115">
        <v>45808</v>
      </c>
      <c r="K711" s="119">
        <v>45827</v>
      </c>
      <c r="L711" s="116">
        <v>2076343</v>
      </c>
      <c r="M711" s="117" t="s">
        <v>417</v>
      </c>
      <c r="N711" s="34" t="s">
        <v>29</v>
      </c>
      <c r="O711" s="11"/>
      <c r="P711" s="113">
        <v>45889</v>
      </c>
      <c r="Q711" s="113">
        <v>45889</v>
      </c>
      <c r="R711" s="113">
        <v>45889</v>
      </c>
      <c r="S711" s="37">
        <f t="shared" si="138"/>
        <v>2076343</v>
      </c>
      <c r="T711" s="37">
        <f t="shared" si="139"/>
        <v>0</v>
      </c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</row>
    <row r="712" spans="1:31" ht="14.25" hidden="1" customHeight="1">
      <c r="A712" s="277" t="s">
        <v>5188</v>
      </c>
      <c r="B712" s="9" t="s">
        <v>21</v>
      </c>
      <c r="C712" s="9">
        <v>2025</v>
      </c>
      <c r="D712" s="9" t="s">
        <v>27</v>
      </c>
      <c r="E712" s="90" t="s">
        <v>23</v>
      </c>
      <c r="F712" s="9" t="s">
        <v>7</v>
      </c>
      <c r="G712" s="10"/>
      <c r="H712" s="96">
        <v>250566</v>
      </c>
      <c r="I712" s="109" t="s">
        <v>372</v>
      </c>
      <c r="J712" s="115">
        <v>45808</v>
      </c>
      <c r="K712" s="119">
        <v>45827</v>
      </c>
      <c r="L712" s="116">
        <v>2230001</v>
      </c>
      <c r="M712" s="117" t="s">
        <v>418</v>
      </c>
      <c r="N712" s="34" t="s">
        <v>29</v>
      </c>
      <c r="O712" s="11"/>
      <c r="P712" s="113">
        <v>45889</v>
      </c>
      <c r="Q712" s="113">
        <v>45889</v>
      </c>
      <c r="R712" s="113">
        <v>45889</v>
      </c>
      <c r="S712" s="37">
        <f t="shared" si="138"/>
        <v>2230001</v>
      </c>
      <c r="T712" s="37">
        <f t="shared" si="139"/>
        <v>0</v>
      </c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</row>
    <row r="713" spans="1:31" ht="14.25" hidden="1" customHeight="1">
      <c r="A713" s="277" t="s">
        <v>5189</v>
      </c>
      <c r="B713" s="9" t="s">
        <v>21</v>
      </c>
      <c r="C713" s="9">
        <v>2025</v>
      </c>
      <c r="D713" s="9" t="s">
        <v>27</v>
      </c>
      <c r="E713" s="90" t="s">
        <v>23</v>
      </c>
      <c r="F713" s="9" t="s">
        <v>7</v>
      </c>
      <c r="G713" s="10"/>
      <c r="H713" s="96">
        <v>250568</v>
      </c>
      <c r="I713" s="109" t="s">
        <v>372</v>
      </c>
      <c r="J713" s="115">
        <v>45808</v>
      </c>
      <c r="K713" s="119">
        <v>45827</v>
      </c>
      <c r="L713" s="116">
        <v>14446796</v>
      </c>
      <c r="M713" s="117" t="s">
        <v>419</v>
      </c>
      <c r="N713" s="34" t="s">
        <v>29</v>
      </c>
      <c r="O713" s="11"/>
      <c r="P713" s="113">
        <v>45889</v>
      </c>
      <c r="Q713" s="113">
        <v>45889</v>
      </c>
      <c r="R713" s="113">
        <v>45889</v>
      </c>
      <c r="S713" s="37">
        <f t="shared" si="138"/>
        <v>14446796</v>
      </c>
      <c r="T713" s="37">
        <f t="shared" si="139"/>
        <v>0</v>
      </c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</row>
    <row r="714" spans="1:31" ht="14.25" hidden="1" customHeight="1">
      <c r="A714" s="277" t="s">
        <v>5190</v>
      </c>
      <c r="B714" s="9" t="s">
        <v>21</v>
      </c>
      <c r="C714" s="9">
        <v>2025</v>
      </c>
      <c r="D714" s="9" t="s">
        <v>27</v>
      </c>
      <c r="E714" s="90" t="s">
        <v>23</v>
      </c>
      <c r="F714" s="9" t="s">
        <v>7</v>
      </c>
      <c r="G714" s="10"/>
      <c r="H714" s="96">
        <v>250703</v>
      </c>
      <c r="I714" s="109" t="s">
        <v>372</v>
      </c>
      <c r="J714" s="115">
        <v>45862</v>
      </c>
      <c r="K714" s="119">
        <v>45876</v>
      </c>
      <c r="L714" s="116">
        <v>1750000</v>
      </c>
      <c r="M714" s="117" t="s">
        <v>420</v>
      </c>
      <c r="N714" s="34" t="s">
        <v>29</v>
      </c>
      <c r="O714" s="11"/>
      <c r="P714" s="113">
        <v>45889</v>
      </c>
      <c r="Q714" s="113">
        <v>45889</v>
      </c>
      <c r="R714" s="113">
        <v>45889</v>
      </c>
      <c r="S714" s="37">
        <f t="shared" si="138"/>
        <v>1750000</v>
      </c>
      <c r="T714" s="37">
        <f t="shared" si="139"/>
        <v>0</v>
      </c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</row>
    <row r="715" spans="1:31" ht="14.25" hidden="1" customHeight="1">
      <c r="A715" s="277" t="s">
        <v>5191</v>
      </c>
      <c r="B715" s="9" t="s">
        <v>21</v>
      </c>
      <c r="C715" s="9">
        <v>2025</v>
      </c>
      <c r="D715" s="9" t="s">
        <v>27</v>
      </c>
      <c r="E715" s="90" t="s">
        <v>23</v>
      </c>
      <c r="F715" s="9" t="s">
        <v>7</v>
      </c>
      <c r="G715" s="10"/>
      <c r="H715" s="96">
        <v>250766</v>
      </c>
      <c r="I715" s="109" t="s">
        <v>372</v>
      </c>
      <c r="J715" s="115">
        <v>45869</v>
      </c>
      <c r="K715" s="119">
        <v>45904</v>
      </c>
      <c r="L715" s="116">
        <f>10709959-480000</f>
        <v>10229959</v>
      </c>
      <c r="M715" s="117" t="s">
        <v>421</v>
      </c>
      <c r="N715" s="34" t="s">
        <v>29</v>
      </c>
      <c r="O715" s="31">
        <f>SUM(L715:L719)</f>
        <v>31213353</v>
      </c>
      <c r="P715" s="113">
        <v>45923</v>
      </c>
      <c r="Q715" s="113">
        <v>45923</v>
      </c>
      <c r="R715" s="113">
        <v>45923</v>
      </c>
      <c r="S715" s="37">
        <f t="shared" si="138"/>
        <v>10229959</v>
      </c>
      <c r="T715" s="37">
        <f t="shared" si="139"/>
        <v>0</v>
      </c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</row>
    <row r="716" spans="1:31" ht="14.25" hidden="1" customHeight="1">
      <c r="A716" s="277" t="s">
        <v>5192</v>
      </c>
      <c r="B716" s="9" t="s">
        <v>21</v>
      </c>
      <c r="C716" s="9">
        <v>2025</v>
      </c>
      <c r="D716" s="9" t="s">
        <v>27</v>
      </c>
      <c r="E716" s="90" t="s">
        <v>23</v>
      </c>
      <c r="F716" s="9" t="s">
        <v>7</v>
      </c>
      <c r="G716" s="10"/>
      <c r="H716" s="96">
        <v>250872</v>
      </c>
      <c r="I716" s="109" t="s">
        <v>372</v>
      </c>
      <c r="J716" s="115">
        <v>45898</v>
      </c>
      <c r="K716" s="119">
        <v>45918</v>
      </c>
      <c r="L716" s="116">
        <v>2864549</v>
      </c>
      <c r="M716" s="117" t="s">
        <v>422</v>
      </c>
      <c r="N716" s="34" t="s">
        <v>29</v>
      </c>
      <c r="O716" s="11"/>
      <c r="P716" s="113">
        <v>45923</v>
      </c>
      <c r="Q716" s="113">
        <v>45923</v>
      </c>
      <c r="R716" s="113">
        <v>45923</v>
      </c>
      <c r="S716" s="37">
        <f t="shared" ref="S716:S721" si="140">IF(R716="",0,L716)</f>
        <v>2864549</v>
      </c>
      <c r="T716" s="37">
        <f t="shared" ref="T716:T721" si="141">L716-S716</f>
        <v>0</v>
      </c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</row>
    <row r="717" spans="1:31" ht="14.25" hidden="1" customHeight="1">
      <c r="A717" s="277" t="s">
        <v>5193</v>
      </c>
      <c r="B717" s="9" t="s">
        <v>21</v>
      </c>
      <c r="C717" s="9">
        <v>2025</v>
      </c>
      <c r="D717" s="9" t="s">
        <v>27</v>
      </c>
      <c r="E717" s="90" t="s">
        <v>23</v>
      </c>
      <c r="F717" s="9" t="s">
        <v>7</v>
      </c>
      <c r="G717" s="10"/>
      <c r="H717" s="96">
        <v>250875</v>
      </c>
      <c r="I717" s="109" t="s">
        <v>372</v>
      </c>
      <c r="J717" s="115">
        <v>45898</v>
      </c>
      <c r="K717" s="119">
        <v>45918</v>
      </c>
      <c r="L717" s="116">
        <v>11482572</v>
      </c>
      <c r="M717" s="117" t="s">
        <v>423</v>
      </c>
      <c r="N717" s="34" t="s">
        <v>29</v>
      </c>
      <c r="O717" s="11"/>
      <c r="P717" s="113">
        <v>45923</v>
      </c>
      <c r="Q717" s="113">
        <v>45923</v>
      </c>
      <c r="R717" s="113">
        <v>45923</v>
      </c>
      <c r="S717" s="37">
        <f t="shared" si="140"/>
        <v>11482572</v>
      </c>
      <c r="T717" s="37">
        <f t="shared" si="141"/>
        <v>0</v>
      </c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</row>
    <row r="718" spans="1:31" ht="14.25" hidden="1" customHeight="1">
      <c r="A718" s="277" t="s">
        <v>5194</v>
      </c>
      <c r="B718" s="9" t="s">
        <v>21</v>
      </c>
      <c r="C718" s="9">
        <v>2025</v>
      </c>
      <c r="D718" s="9" t="s">
        <v>27</v>
      </c>
      <c r="E718" s="90" t="s">
        <v>23</v>
      </c>
      <c r="F718" s="9" t="s">
        <v>7</v>
      </c>
      <c r="G718" s="10"/>
      <c r="H718" s="96">
        <v>250874</v>
      </c>
      <c r="I718" s="109" t="s">
        <v>372</v>
      </c>
      <c r="J718" s="115">
        <v>45898</v>
      </c>
      <c r="K718" s="119">
        <v>45918</v>
      </c>
      <c r="L718" s="116">
        <v>5714674</v>
      </c>
      <c r="M718" s="117" t="s">
        <v>424</v>
      </c>
      <c r="N718" s="34" t="s">
        <v>29</v>
      </c>
      <c r="O718" s="11"/>
      <c r="P718" s="113">
        <v>45923</v>
      </c>
      <c r="Q718" s="113">
        <v>45923</v>
      </c>
      <c r="R718" s="113">
        <v>45923</v>
      </c>
      <c r="S718" s="37">
        <f t="shared" si="140"/>
        <v>5714674</v>
      </c>
      <c r="T718" s="37">
        <f t="shared" si="141"/>
        <v>0</v>
      </c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</row>
    <row r="719" spans="1:31" ht="14.25" hidden="1" customHeight="1">
      <c r="A719" s="277" t="s">
        <v>5195</v>
      </c>
      <c r="B719" s="9" t="s">
        <v>21</v>
      </c>
      <c r="C719" s="9">
        <v>2025</v>
      </c>
      <c r="D719" s="9" t="s">
        <v>27</v>
      </c>
      <c r="E719" s="90" t="s">
        <v>23</v>
      </c>
      <c r="F719" s="9" t="s">
        <v>7</v>
      </c>
      <c r="G719" s="10"/>
      <c r="H719" s="96">
        <v>250884</v>
      </c>
      <c r="I719" s="109" t="s">
        <v>372</v>
      </c>
      <c r="J719" s="115">
        <v>45903</v>
      </c>
      <c r="K719" s="119">
        <v>45918</v>
      </c>
      <c r="L719" s="116">
        <v>921599</v>
      </c>
      <c r="M719" s="117" t="s">
        <v>425</v>
      </c>
      <c r="N719" s="34" t="s">
        <v>29</v>
      </c>
      <c r="O719" s="11"/>
      <c r="P719" s="113">
        <v>45923</v>
      </c>
      <c r="Q719" s="113">
        <v>45923</v>
      </c>
      <c r="R719" s="113">
        <v>45923</v>
      </c>
      <c r="S719" s="37">
        <f t="shared" si="140"/>
        <v>921599</v>
      </c>
      <c r="T719" s="37">
        <f t="shared" si="141"/>
        <v>0</v>
      </c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</row>
    <row r="720" spans="1:31" ht="14.25" hidden="1" customHeight="1">
      <c r="A720" s="277" t="s">
        <v>5196</v>
      </c>
      <c r="B720" s="9" t="s">
        <v>21</v>
      </c>
      <c r="C720" s="9">
        <v>2025</v>
      </c>
      <c r="D720" s="9" t="s">
        <v>27</v>
      </c>
      <c r="E720" s="90" t="s">
        <v>23</v>
      </c>
      <c r="F720" s="9" t="s">
        <v>7</v>
      </c>
      <c r="G720" s="10"/>
      <c r="H720" s="96">
        <v>250920</v>
      </c>
      <c r="I720" s="109" t="s">
        <v>372</v>
      </c>
      <c r="J720" s="115">
        <v>45911</v>
      </c>
      <c r="K720" s="119">
        <v>45925</v>
      </c>
      <c r="L720" s="116">
        <v>2893199</v>
      </c>
      <c r="M720" s="117" t="s">
        <v>3710</v>
      </c>
      <c r="N720" s="34" t="s">
        <v>29</v>
      </c>
      <c r="O720" s="31">
        <f>SUM(L720:L724)</f>
        <v>38737043</v>
      </c>
      <c r="P720" s="113">
        <v>45982</v>
      </c>
      <c r="Q720" s="113">
        <v>45982</v>
      </c>
      <c r="R720" s="113">
        <v>45982</v>
      </c>
      <c r="S720" s="37">
        <f t="shared" si="140"/>
        <v>2893199</v>
      </c>
      <c r="T720" s="37">
        <f t="shared" si="141"/>
        <v>0</v>
      </c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</row>
    <row r="721" spans="1:31" ht="14.25" hidden="1" customHeight="1">
      <c r="A721" s="277" t="s">
        <v>5197</v>
      </c>
      <c r="B721" s="9" t="s">
        <v>21</v>
      </c>
      <c r="C721" s="9">
        <v>2025</v>
      </c>
      <c r="D721" s="9" t="s">
        <v>27</v>
      </c>
      <c r="E721" s="90" t="s">
        <v>23</v>
      </c>
      <c r="F721" s="9" t="s">
        <v>7</v>
      </c>
      <c r="G721" s="10"/>
      <c r="H721" s="96">
        <v>250921</v>
      </c>
      <c r="I721" s="109" t="s">
        <v>372</v>
      </c>
      <c r="J721" s="115">
        <v>45911</v>
      </c>
      <c r="K721" s="119">
        <v>45925</v>
      </c>
      <c r="L721" s="116">
        <v>788111</v>
      </c>
      <c r="M721" s="117" t="s">
        <v>3711</v>
      </c>
      <c r="N721" s="34" t="s">
        <v>29</v>
      </c>
      <c r="O721" s="11"/>
      <c r="P721" s="113">
        <v>45982</v>
      </c>
      <c r="Q721" s="113">
        <v>45982</v>
      </c>
      <c r="R721" s="113">
        <v>45982</v>
      </c>
      <c r="S721" s="37">
        <f t="shared" si="140"/>
        <v>788111</v>
      </c>
      <c r="T721" s="37">
        <f t="shared" si="141"/>
        <v>0</v>
      </c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</row>
    <row r="722" spans="1:31" ht="14.25" hidden="1" customHeight="1">
      <c r="A722" s="277" t="s">
        <v>5198</v>
      </c>
      <c r="B722" s="9" t="s">
        <v>21</v>
      </c>
      <c r="C722" s="9">
        <v>2025</v>
      </c>
      <c r="D722" s="9" t="s">
        <v>27</v>
      </c>
      <c r="E722" s="90" t="s">
        <v>23</v>
      </c>
      <c r="F722" s="9" t="s">
        <v>7</v>
      </c>
      <c r="G722" s="10"/>
      <c r="H722" s="96">
        <v>250991</v>
      </c>
      <c r="I722" s="109" t="s">
        <v>372</v>
      </c>
      <c r="J722" s="115">
        <v>45930</v>
      </c>
      <c r="K722" s="119">
        <v>45939</v>
      </c>
      <c r="L722" s="116">
        <v>3100230</v>
      </c>
      <c r="M722" s="117" t="s">
        <v>3789</v>
      </c>
      <c r="N722" s="34" t="s">
        <v>29</v>
      </c>
      <c r="O722" s="11"/>
      <c r="P722" s="113">
        <v>45982</v>
      </c>
      <c r="Q722" s="113">
        <v>45982</v>
      </c>
      <c r="R722" s="113">
        <v>45982</v>
      </c>
      <c r="S722" s="37">
        <f t="shared" ref="S722:S736" si="142">IF(R722="",0,L722)</f>
        <v>3100230</v>
      </c>
      <c r="T722" s="37">
        <f t="shared" ref="T722:T736" si="143">L722-S722</f>
        <v>0</v>
      </c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</row>
    <row r="723" spans="1:31" ht="14.25" hidden="1" customHeight="1">
      <c r="A723" s="277" t="s">
        <v>5199</v>
      </c>
      <c r="B723" s="9" t="s">
        <v>21</v>
      </c>
      <c r="C723" s="9">
        <v>2025</v>
      </c>
      <c r="D723" s="9" t="s">
        <v>27</v>
      </c>
      <c r="E723" s="90" t="s">
        <v>23</v>
      </c>
      <c r="F723" s="9" t="s">
        <v>7</v>
      </c>
      <c r="G723" s="10"/>
      <c r="H723" s="96">
        <v>250981</v>
      </c>
      <c r="I723" s="109" t="s">
        <v>372</v>
      </c>
      <c r="J723" s="115">
        <v>45930</v>
      </c>
      <c r="K723" s="119">
        <v>45939</v>
      </c>
      <c r="L723" s="116">
        <v>26065504</v>
      </c>
      <c r="M723" s="117" t="s">
        <v>3790</v>
      </c>
      <c r="N723" s="34" t="s">
        <v>29</v>
      </c>
      <c r="O723" s="11"/>
      <c r="P723" s="113">
        <v>45982</v>
      </c>
      <c r="Q723" s="113">
        <v>45982</v>
      </c>
      <c r="R723" s="113">
        <v>45982</v>
      </c>
      <c r="S723" s="37">
        <f t="shared" si="142"/>
        <v>26065504</v>
      </c>
      <c r="T723" s="37">
        <f t="shared" si="143"/>
        <v>0</v>
      </c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</row>
    <row r="724" spans="1:31" ht="14.25" hidden="1" customHeight="1">
      <c r="A724" s="277" t="s">
        <v>5200</v>
      </c>
      <c r="B724" s="9" t="s">
        <v>21</v>
      </c>
      <c r="C724" s="9">
        <v>2025</v>
      </c>
      <c r="D724" s="9" t="s">
        <v>27</v>
      </c>
      <c r="E724" s="90" t="s">
        <v>23</v>
      </c>
      <c r="F724" s="9" t="s">
        <v>7</v>
      </c>
      <c r="G724" s="10"/>
      <c r="H724" s="96">
        <v>251034</v>
      </c>
      <c r="I724" s="109" t="s">
        <v>372</v>
      </c>
      <c r="J724" s="115">
        <v>45939</v>
      </c>
      <c r="K724" s="119">
        <v>45953</v>
      </c>
      <c r="L724" s="116">
        <v>5889999</v>
      </c>
      <c r="M724" s="117" t="s">
        <v>3876</v>
      </c>
      <c r="N724" s="34" t="s">
        <v>29</v>
      </c>
      <c r="O724" s="11"/>
      <c r="P724" s="113">
        <v>45982</v>
      </c>
      <c r="Q724" s="113">
        <v>45982</v>
      </c>
      <c r="R724" s="113">
        <v>45982</v>
      </c>
      <c r="S724" s="37">
        <f t="shared" si="142"/>
        <v>5889999</v>
      </c>
      <c r="T724" s="37">
        <f t="shared" si="143"/>
        <v>0</v>
      </c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</row>
    <row r="725" spans="1:31" ht="14.25" hidden="1" customHeight="1">
      <c r="A725" s="277" t="s">
        <v>5201</v>
      </c>
      <c r="B725" s="9" t="s">
        <v>21</v>
      </c>
      <c r="C725" s="9">
        <v>2025</v>
      </c>
      <c r="D725" s="9" t="s">
        <v>27</v>
      </c>
      <c r="E725" s="90" t="s">
        <v>23</v>
      </c>
      <c r="F725" s="9" t="s">
        <v>7</v>
      </c>
      <c r="G725" s="10"/>
      <c r="H725" s="96">
        <v>251162</v>
      </c>
      <c r="I725" s="109" t="s">
        <v>372</v>
      </c>
      <c r="J725" s="115">
        <v>45961</v>
      </c>
      <c r="K725" s="119">
        <v>45995</v>
      </c>
      <c r="L725" s="116">
        <v>648656</v>
      </c>
      <c r="M725" s="117" t="s">
        <v>4064</v>
      </c>
      <c r="N725" s="34" t="s">
        <v>29</v>
      </c>
      <c r="O725" s="31">
        <f>SUM(L725:L726)</f>
        <v>5781743</v>
      </c>
      <c r="P725" s="113">
        <v>46014</v>
      </c>
      <c r="Q725" s="113">
        <v>46014</v>
      </c>
      <c r="R725" s="113">
        <v>46014</v>
      </c>
      <c r="S725" s="37">
        <f t="shared" si="142"/>
        <v>648656</v>
      </c>
      <c r="T725" s="37">
        <f t="shared" si="143"/>
        <v>0</v>
      </c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</row>
    <row r="726" spans="1:31" hidden="1">
      <c r="A726" s="277" t="s">
        <v>5202</v>
      </c>
      <c r="B726" s="9" t="s">
        <v>21</v>
      </c>
      <c r="C726" s="9">
        <v>2025</v>
      </c>
      <c r="D726" s="9" t="s">
        <v>27</v>
      </c>
      <c r="E726" s="90" t="s">
        <v>23</v>
      </c>
      <c r="F726" s="9" t="s">
        <v>7</v>
      </c>
      <c r="G726" s="10"/>
      <c r="H726" s="96">
        <v>251161</v>
      </c>
      <c r="I726" s="109" t="s">
        <v>372</v>
      </c>
      <c r="J726" s="115">
        <v>45961</v>
      </c>
      <c r="K726" s="119">
        <v>45995</v>
      </c>
      <c r="L726" s="116">
        <v>5133087</v>
      </c>
      <c r="M726" s="117" t="s">
        <v>4065</v>
      </c>
      <c r="N726" s="34" t="s">
        <v>29</v>
      </c>
      <c r="O726" s="11"/>
      <c r="P726" s="113">
        <v>46014</v>
      </c>
      <c r="Q726" s="113">
        <v>46014</v>
      </c>
      <c r="R726" s="113">
        <v>46014</v>
      </c>
      <c r="S726" s="37">
        <f t="shared" si="142"/>
        <v>5133087</v>
      </c>
      <c r="T726" s="37">
        <f t="shared" si="143"/>
        <v>0</v>
      </c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</row>
    <row r="727" spans="1:31" hidden="1">
      <c r="A727" s="277" t="s">
        <v>5203</v>
      </c>
      <c r="B727" s="9" t="s">
        <v>21</v>
      </c>
      <c r="C727" s="9">
        <v>2025</v>
      </c>
      <c r="D727" s="9" t="s">
        <v>27</v>
      </c>
      <c r="E727" s="90" t="s">
        <v>23</v>
      </c>
      <c r="F727" s="9" t="s">
        <v>7</v>
      </c>
      <c r="G727" s="10"/>
      <c r="H727" s="96">
        <v>251205</v>
      </c>
      <c r="I727" s="109" t="s">
        <v>372</v>
      </c>
      <c r="J727" s="115">
        <v>45988</v>
      </c>
      <c r="K727" s="119">
        <v>45995</v>
      </c>
      <c r="L727" s="116">
        <v>1977398</v>
      </c>
      <c r="M727" s="117" t="s">
        <v>4066</v>
      </c>
      <c r="N727" s="34" t="s">
        <v>29</v>
      </c>
      <c r="O727" s="31">
        <f>SUM(L727:L734)</f>
        <v>29071930</v>
      </c>
      <c r="P727" s="113">
        <v>46052</v>
      </c>
      <c r="Q727" s="113">
        <v>46052</v>
      </c>
      <c r="R727" s="113">
        <v>46052</v>
      </c>
      <c r="S727" s="37">
        <f t="shared" si="142"/>
        <v>1977398</v>
      </c>
      <c r="T727" s="37">
        <f t="shared" si="143"/>
        <v>0</v>
      </c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</row>
    <row r="728" spans="1:31" hidden="1">
      <c r="A728" s="277" t="s">
        <v>5204</v>
      </c>
      <c r="B728" s="9" t="s">
        <v>21</v>
      </c>
      <c r="C728" s="9">
        <v>2025</v>
      </c>
      <c r="D728" s="9" t="s">
        <v>27</v>
      </c>
      <c r="E728" s="90" t="s">
        <v>23</v>
      </c>
      <c r="F728" s="9" t="s">
        <v>7</v>
      </c>
      <c r="G728" s="10"/>
      <c r="H728" s="96">
        <v>251206</v>
      </c>
      <c r="I728" s="109" t="s">
        <v>372</v>
      </c>
      <c r="J728" s="115">
        <v>45988</v>
      </c>
      <c r="K728" s="119">
        <v>45995</v>
      </c>
      <c r="L728" s="116">
        <v>13521309</v>
      </c>
      <c r="M728" s="117" t="s">
        <v>4067</v>
      </c>
      <c r="N728" s="34" t="s">
        <v>29</v>
      </c>
      <c r="O728" s="11"/>
      <c r="P728" s="113">
        <v>46052</v>
      </c>
      <c r="Q728" s="113">
        <v>46052</v>
      </c>
      <c r="R728" s="113">
        <v>46052</v>
      </c>
      <c r="S728" s="37">
        <f t="shared" si="142"/>
        <v>13521309</v>
      </c>
      <c r="T728" s="37">
        <f t="shared" si="143"/>
        <v>0</v>
      </c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</row>
    <row r="729" spans="1:31" hidden="1">
      <c r="A729" s="277" t="s">
        <v>5205</v>
      </c>
      <c r="B729" s="9" t="s">
        <v>21</v>
      </c>
      <c r="C729" s="9">
        <v>2025</v>
      </c>
      <c r="D729" s="9" t="s">
        <v>27</v>
      </c>
      <c r="E729" s="90" t="s">
        <v>23</v>
      </c>
      <c r="F729" s="9" t="s">
        <v>7</v>
      </c>
      <c r="G729" s="10"/>
      <c r="H729" s="96">
        <v>251214</v>
      </c>
      <c r="I729" s="109" t="s">
        <v>372</v>
      </c>
      <c r="J729" s="115">
        <v>45990</v>
      </c>
      <c r="K729" s="119">
        <v>46021</v>
      </c>
      <c r="L729" s="116">
        <v>891607</v>
      </c>
      <c r="M729" s="117" t="s">
        <v>4139</v>
      </c>
      <c r="N729" s="34" t="s">
        <v>29</v>
      </c>
      <c r="O729" s="11"/>
      <c r="P729" s="113">
        <v>46052</v>
      </c>
      <c r="Q729" s="113">
        <v>46052</v>
      </c>
      <c r="R729" s="113">
        <v>46052</v>
      </c>
      <c r="S729" s="37">
        <f t="shared" si="142"/>
        <v>891607</v>
      </c>
      <c r="T729" s="37">
        <f t="shared" si="143"/>
        <v>0</v>
      </c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</row>
    <row r="730" spans="1:31" hidden="1">
      <c r="A730" s="277" t="s">
        <v>5206</v>
      </c>
      <c r="B730" s="9" t="s">
        <v>21</v>
      </c>
      <c r="C730" s="9">
        <v>2025</v>
      </c>
      <c r="D730" s="9" t="s">
        <v>27</v>
      </c>
      <c r="E730" s="90" t="s">
        <v>23</v>
      </c>
      <c r="F730" s="9" t="s">
        <v>7</v>
      </c>
      <c r="G730" s="10"/>
      <c r="H730" s="96">
        <v>251208</v>
      </c>
      <c r="I730" s="109" t="s">
        <v>372</v>
      </c>
      <c r="J730" s="115">
        <v>45989</v>
      </c>
      <c r="K730" s="119">
        <v>46021</v>
      </c>
      <c r="L730" s="116">
        <v>7656400</v>
      </c>
      <c r="M730" s="117" t="s">
        <v>4140</v>
      </c>
      <c r="N730" s="34" t="s">
        <v>29</v>
      </c>
      <c r="O730" s="11"/>
      <c r="P730" s="113">
        <v>46052</v>
      </c>
      <c r="Q730" s="113">
        <v>46052</v>
      </c>
      <c r="R730" s="113">
        <v>46052</v>
      </c>
      <c r="S730" s="37">
        <f t="shared" si="142"/>
        <v>7656400</v>
      </c>
      <c r="T730" s="37">
        <f t="shared" si="143"/>
        <v>0</v>
      </c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</row>
    <row r="731" spans="1:31" hidden="1">
      <c r="A731" s="277" t="s">
        <v>5207</v>
      </c>
      <c r="B731" s="9" t="s">
        <v>21</v>
      </c>
      <c r="C731" s="9">
        <v>2025</v>
      </c>
      <c r="D731" s="9" t="s">
        <v>27</v>
      </c>
      <c r="E731" s="90" t="s">
        <v>23</v>
      </c>
      <c r="F731" s="9" t="s">
        <v>7</v>
      </c>
      <c r="G731" s="10"/>
      <c r="H731" s="96">
        <v>251209</v>
      </c>
      <c r="I731" s="109" t="s">
        <v>372</v>
      </c>
      <c r="J731" s="115">
        <v>45990</v>
      </c>
      <c r="K731" s="119">
        <v>46021</v>
      </c>
      <c r="L731" s="116">
        <v>434000</v>
      </c>
      <c r="M731" s="117" t="s">
        <v>4141</v>
      </c>
      <c r="N731" s="34" t="s">
        <v>29</v>
      </c>
      <c r="O731" s="11"/>
      <c r="P731" s="113">
        <v>46052</v>
      </c>
      <c r="Q731" s="113">
        <v>46052</v>
      </c>
      <c r="R731" s="113">
        <v>46052</v>
      </c>
      <c r="S731" s="37">
        <f t="shared" si="142"/>
        <v>434000</v>
      </c>
      <c r="T731" s="37">
        <f t="shared" si="143"/>
        <v>0</v>
      </c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</row>
    <row r="732" spans="1:31" hidden="1">
      <c r="A732" s="277" t="s">
        <v>5208</v>
      </c>
      <c r="B732" s="9" t="s">
        <v>21</v>
      </c>
      <c r="C732" s="9">
        <v>2025</v>
      </c>
      <c r="D732" s="9" t="s">
        <v>27</v>
      </c>
      <c r="E732" s="90" t="s">
        <v>23</v>
      </c>
      <c r="F732" s="9" t="s">
        <v>7</v>
      </c>
      <c r="G732" s="10"/>
      <c r="H732" s="96">
        <v>251217</v>
      </c>
      <c r="I732" s="109" t="s">
        <v>372</v>
      </c>
      <c r="J732" s="115">
        <v>45990</v>
      </c>
      <c r="K732" s="119">
        <v>46021</v>
      </c>
      <c r="L732" s="116">
        <f>3294975-1425156-128915</f>
        <v>1740904</v>
      </c>
      <c r="M732" s="117" t="s">
        <v>4142</v>
      </c>
      <c r="N732" s="34" t="s">
        <v>29</v>
      </c>
      <c r="O732" s="11"/>
      <c r="P732" s="113">
        <v>46052</v>
      </c>
      <c r="Q732" s="113">
        <v>46052</v>
      </c>
      <c r="R732" s="113">
        <v>46052</v>
      </c>
      <c r="S732" s="37">
        <f t="shared" si="142"/>
        <v>1740904</v>
      </c>
      <c r="T732" s="37">
        <f t="shared" si="143"/>
        <v>0</v>
      </c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</row>
    <row r="733" spans="1:31" hidden="1">
      <c r="A733" s="277" t="s">
        <v>5209</v>
      </c>
      <c r="B733" s="9" t="s">
        <v>21</v>
      </c>
      <c r="C733" s="9">
        <v>2025</v>
      </c>
      <c r="D733" s="9" t="s">
        <v>27</v>
      </c>
      <c r="E733" s="90" t="s">
        <v>23</v>
      </c>
      <c r="F733" s="9" t="s">
        <v>7</v>
      </c>
      <c r="G733" s="10"/>
      <c r="H733" s="96">
        <v>251290</v>
      </c>
      <c r="I733" s="109" t="s">
        <v>372</v>
      </c>
      <c r="J733" s="115">
        <v>46017</v>
      </c>
      <c r="K733" s="119">
        <v>46037</v>
      </c>
      <c r="L733" s="116">
        <v>2267829</v>
      </c>
      <c r="M733" s="117" t="s">
        <v>4248</v>
      </c>
      <c r="N733" s="34" t="s">
        <v>29</v>
      </c>
      <c r="O733" s="11"/>
      <c r="P733" s="113">
        <v>46052</v>
      </c>
      <c r="Q733" s="113">
        <v>46052</v>
      </c>
      <c r="R733" s="113">
        <v>46052</v>
      </c>
      <c r="S733" s="37">
        <f t="shared" si="142"/>
        <v>2267829</v>
      </c>
      <c r="T733" s="37">
        <f t="shared" si="143"/>
        <v>0</v>
      </c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</row>
    <row r="734" spans="1:31" hidden="1">
      <c r="A734" s="277" t="s">
        <v>5210</v>
      </c>
      <c r="B734" s="9" t="s">
        <v>21</v>
      </c>
      <c r="C734" s="9">
        <v>2025</v>
      </c>
      <c r="D734" s="9" t="s">
        <v>27</v>
      </c>
      <c r="E734" s="90" t="s">
        <v>23</v>
      </c>
      <c r="F734" s="9" t="s">
        <v>7</v>
      </c>
      <c r="G734" s="10"/>
      <c r="H734" s="96">
        <v>251327</v>
      </c>
      <c r="I734" s="109" t="s">
        <v>372</v>
      </c>
      <c r="J734" s="115">
        <v>46021</v>
      </c>
      <c r="K734" s="119">
        <v>46037</v>
      </c>
      <c r="L734" s="116">
        <v>582483</v>
      </c>
      <c r="M734" s="117" t="s">
        <v>4263</v>
      </c>
      <c r="N734" s="34" t="s">
        <v>29</v>
      </c>
      <c r="O734" s="11"/>
      <c r="P734" s="113">
        <v>46052</v>
      </c>
      <c r="Q734" s="113">
        <v>46052</v>
      </c>
      <c r="R734" s="113">
        <v>46052</v>
      </c>
      <c r="S734" s="37">
        <f t="shared" si="142"/>
        <v>582483</v>
      </c>
      <c r="T734" s="37">
        <f t="shared" si="143"/>
        <v>0</v>
      </c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</row>
    <row r="735" spans="1:31" hidden="1">
      <c r="A735" s="277" t="s">
        <v>5211</v>
      </c>
      <c r="B735" s="9" t="s">
        <v>21</v>
      </c>
      <c r="C735" s="9">
        <v>2025</v>
      </c>
      <c r="D735" s="9" t="s">
        <v>27</v>
      </c>
      <c r="E735" s="90" t="s">
        <v>23</v>
      </c>
      <c r="F735" s="9" t="s">
        <v>7</v>
      </c>
      <c r="G735" s="10"/>
      <c r="H735" s="96">
        <v>251327</v>
      </c>
      <c r="I735" s="109" t="s">
        <v>372</v>
      </c>
      <c r="J735" s="115">
        <v>46021</v>
      </c>
      <c r="K735" s="119">
        <v>46037</v>
      </c>
      <c r="L735" s="116">
        <f>2517300-582483</f>
        <v>1934817</v>
      </c>
      <c r="M735" s="117" t="s">
        <v>4264</v>
      </c>
      <c r="N735" s="34" t="s">
        <v>29</v>
      </c>
      <c r="O735" s="31">
        <f>SUM(L735:L736)</f>
        <v>7082804</v>
      </c>
      <c r="P735" s="113">
        <v>46077</v>
      </c>
      <c r="Q735" s="113">
        <v>46077</v>
      </c>
      <c r="R735" s="113">
        <v>46077</v>
      </c>
      <c r="S735" s="37">
        <f t="shared" si="142"/>
        <v>1934817</v>
      </c>
      <c r="T735" s="37">
        <f t="shared" si="143"/>
        <v>0</v>
      </c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</row>
    <row r="736" spans="1:31" hidden="1">
      <c r="A736" s="277" t="s">
        <v>5212</v>
      </c>
      <c r="B736" s="9" t="s">
        <v>21</v>
      </c>
      <c r="C736" s="9">
        <v>2025</v>
      </c>
      <c r="D736" s="9" t="s">
        <v>27</v>
      </c>
      <c r="E736" s="90" t="s">
        <v>23</v>
      </c>
      <c r="F736" s="9" t="s">
        <v>7</v>
      </c>
      <c r="G736" s="10"/>
      <c r="H736" s="96">
        <v>251326</v>
      </c>
      <c r="I736" s="109" t="s">
        <v>372</v>
      </c>
      <c r="J736" s="115">
        <v>46021</v>
      </c>
      <c r="K736" s="119">
        <v>46037</v>
      </c>
      <c r="L736" s="116">
        <v>5147987</v>
      </c>
      <c r="M736" s="117" t="s">
        <v>4249</v>
      </c>
      <c r="N736" s="34" t="s">
        <v>29</v>
      </c>
      <c r="O736" s="11"/>
      <c r="P736" s="113">
        <v>46077</v>
      </c>
      <c r="Q736" s="113">
        <v>46077</v>
      </c>
      <c r="R736" s="113">
        <v>46077</v>
      </c>
      <c r="S736" s="37">
        <f t="shared" si="142"/>
        <v>5147987</v>
      </c>
      <c r="T736" s="37">
        <f t="shared" si="143"/>
        <v>0</v>
      </c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</row>
    <row r="737" spans="1:31" ht="14.25" hidden="1" customHeight="1">
      <c r="A737" s="277" t="s">
        <v>5213</v>
      </c>
      <c r="B737" s="9" t="s">
        <v>21</v>
      </c>
      <c r="C737" s="9">
        <v>2026</v>
      </c>
      <c r="D737" s="9" t="s">
        <v>27</v>
      </c>
      <c r="E737" s="90" t="s">
        <v>23</v>
      </c>
      <c r="F737" s="9" t="s">
        <v>7</v>
      </c>
      <c r="G737" s="10"/>
      <c r="H737" s="96">
        <v>260086</v>
      </c>
      <c r="I737" s="109" t="s">
        <v>372</v>
      </c>
      <c r="J737" s="115">
        <v>46053</v>
      </c>
      <c r="K737" s="119">
        <v>46065</v>
      </c>
      <c r="L737" s="116">
        <f>1188810-804195</f>
        <v>384615</v>
      </c>
      <c r="M737" s="117" t="s">
        <v>4334</v>
      </c>
      <c r="N737" s="34" t="s">
        <v>29</v>
      </c>
      <c r="O737" s="11"/>
      <c r="P737" s="113">
        <v>46133</v>
      </c>
      <c r="Q737" s="113">
        <v>46133</v>
      </c>
      <c r="R737" s="113">
        <v>46133</v>
      </c>
      <c r="S737" s="37">
        <f t="shared" ref="S737:S742" si="144">IF(R737="",0,L737)</f>
        <v>384615</v>
      </c>
      <c r="T737" s="37">
        <f t="shared" ref="T737:T742" si="145">L737-S737</f>
        <v>0</v>
      </c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</row>
    <row r="738" spans="1:31" ht="14.25" hidden="1" customHeight="1">
      <c r="A738" s="277" t="s">
        <v>5214</v>
      </c>
      <c r="B738" s="9" t="s">
        <v>21</v>
      </c>
      <c r="C738" s="9">
        <v>2026</v>
      </c>
      <c r="D738" s="9" t="s">
        <v>27</v>
      </c>
      <c r="E738" s="90" t="s">
        <v>23</v>
      </c>
      <c r="F738" s="9" t="s">
        <v>7</v>
      </c>
      <c r="G738" s="10"/>
      <c r="H738" s="96">
        <v>260085</v>
      </c>
      <c r="I738" s="109" t="s">
        <v>372</v>
      </c>
      <c r="J738" s="115">
        <v>46053</v>
      </c>
      <c r="K738" s="119">
        <v>46065</v>
      </c>
      <c r="L738" s="116">
        <v>6584992</v>
      </c>
      <c r="M738" s="117" t="s">
        <v>4483</v>
      </c>
      <c r="N738" s="34" t="s">
        <v>29</v>
      </c>
      <c r="O738" s="11"/>
      <c r="P738" s="113">
        <v>46133</v>
      </c>
      <c r="Q738" s="113">
        <v>46133</v>
      </c>
      <c r="R738" s="113">
        <v>46133</v>
      </c>
      <c r="S738" s="37">
        <f t="shared" si="144"/>
        <v>6584992</v>
      </c>
      <c r="T738" s="37">
        <f t="shared" si="145"/>
        <v>0</v>
      </c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</row>
    <row r="739" spans="1:31" ht="14.25" hidden="1" customHeight="1">
      <c r="A739" s="277" t="s">
        <v>5215</v>
      </c>
      <c r="B739" s="9" t="s">
        <v>21</v>
      </c>
      <c r="C739" s="9">
        <v>2026</v>
      </c>
      <c r="D739" s="9" t="s">
        <v>27</v>
      </c>
      <c r="E739" s="90" t="s">
        <v>23</v>
      </c>
      <c r="F739" s="9" t="s">
        <v>7</v>
      </c>
      <c r="G739" s="10"/>
      <c r="H739" s="96">
        <v>260084</v>
      </c>
      <c r="I739" s="109" t="s">
        <v>372</v>
      </c>
      <c r="J739" s="115">
        <v>46053</v>
      </c>
      <c r="K739" s="119">
        <v>46065</v>
      </c>
      <c r="L739" s="116">
        <v>14829888</v>
      </c>
      <c r="M739" s="117" t="s">
        <v>4332</v>
      </c>
      <c r="N739" s="34" t="s">
        <v>29</v>
      </c>
      <c r="O739" s="11"/>
      <c r="P739" s="113">
        <v>46133</v>
      </c>
      <c r="Q739" s="113">
        <v>46133</v>
      </c>
      <c r="R739" s="113">
        <v>46133</v>
      </c>
      <c r="S739" s="37">
        <f t="shared" si="144"/>
        <v>14829888</v>
      </c>
      <c r="T739" s="37">
        <f t="shared" si="145"/>
        <v>0</v>
      </c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</row>
    <row r="740" spans="1:31" ht="14.25" hidden="1" customHeight="1">
      <c r="A740" s="277" t="s">
        <v>5216</v>
      </c>
      <c r="B740" s="9" t="s">
        <v>21</v>
      </c>
      <c r="C740" s="9">
        <v>2026</v>
      </c>
      <c r="D740" s="9" t="s">
        <v>27</v>
      </c>
      <c r="E740" s="90" t="s">
        <v>23</v>
      </c>
      <c r="F740" s="9" t="s">
        <v>7</v>
      </c>
      <c r="G740" s="10"/>
      <c r="H740" s="96">
        <v>260083</v>
      </c>
      <c r="I740" s="109" t="s">
        <v>372</v>
      </c>
      <c r="J740" s="115">
        <v>46053</v>
      </c>
      <c r="K740" s="119">
        <v>46065</v>
      </c>
      <c r="L740" s="116">
        <v>15429999</v>
      </c>
      <c r="M740" s="117" t="s">
        <v>4333</v>
      </c>
      <c r="N740" s="34" t="s">
        <v>29</v>
      </c>
      <c r="O740" s="11"/>
      <c r="P740" s="113">
        <v>46133</v>
      </c>
      <c r="Q740" s="113">
        <v>46133</v>
      </c>
      <c r="R740" s="113">
        <v>46133</v>
      </c>
      <c r="S740" s="37">
        <f t="shared" si="144"/>
        <v>15429999</v>
      </c>
      <c r="T740" s="37">
        <f t="shared" si="145"/>
        <v>0</v>
      </c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</row>
    <row r="741" spans="1:31" ht="14.25" hidden="1" customHeight="1">
      <c r="A741" s="277" t="s">
        <v>5217</v>
      </c>
      <c r="B741" s="9" t="s">
        <v>21</v>
      </c>
      <c r="C741" s="9">
        <v>2026</v>
      </c>
      <c r="D741" s="9" t="s">
        <v>27</v>
      </c>
      <c r="E741" s="90" t="s">
        <v>23</v>
      </c>
      <c r="F741" s="9" t="s">
        <v>7</v>
      </c>
      <c r="G741" s="10"/>
      <c r="H741" s="96">
        <v>260150</v>
      </c>
      <c r="I741" s="109" t="s">
        <v>372</v>
      </c>
      <c r="J741" s="115">
        <v>46081</v>
      </c>
      <c r="K741" s="119">
        <v>46098</v>
      </c>
      <c r="L741" s="116">
        <v>732600</v>
      </c>
      <c r="M741" s="117" t="s">
        <v>4469</v>
      </c>
      <c r="N741" s="34" t="s">
        <v>29</v>
      </c>
      <c r="O741" s="11"/>
      <c r="P741" s="113">
        <v>46133</v>
      </c>
      <c r="Q741" s="113">
        <v>46133</v>
      </c>
      <c r="R741" s="113">
        <v>46133</v>
      </c>
      <c r="S741" s="37">
        <f t="shared" si="144"/>
        <v>732600</v>
      </c>
      <c r="T741" s="37">
        <f t="shared" si="145"/>
        <v>0</v>
      </c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</row>
    <row r="742" spans="1:31" ht="14.25" hidden="1" customHeight="1">
      <c r="A742" s="277" t="s">
        <v>5218</v>
      </c>
      <c r="B742" s="9" t="s">
        <v>21</v>
      </c>
      <c r="C742" s="9">
        <v>2026</v>
      </c>
      <c r="D742" s="9" t="s">
        <v>27</v>
      </c>
      <c r="E742" s="90" t="s">
        <v>23</v>
      </c>
      <c r="F742" s="9" t="s">
        <v>7</v>
      </c>
      <c r="G742" s="10"/>
      <c r="H742" s="96">
        <v>260149</v>
      </c>
      <c r="I742" s="109" t="s">
        <v>372</v>
      </c>
      <c r="J742" s="115">
        <v>46081</v>
      </c>
      <c r="K742" s="119">
        <v>46098</v>
      </c>
      <c r="L742" s="116">
        <v>5019216</v>
      </c>
      <c r="M742" s="117" t="s">
        <v>4470</v>
      </c>
      <c r="N742" s="34" t="s">
        <v>29</v>
      </c>
      <c r="O742" s="11"/>
      <c r="P742" s="113">
        <v>46133</v>
      </c>
      <c r="Q742" s="113">
        <v>46133</v>
      </c>
      <c r="R742" s="113">
        <v>46133</v>
      </c>
      <c r="S742" s="37">
        <f t="shared" si="144"/>
        <v>5019216</v>
      </c>
      <c r="T742" s="37">
        <f t="shared" si="145"/>
        <v>0</v>
      </c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</row>
    <row r="743" spans="1:31" ht="14.25" hidden="1" customHeight="1">
      <c r="A743" s="277" t="s">
        <v>5219</v>
      </c>
      <c r="B743" s="9" t="s">
        <v>21</v>
      </c>
      <c r="C743" s="9">
        <v>2026</v>
      </c>
      <c r="D743" s="9" t="s">
        <v>27</v>
      </c>
      <c r="E743" s="90" t="s">
        <v>23</v>
      </c>
      <c r="F743" s="9" t="s">
        <v>7</v>
      </c>
      <c r="G743" s="10"/>
      <c r="H743" s="96">
        <v>260234</v>
      </c>
      <c r="I743" s="109" t="s">
        <v>372</v>
      </c>
      <c r="J743" s="115">
        <v>46135</v>
      </c>
      <c r="K743" s="119">
        <v>46149</v>
      </c>
      <c r="L743" s="116">
        <v>2876054</v>
      </c>
      <c r="M743" s="117" t="s">
        <v>7016</v>
      </c>
      <c r="N743" s="34" t="s">
        <v>29</v>
      </c>
      <c r="O743" s="31">
        <f>SUM(L743:L746)</f>
        <v>55920403</v>
      </c>
      <c r="P743" s="113">
        <v>46158</v>
      </c>
      <c r="Q743" s="113">
        <v>46158</v>
      </c>
      <c r="R743" s="113">
        <v>46158</v>
      </c>
      <c r="S743" s="37">
        <f t="shared" ref="S743:S768" si="146">IF(R743="",0,L743)</f>
        <v>2876054</v>
      </c>
      <c r="T743" s="37">
        <f t="shared" ref="T743:T768" si="147">L743-S743</f>
        <v>0</v>
      </c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</row>
    <row r="744" spans="1:31" ht="14.25" hidden="1" customHeight="1">
      <c r="A744" s="277" t="s">
        <v>7461</v>
      </c>
      <c r="B744" s="9" t="s">
        <v>21</v>
      </c>
      <c r="C744" s="9">
        <v>2026</v>
      </c>
      <c r="D744" s="9" t="s">
        <v>27</v>
      </c>
      <c r="E744" s="90" t="s">
        <v>23</v>
      </c>
      <c r="F744" s="9" t="s">
        <v>7</v>
      </c>
      <c r="G744" s="10"/>
      <c r="H744" s="96">
        <v>260235</v>
      </c>
      <c r="I744" s="109" t="s">
        <v>372</v>
      </c>
      <c r="J744" s="115">
        <v>46135</v>
      </c>
      <c r="K744" s="119">
        <v>46149</v>
      </c>
      <c r="L744" s="116">
        <v>46651157</v>
      </c>
      <c r="M744" s="117" t="s">
        <v>7017</v>
      </c>
      <c r="N744" s="34" t="s">
        <v>29</v>
      </c>
      <c r="O744" s="11"/>
      <c r="P744" s="113">
        <v>46158</v>
      </c>
      <c r="Q744" s="113">
        <v>46158</v>
      </c>
      <c r="R744" s="113">
        <v>46158</v>
      </c>
      <c r="S744" s="37">
        <f t="shared" si="146"/>
        <v>46651157</v>
      </c>
      <c r="T744" s="37">
        <f t="shared" si="147"/>
        <v>0</v>
      </c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</row>
    <row r="745" spans="1:31" ht="14.25" hidden="1" customHeight="1">
      <c r="A745" s="277" t="s">
        <v>7462</v>
      </c>
      <c r="B745" s="9" t="s">
        <v>21</v>
      </c>
      <c r="C745" s="9">
        <v>2026</v>
      </c>
      <c r="D745" s="9" t="s">
        <v>27</v>
      </c>
      <c r="E745" s="90" t="s">
        <v>23</v>
      </c>
      <c r="F745" s="9" t="s">
        <v>7</v>
      </c>
      <c r="G745" s="10"/>
      <c r="H745" s="96">
        <v>260233</v>
      </c>
      <c r="I745" s="109" t="s">
        <v>372</v>
      </c>
      <c r="J745" s="115">
        <v>46135</v>
      </c>
      <c r="K745" s="119">
        <v>46149</v>
      </c>
      <c r="L745" s="116">
        <v>5323192</v>
      </c>
      <c r="M745" s="117" t="s">
        <v>7018</v>
      </c>
      <c r="N745" s="34" t="s">
        <v>29</v>
      </c>
      <c r="O745" s="11"/>
      <c r="P745" s="113">
        <v>46158</v>
      </c>
      <c r="Q745" s="113">
        <v>46158</v>
      </c>
      <c r="R745" s="113">
        <v>46158</v>
      </c>
      <c r="S745" s="37">
        <f t="shared" si="146"/>
        <v>5323192</v>
      </c>
      <c r="T745" s="37">
        <f t="shared" si="147"/>
        <v>0</v>
      </c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</row>
    <row r="746" spans="1:31" ht="14.25" hidden="1" customHeight="1">
      <c r="A746" s="277" t="s">
        <v>5220</v>
      </c>
      <c r="B746" s="9" t="s">
        <v>21</v>
      </c>
      <c r="C746" s="9">
        <v>2026</v>
      </c>
      <c r="D746" s="9" t="s">
        <v>27</v>
      </c>
      <c r="E746" s="90" t="s">
        <v>23</v>
      </c>
      <c r="F746" s="9" t="s">
        <v>7</v>
      </c>
      <c r="G746" s="10"/>
      <c r="H746" s="96">
        <v>260238</v>
      </c>
      <c r="I746" s="109" t="s">
        <v>372</v>
      </c>
      <c r="J746" s="115">
        <v>46136</v>
      </c>
      <c r="K746" s="119">
        <v>46149</v>
      </c>
      <c r="L746" s="116">
        <v>1070000</v>
      </c>
      <c r="M746" s="117" t="s">
        <v>7019</v>
      </c>
      <c r="N746" s="34" t="s">
        <v>29</v>
      </c>
      <c r="O746" s="11"/>
      <c r="P746" s="113">
        <v>46158</v>
      </c>
      <c r="Q746" s="113">
        <v>46158</v>
      </c>
      <c r="R746" s="113">
        <v>46158</v>
      </c>
      <c r="S746" s="37">
        <f t="shared" si="146"/>
        <v>1070000</v>
      </c>
      <c r="T746" s="37">
        <f t="shared" si="147"/>
        <v>0</v>
      </c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</row>
    <row r="747" spans="1:31" ht="14.25" hidden="1" customHeight="1">
      <c r="A747" s="277" t="s">
        <v>5221</v>
      </c>
      <c r="B747" s="9" t="s">
        <v>21</v>
      </c>
      <c r="C747" s="9">
        <v>2026</v>
      </c>
      <c r="D747" s="9" t="s">
        <v>27</v>
      </c>
      <c r="E747" s="90" t="s">
        <v>23</v>
      </c>
      <c r="F747" s="9" t="s">
        <v>7</v>
      </c>
      <c r="G747" s="10"/>
      <c r="H747" s="96">
        <v>260299</v>
      </c>
      <c r="I747" s="109" t="s">
        <v>372</v>
      </c>
      <c r="J747" s="115">
        <v>46161</v>
      </c>
      <c r="K747" s="119">
        <v>46170</v>
      </c>
      <c r="L747" s="116">
        <f>55439505-350625</f>
        <v>55088880</v>
      </c>
      <c r="M747" s="117" t="s">
        <v>7086</v>
      </c>
      <c r="N747" s="34" t="s">
        <v>29</v>
      </c>
      <c r="O747" s="11"/>
      <c r="P747" s="113">
        <v>46183</v>
      </c>
      <c r="Q747" s="113">
        <v>46183</v>
      </c>
      <c r="R747" s="113">
        <v>46183</v>
      </c>
      <c r="S747" s="37">
        <f t="shared" si="146"/>
        <v>55088880</v>
      </c>
      <c r="T747" s="37">
        <f t="shared" si="147"/>
        <v>0</v>
      </c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</row>
    <row r="748" spans="1:31" ht="14.25" hidden="1" customHeight="1">
      <c r="A748" s="277" t="s">
        <v>5222</v>
      </c>
      <c r="B748" s="9" t="s">
        <v>21</v>
      </c>
      <c r="C748" s="9">
        <v>2026</v>
      </c>
      <c r="D748" s="9" t="s">
        <v>27</v>
      </c>
      <c r="E748" s="90" t="s">
        <v>23</v>
      </c>
      <c r="F748" s="9" t="s">
        <v>7</v>
      </c>
      <c r="G748" s="10"/>
      <c r="H748" s="96">
        <v>260310</v>
      </c>
      <c r="I748" s="109" t="s">
        <v>372</v>
      </c>
      <c r="J748" s="115">
        <v>46170</v>
      </c>
      <c r="K748" s="119">
        <v>46177</v>
      </c>
      <c r="L748" s="116">
        <v>1256058</v>
      </c>
      <c r="M748" s="117" t="s">
        <v>7108</v>
      </c>
      <c r="N748" s="34" t="s">
        <v>29</v>
      </c>
      <c r="O748" s="31">
        <f>SUM(L748:L751)</f>
        <v>2684181</v>
      </c>
      <c r="P748" s="113">
        <v>46200</v>
      </c>
      <c r="Q748" s="113">
        <v>46200</v>
      </c>
      <c r="R748" s="113">
        <v>46200</v>
      </c>
      <c r="S748" s="37">
        <f t="shared" ref="S748:S755" si="148">IF(R748="",0,L748)</f>
        <v>1256058</v>
      </c>
      <c r="T748" s="37">
        <f t="shared" ref="T748:T755" si="149">L748-S748</f>
        <v>0</v>
      </c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</row>
    <row r="749" spans="1:31" ht="14.25" hidden="1" customHeight="1">
      <c r="A749" s="277" t="s">
        <v>7463</v>
      </c>
      <c r="B749" s="9" t="s">
        <v>21</v>
      </c>
      <c r="C749" s="9">
        <v>2026</v>
      </c>
      <c r="D749" s="9" t="s">
        <v>27</v>
      </c>
      <c r="E749" s="90" t="s">
        <v>23</v>
      </c>
      <c r="F749" s="9" t="s">
        <v>7</v>
      </c>
      <c r="G749" s="10"/>
      <c r="H749" s="96">
        <v>260309</v>
      </c>
      <c r="I749" s="109" t="s">
        <v>372</v>
      </c>
      <c r="J749" s="115">
        <v>46170</v>
      </c>
      <c r="K749" s="119">
        <v>46177</v>
      </c>
      <c r="L749" s="116">
        <v>1198800</v>
      </c>
      <c r="M749" s="117" t="s">
        <v>7109</v>
      </c>
      <c r="N749" s="34" t="s">
        <v>29</v>
      </c>
      <c r="O749" s="11"/>
      <c r="P749" s="113">
        <v>46200</v>
      </c>
      <c r="Q749" s="113">
        <v>46200</v>
      </c>
      <c r="R749" s="113">
        <v>46200</v>
      </c>
      <c r="S749" s="37">
        <f t="shared" si="148"/>
        <v>1198800</v>
      </c>
      <c r="T749" s="37">
        <f t="shared" si="149"/>
        <v>0</v>
      </c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</row>
    <row r="750" spans="1:31" ht="14.25" hidden="1" customHeight="1">
      <c r="A750" s="277" t="s">
        <v>7464</v>
      </c>
      <c r="B750" s="9" t="s">
        <v>21</v>
      </c>
      <c r="C750" s="9">
        <v>2026</v>
      </c>
      <c r="D750" s="9" t="s">
        <v>27</v>
      </c>
      <c r="E750" s="90" t="s">
        <v>23</v>
      </c>
      <c r="F750" s="9" t="s">
        <v>7</v>
      </c>
      <c r="G750" s="10"/>
      <c r="H750" s="96">
        <v>260308</v>
      </c>
      <c r="I750" s="109" t="s">
        <v>372</v>
      </c>
      <c r="J750" s="115">
        <v>46170</v>
      </c>
      <c r="K750" s="119">
        <v>46177</v>
      </c>
      <c r="L750" s="116">
        <v>175324</v>
      </c>
      <c r="M750" s="117" t="s">
        <v>7110</v>
      </c>
      <c r="N750" s="34" t="s">
        <v>29</v>
      </c>
      <c r="O750" s="11"/>
      <c r="P750" s="113">
        <v>46200</v>
      </c>
      <c r="Q750" s="113">
        <v>46200</v>
      </c>
      <c r="R750" s="113">
        <v>46200</v>
      </c>
      <c r="S750" s="37">
        <f t="shared" si="148"/>
        <v>175324</v>
      </c>
      <c r="T750" s="37">
        <f t="shared" si="149"/>
        <v>0</v>
      </c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</row>
    <row r="751" spans="1:31" ht="14.25" customHeight="1">
      <c r="A751" s="277" t="s">
        <v>7465</v>
      </c>
      <c r="B751" s="9" t="s">
        <v>21</v>
      </c>
      <c r="C751" s="9">
        <v>2026</v>
      </c>
      <c r="D751" s="9" t="s">
        <v>27</v>
      </c>
      <c r="E751" s="90" t="s">
        <v>23</v>
      </c>
      <c r="F751" s="9" t="s">
        <v>7</v>
      </c>
      <c r="G751" s="10"/>
      <c r="H751" s="96">
        <v>260311</v>
      </c>
      <c r="I751" s="109" t="s">
        <v>372</v>
      </c>
      <c r="J751" s="115">
        <v>46170</v>
      </c>
      <c r="K751" s="119">
        <v>46177</v>
      </c>
      <c r="L751" s="116">
        <v>53999</v>
      </c>
      <c r="M751" s="117" t="s">
        <v>7111</v>
      </c>
      <c r="N751" s="34" t="s">
        <v>29</v>
      </c>
      <c r="O751" s="11"/>
      <c r="P751" s="113">
        <v>46200</v>
      </c>
      <c r="Q751" s="113">
        <v>46200</v>
      </c>
      <c r="R751" s="113">
        <v>46200</v>
      </c>
      <c r="S751" s="37">
        <f t="shared" si="148"/>
        <v>53999</v>
      </c>
      <c r="T751" s="37">
        <f t="shared" si="149"/>
        <v>0</v>
      </c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</row>
    <row r="752" spans="1:31" ht="14.25" customHeight="1">
      <c r="A752" s="277" t="s">
        <v>7466</v>
      </c>
      <c r="B752" s="9" t="s">
        <v>21</v>
      </c>
      <c r="C752" s="9">
        <v>2026</v>
      </c>
      <c r="D752" s="9" t="s">
        <v>27</v>
      </c>
      <c r="E752" s="90" t="s">
        <v>23</v>
      </c>
      <c r="F752" s="9" t="s">
        <v>7</v>
      </c>
      <c r="G752" s="10"/>
      <c r="H752" s="96">
        <v>260329</v>
      </c>
      <c r="I752" s="109" t="s">
        <v>372</v>
      </c>
      <c r="J752" s="115">
        <v>46179</v>
      </c>
      <c r="K752" s="119">
        <v>46198</v>
      </c>
      <c r="L752" s="116">
        <v>1587300</v>
      </c>
      <c r="M752" s="117" t="s">
        <v>7180</v>
      </c>
      <c r="N752" s="34" t="s">
        <v>29</v>
      </c>
      <c r="O752" s="31">
        <f>SUM(L752:L754)</f>
        <v>53050854</v>
      </c>
      <c r="P752" s="113">
        <v>46228</v>
      </c>
      <c r="Q752" s="113">
        <v>46228</v>
      </c>
      <c r="R752" s="113">
        <v>46228</v>
      </c>
      <c r="S752" s="37">
        <f t="shared" si="148"/>
        <v>1587300</v>
      </c>
      <c r="T752" s="37">
        <f t="shared" si="149"/>
        <v>0</v>
      </c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</row>
    <row r="753" spans="1:31" ht="14.25" customHeight="1">
      <c r="A753" s="277" t="s">
        <v>7467</v>
      </c>
      <c r="B753" s="9" t="s">
        <v>21</v>
      </c>
      <c r="C753" s="9">
        <v>2026</v>
      </c>
      <c r="D753" s="9" t="s">
        <v>27</v>
      </c>
      <c r="E753" s="90" t="s">
        <v>23</v>
      </c>
      <c r="F753" s="9" t="s">
        <v>7</v>
      </c>
      <c r="G753" s="10"/>
      <c r="H753" s="96">
        <v>260352</v>
      </c>
      <c r="I753" s="109" t="s">
        <v>372</v>
      </c>
      <c r="J753" s="115">
        <v>46184</v>
      </c>
      <c r="K753" s="119">
        <v>46198</v>
      </c>
      <c r="L753" s="116">
        <v>50949555</v>
      </c>
      <c r="M753" s="117" t="s">
        <v>7179</v>
      </c>
      <c r="N753" s="34" t="s">
        <v>29</v>
      </c>
      <c r="O753" s="11"/>
      <c r="P753" s="113">
        <v>46228</v>
      </c>
      <c r="Q753" s="113">
        <v>46228</v>
      </c>
      <c r="R753" s="113">
        <v>46228</v>
      </c>
      <c r="S753" s="37">
        <f t="shared" si="148"/>
        <v>50949555</v>
      </c>
      <c r="T753" s="37">
        <f t="shared" si="149"/>
        <v>0</v>
      </c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</row>
    <row r="754" spans="1:31" ht="14.25" customHeight="1">
      <c r="A754" s="277" t="s">
        <v>7468</v>
      </c>
      <c r="B754" s="9" t="s">
        <v>21</v>
      </c>
      <c r="C754" s="9">
        <v>2026</v>
      </c>
      <c r="D754" s="9" t="s">
        <v>27</v>
      </c>
      <c r="E754" s="90" t="s">
        <v>23</v>
      </c>
      <c r="F754" s="9" t="s">
        <v>7</v>
      </c>
      <c r="G754" s="10"/>
      <c r="H754" s="96">
        <v>260364</v>
      </c>
      <c r="I754" s="109" t="s">
        <v>372</v>
      </c>
      <c r="J754" s="115">
        <v>46188</v>
      </c>
      <c r="K754" s="119">
        <v>46198</v>
      </c>
      <c r="L754" s="116">
        <v>513999</v>
      </c>
      <c r="M754" s="117" t="s">
        <v>7182</v>
      </c>
      <c r="N754" s="34" t="s">
        <v>29</v>
      </c>
      <c r="O754" s="11"/>
      <c r="P754" s="113">
        <v>46228</v>
      </c>
      <c r="Q754" s="113">
        <v>46228</v>
      </c>
      <c r="R754" s="113">
        <v>46228</v>
      </c>
      <c r="S754" s="37">
        <f t="shared" si="148"/>
        <v>513999</v>
      </c>
      <c r="T754" s="37">
        <f t="shared" si="149"/>
        <v>0</v>
      </c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</row>
    <row r="755" spans="1:31" ht="14.25" customHeight="1">
      <c r="A755" s="277" t="s">
        <v>5223</v>
      </c>
      <c r="B755" s="9" t="s">
        <v>21</v>
      </c>
      <c r="C755" s="9">
        <v>2026</v>
      </c>
      <c r="D755" s="9" t="s">
        <v>77</v>
      </c>
      <c r="E755" s="90" t="s">
        <v>23</v>
      </c>
      <c r="F755" s="9" t="s">
        <v>7</v>
      </c>
      <c r="G755" s="10"/>
      <c r="H755" s="9">
        <v>260374</v>
      </c>
      <c r="I755" s="11" t="s">
        <v>372</v>
      </c>
      <c r="J755" s="12">
        <v>46190</v>
      </c>
      <c r="K755" s="122">
        <v>46198</v>
      </c>
      <c r="L755" s="27">
        <f>1468849-391500</f>
        <v>1077349</v>
      </c>
      <c r="M755" s="10" t="s">
        <v>7183</v>
      </c>
      <c r="N755" s="34">
        <f t="shared" ref="N755:N768" ca="1" si="150">$J$3-J755</f>
        <v>50.463776388889528</v>
      </c>
      <c r="O755" s="11"/>
      <c r="P755" s="39"/>
      <c r="Q755" s="39"/>
      <c r="R755" s="39"/>
      <c r="S755" s="37">
        <f t="shared" si="148"/>
        <v>0</v>
      </c>
      <c r="T755" s="37">
        <f t="shared" si="149"/>
        <v>1077349</v>
      </c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</row>
    <row r="756" spans="1:31" ht="14.25" customHeight="1">
      <c r="A756" s="277" t="s">
        <v>5224</v>
      </c>
      <c r="B756" s="9" t="s">
        <v>21</v>
      </c>
      <c r="C756" s="9">
        <v>2026</v>
      </c>
      <c r="D756" s="9" t="s">
        <v>77</v>
      </c>
      <c r="E756" s="90" t="s">
        <v>23</v>
      </c>
      <c r="F756" s="9" t="s">
        <v>7</v>
      </c>
      <c r="G756" s="10"/>
      <c r="H756" s="9">
        <v>260374</v>
      </c>
      <c r="I756" s="11" t="s">
        <v>372</v>
      </c>
      <c r="J756" s="12">
        <v>46192</v>
      </c>
      <c r="K756" s="122">
        <v>46198</v>
      </c>
      <c r="L756" s="27">
        <v>4978350</v>
      </c>
      <c r="M756" s="10" t="s">
        <v>7181</v>
      </c>
      <c r="N756" s="34">
        <f t="shared" ca="1" si="150"/>
        <v>48.463776388889528</v>
      </c>
      <c r="O756" s="11"/>
      <c r="P756" s="39"/>
      <c r="Q756" s="39"/>
      <c r="R756" s="39"/>
      <c r="S756" s="37">
        <f t="shared" ref="S756:S767" si="151">IF(R756="",0,L756)</f>
        <v>0</v>
      </c>
      <c r="T756" s="37">
        <f t="shared" ref="T756:T767" si="152">L756-S756</f>
        <v>4978350</v>
      </c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</row>
    <row r="757" spans="1:31" ht="14.25" customHeight="1">
      <c r="A757" s="277" t="s">
        <v>5225</v>
      </c>
      <c r="B757" s="9" t="s">
        <v>21</v>
      </c>
      <c r="C757" s="9">
        <v>2026</v>
      </c>
      <c r="D757" s="9" t="s">
        <v>77</v>
      </c>
      <c r="E757" s="90" t="s">
        <v>23</v>
      </c>
      <c r="F757" s="9" t="s">
        <v>7</v>
      </c>
      <c r="G757" s="10"/>
      <c r="H757" s="9">
        <v>260424</v>
      </c>
      <c r="I757" s="11" t="s">
        <v>372</v>
      </c>
      <c r="J757" s="12">
        <v>46203</v>
      </c>
      <c r="K757" s="122">
        <v>46214</v>
      </c>
      <c r="L757" s="27">
        <v>419857</v>
      </c>
      <c r="M757" s="10" t="s">
        <v>7355</v>
      </c>
      <c r="N757" s="34">
        <f t="shared" ca="1" si="150"/>
        <v>37.463776388889528</v>
      </c>
      <c r="O757" s="11"/>
      <c r="P757" s="39"/>
      <c r="Q757" s="39"/>
      <c r="R757" s="39"/>
      <c r="S757" s="37">
        <f t="shared" si="151"/>
        <v>0</v>
      </c>
      <c r="T757" s="37">
        <f t="shared" si="152"/>
        <v>419857</v>
      </c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</row>
    <row r="758" spans="1:31" ht="14.25" customHeight="1">
      <c r="A758" s="277" t="s">
        <v>5226</v>
      </c>
      <c r="B758" s="9" t="s">
        <v>21</v>
      </c>
      <c r="C758" s="9">
        <v>2026</v>
      </c>
      <c r="D758" s="9" t="s">
        <v>77</v>
      </c>
      <c r="E758" s="90" t="s">
        <v>23</v>
      </c>
      <c r="F758" s="9" t="s">
        <v>7</v>
      </c>
      <c r="G758" s="10"/>
      <c r="H758" s="9">
        <v>260395</v>
      </c>
      <c r="I758" s="11" t="s">
        <v>372</v>
      </c>
      <c r="J758" s="12">
        <v>46197</v>
      </c>
      <c r="K758" s="122">
        <v>46214</v>
      </c>
      <c r="L758" s="27">
        <v>10534249</v>
      </c>
      <c r="M758" s="10" t="s">
        <v>7356</v>
      </c>
      <c r="N758" s="34">
        <f t="shared" ca="1" si="150"/>
        <v>43.463776388889528</v>
      </c>
      <c r="O758" s="11"/>
      <c r="P758" s="39"/>
      <c r="Q758" s="39"/>
      <c r="R758" s="39"/>
      <c r="S758" s="37">
        <f t="shared" si="151"/>
        <v>0</v>
      </c>
      <c r="T758" s="37">
        <f t="shared" si="152"/>
        <v>10534249</v>
      </c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</row>
    <row r="759" spans="1:31" ht="14.25" customHeight="1">
      <c r="A759" s="277" t="s">
        <v>5227</v>
      </c>
      <c r="B759" s="9" t="s">
        <v>21</v>
      </c>
      <c r="C759" s="9">
        <v>2026</v>
      </c>
      <c r="D759" s="9" t="s">
        <v>77</v>
      </c>
      <c r="E759" s="90" t="s">
        <v>23</v>
      </c>
      <c r="F759" s="9" t="s">
        <v>7</v>
      </c>
      <c r="G759" s="10"/>
      <c r="H759" s="9">
        <v>260397</v>
      </c>
      <c r="I759" s="11" t="s">
        <v>372</v>
      </c>
      <c r="J759" s="12">
        <v>46197</v>
      </c>
      <c r="K759" s="122">
        <v>46214</v>
      </c>
      <c r="L759" s="27">
        <v>3034948</v>
      </c>
      <c r="M759" s="10" t="s">
        <v>7357</v>
      </c>
      <c r="N759" s="34">
        <f t="shared" ca="1" si="150"/>
        <v>43.463776388889528</v>
      </c>
      <c r="O759" s="11"/>
      <c r="P759" s="39"/>
      <c r="Q759" s="39"/>
      <c r="R759" s="39"/>
      <c r="S759" s="37">
        <f t="shared" si="151"/>
        <v>0</v>
      </c>
      <c r="T759" s="37">
        <f t="shared" si="152"/>
        <v>3034948</v>
      </c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</row>
    <row r="760" spans="1:31" ht="14.25" customHeight="1">
      <c r="A760" s="277" t="s">
        <v>5228</v>
      </c>
      <c r="B760" s="9" t="s">
        <v>21</v>
      </c>
      <c r="C760" s="9">
        <v>2026</v>
      </c>
      <c r="D760" s="9" t="s">
        <v>77</v>
      </c>
      <c r="E760" s="90" t="s">
        <v>23</v>
      </c>
      <c r="F760" s="9" t="s">
        <v>7</v>
      </c>
      <c r="G760" s="10"/>
      <c r="H760" s="9">
        <v>260398</v>
      </c>
      <c r="I760" s="11" t="s">
        <v>372</v>
      </c>
      <c r="J760" s="12">
        <v>46197</v>
      </c>
      <c r="K760" s="122">
        <v>46214</v>
      </c>
      <c r="L760" s="27">
        <v>1400000</v>
      </c>
      <c r="M760" s="10" t="s">
        <v>7358</v>
      </c>
      <c r="N760" s="34">
        <f t="shared" ca="1" si="150"/>
        <v>43.463776388889528</v>
      </c>
      <c r="O760" s="11"/>
      <c r="P760" s="39"/>
      <c r="Q760" s="39"/>
      <c r="R760" s="39"/>
      <c r="S760" s="37">
        <f t="shared" si="151"/>
        <v>0</v>
      </c>
      <c r="T760" s="37">
        <f t="shared" si="152"/>
        <v>1400000</v>
      </c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</row>
    <row r="761" spans="1:31" ht="14.25" customHeight="1">
      <c r="A761" s="277" t="s">
        <v>5229</v>
      </c>
      <c r="B761" s="9" t="s">
        <v>21</v>
      </c>
      <c r="C761" s="9">
        <v>2026</v>
      </c>
      <c r="D761" s="9" t="s">
        <v>77</v>
      </c>
      <c r="E761" s="90" t="s">
        <v>23</v>
      </c>
      <c r="F761" s="9" t="s">
        <v>7</v>
      </c>
      <c r="G761" s="10"/>
      <c r="H761" s="9">
        <v>260405</v>
      </c>
      <c r="I761" s="11" t="s">
        <v>372</v>
      </c>
      <c r="J761" s="12">
        <v>46199</v>
      </c>
      <c r="K761" s="122">
        <v>46214</v>
      </c>
      <c r="L761" s="27">
        <v>141819</v>
      </c>
      <c r="M761" s="10" t="s">
        <v>7359</v>
      </c>
      <c r="N761" s="34">
        <f t="shared" ca="1" si="150"/>
        <v>41.463776388889528</v>
      </c>
      <c r="O761" s="11"/>
      <c r="P761" s="39"/>
      <c r="Q761" s="39"/>
      <c r="R761" s="39"/>
      <c r="S761" s="37">
        <f t="shared" si="151"/>
        <v>0</v>
      </c>
      <c r="T761" s="37">
        <f t="shared" si="152"/>
        <v>141819</v>
      </c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</row>
    <row r="762" spans="1:31" ht="14.25" customHeight="1">
      <c r="A762" s="277" t="s">
        <v>5230</v>
      </c>
      <c r="B762" s="9" t="s">
        <v>21</v>
      </c>
      <c r="C762" s="9">
        <v>2026</v>
      </c>
      <c r="D762" s="9" t="s">
        <v>77</v>
      </c>
      <c r="E762" s="90" t="s">
        <v>23</v>
      </c>
      <c r="F762" s="9" t="s">
        <v>7</v>
      </c>
      <c r="G762" s="10"/>
      <c r="H762" s="9">
        <v>260423</v>
      </c>
      <c r="I762" s="11" t="s">
        <v>372</v>
      </c>
      <c r="J762" s="12">
        <v>46203</v>
      </c>
      <c r="K762" s="122">
        <v>46214</v>
      </c>
      <c r="L762" s="27">
        <v>7819534</v>
      </c>
      <c r="M762" s="10" t="s">
        <v>7360</v>
      </c>
      <c r="N762" s="34">
        <f t="shared" ca="1" si="150"/>
        <v>37.463776388889528</v>
      </c>
      <c r="O762" s="11"/>
      <c r="P762" s="39"/>
      <c r="Q762" s="39"/>
      <c r="R762" s="39"/>
      <c r="S762" s="37">
        <f t="shared" si="151"/>
        <v>0</v>
      </c>
      <c r="T762" s="37">
        <f t="shared" si="152"/>
        <v>7819534</v>
      </c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</row>
    <row r="763" spans="1:31" ht="14.25" customHeight="1">
      <c r="A763" s="277" t="s">
        <v>5231</v>
      </c>
      <c r="B763" s="9" t="s">
        <v>21</v>
      </c>
      <c r="C763" s="9">
        <v>2026</v>
      </c>
      <c r="D763" s="9" t="s">
        <v>77</v>
      </c>
      <c r="E763" s="90" t="s">
        <v>23</v>
      </c>
      <c r="F763" s="9" t="s">
        <v>7</v>
      </c>
      <c r="G763" s="10"/>
      <c r="H763" s="9">
        <v>260431</v>
      </c>
      <c r="I763" s="11" t="s">
        <v>372</v>
      </c>
      <c r="J763" s="12">
        <v>46206</v>
      </c>
      <c r="K763" s="122">
        <v>46214</v>
      </c>
      <c r="L763" s="27">
        <v>297202</v>
      </c>
      <c r="M763" s="10" t="s">
        <v>7361</v>
      </c>
      <c r="N763" s="34">
        <f t="shared" ca="1" si="150"/>
        <v>34.463776388889528</v>
      </c>
      <c r="O763" s="11"/>
      <c r="P763" s="39"/>
      <c r="Q763" s="39"/>
      <c r="R763" s="39"/>
      <c r="S763" s="37">
        <f t="shared" si="151"/>
        <v>0</v>
      </c>
      <c r="T763" s="37">
        <f t="shared" si="152"/>
        <v>297202</v>
      </c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</row>
    <row r="764" spans="1:31" ht="14.25" customHeight="1">
      <c r="A764" s="277" t="s">
        <v>5232</v>
      </c>
      <c r="B764" s="9" t="s">
        <v>21</v>
      </c>
      <c r="C764" s="9">
        <v>2026</v>
      </c>
      <c r="D764" s="9" t="s">
        <v>77</v>
      </c>
      <c r="E764" s="90" t="s">
        <v>23</v>
      </c>
      <c r="F764" s="9" t="s">
        <v>7</v>
      </c>
      <c r="G764" s="10"/>
      <c r="H764" s="9">
        <v>260433</v>
      </c>
      <c r="I764" s="11" t="s">
        <v>372</v>
      </c>
      <c r="J764" s="12">
        <v>46206</v>
      </c>
      <c r="K764" s="122">
        <v>46214</v>
      </c>
      <c r="L764" s="27">
        <v>169999</v>
      </c>
      <c r="M764" s="10" t="s">
        <v>7362</v>
      </c>
      <c r="N764" s="34">
        <f t="shared" ca="1" si="150"/>
        <v>34.463776388889528</v>
      </c>
      <c r="O764" s="11"/>
      <c r="P764" s="39"/>
      <c r="Q764" s="39"/>
      <c r="R764" s="39"/>
      <c r="S764" s="37">
        <f t="shared" si="151"/>
        <v>0</v>
      </c>
      <c r="T764" s="37">
        <f t="shared" si="152"/>
        <v>169999</v>
      </c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</row>
    <row r="765" spans="1:31" ht="14.25" customHeight="1">
      <c r="A765" s="277" t="s">
        <v>5233</v>
      </c>
      <c r="B765" s="9" t="s">
        <v>21</v>
      </c>
      <c r="C765" s="9">
        <v>2026</v>
      </c>
      <c r="D765" s="9" t="s">
        <v>77</v>
      </c>
      <c r="E765" s="90" t="s">
        <v>23</v>
      </c>
      <c r="F765" s="9" t="s">
        <v>7</v>
      </c>
      <c r="G765" s="10"/>
      <c r="H765" s="9">
        <v>260432</v>
      </c>
      <c r="I765" s="11" t="s">
        <v>372</v>
      </c>
      <c r="J765" s="12">
        <v>46206</v>
      </c>
      <c r="K765" s="122">
        <v>46214</v>
      </c>
      <c r="L765" s="27">
        <v>220002</v>
      </c>
      <c r="M765" s="10" t="s">
        <v>7363</v>
      </c>
      <c r="N765" s="34">
        <f t="shared" ca="1" si="150"/>
        <v>34.463776388889528</v>
      </c>
      <c r="O765" s="11"/>
      <c r="P765" s="39"/>
      <c r="Q765" s="39"/>
      <c r="R765" s="39"/>
      <c r="S765" s="37">
        <f t="shared" si="151"/>
        <v>0</v>
      </c>
      <c r="T765" s="37">
        <f t="shared" si="152"/>
        <v>220002</v>
      </c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</row>
    <row r="766" spans="1:31" ht="14.25" customHeight="1">
      <c r="A766" s="277" t="s">
        <v>7469</v>
      </c>
      <c r="B766" s="9" t="s">
        <v>21</v>
      </c>
      <c r="C766" s="9">
        <v>2026</v>
      </c>
      <c r="D766" s="9" t="s">
        <v>77</v>
      </c>
      <c r="E766" s="90" t="s">
        <v>23</v>
      </c>
      <c r="F766" s="9" t="s">
        <v>7</v>
      </c>
      <c r="G766" s="10"/>
      <c r="H766" s="9">
        <v>260434</v>
      </c>
      <c r="I766" s="11" t="s">
        <v>372</v>
      </c>
      <c r="J766" s="12">
        <v>46206</v>
      </c>
      <c r="K766" s="122">
        <v>46214</v>
      </c>
      <c r="L766" s="27">
        <v>46199587</v>
      </c>
      <c r="M766" s="10" t="s">
        <v>7364</v>
      </c>
      <c r="N766" s="34">
        <f t="shared" ca="1" si="150"/>
        <v>34.463776388889528</v>
      </c>
      <c r="O766" s="11"/>
      <c r="P766" s="39"/>
      <c r="Q766" s="39"/>
      <c r="R766" s="39"/>
      <c r="S766" s="37">
        <f t="shared" si="151"/>
        <v>0</v>
      </c>
      <c r="T766" s="37">
        <f t="shared" si="152"/>
        <v>46199587</v>
      </c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</row>
    <row r="767" spans="1:31" ht="14.25" customHeight="1">
      <c r="A767" s="277" t="s">
        <v>7470</v>
      </c>
      <c r="B767" s="9" t="s">
        <v>21</v>
      </c>
      <c r="C767" s="9">
        <v>2026</v>
      </c>
      <c r="D767" s="9" t="s">
        <v>77</v>
      </c>
      <c r="E767" s="90" t="s">
        <v>23</v>
      </c>
      <c r="F767" s="9" t="s">
        <v>7</v>
      </c>
      <c r="G767" s="10"/>
      <c r="H767" s="9">
        <v>260448</v>
      </c>
      <c r="I767" s="11" t="s">
        <v>372</v>
      </c>
      <c r="J767" s="12">
        <v>46210</v>
      </c>
      <c r="K767" s="122">
        <v>46219</v>
      </c>
      <c r="L767" s="27">
        <v>2888220</v>
      </c>
      <c r="M767" s="10" t="s">
        <v>7392</v>
      </c>
      <c r="N767" s="34">
        <f t="shared" ca="1" si="150"/>
        <v>30.463776388889528</v>
      </c>
      <c r="O767" s="11"/>
      <c r="P767" s="39"/>
      <c r="Q767" s="39"/>
      <c r="R767" s="39"/>
      <c r="S767" s="37">
        <f t="shared" si="151"/>
        <v>0</v>
      </c>
      <c r="T767" s="37">
        <f t="shared" si="152"/>
        <v>2888220</v>
      </c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</row>
    <row r="768" spans="1:31" ht="14.25" customHeight="1">
      <c r="A768" s="277" t="s">
        <v>7471</v>
      </c>
      <c r="B768" s="9" t="s">
        <v>21</v>
      </c>
      <c r="C768" s="9"/>
      <c r="D768" s="9"/>
      <c r="E768" s="90"/>
      <c r="F768" s="9"/>
      <c r="G768" s="10"/>
      <c r="H768" s="9"/>
      <c r="I768" s="11"/>
      <c r="J768" s="12"/>
      <c r="K768" s="12"/>
      <c r="L768" s="27"/>
      <c r="M768" s="10"/>
      <c r="N768" s="114">
        <f t="shared" ca="1" si="150"/>
        <v>46240.46377638889</v>
      </c>
      <c r="O768" s="10"/>
      <c r="P768" s="39"/>
      <c r="Q768" s="49"/>
      <c r="R768" s="49"/>
      <c r="S768" s="37">
        <f t="shared" si="146"/>
        <v>0</v>
      </c>
      <c r="T768" s="37">
        <f t="shared" si="147"/>
        <v>0</v>
      </c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</row>
    <row r="769" spans="1:31" ht="14.25" customHeight="1">
      <c r="A769" s="277" t="s">
        <v>7472</v>
      </c>
      <c r="B769" s="9" t="s">
        <v>21</v>
      </c>
      <c r="C769" s="9"/>
      <c r="D769" s="9"/>
      <c r="E769" s="90"/>
      <c r="F769" s="9"/>
      <c r="G769" s="10"/>
      <c r="H769" s="9"/>
      <c r="I769" s="11"/>
      <c r="J769" s="12"/>
      <c r="K769" s="12"/>
      <c r="L769" s="52"/>
      <c r="M769" s="10"/>
      <c r="N769" s="9"/>
      <c r="O769" s="10"/>
      <c r="P769" s="39"/>
      <c r="Q769" s="39"/>
      <c r="R769" s="39"/>
      <c r="S769" s="37"/>
      <c r="T769" s="37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</row>
    <row r="770" spans="1:31" ht="14.25" customHeight="1">
      <c r="A770" s="277" t="s">
        <v>5234</v>
      </c>
      <c r="B770" s="9" t="s">
        <v>21</v>
      </c>
      <c r="C770" s="9"/>
      <c r="D770" s="9"/>
      <c r="E770" s="90"/>
      <c r="F770" s="9"/>
      <c r="G770" s="94" t="s">
        <v>24</v>
      </c>
      <c r="H770" s="95" t="s">
        <v>426</v>
      </c>
      <c r="I770" s="104"/>
      <c r="J770" s="105"/>
      <c r="K770" s="105"/>
      <c r="L770" s="106">
        <f>SUM(L771:L772)</f>
        <v>0</v>
      </c>
      <c r="M770" s="107"/>
      <c r="N770" s="108" t="s">
        <v>26</v>
      </c>
      <c r="O770" s="108"/>
      <c r="P770" s="108"/>
      <c r="Q770" s="108"/>
      <c r="R770" s="108"/>
      <c r="S770" s="106">
        <f>SUM(S771:S772)</f>
        <v>0</v>
      </c>
      <c r="T770" s="106">
        <f>SUM(T771:T772)</f>
        <v>0</v>
      </c>
      <c r="U770" s="10"/>
      <c r="V770" s="52">
        <f>L770-S770</f>
        <v>0</v>
      </c>
      <c r="W770" s="52">
        <f>T770-V770</f>
        <v>0</v>
      </c>
      <c r="X770" s="10"/>
      <c r="Y770" s="10"/>
      <c r="Z770" s="10"/>
      <c r="AA770" s="10"/>
      <c r="AB770" s="10"/>
      <c r="AC770" s="10"/>
      <c r="AD770" s="10"/>
      <c r="AE770" s="10"/>
    </row>
    <row r="771" spans="1:31" ht="14.25" customHeight="1">
      <c r="A771" s="277" t="s">
        <v>5235</v>
      </c>
      <c r="B771" s="9" t="s">
        <v>21</v>
      </c>
      <c r="C771" s="9"/>
      <c r="D771" s="9"/>
      <c r="E771" s="90"/>
      <c r="F771" s="9"/>
      <c r="G771" s="10"/>
      <c r="H771" s="9"/>
      <c r="I771" s="11"/>
      <c r="J771" s="12"/>
      <c r="K771" s="12"/>
      <c r="L771" s="52"/>
      <c r="M771" s="10"/>
      <c r="N771" s="114">
        <f ca="1">$J$3-J771</f>
        <v>46240.46377638889</v>
      </c>
      <c r="O771" s="10"/>
      <c r="P771" s="39"/>
      <c r="Q771" s="39"/>
      <c r="R771" s="39"/>
      <c r="S771" s="37">
        <f>IF(R771="",0,L771)</f>
        <v>0</v>
      </c>
      <c r="T771" s="37">
        <f>L771-S771</f>
        <v>0</v>
      </c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</row>
    <row r="772" spans="1:31" ht="14.25" customHeight="1">
      <c r="A772" s="277" t="s">
        <v>5236</v>
      </c>
      <c r="B772" s="9" t="s">
        <v>21</v>
      </c>
      <c r="C772" s="9"/>
      <c r="D772" s="9"/>
      <c r="E772" s="90"/>
      <c r="F772" s="9"/>
      <c r="G772" s="10"/>
      <c r="H772" s="9"/>
      <c r="I772" s="11"/>
      <c r="J772" s="12"/>
      <c r="K772" s="12"/>
      <c r="L772" s="52"/>
      <c r="M772" s="10"/>
      <c r="N772" s="9"/>
      <c r="O772" s="10"/>
      <c r="P772" s="39"/>
      <c r="Q772" s="39"/>
      <c r="R772" s="39"/>
      <c r="S772" s="37"/>
      <c r="T772" s="37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</row>
    <row r="773" spans="1:31">
      <c r="A773" s="277" t="s">
        <v>5237</v>
      </c>
      <c r="B773" s="9" t="s">
        <v>21</v>
      </c>
      <c r="C773" s="9"/>
      <c r="D773" s="9"/>
      <c r="E773" s="90"/>
      <c r="F773" s="9"/>
      <c r="G773" s="94" t="s">
        <v>24</v>
      </c>
      <c r="H773" s="95" t="s">
        <v>427</v>
      </c>
      <c r="I773" s="104"/>
      <c r="J773" s="105"/>
      <c r="K773" s="105"/>
      <c r="L773" s="106">
        <f>SUM(L774:L783)</f>
        <v>17096426</v>
      </c>
      <c r="M773" s="107"/>
      <c r="N773" s="108" t="s">
        <v>26</v>
      </c>
      <c r="O773" s="108"/>
      <c r="P773" s="108"/>
      <c r="Q773" s="108"/>
      <c r="R773" s="108"/>
      <c r="S773" s="106">
        <f>SUM(S774:S783)</f>
        <v>17096426</v>
      </c>
      <c r="T773" s="106">
        <f>SUM(T774:T783)</f>
        <v>0</v>
      </c>
      <c r="U773" s="10"/>
      <c r="V773" s="52">
        <f>L773-S773</f>
        <v>0</v>
      </c>
      <c r="W773" s="52">
        <f>T773-V773</f>
        <v>0</v>
      </c>
      <c r="X773" s="10"/>
      <c r="Y773" s="10"/>
      <c r="Z773" s="10"/>
      <c r="AA773" s="10"/>
      <c r="AB773" s="10"/>
      <c r="AC773" s="10"/>
      <c r="AD773" s="10"/>
      <c r="AE773" s="10"/>
    </row>
    <row r="774" spans="1:31" ht="14.25" hidden="1" customHeight="1">
      <c r="A774" s="277" t="s">
        <v>5238</v>
      </c>
      <c r="B774" s="9" t="s">
        <v>21</v>
      </c>
      <c r="C774" s="9">
        <v>2025</v>
      </c>
      <c r="D774" s="9" t="s">
        <v>27</v>
      </c>
      <c r="E774" s="90" t="s">
        <v>23</v>
      </c>
      <c r="F774" s="9" t="s">
        <v>7</v>
      </c>
      <c r="G774" s="10"/>
      <c r="H774" s="96">
        <v>250340</v>
      </c>
      <c r="I774" s="109" t="s">
        <v>427</v>
      </c>
      <c r="J774" s="115">
        <v>45729</v>
      </c>
      <c r="K774" s="115">
        <v>45755</v>
      </c>
      <c r="L774" s="116">
        <v>467727</v>
      </c>
      <c r="M774" s="117" t="s">
        <v>428</v>
      </c>
      <c r="N774" s="34" t="s">
        <v>29</v>
      </c>
      <c r="O774" s="27">
        <f>SUM(L774:L780)</f>
        <v>17084069</v>
      </c>
      <c r="P774" s="113">
        <v>45896</v>
      </c>
      <c r="Q774" s="113">
        <v>45896</v>
      </c>
      <c r="R774" s="113">
        <v>45896</v>
      </c>
      <c r="S774" s="37">
        <f t="shared" ref="S774:S782" si="153">IF(R774="",0,L774)</f>
        <v>467727</v>
      </c>
      <c r="T774" s="37">
        <f t="shared" ref="T774:T782" si="154">L774-S774</f>
        <v>0</v>
      </c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</row>
    <row r="775" spans="1:31" ht="14.25" hidden="1" customHeight="1">
      <c r="A775" s="277" t="s">
        <v>5239</v>
      </c>
      <c r="B775" s="9" t="s">
        <v>21</v>
      </c>
      <c r="C775" s="9">
        <v>2025</v>
      </c>
      <c r="D775" s="9" t="s">
        <v>27</v>
      </c>
      <c r="E775" s="90" t="s">
        <v>23</v>
      </c>
      <c r="F775" s="9" t="s">
        <v>7</v>
      </c>
      <c r="G775" s="10"/>
      <c r="H775" s="96">
        <v>250360</v>
      </c>
      <c r="I775" s="109" t="s">
        <v>427</v>
      </c>
      <c r="J775" s="115">
        <v>45742</v>
      </c>
      <c r="K775" s="115">
        <v>45762</v>
      </c>
      <c r="L775" s="116">
        <v>1448439</v>
      </c>
      <c r="M775" s="117" t="s">
        <v>429</v>
      </c>
      <c r="N775" s="34" t="s">
        <v>29</v>
      </c>
      <c r="O775" s="10"/>
      <c r="P775" s="113">
        <v>45896</v>
      </c>
      <c r="Q775" s="113">
        <v>45896</v>
      </c>
      <c r="R775" s="113">
        <v>45896</v>
      </c>
      <c r="S775" s="37">
        <f t="shared" si="153"/>
        <v>1448439</v>
      </c>
      <c r="T775" s="37">
        <f t="shared" si="154"/>
        <v>0</v>
      </c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</row>
    <row r="776" spans="1:31" ht="14.25" hidden="1" customHeight="1">
      <c r="A776" s="277" t="s">
        <v>5240</v>
      </c>
      <c r="B776" s="9" t="s">
        <v>21</v>
      </c>
      <c r="C776" s="9">
        <v>2025</v>
      </c>
      <c r="D776" s="9" t="s">
        <v>27</v>
      </c>
      <c r="E776" s="90" t="s">
        <v>23</v>
      </c>
      <c r="F776" s="9" t="s">
        <v>7</v>
      </c>
      <c r="G776" s="10"/>
      <c r="H776" s="96">
        <v>250435</v>
      </c>
      <c r="I776" s="109" t="s">
        <v>427</v>
      </c>
      <c r="J776" s="115">
        <v>45764</v>
      </c>
      <c r="K776" s="115">
        <v>45783</v>
      </c>
      <c r="L776" s="116">
        <v>408380</v>
      </c>
      <c r="M776" s="117" t="s">
        <v>430</v>
      </c>
      <c r="N776" s="34" t="s">
        <v>29</v>
      </c>
      <c r="O776" s="10"/>
      <c r="P776" s="113">
        <v>45896</v>
      </c>
      <c r="Q776" s="113">
        <v>45896</v>
      </c>
      <c r="R776" s="113">
        <v>45896</v>
      </c>
      <c r="S776" s="37">
        <f t="shared" si="153"/>
        <v>408380</v>
      </c>
      <c r="T776" s="37">
        <f t="shared" si="154"/>
        <v>0</v>
      </c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</row>
    <row r="777" spans="1:31" ht="14.25" hidden="1" customHeight="1">
      <c r="A777" s="277" t="s">
        <v>5241</v>
      </c>
      <c r="B777" s="9" t="s">
        <v>21</v>
      </c>
      <c r="C777" s="9">
        <v>2025</v>
      </c>
      <c r="D777" s="9" t="s">
        <v>27</v>
      </c>
      <c r="E777" s="90" t="s">
        <v>23</v>
      </c>
      <c r="F777" s="9" t="s">
        <v>7</v>
      </c>
      <c r="G777" s="10"/>
      <c r="H777" s="96">
        <v>250462</v>
      </c>
      <c r="I777" s="109" t="s">
        <v>427</v>
      </c>
      <c r="J777" s="115">
        <v>45771</v>
      </c>
      <c r="K777" s="115">
        <v>45790</v>
      </c>
      <c r="L777" s="116">
        <v>575326</v>
      </c>
      <c r="M777" s="117" t="s">
        <v>431</v>
      </c>
      <c r="N777" s="34" t="s">
        <v>29</v>
      </c>
      <c r="O777" s="10"/>
      <c r="P777" s="113">
        <v>45896</v>
      </c>
      <c r="Q777" s="113">
        <v>45896</v>
      </c>
      <c r="R777" s="113">
        <v>45896</v>
      </c>
      <c r="S777" s="37">
        <f t="shared" si="153"/>
        <v>575326</v>
      </c>
      <c r="T777" s="37">
        <f t="shared" si="154"/>
        <v>0</v>
      </c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</row>
    <row r="778" spans="1:31" ht="14.25" hidden="1" customHeight="1">
      <c r="A778" s="277" t="s">
        <v>5242</v>
      </c>
      <c r="B778" s="9" t="s">
        <v>21</v>
      </c>
      <c r="C778" s="9">
        <v>2025</v>
      </c>
      <c r="D778" s="9" t="s">
        <v>27</v>
      </c>
      <c r="E778" s="90" t="s">
        <v>23</v>
      </c>
      <c r="F778" s="9" t="s">
        <v>7</v>
      </c>
      <c r="G778" s="10"/>
      <c r="H778" s="96">
        <v>250451</v>
      </c>
      <c r="I778" s="109" t="s">
        <v>427</v>
      </c>
      <c r="J778" s="115">
        <v>45768</v>
      </c>
      <c r="K778" s="115">
        <v>45790</v>
      </c>
      <c r="L778" s="116">
        <v>1083227</v>
      </c>
      <c r="M778" s="117" t="s">
        <v>432</v>
      </c>
      <c r="N778" s="34" t="s">
        <v>29</v>
      </c>
      <c r="O778" s="10"/>
      <c r="P778" s="113">
        <v>45896</v>
      </c>
      <c r="Q778" s="113">
        <v>45896</v>
      </c>
      <c r="R778" s="113">
        <v>45896</v>
      </c>
      <c r="S778" s="37">
        <f t="shared" si="153"/>
        <v>1083227</v>
      </c>
      <c r="T778" s="37">
        <f t="shared" si="154"/>
        <v>0</v>
      </c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</row>
    <row r="779" spans="1:31" ht="14.25" hidden="1" customHeight="1">
      <c r="A779" s="277" t="s">
        <v>5243</v>
      </c>
      <c r="B779" s="9" t="s">
        <v>21</v>
      </c>
      <c r="C779" s="9">
        <v>2025</v>
      </c>
      <c r="D779" s="9" t="s">
        <v>27</v>
      </c>
      <c r="E779" s="90" t="s">
        <v>23</v>
      </c>
      <c r="F779" s="9" t="s">
        <v>7</v>
      </c>
      <c r="G779" s="10"/>
      <c r="H779" s="96">
        <v>250481</v>
      </c>
      <c r="I779" s="109" t="s">
        <v>427</v>
      </c>
      <c r="J779" s="115">
        <v>45776</v>
      </c>
      <c r="K779" s="115">
        <v>45797</v>
      </c>
      <c r="L779" s="116">
        <v>605628</v>
      </c>
      <c r="M779" s="117" t="s">
        <v>433</v>
      </c>
      <c r="N779" s="34" t="s">
        <v>29</v>
      </c>
      <c r="O779" s="10"/>
      <c r="P779" s="113">
        <v>45896</v>
      </c>
      <c r="Q779" s="113">
        <v>45896</v>
      </c>
      <c r="R779" s="113">
        <v>45896</v>
      </c>
      <c r="S779" s="37">
        <f t="shared" si="153"/>
        <v>605628</v>
      </c>
      <c r="T779" s="37">
        <f t="shared" si="154"/>
        <v>0</v>
      </c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</row>
    <row r="780" spans="1:31" ht="14.25" hidden="1" customHeight="1">
      <c r="A780" s="277" t="s">
        <v>5244</v>
      </c>
      <c r="B780" s="9" t="s">
        <v>21</v>
      </c>
      <c r="C780" s="9">
        <v>2025</v>
      </c>
      <c r="D780" s="9" t="s">
        <v>27</v>
      </c>
      <c r="E780" s="90" t="s">
        <v>23</v>
      </c>
      <c r="F780" s="9" t="s">
        <v>7</v>
      </c>
      <c r="G780" s="10"/>
      <c r="H780" s="96">
        <v>250485</v>
      </c>
      <c r="I780" s="109" t="s">
        <v>427</v>
      </c>
      <c r="J780" s="115">
        <v>45777</v>
      </c>
      <c r="K780" s="115">
        <v>45799</v>
      </c>
      <c r="L780" s="116">
        <f>13762900-65434-37550-55911-25658-23000-33716-103500-70840-63480-382950-280830-124689</f>
        <v>12495342</v>
      </c>
      <c r="M780" s="117" t="s">
        <v>434</v>
      </c>
      <c r="N780" s="34" t="s">
        <v>29</v>
      </c>
      <c r="O780" s="10"/>
      <c r="P780" s="113">
        <v>45896</v>
      </c>
      <c r="Q780" s="113">
        <v>45896</v>
      </c>
      <c r="R780" s="113">
        <v>45896</v>
      </c>
      <c r="S780" s="37">
        <f t="shared" si="153"/>
        <v>12495342</v>
      </c>
      <c r="T780" s="37">
        <f t="shared" si="154"/>
        <v>0</v>
      </c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</row>
    <row r="781" spans="1:31" ht="14.25" customHeight="1">
      <c r="A781" s="277" t="s">
        <v>5245</v>
      </c>
      <c r="B781" s="9" t="s">
        <v>21</v>
      </c>
      <c r="C781" s="9">
        <v>2025</v>
      </c>
      <c r="D781" s="9" t="s">
        <v>27</v>
      </c>
      <c r="E781" s="90" t="s">
        <v>23</v>
      </c>
      <c r="F781" s="9" t="s">
        <v>7</v>
      </c>
      <c r="G781" s="10"/>
      <c r="H781" s="96"/>
      <c r="I781" s="109" t="s">
        <v>427</v>
      </c>
      <c r="J781" s="115">
        <v>45777</v>
      </c>
      <c r="K781" s="115">
        <v>45799</v>
      </c>
      <c r="L781" s="116">
        <f>12357</f>
        <v>12357</v>
      </c>
      <c r="M781" s="117" t="s">
        <v>435</v>
      </c>
      <c r="N781" s="34" t="s">
        <v>29</v>
      </c>
      <c r="O781" s="10"/>
      <c r="P781" s="113">
        <v>45898</v>
      </c>
      <c r="Q781" s="113">
        <v>45898</v>
      </c>
      <c r="R781" s="113">
        <v>45898</v>
      </c>
      <c r="S781" s="37">
        <f t="shared" si="153"/>
        <v>12357</v>
      </c>
      <c r="T781" s="37">
        <f t="shared" si="154"/>
        <v>0</v>
      </c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</row>
    <row r="782" spans="1:31" ht="14.25" customHeight="1">
      <c r="A782" s="277" t="s">
        <v>5246</v>
      </c>
      <c r="B782" s="9" t="s">
        <v>21</v>
      </c>
      <c r="C782" s="9"/>
      <c r="D782" s="9"/>
      <c r="E782" s="90"/>
      <c r="F782" s="9"/>
      <c r="G782" s="10"/>
      <c r="H782" s="9"/>
      <c r="I782" s="11"/>
      <c r="J782" s="12"/>
      <c r="K782" s="12"/>
      <c r="L782" s="27"/>
      <c r="M782" s="10"/>
      <c r="N782" s="114">
        <f ca="1">$J$3-J782</f>
        <v>46240.46377638889</v>
      </c>
      <c r="O782" s="10"/>
      <c r="P782" s="39"/>
      <c r="Q782" s="49"/>
      <c r="R782" s="49"/>
      <c r="S782" s="37">
        <f t="shared" si="153"/>
        <v>0</v>
      </c>
      <c r="T782" s="37">
        <f t="shared" si="154"/>
        <v>0</v>
      </c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</row>
    <row r="783" spans="1:31" ht="14.25" customHeight="1">
      <c r="A783" s="277" t="s">
        <v>5247</v>
      </c>
      <c r="B783" s="9" t="s">
        <v>21</v>
      </c>
      <c r="C783" s="9"/>
      <c r="D783" s="9"/>
      <c r="E783" s="90"/>
      <c r="F783" s="9"/>
      <c r="G783" s="10"/>
      <c r="H783" s="9"/>
      <c r="I783" s="11"/>
      <c r="J783" s="12"/>
      <c r="K783" s="12"/>
      <c r="L783" s="52"/>
      <c r="M783" s="10"/>
      <c r="N783" s="9"/>
      <c r="O783" s="11"/>
      <c r="P783" s="39"/>
      <c r="Q783" s="39"/>
      <c r="R783" s="39"/>
      <c r="S783" s="37"/>
      <c r="T783" s="37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</row>
    <row r="784" spans="1:31">
      <c r="A784" s="277" t="s">
        <v>7473</v>
      </c>
      <c r="B784" s="9" t="s">
        <v>21</v>
      </c>
      <c r="C784" s="9"/>
      <c r="D784" s="9"/>
      <c r="E784" s="90"/>
      <c r="F784" s="9"/>
      <c r="G784" s="94" t="s">
        <v>24</v>
      </c>
      <c r="H784" s="95" t="s">
        <v>436</v>
      </c>
      <c r="I784" s="104"/>
      <c r="J784" s="105"/>
      <c r="K784" s="105"/>
      <c r="L784" s="106">
        <f>SUM(L785:L797)</f>
        <v>61994327</v>
      </c>
      <c r="M784" s="107"/>
      <c r="N784" s="108" t="s">
        <v>26</v>
      </c>
      <c r="O784" s="108"/>
      <c r="P784" s="108"/>
      <c r="Q784" s="108"/>
      <c r="R784" s="108"/>
      <c r="S784" s="106">
        <f>SUM(S785:S797)</f>
        <v>54702053</v>
      </c>
      <c r="T784" s="106">
        <f>SUM(T785:T797)</f>
        <v>7292274</v>
      </c>
      <c r="U784" s="10"/>
      <c r="V784" s="52">
        <f>L784-S784</f>
        <v>7292274</v>
      </c>
      <c r="W784" s="52">
        <f>T784-V784</f>
        <v>0</v>
      </c>
      <c r="X784" s="10"/>
      <c r="Y784" s="10"/>
      <c r="Z784" s="10"/>
      <c r="AA784" s="10"/>
      <c r="AB784" s="10"/>
      <c r="AC784" s="10"/>
      <c r="AD784" s="10"/>
      <c r="AE784" s="10"/>
    </row>
    <row r="785" spans="1:31" ht="14.25" hidden="1" customHeight="1">
      <c r="A785" s="277" t="s">
        <v>7474</v>
      </c>
      <c r="B785" s="9" t="s">
        <v>21</v>
      </c>
      <c r="C785" s="9">
        <v>2025</v>
      </c>
      <c r="D785" s="9" t="s">
        <v>27</v>
      </c>
      <c r="E785" s="90" t="s">
        <v>23</v>
      </c>
      <c r="F785" s="9" t="s">
        <v>7</v>
      </c>
      <c r="G785" s="10"/>
      <c r="H785" s="96">
        <v>250225</v>
      </c>
      <c r="I785" s="109" t="s">
        <v>436</v>
      </c>
      <c r="J785" s="115">
        <v>45701</v>
      </c>
      <c r="K785" s="115">
        <v>45731</v>
      </c>
      <c r="L785" s="116">
        <v>1894120</v>
      </c>
      <c r="M785" s="117" t="s">
        <v>437</v>
      </c>
      <c r="N785" s="34" t="s">
        <v>29</v>
      </c>
      <c r="O785" s="10"/>
      <c r="P785" s="113">
        <v>45757</v>
      </c>
      <c r="Q785" s="113">
        <v>45757</v>
      </c>
      <c r="R785" s="113">
        <v>45757</v>
      </c>
      <c r="S785" s="37">
        <f t="shared" ref="S785:S788" si="155">IF(R785="",0,L785)</f>
        <v>1894120</v>
      </c>
      <c r="T785" s="37">
        <f t="shared" ref="T785:T786" si="156">L785-S785</f>
        <v>0</v>
      </c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</row>
    <row r="786" spans="1:31" ht="14.25" hidden="1" customHeight="1">
      <c r="A786" s="277" t="s">
        <v>7475</v>
      </c>
      <c r="B786" s="9" t="s">
        <v>21</v>
      </c>
      <c r="C786" s="9">
        <v>2025</v>
      </c>
      <c r="D786" s="9" t="s">
        <v>27</v>
      </c>
      <c r="E786" s="90" t="s">
        <v>23</v>
      </c>
      <c r="F786" s="9" t="s">
        <v>7</v>
      </c>
      <c r="G786" s="10"/>
      <c r="H786" s="96">
        <v>250464</v>
      </c>
      <c r="I786" s="109" t="s">
        <v>436</v>
      </c>
      <c r="J786" s="115">
        <v>45762</v>
      </c>
      <c r="K786" s="115">
        <v>45790</v>
      </c>
      <c r="L786" s="116">
        <v>5437742</v>
      </c>
      <c r="M786" s="117" t="s">
        <v>438</v>
      </c>
      <c r="N786" s="34" t="s">
        <v>29</v>
      </c>
      <c r="O786" s="27">
        <f>SUM(L786:L787)</f>
        <v>9851572</v>
      </c>
      <c r="P786" s="113">
        <v>45864</v>
      </c>
      <c r="Q786" s="113">
        <v>45864</v>
      </c>
      <c r="R786" s="113">
        <v>45864</v>
      </c>
      <c r="S786" s="37">
        <f t="shared" si="155"/>
        <v>5437742</v>
      </c>
      <c r="T786" s="37">
        <f t="shared" si="156"/>
        <v>0</v>
      </c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</row>
    <row r="787" spans="1:31" hidden="1">
      <c r="A787" s="277" t="s">
        <v>7476</v>
      </c>
      <c r="B787" s="9" t="s">
        <v>21</v>
      </c>
      <c r="C787" s="9">
        <v>2025</v>
      </c>
      <c r="D787" s="9" t="s">
        <v>27</v>
      </c>
      <c r="E787" s="90" t="s">
        <v>23</v>
      </c>
      <c r="F787" s="9" t="s">
        <v>7</v>
      </c>
      <c r="G787" s="10"/>
      <c r="H787" s="96">
        <v>250610</v>
      </c>
      <c r="I787" s="109" t="s">
        <v>436</v>
      </c>
      <c r="J787" s="115">
        <v>45817</v>
      </c>
      <c r="K787" s="115">
        <v>45831</v>
      </c>
      <c r="L787" s="116">
        <v>4413830</v>
      </c>
      <c r="M787" s="117" t="s">
        <v>439</v>
      </c>
      <c r="N787" s="34" t="s">
        <v>29</v>
      </c>
      <c r="O787" s="10"/>
      <c r="P787" s="113">
        <v>45864</v>
      </c>
      <c r="Q787" s="113">
        <v>45864</v>
      </c>
      <c r="R787" s="113">
        <v>45864</v>
      </c>
      <c r="S787" s="37">
        <f t="shared" si="155"/>
        <v>4413830</v>
      </c>
      <c r="T787" s="37">
        <f>L787-S787</f>
        <v>0</v>
      </c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</row>
    <row r="788" spans="1:31" hidden="1">
      <c r="A788" s="277" t="s">
        <v>7477</v>
      </c>
      <c r="B788" s="9" t="s">
        <v>21</v>
      </c>
      <c r="C788" s="9">
        <v>2025</v>
      </c>
      <c r="D788" s="9" t="s">
        <v>27</v>
      </c>
      <c r="E788" s="90" t="s">
        <v>23</v>
      </c>
      <c r="F788" s="9" t="s">
        <v>7</v>
      </c>
      <c r="G788" s="10"/>
      <c r="H788" s="96">
        <v>250806</v>
      </c>
      <c r="I788" s="109" t="s">
        <v>436</v>
      </c>
      <c r="J788" s="115">
        <v>45874</v>
      </c>
      <c r="K788" s="115">
        <v>45881</v>
      </c>
      <c r="L788" s="116">
        <v>5864370</v>
      </c>
      <c r="M788" s="117" t="s">
        <v>440</v>
      </c>
      <c r="N788" s="34" t="s">
        <v>29</v>
      </c>
      <c r="O788" s="10"/>
      <c r="P788" s="113">
        <v>45945</v>
      </c>
      <c r="Q788" s="113">
        <v>45945</v>
      </c>
      <c r="R788" s="113">
        <v>45945</v>
      </c>
      <c r="S788" s="37">
        <f t="shared" si="155"/>
        <v>5864370</v>
      </c>
      <c r="T788" s="37">
        <f>L788-S788</f>
        <v>0</v>
      </c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</row>
    <row r="789" spans="1:31" hidden="1">
      <c r="A789" s="277" t="s">
        <v>7478</v>
      </c>
      <c r="B789" s="9" t="s">
        <v>21</v>
      </c>
      <c r="C789" s="9">
        <v>2025</v>
      </c>
      <c r="D789" s="9" t="s">
        <v>27</v>
      </c>
      <c r="E789" s="90" t="s">
        <v>23</v>
      </c>
      <c r="F789" s="9" t="s">
        <v>7</v>
      </c>
      <c r="G789" s="10"/>
      <c r="H789" s="96">
        <v>251226</v>
      </c>
      <c r="I789" s="109" t="s">
        <v>436</v>
      </c>
      <c r="J789" s="115">
        <v>45988</v>
      </c>
      <c r="K789" s="115">
        <v>46000</v>
      </c>
      <c r="L789" s="116">
        <v>4644480</v>
      </c>
      <c r="M789" s="117" t="s">
        <v>4086</v>
      </c>
      <c r="N789" s="34" t="s">
        <v>29</v>
      </c>
      <c r="O789" s="27">
        <f>SUM(L789:L791)</f>
        <v>16820778</v>
      </c>
      <c r="P789" s="113">
        <v>46111</v>
      </c>
      <c r="Q789" s="113">
        <v>46111</v>
      </c>
      <c r="R789" s="113">
        <v>46111</v>
      </c>
      <c r="S789" s="37">
        <f t="shared" ref="S789:S797" si="157">IF(R789="",0,L789)</f>
        <v>4644480</v>
      </c>
      <c r="T789" s="37">
        <f t="shared" ref="T789:T797" si="158">L789-S789</f>
        <v>0</v>
      </c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</row>
    <row r="790" spans="1:31" hidden="1">
      <c r="A790" s="277" t="s">
        <v>7479</v>
      </c>
      <c r="B790" s="9" t="s">
        <v>21</v>
      </c>
      <c r="C790" s="9">
        <v>2025</v>
      </c>
      <c r="D790" s="9" t="s">
        <v>27</v>
      </c>
      <c r="E790" s="90" t="s">
        <v>23</v>
      </c>
      <c r="F790" s="9" t="s">
        <v>7</v>
      </c>
      <c r="G790" s="10"/>
      <c r="H790" s="96">
        <v>251243</v>
      </c>
      <c r="I790" s="109" t="s">
        <v>436</v>
      </c>
      <c r="J790" s="115">
        <v>45990</v>
      </c>
      <c r="K790" s="115">
        <v>46000</v>
      </c>
      <c r="L790" s="116">
        <v>2014000</v>
      </c>
      <c r="M790" s="117" t="s">
        <v>4087</v>
      </c>
      <c r="N790" s="34" t="s">
        <v>29</v>
      </c>
      <c r="O790" s="10"/>
      <c r="P790" s="113">
        <v>46111</v>
      </c>
      <c r="Q790" s="113">
        <v>46111</v>
      </c>
      <c r="R790" s="113">
        <v>46111</v>
      </c>
      <c r="S790" s="37">
        <f t="shared" si="157"/>
        <v>2014000</v>
      </c>
      <c r="T790" s="37">
        <f t="shared" si="158"/>
        <v>0</v>
      </c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</row>
    <row r="791" spans="1:31" ht="14.25" hidden="1" customHeight="1">
      <c r="A791" s="277" t="s">
        <v>7480</v>
      </c>
      <c r="B791" s="9" t="s">
        <v>21</v>
      </c>
      <c r="C791" s="9">
        <v>2026</v>
      </c>
      <c r="D791" s="9" t="s">
        <v>27</v>
      </c>
      <c r="E791" s="90" t="s">
        <v>23</v>
      </c>
      <c r="F791" s="9" t="s">
        <v>7</v>
      </c>
      <c r="G791" s="10"/>
      <c r="H791" s="96">
        <v>260013</v>
      </c>
      <c r="I791" s="109" t="s">
        <v>436</v>
      </c>
      <c r="J791" s="115">
        <v>46024</v>
      </c>
      <c r="K791" s="115">
        <v>46051</v>
      </c>
      <c r="L791" s="116">
        <v>10162298</v>
      </c>
      <c r="M791" s="117" t="s">
        <v>4283</v>
      </c>
      <c r="N791" s="34" t="s">
        <v>29</v>
      </c>
      <c r="O791" s="10"/>
      <c r="P791" s="113">
        <v>46111</v>
      </c>
      <c r="Q791" s="113">
        <v>46111</v>
      </c>
      <c r="R791" s="113">
        <v>46111</v>
      </c>
      <c r="S791" s="37">
        <f t="shared" si="157"/>
        <v>10162298</v>
      </c>
      <c r="T791" s="37">
        <f t="shared" si="158"/>
        <v>0</v>
      </c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</row>
    <row r="792" spans="1:31" ht="14.25" hidden="1" customHeight="1">
      <c r="A792" s="277" t="s">
        <v>7481</v>
      </c>
      <c r="B792" s="9" t="s">
        <v>21</v>
      </c>
      <c r="C792" s="9">
        <v>2026</v>
      </c>
      <c r="D792" s="9" t="s">
        <v>27</v>
      </c>
      <c r="E792" s="90" t="s">
        <v>23</v>
      </c>
      <c r="F792" s="9" t="s">
        <v>7</v>
      </c>
      <c r="G792" s="10"/>
      <c r="H792" s="96">
        <v>260142</v>
      </c>
      <c r="I792" s="109" t="s">
        <v>436</v>
      </c>
      <c r="J792" s="115">
        <v>46076</v>
      </c>
      <c r="K792" s="115">
        <v>46081</v>
      </c>
      <c r="L792" s="116">
        <v>6364092</v>
      </c>
      <c r="M792" s="117" t="s">
        <v>4416</v>
      </c>
      <c r="N792" s="34" t="s">
        <v>29</v>
      </c>
      <c r="O792" s="27">
        <f>SUM(L792:L795)</f>
        <v>20271213</v>
      </c>
      <c r="P792" s="113">
        <v>46200</v>
      </c>
      <c r="Q792" s="113">
        <v>46200</v>
      </c>
      <c r="R792" s="113">
        <v>46200</v>
      </c>
      <c r="S792" s="37">
        <f t="shared" si="157"/>
        <v>6364092</v>
      </c>
      <c r="T792" s="37">
        <f t="shared" si="158"/>
        <v>0</v>
      </c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</row>
    <row r="793" spans="1:31" ht="14.25" hidden="1" customHeight="1">
      <c r="A793" s="277" t="s">
        <v>7482</v>
      </c>
      <c r="B793" s="9" t="s">
        <v>21</v>
      </c>
      <c r="C793" s="9">
        <v>2026</v>
      </c>
      <c r="D793" s="9" t="s">
        <v>27</v>
      </c>
      <c r="E793" s="90" t="s">
        <v>23</v>
      </c>
      <c r="F793" s="9" t="s">
        <v>7</v>
      </c>
      <c r="G793" s="10"/>
      <c r="H793" s="96">
        <v>260218</v>
      </c>
      <c r="I793" s="109" t="s">
        <v>436</v>
      </c>
      <c r="J793" s="115">
        <v>46128</v>
      </c>
      <c r="K793" s="115">
        <v>46133</v>
      </c>
      <c r="L793" s="116">
        <v>9978704</v>
      </c>
      <c r="M793" s="117" t="s">
        <v>6976</v>
      </c>
      <c r="N793" s="34" t="s">
        <v>29</v>
      </c>
      <c r="O793" s="10"/>
      <c r="P793" s="113">
        <v>46200</v>
      </c>
      <c r="Q793" s="113">
        <v>46200</v>
      </c>
      <c r="R793" s="113">
        <v>46200</v>
      </c>
      <c r="S793" s="37">
        <f t="shared" si="157"/>
        <v>9978704</v>
      </c>
      <c r="T793" s="37">
        <f t="shared" si="158"/>
        <v>0</v>
      </c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</row>
    <row r="794" spans="1:31" ht="14.25" hidden="1" customHeight="1">
      <c r="A794" s="277" t="s">
        <v>7483</v>
      </c>
      <c r="B794" s="9" t="s">
        <v>21</v>
      </c>
      <c r="C794" s="9">
        <v>2026</v>
      </c>
      <c r="D794" s="9" t="s">
        <v>27</v>
      </c>
      <c r="E794" s="90" t="s">
        <v>23</v>
      </c>
      <c r="F794" s="9" t="s">
        <v>7</v>
      </c>
      <c r="G794" s="10"/>
      <c r="H794" s="96">
        <v>260265</v>
      </c>
      <c r="I794" s="109" t="s">
        <v>436</v>
      </c>
      <c r="J794" s="115">
        <v>46140</v>
      </c>
      <c r="K794" s="115">
        <v>46149</v>
      </c>
      <c r="L794" s="116">
        <v>793000</v>
      </c>
      <c r="M794" s="117" t="s">
        <v>7013</v>
      </c>
      <c r="N794" s="34" t="s">
        <v>29</v>
      </c>
      <c r="O794" s="10"/>
      <c r="P794" s="113">
        <v>46200</v>
      </c>
      <c r="Q794" s="113">
        <v>46200</v>
      </c>
      <c r="R794" s="113">
        <v>46200</v>
      </c>
      <c r="S794" s="37">
        <f t="shared" ref="S794:S796" si="159">IF(R794="",0,L794)</f>
        <v>793000</v>
      </c>
      <c r="T794" s="37">
        <f t="shared" ref="T794:T796" si="160">L794-S794</f>
        <v>0</v>
      </c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</row>
    <row r="795" spans="1:31" ht="14.25" customHeight="1">
      <c r="A795" s="277" t="s">
        <v>7484</v>
      </c>
      <c r="B795" s="9" t="s">
        <v>21</v>
      </c>
      <c r="C795" s="9">
        <v>2026</v>
      </c>
      <c r="D795" s="9" t="s">
        <v>27</v>
      </c>
      <c r="E795" s="90" t="s">
        <v>23</v>
      </c>
      <c r="F795" s="9" t="s">
        <v>7</v>
      </c>
      <c r="G795" s="10"/>
      <c r="H795" s="96">
        <v>260268</v>
      </c>
      <c r="I795" s="109" t="s">
        <v>436</v>
      </c>
      <c r="J795" s="115">
        <v>46149</v>
      </c>
      <c r="K795" s="115">
        <v>46151</v>
      </c>
      <c r="L795" s="116">
        <v>3135417</v>
      </c>
      <c r="M795" s="117" t="s">
        <v>7020</v>
      </c>
      <c r="N795" s="34" t="s">
        <v>29</v>
      </c>
      <c r="O795" s="10"/>
      <c r="P795" s="113">
        <v>46200</v>
      </c>
      <c r="Q795" s="113">
        <v>46200</v>
      </c>
      <c r="R795" s="113">
        <v>46200</v>
      </c>
      <c r="S795" s="37">
        <f t="shared" si="159"/>
        <v>3135417</v>
      </c>
      <c r="T795" s="37">
        <f t="shared" si="160"/>
        <v>0</v>
      </c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</row>
    <row r="796" spans="1:31" ht="14.25" customHeight="1">
      <c r="A796" s="277" t="s">
        <v>7485</v>
      </c>
      <c r="B796" s="9" t="s">
        <v>21</v>
      </c>
      <c r="C796" s="9">
        <v>2026</v>
      </c>
      <c r="D796" s="9" t="s">
        <v>77</v>
      </c>
      <c r="E796" s="90" t="s">
        <v>23</v>
      </c>
      <c r="F796" s="9" t="s">
        <v>7</v>
      </c>
      <c r="G796" s="10"/>
      <c r="H796" s="9">
        <v>260437</v>
      </c>
      <c r="I796" s="11" t="s">
        <v>436</v>
      </c>
      <c r="J796" s="12">
        <v>46203</v>
      </c>
      <c r="K796" s="12">
        <v>46210</v>
      </c>
      <c r="L796" s="27">
        <v>7292274</v>
      </c>
      <c r="M796" s="10" t="s">
        <v>7349</v>
      </c>
      <c r="N796" s="34">
        <f t="shared" ref="N796" ca="1" si="161">$J$3-J796</f>
        <v>37.463776388889528</v>
      </c>
      <c r="O796" s="10"/>
      <c r="P796" s="39"/>
      <c r="Q796" s="39"/>
      <c r="R796" s="39"/>
      <c r="S796" s="37">
        <f t="shared" si="159"/>
        <v>0</v>
      </c>
      <c r="T796" s="37">
        <f t="shared" si="160"/>
        <v>7292274</v>
      </c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</row>
    <row r="797" spans="1:31" ht="14.25" customHeight="1">
      <c r="A797" s="277" t="s">
        <v>7486</v>
      </c>
      <c r="B797" s="9" t="s">
        <v>21</v>
      </c>
      <c r="C797" s="9"/>
      <c r="D797" s="9"/>
      <c r="E797" s="90"/>
      <c r="F797" s="9"/>
      <c r="G797" s="10"/>
      <c r="H797" s="9"/>
      <c r="I797" s="11"/>
      <c r="J797" s="12"/>
      <c r="K797" s="12"/>
      <c r="L797" s="27"/>
      <c r="M797" s="10"/>
      <c r="N797" s="114">
        <f ca="1">$J$3-J797</f>
        <v>46240.46377638889</v>
      </c>
      <c r="O797" s="11"/>
      <c r="P797" s="39"/>
      <c r="Q797" s="39"/>
      <c r="R797" s="49"/>
      <c r="S797" s="37">
        <f t="shared" si="157"/>
        <v>0</v>
      </c>
      <c r="T797" s="37">
        <f t="shared" si="158"/>
        <v>0</v>
      </c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</row>
    <row r="798" spans="1:31" ht="14.25" customHeight="1">
      <c r="A798" s="277" t="s">
        <v>7487</v>
      </c>
      <c r="B798" s="9" t="s">
        <v>21</v>
      </c>
      <c r="C798" s="9"/>
      <c r="D798" s="9"/>
      <c r="E798" s="90"/>
      <c r="F798" s="9"/>
      <c r="G798" s="10"/>
      <c r="H798" s="9"/>
      <c r="I798" s="11"/>
      <c r="J798" s="12"/>
      <c r="K798" s="12"/>
      <c r="L798" s="27"/>
      <c r="M798" s="10"/>
      <c r="N798" s="9"/>
      <c r="O798" s="11"/>
      <c r="P798" s="39"/>
      <c r="Q798" s="39"/>
      <c r="R798" s="39"/>
      <c r="S798" s="37"/>
      <c r="T798" s="37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</row>
    <row r="799" spans="1:31" ht="14.25" customHeight="1">
      <c r="A799" s="277" t="s">
        <v>5248</v>
      </c>
      <c r="B799" s="9" t="s">
        <v>21</v>
      </c>
      <c r="C799" s="9"/>
      <c r="D799" s="9"/>
      <c r="E799" s="90"/>
      <c r="F799" s="9"/>
      <c r="G799" s="94" t="s">
        <v>24</v>
      </c>
      <c r="H799" s="95" t="s">
        <v>441</v>
      </c>
      <c r="I799" s="104"/>
      <c r="J799" s="105"/>
      <c r="K799" s="105"/>
      <c r="L799" s="106">
        <f>SUM(L800:L832)</f>
        <v>34390908</v>
      </c>
      <c r="M799" s="107"/>
      <c r="N799" s="108" t="s">
        <v>26</v>
      </c>
      <c r="O799" s="108"/>
      <c r="P799" s="108"/>
      <c r="Q799" s="108"/>
      <c r="R799" s="108"/>
      <c r="S799" s="106">
        <f>SUM(S800:S832)</f>
        <v>27617688</v>
      </c>
      <c r="T799" s="106">
        <f>SUM(T800:T832)</f>
        <v>6773220</v>
      </c>
      <c r="U799" s="10"/>
      <c r="V799" s="52">
        <f>L799-S799</f>
        <v>6773220</v>
      </c>
      <c r="W799" s="52">
        <f>T799-V799</f>
        <v>0</v>
      </c>
      <c r="X799" s="10"/>
      <c r="Y799" s="10"/>
      <c r="Z799" s="10"/>
      <c r="AA799" s="10"/>
      <c r="AB799" s="10"/>
      <c r="AC799" s="10"/>
      <c r="AD799" s="10"/>
      <c r="AE799" s="10"/>
    </row>
    <row r="800" spans="1:31" ht="14.25" hidden="1" customHeight="1">
      <c r="A800" s="277" t="s">
        <v>5249</v>
      </c>
      <c r="B800" s="9" t="s">
        <v>21</v>
      </c>
      <c r="C800" s="9">
        <v>2025</v>
      </c>
      <c r="D800" s="9" t="s">
        <v>27</v>
      </c>
      <c r="E800" s="90" t="s">
        <v>23</v>
      </c>
      <c r="F800" s="9" t="s">
        <v>7</v>
      </c>
      <c r="G800" s="10"/>
      <c r="H800" s="96">
        <v>250279</v>
      </c>
      <c r="I800" s="109" t="s">
        <v>441</v>
      </c>
      <c r="J800" s="115">
        <v>45721</v>
      </c>
      <c r="K800" s="115">
        <v>45776</v>
      </c>
      <c r="L800" s="116">
        <v>1365300</v>
      </c>
      <c r="M800" s="117" t="s">
        <v>442</v>
      </c>
      <c r="N800" s="34" t="s">
        <v>29</v>
      </c>
      <c r="O800" s="27">
        <f>SUM(L800:L802)</f>
        <v>2197800</v>
      </c>
      <c r="P800" s="113">
        <v>45815</v>
      </c>
      <c r="Q800" s="113">
        <v>45815</v>
      </c>
      <c r="R800" s="113">
        <v>45815</v>
      </c>
      <c r="S800" s="37">
        <f t="shared" ref="S800:S807" si="162">IF(R800="",0,L800)</f>
        <v>1365300</v>
      </c>
      <c r="T800" s="37">
        <f t="shared" ref="T800:T807" si="163">L800-S800</f>
        <v>0</v>
      </c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</row>
    <row r="801" spans="1:31" ht="14.25" hidden="1" customHeight="1">
      <c r="A801" s="277" t="s">
        <v>5250</v>
      </c>
      <c r="B801" s="9" t="s">
        <v>21</v>
      </c>
      <c r="C801" s="9">
        <v>2025</v>
      </c>
      <c r="D801" s="9" t="s">
        <v>27</v>
      </c>
      <c r="E801" s="90" t="s">
        <v>23</v>
      </c>
      <c r="F801" s="9" t="s">
        <v>7</v>
      </c>
      <c r="G801" s="10"/>
      <c r="H801" s="96">
        <v>250407</v>
      </c>
      <c r="I801" s="109" t="s">
        <v>441</v>
      </c>
      <c r="J801" s="115">
        <v>45742</v>
      </c>
      <c r="K801" s="115">
        <v>45776</v>
      </c>
      <c r="L801" s="116">
        <v>222000</v>
      </c>
      <c r="M801" s="117" t="s">
        <v>443</v>
      </c>
      <c r="N801" s="34" t="s">
        <v>29</v>
      </c>
      <c r="O801" s="10"/>
      <c r="P801" s="113">
        <v>45815</v>
      </c>
      <c r="Q801" s="113">
        <v>45815</v>
      </c>
      <c r="R801" s="113">
        <v>45815</v>
      </c>
      <c r="S801" s="37">
        <f t="shared" si="162"/>
        <v>222000</v>
      </c>
      <c r="T801" s="37">
        <f t="shared" si="163"/>
        <v>0</v>
      </c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</row>
    <row r="802" spans="1:31" ht="14.25" hidden="1" customHeight="1">
      <c r="A802" s="277" t="s">
        <v>5251</v>
      </c>
      <c r="B802" s="9" t="s">
        <v>21</v>
      </c>
      <c r="C802" s="9">
        <v>2025</v>
      </c>
      <c r="D802" s="9" t="s">
        <v>27</v>
      </c>
      <c r="E802" s="90" t="s">
        <v>23</v>
      </c>
      <c r="F802" s="9" t="s">
        <v>7</v>
      </c>
      <c r="G802" s="10"/>
      <c r="H802" s="96">
        <v>250406</v>
      </c>
      <c r="I802" s="109" t="s">
        <v>441</v>
      </c>
      <c r="J802" s="115">
        <v>45743</v>
      </c>
      <c r="K802" s="115">
        <v>45776</v>
      </c>
      <c r="L802" s="116">
        <v>610500</v>
      </c>
      <c r="M802" s="117" t="s">
        <v>444</v>
      </c>
      <c r="N802" s="34" t="s">
        <v>29</v>
      </c>
      <c r="O802" s="10"/>
      <c r="P802" s="113">
        <v>45815</v>
      </c>
      <c r="Q802" s="113">
        <v>45815</v>
      </c>
      <c r="R802" s="113">
        <v>45815</v>
      </c>
      <c r="S802" s="37">
        <f t="shared" si="162"/>
        <v>610500</v>
      </c>
      <c r="T802" s="37">
        <f t="shared" si="163"/>
        <v>0</v>
      </c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</row>
    <row r="803" spans="1:31" ht="14.25" hidden="1" customHeight="1">
      <c r="A803" s="277" t="s">
        <v>5252</v>
      </c>
      <c r="B803" s="9" t="s">
        <v>21</v>
      </c>
      <c r="C803" s="9">
        <v>2025</v>
      </c>
      <c r="D803" s="9" t="s">
        <v>27</v>
      </c>
      <c r="E803" s="90" t="s">
        <v>23</v>
      </c>
      <c r="F803" s="9" t="s">
        <v>7</v>
      </c>
      <c r="G803" s="10"/>
      <c r="H803" s="96">
        <v>250515</v>
      </c>
      <c r="I803" s="109" t="s">
        <v>441</v>
      </c>
      <c r="J803" s="115">
        <v>45786</v>
      </c>
      <c r="K803" s="115">
        <v>45811</v>
      </c>
      <c r="L803" s="116">
        <v>987900</v>
      </c>
      <c r="M803" s="117" t="s">
        <v>445</v>
      </c>
      <c r="N803" s="34" t="s">
        <v>29</v>
      </c>
      <c r="O803" s="27">
        <f>SUM(L803:L807)</f>
        <v>6245970</v>
      </c>
      <c r="P803" s="113">
        <v>45903</v>
      </c>
      <c r="Q803" s="113">
        <v>45903</v>
      </c>
      <c r="R803" s="113">
        <v>45903</v>
      </c>
      <c r="S803" s="37">
        <f t="shared" si="162"/>
        <v>987900</v>
      </c>
      <c r="T803" s="37">
        <f t="shared" si="163"/>
        <v>0</v>
      </c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</row>
    <row r="804" spans="1:31" ht="14.25" hidden="1" customHeight="1">
      <c r="A804" s="277" t="s">
        <v>5253</v>
      </c>
      <c r="B804" s="9" t="s">
        <v>21</v>
      </c>
      <c r="C804" s="9">
        <v>2025</v>
      </c>
      <c r="D804" s="9" t="s">
        <v>27</v>
      </c>
      <c r="E804" s="90" t="s">
        <v>23</v>
      </c>
      <c r="F804" s="9" t="s">
        <v>7</v>
      </c>
      <c r="G804" s="10"/>
      <c r="H804" s="96">
        <v>250585</v>
      </c>
      <c r="I804" s="109" t="s">
        <v>441</v>
      </c>
      <c r="J804" s="115">
        <v>45817</v>
      </c>
      <c r="K804" s="115">
        <v>45841</v>
      </c>
      <c r="L804" s="116">
        <v>1282050</v>
      </c>
      <c r="M804" s="117" t="s">
        <v>446</v>
      </c>
      <c r="N804" s="34" t="s">
        <v>29</v>
      </c>
      <c r="O804" s="10"/>
      <c r="P804" s="113">
        <v>45903</v>
      </c>
      <c r="Q804" s="113">
        <v>45903</v>
      </c>
      <c r="R804" s="113">
        <v>45903</v>
      </c>
      <c r="S804" s="37">
        <f t="shared" si="162"/>
        <v>1282050</v>
      </c>
      <c r="T804" s="37">
        <f t="shared" si="163"/>
        <v>0</v>
      </c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</row>
    <row r="805" spans="1:31" ht="14.25" hidden="1" customHeight="1">
      <c r="A805" s="277" t="s">
        <v>5254</v>
      </c>
      <c r="B805" s="9" t="s">
        <v>21</v>
      </c>
      <c r="C805" s="9">
        <v>2025</v>
      </c>
      <c r="D805" s="9" t="s">
        <v>27</v>
      </c>
      <c r="E805" s="90" t="s">
        <v>23</v>
      </c>
      <c r="F805" s="9" t="s">
        <v>7</v>
      </c>
      <c r="G805" s="10"/>
      <c r="H805" s="96">
        <v>250681</v>
      </c>
      <c r="I805" s="109" t="s">
        <v>441</v>
      </c>
      <c r="J805" s="115">
        <v>45819</v>
      </c>
      <c r="K805" s="115">
        <v>45841</v>
      </c>
      <c r="L805" s="116">
        <v>1312020</v>
      </c>
      <c r="M805" s="117" t="s">
        <v>447</v>
      </c>
      <c r="N805" s="34" t="s">
        <v>29</v>
      </c>
      <c r="O805" s="10"/>
      <c r="P805" s="113">
        <v>45903</v>
      </c>
      <c r="Q805" s="113">
        <v>45903</v>
      </c>
      <c r="R805" s="113">
        <v>45903</v>
      </c>
      <c r="S805" s="37">
        <f t="shared" si="162"/>
        <v>1312020</v>
      </c>
      <c r="T805" s="37">
        <f t="shared" si="163"/>
        <v>0</v>
      </c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</row>
    <row r="806" spans="1:31" ht="14.25" hidden="1" customHeight="1">
      <c r="A806" s="277" t="s">
        <v>5255</v>
      </c>
      <c r="B806" s="9" t="s">
        <v>21</v>
      </c>
      <c r="C806" s="9">
        <v>2025</v>
      </c>
      <c r="D806" s="9" t="s">
        <v>27</v>
      </c>
      <c r="E806" s="90" t="s">
        <v>23</v>
      </c>
      <c r="F806" s="9" t="s">
        <v>7</v>
      </c>
      <c r="G806" s="10"/>
      <c r="H806" s="96">
        <v>250602</v>
      </c>
      <c r="I806" s="109" t="s">
        <v>441</v>
      </c>
      <c r="J806" s="115">
        <v>45826</v>
      </c>
      <c r="K806" s="115">
        <v>45841</v>
      </c>
      <c r="L806" s="116">
        <v>1443000</v>
      </c>
      <c r="M806" s="117" t="s">
        <v>448</v>
      </c>
      <c r="N806" s="34" t="s">
        <v>29</v>
      </c>
      <c r="O806" s="10"/>
      <c r="P806" s="113">
        <v>45903</v>
      </c>
      <c r="Q806" s="113">
        <v>45903</v>
      </c>
      <c r="R806" s="113">
        <v>45903</v>
      </c>
      <c r="S806" s="37">
        <f t="shared" si="162"/>
        <v>1443000</v>
      </c>
      <c r="T806" s="37">
        <f t="shared" si="163"/>
        <v>0</v>
      </c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</row>
    <row r="807" spans="1:31" ht="14.25" hidden="1" customHeight="1">
      <c r="A807" s="277" t="s">
        <v>5256</v>
      </c>
      <c r="B807" s="9" t="s">
        <v>21</v>
      </c>
      <c r="C807" s="9">
        <v>2025</v>
      </c>
      <c r="D807" s="9" t="s">
        <v>27</v>
      </c>
      <c r="E807" s="90" t="s">
        <v>23</v>
      </c>
      <c r="F807" s="9" t="s">
        <v>7</v>
      </c>
      <c r="G807" s="10"/>
      <c r="H807" s="96">
        <v>250755</v>
      </c>
      <c r="I807" s="109" t="s">
        <v>441</v>
      </c>
      <c r="J807" s="115">
        <v>45866</v>
      </c>
      <c r="K807" s="115">
        <v>45881</v>
      </c>
      <c r="L807" s="116">
        <v>1221000</v>
      </c>
      <c r="M807" s="117" t="s">
        <v>449</v>
      </c>
      <c r="N807" s="34" t="s">
        <v>29</v>
      </c>
      <c r="O807" s="10"/>
      <c r="P807" s="113">
        <v>45903</v>
      </c>
      <c r="Q807" s="113">
        <v>45903</v>
      </c>
      <c r="R807" s="113">
        <v>45903</v>
      </c>
      <c r="S807" s="37">
        <f t="shared" si="162"/>
        <v>1221000</v>
      </c>
      <c r="T807" s="37">
        <f t="shared" si="163"/>
        <v>0</v>
      </c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</row>
    <row r="808" spans="1:31" ht="14.25" hidden="1" customHeight="1">
      <c r="A808" s="277" t="s">
        <v>5257</v>
      </c>
      <c r="B808" s="9" t="s">
        <v>21</v>
      </c>
      <c r="C808" s="9">
        <v>2025</v>
      </c>
      <c r="D808" s="9" t="s">
        <v>27</v>
      </c>
      <c r="E808" s="90" t="s">
        <v>23</v>
      </c>
      <c r="F808" s="9" t="s">
        <v>7</v>
      </c>
      <c r="G808" s="10"/>
      <c r="H808" s="96">
        <v>250818</v>
      </c>
      <c r="I808" s="109" t="s">
        <v>441</v>
      </c>
      <c r="J808" s="115">
        <v>45884</v>
      </c>
      <c r="K808" s="115">
        <v>45902</v>
      </c>
      <c r="L808" s="116">
        <v>1082250</v>
      </c>
      <c r="M808" s="117" t="s">
        <v>450</v>
      </c>
      <c r="N808" s="34" t="s">
        <v>29</v>
      </c>
      <c r="O808" s="27">
        <f>SUM(L808:L819)</f>
        <v>12911853</v>
      </c>
      <c r="P808" s="113">
        <v>46048</v>
      </c>
      <c r="Q808" s="113">
        <v>46048</v>
      </c>
      <c r="R808" s="113">
        <v>46048</v>
      </c>
      <c r="S808" s="37">
        <f t="shared" ref="S808:S815" si="164">IF(R808="",0,L808)</f>
        <v>1082250</v>
      </c>
      <c r="T808" s="37">
        <f t="shared" ref="T808:T815" si="165">L808-S808</f>
        <v>0</v>
      </c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</row>
    <row r="809" spans="1:31" ht="14.25" hidden="1" customHeight="1">
      <c r="A809" s="277" t="s">
        <v>5258</v>
      </c>
      <c r="B809" s="9" t="s">
        <v>21</v>
      </c>
      <c r="C809" s="9">
        <v>2025</v>
      </c>
      <c r="D809" s="9" t="s">
        <v>27</v>
      </c>
      <c r="E809" s="90" t="s">
        <v>23</v>
      </c>
      <c r="F809" s="9" t="s">
        <v>7</v>
      </c>
      <c r="G809" s="10"/>
      <c r="H809" s="96">
        <v>250843</v>
      </c>
      <c r="I809" s="109" t="s">
        <v>441</v>
      </c>
      <c r="J809" s="115">
        <v>45890</v>
      </c>
      <c r="K809" s="115">
        <v>45902</v>
      </c>
      <c r="L809" s="116">
        <v>372960</v>
      </c>
      <c r="M809" s="117" t="s">
        <v>451</v>
      </c>
      <c r="N809" s="34" t="s">
        <v>29</v>
      </c>
      <c r="O809" s="10"/>
      <c r="P809" s="113">
        <v>46048</v>
      </c>
      <c r="Q809" s="113">
        <v>46048</v>
      </c>
      <c r="R809" s="113">
        <v>46048</v>
      </c>
      <c r="S809" s="37">
        <f t="shared" si="164"/>
        <v>372960</v>
      </c>
      <c r="T809" s="37">
        <f t="shared" si="165"/>
        <v>0</v>
      </c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</row>
    <row r="810" spans="1:31" ht="14.25" hidden="1" customHeight="1">
      <c r="A810" s="277" t="s">
        <v>5259</v>
      </c>
      <c r="B810" s="9" t="s">
        <v>21</v>
      </c>
      <c r="C810" s="9">
        <v>2025</v>
      </c>
      <c r="D810" s="9" t="s">
        <v>27</v>
      </c>
      <c r="E810" s="90" t="s">
        <v>23</v>
      </c>
      <c r="F810" s="9" t="s">
        <v>7</v>
      </c>
      <c r="G810" s="10"/>
      <c r="H810" s="96">
        <v>250851</v>
      </c>
      <c r="I810" s="109" t="s">
        <v>441</v>
      </c>
      <c r="J810" s="115">
        <v>45894</v>
      </c>
      <c r="K810" s="115">
        <v>45902</v>
      </c>
      <c r="L810" s="116">
        <v>610500</v>
      </c>
      <c r="M810" s="117" t="s">
        <v>452</v>
      </c>
      <c r="N810" s="34" t="s">
        <v>29</v>
      </c>
      <c r="O810" s="10"/>
      <c r="P810" s="113">
        <v>46048</v>
      </c>
      <c r="Q810" s="113">
        <v>46048</v>
      </c>
      <c r="R810" s="113">
        <v>46048</v>
      </c>
      <c r="S810" s="37">
        <f t="shared" si="164"/>
        <v>610500</v>
      </c>
      <c r="T810" s="37">
        <f t="shared" si="165"/>
        <v>0</v>
      </c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</row>
    <row r="811" spans="1:31" ht="14.25" hidden="1" customHeight="1">
      <c r="A811" s="277" t="s">
        <v>5260</v>
      </c>
      <c r="B811" s="9" t="s">
        <v>21</v>
      </c>
      <c r="C811" s="9">
        <v>2025</v>
      </c>
      <c r="D811" s="9" t="s">
        <v>27</v>
      </c>
      <c r="E811" s="90" t="s">
        <v>23</v>
      </c>
      <c r="F811" s="9" t="s">
        <v>7</v>
      </c>
      <c r="G811" s="10"/>
      <c r="H811" s="96">
        <v>250864</v>
      </c>
      <c r="I811" s="109" t="s">
        <v>441</v>
      </c>
      <c r="J811" s="115">
        <v>45896</v>
      </c>
      <c r="K811" s="115">
        <v>45902</v>
      </c>
      <c r="L811" s="116">
        <v>749916</v>
      </c>
      <c r="M811" s="117" t="s">
        <v>453</v>
      </c>
      <c r="N811" s="34" t="s">
        <v>29</v>
      </c>
      <c r="O811" s="10"/>
      <c r="P811" s="113">
        <v>46048</v>
      </c>
      <c r="Q811" s="113">
        <v>46048</v>
      </c>
      <c r="R811" s="113">
        <v>46048</v>
      </c>
      <c r="S811" s="37">
        <f t="shared" si="164"/>
        <v>749916</v>
      </c>
      <c r="T811" s="37">
        <f t="shared" si="165"/>
        <v>0</v>
      </c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</row>
    <row r="812" spans="1:31" ht="14.25" hidden="1" customHeight="1">
      <c r="A812" s="277" t="s">
        <v>5261</v>
      </c>
      <c r="B812" s="9" t="s">
        <v>21</v>
      </c>
      <c r="C812" s="9">
        <v>2025</v>
      </c>
      <c r="D812" s="9" t="s">
        <v>27</v>
      </c>
      <c r="E812" s="90" t="s">
        <v>23</v>
      </c>
      <c r="F812" s="9" t="s">
        <v>7</v>
      </c>
      <c r="G812" s="10"/>
      <c r="H812" s="96">
        <v>250910</v>
      </c>
      <c r="I812" s="109" t="s">
        <v>441</v>
      </c>
      <c r="J812" s="115">
        <v>45908</v>
      </c>
      <c r="K812" s="115">
        <v>45937</v>
      </c>
      <c r="L812" s="116">
        <v>1443000</v>
      </c>
      <c r="M812" s="117" t="s">
        <v>3736</v>
      </c>
      <c r="N812" s="34" t="s">
        <v>29</v>
      </c>
      <c r="O812" s="10"/>
      <c r="P812" s="113">
        <v>46048</v>
      </c>
      <c r="Q812" s="113">
        <v>46048</v>
      </c>
      <c r="R812" s="113">
        <v>46048</v>
      </c>
      <c r="S812" s="37">
        <f t="shared" si="164"/>
        <v>1443000</v>
      </c>
      <c r="T812" s="37">
        <f t="shared" si="165"/>
        <v>0</v>
      </c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</row>
    <row r="813" spans="1:31" ht="14.25" hidden="1" customHeight="1">
      <c r="A813" s="277" t="s">
        <v>5262</v>
      </c>
      <c r="B813" s="9" t="s">
        <v>21</v>
      </c>
      <c r="C813" s="9">
        <v>2025</v>
      </c>
      <c r="D813" s="9" t="s">
        <v>27</v>
      </c>
      <c r="E813" s="90" t="s">
        <v>23</v>
      </c>
      <c r="F813" s="9" t="s">
        <v>7</v>
      </c>
      <c r="G813" s="10"/>
      <c r="H813" s="96">
        <v>250923</v>
      </c>
      <c r="I813" s="109" t="s">
        <v>441</v>
      </c>
      <c r="J813" s="115">
        <v>45910</v>
      </c>
      <c r="K813" s="115">
        <v>45937</v>
      </c>
      <c r="L813" s="116">
        <v>2104560</v>
      </c>
      <c r="M813" s="117" t="s">
        <v>3737</v>
      </c>
      <c r="N813" s="34" t="s">
        <v>29</v>
      </c>
      <c r="O813" s="10"/>
      <c r="P813" s="113">
        <v>46048</v>
      </c>
      <c r="Q813" s="113">
        <v>46048</v>
      </c>
      <c r="R813" s="113">
        <v>46048</v>
      </c>
      <c r="S813" s="37">
        <f t="shared" si="164"/>
        <v>2104560</v>
      </c>
      <c r="T813" s="37">
        <f t="shared" si="165"/>
        <v>0</v>
      </c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</row>
    <row r="814" spans="1:31" ht="14.25" hidden="1" customHeight="1">
      <c r="A814" s="277" t="s">
        <v>5263</v>
      </c>
      <c r="B814" s="9" t="s">
        <v>21</v>
      </c>
      <c r="C814" s="9">
        <v>2025</v>
      </c>
      <c r="D814" s="9" t="s">
        <v>27</v>
      </c>
      <c r="E814" s="90" t="s">
        <v>23</v>
      </c>
      <c r="F814" s="9" t="s">
        <v>7</v>
      </c>
      <c r="G814" s="10"/>
      <c r="H814" s="96">
        <v>250961</v>
      </c>
      <c r="I814" s="109" t="s">
        <v>441</v>
      </c>
      <c r="J814" s="115">
        <v>45924</v>
      </c>
      <c r="K814" s="115">
        <v>45937</v>
      </c>
      <c r="L814" s="116">
        <v>277500</v>
      </c>
      <c r="M814" s="117" t="s">
        <v>3738</v>
      </c>
      <c r="N814" s="34" t="s">
        <v>29</v>
      </c>
      <c r="O814" s="10"/>
      <c r="P814" s="113">
        <v>46048</v>
      </c>
      <c r="Q814" s="113">
        <v>46048</v>
      </c>
      <c r="R814" s="113">
        <v>46048</v>
      </c>
      <c r="S814" s="37">
        <f t="shared" si="164"/>
        <v>277500</v>
      </c>
      <c r="T814" s="37">
        <f t="shared" si="165"/>
        <v>0</v>
      </c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</row>
    <row r="815" spans="1:31" ht="14.25" hidden="1" customHeight="1">
      <c r="A815" s="277" t="s">
        <v>5264</v>
      </c>
      <c r="B815" s="9" t="s">
        <v>21</v>
      </c>
      <c r="C815" s="9">
        <v>2025</v>
      </c>
      <c r="D815" s="9" t="s">
        <v>27</v>
      </c>
      <c r="E815" s="90" t="s">
        <v>23</v>
      </c>
      <c r="F815" s="9" t="s">
        <v>7</v>
      </c>
      <c r="G815" s="10"/>
      <c r="H815" s="96">
        <v>251069</v>
      </c>
      <c r="I815" s="109" t="s">
        <v>441</v>
      </c>
      <c r="J815" s="115">
        <v>45924</v>
      </c>
      <c r="K815" s="115">
        <v>45937</v>
      </c>
      <c r="L815" s="116">
        <v>1793760</v>
      </c>
      <c r="M815" s="117" t="s">
        <v>3857</v>
      </c>
      <c r="N815" s="34" t="s">
        <v>29</v>
      </c>
      <c r="O815" s="10"/>
      <c r="P815" s="113">
        <v>46048</v>
      </c>
      <c r="Q815" s="113">
        <v>46048</v>
      </c>
      <c r="R815" s="113">
        <v>46048</v>
      </c>
      <c r="S815" s="37">
        <f t="shared" si="164"/>
        <v>1793760</v>
      </c>
      <c r="T815" s="37">
        <f t="shared" si="165"/>
        <v>0</v>
      </c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</row>
    <row r="816" spans="1:31" ht="14.25" hidden="1" customHeight="1">
      <c r="A816" s="277" t="s">
        <v>5265</v>
      </c>
      <c r="B816" s="9" t="s">
        <v>21</v>
      </c>
      <c r="C816" s="9">
        <v>2025</v>
      </c>
      <c r="D816" s="9" t="s">
        <v>27</v>
      </c>
      <c r="E816" s="90" t="s">
        <v>23</v>
      </c>
      <c r="F816" s="9" t="s">
        <v>7</v>
      </c>
      <c r="G816" s="10"/>
      <c r="H816" s="96">
        <v>251046</v>
      </c>
      <c r="I816" s="109" t="s">
        <v>441</v>
      </c>
      <c r="J816" s="115">
        <v>45945</v>
      </c>
      <c r="K816" s="115">
        <v>45972</v>
      </c>
      <c r="L816" s="116">
        <v>1499832</v>
      </c>
      <c r="M816" s="117" t="s">
        <v>3974</v>
      </c>
      <c r="N816" s="34" t="s">
        <v>29</v>
      </c>
      <c r="O816" s="10"/>
      <c r="P816" s="113">
        <v>46048</v>
      </c>
      <c r="Q816" s="113">
        <v>46048</v>
      </c>
      <c r="R816" s="113">
        <v>46048</v>
      </c>
      <c r="S816" s="37">
        <f>IF(R816="",0,L816)</f>
        <v>1499832</v>
      </c>
      <c r="T816" s="37">
        <f>L816-S816</f>
        <v>0</v>
      </c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</row>
    <row r="817" spans="1:31" ht="14.25" hidden="1" customHeight="1">
      <c r="A817" s="277" t="s">
        <v>5266</v>
      </c>
      <c r="B817" s="9" t="s">
        <v>21</v>
      </c>
      <c r="C817" s="9">
        <v>2025</v>
      </c>
      <c r="D817" s="9" t="s">
        <v>27</v>
      </c>
      <c r="E817" s="90" t="s">
        <v>23</v>
      </c>
      <c r="F817" s="9" t="s">
        <v>7</v>
      </c>
      <c r="G817" s="10"/>
      <c r="H817" s="96">
        <v>251057</v>
      </c>
      <c r="I817" s="109" t="s">
        <v>441</v>
      </c>
      <c r="J817" s="115">
        <v>45946</v>
      </c>
      <c r="K817" s="115">
        <v>45972</v>
      </c>
      <c r="L817" s="116">
        <v>1110000</v>
      </c>
      <c r="M817" s="117" t="s">
        <v>3975</v>
      </c>
      <c r="N817" s="34" t="s">
        <v>29</v>
      </c>
      <c r="O817" s="10"/>
      <c r="P817" s="113">
        <v>46048</v>
      </c>
      <c r="Q817" s="113">
        <v>46048</v>
      </c>
      <c r="R817" s="113">
        <v>46048</v>
      </c>
      <c r="S817" s="37">
        <f>IF(R817="",0,L817)</f>
        <v>1110000</v>
      </c>
      <c r="T817" s="37">
        <f>L817-S817</f>
        <v>0</v>
      </c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</row>
    <row r="818" spans="1:31" ht="14.25" hidden="1" customHeight="1">
      <c r="A818" s="277" t="s">
        <v>5267</v>
      </c>
      <c r="B818" s="9" t="s">
        <v>21</v>
      </c>
      <c r="C818" s="9">
        <v>2025</v>
      </c>
      <c r="D818" s="9" t="s">
        <v>27</v>
      </c>
      <c r="E818" s="90" t="s">
        <v>23</v>
      </c>
      <c r="F818" s="9" t="s">
        <v>7</v>
      </c>
      <c r="G818" s="10"/>
      <c r="H818" s="96">
        <v>251079</v>
      </c>
      <c r="I818" s="109" t="s">
        <v>441</v>
      </c>
      <c r="J818" s="115">
        <v>45950</v>
      </c>
      <c r="K818" s="115">
        <v>45972</v>
      </c>
      <c r="L818" s="116">
        <v>1254300</v>
      </c>
      <c r="M818" s="117" t="s">
        <v>3976</v>
      </c>
      <c r="N818" s="34" t="s">
        <v>29</v>
      </c>
      <c r="O818" s="10"/>
      <c r="P818" s="113">
        <v>46048</v>
      </c>
      <c r="Q818" s="113">
        <v>46048</v>
      </c>
      <c r="R818" s="113">
        <v>46048</v>
      </c>
      <c r="S818" s="37">
        <f>IF(R818="",0,L818)</f>
        <v>1254300</v>
      </c>
      <c r="T818" s="37">
        <f>L818-S818</f>
        <v>0</v>
      </c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</row>
    <row r="819" spans="1:31" ht="14.25" hidden="1" customHeight="1">
      <c r="A819" s="277" t="s">
        <v>5268</v>
      </c>
      <c r="B819" s="9" t="s">
        <v>21</v>
      </c>
      <c r="C819" s="9">
        <v>2025</v>
      </c>
      <c r="D819" s="9" t="s">
        <v>27</v>
      </c>
      <c r="E819" s="90" t="s">
        <v>23</v>
      </c>
      <c r="F819" s="9" t="s">
        <v>7</v>
      </c>
      <c r="G819" s="10"/>
      <c r="H819" s="96">
        <v>251098</v>
      </c>
      <c r="I819" s="109" t="s">
        <v>441</v>
      </c>
      <c r="J819" s="115">
        <v>45957</v>
      </c>
      <c r="K819" s="115">
        <v>45972</v>
      </c>
      <c r="L819" s="116">
        <v>613275</v>
      </c>
      <c r="M819" s="117" t="s">
        <v>3977</v>
      </c>
      <c r="N819" s="34" t="s">
        <v>29</v>
      </c>
      <c r="O819" s="10"/>
      <c r="P819" s="113">
        <v>46048</v>
      </c>
      <c r="Q819" s="113">
        <v>46048</v>
      </c>
      <c r="R819" s="113">
        <v>46048</v>
      </c>
      <c r="S819" s="37">
        <f>IF(R819="",0,L819)</f>
        <v>613275</v>
      </c>
      <c r="T819" s="37">
        <f>L819-S819</f>
        <v>0</v>
      </c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</row>
    <row r="820" spans="1:31" ht="14.25" hidden="1" customHeight="1">
      <c r="A820" s="277" t="s">
        <v>5269</v>
      </c>
      <c r="B820" s="9" t="s">
        <v>21</v>
      </c>
      <c r="C820" s="9">
        <v>2026</v>
      </c>
      <c r="D820" s="9" t="s">
        <v>27</v>
      </c>
      <c r="E820" s="90" t="s">
        <v>23</v>
      </c>
      <c r="F820" s="9" t="s">
        <v>7</v>
      </c>
      <c r="G820" s="10"/>
      <c r="H820" s="96">
        <v>260055</v>
      </c>
      <c r="I820" s="109" t="s">
        <v>441</v>
      </c>
      <c r="J820" s="115">
        <v>46051</v>
      </c>
      <c r="K820" s="115">
        <v>46058</v>
      </c>
      <c r="L820" s="116">
        <v>1234875</v>
      </c>
      <c r="M820" s="117" t="s">
        <v>4311</v>
      </c>
      <c r="N820" s="34" t="s">
        <v>29</v>
      </c>
      <c r="O820" s="27">
        <f>SUM(L820:L825)</f>
        <v>6262065</v>
      </c>
      <c r="P820" s="113">
        <v>46167</v>
      </c>
      <c r="Q820" s="113">
        <v>46167</v>
      </c>
      <c r="R820" s="113">
        <v>46167</v>
      </c>
      <c r="S820" s="37">
        <f t="shared" ref="S820:S821" si="166">IF(R820="",0,L820)</f>
        <v>1234875</v>
      </c>
      <c r="T820" s="37">
        <f t="shared" ref="T820:T821" si="167">L820-S820</f>
        <v>0</v>
      </c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</row>
    <row r="821" spans="1:31" ht="14.25" hidden="1" customHeight="1">
      <c r="A821" s="277" t="s">
        <v>5270</v>
      </c>
      <c r="B821" s="9" t="s">
        <v>21</v>
      </c>
      <c r="C821" s="9">
        <v>2026</v>
      </c>
      <c r="D821" s="9" t="s">
        <v>27</v>
      </c>
      <c r="E821" s="90" t="s">
        <v>23</v>
      </c>
      <c r="F821" s="9" t="s">
        <v>7</v>
      </c>
      <c r="G821" s="10"/>
      <c r="H821" s="96">
        <v>260054</v>
      </c>
      <c r="I821" s="109" t="s">
        <v>441</v>
      </c>
      <c r="J821" s="115">
        <v>46051</v>
      </c>
      <c r="K821" s="115">
        <v>46058</v>
      </c>
      <c r="L821" s="116">
        <v>355200</v>
      </c>
      <c r="M821" s="117" t="s">
        <v>4417</v>
      </c>
      <c r="N821" s="34" t="s">
        <v>29</v>
      </c>
      <c r="O821" s="10"/>
      <c r="P821" s="113">
        <v>46167</v>
      </c>
      <c r="Q821" s="113">
        <v>46167</v>
      </c>
      <c r="R821" s="113">
        <v>46167</v>
      </c>
      <c r="S821" s="37">
        <f t="shared" si="166"/>
        <v>355200</v>
      </c>
      <c r="T821" s="37">
        <f t="shared" si="167"/>
        <v>0</v>
      </c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</row>
    <row r="822" spans="1:31" ht="14.25" hidden="1" customHeight="1">
      <c r="A822" s="277" t="s">
        <v>5271</v>
      </c>
      <c r="B822" s="9" t="s">
        <v>21</v>
      </c>
      <c r="C822" s="9">
        <v>2026</v>
      </c>
      <c r="D822" s="9" t="s">
        <v>27</v>
      </c>
      <c r="E822" s="90" t="s">
        <v>23</v>
      </c>
      <c r="F822" s="9" t="s">
        <v>7</v>
      </c>
      <c r="G822" s="10"/>
      <c r="H822" s="96">
        <v>260093</v>
      </c>
      <c r="I822" s="109" t="s">
        <v>441</v>
      </c>
      <c r="J822" s="115">
        <v>46055</v>
      </c>
      <c r="K822" s="115">
        <v>46091</v>
      </c>
      <c r="L822" s="116">
        <v>402930</v>
      </c>
      <c r="M822" s="117" t="s">
        <v>4451</v>
      </c>
      <c r="N822" s="34" t="s">
        <v>29</v>
      </c>
      <c r="O822" s="10"/>
      <c r="P822" s="113">
        <v>46167</v>
      </c>
      <c r="Q822" s="113">
        <v>46167</v>
      </c>
      <c r="R822" s="113">
        <v>46167</v>
      </c>
      <c r="S822" s="37">
        <f>IF(R822="",0,L822)</f>
        <v>402930</v>
      </c>
      <c r="T822" s="37">
        <f>L822-S822</f>
        <v>0</v>
      </c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</row>
    <row r="823" spans="1:31" ht="14.25" hidden="1" customHeight="1">
      <c r="A823" s="277" t="s">
        <v>5272</v>
      </c>
      <c r="B823" s="9" t="s">
        <v>21</v>
      </c>
      <c r="C823" s="9">
        <v>2026</v>
      </c>
      <c r="D823" s="9" t="s">
        <v>27</v>
      </c>
      <c r="E823" s="90" t="s">
        <v>23</v>
      </c>
      <c r="F823" s="9" t="s">
        <v>7</v>
      </c>
      <c r="G823" s="10"/>
      <c r="H823" s="96">
        <v>260094</v>
      </c>
      <c r="I823" s="109" t="s">
        <v>441</v>
      </c>
      <c r="J823" s="115">
        <v>46056</v>
      </c>
      <c r="K823" s="115">
        <v>46091</v>
      </c>
      <c r="L823" s="116">
        <v>1110000</v>
      </c>
      <c r="M823" s="117" t="s">
        <v>4452</v>
      </c>
      <c r="N823" s="34" t="s">
        <v>29</v>
      </c>
      <c r="O823" s="10"/>
      <c r="P823" s="113">
        <v>46167</v>
      </c>
      <c r="Q823" s="113">
        <v>46167</v>
      </c>
      <c r="R823" s="113">
        <v>46167</v>
      </c>
      <c r="S823" s="37">
        <f>IF(R823="",0,L823)</f>
        <v>1110000</v>
      </c>
      <c r="T823" s="37">
        <f>L823-S823</f>
        <v>0</v>
      </c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</row>
    <row r="824" spans="1:31" ht="14.25" hidden="1" customHeight="1">
      <c r="A824" s="277" t="s">
        <v>5273</v>
      </c>
      <c r="B824" s="9" t="s">
        <v>21</v>
      </c>
      <c r="C824" s="9">
        <v>2026</v>
      </c>
      <c r="D824" s="9" t="s">
        <v>27</v>
      </c>
      <c r="E824" s="90" t="s">
        <v>23</v>
      </c>
      <c r="F824" s="9" t="s">
        <v>7</v>
      </c>
      <c r="G824" s="10"/>
      <c r="H824" s="96">
        <v>260103</v>
      </c>
      <c r="I824" s="109" t="s">
        <v>441</v>
      </c>
      <c r="J824" s="115">
        <v>46062</v>
      </c>
      <c r="K824" s="115">
        <v>46091</v>
      </c>
      <c r="L824" s="116">
        <v>1243200</v>
      </c>
      <c r="M824" s="117" t="s">
        <v>4453</v>
      </c>
      <c r="N824" s="34" t="s">
        <v>29</v>
      </c>
      <c r="O824" s="10"/>
      <c r="P824" s="113">
        <v>46167</v>
      </c>
      <c r="Q824" s="113">
        <v>46167</v>
      </c>
      <c r="R824" s="113">
        <v>46167</v>
      </c>
      <c r="S824" s="37">
        <f>IF(R824="",0,L824)</f>
        <v>1243200</v>
      </c>
      <c r="T824" s="37">
        <f>L824-S824</f>
        <v>0</v>
      </c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</row>
    <row r="825" spans="1:31" ht="14.25" customHeight="1">
      <c r="A825" s="277" t="s">
        <v>5274</v>
      </c>
      <c r="B825" s="9" t="s">
        <v>21</v>
      </c>
      <c r="C825" s="9">
        <v>2026</v>
      </c>
      <c r="D825" s="9" t="s">
        <v>27</v>
      </c>
      <c r="E825" s="90" t="s">
        <v>23</v>
      </c>
      <c r="F825" s="9" t="s">
        <v>7</v>
      </c>
      <c r="G825" s="10"/>
      <c r="H825" s="96">
        <v>260154</v>
      </c>
      <c r="I825" s="109" t="s">
        <v>441</v>
      </c>
      <c r="J825" s="115">
        <v>46083</v>
      </c>
      <c r="K825" s="115">
        <v>46119</v>
      </c>
      <c r="L825" s="116">
        <v>1915860</v>
      </c>
      <c r="M825" s="117" t="s">
        <v>4496</v>
      </c>
      <c r="N825" s="34" t="s">
        <v>29</v>
      </c>
      <c r="O825" s="10"/>
      <c r="P825" s="113">
        <v>46167</v>
      </c>
      <c r="Q825" s="113">
        <v>46167</v>
      </c>
      <c r="R825" s="113">
        <v>46167</v>
      </c>
      <c r="S825" s="37">
        <f>IF(R825="",0,L825)</f>
        <v>1915860</v>
      </c>
      <c r="T825" s="37">
        <f>L825-S825</f>
        <v>0</v>
      </c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</row>
    <row r="826" spans="1:31" ht="14.25" customHeight="1">
      <c r="A826" s="277" t="s">
        <v>5275</v>
      </c>
      <c r="B826" s="9" t="s">
        <v>21</v>
      </c>
      <c r="C826" s="9">
        <v>2026</v>
      </c>
      <c r="D826" s="9" t="s">
        <v>77</v>
      </c>
      <c r="E826" s="90" t="s">
        <v>23</v>
      </c>
      <c r="F826" s="9" t="s">
        <v>7</v>
      </c>
      <c r="G826" s="10"/>
      <c r="H826" s="9">
        <v>260312</v>
      </c>
      <c r="I826" s="11" t="s">
        <v>441</v>
      </c>
      <c r="J826" s="12">
        <v>46171</v>
      </c>
      <c r="K826" s="12">
        <v>46177</v>
      </c>
      <c r="L826" s="27">
        <v>1992450</v>
      </c>
      <c r="M826" s="10" t="s">
        <v>7107</v>
      </c>
      <c r="N826" s="34">
        <f ca="1">$J$3-J826</f>
        <v>69.463776388889528</v>
      </c>
      <c r="O826" s="10"/>
      <c r="P826" s="39"/>
      <c r="Q826" s="39"/>
      <c r="R826" s="39"/>
      <c r="S826" s="37">
        <f>IF(R826="",0,L826)</f>
        <v>0</v>
      </c>
      <c r="T826" s="37">
        <f>L826-S826</f>
        <v>1992450</v>
      </c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</row>
    <row r="827" spans="1:31" ht="14.25" customHeight="1">
      <c r="A827" s="277" t="s">
        <v>5276</v>
      </c>
      <c r="B827" s="9" t="s">
        <v>21</v>
      </c>
      <c r="C827" s="9">
        <v>2026</v>
      </c>
      <c r="D827" s="9" t="s">
        <v>77</v>
      </c>
      <c r="E827" s="90" t="s">
        <v>23</v>
      </c>
      <c r="F827" s="9" t="s">
        <v>7</v>
      </c>
      <c r="G827" s="10"/>
      <c r="H827" s="9">
        <v>260336</v>
      </c>
      <c r="I827" s="11" t="s">
        <v>441</v>
      </c>
      <c r="J827" s="12">
        <v>46181</v>
      </c>
      <c r="K827" s="12">
        <v>46210</v>
      </c>
      <c r="L827" s="27">
        <v>832500</v>
      </c>
      <c r="M827" s="10" t="s">
        <v>7345</v>
      </c>
      <c r="N827" s="34">
        <f t="shared" ref="N827:N830" ca="1" si="168">$J$3-J827</f>
        <v>59.463776388889528</v>
      </c>
      <c r="O827" s="10"/>
      <c r="P827" s="39"/>
      <c r="Q827" s="39"/>
      <c r="R827" s="39"/>
      <c r="S827" s="37">
        <f t="shared" ref="S827:S831" si="169">IF(R827="",0,L827)</f>
        <v>0</v>
      </c>
      <c r="T827" s="37">
        <f t="shared" ref="T827:T831" si="170">L827-S827</f>
        <v>832500</v>
      </c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</row>
    <row r="828" spans="1:31" ht="14.25" customHeight="1">
      <c r="A828" s="277" t="s">
        <v>5277</v>
      </c>
      <c r="B828" s="9" t="s">
        <v>21</v>
      </c>
      <c r="C828" s="9">
        <v>2026</v>
      </c>
      <c r="D828" s="9" t="s">
        <v>77</v>
      </c>
      <c r="E828" s="90" t="s">
        <v>23</v>
      </c>
      <c r="F828" s="9" t="s">
        <v>7</v>
      </c>
      <c r="G828" s="10"/>
      <c r="H828" s="9">
        <v>260339</v>
      </c>
      <c r="I828" s="11" t="s">
        <v>441</v>
      </c>
      <c r="J828" s="12">
        <v>46182</v>
      </c>
      <c r="K828" s="12">
        <v>46210</v>
      </c>
      <c r="L828" s="27">
        <v>783660</v>
      </c>
      <c r="M828" s="10" t="s">
        <v>7346</v>
      </c>
      <c r="N828" s="34">
        <f t="shared" ca="1" si="168"/>
        <v>58.463776388889528</v>
      </c>
      <c r="O828" s="10"/>
      <c r="P828" s="39"/>
      <c r="Q828" s="39"/>
      <c r="R828" s="39"/>
      <c r="S828" s="37">
        <f t="shared" si="169"/>
        <v>0</v>
      </c>
      <c r="T828" s="37">
        <f t="shared" si="170"/>
        <v>783660</v>
      </c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</row>
    <row r="829" spans="1:31" ht="14.25" customHeight="1">
      <c r="A829" s="277" t="s">
        <v>5278</v>
      </c>
      <c r="B829" s="9" t="s">
        <v>21</v>
      </c>
      <c r="C829" s="9">
        <v>2026</v>
      </c>
      <c r="D829" s="9" t="s">
        <v>77</v>
      </c>
      <c r="E829" s="90" t="s">
        <v>23</v>
      </c>
      <c r="F829" s="9" t="s">
        <v>7</v>
      </c>
      <c r="G829" s="10"/>
      <c r="H829" s="9">
        <v>260360</v>
      </c>
      <c r="I829" s="11" t="s">
        <v>441</v>
      </c>
      <c r="J829" s="12">
        <v>46188</v>
      </c>
      <c r="K829" s="12">
        <v>46210</v>
      </c>
      <c r="L829" s="27">
        <v>1914750</v>
      </c>
      <c r="M829" s="10" t="s">
        <v>7347</v>
      </c>
      <c r="N829" s="34">
        <f t="shared" ca="1" si="168"/>
        <v>52.463776388889528</v>
      </c>
      <c r="O829" s="10"/>
      <c r="P829" s="39"/>
      <c r="Q829" s="39"/>
      <c r="R829" s="39"/>
      <c r="S829" s="37">
        <f t="shared" si="169"/>
        <v>0</v>
      </c>
      <c r="T829" s="37">
        <f t="shared" si="170"/>
        <v>1914750</v>
      </c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</row>
    <row r="830" spans="1:31" ht="14.25" customHeight="1">
      <c r="A830" s="277" t="s">
        <v>5279</v>
      </c>
      <c r="B830" s="9" t="s">
        <v>21</v>
      </c>
      <c r="C830" s="9">
        <v>2026</v>
      </c>
      <c r="D830" s="9" t="s">
        <v>77</v>
      </c>
      <c r="E830" s="90" t="s">
        <v>23</v>
      </c>
      <c r="F830" s="9" t="s">
        <v>7</v>
      </c>
      <c r="G830" s="10"/>
      <c r="H830" s="9">
        <v>260412</v>
      </c>
      <c r="I830" s="11" t="s">
        <v>441</v>
      </c>
      <c r="J830" s="12">
        <v>46202</v>
      </c>
      <c r="K830" s="12">
        <v>46210</v>
      </c>
      <c r="L830" s="27">
        <v>1249860</v>
      </c>
      <c r="M830" s="10" t="s">
        <v>7348</v>
      </c>
      <c r="N830" s="34">
        <f t="shared" ca="1" si="168"/>
        <v>38.463776388889528</v>
      </c>
      <c r="O830" s="10"/>
      <c r="P830" s="39"/>
      <c r="Q830" s="39"/>
      <c r="R830" s="39"/>
      <c r="S830" s="37">
        <f t="shared" si="169"/>
        <v>0</v>
      </c>
      <c r="T830" s="37">
        <f t="shared" si="170"/>
        <v>1249860</v>
      </c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</row>
    <row r="831" spans="1:31" ht="14.25" customHeight="1">
      <c r="A831" s="277" t="s">
        <v>5280</v>
      </c>
      <c r="B831" s="9" t="s">
        <v>21</v>
      </c>
      <c r="C831" s="9"/>
      <c r="D831" s="9"/>
      <c r="E831" s="90"/>
      <c r="F831" s="9"/>
      <c r="G831" s="10"/>
      <c r="H831" s="9"/>
      <c r="I831" s="11"/>
      <c r="J831" s="12"/>
      <c r="K831" s="12"/>
      <c r="L831" s="52"/>
      <c r="M831" s="10"/>
      <c r="N831" s="114">
        <f t="shared" ref="N831" ca="1" si="171">$J$3-J831</f>
        <v>46240.46377638889</v>
      </c>
      <c r="O831" s="10"/>
      <c r="P831" s="39"/>
      <c r="Q831" s="39"/>
      <c r="R831" s="39"/>
      <c r="S831" s="37">
        <f t="shared" si="169"/>
        <v>0</v>
      </c>
      <c r="T831" s="37">
        <f t="shared" si="170"/>
        <v>0</v>
      </c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</row>
    <row r="832" spans="1:31" ht="14.25" customHeight="1">
      <c r="A832" s="277" t="s">
        <v>5281</v>
      </c>
      <c r="B832" s="9" t="s">
        <v>21</v>
      </c>
      <c r="C832" s="9"/>
      <c r="D832" s="9"/>
      <c r="E832" s="90"/>
      <c r="F832" s="9"/>
      <c r="G832" s="10"/>
      <c r="H832" s="9"/>
      <c r="I832" s="11"/>
      <c r="J832" s="12"/>
      <c r="K832" s="12"/>
      <c r="L832" s="27"/>
      <c r="M832" s="10"/>
      <c r="N832" s="9"/>
      <c r="O832" s="10"/>
      <c r="P832" s="39"/>
      <c r="Q832" s="39"/>
      <c r="R832" s="39"/>
      <c r="S832" s="37"/>
      <c r="T832" s="37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</row>
    <row r="833" spans="1:31" ht="14.25" customHeight="1">
      <c r="A833" s="277" t="s">
        <v>5282</v>
      </c>
      <c r="B833" s="9" t="s">
        <v>21</v>
      </c>
      <c r="C833" s="9"/>
      <c r="D833" s="9"/>
      <c r="E833" s="90"/>
      <c r="F833" s="9"/>
      <c r="G833" s="94" t="s">
        <v>24</v>
      </c>
      <c r="H833" s="95" t="s">
        <v>454</v>
      </c>
      <c r="I833" s="104"/>
      <c r="J833" s="105"/>
      <c r="K833" s="105"/>
      <c r="L833" s="106">
        <f>SUM(L834:L840)</f>
        <v>24939118</v>
      </c>
      <c r="M833" s="107"/>
      <c r="N833" s="108" t="s">
        <v>26</v>
      </c>
      <c r="O833" s="108"/>
      <c r="P833" s="108"/>
      <c r="Q833" s="108"/>
      <c r="R833" s="108"/>
      <c r="S833" s="106">
        <f>SUM(S834:S840)</f>
        <v>5550000</v>
      </c>
      <c r="T833" s="106">
        <f>SUM(T834:T840)</f>
        <v>19389118</v>
      </c>
      <c r="U833" s="10"/>
      <c r="V833" s="52">
        <f>L833-S833</f>
        <v>19389118</v>
      </c>
      <c r="W833" s="52">
        <f>T833-V833</f>
        <v>0</v>
      </c>
      <c r="X833" s="10"/>
      <c r="Y833" s="10"/>
      <c r="Z833" s="10"/>
      <c r="AA833" s="10"/>
      <c r="AB833" s="10"/>
      <c r="AC833" s="10"/>
      <c r="AD833" s="10"/>
      <c r="AE833" s="10"/>
    </row>
    <row r="834" spans="1:31" ht="14.25" customHeight="1">
      <c r="A834" s="277" t="s">
        <v>5283</v>
      </c>
      <c r="B834" s="9" t="s">
        <v>21</v>
      </c>
      <c r="C834" s="9">
        <v>2025</v>
      </c>
      <c r="D834" s="9" t="s">
        <v>27</v>
      </c>
      <c r="E834" s="90" t="s">
        <v>23</v>
      </c>
      <c r="F834" s="9" t="s">
        <v>7</v>
      </c>
      <c r="G834" s="10"/>
      <c r="H834" s="96">
        <v>250862</v>
      </c>
      <c r="I834" s="109" t="s">
        <v>454</v>
      </c>
      <c r="J834" s="115">
        <v>45895</v>
      </c>
      <c r="K834" s="115">
        <v>45897</v>
      </c>
      <c r="L834" s="116">
        <v>5550000</v>
      </c>
      <c r="M834" s="117" t="s">
        <v>455</v>
      </c>
      <c r="N834" s="34" t="s">
        <v>29</v>
      </c>
      <c r="O834" s="10"/>
      <c r="P834" s="113">
        <v>46001</v>
      </c>
      <c r="Q834" s="113">
        <v>46001</v>
      </c>
      <c r="R834" s="113">
        <v>46001</v>
      </c>
      <c r="S834" s="37">
        <f t="shared" ref="S834:S840" si="172">IF(R834="",0,L834)</f>
        <v>5550000</v>
      </c>
      <c r="T834" s="37">
        <f t="shared" ref="T834:T840" si="173">L834-S834</f>
        <v>0</v>
      </c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</row>
    <row r="835" spans="1:31" ht="14.25" customHeight="1">
      <c r="A835" s="277" t="s">
        <v>5284</v>
      </c>
      <c r="B835" s="9" t="s">
        <v>21</v>
      </c>
      <c r="C835" s="9">
        <v>2025</v>
      </c>
      <c r="D835" s="9" t="s">
        <v>77</v>
      </c>
      <c r="E835" s="90" t="s">
        <v>23</v>
      </c>
      <c r="F835" s="9" t="s">
        <v>7</v>
      </c>
      <c r="G835" s="10"/>
      <c r="H835" s="9">
        <v>251280</v>
      </c>
      <c r="I835" s="11" t="s">
        <v>454</v>
      </c>
      <c r="J835" s="12">
        <v>46001</v>
      </c>
      <c r="K835" s="12">
        <v>46014</v>
      </c>
      <c r="L835" s="27">
        <v>4195800</v>
      </c>
      <c r="M835" s="10" t="s">
        <v>4174</v>
      </c>
      <c r="N835" s="34">
        <f t="shared" ref="N835:N840" ca="1" si="174">$J$3-J835</f>
        <v>239.46377638888953</v>
      </c>
      <c r="O835" s="10"/>
      <c r="P835" s="39"/>
      <c r="Q835" s="39"/>
      <c r="R835" s="39"/>
      <c r="S835" s="37">
        <f t="shared" si="172"/>
        <v>0</v>
      </c>
      <c r="T835" s="37">
        <f t="shared" si="173"/>
        <v>4195800</v>
      </c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</row>
    <row r="836" spans="1:31" ht="14.25" customHeight="1">
      <c r="A836" s="277" t="s">
        <v>7488</v>
      </c>
      <c r="B836" s="9" t="s">
        <v>21</v>
      </c>
      <c r="C836" s="9">
        <v>2026</v>
      </c>
      <c r="D836" s="9" t="s">
        <v>77</v>
      </c>
      <c r="E836" s="90" t="s">
        <v>23</v>
      </c>
      <c r="F836" s="9" t="s">
        <v>7</v>
      </c>
      <c r="G836" s="10"/>
      <c r="H836" s="9">
        <v>260081</v>
      </c>
      <c r="I836" s="11" t="s">
        <v>454</v>
      </c>
      <c r="J836" s="12">
        <v>46050</v>
      </c>
      <c r="K836" s="12">
        <v>46056</v>
      </c>
      <c r="L836" s="27">
        <v>4700017</v>
      </c>
      <c r="M836" s="10" t="s">
        <v>4302</v>
      </c>
      <c r="N836" s="34">
        <f t="shared" ca="1" si="174"/>
        <v>190.46377638888953</v>
      </c>
      <c r="O836" s="10"/>
      <c r="P836" s="39"/>
      <c r="Q836" s="39"/>
      <c r="R836" s="39"/>
      <c r="S836" s="37">
        <f t="shared" si="172"/>
        <v>0</v>
      </c>
      <c r="T836" s="37">
        <f t="shared" si="173"/>
        <v>4700017</v>
      </c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</row>
    <row r="837" spans="1:31" ht="14.25" customHeight="1">
      <c r="A837" s="277" t="s">
        <v>7489</v>
      </c>
      <c r="B837" s="9" t="s">
        <v>21</v>
      </c>
      <c r="C837" s="9">
        <v>2026</v>
      </c>
      <c r="D837" s="9" t="s">
        <v>77</v>
      </c>
      <c r="E837" s="90" t="s">
        <v>23</v>
      </c>
      <c r="F837" s="9" t="s">
        <v>7</v>
      </c>
      <c r="G837" s="10"/>
      <c r="H837" s="9">
        <v>260124</v>
      </c>
      <c r="I837" s="11" t="s">
        <v>454</v>
      </c>
      <c r="J837" s="12">
        <v>46065</v>
      </c>
      <c r="K837" s="12">
        <v>46077</v>
      </c>
      <c r="L837" s="27">
        <v>4662000</v>
      </c>
      <c r="M837" s="10" t="s">
        <v>4386</v>
      </c>
      <c r="N837" s="34">
        <f t="shared" ca="1" si="174"/>
        <v>175.46377638888953</v>
      </c>
      <c r="O837" s="10"/>
      <c r="P837" s="39"/>
      <c r="Q837" s="39"/>
      <c r="R837" s="39"/>
      <c r="S837" s="37">
        <f t="shared" si="172"/>
        <v>0</v>
      </c>
      <c r="T837" s="37">
        <f t="shared" si="173"/>
        <v>4662000</v>
      </c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</row>
    <row r="838" spans="1:31" ht="14.25" customHeight="1">
      <c r="A838" s="277" t="s">
        <v>7490</v>
      </c>
      <c r="B838" s="9" t="s">
        <v>21</v>
      </c>
      <c r="C838" s="9">
        <v>2026</v>
      </c>
      <c r="D838" s="9" t="s">
        <v>77</v>
      </c>
      <c r="E838" s="90" t="s">
        <v>23</v>
      </c>
      <c r="F838" s="9" t="s">
        <v>7</v>
      </c>
      <c r="G838" s="10"/>
      <c r="H838" s="9">
        <v>260220</v>
      </c>
      <c r="I838" s="11" t="s">
        <v>454</v>
      </c>
      <c r="J838" s="12">
        <v>46126</v>
      </c>
      <c r="K838" s="12">
        <v>46133</v>
      </c>
      <c r="L838" s="27">
        <v>3263400</v>
      </c>
      <c r="M838" s="10" t="s">
        <v>6974</v>
      </c>
      <c r="N838" s="34">
        <f t="shared" ca="1" si="174"/>
        <v>114.46377638888953</v>
      </c>
      <c r="O838" s="10"/>
      <c r="P838" s="39"/>
      <c r="Q838" s="39"/>
      <c r="R838" s="39"/>
      <c r="S838" s="37">
        <f t="shared" si="172"/>
        <v>0</v>
      </c>
      <c r="T838" s="37">
        <f t="shared" si="173"/>
        <v>3263400</v>
      </c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</row>
    <row r="839" spans="1:31" ht="14.25" customHeight="1">
      <c r="A839" s="277" t="s">
        <v>7491</v>
      </c>
      <c r="B839" s="9" t="s">
        <v>21</v>
      </c>
      <c r="C839" s="9">
        <v>2026</v>
      </c>
      <c r="D839" s="9" t="s">
        <v>77</v>
      </c>
      <c r="E839" s="90" t="s">
        <v>23</v>
      </c>
      <c r="F839" s="9" t="s">
        <v>7</v>
      </c>
      <c r="G839" s="10"/>
      <c r="H839" s="9">
        <v>260318</v>
      </c>
      <c r="I839" s="11" t="s">
        <v>454</v>
      </c>
      <c r="J839" s="12">
        <v>46142</v>
      </c>
      <c r="K839" s="12">
        <v>46175</v>
      </c>
      <c r="L839" s="27">
        <v>2567901</v>
      </c>
      <c r="M839" s="10" t="s">
        <v>7102</v>
      </c>
      <c r="N839" s="34">
        <f t="shared" ca="1" si="174"/>
        <v>98.463776388889528</v>
      </c>
      <c r="O839" s="10"/>
      <c r="P839" s="39"/>
      <c r="Q839" s="39"/>
      <c r="R839" s="39"/>
      <c r="S839" s="37">
        <f t="shared" si="172"/>
        <v>0</v>
      </c>
      <c r="T839" s="37">
        <f t="shared" si="173"/>
        <v>2567901</v>
      </c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</row>
    <row r="840" spans="1:31" ht="14.25" customHeight="1">
      <c r="A840" s="277" t="s">
        <v>7492</v>
      </c>
      <c r="B840" s="9"/>
      <c r="C840" s="9"/>
      <c r="D840" s="9"/>
      <c r="E840" s="90"/>
      <c r="F840" s="9"/>
      <c r="G840" s="10"/>
      <c r="H840" s="9"/>
      <c r="I840" s="11"/>
      <c r="J840" s="12"/>
      <c r="K840" s="12"/>
      <c r="L840" s="27"/>
      <c r="M840" s="10"/>
      <c r="N840" s="114">
        <f t="shared" ca="1" si="174"/>
        <v>46240.46377638889</v>
      </c>
      <c r="O840" s="10"/>
      <c r="P840" s="39"/>
      <c r="Q840" s="39"/>
      <c r="R840" s="39"/>
      <c r="S840" s="37">
        <f t="shared" si="172"/>
        <v>0</v>
      </c>
      <c r="T840" s="37">
        <f t="shared" si="173"/>
        <v>0</v>
      </c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</row>
    <row r="841" spans="1:31" ht="14.25" customHeight="1">
      <c r="A841" s="277" t="s">
        <v>7493</v>
      </c>
      <c r="B841" s="9"/>
      <c r="C841" s="9"/>
      <c r="D841" s="9"/>
      <c r="E841" s="90"/>
      <c r="F841" s="9"/>
      <c r="G841" s="10"/>
      <c r="H841" s="9"/>
      <c r="I841" s="11"/>
      <c r="J841" s="12"/>
      <c r="K841" s="12"/>
      <c r="L841" s="27"/>
      <c r="M841" s="10"/>
      <c r="N841" s="9"/>
      <c r="O841" s="10"/>
      <c r="P841" s="39"/>
      <c r="Q841" s="39"/>
      <c r="R841" s="39"/>
      <c r="S841" s="37"/>
      <c r="T841" s="37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</row>
    <row r="842" spans="1:31" ht="14.25" customHeight="1">
      <c r="A842" s="277" t="s">
        <v>7494</v>
      </c>
      <c r="B842" s="9" t="s">
        <v>21</v>
      </c>
      <c r="C842" s="9"/>
      <c r="D842" s="9"/>
      <c r="E842" s="90"/>
      <c r="F842" s="9"/>
      <c r="G842" s="94" t="s">
        <v>24</v>
      </c>
      <c r="H842" s="95" t="s">
        <v>456</v>
      </c>
      <c r="I842" s="104"/>
      <c r="J842" s="105"/>
      <c r="K842" s="105"/>
      <c r="L842" s="106">
        <f>SUM(L843:L917)</f>
        <v>145137495</v>
      </c>
      <c r="M842" s="107"/>
      <c r="N842" s="108" t="s">
        <v>26</v>
      </c>
      <c r="O842" s="108"/>
      <c r="P842" s="108"/>
      <c r="Q842" s="108"/>
      <c r="R842" s="108"/>
      <c r="S842" s="106">
        <f>SUM(S843:S917)</f>
        <v>112645020</v>
      </c>
      <c r="T842" s="106">
        <f>SUM(T843:T917)</f>
        <v>32492475</v>
      </c>
      <c r="U842" s="10"/>
      <c r="V842" s="52">
        <f>L842-S842</f>
        <v>32492475</v>
      </c>
      <c r="W842" s="52">
        <f>T842-V842</f>
        <v>0</v>
      </c>
      <c r="X842" s="10"/>
      <c r="Y842" s="10"/>
      <c r="Z842" s="10"/>
      <c r="AA842" s="10"/>
      <c r="AB842" s="10"/>
      <c r="AC842" s="10"/>
      <c r="AD842" s="10"/>
      <c r="AE842" s="10"/>
    </row>
    <row r="843" spans="1:31" ht="14.25" hidden="1" customHeight="1">
      <c r="A843" s="277" t="s">
        <v>7495</v>
      </c>
      <c r="B843" s="9" t="s">
        <v>21</v>
      </c>
      <c r="C843" s="9">
        <v>2025</v>
      </c>
      <c r="D843" s="9" t="s">
        <v>27</v>
      </c>
      <c r="E843" s="90" t="s">
        <v>23</v>
      </c>
      <c r="F843" s="9" t="s">
        <v>7</v>
      </c>
      <c r="G843" s="10"/>
      <c r="H843" s="96">
        <v>250011</v>
      </c>
      <c r="I843" s="109" t="s">
        <v>457</v>
      </c>
      <c r="J843" s="115">
        <v>45661</v>
      </c>
      <c r="K843" s="115">
        <v>45706</v>
      </c>
      <c r="L843" s="116">
        <v>546120</v>
      </c>
      <c r="M843" s="117" t="s">
        <v>458</v>
      </c>
      <c r="N843" s="34" t="s">
        <v>29</v>
      </c>
      <c r="O843" s="10"/>
      <c r="P843" s="113">
        <v>45901</v>
      </c>
      <c r="Q843" s="113">
        <v>45901</v>
      </c>
      <c r="R843" s="113">
        <v>45901</v>
      </c>
      <c r="S843" s="37">
        <f t="shared" ref="S843:S849" si="175">IF(R843="",0,L843)</f>
        <v>546120</v>
      </c>
      <c r="T843" s="37">
        <f t="shared" ref="T843:T849" si="176">L843-S843</f>
        <v>0</v>
      </c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</row>
    <row r="844" spans="1:31" ht="14.25" hidden="1" customHeight="1">
      <c r="A844" s="277" t="s">
        <v>7496</v>
      </c>
      <c r="B844" s="9" t="s">
        <v>21</v>
      </c>
      <c r="C844" s="9">
        <v>2025</v>
      </c>
      <c r="D844" s="9" t="s">
        <v>27</v>
      </c>
      <c r="E844" s="90" t="s">
        <v>23</v>
      </c>
      <c r="F844" s="9" t="s">
        <v>7</v>
      </c>
      <c r="G844" s="10"/>
      <c r="H844" s="96">
        <v>250014</v>
      </c>
      <c r="I844" s="109" t="s">
        <v>457</v>
      </c>
      <c r="J844" s="115">
        <v>45663</v>
      </c>
      <c r="K844" s="115">
        <v>45706</v>
      </c>
      <c r="L844" s="116">
        <v>1731600</v>
      </c>
      <c r="M844" s="117" t="s">
        <v>459</v>
      </c>
      <c r="N844" s="34" t="s">
        <v>29</v>
      </c>
      <c r="O844" s="10"/>
      <c r="P844" s="113">
        <v>45901</v>
      </c>
      <c r="Q844" s="113">
        <v>45901</v>
      </c>
      <c r="R844" s="113">
        <v>45901</v>
      </c>
      <c r="S844" s="37">
        <f t="shared" si="175"/>
        <v>1731600</v>
      </c>
      <c r="T844" s="37">
        <f t="shared" si="176"/>
        <v>0</v>
      </c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</row>
    <row r="845" spans="1:31" ht="14.25" hidden="1" customHeight="1">
      <c r="A845" s="277" t="s">
        <v>7497</v>
      </c>
      <c r="B845" s="9" t="s">
        <v>21</v>
      </c>
      <c r="C845" s="9">
        <v>2025</v>
      </c>
      <c r="D845" s="9" t="s">
        <v>27</v>
      </c>
      <c r="E845" s="90" t="s">
        <v>23</v>
      </c>
      <c r="F845" s="9" t="s">
        <v>7</v>
      </c>
      <c r="G845" s="10"/>
      <c r="H845" s="96">
        <v>250042</v>
      </c>
      <c r="I845" s="109" t="s">
        <v>457</v>
      </c>
      <c r="J845" s="115">
        <v>45668</v>
      </c>
      <c r="K845" s="115">
        <v>45706</v>
      </c>
      <c r="L845" s="116">
        <v>1365300</v>
      </c>
      <c r="M845" s="117" t="s">
        <v>460</v>
      </c>
      <c r="N845" s="34" t="s">
        <v>29</v>
      </c>
      <c r="O845" s="10"/>
      <c r="P845" s="113">
        <v>45901</v>
      </c>
      <c r="Q845" s="113">
        <v>45901</v>
      </c>
      <c r="R845" s="113">
        <v>45901</v>
      </c>
      <c r="S845" s="37">
        <f t="shared" si="175"/>
        <v>1365300</v>
      </c>
      <c r="T845" s="37">
        <f t="shared" si="176"/>
        <v>0</v>
      </c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</row>
    <row r="846" spans="1:31" ht="14.25" hidden="1" customHeight="1">
      <c r="A846" s="277" t="s">
        <v>7498</v>
      </c>
      <c r="B846" s="9" t="s">
        <v>21</v>
      </c>
      <c r="C846" s="9">
        <v>2025</v>
      </c>
      <c r="D846" s="9" t="s">
        <v>27</v>
      </c>
      <c r="E846" s="90" t="s">
        <v>23</v>
      </c>
      <c r="F846" s="9" t="s">
        <v>7</v>
      </c>
      <c r="G846" s="10"/>
      <c r="H846" s="96">
        <v>250064</v>
      </c>
      <c r="I846" s="109" t="s">
        <v>457</v>
      </c>
      <c r="J846" s="115">
        <v>45673</v>
      </c>
      <c r="K846" s="115">
        <v>45706</v>
      </c>
      <c r="L846" s="116">
        <v>3421575</v>
      </c>
      <c r="M846" s="117" t="s">
        <v>461</v>
      </c>
      <c r="N846" s="34" t="s">
        <v>29</v>
      </c>
      <c r="O846" s="10"/>
      <c r="P846" s="113">
        <v>45901</v>
      </c>
      <c r="Q846" s="113">
        <v>45901</v>
      </c>
      <c r="R846" s="113">
        <v>45901</v>
      </c>
      <c r="S846" s="37">
        <f t="shared" si="175"/>
        <v>3421575</v>
      </c>
      <c r="T846" s="37">
        <f t="shared" si="176"/>
        <v>0</v>
      </c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</row>
    <row r="847" spans="1:31" ht="14.25" hidden="1" customHeight="1">
      <c r="A847" s="277" t="s">
        <v>7499</v>
      </c>
      <c r="B847" s="9" t="s">
        <v>21</v>
      </c>
      <c r="C847" s="9">
        <v>2025</v>
      </c>
      <c r="D847" s="9" t="s">
        <v>27</v>
      </c>
      <c r="E847" s="90" t="s">
        <v>23</v>
      </c>
      <c r="F847" s="9" t="s">
        <v>7</v>
      </c>
      <c r="G847" s="10"/>
      <c r="H847" s="96">
        <v>250059</v>
      </c>
      <c r="I847" s="109" t="s">
        <v>457</v>
      </c>
      <c r="J847" s="115">
        <v>45673</v>
      </c>
      <c r="K847" s="115">
        <v>45706</v>
      </c>
      <c r="L847" s="116">
        <v>2275500</v>
      </c>
      <c r="M847" s="117" t="s">
        <v>462</v>
      </c>
      <c r="N847" s="34" t="s">
        <v>29</v>
      </c>
      <c r="O847" s="27">
        <f>SUM(L847:L851)</f>
        <v>10125087</v>
      </c>
      <c r="P847" s="113">
        <v>45913</v>
      </c>
      <c r="Q847" s="113">
        <v>45913</v>
      </c>
      <c r="R847" s="113">
        <v>45913</v>
      </c>
      <c r="S847" s="37">
        <f t="shared" si="175"/>
        <v>2275500</v>
      </c>
      <c r="T847" s="37">
        <f t="shared" si="176"/>
        <v>0</v>
      </c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</row>
    <row r="848" spans="1:31" ht="14.25" hidden="1" customHeight="1">
      <c r="A848" s="277" t="s">
        <v>7500</v>
      </c>
      <c r="B848" s="9" t="s">
        <v>21</v>
      </c>
      <c r="C848" s="9">
        <v>2025</v>
      </c>
      <c r="D848" s="9" t="s">
        <v>27</v>
      </c>
      <c r="E848" s="90" t="s">
        <v>23</v>
      </c>
      <c r="F848" s="9" t="s">
        <v>7</v>
      </c>
      <c r="G848" s="10"/>
      <c r="H848" s="96">
        <v>250085</v>
      </c>
      <c r="I848" s="109" t="s">
        <v>457</v>
      </c>
      <c r="J848" s="115">
        <v>45675</v>
      </c>
      <c r="K848" s="115">
        <v>45706</v>
      </c>
      <c r="L848" s="116">
        <v>2358750</v>
      </c>
      <c r="M848" s="117" t="s">
        <v>463</v>
      </c>
      <c r="N848" s="34" t="s">
        <v>29</v>
      </c>
      <c r="O848" s="10"/>
      <c r="P848" s="113">
        <v>45913</v>
      </c>
      <c r="Q848" s="113">
        <v>45913</v>
      </c>
      <c r="R848" s="113">
        <v>45913</v>
      </c>
      <c r="S848" s="37">
        <f t="shared" si="175"/>
        <v>2358750</v>
      </c>
      <c r="T848" s="37">
        <f t="shared" si="176"/>
        <v>0</v>
      </c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</row>
    <row r="849" spans="1:31" ht="14.25" hidden="1" customHeight="1">
      <c r="A849" s="277" t="s">
        <v>7501</v>
      </c>
      <c r="B849" s="9" t="s">
        <v>21</v>
      </c>
      <c r="C849" s="9">
        <v>2025</v>
      </c>
      <c r="D849" s="9" t="s">
        <v>27</v>
      </c>
      <c r="E849" s="90" t="s">
        <v>23</v>
      </c>
      <c r="F849" s="9" t="s">
        <v>7</v>
      </c>
      <c r="G849" s="10"/>
      <c r="H849" s="96">
        <v>250072</v>
      </c>
      <c r="I849" s="109" t="s">
        <v>457</v>
      </c>
      <c r="J849" s="115">
        <v>45678</v>
      </c>
      <c r="K849" s="115">
        <v>45706</v>
      </c>
      <c r="L849" s="116">
        <v>1452990</v>
      </c>
      <c r="M849" s="117" t="s">
        <v>464</v>
      </c>
      <c r="N849" s="34" t="s">
        <v>29</v>
      </c>
      <c r="O849" s="10"/>
      <c r="P849" s="113">
        <v>45913</v>
      </c>
      <c r="Q849" s="113">
        <v>45913</v>
      </c>
      <c r="R849" s="113">
        <v>45913</v>
      </c>
      <c r="S849" s="37">
        <f t="shared" si="175"/>
        <v>1452990</v>
      </c>
      <c r="T849" s="37">
        <f t="shared" si="176"/>
        <v>0</v>
      </c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</row>
    <row r="850" spans="1:31" ht="14.25" hidden="1" customHeight="1">
      <c r="A850" s="277" t="s">
        <v>7502</v>
      </c>
      <c r="B850" s="9" t="s">
        <v>21</v>
      </c>
      <c r="C850" s="9">
        <v>2025</v>
      </c>
      <c r="D850" s="9" t="s">
        <v>27</v>
      </c>
      <c r="E850" s="90" t="s">
        <v>23</v>
      </c>
      <c r="F850" s="9" t="s">
        <v>7</v>
      </c>
      <c r="G850" s="10"/>
      <c r="H850" s="96">
        <v>250139</v>
      </c>
      <c r="I850" s="109" t="s">
        <v>457</v>
      </c>
      <c r="J850" s="115">
        <v>45691</v>
      </c>
      <c r="K850" s="115">
        <v>45734</v>
      </c>
      <c r="L850" s="116">
        <v>2106447</v>
      </c>
      <c r="M850" s="117" t="s">
        <v>465</v>
      </c>
      <c r="N850" s="34" t="s">
        <v>29</v>
      </c>
      <c r="O850" s="10"/>
      <c r="P850" s="113">
        <v>45913</v>
      </c>
      <c r="Q850" s="113">
        <v>45913</v>
      </c>
      <c r="R850" s="113">
        <v>45913</v>
      </c>
      <c r="S850" s="37">
        <f t="shared" ref="S850:S856" si="177">IF(R850="",0,L850)</f>
        <v>2106447</v>
      </c>
      <c r="T850" s="37">
        <f t="shared" ref="T850:T856" si="178">L850-S850</f>
        <v>0</v>
      </c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</row>
    <row r="851" spans="1:31" ht="14.25" hidden="1" customHeight="1">
      <c r="A851" s="277" t="s">
        <v>7503</v>
      </c>
      <c r="B851" s="9" t="s">
        <v>21</v>
      </c>
      <c r="C851" s="9">
        <v>2025</v>
      </c>
      <c r="D851" s="9" t="s">
        <v>27</v>
      </c>
      <c r="E851" s="90" t="s">
        <v>23</v>
      </c>
      <c r="F851" s="9" t="s">
        <v>7</v>
      </c>
      <c r="G851" s="10"/>
      <c r="H851" s="96">
        <v>250147</v>
      </c>
      <c r="I851" s="109" t="s">
        <v>457</v>
      </c>
      <c r="J851" s="115">
        <v>45696</v>
      </c>
      <c r="K851" s="115">
        <v>45734</v>
      </c>
      <c r="L851" s="116">
        <v>1931400</v>
      </c>
      <c r="M851" s="117" t="s">
        <v>466</v>
      </c>
      <c r="N851" s="34" t="s">
        <v>29</v>
      </c>
      <c r="O851" s="10"/>
      <c r="P851" s="113">
        <v>45913</v>
      </c>
      <c r="Q851" s="113">
        <v>45913</v>
      </c>
      <c r="R851" s="113">
        <v>45913</v>
      </c>
      <c r="S851" s="37">
        <f t="shared" si="177"/>
        <v>1931400</v>
      </c>
      <c r="T851" s="37">
        <f t="shared" si="178"/>
        <v>0</v>
      </c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</row>
    <row r="852" spans="1:31" ht="14.25" hidden="1" customHeight="1">
      <c r="A852" s="277" t="s">
        <v>7504</v>
      </c>
      <c r="B852" s="9" t="s">
        <v>21</v>
      </c>
      <c r="C852" s="9">
        <v>2025</v>
      </c>
      <c r="D852" s="9" t="s">
        <v>27</v>
      </c>
      <c r="E852" s="90" t="s">
        <v>23</v>
      </c>
      <c r="F852" s="9" t="s">
        <v>7</v>
      </c>
      <c r="G852" s="10"/>
      <c r="H852" s="96">
        <v>250125</v>
      </c>
      <c r="I852" s="109" t="s">
        <v>457</v>
      </c>
      <c r="J852" s="115">
        <v>45693</v>
      </c>
      <c r="K852" s="115">
        <v>45734</v>
      </c>
      <c r="L852" s="116">
        <v>4562988</v>
      </c>
      <c r="M852" s="117" t="s">
        <v>467</v>
      </c>
      <c r="N852" s="34" t="s">
        <v>29</v>
      </c>
      <c r="O852" s="27">
        <f>SUM(L852:L862)</f>
        <v>19595718</v>
      </c>
      <c r="P852" s="113">
        <v>45951</v>
      </c>
      <c r="Q852" s="113">
        <v>45951</v>
      </c>
      <c r="R852" s="113">
        <v>45951</v>
      </c>
      <c r="S852" s="37">
        <f t="shared" si="177"/>
        <v>4562988</v>
      </c>
      <c r="T852" s="37">
        <f t="shared" si="178"/>
        <v>0</v>
      </c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</row>
    <row r="853" spans="1:31" ht="14.25" hidden="1" customHeight="1">
      <c r="A853" s="277" t="s">
        <v>7505</v>
      </c>
      <c r="B853" s="9" t="s">
        <v>21</v>
      </c>
      <c r="C853" s="9">
        <v>2025</v>
      </c>
      <c r="D853" s="9" t="s">
        <v>27</v>
      </c>
      <c r="E853" s="90" t="s">
        <v>23</v>
      </c>
      <c r="F853" s="9" t="s">
        <v>7</v>
      </c>
      <c r="G853" s="10"/>
      <c r="H853" s="96">
        <v>250215</v>
      </c>
      <c r="I853" s="109" t="s">
        <v>457</v>
      </c>
      <c r="J853" s="115">
        <v>45706</v>
      </c>
      <c r="K853" s="115">
        <v>45734</v>
      </c>
      <c r="L853" s="116">
        <v>1040958</v>
      </c>
      <c r="M853" s="117" t="s">
        <v>468</v>
      </c>
      <c r="N853" s="34" t="s">
        <v>29</v>
      </c>
      <c r="O853" s="10"/>
      <c r="P853" s="113">
        <v>45951</v>
      </c>
      <c r="Q853" s="113">
        <v>45951</v>
      </c>
      <c r="R853" s="113">
        <v>45951</v>
      </c>
      <c r="S853" s="37">
        <f t="shared" si="177"/>
        <v>1040958</v>
      </c>
      <c r="T853" s="37">
        <f t="shared" si="178"/>
        <v>0</v>
      </c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</row>
    <row r="854" spans="1:31" ht="14.25" hidden="1" customHeight="1">
      <c r="A854" s="277" t="s">
        <v>7506</v>
      </c>
      <c r="B854" s="9" t="s">
        <v>21</v>
      </c>
      <c r="C854" s="9">
        <v>2025</v>
      </c>
      <c r="D854" s="9" t="s">
        <v>27</v>
      </c>
      <c r="E854" s="90" t="s">
        <v>23</v>
      </c>
      <c r="F854" s="9" t="s">
        <v>7</v>
      </c>
      <c r="G854" s="10"/>
      <c r="H854" s="96">
        <v>250213</v>
      </c>
      <c r="I854" s="109" t="s">
        <v>457</v>
      </c>
      <c r="J854" s="115">
        <v>45706</v>
      </c>
      <c r="K854" s="115">
        <v>45734</v>
      </c>
      <c r="L854" s="116">
        <v>469974</v>
      </c>
      <c r="M854" s="117" t="s">
        <v>469</v>
      </c>
      <c r="N854" s="34" t="s">
        <v>29</v>
      </c>
      <c r="O854" s="10"/>
      <c r="P854" s="113">
        <v>45951</v>
      </c>
      <c r="Q854" s="113">
        <v>45951</v>
      </c>
      <c r="R854" s="113">
        <v>45951</v>
      </c>
      <c r="S854" s="37">
        <f t="shared" si="177"/>
        <v>469974</v>
      </c>
      <c r="T854" s="37">
        <f t="shared" si="178"/>
        <v>0</v>
      </c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</row>
    <row r="855" spans="1:31" ht="14.25" hidden="1" customHeight="1">
      <c r="A855" s="277" t="s">
        <v>7507</v>
      </c>
      <c r="B855" s="9" t="s">
        <v>21</v>
      </c>
      <c r="C855" s="9">
        <v>2025</v>
      </c>
      <c r="D855" s="9" t="s">
        <v>27</v>
      </c>
      <c r="E855" s="90" t="s">
        <v>23</v>
      </c>
      <c r="F855" s="9" t="s">
        <v>7</v>
      </c>
      <c r="G855" s="10"/>
      <c r="H855" s="96">
        <v>250323</v>
      </c>
      <c r="I855" s="109" t="s">
        <v>457</v>
      </c>
      <c r="J855" s="115">
        <v>45714</v>
      </c>
      <c r="K855" s="115">
        <v>45734</v>
      </c>
      <c r="L855" s="116">
        <v>2471304</v>
      </c>
      <c r="M855" s="117" t="s">
        <v>470</v>
      </c>
      <c r="N855" s="34" t="s">
        <v>29</v>
      </c>
      <c r="O855" s="10"/>
      <c r="P855" s="113">
        <v>45951</v>
      </c>
      <c r="Q855" s="113">
        <v>45951</v>
      </c>
      <c r="R855" s="113">
        <v>45951</v>
      </c>
      <c r="S855" s="37">
        <f t="shared" si="177"/>
        <v>2471304</v>
      </c>
      <c r="T855" s="37">
        <f t="shared" si="178"/>
        <v>0</v>
      </c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</row>
    <row r="856" spans="1:31" ht="14.25" hidden="1" customHeight="1">
      <c r="A856" s="277" t="s">
        <v>7508</v>
      </c>
      <c r="B856" s="9" t="s">
        <v>21</v>
      </c>
      <c r="C856" s="9">
        <v>2025</v>
      </c>
      <c r="D856" s="9" t="s">
        <v>27</v>
      </c>
      <c r="E856" s="90" t="s">
        <v>23</v>
      </c>
      <c r="F856" s="9" t="s">
        <v>7</v>
      </c>
      <c r="G856" s="10"/>
      <c r="H856" s="96">
        <v>250324</v>
      </c>
      <c r="I856" s="109" t="s">
        <v>457</v>
      </c>
      <c r="J856" s="115">
        <v>45716</v>
      </c>
      <c r="K856" s="115">
        <v>45734</v>
      </c>
      <c r="L856" s="116">
        <v>844932</v>
      </c>
      <c r="M856" s="117" t="s">
        <v>471</v>
      </c>
      <c r="N856" s="34" t="s">
        <v>29</v>
      </c>
      <c r="O856" s="10"/>
      <c r="P856" s="113">
        <v>45951</v>
      </c>
      <c r="Q856" s="113">
        <v>45951</v>
      </c>
      <c r="R856" s="113">
        <v>45951</v>
      </c>
      <c r="S856" s="37">
        <f t="shared" si="177"/>
        <v>844932</v>
      </c>
      <c r="T856" s="37">
        <f t="shared" si="178"/>
        <v>0</v>
      </c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</row>
    <row r="857" spans="1:31" ht="14.25" hidden="1" customHeight="1">
      <c r="A857" s="277" t="s">
        <v>7509</v>
      </c>
      <c r="B857" s="9" t="s">
        <v>21</v>
      </c>
      <c r="C857" s="9">
        <v>2025</v>
      </c>
      <c r="D857" s="9" t="s">
        <v>27</v>
      </c>
      <c r="E857" s="90" t="s">
        <v>23</v>
      </c>
      <c r="F857" s="9" t="s">
        <v>7</v>
      </c>
      <c r="G857" s="10"/>
      <c r="H857" s="96">
        <v>250322</v>
      </c>
      <c r="I857" s="109" t="s">
        <v>457</v>
      </c>
      <c r="J857" s="115">
        <v>45720</v>
      </c>
      <c r="K857" s="115">
        <v>45755</v>
      </c>
      <c r="L857" s="116">
        <v>1273392</v>
      </c>
      <c r="M857" s="117" t="s">
        <v>472</v>
      </c>
      <c r="N857" s="34" t="s">
        <v>29</v>
      </c>
      <c r="O857" s="10"/>
      <c r="P857" s="113">
        <v>45951</v>
      </c>
      <c r="Q857" s="113">
        <v>45951</v>
      </c>
      <c r="R857" s="113">
        <v>45951</v>
      </c>
      <c r="S857" s="37">
        <f t="shared" ref="S857:S866" si="179">IF(R857="",0,L857)</f>
        <v>1273392</v>
      </c>
      <c r="T857" s="37">
        <f t="shared" ref="T857:T866" si="180">L857-S857</f>
        <v>0</v>
      </c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</row>
    <row r="858" spans="1:31" ht="14.25" hidden="1" customHeight="1">
      <c r="A858" s="277" t="s">
        <v>7510</v>
      </c>
      <c r="B858" s="9" t="s">
        <v>21</v>
      </c>
      <c r="C858" s="9">
        <v>2025</v>
      </c>
      <c r="D858" s="9" t="s">
        <v>27</v>
      </c>
      <c r="E858" s="90" t="s">
        <v>23</v>
      </c>
      <c r="F858" s="9" t="s">
        <v>7</v>
      </c>
      <c r="G858" s="10"/>
      <c r="H858" s="96">
        <v>250321</v>
      </c>
      <c r="I858" s="109" t="s">
        <v>457</v>
      </c>
      <c r="J858" s="115">
        <v>45722</v>
      </c>
      <c r="K858" s="115">
        <v>45755</v>
      </c>
      <c r="L858" s="116">
        <v>941835</v>
      </c>
      <c r="M858" s="117" t="s">
        <v>473</v>
      </c>
      <c r="N858" s="34" t="s">
        <v>29</v>
      </c>
      <c r="O858" s="10"/>
      <c r="P858" s="113">
        <v>45951</v>
      </c>
      <c r="Q858" s="113">
        <v>45951</v>
      </c>
      <c r="R858" s="113">
        <v>45951</v>
      </c>
      <c r="S858" s="37">
        <f t="shared" si="179"/>
        <v>941835</v>
      </c>
      <c r="T858" s="37">
        <f t="shared" si="180"/>
        <v>0</v>
      </c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</row>
    <row r="859" spans="1:31" ht="14.25" hidden="1" customHeight="1">
      <c r="A859" s="277" t="s">
        <v>7511</v>
      </c>
      <c r="B859" s="9" t="s">
        <v>21</v>
      </c>
      <c r="C859" s="9">
        <v>2025</v>
      </c>
      <c r="D859" s="9" t="s">
        <v>27</v>
      </c>
      <c r="E859" s="90" t="s">
        <v>23</v>
      </c>
      <c r="F859" s="9" t="s">
        <v>7</v>
      </c>
      <c r="G859" s="10"/>
      <c r="H859" s="96">
        <v>250347</v>
      </c>
      <c r="I859" s="109" t="s">
        <v>457</v>
      </c>
      <c r="J859" s="115">
        <v>45734</v>
      </c>
      <c r="K859" s="115">
        <v>45755</v>
      </c>
      <c r="L859" s="116">
        <v>1835052</v>
      </c>
      <c r="M859" s="117" t="s">
        <v>474</v>
      </c>
      <c r="N859" s="34" t="s">
        <v>29</v>
      </c>
      <c r="O859" s="10"/>
      <c r="P859" s="113">
        <v>45951</v>
      </c>
      <c r="Q859" s="113">
        <v>45951</v>
      </c>
      <c r="R859" s="113">
        <v>45951</v>
      </c>
      <c r="S859" s="37">
        <f t="shared" si="179"/>
        <v>1835052</v>
      </c>
      <c r="T859" s="37">
        <f t="shared" si="180"/>
        <v>0</v>
      </c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</row>
    <row r="860" spans="1:31" ht="14.25" hidden="1" customHeight="1">
      <c r="A860" s="277" t="s">
        <v>7512</v>
      </c>
      <c r="B860" s="9" t="s">
        <v>21</v>
      </c>
      <c r="C860" s="9">
        <v>2025</v>
      </c>
      <c r="D860" s="9" t="s">
        <v>27</v>
      </c>
      <c r="E860" s="90" t="s">
        <v>23</v>
      </c>
      <c r="F860" s="9" t="s">
        <v>7</v>
      </c>
      <c r="G860" s="10"/>
      <c r="H860" s="96">
        <v>250359</v>
      </c>
      <c r="I860" s="109" t="s">
        <v>457</v>
      </c>
      <c r="J860" s="115">
        <v>45736</v>
      </c>
      <c r="K860" s="115">
        <v>45755</v>
      </c>
      <c r="L860" s="116">
        <v>517260</v>
      </c>
      <c r="M860" s="117" t="s">
        <v>475</v>
      </c>
      <c r="N860" s="34" t="s">
        <v>29</v>
      </c>
      <c r="O860" s="10"/>
      <c r="P860" s="113">
        <v>45951</v>
      </c>
      <c r="Q860" s="113">
        <v>45951</v>
      </c>
      <c r="R860" s="113">
        <v>45951</v>
      </c>
      <c r="S860" s="37">
        <f t="shared" si="179"/>
        <v>517260</v>
      </c>
      <c r="T860" s="37">
        <f t="shared" si="180"/>
        <v>0</v>
      </c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</row>
    <row r="861" spans="1:31" ht="14.25" hidden="1" customHeight="1">
      <c r="A861" s="277" t="s">
        <v>7513</v>
      </c>
      <c r="B861" s="9" t="s">
        <v>21</v>
      </c>
      <c r="C861" s="9">
        <v>2025</v>
      </c>
      <c r="D861" s="9" t="s">
        <v>27</v>
      </c>
      <c r="E861" s="90" t="s">
        <v>23</v>
      </c>
      <c r="F861" s="9" t="s">
        <v>7</v>
      </c>
      <c r="G861" s="10"/>
      <c r="H861" s="96">
        <v>250409</v>
      </c>
      <c r="I861" s="109" t="s">
        <v>457</v>
      </c>
      <c r="J861" s="115">
        <v>45742</v>
      </c>
      <c r="K861" s="115">
        <v>45755</v>
      </c>
      <c r="L861" s="116">
        <v>3151623</v>
      </c>
      <c r="M861" s="117" t="s">
        <v>476</v>
      </c>
      <c r="N861" s="34" t="s">
        <v>29</v>
      </c>
      <c r="O861" s="10"/>
      <c r="P861" s="113">
        <v>45951</v>
      </c>
      <c r="Q861" s="113">
        <v>45951</v>
      </c>
      <c r="R861" s="113">
        <v>45951</v>
      </c>
      <c r="S861" s="37">
        <f t="shared" si="179"/>
        <v>3151623</v>
      </c>
      <c r="T861" s="37">
        <f t="shared" si="180"/>
        <v>0</v>
      </c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</row>
    <row r="862" spans="1:31" ht="14.25" hidden="1" customHeight="1">
      <c r="A862" s="277" t="s">
        <v>7514</v>
      </c>
      <c r="B862" s="9" t="s">
        <v>21</v>
      </c>
      <c r="C862" s="9">
        <v>2025</v>
      </c>
      <c r="D862" s="9" t="s">
        <v>27</v>
      </c>
      <c r="E862" s="90" t="s">
        <v>23</v>
      </c>
      <c r="F862" s="9" t="s">
        <v>7</v>
      </c>
      <c r="G862" s="10"/>
      <c r="H862" s="96">
        <v>250408</v>
      </c>
      <c r="I862" s="109" t="s">
        <v>457</v>
      </c>
      <c r="J862" s="115">
        <v>45752</v>
      </c>
      <c r="K862" s="115">
        <v>45790</v>
      </c>
      <c r="L862" s="116">
        <v>2486400</v>
      </c>
      <c r="M862" s="117" t="s">
        <v>477</v>
      </c>
      <c r="N862" s="34" t="s">
        <v>29</v>
      </c>
      <c r="O862" s="10"/>
      <c r="P862" s="113">
        <v>45951</v>
      </c>
      <c r="Q862" s="113">
        <v>45951</v>
      </c>
      <c r="R862" s="113">
        <v>45951</v>
      </c>
      <c r="S862" s="37">
        <f t="shared" si="179"/>
        <v>2486400</v>
      </c>
      <c r="T862" s="37">
        <f t="shared" si="180"/>
        <v>0</v>
      </c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</row>
    <row r="863" spans="1:31" ht="14.25" hidden="1" customHeight="1">
      <c r="A863" s="277" t="s">
        <v>7515</v>
      </c>
      <c r="B863" s="9" t="s">
        <v>21</v>
      </c>
      <c r="C863" s="9">
        <v>2025</v>
      </c>
      <c r="D863" s="9" t="s">
        <v>27</v>
      </c>
      <c r="E863" s="90" t="s">
        <v>23</v>
      </c>
      <c r="F863" s="9" t="s">
        <v>7</v>
      </c>
      <c r="G863" s="10"/>
      <c r="H863" s="96">
        <v>250429</v>
      </c>
      <c r="I863" s="109" t="s">
        <v>457</v>
      </c>
      <c r="J863" s="115">
        <v>45761</v>
      </c>
      <c r="K863" s="115">
        <v>45790</v>
      </c>
      <c r="L863" s="116">
        <v>6804078</v>
      </c>
      <c r="M863" s="117" t="s">
        <v>478</v>
      </c>
      <c r="N863" s="34" t="s">
        <v>29</v>
      </c>
      <c r="O863" s="27">
        <f>SUM(L863:L869)</f>
        <v>19475283</v>
      </c>
      <c r="P863" s="113">
        <v>45964</v>
      </c>
      <c r="Q863" s="113">
        <v>45964</v>
      </c>
      <c r="R863" s="113">
        <v>45964</v>
      </c>
      <c r="S863" s="37">
        <f t="shared" si="179"/>
        <v>6804078</v>
      </c>
      <c r="T863" s="37">
        <f t="shared" si="180"/>
        <v>0</v>
      </c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</row>
    <row r="864" spans="1:31" ht="14.25" hidden="1" customHeight="1">
      <c r="A864" s="277" t="s">
        <v>7516</v>
      </c>
      <c r="B864" s="9" t="s">
        <v>21</v>
      </c>
      <c r="C864" s="9">
        <v>2025</v>
      </c>
      <c r="D864" s="9" t="s">
        <v>27</v>
      </c>
      <c r="E864" s="90" t="s">
        <v>23</v>
      </c>
      <c r="F864" s="9" t="s">
        <v>7</v>
      </c>
      <c r="G864" s="10"/>
      <c r="H864" s="96">
        <v>250463</v>
      </c>
      <c r="I864" s="109" t="s">
        <v>457</v>
      </c>
      <c r="J864" s="115">
        <v>45771</v>
      </c>
      <c r="K864" s="115">
        <v>45790</v>
      </c>
      <c r="L864" s="116">
        <v>3625260</v>
      </c>
      <c r="M864" s="117" t="s">
        <v>479</v>
      </c>
      <c r="N864" s="34" t="s">
        <v>29</v>
      </c>
      <c r="O864" s="10"/>
      <c r="P864" s="113">
        <v>45964</v>
      </c>
      <c r="Q864" s="113">
        <v>45964</v>
      </c>
      <c r="R864" s="113">
        <v>45964</v>
      </c>
      <c r="S864" s="37">
        <f t="shared" si="179"/>
        <v>3625260</v>
      </c>
      <c r="T864" s="37">
        <f t="shared" si="180"/>
        <v>0</v>
      </c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</row>
    <row r="865" spans="1:31" ht="14.25" hidden="1" customHeight="1">
      <c r="A865" s="277" t="s">
        <v>7517</v>
      </c>
      <c r="B865" s="9" t="s">
        <v>21</v>
      </c>
      <c r="C865" s="9">
        <v>2025</v>
      </c>
      <c r="D865" s="9" t="s">
        <v>27</v>
      </c>
      <c r="E865" s="90" t="s">
        <v>23</v>
      </c>
      <c r="F865" s="9" t="s">
        <v>7</v>
      </c>
      <c r="G865" s="10"/>
      <c r="H865" s="96">
        <v>250473</v>
      </c>
      <c r="I865" s="109" t="s">
        <v>457</v>
      </c>
      <c r="J865" s="115">
        <v>45773</v>
      </c>
      <c r="K865" s="115">
        <v>45790</v>
      </c>
      <c r="L865" s="116">
        <v>287601</v>
      </c>
      <c r="M865" s="117" t="s">
        <v>480</v>
      </c>
      <c r="N865" s="34" t="s">
        <v>29</v>
      </c>
      <c r="O865" s="10"/>
      <c r="P865" s="113">
        <v>45964</v>
      </c>
      <c r="Q865" s="113">
        <v>45964</v>
      </c>
      <c r="R865" s="113">
        <v>45964</v>
      </c>
      <c r="S865" s="37">
        <f t="shared" si="179"/>
        <v>287601</v>
      </c>
      <c r="T865" s="37">
        <f t="shared" si="180"/>
        <v>0</v>
      </c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</row>
    <row r="866" spans="1:31" ht="14.25" hidden="1" customHeight="1">
      <c r="A866" s="277" t="s">
        <v>7518</v>
      </c>
      <c r="B866" s="9" t="s">
        <v>21</v>
      </c>
      <c r="C866" s="9">
        <v>2025</v>
      </c>
      <c r="D866" s="9" t="s">
        <v>27</v>
      </c>
      <c r="E866" s="90" t="s">
        <v>23</v>
      </c>
      <c r="F866" s="9" t="s">
        <v>7</v>
      </c>
      <c r="G866" s="10"/>
      <c r="H866" s="96">
        <v>250483</v>
      </c>
      <c r="I866" s="109" t="s">
        <v>457</v>
      </c>
      <c r="J866" s="115">
        <v>45775</v>
      </c>
      <c r="K866" s="115">
        <v>45790</v>
      </c>
      <c r="L866" s="116">
        <v>2670216</v>
      </c>
      <c r="M866" s="117" t="s">
        <v>481</v>
      </c>
      <c r="N866" s="34" t="s">
        <v>29</v>
      </c>
      <c r="O866" s="10"/>
      <c r="P866" s="113">
        <v>45964</v>
      </c>
      <c r="Q866" s="113">
        <v>45964</v>
      </c>
      <c r="R866" s="113">
        <v>45964</v>
      </c>
      <c r="S866" s="37">
        <f t="shared" si="179"/>
        <v>2670216</v>
      </c>
      <c r="T866" s="37">
        <f t="shared" si="180"/>
        <v>0</v>
      </c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</row>
    <row r="867" spans="1:31" ht="14.25" hidden="1" customHeight="1">
      <c r="A867" s="277" t="s">
        <v>7519</v>
      </c>
      <c r="B867" s="9" t="s">
        <v>21</v>
      </c>
      <c r="C867" s="9">
        <v>2025</v>
      </c>
      <c r="D867" s="9" t="s">
        <v>27</v>
      </c>
      <c r="E867" s="90" t="s">
        <v>23</v>
      </c>
      <c r="F867" s="9" t="s">
        <v>7</v>
      </c>
      <c r="G867" s="10"/>
      <c r="H867" s="96">
        <v>250491</v>
      </c>
      <c r="I867" s="109" t="s">
        <v>457</v>
      </c>
      <c r="J867" s="115">
        <v>45780</v>
      </c>
      <c r="K867" s="115">
        <v>45818</v>
      </c>
      <c r="L867" s="116">
        <v>754911</v>
      </c>
      <c r="M867" s="117" t="s">
        <v>482</v>
      </c>
      <c r="N867" s="34" t="s">
        <v>29</v>
      </c>
      <c r="O867" s="10"/>
      <c r="P867" s="113">
        <v>45964</v>
      </c>
      <c r="Q867" s="113">
        <v>45964</v>
      </c>
      <c r="R867" s="113">
        <v>45964</v>
      </c>
      <c r="S867" s="37">
        <f t="shared" ref="S867:S891" si="181">IF(R867="",0,L867)</f>
        <v>754911</v>
      </c>
      <c r="T867" s="37">
        <f t="shared" ref="T867:T891" si="182">L867-S867</f>
        <v>0</v>
      </c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</row>
    <row r="868" spans="1:31" ht="14.25" hidden="1" customHeight="1">
      <c r="A868" s="277" t="s">
        <v>7520</v>
      </c>
      <c r="B868" s="9" t="s">
        <v>21</v>
      </c>
      <c r="C868" s="9">
        <v>2025</v>
      </c>
      <c r="D868" s="9" t="s">
        <v>27</v>
      </c>
      <c r="E868" s="90" t="s">
        <v>23</v>
      </c>
      <c r="F868" s="9" t="s">
        <v>7</v>
      </c>
      <c r="G868" s="10"/>
      <c r="H868" s="96">
        <v>250501</v>
      </c>
      <c r="I868" s="109" t="s">
        <v>457</v>
      </c>
      <c r="J868" s="115">
        <v>45782</v>
      </c>
      <c r="K868" s="115">
        <v>45818</v>
      </c>
      <c r="L868" s="116">
        <v>3464199</v>
      </c>
      <c r="M868" s="117" t="s">
        <v>483</v>
      </c>
      <c r="N868" s="34" t="s">
        <v>29</v>
      </c>
      <c r="O868" s="10"/>
      <c r="P868" s="113">
        <v>45964</v>
      </c>
      <c r="Q868" s="113">
        <v>45964</v>
      </c>
      <c r="R868" s="113">
        <v>45964</v>
      </c>
      <c r="S868" s="37">
        <f t="shared" si="181"/>
        <v>3464199</v>
      </c>
      <c r="T868" s="37">
        <f t="shared" si="182"/>
        <v>0</v>
      </c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</row>
    <row r="869" spans="1:31" ht="14.25" hidden="1" customHeight="1">
      <c r="A869" s="277" t="s">
        <v>7521</v>
      </c>
      <c r="B869" s="9" t="s">
        <v>21</v>
      </c>
      <c r="C869" s="9">
        <v>2025</v>
      </c>
      <c r="D869" s="9" t="s">
        <v>27</v>
      </c>
      <c r="E869" s="90" t="s">
        <v>23</v>
      </c>
      <c r="F869" s="9" t="s">
        <v>7</v>
      </c>
      <c r="G869" s="10"/>
      <c r="H869" s="96">
        <v>250528</v>
      </c>
      <c r="I869" s="109" t="s">
        <v>457</v>
      </c>
      <c r="J869" s="115">
        <v>45794</v>
      </c>
      <c r="K869" s="115">
        <v>45818</v>
      </c>
      <c r="L869" s="116">
        <v>1869018</v>
      </c>
      <c r="M869" s="117" t="s">
        <v>485</v>
      </c>
      <c r="N869" s="34" t="s">
        <v>29</v>
      </c>
      <c r="O869" s="10"/>
      <c r="P869" s="113">
        <v>45964</v>
      </c>
      <c r="Q869" s="113">
        <v>45964</v>
      </c>
      <c r="R869" s="113">
        <v>45964</v>
      </c>
      <c r="S869" s="37">
        <f>IF(R869="",0,L869)</f>
        <v>1869018</v>
      </c>
      <c r="T869" s="37">
        <f>L869-S869</f>
        <v>0</v>
      </c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</row>
    <row r="870" spans="1:31" ht="14.25" hidden="1" customHeight="1">
      <c r="A870" s="277" t="s">
        <v>7522</v>
      </c>
      <c r="B870" s="9" t="s">
        <v>21</v>
      </c>
      <c r="C870" s="9">
        <v>2025</v>
      </c>
      <c r="D870" s="9" t="s">
        <v>27</v>
      </c>
      <c r="E870" s="90" t="s">
        <v>23</v>
      </c>
      <c r="F870" s="9" t="s">
        <v>7</v>
      </c>
      <c r="G870" s="10"/>
      <c r="H870" s="96">
        <v>250516</v>
      </c>
      <c r="I870" s="109" t="s">
        <v>457</v>
      </c>
      <c r="J870" s="115">
        <v>45787</v>
      </c>
      <c r="K870" s="115">
        <v>45818</v>
      </c>
      <c r="L870" s="116">
        <v>2730600</v>
      </c>
      <c r="M870" s="117" t="s">
        <v>484</v>
      </c>
      <c r="N870" s="34" t="s">
        <v>29</v>
      </c>
      <c r="O870" s="27">
        <f>SUM(L870:L879)</f>
        <v>19877658</v>
      </c>
      <c r="P870" s="113">
        <v>45979</v>
      </c>
      <c r="Q870" s="113">
        <v>45979</v>
      </c>
      <c r="R870" s="113">
        <v>45979</v>
      </c>
      <c r="S870" s="37">
        <f t="shared" si="181"/>
        <v>2730600</v>
      </c>
      <c r="T870" s="37">
        <f t="shared" si="182"/>
        <v>0</v>
      </c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</row>
    <row r="871" spans="1:31" ht="14.25" hidden="1" customHeight="1">
      <c r="A871" s="277" t="s">
        <v>7523</v>
      </c>
      <c r="B871" s="9" t="s">
        <v>21</v>
      </c>
      <c r="C871" s="9">
        <v>2025</v>
      </c>
      <c r="D871" s="9" t="s">
        <v>27</v>
      </c>
      <c r="E871" s="90" t="s">
        <v>23</v>
      </c>
      <c r="F871" s="9" t="s">
        <v>7</v>
      </c>
      <c r="G871" s="10"/>
      <c r="H871" s="96">
        <v>250541</v>
      </c>
      <c r="I871" s="109" t="s">
        <v>457</v>
      </c>
      <c r="J871" s="115">
        <v>45799</v>
      </c>
      <c r="K871" s="115">
        <v>45818</v>
      </c>
      <c r="L871" s="116">
        <v>470640</v>
      </c>
      <c r="M871" s="117" t="s">
        <v>486</v>
      </c>
      <c r="N871" s="34" t="s">
        <v>29</v>
      </c>
      <c r="O871" s="10"/>
      <c r="P871" s="113">
        <v>45979</v>
      </c>
      <c r="Q871" s="113">
        <v>45979</v>
      </c>
      <c r="R871" s="113">
        <v>45979</v>
      </c>
      <c r="S871" s="37">
        <f t="shared" si="181"/>
        <v>470640</v>
      </c>
      <c r="T871" s="37">
        <f t="shared" si="182"/>
        <v>0</v>
      </c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</row>
    <row r="872" spans="1:31" ht="14.25" hidden="1" customHeight="1">
      <c r="A872" s="277" t="s">
        <v>7524</v>
      </c>
      <c r="B872" s="9" t="s">
        <v>21</v>
      </c>
      <c r="C872" s="9">
        <v>2025</v>
      </c>
      <c r="D872" s="9" t="s">
        <v>27</v>
      </c>
      <c r="E872" s="90" t="s">
        <v>23</v>
      </c>
      <c r="F872" s="9" t="s">
        <v>7</v>
      </c>
      <c r="G872" s="10"/>
      <c r="H872" s="96">
        <v>250555</v>
      </c>
      <c r="I872" s="109" t="s">
        <v>457</v>
      </c>
      <c r="J872" s="115">
        <v>45805</v>
      </c>
      <c r="K872" s="115">
        <v>45818</v>
      </c>
      <c r="L872" s="116">
        <v>4900650</v>
      </c>
      <c r="M872" s="117" t="s">
        <v>487</v>
      </c>
      <c r="N872" s="34" t="s">
        <v>29</v>
      </c>
      <c r="O872" s="10"/>
      <c r="P872" s="113">
        <v>45979</v>
      </c>
      <c r="Q872" s="113">
        <v>45979</v>
      </c>
      <c r="R872" s="113">
        <v>45979</v>
      </c>
      <c r="S872" s="37">
        <f t="shared" si="181"/>
        <v>4900650</v>
      </c>
      <c r="T872" s="37">
        <f t="shared" si="182"/>
        <v>0</v>
      </c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</row>
    <row r="873" spans="1:31" ht="14.25" hidden="1" customHeight="1">
      <c r="A873" s="277" t="s">
        <v>7525</v>
      </c>
      <c r="B873" s="9" t="s">
        <v>21</v>
      </c>
      <c r="C873" s="9">
        <v>2025</v>
      </c>
      <c r="D873" s="9" t="s">
        <v>27</v>
      </c>
      <c r="E873" s="90" t="s">
        <v>23</v>
      </c>
      <c r="F873" s="9" t="s">
        <v>7</v>
      </c>
      <c r="G873" s="10"/>
      <c r="H873" s="96">
        <v>250586</v>
      </c>
      <c r="I873" s="109" t="s">
        <v>457</v>
      </c>
      <c r="J873" s="115">
        <v>45815</v>
      </c>
      <c r="K873" s="115">
        <v>45853</v>
      </c>
      <c r="L873" s="116">
        <v>721500</v>
      </c>
      <c r="M873" s="117" t="s">
        <v>488</v>
      </c>
      <c r="N873" s="34" t="s">
        <v>29</v>
      </c>
      <c r="O873" s="10"/>
      <c r="P873" s="113">
        <v>45979</v>
      </c>
      <c r="Q873" s="113">
        <v>45979</v>
      </c>
      <c r="R873" s="113">
        <v>45979</v>
      </c>
      <c r="S873" s="37">
        <f t="shared" si="181"/>
        <v>721500</v>
      </c>
      <c r="T873" s="37">
        <f t="shared" si="182"/>
        <v>0</v>
      </c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</row>
    <row r="874" spans="1:31" ht="14.25" hidden="1" customHeight="1">
      <c r="A874" s="277" t="s">
        <v>7526</v>
      </c>
      <c r="B874" s="9" t="s">
        <v>21</v>
      </c>
      <c r="C874" s="9">
        <v>2025</v>
      </c>
      <c r="D874" s="9" t="s">
        <v>27</v>
      </c>
      <c r="E874" s="90" t="s">
        <v>23</v>
      </c>
      <c r="F874" s="9" t="s">
        <v>7</v>
      </c>
      <c r="G874" s="10"/>
      <c r="H874" s="96">
        <v>250599</v>
      </c>
      <c r="I874" s="109" t="s">
        <v>457</v>
      </c>
      <c r="J874" s="115">
        <v>45820</v>
      </c>
      <c r="K874" s="115">
        <v>45853</v>
      </c>
      <c r="L874" s="116">
        <v>3846372</v>
      </c>
      <c r="M874" s="117" t="s">
        <v>489</v>
      </c>
      <c r="N874" s="34" t="s">
        <v>29</v>
      </c>
      <c r="O874" s="10"/>
      <c r="P874" s="113">
        <v>45979</v>
      </c>
      <c r="Q874" s="113">
        <v>45979</v>
      </c>
      <c r="R874" s="113">
        <v>45979</v>
      </c>
      <c r="S874" s="37">
        <f t="shared" si="181"/>
        <v>3846372</v>
      </c>
      <c r="T874" s="37">
        <f t="shared" si="182"/>
        <v>0</v>
      </c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</row>
    <row r="875" spans="1:31" ht="14.25" hidden="1" customHeight="1">
      <c r="A875" s="277" t="s">
        <v>7527</v>
      </c>
      <c r="B875" s="9" t="s">
        <v>21</v>
      </c>
      <c r="C875" s="9">
        <v>2025</v>
      </c>
      <c r="D875" s="9" t="s">
        <v>27</v>
      </c>
      <c r="E875" s="90" t="s">
        <v>23</v>
      </c>
      <c r="F875" s="9" t="s">
        <v>7</v>
      </c>
      <c r="G875" s="10"/>
      <c r="H875" s="96">
        <v>250598</v>
      </c>
      <c r="I875" s="109" t="s">
        <v>457</v>
      </c>
      <c r="J875" s="115">
        <v>45820</v>
      </c>
      <c r="K875" s="115">
        <v>45853</v>
      </c>
      <c r="L875" s="116">
        <v>164502</v>
      </c>
      <c r="M875" s="117" t="s">
        <v>490</v>
      </c>
      <c r="N875" s="34" t="s">
        <v>29</v>
      </c>
      <c r="O875" s="10"/>
      <c r="P875" s="113">
        <v>45979</v>
      </c>
      <c r="Q875" s="113">
        <v>45979</v>
      </c>
      <c r="R875" s="113">
        <v>45979</v>
      </c>
      <c r="S875" s="37">
        <f t="shared" si="181"/>
        <v>164502</v>
      </c>
      <c r="T875" s="37">
        <f t="shared" si="182"/>
        <v>0</v>
      </c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</row>
    <row r="876" spans="1:31" ht="14.25" hidden="1" customHeight="1">
      <c r="A876" s="277" t="s">
        <v>7528</v>
      </c>
      <c r="B876" s="9" t="s">
        <v>21</v>
      </c>
      <c r="C876" s="9">
        <v>2025</v>
      </c>
      <c r="D876" s="9" t="s">
        <v>27</v>
      </c>
      <c r="E876" s="90" t="s">
        <v>23</v>
      </c>
      <c r="F876" s="9" t="s">
        <v>7</v>
      </c>
      <c r="G876" s="10"/>
      <c r="H876" s="96">
        <v>250601</v>
      </c>
      <c r="I876" s="109" t="s">
        <v>457</v>
      </c>
      <c r="J876" s="115">
        <v>45822</v>
      </c>
      <c r="K876" s="115">
        <v>45853</v>
      </c>
      <c r="L876" s="116">
        <v>3119100</v>
      </c>
      <c r="M876" s="117" t="s">
        <v>491</v>
      </c>
      <c r="N876" s="34" t="s">
        <v>29</v>
      </c>
      <c r="O876" s="10"/>
      <c r="P876" s="113">
        <v>45979</v>
      </c>
      <c r="Q876" s="113">
        <v>45979</v>
      </c>
      <c r="R876" s="113">
        <v>45979</v>
      </c>
      <c r="S876" s="37">
        <f t="shared" si="181"/>
        <v>3119100</v>
      </c>
      <c r="T876" s="37">
        <f t="shared" si="182"/>
        <v>0</v>
      </c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</row>
    <row r="877" spans="1:31" ht="14.25" hidden="1" customHeight="1">
      <c r="A877" s="277" t="s">
        <v>7529</v>
      </c>
      <c r="B877" s="9" t="s">
        <v>21</v>
      </c>
      <c r="C877" s="9">
        <v>2025</v>
      </c>
      <c r="D877" s="9" t="s">
        <v>27</v>
      </c>
      <c r="E877" s="90" t="s">
        <v>23</v>
      </c>
      <c r="F877" s="9" t="s">
        <v>7</v>
      </c>
      <c r="G877" s="10"/>
      <c r="H877" s="96">
        <v>250604</v>
      </c>
      <c r="I877" s="109" t="s">
        <v>457</v>
      </c>
      <c r="J877" s="115">
        <v>45824</v>
      </c>
      <c r="K877" s="115">
        <v>45853</v>
      </c>
      <c r="L877" s="116">
        <v>632700</v>
      </c>
      <c r="M877" s="117" t="s">
        <v>492</v>
      </c>
      <c r="N877" s="34" t="s">
        <v>29</v>
      </c>
      <c r="O877" s="10"/>
      <c r="P877" s="113">
        <v>45979</v>
      </c>
      <c r="Q877" s="113">
        <v>45979</v>
      </c>
      <c r="R877" s="113">
        <v>45979</v>
      </c>
      <c r="S877" s="37">
        <f t="shared" si="181"/>
        <v>632700</v>
      </c>
      <c r="T877" s="37">
        <f t="shared" si="182"/>
        <v>0</v>
      </c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</row>
    <row r="878" spans="1:31" ht="14.25" hidden="1" customHeight="1">
      <c r="A878" s="277" t="s">
        <v>7530</v>
      </c>
      <c r="B878" s="9" t="s">
        <v>21</v>
      </c>
      <c r="C878" s="9">
        <v>2025</v>
      </c>
      <c r="D878" s="9" t="s">
        <v>27</v>
      </c>
      <c r="E878" s="90" t="s">
        <v>23</v>
      </c>
      <c r="F878" s="9" t="s">
        <v>7</v>
      </c>
      <c r="G878" s="10"/>
      <c r="H878" s="96">
        <v>250603</v>
      </c>
      <c r="I878" s="109" t="s">
        <v>457</v>
      </c>
      <c r="J878" s="115">
        <v>45826</v>
      </c>
      <c r="K878" s="115">
        <v>45853</v>
      </c>
      <c r="L878" s="116">
        <v>1188144</v>
      </c>
      <c r="M878" s="117" t="s">
        <v>493</v>
      </c>
      <c r="N878" s="34" t="s">
        <v>29</v>
      </c>
      <c r="O878" s="10"/>
      <c r="P878" s="113">
        <v>45979</v>
      </c>
      <c r="Q878" s="113">
        <v>45979</v>
      </c>
      <c r="R878" s="113">
        <v>45979</v>
      </c>
      <c r="S878" s="37">
        <f t="shared" si="181"/>
        <v>1188144</v>
      </c>
      <c r="T878" s="37">
        <f t="shared" si="182"/>
        <v>0</v>
      </c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</row>
    <row r="879" spans="1:31" ht="14.25" hidden="1" customHeight="1">
      <c r="A879" s="277" t="s">
        <v>7531</v>
      </c>
      <c r="B879" s="9" t="s">
        <v>21</v>
      </c>
      <c r="C879" s="9">
        <v>2025</v>
      </c>
      <c r="D879" s="9" t="s">
        <v>27</v>
      </c>
      <c r="E879" s="90" t="s">
        <v>23</v>
      </c>
      <c r="F879" s="9" t="s">
        <v>7</v>
      </c>
      <c r="G879" s="10"/>
      <c r="H879" s="96">
        <v>250632</v>
      </c>
      <c r="I879" s="109" t="s">
        <v>457</v>
      </c>
      <c r="J879" s="115">
        <v>45836</v>
      </c>
      <c r="K879" s="115">
        <v>45853</v>
      </c>
      <c r="L879" s="116">
        <v>2103450</v>
      </c>
      <c r="M879" s="117" t="s">
        <v>494</v>
      </c>
      <c r="N879" s="34" t="s">
        <v>29</v>
      </c>
      <c r="O879" s="10"/>
      <c r="P879" s="113">
        <v>45979</v>
      </c>
      <c r="Q879" s="113">
        <v>45979</v>
      </c>
      <c r="R879" s="113">
        <v>45979</v>
      </c>
      <c r="S879" s="37">
        <f t="shared" si="181"/>
        <v>2103450</v>
      </c>
      <c r="T879" s="37">
        <f t="shared" si="182"/>
        <v>0</v>
      </c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</row>
    <row r="880" spans="1:31" ht="14.25" hidden="1" customHeight="1">
      <c r="A880" s="277" t="s">
        <v>7532</v>
      </c>
      <c r="B880" s="9" t="s">
        <v>21</v>
      </c>
      <c r="C880" s="9">
        <v>2025</v>
      </c>
      <c r="D880" s="9" t="s">
        <v>27</v>
      </c>
      <c r="E880" s="90" t="s">
        <v>23</v>
      </c>
      <c r="F880" s="9" t="s">
        <v>7</v>
      </c>
      <c r="G880" s="10"/>
      <c r="H880" s="96">
        <v>250656</v>
      </c>
      <c r="I880" s="109" t="s">
        <v>457</v>
      </c>
      <c r="J880" s="115">
        <v>45840</v>
      </c>
      <c r="K880" s="115">
        <v>45881</v>
      </c>
      <c r="L880" s="116">
        <v>1355310</v>
      </c>
      <c r="M880" s="117" t="s">
        <v>495</v>
      </c>
      <c r="N880" s="34" t="s">
        <v>29</v>
      </c>
      <c r="O880" s="27">
        <f>SUM(L880:L891)</f>
        <v>27911838</v>
      </c>
      <c r="P880" s="113">
        <v>46158</v>
      </c>
      <c r="Q880" s="113">
        <v>46158</v>
      </c>
      <c r="R880" s="113">
        <v>46158</v>
      </c>
      <c r="S880" s="37">
        <f t="shared" si="181"/>
        <v>1355310</v>
      </c>
      <c r="T880" s="37">
        <f t="shared" si="182"/>
        <v>0</v>
      </c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</row>
    <row r="881" spans="1:31" ht="14.25" hidden="1" customHeight="1">
      <c r="A881" s="277" t="s">
        <v>7533</v>
      </c>
      <c r="B881" s="9" t="s">
        <v>21</v>
      </c>
      <c r="C881" s="9">
        <v>2025</v>
      </c>
      <c r="D881" s="9" t="s">
        <v>27</v>
      </c>
      <c r="E881" s="90" t="s">
        <v>23</v>
      </c>
      <c r="F881" s="9" t="s">
        <v>7</v>
      </c>
      <c r="G881" s="10"/>
      <c r="H881" s="96">
        <v>250655</v>
      </c>
      <c r="I881" s="109" t="s">
        <v>457</v>
      </c>
      <c r="J881" s="115">
        <v>45840</v>
      </c>
      <c r="K881" s="115">
        <v>45881</v>
      </c>
      <c r="L881" s="116">
        <v>470640</v>
      </c>
      <c r="M881" s="117" t="s">
        <v>496</v>
      </c>
      <c r="N881" s="34" t="s">
        <v>29</v>
      </c>
      <c r="O881" s="10"/>
      <c r="P881" s="113">
        <v>46158</v>
      </c>
      <c r="Q881" s="113">
        <v>46158</v>
      </c>
      <c r="R881" s="113">
        <v>46158</v>
      </c>
      <c r="S881" s="37">
        <f t="shared" si="181"/>
        <v>470640</v>
      </c>
      <c r="T881" s="37">
        <f t="shared" si="182"/>
        <v>0</v>
      </c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</row>
    <row r="882" spans="1:31" ht="14.25" hidden="1" customHeight="1">
      <c r="A882" s="277" t="s">
        <v>7534</v>
      </c>
      <c r="B882" s="9" t="s">
        <v>21</v>
      </c>
      <c r="C882" s="9">
        <v>2025</v>
      </c>
      <c r="D882" s="9" t="s">
        <v>27</v>
      </c>
      <c r="E882" s="90" t="s">
        <v>23</v>
      </c>
      <c r="F882" s="9" t="s">
        <v>7</v>
      </c>
      <c r="G882" s="10"/>
      <c r="H882" s="96">
        <v>250657</v>
      </c>
      <c r="I882" s="109" t="s">
        <v>457</v>
      </c>
      <c r="J882" s="115">
        <v>45845</v>
      </c>
      <c r="K882" s="115">
        <v>45881</v>
      </c>
      <c r="L882" s="116">
        <v>902652</v>
      </c>
      <c r="M882" s="117" t="s">
        <v>497</v>
      </c>
      <c r="N882" s="34" t="s">
        <v>29</v>
      </c>
      <c r="O882" s="10"/>
      <c r="P882" s="113">
        <v>46158</v>
      </c>
      <c r="Q882" s="113">
        <v>46158</v>
      </c>
      <c r="R882" s="113">
        <v>46158</v>
      </c>
      <c r="S882" s="37">
        <f t="shared" si="181"/>
        <v>902652</v>
      </c>
      <c r="T882" s="37">
        <f t="shared" si="182"/>
        <v>0</v>
      </c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</row>
    <row r="883" spans="1:31" ht="14.25" hidden="1" customHeight="1">
      <c r="A883" s="277" t="s">
        <v>7535</v>
      </c>
      <c r="B883" s="9" t="s">
        <v>21</v>
      </c>
      <c r="C883" s="9">
        <v>2025</v>
      </c>
      <c r="D883" s="9" t="s">
        <v>27</v>
      </c>
      <c r="E883" s="90" t="s">
        <v>23</v>
      </c>
      <c r="F883" s="9" t="s">
        <v>7</v>
      </c>
      <c r="G883" s="10"/>
      <c r="H883" s="96">
        <v>250667</v>
      </c>
      <c r="I883" s="109" t="s">
        <v>457</v>
      </c>
      <c r="J883" s="115">
        <v>45847</v>
      </c>
      <c r="K883" s="115">
        <v>45881</v>
      </c>
      <c r="L883" s="116">
        <v>1352979</v>
      </c>
      <c r="M883" s="117" t="s">
        <v>498</v>
      </c>
      <c r="N883" s="34" t="s">
        <v>29</v>
      </c>
      <c r="O883" s="10"/>
      <c r="P883" s="113">
        <v>46158</v>
      </c>
      <c r="Q883" s="113">
        <v>46158</v>
      </c>
      <c r="R883" s="113">
        <v>46158</v>
      </c>
      <c r="S883" s="37">
        <f t="shared" si="181"/>
        <v>1352979</v>
      </c>
      <c r="T883" s="37">
        <f t="shared" si="182"/>
        <v>0</v>
      </c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</row>
    <row r="884" spans="1:31" ht="14.25" hidden="1" customHeight="1">
      <c r="A884" s="277" t="s">
        <v>7536</v>
      </c>
      <c r="B884" s="9" t="s">
        <v>21</v>
      </c>
      <c r="C884" s="9">
        <v>2025</v>
      </c>
      <c r="D884" s="9" t="s">
        <v>27</v>
      </c>
      <c r="E884" s="90" t="s">
        <v>23</v>
      </c>
      <c r="F884" s="9" t="s">
        <v>7</v>
      </c>
      <c r="G884" s="10"/>
      <c r="H884" s="96">
        <v>250666</v>
      </c>
      <c r="I884" s="109" t="s">
        <v>457</v>
      </c>
      <c r="J884" s="115">
        <v>45848</v>
      </c>
      <c r="K884" s="115">
        <v>45881</v>
      </c>
      <c r="L884" s="116">
        <v>1776000</v>
      </c>
      <c r="M884" s="117" t="s">
        <v>499</v>
      </c>
      <c r="N884" s="34" t="s">
        <v>29</v>
      </c>
      <c r="O884" s="10"/>
      <c r="P884" s="113">
        <v>46158</v>
      </c>
      <c r="Q884" s="113">
        <v>46158</v>
      </c>
      <c r="R884" s="113">
        <v>46158</v>
      </c>
      <c r="S884" s="37">
        <f t="shared" si="181"/>
        <v>1776000</v>
      </c>
      <c r="T884" s="37">
        <f t="shared" si="182"/>
        <v>0</v>
      </c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</row>
    <row r="885" spans="1:31" ht="14.25" hidden="1" customHeight="1">
      <c r="A885" s="277" t="s">
        <v>7537</v>
      </c>
      <c r="B885" s="9" t="s">
        <v>21</v>
      </c>
      <c r="C885" s="9">
        <v>2025</v>
      </c>
      <c r="D885" s="9" t="s">
        <v>27</v>
      </c>
      <c r="E885" s="90" t="s">
        <v>23</v>
      </c>
      <c r="F885" s="9" t="s">
        <v>7</v>
      </c>
      <c r="G885" s="10"/>
      <c r="H885" s="96">
        <v>250696</v>
      </c>
      <c r="I885" s="109" t="s">
        <v>457</v>
      </c>
      <c r="J885" s="115">
        <v>45854</v>
      </c>
      <c r="K885" s="115">
        <v>45881</v>
      </c>
      <c r="L885" s="116">
        <v>7632360</v>
      </c>
      <c r="M885" s="117" t="s">
        <v>500</v>
      </c>
      <c r="N885" s="34" t="s">
        <v>29</v>
      </c>
      <c r="O885" s="10"/>
      <c r="P885" s="113">
        <v>46158</v>
      </c>
      <c r="Q885" s="113">
        <v>46158</v>
      </c>
      <c r="R885" s="113">
        <v>46158</v>
      </c>
      <c r="S885" s="37">
        <f t="shared" si="181"/>
        <v>7632360</v>
      </c>
      <c r="T885" s="37">
        <f t="shared" si="182"/>
        <v>0</v>
      </c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</row>
    <row r="886" spans="1:31" hidden="1">
      <c r="A886" s="277" t="s">
        <v>7538</v>
      </c>
      <c r="B886" s="9" t="s">
        <v>21</v>
      </c>
      <c r="C886" s="9">
        <v>2025</v>
      </c>
      <c r="D886" s="9" t="s">
        <v>27</v>
      </c>
      <c r="E886" s="90" t="s">
        <v>23</v>
      </c>
      <c r="F886" s="9" t="s">
        <v>7</v>
      </c>
      <c r="G886" s="10"/>
      <c r="H886" s="96">
        <v>250701</v>
      </c>
      <c r="I886" s="109" t="s">
        <v>457</v>
      </c>
      <c r="J886" s="115">
        <v>45856</v>
      </c>
      <c r="K886" s="115">
        <v>45881</v>
      </c>
      <c r="L886" s="116">
        <v>2344320</v>
      </c>
      <c r="M886" s="117" t="s">
        <v>501</v>
      </c>
      <c r="N886" s="34" t="s">
        <v>29</v>
      </c>
      <c r="O886" s="10"/>
      <c r="P886" s="113">
        <v>46158</v>
      </c>
      <c r="Q886" s="113">
        <v>46158</v>
      </c>
      <c r="R886" s="113">
        <v>46158</v>
      </c>
      <c r="S886" s="37">
        <f t="shared" si="181"/>
        <v>2344320</v>
      </c>
      <c r="T886" s="37">
        <f t="shared" si="182"/>
        <v>0</v>
      </c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</row>
    <row r="887" spans="1:31" hidden="1">
      <c r="A887" s="277" t="s">
        <v>7539</v>
      </c>
      <c r="B887" s="9" t="s">
        <v>21</v>
      </c>
      <c r="C887" s="9">
        <v>2025</v>
      </c>
      <c r="D887" s="9" t="s">
        <v>27</v>
      </c>
      <c r="E887" s="90" t="s">
        <v>23</v>
      </c>
      <c r="F887" s="9" t="s">
        <v>7</v>
      </c>
      <c r="G887" s="10"/>
      <c r="H887" s="96">
        <v>250758</v>
      </c>
      <c r="I887" s="109" t="s">
        <v>457</v>
      </c>
      <c r="J887" s="115">
        <v>45869</v>
      </c>
      <c r="K887" s="115">
        <v>45881</v>
      </c>
      <c r="L887" s="116">
        <v>2624706</v>
      </c>
      <c r="M887" s="117" t="s">
        <v>502</v>
      </c>
      <c r="N887" s="34" t="s">
        <v>29</v>
      </c>
      <c r="O887" s="10"/>
      <c r="P887" s="113">
        <v>46158</v>
      </c>
      <c r="Q887" s="113">
        <v>46158</v>
      </c>
      <c r="R887" s="113">
        <v>46158</v>
      </c>
      <c r="S887" s="37">
        <f t="shared" si="181"/>
        <v>2624706</v>
      </c>
      <c r="T887" s="37">
        <f t="shared" si="182"/>
        <v>0</v>
      </c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</row>
    <row r="888" spans="1:31" hidden="1">
      <c r="A888" s="277" t="s">
        <v>7540</v>
      </c>
      <c r="B888" s="9" t="s">
        <v>21</v>
      </c>
      <c r="C888" s="9">
        <v>2025</v>
      </c>
      <c r="D888" s="9" t="s">
        <v>27</v>
      </c>
      <c r="E888" s="90" t="s">
        <v>23</v>
      </c>
      <c r="F888" s="9" t="s">
        <v>7</v>
      </c>
      <c r="G888" s="10"/>
      <c r="H888" s="96">
        <v>250786</v>
      </c>
      <c r="I888" s="109" t="s">
        <v>457</v>
      </c>
      <c r="J888" s="115">
        <v>45873</v>
      </c>
      <c r="K888" s="115">
        <v>45916</v>
      </c>
      <c r="L888" s="116">
        <v>2125872</v>
      </c>
      <c r="M888" s="117" t="s">
        <v>503</v>
      </c>
      <c r="N888" s="34" t="s">
        <v>29</v>
      </c>
      <c r="O888" s="10"/>
      <c r="P888" s="113">
        <v>46158</v>
      </c>
      <c r="Q888" s="113">
        <v>46158</v>
      </c>
      <c r="R888" s="113">
        <v>46158</v>
      </c>
      <c r="S888" s="37">
        <f t="shared" si="181"/>
        <v>2125872</v>
      </c>
      <c r="T888" s="37">
        <f t="shared" si="182"/>
        <v>0</v>
      </c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</row>
    <row r="889" spans="1:31" hidden="1">
      <c r="A889" s="277" t="s">
        <v>7541</v>
      </c>
      <c r="B889" s="9" t="s">
        <v>21</v>
      </c>
      <c r="C889" s="9">
        <v>2025</v>
      </c>
      <c r="D889" s="9" t="s">
        <v>27</v>
      </c>
      <c r="E889" s="90" t="s">
        <v>23</v>
      </c>
      <c r="F889" s="9" t="s">
        <v>7</v>
      </c>
      <c r="G889" s="10"/>
      <c r="H889" s="96">
        <v>250802</v>
      </c>
      <c r="I889" s="109" t="s">
        <v>457</v>
      </c>
      <c r="J889" s="115">
        <v>45878</v>
      </c>
      <c r="K889" s="115">
        <v>45916</v>
      </c>
      <c r="L889" s="116">
        <v>1633920</v>
      </c>
      <c r="M889" s="117" t="s">
        <v>504</v>
      </c>
      <c r="N889" s="34" t="s">
        <v>29</v>
      </c>
      <c r="O889" s="27">
        <f>SUM(L889:L900)</f>
        <v>18524346</v>
      </c>
      <c r="P889" s="113">
        <v>46194</v>
      </c>
      <c r="Q889" s="113">
        <v>46194</v>
      </c>
      <c r="R889" s="113">
        <v>46194</v>
      </c>
      <c r="S889" s="37">
        <f t="shared" si="181"/>
        <v>1633920</v>
      </c>
      <c r="T889" s="37">
        <f t="shared" si="182"/>
        <v>0</v>
      </c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</row>
    <row r="890" spans="1:31" hidden="1">
      <c r="A890" s="277" t="s">
        <v>7542</v>
      </c>
      <c r="B890" s="9" t="s">
        <v>21</v>
      </c>
      <c r="C890" s="9">
        <v>2025</v>
      </c>
      <c r="D890" s="9" t="s">
        <v>27</v>
      </c>
      <c r="E890" s="90" t="s">
        <v>23</v>
      </c>
      <c r="F890" s="9" t="s">
        <v>7</v>
      </c>
      <c r="G890" s="10"/>
      <c r="H890" s="96">
        <v>250810</v>
      </c>
      <c r="I890" s="109" t="s">
        <v>457</v>
      </c>
      <c r="J890" s="115">
        <v>45882</v>
      </c>
      <c r="K890" s="115">
        <v>45916</v>
      </c>
      <c r="L890" s="116">
        <v>560772</v>
      </c>
      <c r="M890" s="117" t="s">
        <v>505</v>
      </c>
      <c r="N890" s="34" t="s">
        <v>29</v>
      </c>
      <c r="O890" s="10"/>
      <c r="P890" s="113">
        <v>46194</v>
      </c>
      <c r="Q890" s="113">
        <v>46194</v>
      </c>
      <c r="R890" s="113">
        <v>46194</v>
      </c>
      <c r="S890" s="37">
        <f t="shared" si="181"/>
        <v>560772</v>
      </c>
      <c r="T890" s="37">
        <f t="shared" si="182"/>
        <v>0</v>
      </c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</row>
    <row r="891" spans="1:31" hidden="1">
      <c r="A891" s="277" t="s">
        <v>5285</v>
      </c>
      <c r="B891" s="9" t="s">
        <v>21</v>
      </c>
      <c r="C891" s="9">
        <v>2025</v>
      </c>
      <c r="D891" s="9" t="s">
        <v>27</v>
      </c>
      <c r="E891" s="90" t="s">
        <v>23</v>
      </c>
      <c r="F891" s="9" t="s">
        <v>7</v>
      </c>
      <c r="G891" s="10"/>
      <c r="H891" s="96">
        <v>250868</v>
      </c>
      <c r="I891" s="109" t="s">
        <v>457</v>
      </c>
      <c r="J891" s="115">
        <v>45899</v>
      </c>
      <c r="K891" s="115">
        <v>45916</v>
      </c>
      <c r="L891" s="116">
        <v>5132307</v>
      </c>
      <c r="M891" s="117" t="s">
        <v>506</v>
      </c>
      <c r="N891" s="34" t="s">
        <v>29</v>
      </c>
      <c r="O891" s="10"/>
      <c r="P891" s="113">
        <v>46194</v>
      </c>
      <c r="Q891" s="113">
        <v>46194</v>
      </c>
      <c r="R891" s="113">
        <v>46194</v>
      </c>
      <c r="S891" s="37">
        <f t="shared" si="181"/>
        <v>5132307</v>
      </c>
      <c r="T891" s="37">
        <f t="shared" si="182"/>
        <v>0</v>
      </c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</row>
    <row r="892" spans="1:31" hidden="1">
      <c r="A892" s="277" t="s">
        <v>5286</v>
      </c>
      <c r="B892" s="9" t="s">
        <v>21</v>
      </c>
      <c r="C892" s="9">
        <v>2025</v>
      </c>
      <c r="D892" s="9" t="s">
        <v>27</v>
      </c>
      <c r="E892" s="90" t="s">
        <v>23</v>
      </c>
      <c r="F892" s="9" t="s">
        <v>7</v>
      </c>
      <c r="G892" s="10"/>
      <c r="H892" s="96">
        <v>250905</v>
      </c>
      <c r="I892" s="109" t="s">
        <v>457</v>
      </c>
      <c r="J892" s="115">
        <v>45903</v>
      </c>
      <c r="K892" s="115">
        <v>45937</v>
      </c>
      <c r="L892" s="116">
        <v>1077033</v>
      </c>
      <c r="M892" s="117" t="s">
        <v>3730</v>
      </c>
      <c r="N892" s="34" t="s">
        <v>29</v>
      </c>
      <c r="O892" s="10"/>
      <c r="P892" s="113">
        <v>46194</v>
      </c>
      <c r="Q892" s="113">
        <v>46194</v>
      </c>
      <c r="R892" s="113">
        <v>46194</v>
      </c>
      <c r="S892" s="37">
        <f>IF(R892="",0,L892)</f>
        <v>1077033</v>
      </c>
      <c r="T892" s="37">
        <f>L892-S892</f>
        <v>0</v>
      </c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</row>
    <row r="893" spans="1:31" hidden="1">
      <c r="A893" s="277" t="s">
        <v>5287</v>
      </c>
      <c r="B893" s="9" t="s">
        <v>21</v>
      </c>
      <c r="C893" s="9">
        <v>2025</v>
      </c>
      <c r="D893" s="9" t="s">
        <v>27</v>
      </c>
      <c r="E893" s="90" t="s">
        <v>23</v>
      </c>
      <c r="F893" s="9" t="s">
        <v>7</v>
      </c>
      <c r="G893" s="10"/>
      <c r="H893" s="96">
        <v>250915</v>
      </c>
      <c r="I893" s="109" t="s">
        <v>457</v>
      </c>
      <c r="J893" s="115">
        <v>45909</v>
      </c>
      <c r="K893" s="115">
        <v>45937</v>
      </c>
      <c r="L893" s="116">
        <v>854700</v>
      </c>
      <c r="M893" s="117" t="s">
        <v>3731</v>
      </c>
      <c r="N893" s="34" t="s">
        <v>29</v>
      </c>
      <c r="O893" s="10"/>
      <c r="P893" s="113">
        <v>46194</v>
      </c>
      <c r="Q893" s="113">
        <v>46194</v>
      </c>
      <c r="R893" s="113">
        <v>46194</v>
      </c>
      <c r="S893" s="37">
        <f>IF(R893="",0,L893)</f>
        <v>854700</v>
      </c>
      <c r="T893" s="37">
        <f>L893-S893</f>
        <v>0</v>
      </c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</row>
    <row r="894" spans="1:31" hidden="1">
      <c r="A894" s="277" t="s">
        <v>5288</v>
      </c>
      <c r="B894" s="9" t="s">
        <v>21</v>
      </c>
      <c r="C894" s="9">
        <v>2025</v>
      </c>
      <c r="D894" s="9" t="s">
        <v>27</v>
      </c>
      <c r="E894" s="90" t="s">
        <v>23</v>
      </c>
      <c r="F894" s="9" t="s">
        <v>7</v>
      </c>
      <c r="G894" s="10"/>
      <c r="H894" s="96">
        <v>250928</v>
      </c>
      <c r="I894" s="109" t="s">
        <v>457</v>
      </c>
      <c r="J894" s="115">
        <v>45913</v>
      </c>
      <c r="K894" s="115">
        <v>45937</v>
      </c>
      <c r="L894" s="116">
        <v>494505</v>
      </c>
      <c r="M894" s="117" t="s">
        <v>3732</v>
      </c>
      <c r="N894" s="34" t="s">
        <v>29</v>
      </c>
      <c r="O894" s="10"/>
      <c r="P894" s="113">
        <v>46194</v>
      </c>
      <c r="Q894" s="113">
        <v>46194</v>
      </c>
      <c r="R894" s="113">
        <v>46194</v>
      </c>
      <c r="S894" s="37">
        <f>IF(R894="",0,L894)</f>
        <v>494505</v>
      </c>
      <c r="T894" s="37">
        <f>L894-S894</f>
        <v>0</v>
      </c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</row>
    <row r="895" spans="1:31" hidden="1">
      <c r="A895" s="277" t="s">
        <v>5289</v>
      </c>
      <c r="B895" s="9" t="s">
        <v>21</v>
      </c>
      <c r="C895" s="9">
        <v>2025</v>
      </c>
      <c r="D895" s="9" t="s">
        <v>27</v>
      </c>
      <c r="E895" s="90" t="s">
        <v>23</v>
      </c>
      <c r="F895" s="9" t="s">
        <v>7</v>
      </c>
      <c r="G895" s="10"/>
      <c r="H895" s="96">
        <v>250940</v>
      </c>
      <c r="I895" s="109" t="s">
        <v>457</v>
      </c>
      <c r="J895" s="115">
        <v>45917</v>
      </c>
      <c r="K895" s="115">
        <v>45937</v>
      </c>
      <c r="L895" s="116">
        <v>2550558</v>
      </c>
      <c r="M895" s="117" t="s">
        <v>3733</v>
      </c>
      <c r="N895" s="34" t="s">
        <v>29</v>
      </c>
      <c r="O895" s="10"/>
      <c r="P895" s="113">
        <v>46194</v>
      </c>
      <c r="Q895" s="113">
        <v>46194</v>
      </c>
      <c r="R895" s="113">
        <v>46194</v>
      </c>
      <c r="S895" s="37">
        <f>IF(R895="",0,L895)</f>
        <v>2550558</v>
      </c>
      <c r="T895" s="37">
        <f>L895-S895</f>
        <v>0</v>
      </c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</row>
    <row r="896" spans="1:31" hidden="1">
      <c r="A896" s="277" t="s">
        <v>5290</v>
      </c>
      <c r="B896" s="9" t="s">
        <v>21</v>
      </c>
      <c r="C896" s="9">
        <v>2025</v>
      </c>
      <c r="D896" s="9" t="s">
        <v>27</v>
      </c>
      <c r="E896" s="90" t="s">
        <v>23</v>
      </c>
      <c r="F896" s="9" t="s">
        <v>7</v>
      </c>
      <c r="G896" s="10"/>
      <c r="H896" s="96">
        <v>251087</v>
      </c>
      <c r="I896" s="109" t="s">
        <v>457</v>
      </c>
      <c r="J896" s="115">
        <v>45952</v>
      </c>
      <c r="K896" s="115">
        <v>45972</v>
      </c>
      <c r="L896" s="116">
        <v>3071925</v>
      </c>
      <c r="M896" s="117" t="s">
        <v>3957</v>
      </c>
      <c r="N896" s="34" t="s">
        <v>29</v>
      </c>
      <c r="O896" s="10"/>
      <c r="P896" s="113">
        <v>46194</v>
      </c>
      <c r="Q896" s="113">
        <v>46194</v>
      </c>
      <c r="R896" s="113">
        <v>46194</v>
      </c>
      <c r="S896" s="37">
        <f t="shared" ref="S896:S901" si="183">IF(R896="",0,L896)</f>
        <v>3071925</v>
      </c>
      <c r="T896" s="37">
        <f t="shared" ref="T896:T901" si="184">L896-S896</f>
        <v>0</v>
      </c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</row>
    <row r="897" spans="1:31" ht="14.25" customHeight="1">
      <c r="A897" s="277" t="s">
        <v>5291</v>
      </c>
      <c r="B897" s="9" t="s">
        <v>21</v>
      </c>
      <c r="C897" s="9">
        <v>2025</v>
      </c>
      <c r="D897" s="9" t="s">
        <v>27</v>
      </c>
      <c r="E897" s="90" t="s">
        <v>23</v>
      </c>
      <c r="F897" s="9" t="s">
        <v>7</v>
      </c>
      <c r="G897" s="10"/>
      <c r="H897" s="96">
        <v>251094</v>
      </c>
      <c r="I897" s="109" t="s">
        <v>457</v>
      </c>
      <c r="J897" s="115">
        <v>45955</v>
      </c>
      <c r="K897" s="115">
        <v>45972</v>
      </c>
      <c r="L897" s="116">
        <v>546120</v>
      </c>
      <c r="M897" s="117" t="s">
        <v>3958</v>
      </c>
      <c r="N897" s="34" t="s">
        <v>29</v>
      </c>
      <c r="O897" s="10"/>
      <c r="P897" s="113">
        <v>46194</v>
      </c>
      <c r="Q897" s="113">
        <v>46194</v>
      </c>
      <c r="R897" s="113">
        <v>46194</v>
      </c>
      <c r="S897" s="37">
        <f t="shared" si="183"/>
        <v>546120</v>
      </c>
      <c r="T897" s="37">
        <f t="shared" si="184"/>
        <v>0</v>
      </c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</row>
    <row r="898" spans="1:31" ht="14.25" customHeight="1">
      <c r="A898" s="277" t="s">
        <v>5292</v>
      </c>
      <c r="B898" s="9" t="s">
        <v>21</v>
      </c>
      <c r="C898" s="9">
        <v>2025</v>
      </c>
      <c r="D898" s="9" t="s">
        <v>77</v>
      </c>
      <c r="E898" s="90" t="s">
        <v>23</v>
      </c>
      <c r="F898" s="9" t="s">
        <v>7</v>
      </c>
      <c r="G898" s="10"/>
      <c r="H898" s="9">
        <v>251108</v>
      </c>
      <c r="I898" s="11" t="s">
        <v>457</v>
      </c>
      <c r="J898" s="12">
        <v>45960</v>
      </c>
      <c r="K898" s="12">
        <v>45972</v>
      </c>
      <c r="L898" s="27">
        <v>1484958</v>
      </c>
      <c r="M898" s="10" t="s">
        <v>3959</v>
      </c>
      <c r="N898" s="34">
        <f t="shared" ref="N898:N901" ca="1" si="185">$J$3-J898</f>
        <v>280.46377638888953</v>
      </c>
      <c r="O898" s="10"/>
      <c r="P898" s="39"/>
      <c r="Q898" s="39"/>
      <c r="R898" s="39"/>
      <c r="S898" s="37">
        <f t="shared" si="183"/>
        <v>0</v>
      </c>
      <c r="T898" s="37">
        <f t="shared" si="184"/>
        <v>1484958</v>
      </c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</row>
    <row r="899" spans="1:31" ht="14.25" customHeight="1">
      <c r="A899" s="277" t="s">
        <v>5293</v>
      </c>
      <c r="B899" s="9" t="s">
        <v>21</v>
      </c>
      <c r="C899" s="9">
        <v>2025</v>
      </c>
      <c r="D899" s="9" t="s">
        <v>77</v>
      </c>
      <c r="E899" s="90" t="s">
        <v>23</v>
      </c>
      <c r="F899" s="9" t="s">
        <v>7</v>
      </c>
      <c r="G899" s="10"/>
      <c r="H899" s="9">
        <v>251190</v>
      </c>
      <c r="I899" s="11" t="s">
        <v>457</v>
      </c>
      <c r="J899" s="12">
        <v>45981</v>
      </c>
      <c r="K899" s="12">
        <v>46000</v>
      </c>
      <c r="L899" s="27">
        <v>805305</v>
      </c>
      <c r="M899" s="10" t="s">
        <v>4069</v>
      </c>
      <c r="N899" s="34">
        <f t="shared" ca="1" si="185"/>
        <v>259.46377638888953</v>
      </c>
      <c r="O899" s="10"/>
      <c r="P899" s="39"/>
      <c r="Q899" s="39"/>
      <c r="R899" s="39"/>
      <c r="S899" s="37">
        <f t="shared" si="183"/>
        <v>0</v>
      </c>
      <c r="T899" s="37">
        <f t="shared" si="184"/>
        <v>805305</v>
      </c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</row>
    <row r="900" spans="1:31" ht="14.25" customHeight="1">
      <c r="A900" s="277" t="s">
        <v>5294</v>
      </c>
      <c r="B900" s="9" t="s">
        <v>21</v>
      </c>
      <c r="C900" s="9">
        <v>2025</v>
      </c>
      <c r="D900" s="9" t="s">
        <v>77</v>
      </c>
      <c r="E900" s="90" t="s">
        <v>23</v>
      </c>
      <c r="F900" s="9" t="s">
        <v>7</v>
      </c>
      <c r="G900" s="10"/>
      <c r="H900" s="9">
        <v>251192</v>
      </c>
      <c r="I900" s="11" t="s">
        <v>457</v>
      </c>
      <c r="J900" s="12">
        <v>45982</v>
      </c>
      <c r="K900" s="12">
        <v>46000</v>
      </c>
      <c r="L900" s="27">
        <v>312243</v>
      </c>
      <c r="M900" s="10" t="s">
        <v>4070</v>
      </c>
      <c r="N900" s="34">
        <f t="shared" ca="1" si="185"/>
        <v>258.46377638888953</v>
      </c>
      <c r="O900" s="10"/>
      <c r="P900" s="39"/>
      <c r="Q900" s="39"/>
      <c r="R900" s="39"/>
      <c r="S900" s="37">
        <f t="shared" si="183"/>
        <v>0</v>
      </c>
      <c r="T900" s="37">
        <f t="shared" si="184"/>
        <v>312243</v>
      </c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</row>
    <row r="901" spans="1:31" ht="14.25" customHeight="1">
      <c r="A901" s="277" t="s">
        <v>5295</v>
      </c>
      <c r="B901" s="9" t="s">
        <v>21</v>
      </c>
      <c r="C901" s="9">
        <v>2025</v>
      </c>
      <c r="D901" s="9" t="s">
        <v>77</v>
      </c>
      <c r="E901" s="90" t="s">
        <v>23</v>
      </c>
      <c r="F901" s="9" t="s">
        <v>7</v>
      </c>
      <c r="G901" s="10"/>
      <c r="H901" s="9">
        <v>251210</v>
      </c>
      <c r="I901" s="11" t="s">
        <v>457</v>
      </c>
      <c r="J901" s="12">
        <v>45990</v>
      </c>
      <c r="K901" s="12">
        <v>46000</v>
      </c>
      <c r="L901" s="27">
        <v>2705958</v>
      </c>
      <c r="M901" s="10" t="s">
        <v>4071</v>
      </c>
      <c r="N901" s="34">
        <f t="shared" ca="1" si="185"/>
        <v>250.46377638888953</v>
      </c>
      <c r="O901" s="10"/>
      <c r="P901" s="39"/>
      <c r="Q901" s="39"/>
      <c r="R901" s="39"/>
      <c r="S901" s="37">
        <f t="shared" si="183"/>
        <v>0</v>
      </c>
      <c r="T901" s="37">
        <f t="shared" si="184"/>
        <v>2705958</v>
      </c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</row>
    <row r="902" spans="1:31" ht="14.25" customHeight="1">
      <c r="A902" s="277" t="s">
        <v>5296</v>
      </c>
      <c r="B902" s="9" t="s">
        <v>21</v>
      </c>
      <c r="C902" s="9">
        <v>2025</v>
      </c>
      <c r="D902" s="9" t="s">
        <v>77</v>
      </c>
      <c r="E902" s="90" t="s">
        <v>23</v>
      </c>
      <c r="F902" s="9" t="s">
        <v>7</v>
      </c>
      <c r="G902" s="10"/>
      <c r="H902" s="9">
        <v>251242</v>
      </c>
      <c r="I902" s="11" t="s">
        <v>457</v>
      </c>
      <c r="J902" s="12">
        <v>45996</v>
      </c>
      <c r="K902" s="12">
        <v>46028</v>
      </c>
      <c r="L902" s="27">
        <v>744921</v>
      </c>
      <c r="M902" s="10" t="s">
        <v>4189</v>
      </c>
      <c r="N902" s="34">
        <f t="shared" ref="N902:N915" ca="1" si="186">$J$3-J902</f>
        <v>244.46377638888953</v>
      </c>
      <c r="O902" s="10"/>
      <c r="P902" s="39"/>
      <c r="Q902" s="39"/>
      <c r="R902" s="39"/>
      <c r="S902" s="37">
        <f t="shared" ref="S902:S915" si="187">IF(R902="",0,L902)</f>
        <v>0</v>
      </c>
      <c r="T902" s="37">
        <f t="shared" ref="T902:T915" si="188">L902-S902</f>
        <v>744921</v>
      </c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</row>
    <row r="903" spans="1:31" ht="14.25" customHeight="1">
      <c r="A903" s="277" t="s">
        <v>5297</v>
      </c>
      <c r="B903" s="9" t="s">
        <v>21</v>
      </c>
      <c r="C903" s="9">
        <v>2025</v>
      </c>
      <c r="D903" s="9" t="s">
        <v>77</v>
      </c>
      <c r="E903" s="90" t="s">
        <v>23</v>
      </c>
      <c r="F903" s="9" t="s">
        <v>7</v>
      </c>
      <c r="G903" s="10"/>
      <c r="H903" s="9">
        <v>251237</v>
      </c>
      <c r="I903" s="11" t="s">
        <v>457</v>
      </c>
      <c r="J903" s="12">
        <v>45996</v>
      </c>
      <c r="K903" s="12">
        <v>46028</v>
      </c>
      <c r="L903" s="27">
        <v>399045</v>
      </c>
      <c r="M903" s="10" t="s">
        <v>4190</v>
      </c>
      <c r="N903" s="34">
        <f t="shared" ca="1" si="186"/>
        <v>244.46377638888953</v>
      </c>
      <c r="O903" s="10"/>
      <c r="P903" s="39"/>
      <c r="Q903" s="39"/>
      <c r="R903" s="39"/>
      <c r="S903" s="37">
        <f t="shared" si="187"/>
        <v>0</v>
      </c>
      <c r="T903" s="37">
        <f t="shared" si="188"/>
        <v>399045</v>
      </c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</row>
    <row r="904" spans="1:31" ht="14.25" customHeight="1">
      <c r="A904" s="277" t="s">
        <v>5298</v>
      </c>
      <c r="B904" s="9" t="s">
        <v>21</v>
      </c>
      <c r="C904" s="9">
        <v>2025</v>
      </c>
      <c r="D904" s="9" t="s">
        <v>77</v>
      </c>
      <c r="E904" s="90" t="s">
        <v>23</v>
      </c>
      <c r="F904" s="9" t="s">
        <v>7</v>
      </c>
      <c r="G904" s="10"/>
      <c r="H904" s="9">
        <v>251254</v>
      </c>
      <c r="I904" s="11" t="s">
        <v>457</v>
      </c>
      <c r="J904" s="12">
        <v>46000</v>
      </c>
      <c r="K904" s="12">
        <v>46028</v>
      </c>
      <c r="L904" s="27">
        <v>1663335</v>
      </c>
      <c r="M904" s="10" t="s">
        <v>4191</v>
      </c>
      <c r="N904" s="34">
        <f t="shared" ca="1" si="186"/>
        <v>240.46377638888953</v>
      </c>
      <c r="O904" s="10"/>
      <c r="P904" s="39"/>
      <c r="Q904" s="39"/>
      <c r="R904" s="39"/>
      <c r="S904" s="37">
        <f t="shared" si="187"/>
        <v>0</v>
      </c>
      <c r="T904" s="37">
        <f t="shared" si="188"/>
        <v>1663335</v>
      </c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</row>
    <row r="905" spans="1:31" ht="14.25" customHeight="1">
      <c r="A905" s="277" t="s">
        <v>5299</v>
      </c>
      <c r="B905" s="9" t="s">
        <v>21</v>
      </c>
      <c r="C905" s="9">
        <v>2025</v>
      </c>
      <c r="D905" s="9" t="s">
        <v>77</v>
      </c>
      <c r="E905" s="90" t="s">
        <v>23</v>
      </c>
      <c r="F905" s="9" t="s">
        <v>7</v>
      </c>
      <c r="G905" s="10"/>
      <c r="H905" s="9">
        <v>251288</v>
      </c>
      <c r="I905" s="11" t="s">
        <v>457</v>
      </c>
      <c r="J905" s="12">
        <v>46014</v>
      </c>
      <c r="K905" s="12">
        <v>46028</v>
      </c>
      <c r="L905" s="27">
        <v>5341320</v>
      </c>
      <c r="M905" s="10" t="s">
        <v>4192</v>
      </c>
      <c r="N905" s="34">
        <f t="shared" ca="1" si="186"/>
        <v>226.46377638888953</v>
      </c>
      <c r="O905" s="10"/>
      <c r="P905" s="39"/>
      <c r="Q905" s="39"/>
      <c r="R905" s="39"/>
      <c r="S905" s="37">
        <f t="shared" si="187"/>
        <v>0</v>
      </c>
      <c r="T905" s="37">
        <f t="shared" si="188"/>
        <v>5341320</v>
      </c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</row>
    <row r="906" spans="1:31" ht="14.25" customHeight="1">
      <c r="A906" s="277" t="s">
        <v>5300</v>
      </c>
      <c r="B906" s="9" t="s">
        <v>21</v>
      </c>
      <c r="C906" s="9">
        <v>2025</v>
      </c>
      <c r="D906" s="9" t="s">
        <v>77</v>
      </c>
      <c r="E906" s="90" t="s">
        <v>23</v>
      </c>
      <c r="F906" s="9" t="s">
        <v>7</v>
      </c>
      <c r="G906" s="10"/>
      <c r="H906" s="9">
        <v>251305</v>
      </c>
      <c r="I906" s="11" t="s">
        <v>457</v>
      </c>
      <c r="J906" s="12">
        <v>46020</v>
      </c>
      <c r="K906" s="12">
        <v>46028</v>
      </c>
      <c r="L906" s="27">
        <v>211677</v>
      </c>
      <c r="M906" s="10" t="s">
        <v>4193</v>
      </c>
      <c r="N906" s="34">
        <f t="shared" ca="1" si="186"/>
        <v>220.46377638888953</v>
      </c>
      <c r="O906" s="10"/>
      <c r="P906" s="39"/>
      <c r="Q906" s="39"/>
      <c r="R906" s="39"/>
      <c r="S906" s="37">
        <f t="shared" si="187"/>
        <v>0</v>
      </c>
      <c r="T906" s="37">
        <f t="shared" si="188"/>
        <v>211677</v>
      </c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</row>
    <row r="907" spans="1:31" ht="14.25" customHeight="1">
      <c r="A907" s="277" t="s">
        <v>5301</v>
      </c>
      <c r="B907" s="9" t="s">
        <v>21</v>
      </c>
      <c r="C907" s="9">
        <v>2026</v>
      </c>
      <c r="D907" s="9" t="s">
        <v>77</v>
      </c>
      <c r="E907" s="90" t="s">
        <v>23</v>
      </c>
      <c r="F907" s="9" t="s">
        <v>7</v>
      </c>
      <c r="G907" s="10"/>
      <c r="H907" s="9">
        <v>260012</v>
      </c>
      <c r="I907" s="11" t="s">
        <v>457</v>
      </c>
      <c r="J907" s="12">
        <v>46034</v>
      </c>
      <c r="K907" s="12">
        <v>46063</v>
      </c>
      <c r="L907" s="27">
        <v>720834</v>
      </c>
      <c r="M907" s="10" t="s">
        <v>4315</v>
      </c>
      <c r="N907" s="34">
        <f t="shared" ca="1" si="186"/>
        <v>206.46377638888953</v>
      </c>
      <c r="O907" s="10"/>
      <c r="P907" s="39"/>
      <c r="Q907" s="39"/>
      <c r="R907" s="39"/>
      <c r="S907" s="37">
        <f t="shared" si="187"/>
        <v>0</v>
      </c>
      <c r="T907" s="37">
        <f t="shared" si="188"/>
        <v>720834</v>
      </c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</row>
    <row r="908" spans="1:31" ht="14.25" customHeight="1">
      <c r="A908" s="277" t="s">
        <v>5302</v>
      </c>
      <c r="B908" s="9" t="s">
        <v>21</v>
      </c>
      <c r="C908" s="9">
        <v>2026</v>
      </c>
      <c r="D908" s="9" t="s">
        <v>77</v>
      </c>
      <c r="E908" s="90" t="s">
        <v>23</v>
      </c>
      <c r="F908" s="9" t="s">
        <v>7</v>
      </c>
      <c r="G908" s="10"/>
      <c r="H908" s="9">
        <v>260297</v>
      </c>
      <c r="I908" s="11" t="s">
        <v>457</v>
      </c>
      <c r="J908" s="12">
        <v>46161</v>
      </c>
      <c r="K908" s="12">
        <v>46198</v>
      </c>
      <c r="L908" s="27">
        <v>7764672</v>
      </c>
      <c r="M908" s="10" t="s">
        <v>7169</v>
      </c>
      <c r="N908" s="34">
        <f t="shared" ca="1" si="186"/>
        <v>79.463776388889528</v>
      </c>
      <c r="O908" s="10"/>
      <c r="P908" s="39"/>
      <c r="Q908" s="39"/>
      <c r="R908" s="39"/>
      <c r="S908" s="37">
        <f t="shared" si="187"/>
        <v>0</v>
      </c>
      <c r="T908" s="37">
        <f t="shared" si="188"/>
        <v>7764672</v>
      </c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</row>
    <row r="909" spans="1:31" ht="14.25" customHeight="1">
      <c r="A909" s="277" t="s">
        <v>5303</v>
      </c>
      <c r="B909" s="9" t="s">
        <v>21</v>
      </c>
      <c r="C909" s="9">
        <v>2026</v>
      </c>
      <c r="D909" s="9" t="s">
        <v>77</v>
      </c>
      <c r="E909" s="90" t="s">
        <v>23</v>
      </c>
      <c r="F909" s="9" t="s">
        <v>7</v>
      </c>
      <c r="G909" s="10"/>
      <c r="H909" s="9">
        <v>260335</v>
      </c>
      <c r="I909" s="11" t="s">
        <v>457</v>
      </c>
      <c r="J909" s="12">
        <v>46181</v>
      </c>
      <c r="K909" s="12">
        <v>46198</v>
      </c>
      <c r="L909" s="27">
        <v>2777997</v>
      </c>
      <c r="M909" s="10" t="s">
        <v>7170</v>
      </c>
      <c r="N909" s="34">
        <f t="shared" ca="1" si="186"/>
        <v>59.463776388889528</v>
      </c>
      <c r="O909" s="10"/>
      <c r="P909" s="39"/>
      <c r="Q909" s="39"/>
      <c r="R909" s="39"/>
      <c r="S909" s="37">
        <f t="shared" si="187"/>
        <v>0</v>
      </c>
      <c r="T909" s="37">
        <f t="shared" si="188"/>
        <v>2777997</v>
      </c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</row>
    <row r="910" spans="1:31" ht="14.25" customHeight="1">
      <c r="A910" s="277" t="s">
        <v>5304</v>
      </c>
      <c r="B910" s="9" t="s">
        <v>21</v>
      </c>
      <c r="C910" s="9">
        <v>2026</v>
      </c>
      <c r="D910" s="9" t="s">
        <v>77</v>
      </c>
      <c r="E910" s="90" t="s">
        <v>23</v>
      </c>
      <c r="F910" s="9" t="s">
        <v>7</v>
      </c>
      <c r="G910" s="10"/>
      <c r="H910" s="9">
        <v>260337</v>
      </c>
      <c r="I910" s="11" t="s">
        <v>457</v>
      </c>
      <c r="J910" s="12">
        <v>46182</v>
      </c>
      <c r="K910" s="12">
        <v>46198</v>
      </c>
      <c r="L910" s="27">
        <v>1110000</v>
      </c>
      <c r="M910" s="10" t="s">
        <v>7171</v>
      </c>
      <c r="N910" s="34">
        <f t="shared" ca="1" si="186"/>
        <v>58.463776388889528</v>
      </c>
      <c r="O910" s="10"/>
      <c r="P910" s="39"/>
      <c r="Q910" s="39"/>
      <c r="R910" s="39"/>
      <c r="S910" s="37">
        <f t="shared" si="187"/>
        <v>0</v>
      </c>
      <c r="T910" s="37">
        <f t="shared" si="188"/>
        <v>1110000</v>
      </c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</row>
    <row r="911" spans="1:31" ht="14.25" customHeight="1">
      <c r="A911" s="277" t="s">
        <v>5305</v>
      </c>
      <c r="B911" s="9" t="s">
        <v>21</v>
      </c>
      <c r="C911" s="9">
        <v>2026</v>
      </c>
      <c r="D911" s="9" t="s">
        <v>77</v>
      </c>
      <c r="E911" s="90" t="s">
        <v>23</v>
      </c>
      <c r="F911" s="9" t="s">
        <v>7</v>
      </c>
      <c r="G911" s="10"/>
      <c r="H911" s="9">
        <v>260358</v>
      </c>
      <c r="I911" s="11" t="s">
        <v>457</v>
      </c>
      <c r="J911" s="12">
        <v>46188</v>
      </c>
      <c r="K911" s="12">
        <v>46217</v>
      </c>
      <c r="L911" s="27">
        <v>966255</v>
      </c>
      <c r="M911" s="10" t="s">
        <v>7385</v>
      </c>
      <c r="N911" s="34">
        <f t="shared" ca="1" si="186"/>
        <v>52.463776388889528</v>
      </c>
      <c r="O911" s="10"/>
      <c r="P911" s="39"/>
      <c r="Q911" s="39"/>
      <c r="R911" s="39"/>
      <c r="S911" s="37">
        <f t="shared" si="187"/>
        <v>0</v>
      </c>
      <c r="T911" s="37">
        <f t="shared" si="188"/>
        <v>966255</v>
      </c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</row>
    <row r="912" spans="1:31" ht="14.25" customHeight="1">
      <c r="A912" s="277" t="s">
        <v>5306</v>
      </c>
      <c r="B912" s="9" t="s">
        <v>21</v>
      </c>
      <c r="C912" s="9">
        <v>2026</v>
      </c>
      <c r="D912" s="9" t="s">
        <v>77</v>
      </c>
      <c r="E912" s="90" t="s">
        <v>23</v>
      </c>
      <c r="F912" s="9" t="s">
        <v>7</v>
      </c>
      <c r="G912" s="10"/>
      <c r="H912" s="9">
        <v>260386</v>
      </c>
      <c r="I912" s="11" t="s">
        <v>457</v>
      </c>
      <c r="J912" s="12">
        <v>46195</v>
      </c>
      <c r="K912" s="12">
        <v>46217</v>
      </c>
      <c r="L912" s="27">
        <v>3543675</v>
      </c>
      <c r="M912" s="10" t="s">
        <v>7386</v>
      </c>
      <c r="N912" s="34">
        <f t="shared" ca="1" si="186"/>
        <v>45.463776388889528</v>
      </c>
      <c r="O912" s="10"/>
      <c r="P912" s="39"/>
      <c r="Q912" s="39"/>
      <c r="R912" s="39"/>
      <c r="S912" s="37">
        <f t="shared" si="187"/>
        <v>0</v>
      </c>
      <c r="T912" s="37">
        <f t="shared" si="188"/>
        <v>3543675</v>
      </c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</row>
    <row r="913" spans="1:31" ht="14.25" customHeight="1">
      <c r="A913" s="277" t="s">
        <v>5307</v>
      </c>
      <c r="B913" s="9" t="s">
        <v>21</v>
      </c>
      <c r="C913" s="9">
        <v>2026</v>
      </c>
      <c r="D913" s="9" t="s">
        <v>77</v>
      </c>
      <c r="E913" s="90" t="s">
        <v>23</v>
      </c>
      <c r="F913" s="9" t="s">
        <v>7</v>
      </c>
      <c r="G913" s="10"/>
      <c r="H913" s="9">
        <v>260388</v>
      </c>
      <c r="I913" s="11" t="s">
        <v>457</v>
      </c>
      <c r="J913" s="12">
        <v>46196</v>
      </c>
      <c r="K913" s="12">
        <v>46217</v>
      </c>
      <c r="L913" s="27">
        <v>300033</v>
      </c>
      <c r="M913" s="10" t="s">
        <v>7387</v>
      </c>
      <c r="N913" s="34">
        <f t="shared" ca="1" si="186"/>
        <v>44.463776388889528</v>
      </c>
      <c r="O913" s="10"/>
      <c r="P913" s="39"/>
      <c r="Q913" s="39"/>
      <c r="R913" s="39"/>
      <c r="S913" s="37">
        <f t="shared" si="187"/>
        <v>0</v>
      </c>
      <c r="T913" s="37">
        <f t="shared" si="188"/>
        <v>300033</v>
      </c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</row>
    <row r="914" spans="1:31" ht="14.25" customHeight="1">
      <c r="A914" s="277" t="s">
        <v>5308</v>
      </c>
      <c r="B914" s="9" t="s">
        <v>21</v>
      </c>
      <c r="C914" s="9">
        <v>2026</v>
      </c>
      <c r="D914" s="9" t="s">
        <v>77</v>
      </c>
      <c r="E914" s="90" t="s">
        <v>23</v>
      </c>
      <c r="F914" s="9" t="s">
        <v>7</v>
      </c>
      <c r="G914" s="10"/>
      <c r="H914" s="9">
        <v>260401</v>
      </c>
      <c r="I914" s="11" t="s">
        <v>457</v>
      </c>
      <c r="J914" s="12">
        <v>46199</v>
      </c>
      <c r="K914" s="12">
        <v>46217</v>
      </c>
      <c r="L914" s="27">
        <v>854700</v>
      </c>
      <c r="M914" s="10" t="s">
        <v>7388</v>
      </c>
      <c r="N914" s="34">
        <f t="shared" ca="1" si="186"/>
        <v>41.463776388889528</v>
      </c>
      <c r="O914" s="10"/>
      <c r="P914" s="39"/>
      <c r="Q914" s="39"/>
      <c r="R914" s="39"/>
      <c r="S914" s="37">
        <f t="shared" si="187"/>
        <v>0</v>
      </c>
      <c r="T914" s="37">
        <f t="shared" si="188"/>
        <v>854700</v>
      </c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</row>
    <row r="915" spans="1:31" ht="14.25" customHeight="1">
      <c r="A915" s="277" t="s">
        <v>5309</v>
      </c>
      <c r="B915" s="9" t="s">
        <v>21</v>
      </c>
      <c r="C915" s="9">
        <v>2026</v>
      </c>
      <c r="D915" s="9" t="s">
        <v>77</v>
      </c>
      <c r="E915" s="90" t="s">
        <v>23</v>
      </c>
      <c r="F915" s="9" t="s">
        <v>7</v>
      </c>
      <c r="G915" s="10"/>
      <c r="H915" s="9">
        <v>260414</v>
      </c>
      <c r="I915" s="11" t="s">
        <v>457</v>
      </c>
      <c r="J915" s="12">
        <v>46202</v>
      </c>
      <c r="K915" s="12">
        <v>46217</v>
      </c>
      <c r="L915" s="27">
        <v>785547</v>
      </c>
      <c r="M915" s="10" t="s">
        <v>7389</v>
      </c>
      <c r="N915" s="34">
        <f t="shared" ca="1" si="186"/>
        <v>38.463776388889528</v>
      </c>
      <c r="O915" s="10"/>
      <c r="P915" s="39"/>
      <c r="Q915" s="39"/>
      <c r="R915" s="39"/>
      <c r="S915" s="37">
        <f t="shared" si="187"/>
        <v>0</v>
      </c>
      <c r="T915" s="37">
        <f t="shared" si="188"/>
        <v>785547</v>
      </c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</row>
    <row r="916" spans="1:31" ht="14.25" customHeight="1">
      <c r="A916" s="277" t="s">
        <v>5310</v>
      </c>
      <c r="B916" s="9" t="s">
        <v>21</v>
      </c>
      <c r="C916" s="9"/>
      <c r="D916" s="9"/>
      <c r="E916" s="90"/>
      <c r="F916" s="9"/>
      <c r="G916" s="10"/>
      <c r="H916" s="9"/>
      <c r="I916" s="11"/>
      <c r="J916" s="12"/>
      <c r="K916" s="12"/>
      <c r="L916" s="27"/>
      <c r="M916" s="10"/>
      <c r="N916" s="114">
        <f ca="1">$J$3-J916</f>
        <v>46240.46377638889</v>
      </c>
      <c r="O916" s="10"/>
      <c r="P916" s="39"/>
      <c r="Q916" s="39"/>
      <c r="R916" s="39"/>
      <c r="S916" s="37">
        <f>IF(R916="",0,L916)</f>
        <v>0</v>
      </c>
      <c r="T916" s="37">
        <f>L916-S916</f>
        <v>0</v>
      </c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</row>
    <row r="917" spans="1:31" ht="14.25" customHeight="1">
      <c r="A917" s="277" t="s">
        <v>5311</v>
      </c>
      <c r="B917" s="9" t="s">
        <v>21</v>
      </c>
      <c r="C917" s="9"/>
      <c r="D917" s="9"/>
      <c r="E917" s="90"/>
      <c r="F917" s="9"/>
      <c r="G917" s="10"/>
      <c r="H917" s="9"/>
      <c r="I917" s="11"/>
      <c r="J917" s="12"/>
      <c r="K917" s="12"/>
      <c r="L917" s="27"/>
      <c r="M917" s="10"/>
      <c r="N917" s="9"/>
      <c r="O917" s="10"/>
      <c r="P917" s="39"/>
      <c r="Q917" s="39"/>
      <c r="R917" s="39"/>
      <c r="S917" s="37"/>
      <c r="T917" s="37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</row>
    <row r="918" spans="1:31" ht="14.25" customHeight="1">
      <c r="A918" s="277" t="s">
        <v>5312</v>
      </c>
      <c r="B918" s="9" t="s">
        <v>21</v>
      </c>
      <c r="C918" s="9"/>
      <c r="D918" s="9"/>
      <c r="E918" s="90"/>
      <c r="F918" s="9"/>
      <c r="G918" s="94" t="s">
        <v>24</v>
      </c>
      <c r="H918" s="95" t="s">
        <v>507</v>
      </c>
      <c r="I918" s="104"/>
      <c r="J918" s="105"/>
      <c r="K918" s="105"/>
      <c r="L918" s="106">
        <f>SUM(L919:L921)</f>
        <v>4517700</v>
      </c>
      <c r="M918" s="107"/>
      <c r="N918" s="108" t="s">
        <v>26</v>
      </c>
      <c r="O918" s="108"/>
      <c r="P918" s="108"/>
      <c r="Q918" s="108"/>
      <c r="R918" s="108"/>
      <c r="S918" s="106">
        <f>SUM(S919:S921)</f>
        <v>1794870</v>
      </c>
      <c r="T918" s="106">
        <f>SUM(T919:T921)</f>
        <v>2722830</v>
      </c>
      <c r="U918" s="10"/>
      <c r="V918" s="52">
        <f>L918-S918</f>
        <v>2722830</v>
      </c>
      <c r="W918" s="52">
        <f>T918-V918</f>
        <v>0</v>
      </c>
      <c r="X918" s="10"/>
      <c r="Y918" s="10"/>
      <c r="Z918" s="10"/>
      <c r="AA918" s="10"/>
      <c r="AB918" s="10"/>
      <c r="AC918" s="10"/>
      <c r="AD918" s="10"/>
      <c r="AE918" s="10"/>
    </row>
    <row r="919" spans="1:31" ht="14.25" customHeight="1">
      <c r="A919" s="277" t="s">
        <v>5313</v>
      </c>
      <c r="B919" s="9" t="s">
        <v>21</v>
      </c>
      <c r="C919" s="9">
        <v>2025</v>
      </c>
      <c r="D919" s="9" t="s">
        <v>27</v>
      </c>
      <c r="E919" s="90" t="s">
        <v>23</v>
      </c>
      <c r="F919" s="9" t="s">
        <v>7</v>
      </c>
      <c r="G919" s="10"/>
      <c r="H919" s="96">
        <v>250570</v>
      </c>
      <c r="I919" s="109" t="s">
        <v>507</v>
      </c>
      <c r="J919" s="115">
        <v>45761</v>
      </c>
      <c r="K919" s="115">
        <v>45805</v>
      </c>
      <c r="L919" s="116">
        <v>1794870</v>
      </c>
      <c r="M919" s="117" t="s">
        <v>508</v>
      </c>
      <c r="N919" s="34" t="s">
        <v>29</v>
      </c>
      <c r="O919" s="27"/>
      <c r="P919" s="113">
        <v>45846</v>
      </c>
      <c r="Q919" s="113">
        <v>45846</v>
      </c>
      <c r="R919" s="113">
        <v>45846</v>
      </c>
      <c r="S919" s="37">
        <f>IF(R919="",0,L919)</f>
        <v>1794870</v>
      </c>
      <c r="T919" s="37">
        <f>L919-S919</f>
        <v>0</v>
      </c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</row>
    <row r="920" spans="1:31" ht="14.25" customHeight="1">
      <c r="A920" s="277" t="s">
        <v>5314</v>
      </c>
      <c r="B920" s="9" t="s">
        <v>21</v>
      </c>
      <c r="C920" s="9">
        <v>2025</v>
      </c>
      <c r="D920" s="9" t="s">
        <v>77</v>
      </c>
      <c r="E920" s="90" t="s">
        <v>23</v>
      </c>
      <c r="F920" s="9" t="s">
        <v>7</v>
      </c>
      <c r="G920" s="10"/>
      <c r="H920" s="9">
        <v>251066</v>
      </c>
      <c r="I920" s="11" t="s">
        <v>507</v>
      </c>
      <c r="J920" s="12">
        <v>45950</v>
      </c>
      <c r="K920" s="12">
        <v>45974</v>
      </c>
      <c r="L920" s="27">
        <v>2722830</v>
      </c>
      <c r="M920" s="10" t="s">
        <v>3984</v>
      </c>
      <c r="N920" s="34">
        <f ca="1">$J$3-J920</f>
        <v>290.46377638888953</v>
      </c>
      <c r="O920" s="27"/>
      <c r="P920" s="39"/>
      <c r="Q920" s="39"/>
      <c r="R920" s="39"/>
      <c r="S920" s="37">
        <f>IF(R920="",0,L920)</f>
        <v>0</v>
      </c>
      <c r="T920" s="37">
        <f>L920-S920</f>
        <v>2722830</v>
      </c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</row>
    <row r="921" spans="1:31" ht="14.25" customHeight="1">
      <c r="A921" s="277" t="s">
        <v>5315</v>
      </c>
      <c r="B921" s="9" t="s">
        <v>21</v>
      </c>
      <c r="C921" s="9"/>
      <c r="D921" s="9"/>
      <c r="E921" s="90"/>
      <c r="F921" s="9"/>
      <c r="G921" s="10"/>
      <c r="H921" s="9"/>
      <c r="I921" s="11"/>
      <c r="J921" s="12"/>
      <c r="K921" s="12"/>
      <c r="L921" s="27"/>
      <c r="M921" s="10"/>
      <c r="N921" s="114">
        <f ca="1">$J$3-J921</f>
        <v>46240.46377638889</v>
      </c>
      <c r="O921" s="10"/>
      <c r="P921" s="39"/>
      <c r="Q921" s="49"/>
      <c r="R921" s="49"/>
      <c r="S921" s="37">
        <f>IF(R921="",0,L921)</f>
        <v>0</v>
      </c>
      <c r="T921" s="37">
        <f>L921-S921</f>
        <v>0</v>
      </c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</row>
    <row r="922" spans="1:31" ht="14.25" customHeight="1">
      <c r="A922" s="277" t="s">
        <v>5316</v>
      </c>
      <c r="B922" s="9" t="s">
        <v>21</v>
      </c>
      <c r="C922" s="9"/>
      <c r="D922" s="9"/>
      <c r="E922" s="90"/>
      <c r="F922" s="9"/>
      <c r="G922" s="10"/>
      <c r="H922" s="9"/>
      <c r="I922" s="11"/>
      <c r="J922" s="12"/>
      <c r="K922" s="12"/>
      <c r="L922" s="27"/>
      <c r="M922" s="10"/>
      <c r="N922" s="9"/>
      <c r="O922" s="10"/>
      <c r="P922" s="39"/>
      <c r="Q922" s="39"/>
      <c r="R922" s="39"/>
      <c r="S922" s="37"/>
      <c r="T922" s="37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</row>
    <row r="923" spans="1:31" ht="14.25" customHeight="1">
      <c r="A923" s="277" t="s">
        <v>5317</v>
      </c>
      <c r="B923" s="9" t="s">
        <v>21</v>
      </c>
      <c r="C923" s="9"/>
      <c r="D923" s="9"/>
      <c r="E923" s="90"/>
      <c r="F923" s="9"/>
      <c r="G923" s="94" t="s">
        <v>24</v>
      </c>
      <c r="H923" s="95" t="s">
        <v>509</v>
      </c>
      <c r="I923" s="104"/>
      <c r="J923" s="105"/>
      <c r="K923" s="105"/>
      <c r="L923" s="106">
        <f>SUM(L924:L925)</f>
        <v>715950</v>
      </c>
      <c r="M923" s="107"/>
      <c r="N923" s="108" t="s">
        <v>26</v>
      </c>
      <c r="O923" s="108"/>
      <c r="P923" s="108"/>
      <c r="Q923" s="108"/>
      <c r="R923" s="108"/>
      <c r="S923" s="106">
        <f>SUM(S924:S925)</f>
        <v>715950</v>
      </c>
      <c r="T923" s="106">
        <f>SUM(T924:T925)</f>
        <v>0</v>
      </c>
      <c r="U923" s="10"/>
      <c r="V923" s="52">
        <f>L923-S923</f>
        <v>0</v>
      </c>
      <c r="W923" s="52">
        <f>T923-V923</f>
        <v>0</v>
      </c>
      <c r="X923" s="10"/>
      <c r="Y923" s="10"/>
      <c r="Z923" s="10"/>
      <c r="AA923" s="10"/>
      <c r="AB923" s="10"/>
      <c r="AC923" s="10"/>
      <c r="AD923" s="10"/>
      <c r="AE923" s="10"/>
    </row>
    <row r="924" spans="1:31" ht="14.25" customHeight="1">
      <c r="A924" s="277" t="s">
        <v>5318</v>
      </c>
      <c r="B924" s="9" t="s">
        <v>21</v>
      </c>
      <c r="C924" s="9">
        <v>2024</v>
      </c>
      <c r="D924" s="9" t="s">
        <v>27</v>
      </c>
      <c r="E924" s="90" t="s">
        <v>23</v>
      </c>
      <c r="F924" s="9" t="s">
        <v>7</v>
      </c>
      <c r="G924" s="10"/>
      <c r="H924" s="96">
        <v>242197</v>
      </c>
      <c r="I924" s="109" t="s">
        <v>509</v>
      </c>
      <c r="J924" s="115">
        <v>45584</v>
      </c>
      <c r="K924" s="115">
        <v>45596</v>
      </c>
      <c r="L924" s="116">
        <v>715950</v>
      </c>
      <c r="M924" s="117" t="s">
        <v>510</v>
      </c>
      <c r="N924" s="34" t="s">
        <v>29</v>
      </c>
      <c r="O924" s="27"/>
      <c r="P924" s="113">
        <v>45721</v>
      </c>
      <c r="Q924" s="113">
        <v>45721</v>
      </c>
      <c r="R924" s="113">
        <v>45721</v>
      </c>
      <c r="S924" s="37">
        <f>IF(R924="",0,L924)</f>
        <v>715950</v>
      </c>
      <c r="T924" s="37">
        <f>L924-S924</f>
        <v>0</v>
      </c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</row>
    <row r="925" spans="1:31" ht="14.25" customHeight="1">
      <c r="A925" s="277" t="s">
        <v>5319</v>
      </c>
      <c r="B925" s="9" t="s">
        <v>21</v>
      </c>
      <c r="C925" s="9"/>
      <c r="D925" s="9"/>
      <c r="E925" s="90"/>
      <c r="F925" s="9"/>
      <c r="G925" s="10"/>
      <c r="H925" s="9"/>
      <c r="I925" s="11"/>
      <c r="J925" s="12"/>
      <c r="K925" s="12"/>
      <c r="L925" s="27"/>
      <c r="M925" s="10"/>
      <c r="N925" s="114">
        <f ca="1">$J$3-J925</f>
        <v>46240.46377638889</v>
      </c>
      <c r="O925" s="10"/>
      <c r="P925" s="39"/>
      <c r="Q925" s="49"/>
      <c r="R925" s="49"/>
      <c r="S925" s="37">
        <f>IF(R925="",0,L925)</f>
        <v>0</v>
      </c>
      <c r="T925" s="37">
        <f>L925-S925</f>
        <v>0</v>
      </c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</row>
    <row r="926" spans="1:31" ht="14.25" customHeight="1">
      <c r="A926" s="277" t="s">
        <v>5320</v>
      </c>
      <c r="B926" s="9" t="s">
        <v>21</v>
      </c>
      <c r="C926" s="9"/>
      <c r="D926" s="9"/>
      <c r="E926" s="90"/>
      <c r="F926" s="9"/>
      <c r="G926" s="10"/>
      <c r="H926" s="9"/>
      <c r="I926" s="11"/>
      <c r="J926" s="12"/>
      <c r="K926" s="12"/>
      <c r="L926" s="27"/>
      <c r="M926" s="10"/>
      <c r="N926" s="9"/>
      <c r="O926" s="10"/>
      <c r="P926" s="39"/>
      <c r="Q926" s="39"/>
      <c r="R926" s="39"/>
      <c r="S926" s="37"/>
      <c r="T926" s="37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</row>
    <row r="927" spans="1:31" ht="14.25" customHeight="1">
      <c r="A927" s="277" t="s">
        <v>5321</v>
      </c>
      <c r="B927" s="9" t="s">
        <v>21</v>
      </c>
      <c r="C927" s="9"/>
      <c r="D927" s="9"/>
      <c r="E927" s="90"/>
      <c r="F927" s="9"/>
      <c r="G927" s="94" t="s">
        <v>24</v>
      </c>
      <c r="H927" s="95" t="s">
        <v>511</v>
      </c>
      <c r="I927" s="104"/>
      <c r="J927" s="105"/>
      <c r="K927" s="105"/>
      <c r="L927" s="106">
        <f>SUM(L928:L942)</f>
        <v>22633869</v>
      </c>
      <c r="M927" s="107"/>
      <c r="N927" s="108" t="s">
        <v>26</v>
      </c>
      <c r="O927" s="108"/>
      <c r="P927" s="108"/>
      <c r="Q927" s="108"/>
      <c r="R927" s="108"/>
      <c r="S927" s="106">
        <f>SUM(S928:S942)</f>
        <v>5151268</v>
      </c>
      <c r="T927" s="106">
        <f>SUM(T928:T942)</f>
        <v>17482601</v>
      </c>
      <c r="U927" s="10"/>
      <c r="V927" s="52">
        <f>L927-S927</f>
        <v>17482601</v>
      </c>
      <c r="W927" s="52">
        <f>T927-V927</f>
        <v>0</v>
      </c>
      <c r="X927" s="10"/>
      <c r="Y927" s="10"/>
      <c r="Z927" s="10"/>
      <c r="AA927" s="10"/>
      <c r="AB927" s="10"/>
      <c r="AC927" s="10"/>
      <c r="AD927" s="10"/>
      <c r="AE927" s="10"/>
    </row>
    <row r="928" spans="1:31" hidden="1">
      <c r="A928" s="277" t="s">
        <v>5322</v>
      </c>
      <c r="B928" s="9" t="s">
        <v>21</v>
      </c>
      <c r="C928" s="9">
        <v>2025</v>
      </c>
      <c r="D928" s="9" t="s">
        <v>27</v>
      </c>
      <c r="E928" s="90" t="s">
        <v>23</v>
      </c>
      <c r="F928" s="9" t="s">
        <v>7</v>
      </c>
      <c r="G928" s="63"/>
      <c r="H928" s="132">
        <v>250047</v>
      </c>
      <c r="I928" s="133" t="s">
        <v>511</v>
      </c>
      <c r="J928" s="134">
        <v>45670</v>
      </c>
      <c r="K928" s="135">
        <v>45708</v>
      </c>
      <c r="L928" s="136">
        <v>558441</v>
      </c>
      <c r="M928" s="137" t="s">
        <v>512</v>
      </c>
      <c r="N928" s="34" t="s">
        <v>29</v>
      </c>
      <c r="O928" s="10"/>
      <c r="P928" s="113">
        <v>45883</v>
      </c>
      <c r="Q928" s="113">
        <v>45883</v>
      </c>
      <c r="R928" s="113">
        <v>45883</v>
      </c>
      <c r="S928" s="37">
        <f t="shared" ref="S928:S930" si="189">IF(R928="",0,L928)</f>
        <v>558441</v>
      </c>
      <c r="T928" s="37">
        <f t="shared" ref="T928:T930" si="190">L928-S928</f>
        <v>0</v>
      </c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</row>
    <row r="929" spans="1:31" hidden="1">
      <c r="A929" s="277" t="s">
        <v>5323</v>
      </c>
      <c r="B929" s="9" t="s">
        <v>21</v>
      </c>
      <c r="C929" s="9">
        <v>2025</v>
      </c>
      <c r="D929" s="9" t="s">
        <v>27</v>
      </c>
      <c r="E929" s="90" t="s">
        <v>23</v>
      </c>
      <c r="F929" s="9" t="s">
        <v>7</v>
      </c>
      <c r="G929" s="63"/>
      <c r="H929" s="132">
        <v>250216</v>
      </c>
      <c r="I929" s="133" t="s">
        <v>511</v>
      </c>
      <c r="J929" s="134">
        <v>45701</v>
      </c>
      <c r="K929" s="135">
        <v>45727</v>
      </c>
      <c r="L929" s="136">
        <v>916333</v>
      </c>
      <c r="M929" s="137" t="s">
        <v>513</v>
      </c>
      <c r="N929" s="34" t="s">
        <v>29</v>
      </c>
      <c r="O929" s="10"/>
      <c r="P929" s="113">
        <v>45883</v>
      </c>
      <c r="Q929" s="113">
        <v>45883</v>
      </c>
      <c r="R929" s="113">
        <v>45883</v>
      </c>
      <c r="S929" s="37">
        <f t="shared" si="189"/>
        <v>916333</v>
      </c>
      <c r="T929" s="37">
        <f t="shared" si="190"/>
        <v>0</v>
      </c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</row>
    <row r="930" spans="1:31" hidden="1">
      <c r="A930" s="277" t="s">
        <v>5324</v>
      </c>
      <c r="B930" s="9" t="s">
        <v>21</v>
      </c>
      <c r="C930" s="9">
        <v>2025</v>
      </c>
      <c r="D930" s="9" t="s">
        <v>27</v>
      </c>
      <c r="E930" s="90" t="s">
        <v>23</v>
      </c>
      <c r="F930" s="9" t="s">
        <v>7</v>
      </c>
      <c r="G930" s="63"/>
      <c r="H930" s="132">
        <v>250329</v>
      </c>
      <c r="I930" s="133" t="s">
        <v>511</v>
      </c>
      <c r="J930" s="134">
        <v>45715</v>
      </c>
      <c r="K930" s="135">
        <v>45738</v>
      </c>
      <c r="L930" s="136">
        <v>2895546</v>
      </c>
      <c r="M930" s="137" t="s">
        <v>514</v>
      </c>
      <c r="N930" s="34" t="s">
        <v>29</v>
      </c>
      <c r="O930" s="10"/>
      <c r="P930" s="113">
        <v>45883</v>
      </c>
      <c r="Q930" s="113">
        <v>45883</v>
      </c>
      <c r="R930" s="113">
        <v>45883</v>
      </c>
      <c r="S930" s="37">
        <f t="shared" si="189"/>
        <v>2895546</v>
      </c>
      <c r="T930" s="37">
        <f t="shared" si="190"/>
        <v>0</v>
      </c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</row>
    <row r="931" spans="1:31" ht="14.25" customHeight="1">
      <c r="A931" s="277" t="s">
        <v>5325</v>
      </c>
      <c r="B931" s="9" t="s">
        <v>21</v>
      </c>
      <c r="C931" s="9">
        <v>2025</v>
      </c>
      <c r="D931" s="9" t="s">
        <v>27</v>
      </c>
      <c r="E931" s="90" t="s">
        <v>23</v>
      </c>
      <c r="F931" s="9" t="s">
        <v>7</v>
      </c>
      <c r="G931" s="63"/>
      <c r="H931" s="132">
        <v>250411</v>
      </c>
      <c r="I931" s="133" t="s">
        <v>511</v>
      </c>
      <c r="J931" s="134">
        <v>45758</v>
      </c>
      <c r="K931" s="135">
        <v>45776</v>
      </c>
      <c r="L931" s="136">
        <v>780948</v>
      </c>
      <c r="M931" s="137" t="s">
        <v>515</v>
      </c>
      <c r="N931" s="34" t="s">
        <v>29</v>
      </c>
      <c r="O931" s="10"/>
      <c r="P931" s="113">
        <v>45883</v>
      </c>
      <c r="Q931" s="113">
        <v>45883</v>
      </c>
      <c r="R931" s="113">
        <v>45883</v>
      </c>
      <c r="S931" s="37">
        <f t="shared" ref="S931:S941" si="191">IF(R931="",0,L931)</f>
        <v>780948</v>
      </c>
      <c r="T931" s="37">
        <f t="shared" ref="T931:T941" si="192">L931-S931</f>
        <v>0</v>
      </c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</row>
    <row r="932" spans="1:31" ht="14.25" customHeight="1">
      <c r="A932" s="277" t="s">
        <v>5326</v>
      </c>
      <c r="B932" s="9" t="s">
        <v>21</v>
      </c>
      <c r="C932" s="9">
        <v>2025</v>
      </c>
      <c r="D932" s="9" t="s">
        <v>77</v>
      </c>
      <c r="E932" s="90" t="s">
        <v>23</v>
      </c>
      <c r="F932" s="9" t="s">
        <v>7</v>
      </c>
      <c r="G932" s="63"/>
      <c r="H932" s="68">
        <v>250816</v>
      </c>
      <c r="I932" s="69" t="s">
        <v>511</v>
      </c>
      <c r="J932" s="70">
        <v>45884</v>
      </c>
      <c r="K932" s="138">
        <v>45902</v>
      </c>
      <c r="L932" s="72">
        <v>2136750</v>
      </c>
      <c r="M932" s="73" t="s">
        <v>516</v>
      </c>
      <c r="N932" s="34">
        <f t="shared" ref="N932:N941" ca="1" si="193">$J$3-J932</f>
        <v>356.46377638888953</v>
      </c>
      <c r="O932" s="27">
        <f>SUM(L932:L936)</f>
        <v>6798990</v>
      </c>
      <c r="P932" s="39"/>
      <c r="Q932" s="39"/>
      <c r="R932" s="39"/>
      <c r="S932" s="37">
        <f t="shared" si="191"/>
        <v>0</v>
      </c>
      <c r="T932" s="37">
        <f t="shared" si="192"/>
        <v>2136750</v>
      </c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</row>
    <row r="933" spans="1:31" ht="14.25" customHeight="1">
      <c r="A933" s="277" t="s">
        <v>5327</v>
      </c>
      <c r="B933" s="9" t="s">
        <v>21</v>
      </c>
      <c r="C933" s="9">
        <v>2025</v>
      </c>
      <c r="D933" s="9" t="s">
        <v>77</v>
      </c>
      <c r="E933" s="90" t="s">
        <v>23</v>
      </c>
      <c r="F933" s="9" t="s">
        <v>7</v>
      </c>
      <c r="G933" s="63"/>
      <c r="H933" s="68">
        <v>251016</v>
      </c>
      <c r="I933" s="69" t="s">
        <v>511</v>
      </c>
      <c r="J933" s="70">
        <v>45931</v>
      </c>
      <c r="K933" s="138">
        <v>45944</v>
      </c>
      <c r="L933" s="72">
        <v>859140</v>
      </c>
      <c r="M933" s="73" t="s">
        <v>3802</v>
      </c>
      <c r="N933" s="34">
        <f t="shared" ca="1" si="193"/>
        <v>309.46377638888953</v>
      </c>
      <c r="O933" s="10"/>
      <c r="P933" s="39"/>
      <c r="Q933" s="39"/>
      <c r="R933" s="39"/>
      <c r="S933" s="37">
        <f t="shared" si="191"/>
        <v>0</v>
      </c>
      <c r="T933" s="37">
        <f t="shared" si="192"/>
        <v>859140</v>
      </c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</row>
    <row r="934" spans="1:31" ht="14.25" customHeight="1">
      <c r="A934" s="277" t="s">
        <v>5328</v>
      </c>
      <c r="B934" s="9" t="s">
        <v>21</v>
      </c>
      <c r="C934" s="9">
        <v>2025</v>
      </c>
      <c r="D934" s="9" t="s">
        <v>77</v>
      </c>
      <c r="E934" s="90" t="s">
        <v>23</v>
      </c>
      <c r="F934" s="9" t="s">
        <v>7</v>
      </c>
      <c r="G934" s="63"/>
      <c r="H934" s="68">
        <v>251029</v>
      </c>
      <c r="I934" s="69" t="s">
        <v>511</v>
      </c>
      <c r="J934" s="70">
        <v>45933</v>
      </c>
      <c r="K934" s="138">
        <v>45944</v>
      </c>
      <c r="L934" s="72">
        <v>2131200</v>
      </c>
      <c r="M934" s="73" t="s">
        <v>3803</v>
      </c>
      <c r="N934" s="34">
        <f t="shared" ca="1" si="193"/>
        <v>307.46377638888953</v>
      </c>
      <c r="O934" s="10"/>
      <c r="P934" s="39"/>
      <c r="Q934" s="39"/>
      <c r="R934" s="39"/>
      <c r="S934" s="37">
        <f t="shared" si="191"/>
        <v>0</v>
      </c>
      <c r="T934" s="37">
        <f t="shared" si="192"/>
        <v>2131200</v>
      </c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</row>
    <row r="935" spans="1:31" ht="14.25" customHeight="1">
      <c r="A935" s="277" t="s">
        <v>5329</v>
      </c>
      <c r="B935" s="9" t="s">
        <v>21</v>
      </c>
      <c r="C935" s="9">
        <v>2025</v>
      </c>
      <c r="D935" s="9" t="s">
        <v>77</v>
      </c>
      <c r="E935" s="90" t="s">
        <v>23</v>
      </c>
      <c r="F935" s="9" t="s">
        <v>7</v>
      </c>
      <c r="G935" s="63"/>
      <c r="H935" s="68">
        <v>251123</v>
      </c>
      <c r="I935" s="69" t="s">
        <v>511</v>
      </c>
      <c r="J935" s="70">
        <v>45960</v>
      </c>
      <c r="K935" s="138">
        <v>45981</v>
      </c>
      <c r="L935" s="72">
        <v>715950</v>
      </c>
      <c r="M935" s="73" t="s">
        <v>4009</v>
      </c>
      <c r="N935" s="34">
        <f t="shared" ca="1" si="193"/>
        <v>280.46377638888953</v>
      </c>
      <c r="O935" s="10"/>
      <c r="P935" s="39"/>
      <c r="Q935" s="39"/>
      <c r="R935" s="39"/>
      <c r="S935" s="37">
        <f t="shared" si="191"/>
        <v>0</v>
      </c>
      <c r="T935" s="37">
        <f t="shared" si="192"/>
        <v>715950</v>
      </c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</row>
    <row r="936" spans="1:31" ht="14.25" customHeight="1">
      <c r="A936" s="277" t="s">
        <v>5330</v>
      </c>
      <c r="B936" s="9" t="s">
        <v>21</v>
      </c>
      <c r="C936" s="9">
        <v>2025</v>
      </c>
      <c r="D936" s="9" t="s">
        <v>77</v>
      </c>
      <c r="E936" s="90" t="s">
        <v>23</v>
      </c>
      <c r="F936" s="9" t="s">
        <v>7</v>
      </c>
      <c r="G936" s="63"/>
      <c r="H936" s="68">
        <v>251271</v>
      </c>
      <c r="I936" s="69" t="s">
        <v>511</v>
      </c>
      <c r="J936" s="70">
        <v>46006</v>
      </c>
      <c r="K936" s="138">
        <v>46021</v>
      </c>
      <c r="L936" s="72">
        <v>955950</v>
      </c>
      <c r="M936" s="73" t="s">
        <v>4138</v>
      </c>
      <c r="N936" s="34">
        <f t="shared" ca="1" si="193"/>
        <v>234.46377638888953</v>
      </c>
      <c r="O936" s="10"/>
      <c r="P936" s="39"/>
      <c r="Q936" s="39"/>
      <c r="R936" s="39"/>
      <c r="S936" s="37">
        <f t="shared" si="191"/>
        <v>0</v>
      </c>
      <c r="T936" s="37">
        <f t="shared" si="192"/>
        <v>955950</v>
      </c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</row>
    <row r="937" spans="1:31" ht="14.25" customHeight="1">
      <c r="A937" s="277" t="s">
        <v>5331</v>
      </c>
      <c r="B937" s="9" t="s">
        <v>21</v>
      </c>
      <c r="C937" s="9">
        <v>2026</v>
      </c>
      <c r="D937" s="9" t="s">
        <v>77</v>
      </c>
      <c r="E937" s="90" t="s">
        <v>23</v>
      </c>
      <c r="F937" s="9" t="s">
        <v>7</v>
      </c>
      <c r="G937" s="63"/>
      <c r="H937" s="68">
        <v>251271</v>
      </c>
      <c r="I937" s="69" t="s">
        <v>511</v>
      </c>
      <c r="J937" s="70">
        <v>46044</v>
      </c>
      <c r="K937" s="138">
        <v>46056</v>
      </c>
      <c r="L937" s="72">
        <v>5890770</v>
      </c>
      <c r="M937" s="73" t="s">
        <v>4303</v>
      </c>
      <c r="N937" s="34">
        <f t="shared" ca="1" si="193"/>
        <v>196.46377638888953</v>
      </c>
      <c r="O937" s="10"/>
      <c r="P937" s="39"/>
      <c r="Q937" s="39"/>
      <c r="R937" s="39"/>
      <c r="S937" s="37">
        <f t="shared" si="191"/>
        <v>0</v>
      </c>
      <c r="T937" s="37">
        <f t="shared" si="192"/>
        <v>5890770</v>
      </c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</row>
    <row r="938" spans="1:31" ht="14.25" customHeight="1">
      <c r="A938" s="277" t="s">
        <v>5332</v>
      </c>
      <c r="B938" s="9" t="s">
        <v>21</v>
      </c>
      <c r="C938" s="9">
        <v>2026</v>
      </c>
      <c r="D938" s="9" t="s">
        <v>77</v>
      </c>
      <c r="E938" s="90" t="s">
        <v>23</v>
      </c>
      <c r="F938" s="9" t="s">
        <v>7</v>
      </c>
      <c r="G938" s="63"/>
      <c r="H938" s="68">
        <v>260164</v>
      </c>
      <c r="I938" s="69" t="s">
        <v>511</v>
      </c>
      <c r="J938" s="70">
        <v>46091</v>
      </c>
      <c r="K938" s="138">
        <v>46112</v>
      </c>
      <c r="L938" s="72">
        <v>859140</v>
      </c>
      <c r="M938" s="73" t="s">
        <v>4480</v>
      </c>
      <c r="N938" s="34">
        <f t="shared" ca="1" si="193"/>
        <v>149.46377638888953</v>
      </c>
      <c r="O938" s="10"/>
      <c r="P938" s="39"/>
      <c r="Q938" s="39"/>
      <c r="R938" s="39"/>
      <c r="S938" s="37">
        <f t="shared" si="191"/>
        <v>0</v>
      </c>
      <c r="T938" s="37">
        <f t="shared" si="192"/>
        <v>859140</v>
      </c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</row>
    <row r="939" spans="1:31" ht="14.25" customHeight="1">
      <c r="A939" s="277" t="s">
        <v>5333</v>
      </c>
      <c r="B939" s="9" t="s">
        <v>21</v>
      </c>
      <c r="C939" s="9">
        <v>2026</v>
      </c>
      <c r="D939" s="9" t="s">
        <v>77</v>
      </c>
      <c r="E939" s="90" t="s">
        <v>23</v>
      </c>
      <c r="F939" s="9" t="s">
        <v>7</v>
      </c>
      <c r="G939" s="63"/>
      <c r="H939" s="68">
        <v>260204</v>
      </c>
      <c r="I939" s="69" t="s">
        <v>511</v>
      </c>
      <c r="J939" s="70">
        <v>46120</v>
      </c>
      <c r="K939" s="138">
        <v>46140</v>
      </c>
      <c r="L939" s="72">
        <v>1404566</v>
      </c>
      <c r="M939" s="73" t="s">
        <v>6978</v>
      </c>
      <c r="N939" s="34">
        <f t="shared" ca="1" si="193"/>
        <v>120.46377638888953</v>
      </c>
      <c r="O939" s="10"/>
      <c r="P939" s="39"/>
      <c r="Q939" s="39"/>
      <c r="R939" s="39"/>
      <c r="S939" s="37">
        <f t="shared" si="191"/>
        <v>0</v>
      </c>
      <c r="T939" s="37">
        <f t="shared" si="192"/>
        <v>1404566</v>
      </c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</row>
    <row r="940" spans="1:31" ht="14.25" customHeight="1">
      <c r="A940" s="277" t="s">
        <v>5334</v>
      </c>
      <c r="B940" s="9" t="s">
        <v>21</v>
      </c>
      <c r="C940" s="9">
        <v>2026</v>
      </c>
      <c r="D940" s="9" t="s">
        <v>77</v>
      </c>
      <c r="E940" s="90" t="s">
        <v>23</v>
      </c>
      <c r="F940" s="9" t="s">
        <v>7</v>
      </c>
      <c r="G940" s="63"/>
      <c r="H940" s="68">
        <v>260430</v>
      </c>
      <c r="I940" s="69" t="s">
        <v>511</v>
      </c>
      <c r="J940" s="70">
        <v>46205</v>
      </c>
      <c r="K940" s="138">
        <v>46226</v>
      </c>
      <c r="L940" s="72">
        <v>619935</v>
      </c>
      <c r="M940" s="73" t="s">
        <v>7419</v>
      </c>
      <c r="N940" s="34">
        <f t="shared" ca="1" si="193"/>
        <v>35.463776388889528</v>
      </c>
      <c r="O940" s="10"/>
      <c r="P940" s="39"/>
      <c r="Q940" s="39"/>
      <c r="R940" s="39"/>
      <c r="S940" s="37">
        <f t="shared" si="191"/>
        <v>0</v>
      </c>
      <c r="T940" s="37">
        <f t="shared" si="192"/>
        <v>619935</v>
      </c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</row>
    <row r="941" spans="1:31" ht="14.25" customHeight="1">
      <c r="A941" s="277" t="s">
        <v>5335</v>
      </c>
      <c r="B941" s="9" t="s">
        <v>21</v>
      </c>
      <c r="C941" s="9">
        <v>2026</v>
      </c>
      <c r="D941" s="9" t="s">
        <v>77</v>
      </c>
      <c r="E941" s="90" t="s">
        <v>23</v>
      </c>
      <c r="F941" s="9" t="s">
        <v>7</v>
      </c>
      <c r="G941" s="63"/>
      <c r="H941" s="68">
        <v>260442</v>
      </c>
      <c r="I941" s="69" t="s">
        <v>511</v>
      </c>
      <c r="J941" s="70">
        <v>46207</v>
      </c>
      <c r="K941" s="138">
        <v>46226</v>
      </c>
      <c r="L941" s="72">
        <v>1909200</v>
      </c>
      <c r="M941" s="73" t="s">
        <v>7420</v>
      </c>
      <c r="N941" s="34">
        <f t="shared" ca="1" si="193"/>
        <v>33.463776388889528</v>
      </c>
      <c r="O941" s="10"/>
      <c r="P941" s="39"/>
      <c r="Q941" s="39"/>
      <c r="R941" s="39"/>
      <c r="S941" s="37">
        <f t="shared" si="191"/>
        <v>0</v>
      </c>
      <c r="T941" s="37">
        <f t="shared" si="192"/>
        <v>1909200</v>
      </c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</row>
    <row r="942" spans="1:31" ht="14.25" customHeight="1">
      <c r="A942" s="277" t="s">
        <v>5336</v>
      </c>
      <c r="B942" s="9" t="s">
        <v>21</v>
      </c>
      <c r="C942" s="9"/>
      <c r="D942" s="9"/>
      <c r="E942" s="90"/>
      <c r="F942" s="9"/>
      <c r="G942" s="63"/>
      <c r="H942" s="68"/>
      <c r="I942" s="69"/>
      <c r="J942" s="70"/>
      <c r="K942" s="70"/>
      <c r="L942" s="72"/>
      <c r="M942" s="63"/>
      <c r="N942" s="114">
        <f ca="1">$J$3-J942</f>
        <v>46240.46377638889</v>
      </c>
      <c r="O942" s="63"/>
      <c r="P942" s="139"/>
      <c r="Q942" s="139"/>
      <c r="R942" s="139"/>
      <c r="S942" s="37">
        <f>IF(R942="",0,L942)</f>
        <v>0</v>
      </c>
      <c r="T942" s="37">
        <f>L942-S942</f>
        <v>0</v>
      </c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</row>
    <row r="943" spans="1:31" ht="14.25" customHeight="1">
      <c r="A943" s="277" t="s">
        <v>5337</v>
      </c>
      <c r="B943" s="9" t="s">
        <v>21</v>
      </c>
      <c r="C943" s="9"/>
      <c r="D943" s="9"/>
      <c r="E943" s="90"/>
      <c r="F943" s="9"/>
      <c r="G943" s="63"/>
      <c r="H943" s="68"/>
      <c r="I943" s="69"/>
      <c r="J943" s="70"/>
      <c r="K943" s="70"/>
      <c r="L943" s="72"/>
      <c r="M943" s="63"/>
      <c r="N943" s="34"/>
      <c r="O943" s="63"/>
      <c r="P943" s="139"/>
      <c r="Q943" s="139"/>
      <c r="R943" s="139"/>
      <c r="S943" s="37"/>
      <c r="T943" s="37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</row>
    <row r="944" spans="1:31" ht="14.25" customHeight="1">
      <c r="A944" s="277" t="s">
        <v>5338</v>
      </c>
      <c r="B944" s="9" t="s">
        <v>21</v>
      </c>
      <c r="C944" s="9"/>
      <c r="D944" s="9"/>
      <c r="E944" s="90"/>
      <c r="F944" s="9"/>
      <c r="G944" s="94" t="s">
        <v>24</v>
      </c>
      <c r="H944" s="95" t="s">
        <v>4409</v>
      </c>
      <c r="I944" s="104"/>
      <c r="J944" s="105"/>
      <c r="K944" s="105"/>
      <c r="L944" s="106">
        <f>SUM(L945:L947)</f>
        <v>6121650</v>
      </c>
      <c r="M944" s="107"/>
      <c r="N944" s="108" t="s">
        <v>26</v>
      </c>
      <c r="O944" s="108"/>
      <c r="P944" s="108"/>
      <c r="Q944" s="108"/>
      <c r="R944" s="108"/>
      <c r="S944" s="106">
        <f>SUM(S945:S947)</f>
        <v>0</v>
      </c>
      <c r="T944" s="106">
        <f>SUM(T945:T947)</f>
        <v>6121650</v>
      </c>
      <c r="U944" s="10"/>
      <c r="V944" s="52">
        <f>L944-S944</f>
        <v>6121650</v>
      </c>
      <c r="W944" s="52">
        <f>T944-V944</f>
        <v>0</v>
      </c>
      <c r="X944" s="10"/>
      <c r="Y944" s="10"/>
      <c r="Z944" s="10"/>
      <c r="AA944" s="10"/>
      <c r="AB944" s="10"/>
      <c r="AC944" s="10"/>
      <c r="AD944" s="10"/>
      <c r="AE944" s="10"/>
    </row>
    <row r="945" spans="1:31" ht="14.25" customHeight="1">
      <c r="A945" s="277" t="s">
        <v>5339</v>
      </c>
      <c r="B945" s="9" t="s">
        <v>21</v>
      </c>
      <c r="C945" s="9">
        <v>2026</v>
      </c>
      <c r="D945" s="9" t="s">
        <v>77</v>
      </c>
      <c r="E945" s="90" t="s">
        <v>23</v>
      </c>
      <c r="F945" s="9" t="s">
        <v>7</v>
      </c>
      <c r="G945" s="63"/>
      <c r="H945" s="68">
        <v>260131</v>
      </c>
      <c r="I945" s="69" t="s">
        <v>4409</v>
      </c>
      <c r="J945" s="70">
        <v>46076</v>
      </c>
      <c r="K945" s="70">
        <v>46080</v>
      </c>
      <c r="L945" s="72">
        <v>388500</v>
      </c>
      <c r="M945" s="63" t="s">
        <v>4410</v>
      </c>
      <c r="N945" s="34">
        <f ca="1">$J$3-J945</f>
        <v>164.46377638888953</v>
      </c>
      <c r="O945" s="63"/>
      <c r="P945" s="139"/>
      <c r="Q945" s="139"/>
      <c r="R945" s="139"/>
      <c r="S945" s="37">
        <f>IF(R945="",0,L945)</f>
        <v>0</v>
      </c>
      <c r="T945" s="37">
        <f>L945-S945</f>
        <v>388500</v>
      </c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</row>
    <row r="946" spans="1:31" ht="14.25" customHeight="1">
      <c r="A946" s="277" t="s">
        <v>5340</v>
      </c>
      <c r="B946" s="9" t="s">
        <v>21</v>
      </c>
      <c r="C946" s="9">
        <v>2026</v>
      </c>
      <c r="D946" s="9" t="s">
        <v>77</v>
      </c>
      <c r="E946" s="90" t="s">
        <v>23</v>
      </c>
      <c r="F946" s="9" t="s">
        <v>7</v>
      </c>
      <c r="G946" s="63"/>
      <c r="H946" s="68">
        <v>260112</v>
      </c>
      <c r="I946" s="69" t="s">
        <v>4409</v>
      </c>
      <c r="J946" s="70">
        <v>46064</v>
      </c>
      <c r="K946" s="70">
        <v>46080</v>
      </c>
      <c r="L946" s="72">
        <v>5733150</v>
      </c>
      <c r="M946" s="63" t="s">
        <v>4411</v>
      </c>
      <c r="N946" s="34">
        <f ca="1">$J$3-J946</f>
        <v>176.46377638888953</v>
      </c>
      <c r="O946" s="63"/>
      <c r="P946" s="139"/>
      <c r="Q946" s="139"/>
      <c r="R946" s="139"/>
      <c r="S946" s="37">
        <f>IF(R946="",0,L946)</f>
        <v>0</v>
      </c>
      <c r="T946" s="37">
        <f>L946-S946</f>
        <v>5733150</v>
      </c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</row>
    <row r="947" spans="1:31" ht="14.25" customHeight="1">
      <c r="A947" s="277" t="s">
        <v>5341</v>
      </c>
      <c r="B947" s="9" t="s">
        <v>21</v>
      </c>
      <c r="C947" s="9"/>
      <c r="D947" s="9"/>
      <c r="E947" s="90"/>
      <c r="F947" s="9"/>
      <c r="G947" s="63"/>
      <c r="H947" s="68"/>
      <c r="I947" s="69"/>
      <c r="J947" s="70"/>
      <c r="K947" s="70"/>
      <c r="L947" s="72"/>
      <c r="M947" s="63"/>
      <c r="N947" s="114">
        <f ca="1">$J$3-J947</f>
        <v>46240.46377638889</v>
      </c>
      <c r="O947" s="63"/>
      <c r="P947" s="139"/>
      <c r="Q947" s="139"/>
      <c r="R947" s="139"/>
      <c r="S947" s="37"/>
      <c r="T947" s="37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</row>
    <row r="948" spans="1:31" ht="14.25" customHeight="1">
      <c r="A948" s="277" t="s">
        <v>5342</v>
      </c>
      <c r="B948" s="9" t="s">
        <v>21</v>
      </c>
      <c r="C948" s="9"/>
      <c r="D948" s="9"/>
      <c r="E948" s="90"/>
      <c r="F948" s="9"/>
      <c r="G948" s="63"/>
      <c r="H948" s="68"/>
      <c r="I948" s="69"/>
      <c r="J948" s="70"/>
      <c r="K948" s="70"/>
      <c r="L948" s="72"/>
      <c r="M948" s="63"/>
      <c r="N948" s="34"/>
      <c r="O948" s="63"/>
      <c r="P948" s="139"/>
      <c r="Q948" s="139"/>
      <c r="R948" s="139"/>
      <c r="S948" s="37"/>
      <c r="T948" s="37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</row>
    <row r="949" spans="1:31" ht="14.25" customHeight="1">
      <c r="A949" s="277" t="s">
        <v>5343</v>
      </c>
      <c r="B949" s="9" t="s">
        <v>21</v>
      </c>
      <c r="C949" s="9"/>
      <c r="D949" s="9"/>
      <c r="E949" s="90"/>
      <c r="F949" s="9"/>
      <c r="G949" s="94" t="s">
        <v>24</v>
      </c>
      <c r="H949" s="95" t="s">
        <v>4270</v>
      </c>
      <c r="I949" s="104"/>
      <c r="J949" s="105"/>
      <c r="K949" s="105"/>
      <c r="L949" s="106">
        <f>SUM(L950:L951)</f>
        <v>1300032</v>
      </c>
      <c r="M949" s="107"/>
      <c r="N949" s="108" t="s">
        <v>26</v>
      </c>
      <c r="O949" s="108"/>
      <c r="P949" s="108"/>
      <c r="Q949" s="108"/>
      <c r="R949" s="108"/>
      <c r="S949" s="106">
        <f>SUM(S950:S951)</f>
        <v>0</v>
      </c>
      <c r="T949" s="106">
        <f>SUM(T950:T951)</f>
        <v>1300032</v>
      </c>
      <c r="U949" s="10"/>
      <c r="V949" s="52">
        <f>L949-S949</f>
        <v>1300032</v>
      </c>
      <c r="W949" s="52">
        <f>T949-V949</f>
        <v>0</v>
      </c>
      <c r="X949" s="10"/>
      <c r="Y949" s="10"/>
      <c r="Z949" s="10"/>
      <c r="AA949" s="10"/>
      <c r="AB949" s="10"/>
      <c r="AC949" s="10"/>
      <c r="AD949" s="10"/>
      <c r="AE949" s="10"/>
    </row>
    <row r="950" spans="1:31" ht="14.25" customHeight="1">
      <c r="A950" s="277" t="s">
        <v>5344</v>
      </c>
      <c r="B950" s="9" t="s">
        <v>21</v>
      </c>
      <c r="C950" s="9">
        <v>2026</v>
      </c>
      <c r="D950" s="9" t="s">
        <v>77</v>
      </c>
      <c r="E950" s="90" t="s">
        <v>23</v>
      </c>
      <c r="F950" s="9" t="s">
        <v>7</v>
      </c>
      <c r="G950" s="63"/>
      <c r="H950" s="68">
        <v>260020</v>
      </c>
      <c r="I950" s="69" t="s">
        <v>4271</v>
      </c>
      <c r="J950" s="70">
        <v>46037</v>
      </c>
      <c r="K950" s="70">
        <v>46046</v>
      </c>
      <c r="L950" s="72">
        <v>1300032</v>
      </c>
      <c r="M950" s="63" t="s">
        <v>4272</v>
      </c>
      <c r="N950" s="34">
        <f ca="1">$J$3-J950</f>
        <v>203.46377638888953</v>
      </c>
      <c r="O950" s="63"/>
      <c r="P950" s="139"/>
      <c r="Q950" s="139"/>
      <c r="R950" s="139"/>
      <c r="S950" s="37">
        <f>IF(R950="",0,L950)</f>
        <v>0</v>
      </c>
      <c r="T950" s="37">
        <f>L950-S950</f>
        <v>1300032</v>
      </c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</row>
    <row r="951" spans="1:31" ht="14.25" customHeight="1">
      <c r="A951" s="277" t="s">
        <v>5345</v>
      </c>
      <c r="B951" s="9" t="s">
        <v>21</v>
      </c>
      <c r="C951" s="9"/>
      <c r="D951" s="9"/>
      <c r="E951" s="90"/>
      <c r="F951" s="9"/>
      <c r="G951" s="63"/>
      <c r="H951" s="68"/>
      <c r="I951" s="69"/>
      <c r="J951" s="70"/>
      <c r="K951" s="70"/>
      <c r="L951" s="72"/>
      <c r="M951" s="63"/>
      <c r="N951" s="114">
        <f ca="1">$J$3-J951</f>
        <v>46240.46377638889</v>
      </c>
      <c r="O951" s="63"/>
      <c r="P951" s="139"/>
      <c r="Q951" s="139"/>
      <c r="R951" s="139"/>
      <c r="S951" s="37">
        <f>IF(R951="",0,L951)</f>
        <v>0</v>
      </c>
      <c r="T951" s="37">
        <f>L951-S951</f>
        <v>0</v>
      </c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</row>
    <row r="952" spans="1:31" ht="14.25" customHeight="1">
      <c r="A952" s="277" t="s">
        <v>5346</v>
      </c>
      <c r="B952" s="9" t="s">
        <v>21</v>
      </c>
      <c r="C952" s="9"/>
      <c r="D952" s="9"/>
      <c r="E952" s="90"/>
      <c r="F952" s="9"/>
      <c r="G952" s="10"/>
      <c r="H952" s="9"/>
      <c r="I952" s="11"/>
      <c r="J952" s="12"/>
      <c r="K952" s="12"/>
      <c r="L952" s="27"/>
      <c r="M952" s="10"/>
      <c r="N952" s="9"/>
      <c r="O952" s="10"/>
      <c r="P952" s="39"/>
      <c r="Q952" s="39"/>
      <c r="R952" s="39"/>
      <c r="S952" s="37"/>
      <c r="T952" s="37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</row>
    <row r="953" spans="1:31">
      <c r="A953" s="277" t="s">
        <v>5347</v>
      </c>
      <c r="B953" s="9" t="s">
        <v>21</v>
      </c>
      <c r="C953" s="9"/>
      <c r="D953" s="9"/>
      <c r="E953" s="90"/>
      <c r="F953" s="9"/>
      <c r="G953" s="94" t="s">
        <v>24</v>
      </c>
      <c r="H953" s="95" t="s">
        <v>517</v>
      </c>
      <c r="I953" s="104"/>
      <c r="J953" s="105"/>
      <c r="K953" s="105"/>
      <c r="L953" s="106">
        <f>SUM(L954:L1064)</f>
        <v>433611104</v>
      </c>
      <c r="M953" s="107"/>
      <c r="N953" s="108" t="s">
        <v>26</v>
      </c>
      <c r="O953" s="108"/>
      <c r="P953" s="108"/>
      <c r="Q953" s="108"/>
      <c r="R953" s="108"/>
      <c r="S953" s="106">
        <f>SUM(S954:S1064)</f>
        <v>421965280</v>
      </c>
      <c r="T953" s="106">
        <f>SUM(T954:T1064)</f>
        <v>11645824</v>
      </c>
      <c r="U953" s="10"/>
      <c r="V953" s="52">
        <f>L953-S953</f>
        <v>11645824</v>
      </c>
      <c r="W953" s="52">
        <f>T953-V953</f>
        <v>0</v>
      </c>
      <c r="X953" s="10"/>
      <c r="Y953" s="10"/>
      <c r="Z953" s="10"/>
      <c r="AA953" s="10"/>
      <c r="AB953" s="10"/>
      <c r="AC953" s="10"/>
      <c r="AD953" s="10"/>
      <c r="AE953" s="10"/>
    </row>
    <row r="954" spans="1:31" hidden="1">
      <c r="A954" s="277" t="s">
        <v>5348</v>
      </c>
      <c r="B954" s="9" t="s">
        <v>21</v>
      </c>
      <c r="C954" s="9">
        <v>2025</v>
      </c>
      <c r="D954" s="9" t="s">
        <v>27</v>
      </c>
      <c r="E954" s="90" t="s">
        <v>23</v>
      </c>
      <c r="F954" s="9" t="s">
        <v>7</v>
      </c>
      <c r="G954" s="10"/>
      <c r="H954" s="96">
        <v>250093</v>
      </c>
      <c r="I954" s="109" t="s">
        <v>517</v>
      </c>
      <c r="J954" s="115">
        <v>45678</v>
      </c>
      <c r="K954" s="115">
        <v>45692</v>
      </c>
      <c r="L954" s="131">
        <v>622499</v>
      </c>
      <c r="M954" s="117" t="s">
        <v>518</v>
      </c>
      <c r="N954" s="34" t="s">
        <v>29</v>
      </c>
      <c r="O954" s="10"/>
      <c r="P954" s="113">
        <v>45713</v>
      </c>
      <c r="Q954" s="113">
        <v>45713</v>
      </c>
      <c r="R954" s="113">
        <v>45713</v>
      </c>
      <c r="S954" s="37">
        <f t="shared" ref="S954:S961" si="194">IF(R954="",0,L954)</f>
        <v>622499</v>
      </c>
      <c r="T954" s="37">
        <f t="shared" ref="T954:T961" si="195">L954-S954</f>
        <v>0</v>
      </c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</row>
    <row r="955" spans="1:31" hidden="1">
      <c r="A955" s="277" t="s">
        <v>5349</v>
      </c>
      <c r="B955" s="9" t="s">
        <v>21</v>
      </c>
      <c r="C955" s="9">
        <v>2025</v>
      </c>
      <c r="D955" s="9" t="s">
        <v>27</v>
      </c>
      <c r="E955" s="90" t="s">
        <v>23</v>
      </c>
      <c r="F955" s="9" t="s">
        <v>7</v>
      </c>
      <c r="G955" s="10"/>
      <c r="H955" s="96">
        <v>250092</v>
      </c>
      <c r="I955" s="109" t="s">
        <v>517</v>
      </c>
      <c r="J955" s="115">
        <v>45679</v>
      </c>
      <c r="K955" s="115">
        <v>45692</v>
      </c>
      <c r="L955" s="131">
        <v>1368031</v>
      </c>
      <c r="M955" s="117" t="s">
        <v>519</v>
      </c>
      <c r="N955" s="34" t="s">
        <v>29</v>
      </c>
      <c r="O955" s="10"/>
      <c r="P955" s="113">
        <v>45713</v>
      </c>
      <c r="Q955" s="113">
        <v>45713</v>
      </c>
      <c r="R955" s="113">
        <v>45713</v>
      </c>
      <c r="S955" s="37">
        <f t="shared" si="194"/>
        <v>1368031</v>
      </c>
      <c r="T955" s="37">
        <f t="shared" si="195"/>
        <v>0</v>
      </c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</row>
    <row r="956" spans="1:31" hidden="1">
      <c r="A956" s="277" t="s">
        <v>5350</v>
      </c>
      <c r="B956" s="9" t="s">
        <v>21</v>
      </c>
      <c r="C956" s="9">
        <v>2025</v>
      </c>
      <c r="D956" s="9" t="s">
        <v>27</v>
      </c>
      <c r="E956" s="90" t="s">
        <v>23</v>
      </c>
      <c r="F956" s="9" t="s">
        <v>7</v>
      </c>
      <c r="G956" s="10"/>
      <c r="H956" s="96">
        <v>250104</v>
      </c>
      <c r="I956" s="109" t="s">
        <v>517</v>
      </c>
      <c r="J956" s="115">
        <v>45682</v>
      </c>
      <c r="K956" s="115">
        <v>45692</v>
      </c>
      <c r="L956" s="131">
        <v>251998</v>
      </c>
      <c r="M956" s="117" t="s">
        <v>520</v>
      </c>
      <c r="N956" s="34" t="s">
        <v>29</v>
      </c>
      <c r="O956" s="10"/>
      <c r="P956" s="113">
        <v>45713</v>
      </c>
      <c r="Q956" s="113">
        <v>45713</v>
      </c>
      <c r="R956" s="113">
        <v>45713</v>
      </c>
      <c r="S956" s="37">
        <f t="shared" si="194"/>
        <v>251998</v>
      </c>
      <c r="T956" s="37">
        <f t="shared" si="195"/>
        <v>0</v>
      </c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</row>
    <row r="957" spans="1:31" hidden="1">
      <c r="A957" s="277" t="s">
        <v>5351</v>
      </c>
      <c r="B957" s="9" t="s">
        <v>21</v>
      </c>
      <c r="C957" s="9">
        <v>2025</v>
      </c>
      <c r="D957" s="9" t="s">
        <v>27</v>
      </c>
      <c r="E957" s="90" t="s">
        <v>23</v>
      </c>
      <c r="F957" s="9" t="s">
        <v>7</v>
      </c>
      <c r="G957" s="10"/>
      <c r="H957" s="96">
        <v>250062</v>
      </c>
      <c r="I957" s="109" t="s">
        <v>517</v>
      </c>
      <c r="J957" s="115">
        <v>45673</v>
      </c>
      <c r="K957" s="119">
        <v>45680</v>
      </c>
      <c r="L957" s="116">
        <v>110889</v>
      </c>
      <c r="M957" s="116" t="s">
        <v>521</v>
      </c>
      <c r="N957" s="34" t="s">
        <v>29</v>
      </c>
      <c r="O957" s="52">
        <f>SUM(L957:L966)</f>
        <v>48445412</v>
      </c>
      <c r="P957" s="113">
        <v>45764</v>
      </c>
      <c r="Q957" s="113">
        <v>45764</v>
      </c>
      <c r="R957" s="113">
        <v>45764</v>
      </c>
      <c r="S957" s="37">
        <f t="shared" si="194"/>
        <v>110889</v>
      </c>
      <c r="T957" s="37">
        <f t="shared" si="195"/>
        <v>0</v>
      </c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</row>
    <row r="958" spans="1:31" hidden="1">
      <c r="A958" s="277" t="s">
        <v>5352</v>
      </c>
      <c r="B958" s="9" t="s">
        <v>21</v>
      </c>
      <c r="C958" s="9">
        <v>2025</v>
      </c>
      <c r="D958" s="9" t="s">
        <v>27</v>
      </c>
      <c r="E958" s="90" t="s">
        <v>23</v>
      </c>
      <c r="F958" s="9" t="s">
        <v>7</v>
      </c>
      <c r="G958" s="10"/>
      <c r="H958" s="96">
        <v>250061</v>
      </c>
      <c r="I958" s="109" t="s">
        <v>517</v>
      </c>
      <c r="J958" s="115">
        <v>45673</v>
      </c>
      <c r="K958" s="119">
        <v>45680</v>
      </c>
      <c r="L958" s="116">
        <v>5823704</v>
      </c>
      <c r="M958" s="116" t="s">
        <v>522</v>
      </c>
      <c r="N958" s="34" t="s">
        <v>29</v>
      </c>
      <c r="O958" s="11"/>
      <c r="P958" s="113">
        <v>45764</v>
      </c>
      <c r="Q958" s="113">
        <v>45764</v>
      </c>
      <c r="R958" s="113">
        <v>45764</v>
      </c>
      <c r="S958" s="37">
        <f t="shared" si="194"/>
        <v>5823704</v>
      </c>
      <c r="T958" s="37">
        <f t="shared" si="195"/>
        <v>0</v>
      </c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</row>
    <row r="959" spans="1:31" hidden="1">
      <c r="A959" s="277" t="s">
        <v>5353</v>
      </c>
      <c r="B959" s="9" t="s">
        <v>21</v>
      </c>
      <c r="C959" s="9">
        <v>2025</v>
      </c>
      <c r="D959" s="9" t="s">
        <v>27</v>
      </c>
      <c r="E959" s="90" t="s">
        <v>23</v>
      </c>
      <c r="F959" s="9" t="s">
        <v>7</v>
      </c>
      <c r="G959" s="10"/>
      <c r="H959" s="96">
        <v>250063</v>
      </c>
      <c r="I959" s="109" t="s">
        <v>517</v>
      </c>
      <c r="J959" s="115">
        <v>45673</v>
      </c>
      <c r="K959" s="119">
        <v>45680</v>
      </c>
      <c r="L959" s="116">
        <v>80475</v>
      </c>
      <c r="M959" s="116" t="s">
        <v>523</v>
      </c>
      <c r="N959" s="34" t="s">
        <v>29</v>
      </c>
      <c r="O959" s="11"/>
      <c r="P959" s="113">
        <v>45764</v>
      </c>
      <c r="Q959" s="113">
        <v>45764</v>
      </c>
      <c r="R959" s="113">
        <v>45764</v>
      </c>
      <c r="S959" s="37">
        <f t="shared" si="194"/>
        <v>80475</v>
      </c>
      <c r="T959" s="37">
        <f t="shared" si="195"/>
        <v>0</v>
      </c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</row>
    <row r="960" spans="1:31" hidden="1">
      <c r="A960" s="277" t="s">
        <v>5354</v>
      </c>
      <c r="B960" s="9" t="s">
        <v>21</v>
      </c>
      <c r="C960" s="9">
        <v>2025</v>
      </c>
      <c r="D960" s="9" t="s">
        <v>27</v>
      </c>
      <c r="E960" s="90" t="s">
        <v>23</v>
      </c>
      <c r="F960" s="9" t="s">
        <v>7</v>
      </c>
      <c r="G960" s="10"/>
      <c r="H960" s="96">
        <v>250073</v>
      </c>
      <c r="I960" s="109" t="s">
        <v>517</v>
      </c>
      <c r="J960" s="115">
        <v>45674</v>
      </c>
      <c r="K960" s="119">
        <v>45680</v>
      </c>
      <c r="L960" s="116">
        <v>865963</v>
      </c>
      <c r="M960" s="116" t="s">
        <v>524</v>
      </c>
      <c r="N960" s="34" t="s">
        <v>29</v>
      </c>
      <c r="O960" s="11"/>
      <c r="P960" s="113">
        <v>45764</v>
      </c>
      <c r="Q960" s="113">
        <v>45764</v>
      </c>
      <c r="R960" s="113">
        <v>45764</v>
      </c>
      <c r="S960" s="37">
        <f t="shared" si="194"/>
        <v>865963</v>
      </c>
      <c r="T960" s="37">
        <f t="shared" si="195"/>
        <v>0</v>
      </c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</row>
    <row r="961" spans="1:31" hidden="1">
      <c r="A961" s="277" t="s">
        <v>5355</v>
      </c>
      <c r="B961" s="9" t="s">
        <v>21</v>
      </c>
      <c r="C961" s="9">
        <v>2025</v>
      </c>
      <c r="D961" s="9" t="s">
        <v>27</v>
      </c>
      <c r="E961" s="90" t="s">
        <v>23</v>
      </c>
      <c r="F961" s="9" t="s">
        <v>7</v>
      </c>
      <c r="G961" s="10"/>
      <c r="H961" s="96">
        <v>250074</v>
      </c>
      <c r="I961" s="109" t="s">
        <v>517</v>
      </c>
      <c r="J961" s="115">
        <v>45674</v>
      </c>
      <c r="K961" s="119">
        <v>45680</v>
      </c>
      <c r="L961" s="116">
        <v>15920009</v>
      </c>
      <c r="M961" s="116" t="s">
        <v>525</v>
      </c>
      <c r="N961" s="34" t="s">
        <v>29</v>
      </c>
      <c r="O961" s="11"/>
      <c r="P961" s="113">
        <v>45764</v>
      </c>
      <c r="Q961" s="113">
        <v>45764</v>
      </c>
      <c r="R961" s="113">
        <v>45764</v>
      </c>
      <c r="S961" s="37">
        <f t="shared" si="194"/>
        <v>15920009</v>
      </c>
      <c r="T961" s="37">
        <f t="shared" si="195"/>
        <v>0</v>
      </c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</row>
    <row r="962" spans="1:31" hidden="1">
      <c r="A962" s="277" t="s">
        <v>5356</v>
      </c>
      <c r="B962" s="9" t="s">
        <v>21</v>
      </c>
      <c r="C962" s="9">
        <v>2025</v>
      </c>
      <c r="D962" s="9" t="s">
        <v>27</v>
      </c>
      <c r="E962" s="90" t="s">
        <v>23</v>
      </c>
      <c r="F962" s="9" t="s">
        <v>7</v>
      </c>
      <c r="G962" s="10"/>
      <c r="H962" s="96">
        <v>250258</v>
      </c>
      <c r="I962" s="109" t="s">
        <v>517</v>
      </c>
      <c r="J962" s="115">
        <v>45714</v>
      </c>
      <c r="K962" s="115">
        <v>45727</v>
      </c>
      <c r="L962" s="131">
        <v>12635685</v>
      </c>
      <c r="M962" s="117" t="s">
        <v>526</v>
      </c>
      <c r="N962" s="34" t="s">
        <v>29</v>
      </c>
      <c r="P962" s="113">
        <v>45764</v>
      </c>
      <c r="Q962" s="113">
        <v>45764</v>
      </c>
      <c r="R962" s="113">
        <v>45764</v>
      </c>
      <c r="S962" s="37">
        <f t="shared" ref="S962:S970" si="196">IF(R962="",0,L962)</f>
        <v>12635685</v>
      </c>
      <c r="T962" s="37">
        <f t="shared" ref="T962:T970" si="197">L962-S962</f>
        <v>0</v>
      </c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</row>
    <row r="963" spans="1:31" hidden="1">
      <c r="A963" s="277" t="s">
        <v>5357</v>
      </c>
      <c r="B963" s="9" t="s">
        <v>21</v>
      </c>
      <c r="C963" s="9">
        <v>2025</v>
      </c>
      <c r="D963" s="9" t="s">
        <v>27</v>
      </c>
      <c r="E963" s="90" t="s">
        <v>23</v>
      </c>
      <c r="F963" s="9" t="s">
        <v>7</v>
      </c>
      <c r="G963" s="10"/>
      <c r="H963" s="96">
        <v>250260</v>
      </c>
      <c r="I963" s="109" t="s">
        <v>517</v>
      </c>
      <c r="J963" s="115">
        <v>45714</v>
      </c>
      <c r="K963" s="115">
        <v>45727</v>
      </c>
      <c r="L963" s="131">
        <v>4662000</v>
      </c>
      <c r="M963" s="117" t="s">
        <v>527</v>
      </c>
      <c r="N963" s="34" t="s">
        <v>29</v>
      </c>
      <c r="O963" s="10"/>
      <c r="P963" s="113">
        <v>45764</v>
      </c>
      <c r="Q963" s="113">
        <v>45764</v>
      </c>
      <c r="R963" s="113">
        <v>45764</v>
      </c>
      <c r="S963" s="37">
        <f t="shared" si="196"/>
        <v>4662000</v>
      </c>
      <c r="T963" s="37">
        <f t="shared" si="197"/>
        <v>0</v>
      </c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</row>
    <row r="964" spans="1:31" hidden="1">
      <c r="A964" s="277" t="s">
        <v>5358</v>
      </c>
      <c r="B964" s="9" t="s">
        <v>21</v>
      </c>
      <c r="C964" s="9">
        <v>2025</v>
      </c>
      <c r="D964" s="9" t="s">
        <v>27</v>
      </c>
      <c r="E964" s="90" t="s">
        <v>23</v>
      </c>
      <c r="F964" s="9" t="s">
        <v>7</v>
      </c>
      <c r="G964" s="10"/>
      <c r="H964" s="96">
        <v>250261</v>
      </c>
      <c r="I964" s="109" t="s">
        <v>517</v>
      </c>
      <c r="J964" s="115">
        <v>45714</v>
      </c>
      <c r="K964" s="115">
        <v>45727</v>
      </c>
      <c r="L964" s="131">
        <v>3848412</v>
      </c>
      <c r="M964" s="117" t="s">
        <v>528</v>
      </c>
      <c r="N964" s="34" t="s">
        <v>29</v>
      </c>
      <c r="O964" s="10"/>
      <c r="P964" s="113">
        <v>45764</v>
      </c>
      <c r="Q964" s="113">
        <v>45764</v>
      </c>
      <c r="R964" s="113">
        <v>45764</v>
      </c>
      <c r="S964" s="37">
        <f t="shared" si="196"/>
        <v>3848412</v>
      </c>
      <c r="T964" s="37">
        <f t="shared" si="197"/>
        <v>0</v>
      </c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</row>
    <row r="965" spans="1:31" hidden="1">
      <c r="A965" s="277" t="s">
        <v>5359</v>
      </c>
      <c r="B965" s="9" t="s">
        <v>21</v>
      </c>
      <c r="C965" s="9">
        <v>2025</v>
      </c>
      <c r="D965" s="9" t="s">
        <v>27</v>
      </c>
      <c r="E965" s="90" t="s">
        <v>23</v>
      </c>
      <c r="F965" s="9" t="s">
        <v>7</v>
      </c>
      <c r="G965" s="10"/>
      <c r="H965" s="96">
        <v>250230</v>
      </c>
      <c r="I965" s="109" t="s">
        <v>517</v>
      </c>
      <c r="J965" s="115">
        <v>45715</v>
      </c>
      <c r="K965" s="115">
        <v>45727</v>
      </c>
      <c r="L965" s="131">
        <v>3915525</v>
      </c>
      <c r="M965" s="117" t="s">
        <v>529</v>
      </c>
      <c r="N965" s="34" t="s">
        <v>29</v>
      </c>
      <c r="O965" s="10"/>
      <c r="P965" s="113">
        <v>45764</v>
      </c>
      <c r="Q965" s="113">
        <v>45764</v>
      </c>
      <c r="R965" s="113">
        <v>45764</v>
      </c>
      <c r="S965" s="37">
        <f t="shared" si="196"/>
        <v>3915525</v>
      </c>
      <c r="T965" s="37">
        <f t="shared" si="197"/>
        <v>0</v>
      </c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</row>
    <row r="966" spans="1:31" hidden="1">
      <c r="A966" s="277" t="s">
        <v>5360</v>
      </c>
      <c r="B966" s="9" t="s">
        <v>21</v>
      </c>
      <c r="C966" s="9">
        <v>2025</v>
      </c>
      <c r="D966" s="9" t="s">
        <v>27</v>
      </c>
      <c r="E966" s="90" t="s">
        <v>23</v>
      </c>
      <c r="F966" s="9" t="s">
        <v>7</v>
      </c>
      <c r="G966" s="10"/>
      <c r="H966" s="96">
        <v>250264</v>
      </c>
      <c r="I966" s="109" t="s">
        <v>517</v>
      </c>
      <c r="J966" s="115">
        <v>45716</v>
      </c>
      <c r="K966" s="115">
        <v>45727</v>
      </c>
      <c r="L966" s="131">
        <v>582750</v>
      </c>
      <c r="M966" s="117" t="s">
        <v>530</v>
      </c>
      <c r="N966" s="34" t="s">
        <v>29</v>
      </c>
      <c r="O966" s="10"/>
      <c r="P966" s="113">
        <v>45764</v>
      </c>
      <c r="Q966" s="113">
        <v>45764</v>
      </c>
      <c r="R966" s="113">
        <v>45764</v>
      </c>
      <c r="S966" s="37">
        <f t="shared" si="196"/>
        <v>582750</v>
      </c>
      <c r="T966" s="37">
        <f t="shared" si="197"/>
        <v>0</v>
      </c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</row>
    <row r="967" spans="1:31" hidden="1">
      <c r="A967" s="277" t="s">
        <v>5361</v>
      </c>
      <c r="B967" s="9" t="s">
        <v>21</v>
      </c>
      <c r="C967" s="9">
        <v>2025</v>
      </c>
      <c r="D967" s="9" t="s">
        <v>27</v>
      </c>
      <c r="E967" s="90" t="s">
        <v>23</v>
      </c>
      <c r="F967" s="9" t="s">
        <v>7</v>
      </c>
      <c r="G967" s="10"/>
      <c r="H967" s="96"/>
      <c r="I967" s="109"/>
      <c r="J967" s="115"/>
      <c r="K967" s="115"/>
      <c r="L967" s="131">
        <v>-8139</v>
      </c>
      <c r="M967" s="117" t="s">
        <v>531</v>
      </c>
      <c r="N967" s="34" t="s">
        <v>29</v>
      </c>
      <c r="O967" s="10"/>
      <c r="P967" s="113">
        <v>45764</v>
      </c>
      <c r="Q967" s="113">
        <v>45764</v>
      </c>
      <c r="R967" s="113">
        <v>45764</v>
      </c>
      <c r="S967" s="37">
        <f t="shared" si="196"/>
        <v>-8139</v>
      </c>
      <c r="T967" s="37">
        <f t="shared" si="197"/>
        <v>0</v>
      </c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</row>
    <row r="968" spans="1:31" hidden="1">
      <c r="A968" s="277" t="s">
        <v>7543</v>
      </c>
      <c r="B968" s="9" t="s">
        <v>21</v>
      </c>
      <c r="C968" s="9">
        <v>2025</v>
      </c>
      <c r="D968" s="9" t="s">
        <v>27</v>
      </c>
      <c r="E968" s="90" t="s">
        <v>23</v>
      </c>
      <c r="F968" s="9" t="s">
        <v>7</v>
      </c>
      <c r="G968" s="10"/>
      <c r="H968" s="96"/>
      <c r="I968" s="109"/>
      <c r="J968" s="115"/>
      <c r="K968" s="115"/>
      <c r="L968" s="131">
        <v>8139</v>
      </c>
      <c r="M968" s="117" t="s">
        <v>532</v>
      </c>
      <c r="N968" s="34" t="s">
        <v>29</v>
      </c>
      <c r="O968" s="10"/>
      <c r="P968" s="113">
        <v>45797</v>
      </c>
      <c r="Q968" s="113">
        <v>45797</v>
      </c>
      <c r="R968" s="113">
        <v>45797</v>
      </c>
      <c r="S968" s="37">
        <f t="shared" si="196"/>
        <v>8139</v>
      </c>
      <c r="T968" s="37">
        <f t="shared" si="197"/>
        <v>0</v>
      </c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</row>
    <row r="969" spans="1:31" hidden="1">
      <c r="A969" s="277" t="s">
        <v>7544</v>
      </c>
      <c r="B969" s="9" t="s">
        <v>21</v>
      </c>
      <c r="C969" s="9">
        <v>2025</v>
      </c>
      <c r="D969" s="9" t="s">
        <v>27</v>
      </c>
      <c r="E969" s="90" t="s">
        <v>23</v>
      </c>
      <c r="F969" s="9" t="s">
        <v>7</v>
      </c>
      <c r="G969" s="10"/>
      <c r="H969" s="96">
        <v>250259</v>
      </c>
      <c r="I969" s="109" t="s">
        <v>517</v>
      </c>
      <c r="J969" s="115">
        <v>45714</v>
      </c>
      <c r="K969" s="115">
        <v>45727</v>
      </c>
      <c r="L969" s="131">
        <v>11849988</v>
      </c>
      <c r="M969" s="117" t="s">
        <v>533</v>
      </c>
      <c r="N969" s="34" t="s">
        <v>29</v>
      </c>
      <c r="O969" s="52">
        <f>SUM(L968:L980)</f>
        <v>20348977</v>
      </c>
      <c r="P969" s="113">
        <v>45797</v>
      </c>
      <c r="Q969" s="113">
        <v>45797</v>
      </c>
      <c r="R969" s="113">
        <v>45797</v>
      </c>
      <c r="S969" s="37">
        <f t="shared" si="196"/>
        <v>11849988</v>
      </c>
      <c r="T969" s="37">
        <f t="shared" si="197"/>
        <v>0</v>
      </c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</row>
    <row r="970" spans="1:31" hidden="1">
      <c r="A970" s="277" t="s">
        <v>7545</v>
      </c>
      <c r="B970" s="9" t="s">
        <v>21</v>
      </c>
      <c r="C970" s="9">
        <v>2025</v>
      </c>
      <c r="D970" s="9" t="s">
        <v>27</v>
      </c>
      <c r="E970" s="90" t="s">
        <v>23</v>
      </c>
      <c r="F970" s="9" t="s">
        <v>7</v>
      </c>
      <c r="G970" s="10"/>
      <c r="H970" s="96">
        <v>250265</v>
      </c>
      <c r="I970" s="109" t="s">
        <v>517</v>
      </c>
      <c r="J970" s="115">
        <v>45715</v>
      </c>
      <c r="K970" s="115">
        <v>45727</v>
      </c>
      <c r="L970" s="131">
        <v>7091568</v>
      </c>
      <c r="M970" s="117" t="s">
        <v>534</v>
      </c>
      <c r="N970" s="34" t="s">
        <v>29</v>
      </c>
      <c r="O970" s="10"/>
      <c r="P970" s="113">
        <v>45797</v>
      </c>
      <c r="Q970" s="113">
        <v>45797</v>
      </c>
      <c r="R970" s="113">
        <v>45797</v>
      </c>
      <c r="S970" s="37">
        <f t="shared" si="196"/>
        <v>7091568</v>
      </c>
      <c r="T970" s="37">
        <f t="shared" si="197"/>
        <v>0</v>
      </c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</row>
    <row r="971" spans="1:31" hidden="1">
      <c r="A971" s="277" t="s">
        <v>7546</v>
      </c>
      <c r="B971" s="9" t="s">
        <v>21</v>
      </c>
      <c r="C971" s="9">
        <v>2025</v>
      </c>
      <c r="D971" s="9" t="s">
        <v>27</v>
      </c>
      <c r="E971" s="90" t="s">
        <v>23</v>
      </c>
      <c r="F971" s="9" t="s">
        <v>7</v>
      </c>
      <c r="G971" s="10"/>
      <c r="H971" s="96">
        <v>250266</v>
      </c>
      <c r="I971" s="109" t="s">
        <v>517</v>
      </c>
      <c r="J971" s="115">
        <v>45716</v>
      </c>
      <c r="K971" s="115">
        <v>45727</v>
      </c>
      <c r="L971" s="131">
        <v>410700</v>
      </c>
      <c r="M971" s="117" t="s">
        <v>535</v>
      </c>
      <c r="N971" s="34" t="s">
        <v>29</v>
      </c>
      <c r="O971" s="10"/>
      <c r="P971" s="113">
        <v>45797</v>
      </c>
      <c r="Q971" s="113">
        <v>45797</v>
      </c>
      <c r="R971" s="113">
        <v>45797</v>
      </c>
      <c r="S971" s="37">
        <f>IF(R971="",0,L971)</f>
        <v>410700</v>
      </c>
      <c r="T971" s="37">
        <f>L971-S971</f>
        <v>0</v>
      </c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</row>
    <row r="972" spans="1:31" hidden="1">
      <c r="A972" s="277" t="s">
        <v>7547</v>
      </c>
      <c r="B972" s="9" t="s">
        <v>21</v>
      </c>
      <c r="C972" s="9">
        <v>2025</v>
      </c>
      <c r="D972" s="9" t="s">
        <v>27</v>
      </c>
      <c r="E972" s="90" t="s">
        <v>23</v>
      </c>
      <c r="F972" s="9" t="s">
        <v>7</v>
      </c>
      <c r="G972" s="10"/>
      <c r="H972" s="96">
        <v>250263</v>
      </c>
      <c r="I972" s="109" t="s">
        <v>517</v>
      </c>
      <c r="J972" s="115">
        <v>45716</v>
      </c>
      <c r="K972" s="115">
        <v>45727</v>
      </c>
      <c r="L972" s="131">
        <v>447552</v>
      </c>
      <c r="M972" s="117" t="s">
        <v>536</v>
      </c>
      <c r="N972" s="34" t="s">
        <v>29</v>
      </c>
      <c r="O972" s="10"/>
      <c r="P972" s="113">
        <v>45797</v>
      </c>
      <c r="Q972" s="113">
        <v>45797</v>
      </c>
      <c r="R972" s="113">
        <v>45797</v>
      </c>
      <c r="S972" s="37">
        <f>IF(R972="",0,L972)</f>
        <v>447552</v>
      </c>
      <c r="T972" s="37">
        <f>L972-S972</f>
        <v>0</v>
      </c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</row>
    <row r="973" spans="1:31" hidden="1">
      <c r="A973" s="277" t="s">
        <v>7548</v>
      </c>
      <c r="B973" s="9" t="s">
        <v>21</v>
      </c>
      <c r="C973" s="9">
        <v>2025</v>
      </c>
      <c r="D973" s="9" t="s">
        <v>27</v>
      </c>
      <c r="E973" s="90" t="s">
        <v>23</v>
      </c>
      <c r="F973" s="9" t="s">
        <v>7</v>
      </c>
      <c r="G973" s="10"/>
      <c r="H973" s="96">
        <v>250307</v>
      </c>
      <c r="I973" s="109" t="s">
        <v>517</v>
      </c>
      <c r="J973" s="115">
        <v>45720</v>
      </c>
      <c r="K973" s="115">
        <v>45727</v>
      </c>
      <c r="L973" s="131">
        <v>2804393</v>
      </c>
      <c r="M973" s="117" t="s">
        <v>537</v>
      </c>
      <c r="N973" s="34" t="s">
        <v>29</v>
      </c>
      <c r="O973" s="10"/>
      <c r="P973" s="113">
        <v>45797</v>
      </c>
      <c r="Q973" s="113">
        <v>45797</v>
      </c>
      <c r="R973" s="113">
        <v>45797</v>
      </c>
      <c r="S973" s="37">
        <f>IF(R973="",0,L973)</f>
        <v>2804393</v>
      </c>
      <c r="T973" s="37">
        <f>L973-S973</f>
        <v>0</v>
      </c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</row>
    <row r="974" spans="1:31" hidden="1">
      <c r="A974" s="277" t="s">
        <v>7549</v>
      </c>
      <c r="B974" s="9" t="s">
        <v>21</v>
      </c>
      <c r="C974" s="9">
        <v>2025</v>
      </c>
      <c r="D974" s="9" t="s">
        <v>27</v>
      </c>
      <c r="E974" s="90" t="s">
        <v>23</v>
      </c>
      <c r="F974" s="9" t="s">
        <v>7</v>
      </c>
      <c r="G974" s="10"/>
      <c r="H974" s="96">
        <v>250305</v>
      </c>
      <c r="I974" s="109" t="s">
        <v>517</v>
      </c>
      <c r="J974" s="115">
        <v>45722</v>
      </c>
      <c r="K974" s="115">
        <v>45736</v>
      </c>
      <c r="L974" s="131">
        <v>188700</v>
      </c>
      <c r="M974" s="117" t="s">
        <v>538</v>
      </c>
      <c r="N974" s="34" t="s">
        <v>29</v>
      </c>
      <c r="O974" s="10"/>
      <c r="P974" s="113">
        <v>45797</v>
      </c>
      <c r="Q974" s="113">
        <v>45797</v>
      </c>
      <c r="R974" s="113">
        <v>45797</v>
      </c>
      <c r="S974" s="37">
        <f>IF(R974="",0,L974)</f>
        <v>188700</v>
      </c>
      <c r="T974" s="37">
        <f>L974-S974</f>
        <v>0</v>
      </c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</row>
    <row r="975" spans="1:31" hidden="1">
      <c r="A975" s="277" t="s">
        <v>7550</v>
      </c>
      <c r="B975" s="9" t="s">
        <v>21</v>
      </c>
      <c r="C975" s="9">
        <v>2025</v>
      </c>
      <c r="D975" s="9" t="s">
        <v>27</v>
      </c>
      <c r="E975" s="90" t="s">
        <v>23</v>
      </c>
      <c r="F975" s="9" t="s">
        <v>7</v>
      </c>
      <c r="G975" s="10"/>
      <c r="H975" s="96">
        <v>250438</v>
      </c>
      <c r="I975" s="109" t="s">
        <v>517</v>
      </c>
      <c r="J975" s="115">
        <v>45764</v>
      </c>
      <c r="K975" s="115">
        <v>45773</v>
      </c>
      <c r="L975" s="131">
        <v>577999</v>
      </c>
      <c r="M975" s="117" t="s">
        <v>539</v>
      </c>
      <c r="N975" s="34" t="s">
        <v>29</v>
      </c>
      <c r="O975" s="10"/>
      <c r="P975" s="113">
        <v>45797</v>
      </c>
      <c r="Q975" s="113">
        <v>45797</v>
      </c>
      <c r="R975" s="113">
        <v>45797</v>
      </c>
      <c r="S975" s="37">
        <f t="shared" ref="S975:S987" si="198">IF(R975="",0,L975)</f>
        <v>577999</v>
      </c>
      <c r="T975" s="37">
        <f t="shared" ref="T975:T987" si="199">L975-S975</f>
        <v>0</v>
      </c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</row>
    <row r="976" spans="1:31" hidden="1">
      <c r="A976" s="277" t="s">
        <v>7551</v>
      </c>
      <c r="B976" s="9" t="s">
        <v>21</v>
      </c>
      <c r="C976" s="9">
        <v>2025</v>
      </c>
      <c r="D976" s="9" t="s">
        <v>27</v>
      </c>
      <c r="E976" s="90" t="s">
        <v>23</v>
      </c>
      <c r="F976" s="9" t="s">
        <v>7</v>
      </c>
      <c r="G976" s="10"/>
      <c r="H976" s="96">
        <v>250450</v>
      </c>
      <c r="I976" s="109" t="s">
        <v>517</v>
      </c>
      <c r="J976" s="115">
        <v>45764</v>
      </c>
      <c r="K976" s="115">
        <v>45773</v>
      </c>
      <c r="L976" s="131">
        <v>450005</v>
      </c>
      <c r="M976" s="117" t="s">
        <v>540</v>
      </c>
      <c r="N976" s="34" t="s">
        <v>29</v>
      </c>
      <c r="O976" s="10"/>
      <c r="P976" s="113">
        <v>45797</v>
      </c>
      <c r="Q976" s="113">
        <v>45797</v>
      </c>
      <c r="R976" s="113">
        <v>45797</v>
      </c>
      <c r="S976" s="37">
        <f t="shared" si="198"/>
        <v>450005</v>
      </c>
      <c r="T976" s="37">
        <f t="shared" si="199"/>
        <v>0</v>
      </c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</row>
    <row r="977" spans="1:31" hidden="1">
      <c r="A977" s="277" t="s">
        <v>7552</v>
      </c>
      <c r="B977" s="9" t="s">
        <v>21</v>
      </c>
      <c r="C977" s="9">
        <v>2025</v>
      </c>
      <c r="D977" s="9" t="s">
        <v>27</v>
      </c>
      <c r="E977" s="90" t="s">
        <v>23</v>
      </c>
      <c r="F977" s="9" t="s">
        <v>7</v>
      </c>
      <c r="G977" s="10"/>
      <c r="H977" s="96">
        <v>250440</v>
      </c>
      <c r="I977" s="109" t="s">
        <v>517</v>
      </c>
      <c r="J977" s="115">
        <v>45764</v>
      </c>
      <c r="K977" s="115">
        <v>45773</v>
      </c>
      <c r="L977" s="131">
        <v>1298944</v>
      </c>
      <c r="M977" s="117" t="s">
        <v>541</v>
      </c>
      <c r="N977" s="34" t="s">
        <v>29</v>
      </c>
      <c r="O977" s="10"/>
      <c r="P977" s="113">
        <v>45797</v>
      </c>
      <c r="Q977" s="113">
        <v>45797</v>
      </c>
      <c r="R977" s="113">
        <v>45797</v>
      </c>
      <c r="S977" s="37">
        <f t="shared" si="198"/>
        <v>1298944</v>
      </c>
      <c r="T977" s="37">
        <f t="shared" si="199"/>
        <v>0</v>
      </c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</row>
    <row r="978" spans="1:31" hidden="1">
      <c r="A978" s="277" t="s">
        <v>5362</v>
      </c>
      <c r="B978" s="9" t="s">
        <v>21</v>
      </c>
      <c r="C978" s="9">
        <v>2025</v>
      </c>
      <c r="D978" s="9" t="s">
        <v>27</v>
      </c>
      <c r="E978" s="90" t="s">
        <v>23</v>
      </c>
      <c r="F978" s="9" t="s">
        <v>7</v>
      </c>
      <c r="G978" s="10"/>
      <c r="H978" s="96">
        <v>250439</v>
      </c>
      <c r="I978" s="109" t="s">
        <v>517</v>
      </c>
      <c r="J978" s="115">
        <v>45764</v>
      </c>
      <c r="K978" s="115">
        <v>45773</v>
      </c>
      <c r="L978" s="131">
        <v>224282</v>
      </c>
      <c r="M978" s="117" t="s">
        <v>542</v>
      </c>
      <c r="N978" s="34" t="s">
        <v>29</v>
      </c>
      <c r="O978" s="10"/>
      <c r="P978" s="113">
        <v>45797</v>
      </c>
      <c r="Q978" s="113">
        <v>45797</v>
      </c>
      <c r="R978" s="113">
        <v>45797</v>
      </c>
      <c r="S978" s="37">
        <f t="shared" si="198"/>
        <v>224282</v>
      </c>
      <c r="T978" s="37">
        <f t="shared" si="199"/>
        <v>0</v>
      </c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</row>
    <row r="979" spans="1:31" hidden="1">
      <c r="A979" s="277" t="s">
        <v>5363</v>
      </c>
      <c r="B979" s="9" t="s">
        <v>21</v>
      </c>
      <c r="C979" s="9">
        <v>2025</v>
      </c>
      <c r="D979" s="9" t="s">
        <v>27</v>
      </c>
      <c r="E979" s="90" t="s">
        <v>23</v>
      </c>
      <c r="F979" s="9" t="s">
        <v>7</v>
      </c>
      <c r="G979" s="10"/>
      <c r="H979" s="96"/>
      <c r="I979" s="109" t="s">
        <v>517</v>
      </c>
      <c r="J979" s="115">
        <v>45768</v>
      </c>
      <c r="K979" s="115">
        <v>45773</v>
      </c>
      <c r="L979" s="131">
        <v>-2909998</v>
      </c>
      <c r="M979" s="117" t="s">
        <v>543</v>
      </c>
      <c r="N979" s="34" t="s">
        <v>29</v>
      </c>
      <c r="O979" s="10"/>
      <c r="P979" s="113">
        <v>45797</v>
      </c>
      <c r="Q979" s="113">
        <v>45797</v>
      </c>
      <c r="R979" s="113">
        <v>45797</v>
      </c>
      <c r="S979" s="37">
        <f t="shared" si="198"/>
        <v>-2909998</v>
      </c>
      <c r="T979" s="37">
        <f t="shared" si="199"/>
        <v>0</v>
      </c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</row>
    <row r="980" spans="1:31" hidden="1">
      <c r="A980" s="277" t="s">
        <v>5364</v>
      </c>
      <c r="B980" s="9" t="s">
        <v>21</v>
      </c>
      <c r="C980" s="9">
        <v>2025</v>
      </c>
      <c r="D980" s="9" t="s">
        <v>27</v>
      </c>
      <c r="E980" s="90" t="s">
        <v>23</v>
      </c>
      <c r="F980" s="9" t="s">
        <v>7</v>
      </c>
      <c r="G980" s="10"/>
      <c r="H980" s="96"/>
      <c r="I980" s="109" t="s">
        <v>517</v>
      </c>
      <c r="J980" s="115">
        <v>45768</v>
      </c>
      <c r="K980" s="115">
        <v>45773</v>
      </c>
      <c r="L980" s="131">
        <v>-2093295</v>
      </c>
      <c r="M980" s="117" t="s">
        <v>544</v>
      </c>
      <c r="N980" s="34" t="s">
        <v>29</v>
      </c>
      <c r="O980" s="10"/>
      <c r="P980" s="113">
        <v>45797</v>
      </c>
      <c r="Q980" s="113">
        <v>45797</v>
      </c>
      <c r="R980" s="113">
        <v>45797</v>
      </c>
      <c r="S980" s="37">
        <f t="shared" si="198"/>
        <v>-2093295</v>
      </c>
      <c r="T980" s="37">
        <f t="shared" si="199"/>
        <v>0</v>
      </c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</row>
    <row r="981" spans="1:31" hidden="1">
      <c r="A981" s="277" t="s">
        <v>5365</v>
      </c>
      <c r="B981" s="9" t="s">
        <v>21</v>
      </c>
      <c r="C981" s="9">
        <v>2025</v>
      </c>
      <c r="D981" s="9" t="s">
        <v>27</v>
      </c>
      <c r="E981" s="90" t="s">
        <v>23</v>
      </c>
      <c r="F981" s="9" t="s">
        <v>7</v>
      </c>
      <c r="G981" s="10"/>
      <c r="H981" s="96">
        <v>250552</v>
      </c>
      <c r="I981" s="109" t="s">
        <v>517</v>
      </c>
      <c r="J981" s="115">
        <v>45798</v>
      </c>
      <c r="K981" s="115">
        <v>45818</v>
      </c>
      <c r="L981" s="131">
        <v>10894206</v>
      </c>
      <c r="M981" s="117" t="s">
        <v>545</v>
      </c>
      <c r="N981" s="34" t="s">
        <v>29</v>
      </c>
      <c r="O981" s="52">
        <f>SUM(L981:L997)</f>
        <v>50102033</v>
      </c>
      <c r="P981" s="113">
        <v>45919</v>
      </c>
      <c r="Q981" s="113">
        <v>45919</v>
      </c>
      <c r="R981" s="113">
        <v>45919</v>
      </c>
      <c r="S981" s="37">
        <f t="shared" si="198"/>
        <v>10894206</v>
      </c>
      <c r="T981" s="37">
        <f t="shared" si="199"/>
        <v>0</v>
      </c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</row>
    <row r="982" spans="1:31" hidden="1">
      <c r="A982" s="277" t="s">
        <v>5366</v>
      </c>
      <c r="B982" s="9" t="s">
        <v>21</v>
      </c>
      <c r="C982" s="9">
        <v>2025</v>
      </c>
      <c r="D982" s="9" t="s">
        <v>27</v>
      </c>
      <c r="E982" s="90" t="s">
        <v>23</v>
      </c>
      <c r="F982" s="9" t="s">
        <v>7</v>
      </c>
      <c r="G982" s="10"/>
      <c r="H982" s="96">
        <v>250546</v>
      </c>
      <c r="I982" s="109" t="s">
        <v>517</v>
      </c>
      <c r="J982" s="115">
        <v>45803</v>
      </c>
      <c r="K982" s="115">
        <v>45818</v>
      </c>
      <c r="L982" s="131">
        <v>3786432</v>
      </c>
      <c r="M982" s="117" t="s">
        <v>546</v>
      </c>
      <c r="N982" s="34" t="s">
        <v>29</v>
      </c>
      <c r="O982" s="10"/>
      <c r="P982" s="113">
        <v>45919</v>
      </c>
      <c r="Q982" s="113">
        <v>45919</v>
      </c>
      <c r="R982" s="113">
        <v>45919</v>
      </c>
      <c r="S982" s="37">
        <f t="shared" si="198"/>
        <v>3786432</v>
      </c>
      <c r="T982" s="37">
        <f t="shared" si="199"/>
        <v>0</v>
      </c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</row>
    <row r="983" spans="1:31" hidden="1">
      <c r="A983" s="277" t="s">
        <v>5367</v>
      </c>
      <c r="B983" s="9" t="s">
        <v>21</v>
      </c>
      <c r="C983" s="9">
        <v>2025</v>
      </c>
      <c r="D983" s="9" t="s">
        <v>27</v>
      </c>
      <c r="E983" s="90" t="s">
        <v>23</v>
      </c>
      <c r="F983" s="9" t="s">
        <v>7</v>
      </c>
      <c r="G983" s="10"/>
      <c r="H983" s="96">
        <v>250562</v>
      </c>
      <c r="I983" s="109" t="s">
        <v>517</v>
      </c>
      <c r="J983" s="115">
        <v>45807</v>
      </c>
      <c r="K983" s="115">
        <v>45818</v>
      </c>
      <c r="L983" s="131">
        <v>3160376</v>
      </c>
      <c r="M983" s="117" t="s">
        <v>547</v>
      </c>
      <c r="N983" s="34" t="s">
        <v>29</v>
      </c>
      <c r="O983" s="10"/>
      <c r="P983" s="113">
        <v>45919</v>
      </c>
      <c r="Q983" s="113">
        <v>45919</v>
      </c>
      <c r="R983" s="113">
        <v>45919</v>
      </c>
      <c r="S983" s="37">
        <f t="shared" si="198"/>
        <v>3160376</v>
      </c>
      <c r="T983" s="37">
        <f t="shared" si="199"/>
        <v>0</v>
      </c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</row>
    <row r="984" spans="1:31" hidden="1">
      <c r="A984" s="277" t="s">
        <v>5368</v>
      </c>
      <c r="B984" s="9" t="s">
        <v>21</v>
      </c>
      <c r="C984" s="9">
        <v>2025</v>
      </c>
      <c r="D984" s="9" t="s">
        <v>27</v>
      </c>
      <c r="E984" s="90" t="s">
        <v>23</v>
      </c>
      <c r="F984" s="9" t="s">
        <v>7</v>
      </c>
      <c r="G984" s="10"/>
      <c r="H984" s="96">
        <v>250577</v>
      </c>
      <c r="I984" s="109" t="s">
        <v>517</v>
      </c>
      <c r="J984" s="115">
        <v>45807</v>
      </c>
      <c r="K984" s="115">
        <v>45818</v>
      </c>
      <c r="L984" s="131">
        <v>205350</v>
      </c>
      <c r="M984" s="117" t="s">
        <v>548</v>
      </c>
      <c r="N984" s="34" t="s">
        <v>29</v>
      </c>
      <c r="O984" s="10"/>
      <c r="P984" s="113">
        <v>45919</v>
      </c>
      <c r="Q984" s="113">
        <v>45919</v>
      </c>
      <c r="R984" s="113">
        <v>45919</v>
      </c>
      <c r="S984" s="37">
        <f t="shared" si="198"/>
        <v>205350</v>
      </c>
      <c r="T984" s="37">
        <f t="shared" si="199"/>
        <v>0</v>
      </c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</row>
    <row r="985" spans="1:31" hidden="1">
      <c r="A985" s="277" t="s">
        <v>5369</v>
      </c>
      <c r="B985" s="9" t="s">
        <v>21</v>
      </c>
      <c r="C985" s="9">
        <v>2025</v>
      </c>
      <c r="D985" s="9" t="s">
        <v>27</v>
      </c>
      <c r="E985" s="90" t="s">
        <v>23</v>
      </c>
      <c r="F985" s="9" t="s">
        <v>7</v>
      </c>
      <c r="G985" s="10"/>
      <c r="H985" s="96">
        <v>250578</v>
      </c>
      <c r="I985" s="109" t="s">
        <v>517</v>
      </c>
      <c r="J985" s="115">
        <v>45808</v>
      </c>
      <c r="K985" s="115">
        <v>45818</v>
      </c>
      <c r="L985" s="131">
        <v>75003</v>
      </c>
      <c r="M985" s="117" t="s">
        <v>549</v>
      </c>
      <c r="N985" s="34" t="s">
        <v>29</v>
      </c>
      <c r="O985" s="10"/>
      <c r="P985" s="113">
        <v>45919</v>
      </c>
      <c r="Q985" s="113">
        <v>45919</v>
      </c>
      <c r="R985" s="113">
        <v>45919</v>
      </c>
      <c r="S985" s="37">
        <f t="shared" si="198"/>
        <v>75003</v>
      </c>
      <c r="T985" s="37">
        <f t="shared" si="199"/>
        <v>0</v>
      </c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</row>
    <row r="986" spans="1:31" hidden="1">
      <c r="A986" s="277" t="s">
        <v>5370</v>
      </c>
      <c r="B986" s="9" t="s">
        <v>21</v>
      </c>
      <c r="C986" s="9">
        <v>2025</v>
      </c>
      <c r="D986" s="9" t="s">
        <v>27</v>
      </c>
      <c r="E986" s="90" t="s">
        <v>23</v>
      </c>
      <c r="F986" s="9" t="s">
        <v>7</v>
      </c>
      <c r="G986" s="10"/>
      <c r="H986" s="96">
        <v>250548</v>
      </c>
      <c r="I986" s="109" t="s">
        <v>517</v>
      </c>
      <c r="J986" s="115">
        <v>45804</v>
      </c>
      <c r="K986" s="115">
        <v>45818</v>
      </c>
      <c r="L986" s="131">
        <v>2117880</v>
      </c>
      <c r="M986" s="117" t="s">
        <v>550</v>
      </c>
      <c r="N986" s="34" t="s">
        <v>29</v>
      </c>
      <c r="O986" s="10"/>
      <c r="P986" s="113">
        <v>45919</v>
      </c>
      <c r="Q986" s="113">
        <v>45919</v>
      </c>
      <c r="R986" s="113">
        <v>45919</v>
      </c>
      <c r="S986" s="37">
        <f t="shared" si="198"/>
        <v>2117880</v>
      </c>
      <c r="T986" s="37">
        <f t="shared" si="199"/>
        <v>0</v>
      </c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</row>
    <row r="987" spans="1:31" hidden="1">
      <c r="A987" s="277" t="s">
        <v>5371</v>
      </c>
      <c r="B987" s="9" t="s">
        <v>21</v>
      </c>
      <c r="C987" s="9">
        <v>2025</v>
      </c>
      <c r="D987" s="9" t="s">
        <v>27</v>
      </c>
      <c r="E987" s="90" t="s">
        <v>23</v>
      </c>
      <c r="F987" s="9" t="s">
        <v>7</v>
      </c>
      <c r="G987" s="10"/>
      <c r="H987" s="96">
        <v>250588</v>
      </c>
      <c r="I987" s="109" t="s">
        <v>517</v>
      </c>
      <c r="J987" s="115">
        <v>45813</v>
      </c>
      <c r="K987" s="115">
        <v>45827</v>
      </c>
      <c r="L987" s="131">
        <v>3696300</v>
      </c>
      <c r="M987" s="117" t="s">
        <v>551</v>
      </c>
      <c r="N987" s="34" t="s">
        <v>29</v>
      </c>
      <c r="O987" s="10"/>
      <c r="P987" s="113">
        <v>45919</v>
      </c>
      <c r="Q987" s="113">
        <v>45919</v>
      </c>
      <c r="R987" s="113">
        <v>45919</v>
      </c>
      <c r="S987" s="37">
        <f t="shared" si="198"/>
        <v>3696300</v>
      </c>
      <c r="T987" s="37">
        <f t="shared" si="199"/>
        <v>0</v>
      </c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</row>
    <row r="988" spans="1:31" hidden="1">
      <c r="A988" s="277" t="s">
        <v>5372</v>
      </c>
      <c r="B988" s="9" t="s">
        <v>21</v>
      </c>
      <c r="C988" s="9">
        <v>2025</v>
      </c>
      <c r="D988" s="9" t="s">
        <v>27</v>
      </c>
      <c r="E988" s="90" t="s">
        <v>23</v>
      </c>
      <c r="F988" s="9" t="s">
        <v>7</v>
      </c>
      <c r="G988" s="10"/>
      <c r="H988" s="96">
        <v>250611</v>
      </c>
      <c r="I988" s="109" t="s">
        <v>517</v>
      </c>
      <c r="J988" s="115">
        <v>45827</v>
      </c>
      <c r="K988" s="115">
        <v>45834</v>
      </c>
      <c r="L988" s="131">
        <v>200000</v>
      </c>
      <c r="M988" s="117" t="s">
        <v>552</v>
      </c>
      <c r="N988" s="34" t="s">
        <v>29</v>
      </c>
      <c r="O988" s="10"/>
      <c r="P988" s="113">
        <v>45919</v>
      </c>
      <c r="Q988" s="113">
        <v>45919</v>
      </c>
      <c r="R988" s="113">
        <v>45919</v>
      </c>
      <c r="S988" s="37">
        <f t="shared" ref="S988:S994" si="200">IF(R988="",0,L988)</f>
        <v>200000</v>
      </c>
      <c r="T988" s="37">
        <f t="shared" ref="T988:T994" si="201">L988-S988</f>
        <v>0</v>
      </c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</row>
    <row r="989" spans="1:31" hidden="1">
      <c r="A989" s="277" t="s">
        <v>5373</v>
      </c>
      <c r="B989" s="9" t="s">
        <v>21</v>
      </c>
      <c r="C989" s="9">
        <v>2025</v>
      </c>
      <c r="D989" s="9" t="s">
        <v>27</v>
      </c>
      <c r="E989" s="90" t="s">
        <v>23</v>
      </c>
      <c r="F989" s="9" t="s">
        <v>7</v>
      </c>
      <c r="G989" s="10"/>
      <c r="H989" s="96">
        <v>250627</v>
      </c>
      <c r="I989" s="109" t="s">
        <v>517</v>
      </c>
      <c r="J989" s="115">
        <v>45833</v>
      </c>
      <c r="K989" s="115">
        <v>45848</v>
      </c>
      <c r="L989" s="131">
        <v>6160500</v>
      </c>
      <c r="M989" s="117" t="s">
        <v>553</v>
      </c>
      <c r="N989" s="34" t="s">
        <v>29</v>
      </c>
      <c r="O989" s="10"/>
      <c r="P989" s="113">
        <v>45919</v>
      </c>
      <c r="Q989" s="113">
        <v>45919</v>
      </c>
      <c r="R989" s="113">
        <v>45919</v>
      </c>
      <c r="S989" s="37">
        <f t="shared" si="200"/>
        <v>6160500</v>
      </c>
      <c r="T989" s="37">
        <f t="shared" si="201"/>
        <v>0</v>
      </c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</row>
    <row r="990" spans="1:31" hidden="1">
      <c r="A990" s="277" t="s">
        <v>5374</v>
      </c>
      <c r="B990" s="9" t="s">
        <v>21</v>
      </c>
      <c r="C990" s="9">
        <v>2025</v>
      </c>
      <c r="D990" s="9" t="s">
        <v>27</v>
      </c>
      <c r="E990" s="90" t="s">
        <v>23</v>
      </c>
      <c r="F990" s="9" t="s">
        <v>7</v>
      </c>
      <c r="G990" s="10"/>
      <c r="H990" s="96">
        <v>250648</v>
      </c>
      <c r="I990" s="109" t="s">
        <v>517</v>
      </c>
      <c r="J990" s="115">
        <v>45834</v>
      </c>
      <c r="K990" s="115">
        <v>45848</v>
      </c>
      <c r="L990" s="131">
        <v>878621</v>
      </c>
      <c r="M990" s="117" t="s">
        <v>554</v>
      </c>
      <c r="N990" s="34" t="s">
        <v>29</v>
      </c>
      <c r="O990" s="10"/>
      <c r="P990" s="113">
        <v>45919</v>
      </c>
      <c r="Q990" s="113">
        <v>45919</v>
      </c>
      <c r="R990" s="113">
        <v>45919</v>
      </c>
      <c r="S990" s="37">
        <f t="shared" si="200"/>
        <v>878621</v>
      </c>
      <c r="T990" s="37">
        <f t="shared" si="201"/>
        <v>0</v>
      </c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</row>
    <row r="991" spans="1:31" hidden="1">
      <c r="A991" s="277" t="s">
        <v>5375</v>
      </c>
      <c r="B991" s="9" t="s">
        <v>21</v>
      </c>
      <c r="C991" s="9">
        <v>2025</v>
      </c>
      <c r="D991" s="9" t="s">
        <v>27</v>
      </c>
      <c r="E991" s="90" t="s">
        <v>23</v>
      </c>
      <c r="F991" s="9" t="s">
        <v>7</v>
      </c>
      <c r="G991" s="10"/>
      <c r="H991" s="96">
        <v>250647</v>
      </c>
      <c r="I991" s="109" t="s">
        <v>517</v>
      </c>
      <c r="J991" s="115">
        <v>45834</v>
      </c>
      <c r="K991" s="115">
        <v>45848</v>
      </c>
      <c r="L991" s="131">
        <v>300000</v>
      </c>
      <c r="M991" s="117" t="s">
        <v>555</v>
      </c>
      <c r="N991" s="34" t="s">
        <v>29</v>
      </c>
      <c r="O991" s="10"/>
      <c r="P991" s="113">
        <v>45919</v>
      </c>
      <c r="Q991" s="113">
        <v>45919</v>
      </c>
      <c r="R991" s="113">
        <v>45919</v>
      </c>
      <c r="S991" s="37">
        <f t="shared" si="200"/>
        <v>300000</v>
      </c>
      <c r="T991" s="37">
        <f t="shared" si="201"/>
        <v>0</v>
      </c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</row>
    <row r="992" spans="1:31" hidden="1">
      <c r="A992" s="277" t="s">
        <v>5376</v>
      </c>
      <c r="B992" s="9" t="s">
        <v>21</v>
      </c>
      <c r="C992" s="9">
        <v>2025</v>
      </c>
      <c r="D992" s="9" t="s">
        <v>27</v>
      </c>
      <c r="E992" s="90" t="s">
        <v>23</v>
      </c>
      <c r="F992" s="9" t="s">
        <v>7</v>
      </c>
      <c r="G992" s="10"/>
      <c r="H992" s="96">
        <v>250663</v>
      </c>
      <c r="I992" s="109" t="s">
        <v>517</v>
      </c>
      <c r="J992" s="115">
        <v>45843</v>
      </c>
      <c r="K992" s="115">
        <v>45855</v>
      </c>
      <c r="L992" s="131">
        <v>350527</v>
      </c>
      <c r="M992" s="117" t="s">
        <v>556</v>
      </c>
      <c r="N992" s="34" t="s">
        <v>29</v>
      </c>
      <c r="O992" s="10"/>
      <c r="P992" s="113">
        <v>45919</v>
      </c>
      <c r="Q992" s="113">
        <v>45919</v>
      </c>
      <c r="R992" s="113">
        <v>45919</v>
      </c>
      <c r="S992" s="37">
        <f t="shared" si="200"/>
        <v>350527</v>
      </c>
      <c r="T992" s="37">
        <f t="shared" si="201"/>
        <v>0</v>
      </c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</row>
    <row r="993" spans="1:31" hidden="1">
      <c r="A993" s="277" t="s">
        <v>5377</v>
      </c>
      <c r="B993" s="9" t="s">
        <v>21</v>
      </c>
      <c r="C993" s="9">
        <v>2025</v>
      </c>
      <c r="D993" s="9" t="s">
        <v>27</v>
      </c>
      <c r="E993" s="90" t="s">
        <v>23</v>
      </c>
      <c r="F993" s="9" t="s">
        <v>7</v>
      </c>
      <c r="G993" s="10"/>
      <c r="H993" s="96">
        <v>250668</v>
      </c>
      <c r="I993" s="109" t="s">
        <v>517</v>
      </c>
      <c r="J993" s="115">
        <v>45847</v>
      </c>
      <c r="K993" s="115">
        <v>45855</v>
      </c>
      <c r="L993" s="131">
        <v>3117467</v>
      </c>
      <c r="M993" s="117" t="s">
        <v>557</v>
      </c>
      <c r="N993" s="34" t="s">
        <v>29</v>
      </c>
      <c r="O993" s="10"/>
      <c r="P993" s="113">
        <v>45919</v>
      </c>
      <c r="Q993" s="113">
        <v>45919</v>
      </c>
      <c r="R993" s="113">
        <v>45919</v>
      </c>
      <c r="S993" s="37">
        <f t="shared" si="200"/>
        <v>3117467</v>
      </c>
      <c r="T993" s="37">
        <f t="shared" si="201"/>
        <v>0</v>
      </c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</row>
    <row r="994" spans="1:31" hidden="1">
      <c r="A994" s="277" t="s">
        <v>5378</v>
      </c>
      <c r="B994" s="9" t="s">
        <v>21</v>
      </c>
      <c r="C994" s="9">
        <v>2025</v>
      </c>
      <c r="D994" s="9" t="s">
        <v>27</v>
      </c>
      <c r="E994" s="90" t="s">
        <v>23</v>
      </c>
      <c r="F994" s="9" t="s">
        <v>7</v>
      </c>
      <c r="G994" s="10"/>
      <c r="H994" s="96">
        <v>250669</v>
      </c>
      <c r="I994" s="109" t="s">
        <v>517</v>
      </c>
      <c r="J994" s="115">
        <v>45847</v>
      </c>
      <c r="K994" s="115">
        <v>45855</v>
      </c>
      <c r="L994" s="131">
        <v>2054344</v>
      </c>
      <c r="M994" s="117" t="s">
        <v>558</v>
      </c>
      <c r="N994" s="34" t="s">
        <v>29</v>
      </c>
      <c r="O994" s="10"/>
      <c r="P994" s="113">
        <v>45919</v>
      </c>
      <c r="Q994" s="113">
        <v>45919</v>
      </c>
      <c r="R994" s="113">
        <v>45919</v>
      </c>
      <c r="S994" s="37">
        <f t="shared" si="200"/>
        <v>2054344</v>
      </c>
      <c r="T994" s="37">
        <f t="shared" si="201"/>
        <v>0</v>
      </c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</row>
    <row r="995" spans="1:31" hidden="1">
      <c r="A995" s="277" t="s">
        <v>5379</v>
      </c>
      <c r="B995" s="9" t="s">
        <v>21</v>
      </c>
      <c r="C995" s="9">
        <v>2025</v>
      </c>
      <c r="D995" s="9" t="s">
        <v>27</v>
      </c>
      <c r="E995" s="90" t="s">
        <v>23</v>
      </c>
      <c r="F995" s="9" t="s">
        <v>7</v>
      </c>
      <c r="G995" s="10"/>
      <c r="H995" s="96">
        <v>250700</v>
      </c>
      <c r="I995" s="109" t="s">
        <v>517</v>
      </c>
      <c r="J995" s="115">
        <v>45847</v>
      </c>
      <c r="K995" s="115">
        <v>45862</v>
      </c>
      <c r="L995" s="131">
        <v>8880000</v>
      </c>
      <c r="M995" s="117" t="s">
        <v>559</v>
      </c>
      <c r="N995" s="34" t="s">
        <v>29</v>
      </c>
      <c r="O995" s="10"/>
      <c r="P995" s="113">
        <v>45919</v>
      </c>
      <c r="Q995" s="113">
        <v>45919</v>
      </c>
      <c r="R995" s="113">
        <v>45919</v>
      </c>
      <c r="S995" s="37">
        <f>IF(R995="",0,L995)</f>
        <v>8880000</v>
      </c>
      <c r="T995" s="37">
        <f>L995-S995</f>
        <v>0</v>
      </c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</row>
    <row r="996" spans="1:31" hidden="1">
      <c r="A996" s="277" t="s">
        <v>5380</v>
      </c>
      <c r="B996" s="9" t="s">
        <v>21</v>
      </c>
      <c r="C996" s="9">
        <v>2025</v>
      </c>
      <c r="D996" s="9" t="s">
        <v>27</v>
      </c>
      <c r="E996" s="90" t="s">
        <v>23</v>
      </c>
      <c r="F996" s="9" t="s">
        <v>7</v>
      </c>
      <c r="G996" s="10"/>
      <c r="H996" s="96">
        <v>250688</v>
      </c>
      <c r="I996" s="109" t="s">
        <v>517</v>
      </c>
      <c r="J996" s="115">
        <v>45847</v>
      </c>
      <c r="K996" s="115">
        <v>45862</v>
      </c>
      <c r="L996" s="131">
        <v>200000</v>
      </c>
      <c r="M996" s="117" t="s">
        <v>560</v>
      </c>
      <c r="N996" s="34" t="s">
        <v>29</v>
      </c>
      <c r="O996" s="10"/>
      <c r="P996" s="113">
        <v>45919</v>
      </c>
      <c r="Q996" s="113">
        <v>45919</v>
      </c>
      <c r="R996" s="113">
        <v>45919</v>
      </c>
      <c r="S996" s="37">
        <f>IF(R996="",0,L996)</f>
        <v>200000</v>
      </c>
      <c r="T996" s="37">
        <f>L996-S996</f>
        <v>0</v>
      </c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</row>
    <row r="997" spans="1:31" hidden="1">
      <c r="A997" s="277" t="s">
        <v>5381</v>
      </c>
      <c r="B997" s="9" t="s">
        <v>21</v>
      </c>
      <c r="C997" s="9">
        <v>2025</v>
      </c>
      <c r="D997" s="9" t="s">
        <v>27</v>
      </c>
      <c r="E997" s="90" t="s">
        <v>23</v>
      </c>
      <c r="F997" s="9" t="s">
        <v>7</v>
      </c>
      <c r="G997" s="10"/>
      <c r="H997" s="96">
        <v>250691</v>
      </c>
      <c r="I997" s="109" t="s">
        <v>517</v>
      </c>
      <c r="J997" s="115">
        <v>45853</v>
      </c>
      <c r="K997" s="115">
        <v>45862</v>
      </c>
      <c r="L997" s="131">
        <v>4025027</v>
      </c>
      <c r="M997" s="117" t="s">
        <v>561</v>
      </c>
      <c r="N997" s="34" t="s">
        <v>29</v>
      </c>
      <c r="O997" s="10"/>
      <c r="P997" s="113">
        <v>45919</v>
      </c>
      <c r="Q997" s="113">
        <v>45919</v>
      </c>
      <c r="R997" s="113">
        <v>45919</v>
      </c>
      <c r="S997" s="37">
        <f>IF(R997="",0,L997)</f>
        <v>4025027</v>
      </c>
      <c r="T997" s="37">
        <f>L997-S997</f>
        <v>0</v>
      </c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</row>
    <row r="998" spans="1:31" hidden="1">
      <c r="A998" s="277" t="s">
        <v>5382</v>
      </c>
      <c r="B998" s="9" t="s">
        <v>21</v>
      </c>
      <c r="C998" s="9">
        <v>2025</v>
      </c>
      <c r="D998" s="9" t="s">
        <v>27</v>
      </c>
      <c r="E998" s="90" t="s">
        <v>23</v>
      </c>
      <c r="F998" s="9" t="s">
        <v>7</v>
      </c>
      <c r="G998" s="10"/>
      <c r="H998" s="96">
        <v>250950</v>
      </c>
      <c r="I998" s="109" t="s">
        <v>517</v>
      </c>
      <c r="J998" s="115">
        <v>45922</v>
      </c>
      <c r="K998" s="115">
        <v>45939</v>
      </c>
      <c r="L998" s="131">
        <v>815850</v>
      </c>
      <c r="M998" s="117" t="s">
        <v>3780</v>
      </c>
      <c r="N998" s="34" t="s">
        <v>29</v>
      </c>
      <c r="O998" s="52">
        <f>SUM(L998:L1014)</f>
        <v>56972658</v>
      </c>
      <c r="P998" s="113">
        <v>45988</v>
      </c>
      <c r="Q998" s="113">
        <v>45988</v>
      </c>
      <c r="R998" s="113">
        <v>45988</v>
      </c>
      <c r="S998" s="37">
        <f t="shared" ref="S998:S1020" si="202">IF(R998="",0,L998)</f>
        <v>815850</v>
      </c>
      <c r="T998" s="37">
        <f t="shared" ref="T998:T1020" si="203">L998-S998</f>
        <v>0</v>
      </c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</row>
    <row r="999" spans="1:31" hidden="1">
      <c r="A999" s="277" t="s">
        <v>5383</v>
      </c>
      <c r="B999" s="9" t="s">
        <v>21</v>
      </c>
      <c r="C999" s="9">
        <v>2025</v>
      </c>
      <c r="D999" s="9" t="s">
        <v>27</v>
      </c>
      <c r="E999" s="90" t="s">
        <v>23</v>
      </c>
      <c r="F999" s="9" t="s">
        <v>7</v>
      </c>
      <c r="G999" s="10"/>
      <c r="H999" s="96">
        <v>250957</v>
      </c>
      <c r="I999" s="109" t="s">
        <v>517</v>
      </c>
      <c r="J999" s="115">
        <v>45923</v>
      </c>
      <c r="K999" s="115">
        <v>45939</v>
      </c>
      <c r="L999" s="131">
        <v>2685904</v>
      </c>
      <c r="M999" s="117" t="s">
        <v>3781</v>
      </c>
      <c r="N999" s="34" t="s">
        <v>29</v>
      </c>
      <c r="O999" s="10"/>
      <c r="P999" s="113">
        <v>45988</v>
      </c>
      <c r="Q999" s="113">
        <v>45988</v>
      </c>
      <c r="R999" s="113">
        <v>45988</v>
      </c>
      <c r="S999" s="37">
        <f t="shared" si="202"/>
        <v>2685904</v>
      </c>
      <c r="T999" s="37">
        <f t="shared" si="203"/>
        <v>0</v>
      </c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</row>
    <row r="1000" spans="1:31" hidden="1">
      <c r="A1000" s="277" t="s">
        <v>5384</v>
      </c>
      <c r="B1000" s="9" t="s">
        <v>21</v>
      </c>
      <c r="C1000" s="9">
        <v>2025</v>
      </c>
      <c r="D1000" s="9" t="s">
        <v>27</v>
      </c>
      <c r="E1000" s="90" t="s">
        <v>23</v>
      </c>
      <c r="F1000" s="9" t="s">
        <v>7</v>
      </c>
      <c r="G1000" s="10"/>
      <c r="H1000" s="96">
        <v>250964</v>
      </c>
      <c r="I1000" s="109" t="s">
        <v>517</v>
      </c>
      <c r="J1000" s="115">
        <v>45924</v>
      </c>
      <c r="K1000" s="115">
        <v>45939</v>
      </c>
      <c r="L1000" s="131">
        <v>466200</v>
      </c>
      <c r="M1000" s="117" t="s">
        <v>3782</v>
      </c>
      <c r="N1000" s="34" t="s">
        <v>29</v>
      </c>
      <c r="O1000" s="10"/>
      <c r="P1000" s="113">
        <v>45988</v>
      </c>
      <c r="Q1000" s="113">
        <v>45988</v>
      </c>
      <c r="R1000" s="113">
        <v>45988</v>
      </c>
      <c r="S1000" s="37">
        <f t="shared" si="202"/>
        <v>466200</v>
      </c>
      <c r="T1000" s="37">
        <f t="shared" si="203"/>
        <v>0</v>
      </c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</row>
    <row r="1001" spans="1:31" hidden="1">
      <c r="A1001" s="277" t="s">
        <v>5385</v>
      </c>
      <c r="B1001" s="9" t="s">
        <v>21</v>
      </c>
      <c r="C1001" s="9">
        <v>2025</v>
      </c>
      <c r="D1001" s="9" t="s">
        <v>27</v>
      </c>
      <c r="E1001" s="90" t="s">
        <v>23</v>
      </c>
      <c r="F1001" s="9" t="s">
        <v>7</v>
      </c>
      <c r="G1001" s="10"/>
      <c r="H1001" s="96">
        <v>250965</v>
      </c>
      <c r="I1001" s="109" t="s">
        <v>517</v>
      </c>
      <c r="J1001" s="115">
        <v>45924</v>
      </c>
      <c r="K1001" s="115">
        <v>45939</v>
      </c>
      <c r="L1001" s="131">
        <v>1402196</v>
      </c>
      <c r="M1001" s="117" t="s">
        <v>3783</v>
      </c>
      <c r="N1001" s="34" t="s">
        <v>29</v>
      </c>
      <c r="O1001" s="10"/>
      <c r="P1001" s="113">
        <v>45988</v>
      </c>
      <c r="Q1001" s="113">
        <v>45988</v>
      </c>
      <c r="R1001" s="113">
        <v>45988</v>
      </c>
      <c r="S1001" s="37">
        <f t="shared" si="202"/>
        <v>1402196</v>
      </c>
      <c r="T1001" s="37">
        <f t="shared" si="203"/>
        <v>0</v>
      </c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</row>
    <row r="1002" spans="1:31" hidden="1">
      <c r="A1002" s="277" t="s">
        <v>7553</v>
      </c>
      <c r="B1002" s="9" t="s">
        <v>21</v>
      </c>
      <c r="C1002" s="9">
        <v>2025</v>
      </c>
      <c r="D1002" s="9" t="s">
        <v>27</v>
      </c>
      <c r="E1002" s="90" t="s">
        <v>23</v>
      </c>
      <c r="F1002" s="9" t="s">
        <v>7</v>
      </c>
      <c r="G1002" s="10"/>
      <c r="H1002" s="96">
        <v>250980</v>
      </c>
      <c r="I1002" s="109" t="s">
        <v>517</v>
      </c>
      <c r="J1002" s="115">
        <v>45924</v>
      </c>
      <c r="K1002" s="115">
        <v>45939</v>
      </c>
      <c r="L1002" s="131">
        <v>17234398</v>
      </c>
      <c r="M1002" s="117" t="s">
        <v>3784</v>
      </c>
      <c r="N1002" s="34" t="s">
        <v>29</v>
      </c>
      <c r="O1002" s="10"/>
      <c r="P1002" s="113">
        <v>45988</v>
      </c>
      <c r="Q1002" s="113">
        <v>45988</v>
      </c>
      <c r="R1002" s="113">
        <v>45988</v>
      </c>
      <c r="S1002" s="37">
        <f t="shared" si="202"/>
        <v>17234398</v>
      </c>
      <c r="T1002" s="37">
        <f t="shared" si="203"/>
        <v>0</v>
      </c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</row>
    <row r="1003" spans="1:31" hidden="1">
      <c r="A1003" s="277" t="s">
        <v>7554</v>
      </c>
      <c r="B1003" s="9" t="s">
        <v>21</v>
      </c>
      <c r="C1003" s="9">
        <v>2025</v>
      </c>
      <c r="D1003" s="9" t="s">
        <v>27</v>
      </c>
      <c r="E1003" s="90" t="s">
        <v>23</v>
      </c>
      <c r="F1003" s="9" t="s">
        <v>7</v>
      </c>
      <c r="G1003" s="10"/>
      <c r="H1003" s="96">
        <v>250978</v>
      </c>
      <c r="I1003" s="109" t="s">
        <v>517</v>
      </c>
      <c r="J1003" s="115">
        <v>45924</v>
      </c>
      <c r="K1003" s="115">
        <v>45939</v>
      </c>
      <c r="L1003" s="131">
        <v>1946770</v>
      </c>
      <c r="M1003" s="117" t="s">
        <v>3785</v>
      </c>
      <c r="N1003" s="34" t="s">
        <v>29</v>
      </c>
      <c r="O1003" s="10"/>
      <c r="P1003" s="113">
        <v>45988</v>
      </c>
      <c r="Q1003" s="113">
        <v>45988</v>
      </c>
      <c r="R1003" s="113">
        <v>45988</v>
      </c>
      <c r="S1003" s="37">
        <f t="shared" si="202"/>
        <v>1946770</v>
      </c>
      <c r="T1003" s="37">
        <f t="shared" si="203"/>
        <v>0</v>
      </c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</row>
    <row r="1004" spans="1:31" hidden="1">
      <c r="A1004" s="277" t="s">
        <v>7555</v>
      </c>
      <c r="B1004" s="9" t="s">
        <v>21</v>
      </c>
      <c r="C1004" s="9">
        <v>2025</v>
      </c>
      <c r="D1004" s="9" t="s">
        <v>27</v>
      </c>
      <c r="E1004" s="90" t="s">
        <v>23</v>
      </c>
      <c r="F1004" s="9" t="s">
        <v>7</v>
      </c>
      <c r="G1004" s="10"/>
      <c r="H1004" s="96">
        <v>250997</v>
      </c>
      <c r="I1004" s="109" t="s">
        <v>517</v>
      </c>
      <c r="J1004" s="115">
        <v>45924</v>
      </c>
      <c r="K1004" s="115">
        <v>45939</v>
      </c>
      <c r="L1004" s="131">
        <v>2078312</v>
      </c>
      <c r="M1004" s="117" t="s">
        <v>3786</v>
      </c>
      <c r="N1004" s="34" t="s">
        <v>29</v>
      </c>
      <c r="O1004" s="10"/>
      <c r="P1004" s="113">
        <v>45988</v>
      </c>
      <c r="Q1004" s="113">
        <v>45988</v>
      </c>
      <c r="R1004" s="113">
        <v>45988</v>
      </c>
      <c r="S1004" s="37">
        <f t="shared" si="202"/>
        <v>2078312</v>
      </c>
      <c r="T1004" s="37">
        <f t="shared" si="203"/>
        <v>0</v>
      </c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</row>
    <row r="1005" spans="1:31" hidden="1">
      <c r="A1005" s="277" t="s">
        <v>7556</v>
      </c>
      <c r="B1005" s="9" t="s">
        <v>21</v>
      </c>
      <c r="C1005" s="9">
        <v>2025</v>
      </c>
      <c r="D1005" s="9" t="s">
        <v>27</v>
      </c>
      <c r="E1005" s="90" t="s">
        <v>23</v>
      </c>
      <c r="F1005" s="9" t="s">
        <v>7</v>
      </c>
      <c r="G1005" s="10"/>
      <c r="H1005" s="96">
        <v>250996</v>
      </c>
      <c r="I1005" s="109" t="s">
        <v>517</v>
      </c>
      <c r="J1005" s="115">
        <v>45924</v>
      </c>
      <c r="K1005" s="115">
        <v>45939</v>
      </c>
      <c r="L1005" s="131">
        <v>2175006</v>
      </c>
      <c r="M1005" s="117" t="s">
        <v>3787</v>
      </c>
      <c r="N1005" s="34" t="s">
        <v>29</v>
      </c>
      <c r="O1005" s="10"/>
      <c r="P1005" s="113">
        <v>45988</v>
      </c>
      <c r="Q1005" s="113">
        <v>45988</v>
      </c>
      <c r="R1005" s="113">
        <v>45988</v>
      </c>
      <c r="S1005" s="37">
        <f t="shared" si="202"/>
        <v>2175006</v>
      </c>
      <c r="T1005" s="37">
        <f t="shared" si="203"/>
        <v>0</v>
      </c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</row>
    <row r="1006" spans="1:31" hidden="1">
      <c r="A1006" s="277" t="s">
        <v>7557</v>
      </c>
      <c r="B1006" s="9" t="s">
        <v>21</v>
      </c>
      <c r="C1006" s="9">
        <v>2025</v>
      </c>
      <c r="D1006" s="9" t="s">
        <v>27</v>
      </c>
      <c r="E1006" s="90" t="s">
        <v>23</v>
      </c>
      <c r="F1006" s="9" t="s">
        <v>7</v>
      </c>
      <c r="G1006" s="10"/>
      <c r="H1006" s="96">
        <v>251017</v>
      </c>
      <c r="I1006" s="109" t="s">
        <v>517</v>
      </c>
      <c r="J1006" s="115">
        <v>45936</v>
      </c>
      <c r="K1006" s="115">
        <v>45958</v>
      </c>
      <c r="L1006" s="131">
        <v>1398600</v>
      </c>
      <c r="M1006" s="117" t="s">
        <v>3895</v>
      </c>
      <c r="N1006" s="34" t="s">
        <v>29</v>
      </c>
      <c r="O1006" s="10"/>
      <c r="P1006" s="113">
        <v>45988</v>
      </c>
      <c r="Q1006" s="113">
        <v>45988</v>
      </c>
      <c r="R1006" s="113">
        <v>45988</v>
      </c>
      <c r="S1006" s="37">
        <f t="shared" si="202"/>
        <v>1398600</v>
      </c>
      <c r="T1006" s="37">
        <f t="shared" si="203"/>
        <v>0</v>
      </c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</row>
    <row r="1007" spans="1:31" hidden="1">
      <c r="A1007" s="277" t="s">
        <v>7558</v>
      </c>
      <c r="B1007" s="9" t="s">
        <v>21</v>
      </c>
      <c r="C1007" s="9">
        <v>2025</v>
      </c>
      <c r="D1007" s="9" t="s">
        <v>27</v>
      </c>
      <c r="E1007" s="90" t="s">
        <v>23</v>
      </c>
      <c r="F1007" s="9" t="s">
        <v>7</v>
      </c>
      <c r="G1007" s="10"/>
      <c r="H1007" s="96">
        <v>251021</v>
      </c>
      <c r="I1007" s="109" t="s">
        <v>517</v>
      </c>
      <c r="J1007" s="115">
        <v>45936</v>
      </c>
      <c r="K1007" s="115">
        <v>45958</v>
      </c>
      <c r="L1007" s="131">
        <v>8350641</v>
      </c>
      <c r="M1007" s="117" t="s">
        <v>3896</v>
      </c>
      <c r="N1007" s="34" t="s">
        <v>29</v>
      </c>
      <c r="O1007" s="10"/>
      <c r="P1007" s="113">
        <v>45988</v>
      </c>
      <c r="Q1007" s="113">
        <v>45988</v>
      </c>
      <c r="R1007" s="113">
        <v>45988</v>
      </c>
      <c r="S1007" s="37">
        <f t="shared" si="202"/>
        <v>8350641</v>
      </c>
      <c r="T1007" s="37">
        <f t="shared" si="203"/>
        <v>0</v>
      </c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</row>
    <row r="1008" spans="1:31" hidden="1">
      <c r="A1008" s="277" t="s">
        <v>7559</v>
      </c>
      <c r="B1008" s="9" t="s">
        <v>21</v>
      </c>
      <c r="C1008" s="9">
        <v>2025</v>
      </c>
      <c r="D1008" s="9" t="s">
        <v>27</v>
      </c>
      <c r="E1008" s="90" t="s">
        <v>23</v>
      </c>
      <c r="F1008" s="9" t="s">
        <v>7</v>
      </c>
      <c r="G1008" s="10"/>
      <c r="H1008" s="96">
        <v>251019</v>
      </c>
      <c r="I1008" s="109" t="s">
        <v>517</v>
      </c>
      <c r="J1008" s="115">
        <v>45936</v>
      </c>
      <c r="K1008" s="115">
        <v>45958</v>
      </c>
      <c r="L1008" s="131">
        <v>114552</v>
      </c>
      <c r="M1008" s="117" t="s">
        <v>3897</v>
      </c>
      <c r="N1008" s="34" t="s">
        <v>29</v>
      </c>
      <c r="O1008" s="10"/>
      <c r="P1008" s="113">
        <v>45988</v>
      </c>
      <c r="Q1008" s="113">
        <v>45988</v>
      </c>
      <c r="R1008" s="113">
        <v>45988</v>
      </c>
      <c r="S1008" s="37">
        <f t="shared" si="202"/>
        <v>114552</v>
      </c>
      <c r="T1008" s="37">
        <f t="shared" si="203"/>
        <v>0</v>
      </c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</row>
    <row r="1009" spans="1:31" hidden="1">
      <c r="A1009" s="277" t="s">
        <v>7560</v>
      </c>
      <c r="B1009" s="9" t="s">
        <v>21</v>
      </c>
      <c r="C1009" s="9">
        <v>2025</v>
      </c>
      <c r="D1009" s="9" t="s">
        <v>27</v>
      </c>
      <c r="E1009" s="90" t="s">
        <v>23</v>
      </c>
      <c r="F1009" s="9" t="s">
        <v>7</v>
      </c>
      <c r="G1009" s="10"/>
      <c r="H1009" s="96">
        <v>251018</v>
      </c>
      <c r="I1009" s="109" t="s">
        <v>517</v>
      </c>
      <c r="J1009" s="115">
        <v>45936</v>
      </c>
      <c r="K1009" s="115">
        <v>45958</v>
      </c>
      <c r="L1009" s="131">
        <v>699300</v>
      </c>
      <c r="M1009" s="117" t="s">
        <v>3898</v>
      </c>
      <c r="N1009" s="34" t="s">
        <v>29</v>
      </c>
      <c r="O1009" s="10"/>
      <c r="P1009" s="113">
        <v>45988</v>
      </c>
      <c r="Q1009" s="113">
        <v>45988</v>
      </c>
      <c r="R1009" s="113">
        <v>45988</v>
      </c>
      <c r="S1009" s="37">
        <f t="shared" si="202"/>
        <v>699300</v>
      </c>
      <c r="T1009" s="37">
        <f t="shared" si="203"/>
        <v>0</v>
      </c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</row>
    <row r="1010" spans="1:31" hidden="1">
      <c r="A1010" s="277" t="s">
        <v>7561</v>
      </c>
      <c r="B1010" s="9" t="s">
        <v>21</v>
      </c>
      <c r="C1010" s="9">
        <v>2025</v>
      </c>
      <c r="D1010" s="9" t="s">
        <v>27</v>
      </c>
      <c r="E1010" s="90" t="s">
        <v>23</v>
      </c>
      <c r="F1010" s="9" t="s">
        <v>7</v>
      </c>
      <c r="G1010" s="10"/>
      <c r="H1010" s="96">
        <v>251020</v>
      </c>
      <c r="I1010" s="109" t="s">
        <v>517</v>
      </c>
      <c r="J1010" s="115">
        <v>45936</v>
      </c>
      <c r="K1010" s="115">
        <v>45958</v>
      </c>
      <c r="L1010" s="131">
        <v>932400</v>
      </c>
      <c r="M1010" s="117" t="s">
        <v>3899</v>
      </c>
      <c r="N1010" s="34" t="s">
        <v>29</v>
      </c>
      <c r="O1010" s="10"/>
      <c r="P1010" s="113">
        <v>45988</v>
      </c>
      <c r="Q1010" s="113">
        <v>45988</v>
      </c>
      <c r="R1010" s="113">
        <v>45988</v>
      </c>
      <c r="S1010" s="37">
        <f t="shared" si="202"/>
        <v>932400</v>
      </c>
      <c r="T1010" s="37">
        <f t="shared" si="203"/>
        <v>0</v>
      </c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</row>
    <row r="1011" spans="1:31" hidden="1">
      <c r="A1011" s="277" t="s">
        <v>7562</v>
      </c>
      <c r="B1011" s="9" t="s">
        <v>21</v>
      </c>
      <c r="C1011" s="9">
        <v>2025</v>
      </c>
      <c r="D1011" s="9" t="s">
        <v>27</v>
      </c>
      <c r="E1011" s="90" t="s">
        <v>23</v>
      </c>
      <c r="F1011" s="9" t="s">
        <v>7</v>
      </c>
      <c r="G1011" s="10"/>
      <c r="H1011" s="96">
        <v>251028</v>
      </c>
      <c r="I1011" s="109" t="s">
        <v>517</v>
      </c>
      <c r="J1011" s="115">
        <v>45937</v>
      </c>
      <c r="K1011" s="115">
        <v>45958</v>
      </c>
      <c r="L1011" s="131">
        <v>8320005</v>
      </c>
      <c r="M1011" s="117" t="s">
        <v>3900</v>
      </c>
      <c r="N1011" s="34" t="s">
        <v>29</v>
      </c>
      <c r="O1011" s="10"/>
      <c r="P1011" s="113">
        <v>45988</v>
      </c>
      <c r="Q1011" s="113">
        <v>45988</v>
      </c>
      <c r="R1011" s="113">
        <v>45988</v>
      </c>
      <c r="S1011" s="37">
        <f t="shared" si="202"/>
        <v>8320005</v>
      </c>
      <c r="T1011" s="37">
        <f t="shared" si="203"/>
        <v>0</v>
      </c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</row>
    <row r="1012" spans="1:31" hidden="1">
      <c r="A1012" s="277" t="s">
        <v>7563</v>
      </c>
      <c r="B1012" s="9" t="s">
        <v>21</v>
      </c>
      <c r="C1012" s="9">
        <v>2025</v>
      </c>
      <c r="D1012" s="9" t="s">
        <v>27</v>
      </c>
      <c r="E1012" s="90" t="s">
        <v>23</v>
      </c>
      <c r="F1012" s="9" t="s">
        <v>7</v>
      </c>
      <c r="G1012" s="10"/>
      <c r="H1012" s="96">
        <v>251027</v>
      </c>
      <c r="I1012" s="109" t="s">
        <v>517</v>
      </c>
      <c r="J1012" s="115">
        <v>45937</v>
      </c>
      <c r="K1012" s="115">
        <v>45958</v>
      </c>
      <c r="L1012" s="131">
        <v>501105</v>
      </c>
      <c r="M1012" s="117" t="s">
        <v>3901</v>
      </c>
      <c r="N1012" s="34" t="s">
        <v>29</v>
      </c>
      <c r="O1012" s="10"/>
      <c r="P1012" s="113">
        <v>45988</v>
      </c>
      <c r="Q1012" s="113">
        <v>45988</v>
      </c>
      <c r="R1012" s="113">
        <v>45988</v>
      </c>
      <c r="S1012" s="37">
        <f t="shared" si="202"/>
        <v>501105</v>
      </c>
      <c r="T1012" s="37">
        <f t="shared" si="203"/>
        <v>0</v>
      </c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</row>
    <row r="1013" spans="1:31" hidden="1">
      <c r="A1013" s="277" t="s">
        <v>7564</v>
      </c>
      <c r="B1013" s="9" t="s">
        <v>21</v>
      </c>
      <c r="C1013" s="9">
        <v>2025</v>
      </c>
      <c r="D1013" s="9" t="s">
        <v>27</v>
      </c>
      <c r="E1013" s="90" t="s">
        <v>23</v>
      </c>
      <c r="F1013" s="9" t="s">
        <v>7</v>
      </c>
      <c r="G1013" s="10"/>
      <c r="H1013" s="96">
        <v>251040</v>
      </c>
      <c r="I1013" s="109" t="s">
        <v>517</v>
      </c>
      <c r="J1013" s="115">
        <v>45940</v>
      </c>
      <c r="K1013" s="115">
        <v>45953</v>
      </c>
      <c r="L1013" s="131">
        <v>925019</v>
      </c>
      <c r="M1013" s="117" t="s">
        <v>3870</v>
      </c>
      <c r="N1013" s="34" t="s">
        <v>29</v>
      </c>
      <c r="O1013" s="10"/>
      <c r="P1013" s="113">
        <v>45988</v>
      </c>
      <c r="Q1013" s="113">
        <v>45988</v>
      </c>
      <c r="R1013" s="113">
        <v>45988</v>
      </c>
      <c r="S1013" s="37">
        <f t="shared" si="202"/>
        <v>925019</v>
      </c>
      <c r="T1013" s="37">
        <f t="shared" si="203"/>
        <v>0</v>
      </c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</row>
    <row r="1014" spans="1:31" hidden="1">
      <c r="A1014" s="277" t="s">
        <v>7565</v>
      </c>
      <c r="B1014" s="9" t="s">
        <v>21</v>
      </c>
      <c r="C1014" s="9">
        <v>2025</v>
      </c>
      <c r="D1014" s="9" t="s">
        <v>27</v>
      </c>
      <c r="E1014" s="90" t="s">
        <v>23</v>
      </c>
      <c r="F1014" s="9" t="s">
        <v>7</v>
      </c>
      <c r="G1014" s="10"/>
      <c r="H1014" s="96">
        <v>251039</v>
      </c>
      <c r="I1014" s="109" t="s">
        <v>517</v>
      </c>
      <c r="J1014" s="115">
        <v>45941</v>
      </c>
      <c r="K1014" s="115">
        <v>45953</v>
      </c>
      <c r="L1014" s="131">
        <v>6926400</v>
      </c>
      <c r="M1014" s="117" t="s">
        <v>3871</v>
      </c>
      <c r="N1014" s="34" t="s">
        <v>29</v>
      </c>
      <c r="O1014" s="10"/>
      <c r="P1014" s="113">
        <v>45988</v>
      </c>
      <c r="Q1014" s="113">
        <v>45988</v>
      </c>
      <c r="R1014" s="113">
        <v>45988</v>
      </c>
      <c r="S1014" s="37">
        <f t="shared" si="202"/>
        <v>6926400</v>
      </c>
      <c r="T1014" s="37">
        <f t="shared" si="203"/>
        <v>0</v>
      </c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</row>
    <row r="1015" spans="1:31" hidden="1">
      <c r="A1015" s="277" t="s">
        <v>7566</v>
      </c>
      <c r="B1015" s="9" t="s">
        <v>21</v>
      </c>
      <c r="C1015" s="9">
        <v>2025</v>
      </c>
      <c r="D1015" s="9" t="s">
        <v>27</v>
      </c>
      <c r="E1015" s="90" t="s">
        <v>23</v>
      </c>
      <c r="F1015" s="9" t="s">
        <v>7</v>
      </c>
      <c r="G1015" s="10"/>
      <c r="H1015" s="96">
        <v>251075</v>
      </c>
      <c r="I1015" s="109" t="s">
        <v>517</v>
      </c>
      <c r="J1015" s="115">
        <v>45947</v>
      </c>
      <c r="K1015" s="115">
        <v>45953</v>
      </c>
      <c r="L1015" s="131">
        <v>6798528</v>
      </c>
      <c r="M1015" s="117" t="s">
        <v>3872</v>
      </c>
      <c r="N1015" s="34" t="s">
        <v>29</v>
      </c>
      <c r="O1015" s="52">
        <f>SUM(L1015:L1023)</f>
        <v>35623664</v>
      </c>
      <c r="P1015" s="113">
        <v>46041</v>
      </c>
      <c r="Q1015" s="113">
        <v>46041</v>
      </c>
      <c r="R1015" s="113">
        <v>46041</v>
      </c>
      <c r="S1015" s="37">
        <f t="shared" si="202"/>
        <v>6798528</v>
      </c>
      <c r="T1015" s="37">
        <f t="shared" si="203"/>
        <v>0</v>
      </c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</row>
    <row r="1016" spans="1:31" hidden="1">
      <c r="A1016" s="277" t="s">
        <v>7567</v>
      </c>
      <c r="B1016" s="9" t="s">
        <v>21</v>
      </c>
      <c r="C1016" s="9">
        <v>2025</v>
      </c>
      <c r="D1016" s="9" t="s">
        <v>27</v>
      </c>
      <c r="E1016" s="90" t="s">
        <v>23</v>
      </c>
      <c r="F1016" s="9" t="s">
        <v>7</v>
      </c>
      <c r="G1016" s="10"/>
      <c r="H1016" s="96">
        <v>251074</v>
      </c>
      <c r="I1016" s="109" t="s">
        <v>517</v>
      </c>
      <c r="J1016" s="115">
        <v>45947</v>
      </c>
      <c r="K1016" s="115">
        <v>45953</v>
      </c>
      <c r="L1016" s="131">
        <v>97991</v>
      </c>
      <c r="M1016" s="117" t="s">
        <v>3873</v>
      </c>
      <c r="N1016" s="34" t="s">
        <v>29</v>
      </c>
      <c r="O1016" s="10"/>
      <c r="P1016" s="113">
        <v>46041</v>
      </c>
      <c r="Q1016" s="113">
        <v>46041</v>
      </c>
      <c r="R1016" s="113">
        <v>46041</v>
      </c>
      <c r="S1016" s="37">
        <f t="shared" si="202"/>
        <v>97991</v>
      </c>
      <c r="T1016" s="37">
        <f t="shared" si="203"/>
        <v>0</v>
      </c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</row>
    <row r="1017" spans="1:31" hidden="1">
      <c r="A1017" s="277" t="s">
        <v>7568</v>
      </c>
      <c r="B1017" s="9" t="s">
        <v>21</v>
      </c>
      <c r="C1017" s="9">
        <v>2025</v>
      </c>
      <c r="D1017" s="9" t="s">
        <v>27</v>
      </c>
      <c r="E1017" s="90" t="s">
        <v>23</v>
      </c>
      <c r="F1017" s="9" t="s">
        <v>7</v>
      </c>
      <c r="G1017" s="10"/>
      <c r="H1017" s="96">
        <v>251073</v>
      </c>
      <c r="I1017" s="109" t="s">
        <v>517</v>
      </c>
      <c r="J1017" s="115">
        <v>45947</v>
      </c>
      <c r="K1017" s="115">
        <v>45953</v>
      </c>
      <c r="L1017" s="131">
        <v>6160500</v>
      </c>
      <c r="M1017" s="117" t="s">
        <v>3874</v>
      </c>
      <c r="N1017" s="34" t="s">
        <v>29</v>
      </c>
      <c r="O1017" s="10"/>
      <c r="P1017" s="113">
        <v>46041</v>
      </c>
      <c r="Q1017" s="113">
        <v>46041</v>
      </c>
      <c r="R1017" s="113">
        <v>46041</v>
      </c>
      <c r="S1017" s="37">
        <f t="shared" si="202"/>
        <v>6160500</v>
      </c>
      <c r="T1017" s="37">
        <f t="shared" si="203"/>
        <v>0</v>
      </c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</row>
    <row r="1018" spans="1:31" hidden="1">
      <c r="A1018" s="277" t="s">
        <v>7569</v>
      </c>
      <c r="B1018" s="9" t="s">
        <v>21</v>
      </c>
      <c r="C1018" s="9">
        <v>2025</v>
      </c>
      <c r="D1018" s="9" t="s">
        <v>27</v>
      </c>
      <c r="E1018" s="90" t="s">
        <v>23</v>
      </c>
      <c r="F1018" s="9" t="s">
        <v>7</v>
      </c>
      <c r="G1018" s="10"/>
      <c r="H1018" s="96">
        <v>251088</v>
      </c>
      <c r="I1018" s="109" t="s">
        <v>517</v>
      </c>
      <c r="J1018" s="115">
        <v>45952</v>
      </c>
      <c r="K1018" s="115">
        <v>45960</v>
      </c>
      <c r="L1018" s="131">
        <v>2078312</v>
      </c>
      <c r="M1018" s="117" t="s">
        <v>3907</v>
      </c>
      <c r="N1018" s="34" t="s">
        <v>29</v>
      </c>
      <c r="O1018" s="10"/>
      <c r="P1018" s="113">
        <v>46041</v>
      </c>
      <c r="Q1018" s="113">
        <v>46041</v>
      </c>
      <c r="R1018" s="113">
        <v>46041</v>
      </c>
      <c r="S1018" s="37">
        <f t="shared" si="202"/>
        <v>2078312</v>
      </c>
      <c r="T1018" s="37">
        <f t="shared" si="203"/>
        <v>0</v>
      </c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</row>
    <row r="1019" spans="1:31" hidden="1">
      <c r="A1019" s="277" t="s">
        <v>7570</v>
      </c>
      <c r="B1019" s="9" t="s">
        <v>21</v>
      </c>
      <c r="C1019" s="9">
        <v>2025</v>
      </c>
      <c r="D1019" s="9" t="s">
        <v>27</v>
      </c>
      <c r="E1019" s="90" t="s">
        <v>23</v>
      </c>
      <c r="F1019" s="9" t="s">
        <v>7</v>
      </c>
      <c r="G1019" s="10"/>
      <c r="H1019" s="96">
        <v>251095</v>
      </c>
      <c r="I1019" s="109" t="s">
        <v>517</v>
      </c>
      <c r="J1019" s="115">
        <v>45954</v>
      </c>
      <c r="K1019" s="115">
        <v>45958</v>
      </c>
      <c r="L1019" s="131">
        <v>699811</v>
      </c>
      <c r="M1019" s="117" t="s">
        <v>3902</v>
      </c>
      <c r="N1019" s="34" t="s">
        <v>29</v>
      </c>
      <c r="O1019" s="10"/>
      <c r="P1019" s="113">
        <v>46041</v>
      </c>
      <c r="Q1019" s="113">
        <v>46041</v>
      </c>
      <c r="R1019" s="113">
        <v>46041</v>
      </c>
      <c r="S1019" s="37">
        <f t="shared" si="202"/>
        <v>699811</v>
      </c>
      <c r="T1019" s="37">
        <f t="shared" si="203"/>
        <v>0</v>
      </c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</row>
    <row r="1020" spans="1:31" hidden="1">
      <c r="A1020" s="277" t="s">
        <v>7571</v>
      </c>
      <c r="B1020" s="9" t="s">
        <v>21</v>
      </c>
      <c r="C1020" s="9">
        <v>2025</v>
      </c>
      <c r="D1020" s="9" t="s">
        <v>27</v>
      </c>
      <c r="E1020" s="90" t="s">
        <v>23</v>
      </c>
      <c r="F1020" s="9" t="s">
        <v>7</v>
      </c>
      <c r="G1020" s="10"/>
      <c r="H1020" s="96">
        <v>251101</v>
      </c>
      <c r="I1020" s="109" t="s">
        <v>517</v>
      </c>
      <c r="J1020" s="115">
        <v>45957</v>
      </c>
      <c r="K1020" s="115">
        <v>45960</v>
      </c>
      <c r="L1020" s="131">
        <v>4350012</v>
      </c>
      <c r="M1020" s="117" t="s">
        <v>3908</v>
      </c>
      <c r="N1020" s="34" t="s">
        <v>29</v>
      </c>
      <c r="O1020" s="10"/>
      <c r="P1020" s="113">
        <v>46041</v>
      </c>
      <c r="Q1020" s="113">
        <v>46041</v>
      </c>
      <c r="R1020" s="113">
        <v>46041</v>
      </c>
      <c r="S1020" s="37">
        <f t="shared" si="202"/>
        <v>4350012</v>
      </c>
      <c r="T1020" s="37">
        <f t="shared" si="203"/>
        <v>0</v>
      </c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</row>
    <row r="1021" spans="1:31" hidden="1">
      <c r="A1021" s="277" t="s">
        <v>7572</v>
      </c>
      <c r="B1021" s="9" t="s">
        <v>21</v>
      </c>
      <c r="C1021" s="9">
        <v>2025</v>
      </c>
      <c r="D1021" s="9" t="s">
        <v>27</v>
      </c>
      <c r="E1021" s="90" t="s">
        <v>23</v>
      </c>
      <c r="F1021" s="9" t="s">
        <v>7</v>
      </c>
      <c r="G1021" s="10"/>
      <c r="H1021" s="96">
        <v>251165</v>
      </c>
      <c r="I1021" s="109" t="s">
        <v>517</v>
      </c>
      <c r="J1021" s="115">
        <v>45961</v>
      </c>
      <c r="K1021" s="115">
        <v>45974</v>
      </c>
      <c r="L1021" s="131">
        <v>12938160</v>
      </c>
      <c r="M1021" s="117" t="s">
        <v>3982</v>
      </c>
      <c r="N1021" s="34" t="s">
        <v>29</v>
      </c>
      <c r="O1021" s="10"/>
      <c r="P1021" s="113">
        <v>46041</v>
      </c>
      <c r="Q1021" s="113">
        <v>46041</v>
      </c>
      <c r="R1021" s="113">
        <v>46041</v>
      </c>
      <c r="S1021" s="37">
        <f t="shared" ref="S1021:S1026" si="204">IF(R1021="",0,L1021)</f>
        <v>12938160</v>
      </c>
      <c r="T1021" s="37">
        <f t="shared" ref="T1021:T1026" si="205">L1021-S1021</f>
        <v>0</v>
      </c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</row>
    <row r="1022" spans="1:31" hidden="1">
      <c r="A1022" s="277" t="s">
        <v>7573</v>
      </c>
      <c r="B1022" s="9" t="s">
        <v>21</v>
      </c>
      <c r="C1022" s="9">
        <v>2025</v>
      </c>
      <c r="D1022" s="9" t="s">
        <v>27</v>
      </c>
      <c r="E1022" s="90" t="s">
        <v>23</v>
      </c>
      <c r="F1022" s="9" t="s">
        <v>7</v>
      </c>
      <c r="G1022" s="10"/>
      <c r="H1022" s="96">
        <v>251174</v>
      </c>
      <c r="I1022" s="109" t="s">
        <v>517</v>
      </c>
      <c r="J1022" s="115">
        <v>45964</v>
      </c>
      <c r="K1022" s="115">
        <v>45974</v>
      </c>
      <c r="L1022" s="131">
        <v>1651200</v>
      </c>
      <c r="M1022" s="117" t="s">
        <v>3981</v>
      </c>
      <c r="N1022" s="34" t="s">
        <v>29</v>
      </c>
      <c r="O1022" s="10"/>
      <c r="P1022" s="113">
        <v>46041</v>
      </c>
      <c r="Q1022" s="113">
        <v>46041</v>
      </c>
      <c r="R1022" s="113">
        <v>46041</v>
      </c>
      <c r="S1022" s="37">
        <f t="shared" si="204"/>
        <v>1651200</v>
      </c>
      <c r="T1022" s="37">
        <f t="shared" si="205"/>
        <v>0</v>
      </c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</row>
    <row r="1023" spans="1:31" hidden="1">
      <c r="A1023" s="277" t="s">
        <v>7574</v>
      </c>
      <c r="B1023" s="9" t="s">
        <v>21</v>
      </c>
      <c r="C1023" s="9">
        <v>2025</v>
      </c>
      <c r="D1023" s="9" t="s">
        <v>27</v>
      </c>
      <c r="E1023" s="90" t="s">
        <v>23</v>
      </c>
      <c r="F1023" s="9" t="s">
        <v>7</v>
      </c>
      <c r="G1023" s="10"/>
      <c r="H1023" s="96">
        <v>251153</v>
      </c>
      <c r="I1023" s="109" t="s">
        <v>517</v>
      </c>
      <c r="J1023" s="115">
        <v>45957</v>
      </c>
      <c r="K1023" s="115">
        <v>45981</v>
      </c>
      <c r="L1023" s="131">
        <v>849150</v>
      </c>
      <c r="M1023" s="117" t="s">
        <v>4007</v>
      </c>
      <c r="N1023" s="34" t="s">
        <v>29</v>
      </c>
      <c r="O1023" s="10"/>
      <c r="P1023" s="113">
        <v>46041</v>
      </c>
      <c r="Q1023" s="113">
        <v>46041</v>
      </c>
      <c r="R1023" s="113">
        <v>46041</v>
      </c>
      <c r="S1023" s="37">
        <f t="shared" si="204"/>
        <v>849150</v>
      </c>
      <c r="T1023" s="37">
        <f t="shared" si="205"/>
        <v>0</v>
      </c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</row>
    <row r="1024" spans="1:31" hidden="1">
      <c r="A1024" s="277" t="s">
        <v>7575</v>
      </c>
      <c r="B1024" s="9" t="s">
        <v>21</v>
      </c>
      <c r="C1024" s="9">
        <v>2025</v>
      </c>
      <c r="D1024" s="9" t="s">
        <v>27</v>
      </c>
      <c r="E1024" s="90" t="s">
        <v>23</v>
      </c>
      <c r="F1024" s="9" t="s">
        <v>7</v>
      </c>
      <c r="G1024" s="10"/>
      <c r="H1024" s="96">
        <v>251116</v>
      </c>
      <c r="I1024" s="109" t="s">
        <v>517</v>
      </c>
      <c r="J1024" s="115">
        <v>45958</v>
      </c>
      <c r="K1024" s="115">
        <v>45981</v>
      </c>
      <c r="L1024" s="131">
        <v>16410240</v>
      </c>
      <c r="M1024" s="117" t="s">
        <v>4008</v>
      </c>
      <c r="N1024" s="34" t="s">
        <v>29</v>
      </c>
      <c r="O1024" s="52">
        <f>SUM(L1024:L1027)</f>
        <v>39463492</v>
      </c>
      <c r="P1024" s="113">
        <v>46042</v>
      </c>
      <c r="Q1024" s="113">
        <v>46042</v>
      </c>
      <c r="R1024" s="113">
        <v>46042</v>
      </c>
      <c r="S1024" s="37">
        <f t="shared" si="204"/>
        <v>16410240</v>
      </c>
      <c r="T1024" s="37">
        <f t="shared" si="205"/>
        <v>0</v>
      </c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</row>
    <row r="1025" spans="1:31" hidden="1">
      <c r="A1025" s="277" t="s">
        <v>7576</v>
      </c>
      <c r="B1025" s="9" t="s">
        <v>21</v>
      </c>
      <c r="C1025" s="9">
        <v>2025</v>
      </c>
      <c r="D1025" s="9" t="s">
        <v>27</v>
      </c>
      <c r="E1025" s="90" t="s">
        <v>23</v>
      </c>
      <c r="F1025" s="9" t="s">
        <v>7</v>
      </c>
      <c r="G1025" s="10"/>
      <c r="H1025" s="96">
        <v>251236</v>
      </c>
      <c r="I1025" s="109" t="s">
        <v>517</v>
      </c>
      <c r="J1025" s="115">
        <v>45994</v>
      </c>
      <c r="K1025" s="115">
        <v>46002</v>
      </c>
      <c r="L1025" s="131">
        <v>8078580</v>
      </c>
      <c r="M1025" s="117" t="s">
        <v>4095</v>
      </c>
      <c r="N1025" s="34" t="s">
        <v>29</v>
      </c>
      <c r="O1025" s="10"/>
      <c r="P1025" s="113">
        <v>46042</v>
      </c>
      <c r="Q1025" s="113">
        <v>46042</v>
      </c>
      <c r="R1025" s="113">
        <v>46042</v>
      </c>
      <c r="S1025" s="37">
        <f t="shared" si="204"/>
        <v>8078580</v>
      </c>
      <c r="T1025" s="37">
        <f t="shared" si="205"/>
        <v>0</v>
      </c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</row>
    <row r="1026" spans="1:31" hidden="1">
      <c r="A1026" s="277" t="s">
        <v>7577</v>
      </c>
      <c r="B1026" s="9" t="s">
        <v>21</v>
      </c>
      <c r="C1026" s="9">
        <v>2025</v>
      </c>
      <c r="D1026" s="9" t="s">
        <v>27</v>
      </c>
      <c r="E1026" s="90" t="s">
        <v>23</v>
      </c>
      <c r="F1026" s="9" t="s">
        <v>7</v>
      </c>
      <c r="G1026" s="10"/>
      <c r="H1026" s="96">
        <v>251239</v>
      </c>
      <c r="I1026" s="109" t="s">
        <v>517</v>
      </c>
      <c r="J1026" s="115">
        <v>45994</v>
      </c>
      <c r="K1026" s="115">
        <v>46002</v>
      </c>
      <c r="L1026" s="131">
        <v>5600000</v>
      </c>
      <c r="M1026" s="117" t="s">
        <v>4096</v>
      </c>
      <c r="N1026" s="34" t="s">
        <v>29</v>
      </c>
      <c r="O1026" s="10"/>
      <c r="P1026" s="113">
        <v>46042</v>
      </c>
      <c r="Q1026" s="113">
        <v>46042</v>
      </c>
      <c r="R1026" s="113">
        <v>46042</v>
      </c>
      <c r="S1026" s="37">
        <f t="shared" si="204"/>
        <v>5600000</v>
      </c>
      <c r="T1026" s="37">
        <f t="shared" si="205"/>
        <v>0</v>
      </c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</row>
    <row r="1027" spans="1:31" hidden="1">
      <c r="A1027" s="277" t="s">
        <v>7578</v>
      </c>
      <c r="B1027" s="9" t="s">
        <v>21</v>
      </c>
      <c r="C1027" s="9">
        <v>2025</v>
      </c>
      <c r="D1027" s="9" t="s">
        <v>27</v>
      </c>
      <c r="E1027" s="90" t="s">
        <v>23</v>
      </c>
      <c r="F1027" s="9" t="s">
        <v>7</v>
      </c>
      <c r="G1027" s="10"/>
      <c r="H1027" s="96">
        <v>251247</v>
      </c>
      <c r="I1027" s="109" t="s">
        <v>517</v>
      </c>
      <c r="J1027" s="115">
        <v>45996</v>
      </c>
      <c r="K1027" s="115">
        <v>46009</v>
      </c>
      <c r="L1027" s="131">
        <v>9374672</v>
      </c>
      <c r="M1027" s="117" t="s">
        <v>4107</v>
      </c>
      <c r="N1027" s="34" t="s">
        <v>29</v>
      </c>
      <c r="O1027" s="10"/>
      <c r="P1027" s="113">
        <v>46042</v>
      </c>
      <c r="Q1027" s="113">
        <v>46042</v>
      </c>
      <c r="R1027" s="113">
        <v>46042</v>
      </c>
      <c r="S1027" s="37">
        <f>IF(R1027="",0,L1027)</f>
        <v>9374672</v>
      </c>
      <c r="T1027" s="37">
        <f>L1027-S1027</f>
        <v>0</v>
      </c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</row>
    <row r="1028" spans="1:31" hidden="1">
      <c r="A1028" s="277" t="s">
        <v>7579</v>
      </c>
      <c r="B1028" s="9" t="s">
        <v>21</v>
      </c>
      <c r="C1028" s="9">
        <v>2025</v>
      </c>
      <c r="D1028" s="9" t="s">
        <v>27</v>
      </c>
      <c r="E1028" s="90" t="s">
        <v>23</v>
      </c>
      <c r="F1028" s="9" t="s">
        <v>7</v>
      </c>
      <c r="G1028" s="10"/>
      <c r="H1028" s="96">
        <v>251278</v>
      </c>
      <c r="I1028" s="109" t="s">
        <v>517</v>
      </c>
      <c r="J1028" s="115">
        <v>46003</v>
      </c>
      <c r="K1028" s="115">
        <v>46009</v>
      </c>
      <c r="L1028" s="131">
        <v>625923</v>
      </c>
      <c r="M1028" s="117" t="s">
        <v>4108</v>
      </c>
      <c r="N1028" s="34" t="s">
        <v>29</v>
      </c>
      <c r="O1028" s="52">
        <f>SUM(L1028:L1032)</f>
        <v>31865297</v>
      </c>
      <c r="P1028" s="113">
        <v>46153</v>
      </c>
      <c r="Q1028" s="113">
        <v>46153</v>
      </c>
      <c r="R1028" s="113">
        <v>46153</v>
      </c>
      <c r="S1028" s="37">
        <f t="shared" ref="S1028:S1045" si="206">IF(R1028="",0,L1028)</f>
        <v>625923</v>
      </c>
      <c r="T1028" s="37">
        <f t="shared" ref="T1028:T1045" si="207">L1028-S1028</f>
        <v>0</v>
      </c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</row>
    <row r="1029" spans="1:31" hidden="1">
      <c r="A1029" s="277" t="s">
        <v>5386</v>
      </c>
      <c r="B1029" s="9" t="s">
        <v>21</v>
      </c>
      <c r="C1029" s="9">
        <v>2025</v>
      </c>
      <c r="D1029" s="9" t="s">
        <v>27</v>
      </c>
      <c r="E1029" s="90" t="s">
        <v>23</v>
      </c>
      <c r="F1029" s="9" t="s">
        <v>7</v>
      </c>
      <c r="G1029" s="10"/>
      <c r="H1029" s="96">
        <v>251287</v>
      </c>
      <c r="I1029" s="109" t="s">
        <v>517</v>
      </c>
      <c r="J1029" s="115">
        <v>46014</v>
      </c>
      <c r="K1029" s="115">
        <v>46030</v>
      </c>
      <c r="L1029" s="131">
        <f>3128246-1338693</f>
        <v>1789553</v>
      </c>
      <c r="M1029" s="117" t="s">
        <v>4358</v>
      </c>
      <c r="N1029" s="34" t="s">
        <v>29</v>
      </c>
      <c r="O1029" s="10"/>
      <c r="P1029" s="113">
        <v>46153</v>
      </c>
      <c r="Q1029" s="113">
        <v>46153</v>
      </c>
      <c r="R1029" s="113">
        <v>46153</v>
      </c>
      <c r="S1029" s="37">
        <f t="shared" si="206"/>
        <v>1789553</v>
      </c>
      <c r="T1029" s="37">
        <f t="shared" si="207"/>
        <v>0</v>
      </c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</row>
    <row r="1030" spans="1:31" hidden="1">
      <c r="A1030" s="277" t="s">
        <v>5387</v>
      </c>
      <c r="B1030" s="9" t="s">
        <v>21</v>
      </c>
      <c r="C1030" s="9">
        <v>2026</v>
      </c>
      <c r="D1030" s="9" t="s">
        <v>27</v>
      </c>
      <c r="E1030" s="90" t="s">
        <v>23</v>
      </c>
      <c r="F1030" s="9" t="s">
        <v>7</v>
      </c>
      <c r="G1030" s="10"/>
      <c r="H1030" s="96">
        <v>251309</v>
      </c>
      <c r="I1030" s="109" t="s">
        <v>517</v>
      </c>
      <c r="J1030" s="115">
        <v>46015</v>
      </c>
      <c r="K1030" s="115">
        <v>46065</v>
      </c>
      <c r="L1030" s="131">
        <v>542679</v>
      </c>
      <c r="M1030" s="117" t="s">
        <v>4342</v>
      </c>
      <c r="N1030" s="34" t="s">
        <v>29</v>
      </c>
      <c r="O1030" s="10"/>
      <c r="P1030" s="113">
        <v>46153</v>
      </c>
      <c r="Q1030" s="113">
        <v>46153</v>
      </c>
      <c r="R1030" s="113">
        <v>46153</v>
      </c>
      <c r="S1030" s="37">
        <f t="shared" si="206"/>
        <v>542679</v>
      </c>
      <c r="T1030" s="37">
        <f t="shared" si="207"/>
        <v>0</v>
      </c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</row>
    <row r="1031" spans="1:31" hidden="1">
      <c r="A1031" s="277" t="s">
        <v>5388</v>
      </c>
      <c r="B1031" s="9" t="s">
        <v>21</v>
      </c>
      <c r="C1031" s="9">
        <v>2026</v>
      </c>
      <c r="D1031" s="9" t="s">
        <v>27</v>
      </c>
      <c r="E1031" s="90" t="s">
        <v>23</v>
      </c>
      <c r="F1031" s="9" t="s">
        <v>7</v>
      </c>
      <c r="G1031" s="10"/>
      <c r="H1031" s="96">
        <v>260045</v>
      </c>
      <c r="I1031" s="109" t="s">
        <v>517</v>
      </c>
      <c r="J1031" s="115">
        <v>46045</v>
      </c>
      <c r="K1031" s="115">
        <v>46065</v>
      </c>
      <c r="L1031" s="131">
        <v>1582767</v>
      </c>
      <c r="M1031" s="117" t="s">
        <v>4337</v>
      </c>
      <c r="N1031" s="34" t="s">
        <v>29</v>
      </c>
      <c r="O1031" s="10"/>
      <c r="P1031" s="113">
        <v>46153</v>
      </c>
      <c r="Q1031" s="113">
        <v>46153</v>
      </c>
      <c r="R1031" s="113">
        <v>46153</v>
      </c>
      <c r="S1031" s="37">
        <f>IF(R1031="",0,L1031)</f>
        <v>1582767</v>
      </c>
      <c r="T1031" s="37">
        <f>L1031-S1031</f>
        <v>0</v>
      </c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</row>
    <row r="1032" spans="1:31" hidden="1">
      <c r="A1032" s="277" t="s">
        <v>5389</v>
      </c>
      <c r="B1032" s="9" t="s">
        <v>21</v>
      </c>
      <c r="C1032" s="9">
        <v>2026</v>
      </c>
      <c r="D1032" s="9" t="s">
        <v>27</v>
      </c>
      <c r="E1032" s="90" t="s">
        <v>23</v>
      </c>
      <c r="F1032" s="9" t="s">
        <v>7</v>
      </c>
      <c r="G1032" s="10"/>
      <c r="H1032" s="96">
        <v>260046</v>
      </c>
      <c r="I1032" s="109" t="s">
        <v>517</v>
      </c>
      <c r="J1032" s="115">
        <v>46045</v>
      </c>
      <c r="K1032" s="115">
        <v>46065</v>
      </c>
      <c r="L1032" s="131">
        <v>27324375</v>
      </c>
      <c r="M1032" s="117" t="s">
        <v>4341</v>
      </c>
      <c r="N1032" s="34" t="s">
        <v>29</v>
      </c>
      <c r="O1032" s="10"/>
      <c r="P1032" s="113">
        <v>46153</v>
      </c>
      <c r="Q1032" s="113">
        <v>46153</v>
      </c>
      <c r="R1032" s="113">
        <v>46153</v>
      </c>
      <c r="S1032" s="37">
        <f>IF(R1032="",0,L1032)</f>
        <v>27324375</v>
      </c>
      <c r="T1032" s="37">
        <f>L1032-S1032</f>
        <v>0</v>
      </c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</row>
    <row r="1033" spans="1:31" hidden="1">
      <c r="A1033" s="277" t="s">
        <v>5390</v>
      </c>
      <c r="B1033" s="9" t="s">
        <v>21</v>
      </c>
      <c r="C1033" s="9">
        <v>2026</v>
      </c>
      <c r="D1033" s="9" t="s">
        <v>27</v>
      </c>
      <c r="E1033" s="90" t="s">
        <v>23</v>
      </c>
      <c r="F1033" s="9" t="s">
        <v>7</v>
      </c>
      <c r="G1033" s="10"/>
      <c r="H1033" s="96">
        <v>260047</v>
      </c>
      <c r="I1033" s="109" t="s">
        <v>517</v>
      </c>
      <c r="J1033" s="115">
        <v>46045</v>
      </c>
      <c r="K1033" s="115">
        <v>46065</v>
      </c>
      <c r="L1033" s="131">
        <v>499500</v>
      </c>
      <c r="M1033" s="117" t="s">
        <v>4335</v>
      </c>
      <c r="N1033" s="34" t="s">
        <v>29</v>
      </c>
      <c r="O1033" s="10"/>
      <c r="P1033" s="113">
        <v>46168</v>
      </c>
      <c r="Q1033" s="113">
        <v>46168</v>
      </c>
      <c r="R1033" s="113">
        <v>46168</v>
      </c>
      <c r="S1033" s="37">
        <f t="shared" si="206"/>
        <v>499500</v>
      </c>
      <c r="T1033" s="37">
        <f t="shared" si="207"/>
        <v>0</v>
      </c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</row>
    <row r="1034" spans="1:31" hidden="1">
      <c r="A1034" s="277" t="s">
        <v>5391</v>
      </c>
      <c r="B1034" s="9" t="s">
        <v>21</v>
      </c>
      <c r="C1034" s="9">
        <v>2026</v>
      </c>
      <c r="D1034" s="9" t="s">
        <v>27</v>
      </c>
      <c r="E1034" s="90" t="s">
        <v>23</v>
      </c>
      <c r="F1034" s="9" t="s">
        <v>7</v>
      </c>
      <c r="G1034" s="10"/>
      <c r="H1034" s="96">
        <v>260048</v>
      </c>
      <c r="I1034" s="109" t="s">
        <v>517</v>
      </c>
      <c r="J1034" s="115">
        <v>46045</v>
      </c>
      <c r="K1034" s="115">
        <v>46065</v>
      </c>
      <c r="L1034" s="131">
        <v>19500036</v>
      </c>
      <c r="M1034" s="117" t="s">
        <v>4336</v>
      </c>
      <c r="N1034" s="34" t="s">
        <v>29</v>
      </c>
      <c r="O1034" s="10"/>
      <c r="P1034" s="113">
        <v>46168</v>
      </c>
      <c r="Q1034" s="113">
        <v>46168</v>
      </c>
      <c r="R1034" s="113">
        <v>46168</v>
      </c>
      <c r="S1034" s="37">
        <f t="shared" si="206"/>
        <v>19500036</v>
      </c>
      <c r="T1034" s="37">
        <f t="shared" si="207"/>
        <v>0</v>
      </c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</row>
    <row r="1035" spans="1:31" hidden="1">
      <c r="A1035" s="277" t="s">
        <v>5392</v>
      </c>
      <c r="B1035" s="9" t="s">
        <v>21</v>
      </c>
      <c r="C1035" s="9">
        <v>2026</v>
      </c>
      <c r="D1035" s="9" t="s">
        <v>27</v>
      </c>
      <c r="E1035" s="90" t="s">
        <v>23</v>
      </c>
      <c r="F1035" s="9" t="s">
        <v>7</v>
      </c>
      <c r="G1035" s="10"/>
      <c r="H1035" s="96">
        <v>260049</v>
      </c>
      <c r="I1035" s="109" t="s">
        <v>517</v>
      </c>
      <c r="J1035" s="115">
        <v>46050</v>
      </c>
      <c r="K1035" s="115">
        <v>46065</v>
      </c>
      <c r="L1035" s="131">
        <v>10091232</v>
      </c>
      <c r="M1035" s="117" t="s">
        <v>4338</v>
      </c>
      <c r="N1035" s="34" t="s">
        <v>29</v>
      </c>
      <c r="O1035" s="52">
        <f>SUM(L1035:L1037)</f>
        <v>31930704</v>
      </c>
      <c r="P1035" s="113">
        <v>46181</v>
      </c>
      <c r="Q1035" s="113">
        <v>46181</v>
      </c>
      <c r="R1035" s="113">
        <v>46181</v>
      </c>
      <c r="S1035" s="37">
        <f t="shared" si="206"/>
        <v>10091232</v>
      </c>
      <c r="T1035" s="37">
        <f t="shared" si="207"/>
        <v>0</v>
      </c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</row>
    <row r="1036" spans="1:31" hidden="1">
      <c r="A1036" s="277" t="s">
        <v>5393</v>
      </c>
      <c r="B1036" s="9" t="s">
        <v>21</v>
      </c>
      <c r="C1036" s="9">
        <v>2026</v>
      </c>
      <c r="D1036" s="9" t="s">
        <v>27</v>
      </c>
      <c r="E1036" s="90" t="s">
        <v>23</v>
      </c>
      <c r="F1036" s="9" t="s">
        <v>7</v>
      </c>
      <c r="G1036" s="10"/>
      <c r="H1036" s="96">
        <v>260050</v>
      </c>
      <c r="I1036" s="109" t="s">
        <v>517</v>
      </c>
      <c r="J1036" s="115">
        <v>46050</v>
      </c>
      <c r="K1036" s="115">
        <v>46065</v>
      </c>
      <c r="L1036" s="131">
        <v>13634352</v>
      </c>
      <c r="M1036" s="117" t="s">
        <v>4339</v>
      </c>
      <c r="N1036" s="34" t="s">
        <v>29</v>
      </c>
      <c r="O1036" s="10"/>
      <c r="P1036" s="113">
        <v>46181</v>
      </c>
      <c r="Q1036" s="113">
        <v>46181</v>
      </c>
      <c r="R1036" s="113">
        <v>46181</v>
      </c>
      <c r="S1036" s="37">
        <f t="shared" si="206"/>
        <v>13634352</v>
      </c>
      <c r="T1036" s="37">
        <f t="shared" si="207"/>
        <v>0</v>
      </c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</row>
    <row r="1037" spans="1:31" hidden="1">
      <c r="A1037" s="277" t="s">
        <v>5394</v>
      </c>
      <c r="B1037" s="9" t="s">
        <v>21</v>
      </c>
      <c r="C1037" s="9">
        <v>2025</v>
      </c>
      <c r="D1037" s="9" t="s">
        <v>27</v>
      </c>
      <c r="E1037" s="90" t="s">
        <v>23</v>
      </c>
      <c r="F1037" s="9" t="s">
        <v>7</v>
      </c>
      <c r="G1037" s="10"/>
      <c r="H1037" s="96">
        <v>260097</v>
      </c>
      <c r="I1037" s="109" t="s">
        <v>517</v>
      </c>
      <c r="J1037" s="115">
        <v>46051</v>
      </c>
      <c r="K1037" s="115">
        <v>46065</v>
      </c>
      <c r="L1037" s="131">
        <v>8205120</v>
      </c>
      <c r="M1037" s="117" t="s">
        <v>4340</v>
      </c>
      <c r="N1037" s="34" t="s">
        <v>29</v>
      </c>
      <c r="O1037" s="10"/>
      <c r="P1037" s="113">
        <v>46181</v>
      </c>
      <c r="Q1037" s="113">
        <v>46181</v>
      </c>
      <c r="R1037" s="113">
        <v>46181</v>
      </c>
      <c r="S1037" s="37">
        <f t="shared" si="206"/>
        <v>8205120</v>
      </c>
      <c r="T1037" s="37">
        <f t="shared" si="207"/>
        <v>0</v>
      </c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</row>
    <row r="1038" spans="1:31" hidden="1">
      <c r="A1038" s="277" t="s">
        <v>5395</v>
      </c>
      <c r="B1038" s="9" t="s">
        <v>21</v>
      </c>
      <c r="C1038" s="9">
        <v>2026</v>
      </c>
      <c r="D1038" s="9" t="s">
        <v>27</v>
      </c>
      <c r="E1038" s="90" t="s">
        <v>23</v>
      </c>
      <c r="F1038" s="9" t="s">
        <v>7</v>
      </c>
      <c r="G1038" s="10"/>
      <c r="H1038" s="96">
        <v>260096</v>
      </c>
      <c r="I1038" s="109" t="s">
        <v>517</v>
      </c>
      <c r="J1038" s="115">
        <v>46056</v>
      </c>
      <c r="K1038" s="115">
        <v>46065</v>
      </c>
      <c r="L1038" s="131">
        <v>20851087</v>
      </c>
      <c r="M1038" s="117" t="s">
        <v>4343</v>
      </c>
      <c r="N1038" s="34" t="s">
        <v>29</v>
      </c>
      <c r="O1038" s="52">
        <f>SUM(L1038:L1039)</f>
        <v>27475012</v>
      </c>
      <c r="P1038" s="113">
        <v>46188</v>
      </c>
      <c r="Q1038" s="113">
        <v>46188</v>
      </c>
      <c r="R1038" s="113">
        <v>46188</v>
      </c>
      <c r="S1038" s="37">
        <f t="shared" si="206"/>
        <v>20851087</v>
      </c>
      <c r="T1038" s="37">
        <f t="shared" si="207"/>
        <v>0</v>
      </c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</row>
    <row r="1039" spans="1:31" hidden="1">
      <c r="A1039" s="277" t="s">
        <v>5396</v>
      </c>
      <c r="B1039" s="9" t="s">
        <v>21</v>
      </c>
      <c r="C1039" s="9">
        <v>2026</v>
      </c>
      <c r="D1039" s="9" t="s">
        <v>27</v>
      </c>
      <c r="E1039" s="90" t="s">
        <v>23</v>
      </c>
      <c r="F1039" s="9" t="s">
        <v>7</v>
      </c>
      <c r="G1039" s="10"/>
      <c r="H1039" s="96">
        <v>260095</v>
      </c>
      <c r="I1039" s="109" t="s">
        <v>517</v>
      </c>
      <c r="J1039" s="115">
        <v>46056</v>
      </c>
      <c r="K1039" s="115">
        <v>46065</v>
      </c>
      <c r="L1039" s="131">
        <v>6623925</v>
      </c>
      <c r="M1039" s="117" t="s">
        <v>4344</v>
      </c>
      <c r="N1039" s="34" t="s">
        <v>29</v>
      </c>
      <c r="O1039" s="10"/>
      <c r="P1039" s="113">
        <v>46188</v>
      </c>
      <c r="Q1039" s="113">
        <v>46188</v>
      </c>
      <c r="R1039" s="113">
        <v>46188</v>
      </c>
      <c r="S1039" s="37">
        <f t="shared" si="206"/>
        <v>6623925</v>
      </c>
      <c r="T1039" s="37">
        <f t="shared" si="207"/>
        <v>0</v>
      </c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</row>
    <row r="1040" spans="1:31" hidden="1">
      <c r="A1040" s="277" t="s">
        <v>5397</v>
      </c>
      <c r="B1040" s="9" t="s">
        <v>21</v>
      </c>
      <c r="C1040" s="9">
        <v>2026</v>
      </c>
      <c r="D1040" s="9" t="s">
        <v>27</v>
      </c>
      <c r="E1040" s="90" t="s">
        <v>23</v>
      </c>
      <c r="F1040" s="9" t="s">
        <v>7</v>
      </c>
      <c r="G1040" s="10"/>
      <c r="H1040" s="96">
        <v>260098</v>
      </c>
      <c r="I1040" s="109" t="s">
        <v>517</v>
      </c>
      <c r="J1040" s="115">
        <v>46057</v>
      </c>
      <c r="K1040" s="115">
        <v>46065</v>
      </c>
      <c r="L1040" s="131">
        <v>9363072</v>
      </c>
      <c r="M1040" s="117" t="s">
        <v>4345</v>
      </c>
      <c r="N1040" s="34" t="s">
        <v>29</v>
      </c>
      <c r="O1040" s="52">
        <f>SUM(L1040:L1044)</f>
        <v>25783957</v>
      </c>
      <c r="P1040" s="113">
        <v>46195</v>
      </c>
      <c r="Q1040" s="113">
        <v>46195</v>
      </c>
      <c r="R1040" s="113">
        <v>46195</v>
      </c>
      <c r="S1040" s="37">
        <f t="shared" si="206"/>
        <v>9363072</v>
      </c>
      <c r="T1040" s="37">
        <f t="shared" si="207"/>
        <v>0</v>
      </c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</row>
    <row r="1041" spans="1:31" hidden="1">
      <c r="A1041" s="277" t="s">
        <v>5398</v>
      </c>
      <c r="B1041" s="9" t="s">
        <v>21</v>
      </c>
      <c r="C1041" s="9">
        <v>2026</v>
      </c>
      <c r="D1041" s="9" t="s">
        <v>27</v>
      </c>
      <c r="E1041" s="90" t="s">
        <v>23</v>
      </c>
      <c r="F1041" s="9" t="s">
        <v>7</v>
      </c>
      <c r="G1041" s="10"/>
      <c r="H1041" s="96">
        <v>260108</v>
      </c>
      <c r="I1041" s="109" t="s">
        <v>517</v>
      </c>
      <c r="J1041" s="115">
        <v>46064</v>
      </c>
      <c r="K1041" s="115">
        <v>46074</v>
      </c>
      <c r="L1041" s="131">
        <v>8008650</v>
      </c>
      <c r="M1041" s="117" t="s">
        <v>4374</v>
      </c>
      <c r="N1041" s="34" t="s">
        <v>29</v>
      </c>
      <c r="O1041" s="10"/>
      <c r="P1041" s="113">
        <v>46195</v>
      </c>
      <c r="Q1041" s="113">
        <v>46195</v>
      </c>
      <c r="R1041" s="113">
        <v>46195</v>
      </c>
      <c r="S1041" s="37">
        <f t="shared" si="206"/>
        <v>8008650</v>
      </c>
      <c r="T1041" s="37">
        <f t="shared" si="207"/>
        <v>0</v>
      </c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</row>
    <row r="1042" spans="1:31" hidden="1">
      <c r="A1042" s="277" t="s">
        <v>5399</v>
      </c>
      <c r="B1042" s="9" t="s">
        <v>21</v>
      </c>
      <c r="C1042" s="9">
        <v>2026</v>
      </c>
      <c r="D1042" s="9" t="s">
        <v>27</v>
      </c>
      <c r="E1042" s="90" t="s">
        <v>23</v>
      </c>
      <c r="F1042" s="9" t="s">
        <v>7</v>
      </c>
      <c r="G1042" s="10"/>
      <c r="H1042" s="96">
        <v>260110</v>
      </c>
      <c r="I1042" s="109" t="s">
        <v>517</v>
      </c>
      <c r="J1042" s="115">
        <v>46064</v>
      </c>
      <c r="K1042" s="115">
        <v>46074</v>
      </c>
      <c r="L1042" s="131">
        <v>3385825</v>
      </c>
      <c r="M1042" s="117" t="s">
        <v>4375</v>
      </c>
      <c r="N1042" s="34" t="s">
        <v>29</v>
      </c>
      <c r="O1042" s="10"/>
      <c r="P1042" s="113">
        <v>46195</v>
      </c>
      <c r="Q1042" s="113">
        <v>46195</v>
      </c>
      <c r="R1042" s="113">
        <v>46195</v>
      </c>
      <c r="S1042" s="37">
        <f t="shared" si="206"/>
        <v>3385825</v>
      </c>
      <c r="T1042" s="37">
        <f t="shared" si="207"/>
        <v>0</v>
      </c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</row>
    <row r="1043" spans="1:31" hidden="1">
      <c r="A1043" s="277" t="s">
        <v>5400</v>
      </c>
      <c r="B1043" s="9" t="s">
        <v>21</v>
      </c>
      <c r="C1043" s="9">
        <v>2026</v>
      </c>
      <c r="D1043" s="9" t="s">
        <v>27</v>
      </c>
      <c r="E1043" s="90" t="s">
        <v>23</v>
      </c>
      <c r="F1043" s="9" t="s">
        <v>7</v>
      </c>
      <c r="G1043" s="10"/>
      <c r="H1043" s="96">
        <v>260109</v>
      </c>
      <c r="I1043" s="109" t="s">
        <v>517</v>
      </c>
      <c r="J1043" s="115">
        <v>46064</v>
      </c>
      <c r="K1043" s="115">
        <v>46074</v>
      </c>
      <c r="L1043" s="131">
        <v>2497500</v>
      </c>
      <c r="M1043" s="117" t="s">
        <v>4376</v>
      </c>
      <c r="N1043" s="34" t="s">
        <v>29</v>
      </c>
      <c r="O1043" s="10"/>
      <c r="P1043" s="113">
        <v>46195</v>
      </c>
      <c r="Q1043" s="113">
        <v>46195</v>
      </c>
      <c r="R1043" s="113">
        <v>46195</v>
      </c>
      <c r="S1043" s="37">
        <f t="shared" si="206"/>
        <v>2497500</v>
      </c>
      <c r="T1043" s="37">
        <f t="shared" si="207"/>
        <v>0</v>
      </c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</row>
    <row r="1044" spans="1:31" hidden="1">
      <c r="A1044" s="277" t="s">
        <v>5401</v>
      </c>
      <c r="B1044" s="9" t="s">
        <v>21</v>
      </c>
      <c r="C1044" s="9">
        <v>2026</v>
      </c>
      <c r="D1044" s="9" t="s">
        <v>27</v>
      </c>
      <c r="E1044" s="90" t="s">
        <v>23</v>
      </c>
      <c r="F1044" s="9" t="s">
        <v>7</v>
      </c>
      <c r="G1044" s="10"/>
      <c r="H1044" s="96">
        <v>260115</v>
      </c>
      <c r="I1044" s="109" t="s">
        <v>517</v>
      </c>
      <c r="J1044" s="115">
        <v>46065</v>
      </c>
      <c r="K1044" s="115">
        <v>46081</v>
      </c>
      <c r="L1044" s="131">
        <v>2528910</v>
      </c>
      <c r="M1044" s="117" t="s">
        <v>4415</v>
      </c>
      <c r="N1044" s="34" t="s">
        <v>29</v>
      </c>
      <c r="O1044" s="10"/>
      <c r="P1044" s="113">
        <v>46195</v>
      </c>
      <c r="Q1044" s="113">
        <v>46195</v>
      </c>
      <c r="R1044" s="113">
        <v>46195</v>
      </c>
      <c r="S1044" s="37">
        <f t="shared" si="206"/>
        <v>2528910</v>
      </c>
      <c r="T1044" s="37">
        <f t="shared" si="207"/>
        <v>0</v>
      </c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</row>
    <row r="1045" spans="1:31" hidden="1">
      <c r="A1045" s="277" t="s">
        <v>5402</v>
      </c>
      <c r="B1045" s="9" t="s">
        <v>21</v>
      </c>
      <c r="C1045" s="9">
        <v>2026</v>
      </c>
      <c r="D1045" s="9" t="s">
        <v>27</v>
      </c>
      <c r="E1045" s="90" t="s">
        <v>23</v>
      </c>
      <c r="F1045" s="9" t="s">
        <v>7</v>
      </c>
      <c r="G1045" s="10"/>
      <c r="H1045" s="96">
        <v>260399</v>
      </c>
      <c r="I1045" s="109" t="s">
        <v>517</v>
      </c>
      <c r="J1045" s="115">
        <v>46198</v>
      </c>
      <c r="K1045" s="115">
        <v>46203</v>
      </c>
      <c r="L1045" s="131">
        <v>17374275</v>
      </c>
      <c r="M1045" s="117" t="s">
        <v>7186</v>
      </c>
      <c r="N1045" s="34" t="s">
        <v>29</v>
      </c>
      <c r="O1045" s="52">
        <f>SUM(L1045:L1052)</f>
        <v>31720149</v>
      </c>
      <c r="P1045" s="113">
        <v>46228</v>
      </c>
      <c r="Q1045" s="113">
        <v>46228</v>
      </c>
      <c r="R1045" s="113">
        <v>46228</v>
      </c>
      <c r="S1045" s="37">
        <f t="shared" si="206"/>
        <v>17374275</v>
      </c>
      <c r="T1045" s="37">
        <f t="shared" si="207"/>
        <v>0</v>
      </c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</row>
    <row r="1046" spans="1:31" hidden="1">
      <c r="A1046" s="277" t="s">
        <v>5403</v>
      </c>
      <c r="B1046" s="9" t="s">
        <v>21</v>
      </c>
      <c r="C1046" s="9">
        <v>2026</v>
      </c>
      <c r="D1046" s="9" t="s">
        <v>27</v>
      </c>
      <c r="E1046" s="90" t="s">
        <v>23</v>
      </c>
      <c r="F1046" s="9" t="s">
        <v>7</v>
      </c>
      <c r="G1046" s="10"/>
      <c r="H1046" s="96">
        <v>260406</v>
      </c>
      <c r="I1046" s="109" t="s">
        <v>517</v>
      </c>
      <c r="J1046" s="115">
        <v>46200</v>
      </c>
      <c r="K1046" s="115">
        <v>46210</v>
      </c>
      <c r="L1046" s="131">
        <v>419025</v>
      </c>
      <c r="M1046" s="117" t="s">
        <v>7335</v>
      </c>
      <c r="N1046" s="34" t="s">
        <v>29</v>
      </c>
      <c r="O1046" s="10"/>
      <c r="P1046" s="113">
        <v>46228</v>
      </c>
      <c r="Q1046" s="113">
        <v>46228</v>
      </c>
      <c r="R1046" s="113">
        <v>46228</v>
      </c>
      <c r="S1046" s="37">
        <f t="shared" ref="S1046:S1053" si="208">IF(R1046="",0,L1046)</f>
        <v>419025</v>
      </c>
      <c r="T1046" s="37">
        <f t="shared" ref="T1046:T1053" si="209">L1046-S1046</f>
        <v>0</v>
      </c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</row>
    <row r="1047" spans="1:31" hidden="1">
      <c r="A1047" s="277" t="s">
        <v>5404</v>
      </c>
      <c r="B1047" s="9" t="s">
        <v>21</v>
      </c>
      <c r="C1047" s="9">
        <v>2026</v>
      </c>
      <c r="D1047" s="9" t="s">
        <v>27</v>
      </c>
      <c r="E1047" s="90" t="s">
        <v>23</v>
      </c>
      <c r="F1047" s="9" t="s">
        <v>7</v>
      </c>
      <c r="G1047" s="10"/>
      <c r="H1047" s="96">
        <v>260407</v>
      </c>
      <c r="I1047" s="109" t="s">
        <v>517</v>
      </c>
      <c r="J1047" s="115">
        <v>46200</v>
      </c>
      <c r="K1047" s="115">
        <v>46210</v>
      </c>
      <c r="L1047" s="131">
        <v>5045501</v>
      </c>
      <c r="M1047" s="117" t="s">
        <v>7336</v>
      </c>
      <c r="N1047" s="34" t="s">
        <v>29</v>
      </c>
      <c r="O1047" s="10"/>
      <c r="P1047" s="113">
        <v>46228</v>
      </c>
      <c r="Q1047" s="113">
        <v>46228</v>
      </c>
      <c r="R1047" s="113">
        <v>46228</v>
      </c>
      <c r="S1047" s="37">
        <f t="shared" si="208"/>
        <v>5045501</v>
      </c>
      <c r="T1047" s="37">
        <f t="shared" si="209"/>
        <v>0</v>
      </c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</row>
    <row r="1048" spans="1:31" hidden="1">
      <c r="A1048" s="277" t="s">
        <v>5405</v>
      </c>
      <c r="B1048" s="9" t="s">
        <v>21</v>
      </c>
      <c r="C1048" s="9">
        <v>2026</v>
      </c>
      <c r="D1048" s="9" t="s">
        <v>27</v>
      </c>
      <c r="E1048" s="90" t="s">
        <v>23</v>
      </c>
      <c r="F1048" s="9" t="s">
        <v>7</v>
      </c>
      <c r="G1048" s="10"/>
      <c r="H1048" s="96">
        <v>260408</v>
      </c>
      <c r="I1048" s="109" t="s">
        <v>517</v>
      </c>
      <c r="J1048" s="115">
        <v>46200</v>
      </c>
      <c r="K1048" s="115">
        <v>46210</v>
      </c>
      <c r="L1048" s="131">
        <v>638138</v>
      </c>
      <c r="M1048" s="117" t="s">
        <v>7337</v>
      </c>
      <c r="N1048" s="34" t="s">
        <v>29</v>
      </c>
      <c r="O1048" s="10"/>
      <c r="P1048" s="113">
        <v>46228</v>
      </c>
      <c r="Q1048" s="113">
        <v>46228</v>
      </c>
      <c r="R1048" s="113">
        <v>46228</v>
      </c>
      <c r="S1048" s="37">
        <f t="shared" si="208"/>
        <v>638138</v>
      </c>
      <c r="T1048" s="37">
        <f t="shared" si="209"/>
        <v>0</v>
      </c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</row>
    <row r="1049" spans="1:31" hidden="1">
      <c r="A1049" s="277" t="s">
        <v>5406</v>
      </c>
      <c r="B1049" s="9" t="s">
        <v>21</v>
      </c>
      <c r="C1049" s="9">
        <v>2026</v>
      </c>
      <c r="D1049" s="9" t="s">
        <v>27</v>
      </c>
      <c r="E1049" s="90" t="s">
        <v>23</v>
      </c>
      <c r="F1049" s="9" t="s">
        <v>7</v>
      </c>
      <c r="G1049" s="10"/>
      <c r="H1049" s="96">
        <v>260417</v>
      </c>
      <c r="I1049" s="109" t="s">
        <v>517</v>
      </c>
      <c r="J1049" s="115">
        <v>46203</v>
      </c>
      <c r="K1049" s="115">
        <v>46210</v>
      </c>
      <c r="L1049" s="131">
        <v>3962700</v>
      </c>
      <c r="M1049" s="117" t="s">
        <v>7338</v>
      </c>
      <c r="N1049" s="34" t="s">
        <v>29</v>
      </c>
      <c r="O1049" s="10"/>
      <c r="P1049" s="113">
        <v>46228</v>
      </c>
      <c r="Q1049" s="113">
        <v>46228</v>
      </c>
      <c r="R1049" s="113">
        <v>46228</v>
      </c>
      <c r="S1049" s="37">
        <f t="shared" si="208"/>
        <v>3962700</v>
      </c>
      <c r="T1049" s="37">
        <f t="shared" si="209"/>
        <v>0</v>
      </c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</row>
    <row r="1050" spans="1:31" hidden="1">
      <c r="A1050" s="277" t="s">
        <v>5407</v>
      </c>
      <c r="B1050" s="9" t="s">
        <v>21</v>
      </c>
      <c r="C1050" s="9">
        <v>2026</v>
      </c>
      <c r="D1050" s="9" t="s">
        <v>27</v>
      </c>
      <c r="E1050" s="90" t="s">
        <v>23</v>
      </c>
      <c r="F1050" s="9" t="s">
        <v>7</v>
      </c>
      <c r="G1050" s="10"/>
      <c r="H1050" s="96">
        <v>260418</v>
      </c>
      <c r="I1050" s="109" t="s">
        <v>517</v>
      </c>
      <c r="J1050" s="115">
        <v>46203</v>
      </c>
      <c r="K1050" s="115">
        <v>46210</v>
      </c>
      <c r="L1050" s="131">
        <v>3763011</v>
      </c>
      <c r="M1050" s="117" t="s">
        <v>7339</v>
      </c>
      <c r="N1050" s="34" t="s">
        <v>29</v>
      </c>
      <c r="O1050" s="10"/>
      <c r="P1050" s="113">
        <v>46228</v>
      </c>
      <c r="Q1050" s="113">
        <v>46228</v>
      </c>
      <c r="R1050" s="113">
        <v>46228</v>
      </c>
      <c r="S1050" s="37">
        <f t="shared" si="208"/>
        <v>3763011</v>
      </c>
      <c r="T1050" s="37">
        <f t="shared" si="209"/>
        <v>0</v>
      </c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</row>
    <row r="1051" spans="1:31" hidden="1">
      <c r="A1051" s="277" t="s">
        <v>5408</v>
      </c>
      <c r="B1051" s="9" t="s">
        <v>21</v>
      </c>
      <c r="C1051" s="9">
        <v>2026</v>
      </c>
      <c r="D1051" s="9" t="s">
        <v>27</v>
      </c>
      <c r="E1051" s="90" t="s">
        <v>23</v>
      </c>
      <c r="F1051" s="9" t="s">
        <v>7</v>
      </c>
      <c r="G1051" s="10"/>
      <c r="H1051" s="96">
        <v>260419</v>
      </c>
      <c r="I1051" s="109" t="s">
        <v>517</v>
      </c>
      <c r="J1051" s="115">
        <v>46203</v>
      </c>
      <c r="K1051" s="115">
        <v>46210</v>
      </c>
      <c r="L1051" s="131">
        <v>17999</v>
      </c>
      <c r="M1051" s="117" t="s">
        <v>7340</v>
      </c>
      <c r="N1051" s="34" t="s">
        <v>29</v>
      </c>
      <c r="O1051" s="10"/>
      <c r="P1051" s="113">
        <v>46228</v>
      </c>
      <c r="Q1051" s="113">
        <v>46228</v>
      </c>
      <c r="R1051" s="113">
        <v>46228</v>
      </c>
      <c r="S1051" s="37">
        <f t="shared" si="208"/>
        <v>17999</v>
      </c>
      <c r="T1051" s="37">
        <f t="shared" si="209"/>
        <v>0</v>
      </c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</row>
    <row r="1052" spans="1:31">
      <c r="A1052" s="277" t="s">
        <v>5409</v>
      </c>
      <c r="B1052" s="9" t="s">
        <v>21</v>
      </c>
      <c r="C1052" s="9">
        <v>2026</v>
      </c>
      <c r="D1052" s="9" t="s">
        <v>27</v>
      </c>
      <c r="E1052" s="90" t="s">
        <v>23</v>
      </c>
      <c r="F1052" s="9" t="s">
        <v>7</v>
      </c>
      <c r="G1052" s="10"/>
      <c r="H1052" s="96">
        <v>260420</v>
      </c>
      <c r="I1052" s="109" t="s">
        <v>517</v>
      </c>
      <c r="J1052" s="115">
        <v>46203</v>
      </c>
      <c r="K1052" s="115">
        <v>46210</v>
      </c>
      <c r="L1052" s="131">
        <v>499500</v>
      </c>
      <c r="M1052" s="117" t="s">
        <v>7341</v>
      </c>
      <c r="N1052" s="34" t="s">
        <v>29</v>
      </c>
      <c r="O1052" s="10"/>
      <c r="P1052" s="113">
        <v>46228</v>
      </c>
      <c r="Q1052" s="113">
        <v>46228</v>
      </c>
      <c r="R1052" s="113">
        <v>46228</v>
      </c>
      <c r="S1052" s="37">
        <f t="shared" si="208"/>
        <v>499500</v>
      </c>
      <c r="T1052" s="37">
        <f t="shared" si="209"/>
        <v>0</v>
      </c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</row>
    <row r="1053" spans="1:31">
      <c r="A1053" s="277" t="s">
        <v>5410</v>
      </c>
      <c r="B1053" s="9" t="s">
        <v>21</v>
      </c>
      <c r="C1053" s="9">
        <v>2026</v>
      </c>
      <c r="D1053" s="9" t="s">
        <v>77</v>
      </c>
      <c r="E1053" s="90" t="s">
        <v>23</v>
      </c>
      <c r="F1053" s="9" t="s">
        <v>7</v>
      </c>
      <c r="G1053" s="10"/>
      <c r="H1053" s="9">
        <v>260436</v>
      </c>
      <c r="I1053" s="11" t="s">
        <v>517</v>
      </c>
      <c r="J1053" s="12">
        <v>46207</v>
      </c>
      <c r="K1053" s="12">
        <v>46217</v>
      </c>
      <c r="L1053" s="52">
        <v>244200</v>
      </c>
      <c r="M1053" s="10" t="s">
        <v>7374</v>
      </c>
      <c r="N1053" s="34">
        <f t="shared" ref="N1053:N1062" ca="1" si="210">$J$3-J1053</f>
        <v>33.463776388889528</v>
      </c>
      <c r="O1053" s="10"/>
      <c r="P1053" s="39"/>
      <c r="Q1053" s="39"/>
      <c r="R1053" s="39"/>
      <c r="S1053" s="37">
        <f t="shared" si="208"/>
        <v>0</v>
      </c>
      <c r="T1053" s="37">
        <f t="shared" si="209"/>
        <v>244200</v>
      </c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</row>
    <row r="1054" spans="1:31">
      <c r="A1054" s="277" t="s">
        <v>5411</v>
      </c>
      <c r="B1054" s="9" t="s">
        <v>21</v>
      </c>
      <c r="C1054" s="9">
        <v>2026</v>
      </c>
      <c r="D1054" s="9" t="s">
        <v>77</v>
      </c>
      <c r="E1054" s="90" t="s">
        <v>23</v>
      </c>
      <c r="F1054" s="9" t="s">
        <v>7</v>
      </c>
      <c r="G1054" s="10"/>
      <c r="H1054" s="9">
        <v>260480</v>
      </c>
      <c r="I1054" s="11" t="s">
        <v>517</v>
      </c>
      <c r="J1054" s="12">
        <v>46217</v>
      </c>
      <c r="K1054" s="12">
        <v>46226</v>
      </c>
      <c r="L1054" s="52">
        <v>172522</v>
      </c>
      <c r="M1054" s="10" t="s">
        <v>7421</v>
      </c>
      <c r="N1054" s="34">
        <f t="shared" ca="1" si="210"/>
        <v>23.463776388889528</v>
      </c>
      <c r="O1054" s="10"/>
      <c r="P1054" s="39"/>
      <c r="Q1054" s="39"/>
      <c r="R1054" s="39"/>
      <c r="S1054" s="37">
        <f t="shared" ref="S1054:S1063" si="211">IF(R1054="",0,L1054)</f>
        <v>0</v>
      </c>
      <c r="T1054" s="37">
        <f t="shared" ref="T1054:T1063" si="212">L1054-S1054</f>
        <v>172522</v>
      </c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</row>
    <row r="1055" spans="1:31">
      <c r="A1055" s="277" t="s">
        <v>5412</v>
      </c>
      <c r="B1055" s="9" t="s">
        <v>21</v>
      </c>
      <c r="C1055" s="9">
        <v>2026</v>
      </c>
      <c r="D1055" s="9" t="s">
        <v>77</v>
      </c>
      <c r="E1055" s="90" t="s">
        <v>23</v>
      </c>
      <c r="F1055" s="9" t="s">
        <v>7</v>
      </c>
      <c r="G1055" s="10"/>
      <c r="H1055" s="9">
        <v>260462</v>
      </c>
      <c r="I1055" s="11" t="s">
        <v>517</v>
      </c>
      <c r="J1055" s="12">
        <v>46217</v>
      </c>
      <c r="K1055" s="12">
        <v>46226</v>
      </c>
      <c r="L1055" s="52">
        <v>2953128</v>
      </c>
      <c r="M1055" s="10" t="s">
        <v>7422</v>
      </c>
      <c r="N1055" s="34">
        <f t="shared" ca="1" si="210"/>
        <v>23.463776388889528</v>
      </c>
      <c r="O1055" s="10"/>
      <c r="P1055" s="39"/>
      <c r="Q1055" s="39"/>
      <c r="R1055" s="39"/>
      <c r="S1055" s="37">
        <f t="shared" si="211"/>
        <v>0</v>
      </c>
      <c r="T1055" s="37">
        <f t="shared" si="212"/>
        <v>2953128</v>
      </c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</row>
    <row r="1056" spans="1:31">
      <c r="A1056" s="277" t="s">
        <v>5413</v>
      </c>
      <c r="B1056" s="9" t="s">
        <v>21</v>
      </c>
      <c r="C1056" s="9">
        <v>2026</v>
      </c>
      <c r="D1056" s="9" t="s">
        <v>77</v>
      </c>
      <c r="E1056" s="90" t="s">
        <v>23</v>
      </c>
      <c r="F1056" s="9" t="s">
        <v>7</v>
      </c>
      <c r="G1056" s="10"/>
      <c r="H1056" s="9">
        <v>260482</v>
      </c>
      <c r="I1056" s="11" t="s">
        <v>517</v>
      </c>
      <c r="J1056" s="12">
        <v>46217</v>
      </c>
      <c r="K1056" s="12">
        <v>46226</v>
      </c>
      <c r="L1056" s="52">
        <v>750360</v>
      </c>
      <c r="M1056" s="10" t="s">
        <v>7423</v>
      </c>
      <c r="N1056" s="34">
        <f t="shared" ca="1" si="210"/>
        <v>23.463776388889528</v>
      </c>
      <c r="O1056" s="10"/>
      <c r="P1056" s="39"/>
      <c r="Q1056" s="39"/>
      <c r="R1056" s="39"/>
      <c r="S1056" s="37">
        <f t="shared" si="211"/>
        <v>0</v>
      </c>
      <c r="T1056" s="37">
        <f t="shared" si="212"/>
        <v>750360</v>
      </c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</row>
    <row r="1057" spans="1:31">
      <c r="A1057" s="277" t="s">
        <v>5414</v>
      </c>
      <c r="B1057" s="9" t="s">
        <v>21</v>
      </c>
      <c r="C1057" s="9">
        <v>2026</v>
      </c>
      <c r="D1057" s="9" t="s">
        <v>77</v>
      </c>
      <c r="E1057" s="90" t="s">
        <v>23</v>
      </c>
      <c r="F1057" s="9" t="s">
        <v>7</v>
      </c>
      <c r="G1057" s="10"/>
      <c r="H1057" s="9">
        <v>260481</v>
      </c>
      <c r="I1057" s="11" t="s">
        <v>517</v>
      </c>
      <c r="J1057" s="12">
        <v>46217</v>
      </c>
      <c r="K1057" s="12">
        <v>46226</v>
      </c>
      <c r="L1057" s="52">
        <v>164280</v>
      </c>
      <c r="M1057" s="10" t="s">
        <v>7424</v>
      </c>
      <c r="N1057" s="34">
        <f t="shared" ca="1" si="210"/>
        <v>23.463776388889528</v>
      </c>
      <c r="O1057" s="10"/>
      <c r="P1057" s="39"/>
      <c r="Q1057" s="39"/>
      <c r="R1057" s="39"/>
      <c r="S1057" s="37">
        <f t="shared" si="211"/>
        <v>0</v>
      </c>
      <c r="T1057" s="37">
        <f t="shared" si="212"/>
        <v>164280</v>
      </c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</row>
    <row r="1058" spans="1:31">
      <c r="A1058" s="277" t="s">
        <v>5415</v>
      </c>
      <c r="B1058" s="9" t="s">
        <v>21</v>
      </c>
      <c r="C1058" s="9">
        <v>2026</v>
      </c>
      <c r="D1058" s="9" t="s">
        <v>77</v>
      </c>
      <c r="E1058" s="90" t="s">
        <v>23</v>
      </c>
      <c r="F1058" s="9" t="s">
        <v>7</v>
      </c>
      <c r="G1058" s="10"/>
      <c r="H1058" s="9">
        <v>260484</v>
      </c>
      <c r="I1058" s="11" t="s">
        <v>517</v>
      </c>
      <c r="J1058" s="12">
        <v>46218</v>
      </c>
      <c r="K1058" s="12">
        <v>46226</v>
      </c>
      <c r="L1058" s="52">
        <v>167610</v>
      </c>
      <c r="M1058" s="10" t="s">
        <v>7425</v>
      </c>
      <c r="N1058" s="34">
        <f t="shared" ca="1" si="210"/>
        <v>22.463776388889528</v>
      </c>
      <c r="O1058" s="10"/>
      <c r="P1058" s="39"/>
      <c r="Q1058" s="39"/>
      <c r="R1058" s="39"/>
      <c r="S1058" s="37">
        <f t="shared" si="211"/>
        <v>0</v>
      </c>
      <c r="T1058" s="37">
        <f t="shared" si="212"/>
        <v>167610</v>
      </c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</row>
    <row r="1059" spans="1:31">
      <c r="A1059" s="277" t="s">
        <v>5416</v>
      </c>
      <c r="B1059" s="9" t="s">
        <v>21</v>
      </c>
      <c r="C1059" s="9">
        <v>2026</v>
      </c>
      <c r="D1059" s="9" t="s">
        <v>77</v>
      </c>
      <c r="E1059" s="90" t="s">
        <v>23</v>
      </c>
      <c r="F1059" s="9" t="s">
        <v>7</v>
      </c>
      <c r="G1059" s="10"/>
      <c r="H1059" s="9">
        <v>260496</v>
      </c>
      <c r="I1059" s="11" t="s">
        <v>517</v>
      </c>
      <c r="J1059" s="12">
        <v>46219</v>
      </c>
      <c r="K1059" s="12">
        <v>46226</v>
      </c>
      <c r="L1059" s="52">
        <v>1470342</v>
      </c>
      <c r="M1059" s="10" t="s">
        <v>7426</v>
      </c>
      <c r="N1059" s="34">
        <f t="shared" ca="1" si="210"/>
        <v>21.463776388889528</v>
      </c>
      <c r="O1059" s="10"/>
      <c r="P1059" s="39"/>
      <c r="Q1059" s="39"/>
      <c r="R1059" s="39"/>
      <c r="S1059" s="37">
        <f t="shared" si="211"/>
        <v>0</v>
      </c>
      <c r="T1059" s="37">
        <f t="shared" si="212"/>
        <v>1470342</v>
      </c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</row>
    <row r="1060" spans="1:31">
      <c r="A1060" s="277" t="s">
        <v>5417</v>
      </c>
      <c r="B1060" s="9" t="s">
        <v>21</v>
      </c>
      <c r="C1060" s="9">
        <v>2026</v>
      </c>
      <c r="D1060" s="9" t="s">
        <v>77</v>
      </c>
      <c r="E1060" s="90" t="s">
        <v>23</v>
      </c>
      <c r="F1060" s="9" t="s">
        <v>7</v>
      </c>
      <c r="G1060" s="10"/>
      <c r="H1060" s="9">
        <v>260495</v>
      </c>
      <c r="I1060" s="11" t="s">
        <v>517</v>
      </c>
      <c r="J1060" s="12">
        <v>46219</v>
      </c>
      <c r="K1060" s="12">
        <v>46226</v>
      </c>
      <c r="L1060" s="52">
        <v>1402152</v>
      </c>
      <c r="M1060" s="10" t="s">
        <v>7427</v>
      </c>
      <c r="N1060" s="34">
        <f t="shared" ca="1" si="210"/>
        <v>21.463776388889528</v>
      </c>
      <c r="O1060" s="10"/>
      <c r="P1060" s="39"/>
      <c r="Q1060" s="39"/>
      <c r="R1060" s="39"/>
      <c r="S1060" s="37">
        <f t="shared" si="211"/>
        <v>0</v>
      </c>
      <c r="T1060" s="37">
        <f t="shared" si="212"/>
        <v>1402152</v>
      </c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</row>
    <row r="1061" spans="1:31">
      <c r="A1061" s="277" t="s">
        <v>5418</v>
      </c>
      <c r="B1061" s="9" t="s">
        <v>21</v>
      </c>
      <c r="C1061" s="9">
        <v>2026</v>
      </c>
      <c r="D1061" s="9" t="s">
        <v>77</v>
      </c>
      <c r="E1061" s="90" t="s">
        <v>23</v>
      </c>
      <c r="F1061" s="9" t="s">
        <v>7</v>
      </c>
      <c r="G1061" s="10"/>
      <c r="H1061" s="9">
        <v>260508</v>
      </c>
      <c r="I1061" s="11" t="s">
        <v>517</v>
      </c>
      <c r="J1061" s="12">
        <v>46221</v>
      </c>
      <c r="K1061" s="12">
        <v>46226</v>
      </c>
      <c r="L1061" s="52">
        <v>357420</v>
      </c>
      <c r="M1061" s="10" t="s">
        <v>7428</v>
      </c>
      <c r="N1061" s="34">
        <f t="shared" ca="1" si="210"/>
        <v>19.463776388889528</v>
      </c>
      <c r="O1061" s="10"/>
      <c r="P1061" s="39"/>
      <c r="Q1061" s="39"/>
      <c r="R1061" s="39"/>
      <c r="S1061" s="37">
        <f t="shared" si="211"/>
        <v>0</v>
      </c>
      <c r="T1061" s="37">
        <f t="shared" si="212"/>
        <v>357420</v>
      </c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0"/>
    </row>
    <row r="1062" spans="1:31">
      <c r="A1062" s="277" t="s">
        <v>5419</v>
      </c>
      <c r="B1062" s="9" t="s">
        <v>21</v>
      </c>
      <c r="C1062" s="9">
        <v>2026</v>
      </c>
      <c r="D1062" s="9" t="s">
        <v>77</v>
      </c>
      <c r="E1062" s="90" t="s">
        <v>23</v>
      </c>
      <c r="F1062" s="9" t="s">
        <v>7</v>
      </c>
      <c r="G1062" s="10"/>
      <c r="H1062" s="9">
        <v>260510</v>
      </c>
      <c r="I1062" s="11" t="s">
        <v>517</v>
      </c>
      <c r="J1062" s="12">
        <v>46223</v>
      </c>
      <c r="K1062" s="12">
        <v>46233</v>
      </c>
      <c r="L1062" s="52">
        <v>3963810</v>
      </c>
      <c r="M1062" s="10" t="s">
        <v>7455</v>
      </c>
      <c r="N1062" s="34">
        <f t="shared" ca="1" si="210"/>
        <v>17.463776388889528</v>
      </c>
      <c r="O1062" s="10"/>
      <c r="P1062" s="39"/>
      <c r="Q1062" s="39"/>
      <c r="R1062" s="39"/>
      <c r="S1062" s="37">
        <f t="shared" si="211"/>
        <v>0</v>
      </c>
      <c r="T1062" s="37">
        <f t="shared" si="212"/>
        <v>3963810</v>
      </c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</row>
    <row r="1063" spans="1:31" ht="14.25" customHeight="1">
      <c r="A1063" s="277" t="s">
        <v>5420</v>
      </c>
      <c r="B1063" s="9" t="s">
        <v>21</v>
      </c>
      <c r="C1063" s="9"/>
      <c r="D1063" s="9"/>
      <c r="E1063" s="90"/>
      <c r="F1063" s="9"/>
      <c r="G1063" s="10"/>
      <c r="H1063" s="9"/>
      <c r="I1063" s="11"/>
      <c r="J1063" s="12"/>
      <c r="K1063" s="12"/>
      <c r="L1063" s="27"/>
      <c r="M1063" s="10"/>
      <c r="N1063" s="114">
        <f ca="1">$J$3-J1063</f>
        <v>46240.46377638889</v>
      </c>
      <c r="O1063" s="10"/>
      <c r="P1063" s="39"/>
      <c r="Q1063" s="49"/>
      <c r="R1063" s="49"/>
      <c r="S1063" s="37">
        <f t="shared" si="211"/>
        <v>0</v>
      </c>
      <c r="T1063" s="37">
        <f t="shared" si="212"/>
        <v>0</v>
      </c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0"/>
    </row>
    <row r="1064" spans="1:31" ht="14.25" customHeight="1">
      <c r="A1064" s="277" t="s">
        <v>5421</v>
      </c>
      <c r="B1064" s="9" t="s">
        <v>21</v>
      </c>
      <c r="C1064" s="9"/>
      <c r="D1064" s="9"/>
      <c r="E1064" s="90"/>
      <c r="F1064" s="9"/>
      <c r="G1064" s="10"/>
      <c r="H1064" s="9"/>
      <c r="I1064" s="11"/>
      <c r="J1064" s="12"/>
      <c r="K1064" s="12"/>
      <c r="L1064" s="52"/>
      <c r="M1064" s="10"/>
      <c r="N1064" s="9"/>
      <c r="O1064" s="11"/>
      <c r="P1064" s="39"/>
      <c r="Q1064" s="39"/>
      <c r="R1064" s="39"/>
      <c r="S1064" s="37"/>
      <c r="T1064" s="37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</row>
    <row r="1065" spans="1:31">
      <c r="A1065" s="277" t="s">
        <v>5422</v>
      </c>
      <c r="B1065" s="9" t="s">
        <v>21</v>
      </c>
      <c r="C1065" s="9"/>
      <c r="D1065" s="9"/>
      <c r="E1065" s="90"/>
      <c r="F1065" s="9"/>
      <c r="G1065" s="94" t="s">
        <v>24</v>
      </c>
      <c r="H1065" s="95" t="s">
        <v>4298</v>
      </c>
      <c r="I1065" s="104"/>
      <c r="J1065" s="105"/>
      <c r="K1065" s="105"/>
      <c r="L1065" s="106">
        <f>SUM(L1066:L1067)</f>
        <v>1457152</v>
      </c>
      <c r="M1065" s="107"/>
      <c r="N1065" s="108" t="s">
        <v>26</v>
      </c>
      <c r="O1065" s="108"/>
      <c r="P1065" s="108"/>
      <c r="Q1065" s="108"/>
      <c r="R1065" s="108"/>
      <c r="S1065" s="106">
        <f>SUM(S1066:S1067)</f>
        <v>1457152</v>
      </c>
      <c r="T1065" s="106">
        <f>SUM(T1066:T1067)</f>
        <v>0</v>
      </c>
      <c r="U1065" s="10"/>
      <c r="V1065" s="52">
        <f>L1065-S1065</f>
        <v>0</v>
      </c>
      <c r="W1065" s="52">
        <f>T1065-V1065</f>
        <v>0</v>
      </c>
      <c r="X1065" s="10"/>
      <c r="Y1065" s="10"/>
      <c r="Z1065" s="10"/>
      <c r="AA1065" s="10"/>
      <c r="AB1065" s="10"/>
      <c r="AC1065" s="10"/>
      <c r="AD1065" s="10"/>
      <c r="AE1065" s="10"/>
    </row>
    <row r="1066" spans="1:31" ht="14.25" customHeight="1">
      <c r="A1066" s="277" t="s">
        <v>5423</v>
      </c>
      <c r="B1066" s="9" t="s">
        <v>21</v>
      </c>
      <c r="C1066" s="9">
        <v>2026</v>
      </c>
      <c r="D1066" s="9"/>
      <c r="E1066" s="90" t="s">
        <v>23</v>
      </c>
      <c r="F1066" s="9" t="s">
        <v>7</v>
      </c>
      <c r="G1066" s="10"/>
      <c r="H1066" s="96">
        <v>260101</v>
      </c>
      <c r="I1066" s="109" t="s">
        <v>4298</v>
      </c>
      <c r="J1066" s="115">
        <v>46028</v>
      </c>
      <c r="K1066" s="115">
        <v>46063</v>
      </c>
      <c r="L1066" s="131">
        <v>1457152</v>
      </c>
      <c r="M1066" s="117" t="s">
        <v>4299</v>
      </c>
      <c r="N1066" s="34" t="s">
        <v>29</v>
      </c>
      <c r="O1066" s="11"/>
      <c r="P1066" s="113">
        <v>46141</v>
      </c>
      <c r="Q1066" s="113">
        <v>46141</v>
      </c>
      <c r="R1066" s="113">
        <v>46141</v>
      </c>
      <c r="S1066" s="37">
        <f>IF(R1066="",0,L1066)</f>
        <v>1457152</v>
      </c>
      <c r="T1066" s="37">
        <f>L1066-S1066</f>
        <v>0</v>
      </c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</row>
    <row r="1067" spans="1:31" ht="14.25" customHeight="1">
      <c r="A1067" s="277" t="s">
        <v>5424</v>
      </c>
      <c r="B1067" s="9" t="s">
        <v>21</v>
      </c>
      <c r="C1067" s="9"/>
      <c r="D1067" s="9"/>
      <c r="E1067" s="90"/>
      <c r="F1067" s="9"/>
      <c r="G1067" s="10"/>
      <c r="H1067" s="9"/>
      <c r="I1067" s="11"/>
      <c r="J1067" s="12"/>
      <c r="K1067" s="12"/>
      <c r="L1067" s="52"/>
      <c r="M1067" s="10"/>
      <c r="N1067" s="114">
        <f ca="1">$J$3-J1067</f>
        <v>46240.46377638889</v>
      </c>
      <c r="O1067" s="11"/>
      <c r="P1067" s="39"/>
      <c r="Q1067" s="39"/>
      <c r="R1067" s="39"/>
      <c r="S1067" s="37"/>
      <c r="T1067" s="37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</row>
    <row r="1068" spans="1:31" ht="14.25" customHeight="1">
      <c r="A1068" s="277" t="s">
        <v>5425</v>
      </c>
      <c r="B1068" s="9" t="s">
        <v>21</v>
      </c>
      <c r="C1068" s="9"/>
      <c r="D1068" s="9"/>
      <c r="E1068" s="90"/>
      <c r="F1068" s="9"/>
      <c r="G1068" s="10"/>
      <c r="H1068" s="9"/>
      <c r="I1068" s="11"/>
      <c r="J1068" s="12"/>
      <c r="K1068" s="12"/>
      <c r="L1068" s="52"/>
      <c r="M1068" s="10"/>
      <c r="N1068" s="9"/>
      <c r="O1068" s="11"/>
      <c r="P1068" s="39"/>
      <c r="Q1068" s="39"/>
      <c r="R1068" s="39"/>
      <c r="S1068" s="37"/>
      <c r="T1068" s="37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0"/>
    </row>
    <row r="1069" spans="1:31">
      <c r="A1069" s="277" t="s">
        <v>5426</v>
      </c>
      <c r="B1069" s="9" t="s">
        <v>21</v>
      </c>
      <c r="C1069" s="9"/>
      <c r="D1069" s="9"/>
      <c r="E1069" s="90"/>
      <c r="F1069" s="9"/>
      <c r="G1069" s="94" t="s">
        <v>24</v>
      </c>
      <c r="H1069" s="95" t="s">
        <v>562</v>
      </c>
      <c r="I1069" s="104"/>
      <c r="J1069" s="105"/>
      <c r="K1069" s="105"/>
      <c r="L1069" s="106">
        <f>SUM(L1070:L1079)</f>
        <v>22005039</v>
      </c>
      <c r="M1069" s="107"/>
      <c r="N1069" s="108" t="s">
        <v>26</v>
      </c>
      <c r="O1069" s="108"/>
      <c r="P1069" s="108"/>
      <c r="Q1069" s="108"/>
      <c r="R1069" s="108"/>
      <c r="S1069" s="106">
        <f>SUM(S1070:S1079)</f>
        <v>22005039</v>
      </c>
      <c r="T1069" s="106">
        <f>SUM(T1070:T1079)</f>
        <v>0</v>
      </c>
      <c r="U1069" s="10"/>
      <c r="V1069" s="52">
        <f>L1069-S1069</f>
        <v>0</v>
      </c>
      <c r="W1069" s="52">
        <f>T1069-V1069</f>
        <v>0</v>
      </c>
      <c r="X1069" s="10"/>
      <c r="Y1069" s="10"/>
      <c r="Z1069" s="10"/>
      <c r="AA1069" s="10"/>
      <c r="AB1069" s="10"/>
      <c r="AC1069" s="10"/>
      <c r="AD1069" s="10"/>
      <c r="AE1069" s="10"/>
    </row>
    <row r="1070" spans="1:31" ht="14.25" hidden="1" customHeight="1">
      <c r="A1070" s="277" t="s">
        <v>5427</v>
      </c>
      <c r="B1070" s="9" t="s">
        <v>21</v>
      </c>
      <c r="C1070" s="9">
        <v>2025</v>
      </c>
      <c r="D1070" s="9" t="s">
        <v>27</v>
      </c>
      <c r="E1070" s="90" t="s">
        <v>23</v>
      </c>
      <c r="F1070" s="9" t="s">
        <v>7</v>
      </c>
      <c r="G1070" s="10"/>
      <c r="H1070" s="96">
        <v>250046</v>
      </c>
      <c r="I1070" s="109" t="s">
        <v>563</v>
      </c>
      <c r="J1070" s="115">
        <v>45666</v>
      </c>
      <c r="K1070" s="119">
        <v>45685</v>
      </c>
      <c r="L1070" s="116">
        <v>4009286</v>
      </c>
      <c r="M1070" s="116" t="s">
        <v>564</v>
      </c>
      <c r="N1070" s="34" t="s">
        <v>29</v>
      </c>
      <c r="O1070" s="31">
        <f>SUM(L1070:L1073)</f>
        <v>14409975</v>
      </c>
      <c r="P1070" s="113">
        <v>45867</v>
      </c>
      <c r="Q1070" s="113">
        <v>45867</v>
      </c>
      <c r="R1070" s="113">
        <v>45867</v>
      </c>
      <c r="S1070" s="37">
        <f t="shared" ref="S1070:S1078" si="213">IF(R1070="",0,L1070)</f>
        <v>4009286</v>
      </c>
      <c r="T1070" s="37">
        <f t="shared" ref="T1070:T1078" si="214">L1070-S1070</f>
        <v>0</v>
      </c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</row>
    <row r="1071" spans="1:31" ht="14.25" hidden="1" customHeight="1">
      <c r="A1071" s="277" t="s">
        <v>5428</v>
      </c>
      <c r="B1071" s="9" t="s">
        <v>21</v>
      </c>
      <c r="C1071" s="9">
        <v>2025</v>
      </c>
      <c r="D1071" s="9" t="s">
        <v>27</v>
      </c>
      <c r="E1071" s="90" t="s">
        <v>23</v>
      </c>
      <c r="F1071" s="9" t="s">
        <v>7</v>
      </c>
      <c r="G1071" s="10"/>
      <c r="H1071" s="96">
        <v>250049</v>
      </c>
      <c r="I1071" s="109" t="s">
        <v>563</v>
      </c>
      <c r="J1071" s="115">
        <v>45694</v>
      </c>
      <c r="K1071" s="119">
        <v>45708</v>
      </c>
      <c r="L1071" s="116">
        <v>1864800</v>
      </c>
      <c r="M1071" s="116" t="s">
        <v>565</v>
      </c>
      <c r="N1071" s="34" t="s">
        <v>29</v>
      </c>
      <c r="O1071" s="11"/>
      <c r="P1071" s="113">
        <v>45867</v>
      </c>
      <c r="Q1071" s="113">
        <v>45867</v>
      </c>
      <c r="R1071" s="113">
        <v>45867</v>
      </c>
      <c r="S1071" s="37">
        <f t="shared" si="213"/>
        <v>1864800</v>
      </c>
      <c r="T1071" s="37">
        <f t="shared" si="214"/>
        <v>0</v>
      </c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10"/>
    </row>
    <row r="1072" spans="1:31" ht="14.25" hidden="1" customHeight="1">
      <c r="A1072" s="277" t="s">
        <v>5429</v>
      </c>
      <c r="B1072" s="9" t="s">
        <v>21</v>
      </c>
      <c r="C1072" s="9">
        <v>2025</v>
      </c>
      <c r="D1072" s="9" t="s">
        <v>27</v>
      </c>
      <c r="E1072" s="90" t="s">
        <v>23</v>
      </c>
      <c r="F1072" s="9" t="s">
        <v>7</v>
      </c>
      <c r="G1072" s="10"/>
      <c r="H1072" s="96">
        <v>250130</v>
      </c>
      <c r="I1072" s="109" t="s">
        <v>563</v>
      </c>
      <c r="J1072" s="115">
        <v>45692</v>
      </c>
      <c r="K1072" s="119">
        <v>45713</v>
      </c>
      <c r="L1072" s="116">
        <v>8247289</v>
      </c>
      <c r="M1072" s="116" t="s">
        <v>566</v>
      </c>
      <c r="N1072" s="34" t="s">
        <v>29</v>
      </c>
      <c r="O1072" s="11"/>
      <c r="P1072" s="113">
        <v>45867</v>
      </c>
      <c r="Q1072" s="113">
        <v>45867</v>
      </c>
      <c r="R1072" s="113">
        <v>45867</v>
      </c>
      <c r="S1072" s="37">
        <f t="shared" si="213"/>
        <v>8247289</v>
      </c>
      <c r="T1072" s="37">
        <f t="shared" si="214"/>
        <v>0</v>
      </c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  <c r="AE1072" s="10"/>
    </row>
    <row r="1073" spans="1:31" ht="14.25" hidden="1" customHeight="1">
      <c r="A1073" s="277" t="s">
        <v>5430</v>
      </c>
      <c r="B1073" s="9" t="s">
        <v>21</v>
      </c>
      <c r="C1073" s="9">
        <v>2025</v>
      </c>
      <c r="D1073" s="9" t="s">
        <v>27</v>
      </c>
      <c r="E1073" s="90" t="s">
        <v>23</v>
      </c>
      <c r="F1073" s="9" t="s">
        <v>7</v>
      </c>
      <c r="G1073" s="10"/>
      <c r="H1073" s="96">
        <v>250129</v>
      </c>
      <c r="I1073" s="109" t="s">
        <v>563</v>
      </c>
      <c r="J1073" s="115">
        <v>45692</v>
      </c>
      <c r="K1073" s="119">
        <v>45713</v>
      </c>
      <c r="L1073" s="116">
        <v>288600</v>
      </c>
      <c r="M1073" s="116" t="s">
        <v>567</v>
      </c>
      <c r="N1073" s="34" t="s">
        <v>29</v>
      </c>
      <c r="O1073" s="11"/>
      <c r="P1073" s="113">
        <v>45867</v>
      </c>
      <c r="Q1073" s="113">
        <v>45867</v>
      </c>
      <c r="R1073" s="113">
        <v>45867</v>
      </c>
      <c r="S1073" s="37">
        <f t="shared" si="213"/>
        <v>288600</v>
      </c>
      <c r="T1073" s="37">
        <f t="shared" si="214"/>
        <v>0</v>
      </c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</row>
    <row r="1074" spans="1:31" ht="14.25" hidden="1" customHeight="1">
      <c r="A1074" s="277" t="s">
        <v>5431</v>
      </c>
      <c r="B1074" s="9" t="s">
        <v>21</v>
      </c>
      <c r="C1074" s="9">
        <v>2025</v>
      </c>
      <c r="D1074" s="9" t="s">
        <v>27</v>
      </c>
      <c r="E1074" s="90" t="s">
        <v>23</v>
      </c>
      <c r="F1074" s="9" t="s">
        <v>7</v>
      </c>
      <c r="G1074" s="10"/>
      <c r="H1074" s="96">
        <v>250299</v>
      </c>
      <c r="I1074" s="109" t="s">
        <v>563</v>
      </c>
      <c r="J1074" s="115">
        <v>45719</v>
      </c>
      <c r="K1074" s="119">
        <v>45729</v>
      </c>
      <c r="L1074" s="116">
        <v>285048</v>
      </c>
      <c r="M1074" s="116" t="s">
        <v>568</v>
      </c>
      <c r="N1074" s="34" t="s">
        <v>29</v>
      </c>
      <c r="O1074" s="31">
        <f>SUM(L1074:L1076)</f>
        <v>3940056</v>
      </c>
      <c r="P1074" s="113">
        <v>45870</v>
      </c>
      <c r="Q1074" s="113">
        <v>45870</v>
      </c>
      <c r="R1074" s="113">
        <v>45870</v>
      </c>
      <c r="S1074" s="37">
        <f t="shared" si="213"/>
        <v>285048</v>
      </c>
      <c r="T1074" s="37">
        <f t="shared" si="214"/>
        <v>0</v>
      </c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</row>
    <row r="1075" spans="1:31" ht="14.25" hidden="1" customHeight="1">
      <c r="A1075" s="277" t="s">
        <v>5432</v>
      </c>
      <c r="B1075" s="9" t="s">
        <v>21</v>
      </c>
      <c r="C1075" s="9">
        <v>2025</v>
      </c>
      <c r="D1075" s="9" t="s">
        <v>27</v>
      </c>
      <c r="E1075" s="90" t="s">
        <v>23</v>
      </c>
      <c r="F1075" s="9" t="s">
        <v>7</v>
      </c>
      <c r="G1075" s="10"/>
      <c r="H1075" s="96">
        <v>250352</v>
      </c>
      <c r="I1075" s="109" t="s">
        <v>563</v>
      </c>
      <c r="J1075" s="115">
        <v>45735</v>
      </c>
      <c r="K1075" s="119">
        <v>45755</v>
      </c>
      <c r="L1075" s="116">
        <v>1827504</v>
      </c>
      <c r="M1075" s="116" t="s">
        <v>569</v>
      </c>
      <c r="N1075" s="34" t="s">
        <v>29</v>
      </c>
      <c r="O1075" s="11"/>
      <c r="P1075" s="113">
        <v>45870</v>
      </c>
      <c r="Q1075" s="113">
        <v>45870</v>
      </c>
      <c r="R1075" s="113">
        <v>45870</v>
      </c>
      <c r="S1075" s="37">
        <f t="shared" si="213"/>
        <v>1827504</v>
      </c>
      <c r="T1075" s="37">
        <f t="shared" si="214"/>
        <v>0</v>
      </c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</row>
    <row r="1076" spans="1:31" ht="14.25" customHeight="1">
      <c r="A1076" s="277" t="s">
        <v>5433</v>
      </c>
      <c r="B1076" s="9" t="s">
        <v>21</v>
      </c>
      <c r="C1076" s="9">
        <v>2025</v>
      </c>
      <c r="D1076" s="9" t="s">
        <v>27</v>
      </c>
      <c r="E1076" s="90" t="s">
        <v>23</v>
      </c>
      <c r="F1076" s="9" t="s">
        <v>7</v>
      </c>
      <c r="G1076" s="10"/>
      <c r="H1076" s="96">
        <v>250496</v>
      </c>
      <c r="I1076" s="109" t="s">
        <v>563</v>
      </c>
      <c r="J1076" s="115">
        <v>45777</v>
      </c>
      <c r="K1076" s="119">
        <v>45790</v>
      </c>
      <c r="L1076" s="116">
        <v>1827504</v>
      </c>
      <c r="M1076" s="116" t="s">
        <v>570</v>
      </c>
      <c r="N1076" s="34" t="s">
        <v>29</v>
      </c>
      <c r="O1076" s="11"/>
      <c r="P1076" s="113">
        <v>45870</v>
      </c>
      <c r="Q1076" s="113">
        <v>45870</v>
      </c>
      <c r="R1076" s="113">
        <v>45870</v>
      </c>
      <c r="S1076" s="37">
        <f t="shared" si="213"/>
        <v>1827504</v>
      </c>
      <c r="T1076" s="37">
        <f t="shared" si="214"/>
        <v>0</v>
      </c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</row>
    <row r="1077" spans="1:31" ht="14.25" customHeight="1">
      <c r="A1077" s="277" t="s">
        <v>5434</v>
      </c>
      <c r="B1077" s="9" t="s">
        <v>21</v>
      </c>
      <c r="C1077" s="9">
        <v>2025</v>
      </c>
      <c r="D1077" s="9" t="s">
        <v>27</v>
      </c>
      <c r="E1077" s="90" t="s">
        <v>23</v>
      </c>
      <c r="F1077" s="9" t="s">
        <v>7</v>
      </c>
      <c r="G1077" s="10"/>
      <c r="H1077" s="96">
        <v>250774</v>
      </c>
      <c r="I1077" s="109" t="s">
        <v>562</v>
      </c>
      <c r="J1077" s="115">
        <v>45870</v>
      </c>
      <c r="K1077" s="119">
        <v>45888</v>
      </c>
      <c r="L1077" s="116">
        <v>3655008</v>
      </c>
      <c r="M1077" s="116" t="s">
        <v>571</v>
      </c>
      <c r="N1077" s="34" t="s">
        <v>29</v>
      </c>
      <c r="O1077" s="11"/>
      <c r="P1077" s="113">
        <v>46229</v>
      </c>
      <c r="Q1077" s="113">
        <v>46229</v>
      </c>
      <c r="R1077" s="113">
        <v>46229</v>
      </c>
      <c r="S1077" s="37">
        <f t="shared" si="213"/>
        <v>3655008</v>
      </c>
      <c r="T1077" s="37">
        <f t="shared" si="214"/>
        <v>0</v>
      </c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</row>
    <row r="1078" spans="1:31" ht="14.25" customHeight="1">
      <c r="A1078" s="277" t="s">
        <v>5435</v>
      </c>
      <c r="B1078" s="9" t="s">
        <v>21</v>
      </c>
      <c r="C1078" s="9"/>
      <c r="D1078" s="9"/>
      <c r="E1078" s="90"/>
      <c r="F1078" s="9"/>
      <c r="G1078" s="10"/>
      <c r="H1078" s="9"/>
      <c r="I1078" s="11"/>
      <c r="J1078" s="12"/>
      <c r="K1078" s="12"/>
      <c r="L1078" s="52"/>
      <c r="M1078" s="10"/>
      <c r="N1078" s="114">
        <f ca="1">$J$3-J1078</f>
        <v>46240.46377638889</v>
      </c>
      <c r="O1078" s="11"/>
      <c r="P1078" s="39"/>
      <c r="Q1078" s="39"/>
      <c r="R1078" s="39"/>
      <c r="S1078" s="37">
        <f t="shared" si="213"/>
        <v>0</v>
      </c>
      <c r="T1078" s="37">
        <f t="shared" si="214"/>
        <v>0</v>
      </c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</row>
    <row r="1079" spans="1:31" ht="14.25" customHeight="1">
      <c r="A1079" s="277" t="s">
        <v>5436</v>
      </c>
      <c r="B1079" s="9" t="s">
        <v>21</v>
      </c>
      <c r="C1079" s="9"/>
      <c r="D1079" s="9"/>
      <c r="E1079" s="90"/>
      <c r="F1079" s="9"/>
      <c r="G1079" s="10"/>
      <c r="H1079" s="9"/>
      <c r="I1079" s="11"/>
      <c r="J1079" s="12"/>
      <c r="K1079" s="12"/>
      <c r="L1079" s="52"/>
      <c r="M1079" s="10"/>
      <c r="N1079" s="9"/>
      <c r="O1079" s="11"/>
      <c r="P1079" s="39"/>
      <c r="Q1079" s="39"/>
      <c r="R1079" s="39"/>
      <c r="S1079" s="37"/>
      <c r="T1079" s="37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0"/>
    </row>
    <row r="1080" spans="1:31">
      <c r="A1080" s="277" t="s">
        <v>5437</v>
      </c>
      <c r="B1080" s="9" t="s">
        <v>21</v>
      </c>
      <c r="C1080" s="9"/>
      <c r="D1080" s="9"/>
      <c r="E1080" s="90"/>
      <c r="F1080" s="9"/>
      <c r="G1080" s="94" t="s">
        <v>24</v>
      </c>
      <c r="H1080" s="95" t="s">
        <v>572</v>
      </c>
      <c r="I1080" s="104"/>
      <c r="J1080" s="105"/>
      <c r="K1080" s="105"/>
      <c r="L1080" s="106">
        <f>SUM(L1081:L1099)</f>
        <v>43790782</v>
      </c>
      <c r="M1080" s="107"/>
      <c r="N1080" s="108" t="s">
        <v>26</v>
      </c>
      <c r="O1080" s="108"/>
      <c r="P1080" s="108"/>
      <c r="Q1080" s="108"/>
      <c r="R1080" s="108"/>
      <c r="S1080" s="106">
        <f>SUM(S1081:S1099)</f>
        <v>24808105</v>
      </c>
      <c r="T1080" s="106">
        <f>SUM(T1081:T1099)</f>
        <v>18982677</v>
      </c>
      <c r="U1080" s="10"/>
      <c r="V1080" s="52">
        <f>L1080-S1080</f>
        <v>18982677</v>
      </c>
      <c r="W1080" s="52">
        <f>T1080-V1080</f>
        <v>0</v>
      </c>
      <c r="X1080" s="10"/>
      <c r="Y1080" s="10"/>
      <c r="Z1080" s="10"/>
      <c r="AA1080" s="10"/>
      <c r="AB1080" s="10"/>
      <c r="AC1080" s="10"/>
      <c r="AD1080" s="10"/>
      <c r="AE1080" s="10"/>
    </row>
    <row r="1081" spans="1:31" hidden="1">
      <c r="A1081" s="277" t="s">
        <v>5438</v>
      </c>
      <c r="B1081" s="9" t="s">
        <v>21</v>
      </c>
      <c r="C1081" s="9">
        <v>2025</v>
      </c>
      <c r="D1081" s="9" t="s">
        <v>27</v>
      </c>
      <c r="E1081" s="90" t="s">
        <v>23</v>
      </c>
      <c r="F1081" s="9" t="s">
        <v>7</v>
      </c>
      <c r="G1081" s="10"/>
      <c r="H1081" s="96">
        <v>250049</v>
      </c>
      <c r="I1081" s="109" t="s">
        <v>573</v>
      </c>
      <c r="J1081" s="115">
        <v>45670</v>
      </c>
      <c r="K1081" s="119">
        <v>45699</v>
      </c>
      <c r="L1081" s="116">
        <v>2119001</v>
      </c>
      <c r="M1081" s="116" t="s">
        <v>574</v>
      </c>
      <c r="N1081" s="34" t="s">
        <v>29</v>
      </c>
      <c r="O1081" s="31">
        <f>SUM(L1081:L1085)</f>
        <v>10112980</v>
      </c>
      <c r="P1081" s="113">
        <v>45831</v>
      </c>
      <c r="Q1081" s="113">
        <v>45831</v>
      </c>
      <c r="R1081" s="113">
        <v>45831</v>
      </c>
      <c r="S1081" s="37">
        <f t="shared" ref="S1081:S1086" si="215">IF(R1081="",0,L1081)</f>
        <v>2119001</v>
      </c>
      <c r="T1081" s="37">
        <f t="shared" ref="T1081:T1086" si="216">L1081-S1081</f>
        <v>0</v>
      </c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10"/>
    </row>
    <row r="1082" spans="1:31" hidden="1">
      <c r="A1082" s="277" t="s">
        <v>5439</v>
      </c>
      <c r="B1082" s="9" t="s">
        <v>21</v>
      </c>
      <c r="C1082" s="9">
        <v>2025</v>
      </c>
      <c r="D1082" s="9" t="s">
        <v>27</v>
      </c>
      <c r="E1082" s="90" t="s">
        <v>23</v>
      </c>
      <c r="F1082" s="9" t="s">
        <v>7</v>
      </c>
      <c r="G1082" s="10"/>
      <c r="H1082" s="96">
        <v>250328</v>
      </c>
      <c r="I1082" s="109" t="s">
        <v>573</v>
      </c>
      <c r="J1082" s="115">
        <v>45722</v>
      </c>
      <c r="K1082" s="119">
        <v>45729</v>
      </c>
      <c r="L1082" s="116">
        <v>1807835</v>
      </c>
      <c r="M1082" s="116" t="s">
        <v>575</v>
      </c>
      <c r="N1082" s="34" t="s">
        <v>29</v>
      </c>
      <c r="O1082" s="11"/>
      <c r="P1082" s="113">
        <v>45831</v>
      </c>
      <c r="Q1082" s="113">
        <v>45831</v>
      </c>
      <c r="R1082" s="113">
        <v>45831</v>
      </c>
      <c r="S1082" s="37">
        <f t="shared" si="215"/>
        <v>1807835</v>
      </c>
      <c r="T1082" s="37">
        <f t="shared" si="216"/>
        <v>0</v>
      </c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  <c r="AE1082" s="10"/>
    </row>
    <row r="1083" spans="1:31" hidden="1">
      <c r="A1083" s="277" t="s">
        <v>5440</v>
      </c>
      <c r="B1083" s="9" t="s">
        <v>21</v>
      </c>
      <c r="C1083" s="9">
        <v>2025</v>
      </c>
      <c r="D1083" s="9" t="s">
        <v>27</v>
      </c>
      <c r="E1083" s="90" t="s">
        <v>23</v>
      </c>
      <c r="F1083" s="9" t="s">
        <v>7</v>
      </c>
      <c r="G1083" s="10"/>
      <c r="H1083" s="96">
        <v>250370</v>
      </c>
      <c r="I1083" s="109" t="s">
        <v>573</v>
      </c>
      <c r="J1083" s="115">
        <v>45741</v>
      </c>
      <c r="K1083" s="119">
        <v>45762</v>
      </c>
      <c r="L1083" s="116">
        <v>2119002</v>
      </c>
      <c r="M1083" s="116" t="s">
        <v>576</v>
      </c>
      <c r="N1083" s="34" t="s">
        <v>29</v>
      </c>
      <c r="O1083" s="11"/>
      <c r="P1083" s="113">
        <v>45831</v>
      </c>
      <c r="Q1083" s="113">
        <v>45831</v>
      </c>
      <c r="R1083" s="113">
        <v>45831</v>
      </c>
      <c r="S1083" s="37">
        <f t="shared" si="215"/>
        <v>2119002</v>
      </c>
      <c r="T1083" s="37">
        <f t="shared" si="216"/>
        <v>0</v>
      </c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</row>
    <row r="1084" spans="1:31" hidden="1">
      <c r="A1084" s="277" t="s">
        <v>5441</v>
      </c>
      <c r="B1084" s="9" t="s">
        <v>21</v>
      </c>
      <c r="C1084" s="9">
        <v>2025</v>
      </c>
      <c r="D1084" s="9" t="s">
        <v>27</v>
      </c>
      <c r="E1084" s="90" t="s">
        <v>23</v>
      </c>
      <c r="F1084" s="9" t="s">
        <v>7</v>
      </c>
      <c r="G1084" s="10"/>
      <c r="H1084" s="96">
        <v>250412</v>
      </c>
      <c r="I1084" s="109" t="s">
        <v>573</v>
      </c>
      <c r="J1084" s="115">
        <v>45758</v>
      </c>
      <c r="K1084" s="119">
        <v>45776</v>
      </c>
      <c r="L1084" s="116">
        <v>1665000</v>
      </c>
      <c r="M1084" s="116" t="s">
        <v>577</v>
      </c>
      <c r="N1084" s="34" t="s">
        <v>29</v>
      </c>
      <c r="O1084" s="11"/>
      <c r="P1084" s="113">
        <v>45831</v>
      </c>
      <c r="Q1084" s="113">
        <v>45831</v>
      </c>
      <c r="R1084" s="113">
        <v>45831</v>
      </c>
      <c r="S1084" s="37">
        <f t="shared" si="215"/>
        <v>1665000</v>
      </c>
      <c r="T1084" s="37">
        <f t="shared" si="216"/>
        <v>0</v>
      </c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</row>
    <row r="1085" spans="1:31" hidden="1">
      <c r="A1085" s="277" t="s">
        <v>5442</v>
      </c>
      <c r="B1085" s="9" t="s">
        <v>21</v>
      </c>
      <c r="C1085" s="9">
        <v>2025</v>
      </c>
      <c r="D1085" s="9" t="s">
        <v>27</v>
      </c>
      <c r="E1085" s="90" t="s">
        <v>23</v>
      </c>
      <c r="F1085" s="9" t="s">
        <v>7</v>
      </c>
      <c r="G1085" s="10"/>
      <c r="H1085" s="96">
        <v>250413</v>
      </c>
      <c r="I1085" s="109" t="s">
        <v>573</v>
      </c>
      <c r="J1085" s="115">
        <v>45758</v>
      </c>
      <c r="K1085" s="119">
        <v>45776</v>
      </c>
      <c r="L1085" s="116">
        <v>2402142</v>
      </c>
      <c r="M1085" s="116" t="s">
        <v>578</v>
      </c>
      <c r="N1085" s="34" t="s">
        <v>29</v>
      </c>
      <c r="O1085" s="11"/>
      <c r="P1085" s="113">
        <v>45831</v>
      </c>
      <c r="Q1085" s="113">
        <v>45831</v>
      </c>
      <c r="R1085" s="113">
        <v>45831</v>
      </c>
      <c r="S1085" s="37">
        <f t="shared" si="215"/>
        <v>2402142</v>
      </c>
      <c r="T1085" s="37">
        <f t="shared" si="216"/>
        <v>0</v>
      </c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</row>
    <row r="1086" spans="1:31" hidden="1">
      <c r="A1086" s="277" t="s">
        <v>5443</v>
      </c>
      <c r="B1086" s="9" t="s">
        <v>21</v>
      </c>
      <c r="C1086" s="9">
        <v>2025</v>
      </c>
      <c r="D1086" s="9" t="s">
        <v>27</v>
      </c>
      <c r="E1086" s="90" t="s">
        <v>23</v>
      </c>
      <c r="F1086" s="9" t="s">
        <v>7</v>
      </c>
      <c r="G1086" s="10"/>
      <c r="H1086" s="96">
        <v>250427</v>
      </c>
      <c r="I1086" s="109" t="s">
        <v>573</v>
      </c>
      <c r="J1086" s="115">
        <v>45761</v>
      </c>
      <c r="K1086" s="119">
        <v>45776</v>
      </c>
      <c r="L1086" s="116">
        <v>6414859</v>
      </c>
      <c r="M1086" s="116" t="s">
        <v>579</v>
      </c>
      <c r="N1086" s="34" t="s">
        <v>29</v>
      </c>
      <c r="O1086" s="31">
        <f>SUM(L1086:L1089)</f>
        <v>14695125</v>
      </c>
      <c r="P1086" s="113">
        <v>45902</v>
      </c>
      <c r="Q1086" s="113">
        <v>45902</v>
      </c>
      <c r="R1086" s="113">
        <v>45902</v>
      </c>
      <c r="S1086" s="37">
        <f t="shared" si="215"/>
        <v>6414859</v>
      </c>
      <c r="T1086" s="37">
        <f t="shared" si="216"/>
        <v>0</v>
      </c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</row>
    <row r="1087" spans="1:31" hidden="1">
      <c r="A1087" s="277" t="s">
        <v>5444</v>
      </c>
      <c r="B1087" s="9" t="s">
        <v>21</v>
      </c>
      <c r="C1087" s="9">
        <v>2025</v>
      </c>
      <c r="D1087" s="9" t="s">
        <v>27</v>
      </c>
      <c r="E1087" s="90" t="s">
        <v>23</v>
      </c>
      <c r="F1087" s="9" t="s">
        <v>7</v>
      </c>
      <c r="G1087" s="10"/>
      <c r="H1087" s="96">
        <v>250482</v>
      </c>
      <c r="I1087" s="109" t="s">
        <v>573</v>
      </c>
      <c r="J1087" s="115">
        <v>45776</v>
      </c>
      <c r="K1087" s="119">
        <v>45797</v>
      </c>
      <c r="L1087" s="116">
        <v>2170050</v>
      </c>
      <c r="M1087" s="116" t="s">
        <v>580</v>
      </c>
      <c r="N1087" s="34" t="s">
        <v>29</v>
      </c>
      <c r="O1087" s="11"/>
      <c r="P1087" s="113">
        <v>45902</v>
      </c>
      <c r="Q1087" s="113">
        <v>45902</v>
      </c>
      <c r="R1087" s="113">
        <v>45902</v>
      </c>
      <c r="S1087" s="37">
        <f t="shared" ref="S1087:S1097" si="217">IF(R1087="",0,L1087)</f>
        <v>2170050</v>
      </c>
      <c r="T1087" s="37">
        <f t="shared" ref="T1087:T1097" si="218">L1087-S1087</f>
        <v>0</v>
      </c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</row>
    <row r="1088" spans="1:31" hidden="1">
      <c r="A1088" s="277" t="s">
        <v>5445</v>
      </c>
      <c r="B1088" s="9" t="s">
        <v>21</v>
      </c>
      <c r="C1088" s="9">
        <v>2025</v>
      </c>
      <c r="D1088" s="9" t="s">
        <v>27</v>
      </c>
      <c r="E1088" s="90" t="s">
        <v>23</v>
      </c>
      <c r="F1088" s="9" t="s">
        <v>7</v>
      </c>
      <c r="G1088" s="10"/>
      <c r="H1088" s="96">
        <v>250497</v>
      </c>
      <c r="I1088" s="109" t="s">
        <v>573</v>
      </c>
      <c r="J1088" s="115">
        <v>45782</v>
      </c>
      <c r="K1088" s="119">
        <v>45797</v>
      </c>
      <c r="L1088" s="116">
        <v>2119002</v>
      </c>
      <c r="M1088" s="116" t="s">
        <v>581</v>
      </c>
      <c r="N1088" s="34" t="s">
        <v>29</v>
      </c>
      <c r="O1088" s="11"/>
      <c r="P1088" s="113">
        <v>45902</v>
      </c>
      <c r="Q1088" s="113">
        <v>45902</v>
      </c>
      <c r="R1088" s="113">
        <v>45902</v>
      </c>
      <c r="S1088" s="37">
        <f t="shared" si="217"/>
        <v>2119002</v>
      </c>
      <c r="T1088" s="37">
        <f t="shared" si="218"/>
        <v>0</v>
      </c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10"/>
    </row>
    <row r="1089" spans="1:31" ht="14.25" customHeight="1">
      <c r="A1089" s="277" t="s">
        <v>5446</v>
      </c>
      <c r="B1089" s="9" t="s">
        <v>21</v>
      </c>
      <c r="C1089" s="9">
        <v>2025</v>
      </c>
      <c r="D1089" s="9" t="s">
        <v>27</v>
      </c>
      <c r="E1089" s="90" t="s">
        <v>23</v>
      </c>
      <c r="F1089" s="9" t="s">
        <v>7</v>
      </c>
      <c r="G1089" s="10"/>
      <c r="H1089" s="96">
        <v>250622</v>
      </c>
      <c r="I1089" s="109" t="s">
        <v>573</v>
      </c>
      <c r="J1089" s="115">
        <v>45832</v>
      </c>
      <c r="K1089" s="119">
        <v>45848</v>
      </c>
      <c r="L1089" s="116">
        <v>3991214</v>
      </c>
      <c r="M1089" s="116" t="s">
        <v>582</v>
      </c>
      <c r="N1089" s="34" t="s">
        <v>29</v>
      </c>
      <c r="O1089" s="11"/>
      <c r="P1089" s="113">
        <v>45902</v>
      </c>
      <c r="Q1089" s="113">
        <v>45902</v>
      </c>
      <c r="R1089" s="113">
        <v>45902</v>
      </c>
      <c r="S1089" s="37">
        <f t="shared" si="217"/>
        <v>3991214</v>
      </c>
      <c r="T1089" s="37">
        <f t="shared" si="218"/>
        <v>0</v>
      </c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  <c r="AE1089" s="10"/>
    </row>
    <row r="1090" spans="1:31" ht="14.25" customHeight="1">
      <c r="A1090" s="277" t="s">
        <v>5447</v>
      </c>
      <c r="B1090" s="9" t="s">
        <v>21</v>
      </c>
      <c r="C1090" s="9">
        <v>2025</v>
      </c>
      <c r="D1090" s="9" t="s">
        <v>77</v>
      </c>
      <c r="E1090" s="90" t="s">
        <v>23</v>
      </c>
      <c r="F1090" s="9" t="s">
        <v>7</v>
      </c>
      <c r="G1090" s="10"/>
      <c r="H1090" s="9">
        <v>250622</v>
      </c>
      <c r="I1090" s="11" t="s">
        <v>573</v>
      </c>
      <c r="J1090" s="12">
        <v>45832</v>
      </c>
      <c r="K1090" s="122">
        <v>45848</v>
      </c>
      <c r="L1090" s="27">
        <f>7169855-L1089</f>
        <v>3178641</v>
      </c>
      <c r="M1090" s="27" t="s">
        <v>3949</v>
      </c>
      <c r="N1090" s="34">
        <f t="shared" ref="N1090:N1097" ca="1" si="219">$J$3-J1090</f>
        <v>408.46377638888953</v>
      </c>
      <c r="O1090" s="31">
        <f>SUM(L1090:L1097)</f>
        <v>18982677</v>
      </c>
      <c r="P1090" s="39"/>
      <c r="Q1090" s="39"/>
      <c r="R1090" s="39"/>
      <c r="S1090" s="37">
        <f t="shared" si="217"/>
        <v>0</v>
      </c>
      <c r="T1090" s="37">
        <f t="shared" si="218"/>
        <v>3178641</v>
      </c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  <c r="AE1090" s="10"/>
    </row>
    <row r="1091" spans="1:31">
      <c r="A1091" s="277" t="s">
        <v>5448</v>
      </c>
      <c r="B1091" s="9" t="s">
        <v>21</v>
      </c>
      <c r="C1091" s="9">
        <v>2025</v>
      </c>
      <c r="D1091" s="9" t="s">
        <v>77</v>
      </c>
      <c r="E1091" s="90" t="s">
        <v>23</v>
      </c>
      <c r="F1091" s="9" t="s">
        <v>7</v>
      </c>
      <c r="G1091" s="10"/>
      <c r="H1091" s="9">
        <v>250682</v>
      </c>
      <c r="I1091" s="11" t="s">
        <v>573</v>
      </c>
      <c r="J1091" s="12">
        <v>45840</v>
      </c>
      <c r="K1091" s="122">
        <v>45855</v>
      </c>
      <c r="L1091" s="27">
        <v>1387500</v>
      </c>
      <c r="M1091" s="27" t="s">
        <v>583</v>
      </c>
      <c r="N1091" s="34">
        <f t="shared" ca="1" si="219"/>
        <v>400.46377638888953</v>
      </c>
      <c r="O1091" s="11"/>
      <c r="P1091" s="39"/>
      <c r="Q1091" s="39"/>
      <c r="R1091" s="39"/>
      <c r="S1091" s="37">
        <f t="shared" si="217"/>
        <v>0</v>
      </c>
      <c r="T1091" s="37">
        <f t="shared" si="218"/>
        <v>1387500</v>
      </c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10"/>
    </row>
    <row r="1092" spans="1:31">
      <c r="A1092" s="277" t="s">
        <v>5449</v>
      </c>
      <c r="B1092" s="9" t="s">
        <v>21</v>
      </c>
      <c r="C1092" s="9">
        <v>2025</v>
      </c>
      <c r="D1092" s="9" t="s">
        <v>77</v>
      </c>
      <c r="E1092" s="90" t="s">
        <v>23</v>
      </c>
      <c r="F1092" s="9" t="s">
        <v>7</v>
      </c>
      <c r="G1092" s="10"/>
      <c r="H1092" s="9">
        <v>250684</v>
      </c>
      <c r="I1092" s="11" t="s">
        <v>573</v>
      </c>
      <c r="J1092" s="12">
        <v>45852</v>
      </c>
      <c r="K1092" s="122">
        <v>45867</v>
      </c>
      <c r="L1092" s="27">
        <v>999999</v>
      </c>
      <c r="M1092" s="27" t="s">
        <v>584</v>
      </c>
      <c r="N1092" s="34">
        <f t="shared" ca="1" si="219"/>
        <v>388.46377638888953</v>
      </c>
      <c r="O1092" s="11"/>
      <c r="P1092" s="39"/>
      <c r="Q1092" s="39"/>
      <c r="R1092" s="39"/>
      <c r="S1092" s="37">
        <f t="shared" si="217"/>
        <v>0</v>
      </c>
      <c r="T1092" s="37">
        <f t="shared" si="218"/>
        <v>999999</v>
      </c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10"/>
    </row>
    <row r="1093" spans="1:31" ht="14.25" customHeight="1">
      <c r="A1093" s="277" t="s">
        <v>5450</v>
      </c>
      <c r="B1093" s="9" t="s">
        <v>21</v>
      </c>
      <c r="C1093" s="9">
        <v>2025</v>
      </c>
      <c r="D1093" s="9" t="s">
        <v>77</v>
      </c>
      <c r="E1093" s="90" t="s">
        <v>23</v>
      </c>
      <c r="F1093" s="9" t="s">
        <v>7</v>
      </c>
      <c r="G1093" s="10"/>
      <c r="H1093" s="9">
        <v>250690</v>
      </c>
      <c r="I1093" s="11" t="s">
        <v>573</v>
      </c>
      <c r="J1093" s="12">
        <v>45852</v>
      </c>
      <c r="K1093" s="122">
        <v>45867</v>
      </c>
      <c r="L1093" s="27">
        <v>1603715</v>
      </c>
      <c r="M1093" s="27" t="s">
        <v>585</v>
      </c>
      <c r="N1093" s="34">
        <f t="shared" ca="1" si="219"/>
        <v>388.46377638888953</v>
      </c>
      <c r="O1093" s="11"/>
      <c r="P1093" s="39"/>
      <c r="Q1093" s="39"/>
      <c r="R1093" s="39"/>
      <c r="S1093" s="37">
        <f t="shared" si="217"/>
        <v>0</v>
      </c>
      <c r="T1093" s="37">
        <f t="shared" si="218"/>
        <v>1603715</v>
      </c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0"/>
    </row>
    <row r="1094" spans="1:31" ht="14.25" customHeight="1">
      <c r="A1094" s="277" t="s">
        <v>5451</v>
      </c>
      <c r="B1094" s="9" t="s">
        <v>21</v>
      </c>
      <c r="C1094" s="9">
        <v>2025</v>
      </c>
      <c r="D1094" s="9" t="s">
        <v>77</v>
      </c>
      <c r="E1094" s="90" t="s">
        <v>23</v>
      </c>
      <c r="F1094" s="9" t="s">
        <v>7</v>
      </c>
      <c r="G1094" s="10"/>
      <c r="H1094" s="9">
        <v>250890</v>
      </c>
      <c r="I1094" s="11" t="s">
        <v>573</v>
      </c>
      <c r="J1094" s="12">
        <v>45903</v>
      </c>
      <c r="K1094" s="122">
        <v>45916</v>
      </c>
      <c r="L1094" s="27">
        <v>7288713</v>
      </c>
      <c r="M1094" s="27" t="s">
        <v>586</v>
      </c>
      <c r="N1094" s="34">
        <f t="shared" ca="1" si="219"/>
        <v>337.46377638888953</v>
      </c>
      <c r="O1094" s="11"/>
      <c r="P1094" s="39"/>
      <c r="Q1094" s="39"/>
      <c r="R1094" s="39"/>
      <c r="S1094" s="37">
        <f t="shared" si="217"/>
        <v>0</v>
      </c>
      <c r="T1094" s="37">
        <f t="shared" si="218"/>
        <v>7288713</v>
      </c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  <c r="AE1094" s="10"/>
    </row>
    <row r="1095" spans="1:31" ht="14.25" customHeight="1">
      <c r="A1095" s="277" t="s">
        <v>5452</v>
      </c>
      <c r="B1095" s="9" t="s">
        <v>21</v>
      </c>
      <c r="C1095" s="9">
        <v>2025</v>
      </c>
      <c r="D1095" s="9" t="s">
        <v>77</v>
      </c>
      <c r="E1095" s="90" t="s">
        <v>23</v>
      </c>
      <c r="F1095" s="9" t="s">
        <v>7</v>
      </c>
      <c r="G1095" s="10"/>
      <c r="H1095" s="9">
        <v>250913</v>
      </c>
      <c r="I1095" s="11" t="s">
        <v>573</v>
      </c>
      <c r="J1095" s="12">
        <v>45903</v>
      </c>
      <c r="K1095" s="122">
        <v>45916</v>
      </c>
      <c r="L1095" s="27">
        <v>832500</v>
      </c>
      <c r="M1095" s="27" t="s">
        <v>587</v>
      </c>
      <c r="N1095" s="34">
        <f t="shared" ca="1" si="219"/>
        <v>337.46377638888953</v>
      </c>
      <c r="O1095" s="11"/>
      <c r="P1095" s="39"/>
      <c r="Q1095" s="39"/>
      <c r="R1095" s="39"/>
      <c r="S1095" s="37">
        <f t="shared" si="217"/>
        <v>0</v>
      </c>
      <c r="T1095" s="37">
        <f t="shared" si="218"/>
        <v>832500</v>
      </c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  <c r="AE1095" s="10"/>
    </row>
    <row r="1096" spans="1:31" ht="14.25" customHeight="1">
      <c r="A1096" s="277" t="s">
        <v>5453</v>
      </c>
      <c r="B1096" s="9" t="s">
        <v>21</v>
      </c>
      <c r="C1096" s="9">
        <v>2025</v>
      </c>
      <c r="D1096" s="9" t="s">
        <v>77</v>
      </c>
      <c r="E1096" s="90" t="s">
        <v>23</v>
      </c>
      <c r="F1096" s="9" t="s">
        <v>7</v>
      </c>
      <c r="G1096" s="10"/>
      <c r="H1096" s="9">
        <v>250955</v>
      </c>
      <c r="I1096" s="11" t="s">
        <v>3799</v>
      </c>
      <c r="J1096" s="12">
        <v>45923</v>
      </c>
      <c r="K1096" s="122">
        <v>45937</v>
      </c>
      <c r="L1096" s="27">
        <v>1686965</v>
      </c>
      <c r="M1096" s="27" t="s">
        <v>3754</v>
      </c>
      <c r="N1096" s="34">
        <f t="shared" ca="1" si="219"/>
        <v>317.46377638888953</v>
      </c>
      <c r="O1096" s="11"/>
      <c r="P1096" s="39"/>
      <c r="Q1096" s="39"/>
      <c r="R1096" s="39"/>
      <c r="S1096" s="37">
        <f t="shared" si="217"/>
        <v>0</v>
      </c>
      <c r="T1096" s="37">
        <f t="shared" si="218"/>
        <v>1686965</v>
      </c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10"/>
    </row>
    <row r="1097" spans="1:31" ht="14.25" customHeight="1">
      <c r="A1097" s="277" t="s">
        <v>5454</v>
      </c>
      <c r="B1097" s="9" t="s">
        <v>21</v>
      </c>
      <c r="C1097" s="9">
        <v>2025</v>
      </c>
      <c r="D1097" s="9" t="s">
        <v>77</v>
      </c>
      <c r="E1097" s="90" t="s">
        <v>23</v>
      </c>
      <c r="F1097" s="9" t="s">
        <v>7</v>
      </c>
      <c r="G1097" s="10"/>
      <c r="H1097" s="9">
        <v>251055</v>
      </c>
      <c r="I1097" s="11" t="s">
        <v>3799</v>
      </c>
      <c r="J1097" s="12">
        <v>45946</v>
      </c>
      <c r="K1097" s="122">
        <v>45958</v>
      </c>
      <c r="L1097" s="27">
        <v>2004644</v>
      </c>
      <c r="M1097" s="27" t="s">
        <v>3906</v>
      </c>
      <c r="N1097" s="34">
        <f t="shared" ca="1" si="219"/>
        <v>294.46377638888953</v>
      </c>
      <c r="O1097" s="11"/>
      <c r="P1097" s="39"/>
      <c r="Q1097" s="39"/>
      <c r="R1097" s="39"/>
      <c r="S1097" s="37">
        <f t="shared" si="217"/>
        <v>0</v>
      </c>
      <c r="T1097" s="37">
        <f t="shared" si="218"/>
        <v>2004644</v>
      </c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0"/>
    </row>
    <row r="1098" spans="1:31" ht="14.25" customHeight="1">
      <c r="A1098" s="277" t="s">
        <v>5455</v>
      </c>
      <c r="B1098" s="9"/>
      <c r="C1098" s="9"/>
      <c r="D1098" s="9"/>
      <c r="E1098" s="90"/>
      <c r="F1098" s="9"/>
      <c r="G1098" s="10"/>
      <c r="H1098" s="9"/>
      <c r="I1098" s="11"/>
      <c r="J1098" s="12"/>
      <c r="K1098" s="122"/>
      <c r="L1098" s="27"/>
      <c r="M1098" s="27"/>
      <c r="N1098" s="114">
        <f ca="1">$J$3-J1098</f>
        <v>46240.46377638889</v>
      </c>
      <c r="O1098" s="11"/>
      <c r="P1098" s="39"/>
      <c r="Q1098" s="39"/>
      <c r="R1098" s="39"/>
      <c r="S1098" s="37">
        <f>IF(R1098="",0,L1098)</f>
        <v>0</v>
      </c>
      <c r="T1098" s="37">
        <f>L1098-S1098</f>
        <v>0</v>
      </c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  <c r="AE1098" s="10"/>
    </row>
    <row r="1099" spans="1:31" ht="14.25" customHeight="1">
      <c r="A1099" s="277" t="s">
        <v>5456</v>
      </c>
      <c r="B1099" s="9"/>
      <c r="C1099" s="9"/>
      <c r="D1099" s="9"/>
      <c r="E1099" s="90"/>
      <c r="F1099" s="9"/>
      <c r="G1099" s="10"/>
      <c r="H1099" s="9"/>
      <c r="I1099" s="11"/>
      <c r="J1099" s="12"/>
      <c r="K1099" s="122"/>
      <c r="L1099" s="27"/>
      <c r="M1099" s="27"/>
      <c r="N1099" s="34"/>
      <c r="O1099" s="11"/>
      <c r="P1099" s="39"/>
      <c r="Q1099" s="39"/>
      <c r="R1099" s="39"/>
      <c r="S1099" s="37"/>
      <c r="T1099" s="37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10"/>
    </row>
    <row r="1100" spans="1:31" ht="14.25" customHeight="1">
      <c r="A1100" s="277" t="s">
        <v>5457</v>
      </c>
      <c r="B1100" s="9" t="s">
        <v>21</v>
      </c>
      <c r="C1100" s="9"/>
      <c r="D1100" s="9"/>
      <c r="E1100" s="90"/>
      <c r="F1100" s="9"/>
      <c r="G1100" s="94" t="s">
        <v>24</v>
      </c>
      <c r="H1100" s="95" t="s">
        <v>588</v>
      </c>
      <c r="I1100" s="104"/>
      <c r="J1100" s="105"/>
      <c r="K1100" s="105"/>
      <c r="L1100" s="106">
        <f>SUM(L1101:L1107)</f>
        <v>2061294</v>
      </c>
      <c r="M1100" s="107"/>
      <c r="N1100" s="108" t="s">
        <v>26</v>
      </c>
      <c r="O1100" s="108"/>
      <c r="P1100" s="108"/>
      <c r="Q1100" s="108"/>
      <c r="R1100" s="108"/>
      <c r="S1100" s="106">
        <f>SUM(S1101:S1107)</f>
        <v>2061294</v>
      </c>
      <c r="T1100" s="106">
        <f>SUM(T1101:T1107)</f>
        <v>0</v>
      </c>
      <c r="U1100" s="10"/>
      <c r="V1100" s="52">
        <f>L1100-S1100</f>
        <v>0</v>
      </c>
      <c r="W1100" s="52">
        <f>T1100-V1100</f>
        <v>0</v>
      </c>
      <c r="X1100" s="10"/>
      <c r="Y1100" s="10"/>
      <c r="Z1100" s="10"/>
      <c r="AA1100" s="10"/>
      <c r="AB1100" s="10"/>
      <c r="AC1100" s="10"/>
      <c r="AD1100" s="10"/>
      <c r="AE1100" s="10"/>
    </row>
    <row r="1101" spans="1:31" ht="14.25" hidden="1" customHeight="1">
      <c r="A1101" s="277" t="s">
        <v>5458</v>
      </c>
      <c r="B1101" s="9" t="s">
        <v>21</v>
      </c>
      <c r="C1101" s="9">
        <v>2025</v>
      </c>
      <c r="D1101" s="9" t="s">
        <v>27</v>
      </c>
      <c r="E1101" s="90" t="s">
        <v>23</v>
      </c>
      <c r="F1101" s="9" t="s">
        <v>7</v>
      </c>
      <c r="G1101" s="120"/>
      <c r="H1101" s="121">
        <v>250335</v>
      </c>
      <c r="I1101" s="121" t="s">
        <v>588</v>
      </c>
      <c r="J1101" s="110">
        <v>45729</v>
      </c>
      <c r="K1101" s="110">
        <v>45743</v>
      </c>
      <c r="L1101" s="111">
        <v>125874</v>
      </c>
      <c r="M1101" s="112" t="s">
        <v>589</v>
      </c>
      <c r="N1101" s="34" t="s">
        <v>29</v>
      </c>
      <c r="O1101" s="11"/>
      <c r="P1101" s="113">
        <v>45772</v>
      </c>
      <c r="Q1101" s="113">
        <v>45772</v>
      </c>
      <c r="R1101" s="113">
        <v>45772</v>
      </c>
      <c r="S1101" s="37">
        <f t="shared" ref="S1101:S1106" si="220">IF(R1101="",0,L1101)</f>
        <v>125874</v>
      </c>
      <c r="T1101" s="37">
        <f t="shared" ref="T1101:T1106" si="221">L1101-S1101</f>
        <v>0</v>
      </c>
      <c r="U1101" s="10"/>
      <c r="V1101" s="52"/>
      <c r="W1101" s="52"/>
      <c r="X1101" s="10"/>
      <c r="Y1101" s="10"/>
      <c r="Z1101" s="10"/>
      <c r="AA1101" s="10"/>
      <c r="AB1101" s="10"/>
      <c r="AC1101" s="10"/>
      <c r="AD1101" s="10"/>
      <c r="AE1101" s="10"/>
    </row>
    <row r="1102" spans="1:31" ht="14.25" hidden="1" customHeight="1">
      <c r="A1102" s="277" t="s">
        <v>5459</v>
      </c>
      <c r="B1102" s="9" t="s">
        <v>21</v>
      </c>
      <c r="C1102" s="9">
        <v>2025</v>
      </c>
      <c r="D1102" s="9" t="s">
        <v>27</v>
      </c>
      <c r="E1102" s="90" t="s">
        <v>23</v>
      </c>
      <c r="F1102" s="9" t="s">
        <v>7</v>
      </c>
      <c r="G1102" s="120"/>
      <c r="H1102" s="121">
        <v>250869</v>
      </c>
      <c r="I1102" s="121" t="s">
        <v>588</v>
      </c>
      <c r="J1102" s="110">
        <v>45899</v>
      </c>
      <c r="K1102" s="110">
        <v>45904</v>
      </c>
      <c r="L1102" s="111">
        <v>123076</v>
      </c>
      <c r="M1102" s="112" t="s">
        <v>590</v>
      </c>
      <c r="N1102" s="34" t="s">
        <v>29</v>
      </c>
      <c r="O1102" s="11"/>
      <c r="P1102" s="113">
        <v>45938</v>
      </c>
      <c r="Q1102" s="113">
        <v>45938</v>
      </c>
      <c r="R1102" s="113">
        <v>45938</v>
      </c>
      <c r="S1102" s="37">
        <f t="shared" si="220"/>
        <v>123076</v>
      </c>
      <c r="T1102" s="37">
        <f t="shared" si="221"/>
        <v>0</v>
      </c>
      <c r="U1102" s="10"/>
      <c r="V1102" s="52"/>
      <c r="W1102" s="52"/>
      <c r="X1102" s="10"/>
      <c r="Y1102" s="10"/>
      <c r="Z1102" s="10"/>
      <c r="AA1102" s="10"/>
      <c r="AB1102" s="10"/>
      <c r="AC1102" s="10"/>
      <c r="AD1102" s="10"/>
      <c r="AE1102" s="10"/>
    </row>
    <row r="1103" spans="1:31" ht="14.25" hidden="1" customHeight="1">
      <c r="A1103" s="277" t="s">
        <v>5460</v>
      </c>
      <c r="B1103" s="9" t="s">
        <v>21</v>
      </c>
      <c r="C1103" s="9">
        <v>2025</v>
      </c>
      <c r="D1103" s="9" t="s">
        <v>27</v>
      </c>
      <c r="E1103" s="90" t="s">
        <v>23</v>
      </c>
      <c r="F1103" s="9" t="s">
        <v>7</v>
      </c>
      <c r="G1103" s="120"/>
      <c r="H1103" s="121">
        <v>250925</v>
      </c>
      <c r="I1103" s="121" t="s">
        <v>588</v>
      </c>
      <c r="J1103" s="110">
        <v>45911</v>
      </c>
      <c r="K1103" s="110">
        <v>45925</v>
      </c>
      <c r="L1103" s="111">
        <v>311910</v>
      </c>
      <c r="M1103" s="112" t="s">
        <v>3708</v>
      </c>
      <c r="N1103" s="34" t="s">
        <v>29</v>
      </c>
      <c r="O1103" s="125">
        <f>SUM(L1103:L1104)</f>
        <v>837332</v>
      </c>
      <c r="P1103" s="113">
        <v>45952</v>
      </c>
      <c r="Q1103" s="113">
        <v>45952</v>
      </c>
      <c r="R1103" s="113">
        <v>45952</v>
      </c>
      <c r="S1103" s="37">
        <f t="shared" si="220"/>
        <v>311910</v>
      </c>
      <c r="T1103" s="37">
        <f t="shared" si="221"/>
        <v>0</v>
      </c>
      <c r="U1103" s="10"/>
      <c r="V1103" s="52"/>
      <c r="W1103" s="52"/>
      <c r="X1103" s="10"/>
      <c r="Y1103" s="10"/>
      <c r="Z1103" s="10"/>
      <c r="AA1103" s="10"/>
      <c r="AB1103" s="10"/>
      <c r="AC1103" s="10"/>
      <c r="AD1103" s="10"/>
      <c r="AE1103" s="10"/>
    </row>
    <row r="1104" spans="1:31" ht="14.25" hidden="1" customHeight="1">
      <c r="A1104" s="277" t="s">
        <v>5461</v>
      </c>
      <c r="B1104" s="9" t="s">
        <v>21</v>
      </c>
      <c r="C1104" s="9">
        <v>2025</v>
      </c>
      <c r="D1104" s="9" t="s">
        <v>27</v>
      </c>
      <c r="E1104" s="90" t="s">
        <v>23</v>
      </c>
      <c r="F1104" s="9" t="s">
        <v>7</v>
      </c>
      <c r="G1104" s="120"/>
      <c r="H1104" s="121">
        <v>250935</v>
      </c>
      <c r="I1104" s="121" t="s">
        <v>588</v>
      </c>
      <c r="J1104" s="110">
        <v>45915</v>
      </c>
      <c r="K1104" s="110">
        <v>45925</v>
      </c>
      <c r="L1104" s="111">
        <v>525422</v>
      </c>
      <c r="M1104" s="112" t="s">
        <v>3709</v>
      </c>
      <c r="N1104" s="34" t="s">
        <v>29</v>
      </c>
      <c r="O1104" s="11"/>
      <c r="P1104" s="113">
        <v>45952</v>
      </c>
      <c r="Q1104" s="113">
        <v>45952</v>
      </c>
      <c r="R1104" s="113">
        <v>45952</v>
      </c>
      <c r="S1104" s="37">
        <f t="shared" si="220"/>
        <v>525422</v>
      </c>
      <c r="T1104" s="37">
        <f t="shared" si="221"/>
        <v>0</v>
      </c>
      <c r="U1104" s="10"/>
      <c r="V1104" s="52"/>
      <c r="W1104" s="52"/>
      <c r="X1104" s="10"/>
      <c r="Y1104" s="10"/>
      <c r="Z1104" s="10"/>
      <c r="AA1104" s="10"/>
      <c r="AB1104" s="10"/>
      <c r="AC1104" s="10"/>
      <c r="AD1104" s="10"/>
      <c r="AE1104" s="10"/>
    </row>
    <row r="1105" spans="1:31" ht="14.25" customHeight="1">
      <c r="A1105" s="277" t="s">
        <v>5462</v>
      </c>
      <c r="B1105" s="9" t="s">
        <v>21</v>
      </c>
      <c r="C1105" s="9">
        <v>2025</v>
      </c>
      <c r="D1105" s="9" t="s">
        <v>27</v>
      </c>
      <c r="E1105" s="90" t="s">
        <v>23</v>
      </c>
      <c r="F1105" s="9" t="s">
        <v>7</v>
      </c>
      <c r="G1105" s="120"/>
      <c r="H1105" s="121">
        <v>251115</v>
      </c>
      <c r="I1105" s="121" t="s">
        <v>588</v>
      </c>
      <c r="J1105" s="110">
        <v>45958</v>
      </c>
      <c r="K1105" s="110">
        <v>45967</v>
      </c>
      <c r="L1105" s="111">
        <v>810910</v>
      </c>
      <c r="M1105" s="112" t="s">
        <v>3940</v>
      </c>
      <c r="N1105" s="34" t="s">
        <v>29</v>
      </c>
      <c r="O1105" s="11"/>
      <c r="P1105" s="113">
        <v>46001</v>
      </c>
      <c r="Q1105" s="113">
        <v>46001</v>
      </c>
      <c r="R1105" s="113">
        <v>46001</v>
      </c>
      <c r="S1105" s="37">
        <f t="shared" si="220"/>
        <v>810910</v>
      </c>
      <c r="T1105" s="37">
        <f t="shared" si="221"/>
        <v>0</v>
      </c>
      <c r="U1105" s="10"/>
      <c r="V1105" s="52"/>
      <c r="W1105" s="52"/>
      <c r="X1105" s="10"/>
      <c r="Y1105" s="10"/>
      <c r="Z1105" s="10"/>
      <c r="AA1105" s="10"/>
      <c r="AB1105" s="10"/>
      <c r="AC1105" s="10"/>
      <c r="AD1105" s="10"/>
      <c r="AE1105" s="10"/>
    </row>
    <row r="1106" spans="1:31" ht="14.25" customHeight="1">
      <c r="A1106" s="277" t="s">
        <v>5463</v>
      </c>
      <c r="B1106" s="9" t="s">
        <v>21</v>
      </c>
      <c r="C1106" s="9">
        <v>2026</v>
      </c>
      <c r="D1106" s="9" t="s">
        <v>27</v>
      </c>
      <c r="E1106" s="90" t="s">
        <v>23</v>
      </c>
      <c r="F1106" s="9" t="s">
        <v>7</v>
      </c>
      <c r="G1106" s="120"/>
      <c r="H1106" s="121">
        <v>260063</v>
      </c>
      <c r="I1106" s="121" t="s">
        <v>588</v>
      </c>
      <c r="J1106" s="110">
        <v>46053</v>
      </c>
      <c r="K1106" s="110">
        <v>46072</v>
      </c>
      <c r="L1106" s="111">
        <v>164102</v>
      </c>
      <c r="M1106" s="112" t="s">
        <v>4367</v>
      </c>
      <c r="N1106" s="34" t="s">
        <v>29</v>
      </c>
      <c r="O1106" s="11"/>
      <c r="P1106" s="113">
        <v>46132</v>
      </c>
      <c r="Q1106" s="113">
        <v>46132</v>
      </c>
      <c r="R1106" s="113">
        <v>46132</v>
      </c>
      <c r="S1106" s="37">
        <f t="shared" si="220"/>
        <v>164102</v>
      </c>
      <c r="T1106" s="37">
        <f t="shared" si="221"/>
        <v>0</v>
      </c>
      <c r="U1106" s="10"/>
      <c r="V1106" s="52"/>
      <c r="W1106" s="52"/>
      <c r="X1106" s="10"/>
      <c r="Y1106" s="10"/>
      <c r="Z1106" s="10"/>
      <c r="AA1106" s="10"/>
      <c r="AB1106" s="10"/>
      <c r="AC1106" s="10"/>
      <c r="AD1106" s="10"/>
      <c r="AE1106" s="10"/>
    </row>
    <row r="1107" spans="1:31" ht="14.25" customHeight="1">
      <c r="A1107" s="277" t="s">
        <v>5464</v>
      </c>
      <c r="B1107" s="9" t="s">
        <v>21</v>
      </c>
      <c r="C1107" s="9"/>
      <c r="D1107" s="9"/>
      <c r="E1107" s="90"/>
      <c r="F1107" s="9"/>
      <c r="G1107" s="10"/>
      <c r="H1107" s="9"/>
      <c r="I1107" s="11"/>
      <c r="J1107" s="12"/>
      <c r="K1107" s="12"/>
      <c r="L1107" s="52"/>
      <c r="M1107" s="52"/>
      <c r="N1107" s="114">
        <f ca="1">$J$3-J1107</f>
        <v>46240.46377638889</v>
      </c>
      <c r="O1107" s="11"/>
      <c r="P1107" s="39"/>
      <c r="Q1107" s="39"/>
      <c r="R1107" s="39"/>
      <c r="S1107" s="37">
        <f>IF(R1107="",0,L1107)</f>
        <v>0</v>
      </c>
      <c r="T1107" s="37">
        <f>L1107-S1107</f>
        <v>0</v>
      </c>
      <c r="U1107" s="10"/>
      <c r="V1107" s="10"/>
      <c r="W1107" s="10"/>
      <c r="X1107" s="10"/>
      <c r="Y1107" s="10"/>
      <c r="Z1107" s="10"/>
      <c r="AA1107" s="10"/>
      <c r="AB1107" s="10"/>
      <c r="AC1107" s="10"/>
      <c r="AD1107" s="10"/>
      <c r="AE1107" s="10"/>
    </row>
    <row r="1108" spans="1:31" ht="14.25" customHeight="1">
      <c r="A1108" s="277" t="s">
        <v>5465</v>
      </c>
      <c r="B1108" s="9" t="s">
        <v>21</v>
      </c>
      <c r="C1108" s="9"/>
      <c r="D1108" s="9"/>
      <c r="E1108" s="90"/>
      <c r="F1108" s="9"/>
      <c r="G1108" s="10"/>
      <c r="H1108" s="9"/>
      <c r="I1108" s="11"/>
      <c r="J1108" s="12"/>
      <c r="K1108" s="12"/>
      <c r="L1108" s="52"/>
      <c r="M1108" s="52"/>
      <c r="N1108" s="9"/>
      <c r="O1108" s="11"/>
      <c r="P1108" s="39"/>
      <c r="Q1108" s="39"/>
      <c r="R1108" s="39"/>
      <c r="S1108" s="37"/>
      <c r="T1108" s="37"/>
      <c r="U1108" s="10"/>
      <c r="V1108" s="10"/>
      <c r="W1108" s="10"/>
      <c r="X1108" s="10"/>
      <c r="Y1108" s="10"/>
      <c r="Z1108" s="10"/>
      <c r="AA1108" s="10"/>
      <c r="AB1108" s="10"/>
      <c r="AC1108" s="10"/>
      <c r="AD1108" s="10"/>
      <c r="AE1108" s="10"/>
    </row>
    <row r="1109" spans="1:31">
      <c r="A1109" s="277" t="s">
        <v>5466</v>
      </c>
      <c r="B1109" s="9" t="s">
        <v>21</v>
      </c>
      <c r="C1109" s="9"/>
      <c r="D1109" s="9"/>
      <c r="E1109" s="90"/>
      <c r="F1109" s="9"/>
      <c r="G1109" s="94" t="s">
        <v>24</v>
      </c>
      <c r="H1109" s="95" t="s">
        <v>591</v>
      </c>
      <c r="I1109" s="104"/>
      <c r="J1109" s="105"/>
      <c r="K1109" s="105"/>
      <c r="L1109" s="106">
        <f>SUM(L1110:L1264)</f>
        <v>582844036</v>
      </c>
      <c r="M1109" s="107"/>
      <c r="N1109" s="108" t="s">
        <v>26</v>
      </c>
      <c r="O1109" s="108"/>
      <c r="P1109" s="108"/>
      <c r="Q1109" s="108"/>
      <c r="R1109" s="108"/>
      <c r="S1109" s="106">
        <f>SUM(S1110:S1264)</f>
        <v>525132734</v>
      </c>
      <c r="T1109" s="106">
        <f>SUM(T1110:T1264)</f>
        <v>57711302</v>
      </c>
      <c r="U1109" s="10"/>
      <c r="V1109" s="52">
        <f>L1109-S1109</f>
        <v>57711302</v>
      </c>
      <c r="W1109" s="52">
        <f>T1109-V1109</f>
        <v>0</v>
      </c>
      <c r="X1109" s="10"/>
      <c r="Y1109" s="10"/>
      <c r="Z1109" s="10"/>
      <c r="AA1109" s="10"/>
      <c r="AB1109" s="10"/>
      <c r="AC1109" s="10"/>
      <c r="AD1109" s="10"/>
      <c r="AE1109" s="10"/>
    </row>
    <row r="1110" spans="1:31" ht="14.25" hidden="1" customHeight="1">
      <c r="A1110" s="277" t="s">
        <v>5467</v>
      </c>
      <c r="B1110" s="9" t="s">
        <v>21</v>
      </c>
      <c r="C1110" s="9">
        <v>2025</v>
      </c>
      <c r="D1110" s="9" t="s">
        <v>27</v>
      </c>
      <c r="E1110" s="90" t="s">
        <v>23</v>
      </c>
      <c r="F1110" s="9" t="s">
        <v>7</v>
      </c>
      <c r="G1110" s="10"/>
      <c r="H1110" s="96">
        <v>250031</v>
      </c>
      <c r="I1110" s="109" t="s">
        <v>591</v>
      </c>
      <c r="J1110" s="115">
        <v>45667</v>
      </c>
      <c r="K1110" s="119">
        <v>45678</v>
      </c>
      <c r="L1110" s="116">
        <v>5524869</v>
      </c>
      <c r="M1110" s="116" t="s">
        <v>592</v>
      </c>
      <c r="N1110" s="34" t="s">
        <v>29</v>
      </c>
      <c r="O1110" s="10"/>
      <c r="P1110" s="113">
        <v>45757</v>
      </c>
      <c r="Q1110" s="113">
        <v>45757</v>
      </c>
      <c r="R1110" s="113">
        <v>45757</v>
      </c>
      <c r="S1110" s="37">
        <f t="shared" ref="S1110:S1117" si="222">IF(R1110="",0,L1110)</f>
        <v>5524869</v>
      </c>
      <c r="T1110" s="37">
        <f t="shared" ref="T1110:T1117" si="223">L1110-S1110</f>
        <v>0</v>
      </c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</row>
    <row r="1111" spans="1:31" ht="14.25" hidden="1" customHeight="1">
      <c r="A1111" s="277" t="s">
        <v>5468</v>
      </c>
      <c r="B1111" s="9" t="s">
        <v>21</v>
      </c>
      <c r="C1111" s="9">
        <v>2025</v>
      </c>
      <c r="D1111" s="9" t="s">
        <v>27</v>
      </c>
      <c r="E1111" s="90" t="s">
        <v>23</v>
      </c>
      <c r="F1111" s="9" t="s">
        <v>7</v>
      </c>
      <c r="G1111" s="10"/>
      <c r="H1111" s="96">
        <v>250050</v>
      </c>
      <c r="I1111" s="109" t="s">
        <v>591</v>
      </c>
      <c r="J1111" s="115">
        <v>45671</v>
      </c>
      <c r="K1111" s="119">
        <v>45687</v>
      </c>
      <c r="L1111" s="116">
        <v>1598400</v>
      </c>
      <c r="M1111" s="116" t="s">
        <v>593</v>
      </c>
      <c r="N1111" s="34" t="s">
        <v>29</v>
      </c>
      <c r="O1111" s="10"/>
      <c r="P1111" s="113">
        <v>45757</v>
      </c>
      <c r="Q1111" s="113">
        <v>45757</v>
      </c>
      <c r="R1111" s="113">
        <v>45757</v>
      </c>
      <c r="S1111" s="37">
        <f t="shared" si="222"/>
        <v>1598400</v>
      </c>
      <c r="T1111" s="37">
        <f t="shared" si="223"/>
        <v>0</v>
      </c>
      <c r="U1111" s="10"/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10"/>
    </row>
    <row r="1112" spans="1:31" ht="14.25" hidden="1" customHeight="1">
      <c r="A1112" s="277" t="s">
        <v>5469</v>
      </c>
      <c r="B1112" s="9" t="s">
        <v>21</v>
      </c>
      <c r="C1112" s="9">
        <v>2025</v>
      </c>
      <c r="D1112" s="9" t="s">
        <v>27</v>
      </c>
      <c r="E1112" s="90" t="s">
        <v>23</v>
      </c>
      <c r="F1112" s="9" t="s">
        <v>7</v>
      </c>
      <c r="G1112" s="10"/>
      <c r="H1112" s="96">
        <v>250056</v>
      </c>
      <c r="I1112" s="109" t="s">
        <v>591</v>
      </c>
      <c r="J1112" s="115">
        <v>45672</v>
      </c>
      <c r="K1112" s="119">
        <v>45687</v>
      </c>
      <c r="L1112" s="116">
        <v>512820</v>
      </c>
      <c r="M1112" s="116" t="s">
        <v>594</v>
      </c>
      <c r="N1112" s="34" t="s">
        <v>29</v>
      </c>
      <c r="O1112" s="10"/>
      <c r="P1112" s="113">
        <v>45757</v>
      </c>
      <c r="Q1112" s="113">
        <v>45757</v>
      </c>
      <c r="R1112" s="113">
        <v>45757</v>
      </c>
      <c r="S1112" s="37">
        <f t="shared" si="222"/>
        <v>512820</v>
      </c>
      <c r="T1112" s="37">
        <f t="shared" si="223"/>
        <v>0</v>
      </c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</row>
    <row r="1113" spans="1:31" ht="14.25" hidden="1" customHeight="1">
      <c r="A1113" s="277" t="s">
        <v>5470</v>
      </c>
      <c r="B1113" s="9" t="s">
        <v>21</v>
      </c>
      <c r="C1113" s="9">
        <v>2025</v>
      </c>
      <c r="D1113" s="9" t="s">
        <v>27</v>
      </c>
      <c r="E1113" s="90" t="s">
        <v>23</v>
      </c>
      <c r="F1113" s="9" t="s">
        <v>7</v>
      </c>
      <c r="G1113" s="10"/>
      <c r="H1113" s="96">
        <v>250055</v>
      </c>
      <c r="I1113" s="109" t="s">
        <v>591</v>
      </c>
      <c r="J1113" s="115">
        <v>45672</v>
      </c>
      <c r="K1113" s="119">
        <v>45687</v>
      </c>
      <c r="L1113" s="116">
        <v>6725268</v>
      </c>
      <c r="M1113" s="116" t="s">
        <v>595</v>
      </c>
      <c r="N1113" s="34" t="s">
        <v>29</v>
      </c>
      <c r="O1113" s="10"/>
      <c r="P1113" s="113">
        <v>45757</v>
      </c>
      <c r="Q1113" s="113">
        <v>45757</v>
      </c>
      <c r="R1113" s="113">
        <v>45757</v>
      </c>
      <c r="S1113" s="37">
        <f t="shared" si="222"/>
        <v>6725268</v>
      </c>
      <c r="T1113" s="37">
        <f t="shared" si="223"/>
        <v>0</v>
      </c>
      <c r="U1113" s="10"/>
      <c r="V1113" s="10"/>
      <c r="W1113" s="10"/>
      <c r="X1113" s="10"/>
      <c r="Y1113" s="10"/>
      <c r="Z1113" s="10"/>
      <c r="AA1113" s="10"/>
      <c r="AB1113" s="10"/>
      <c r="AC1113" s="10"/>
      <c r="AD1113" s="10"/>
      <c r="AE1113" s="10"/>
    </row>
    <row r="1114" spans="1:31" ht="14.25" hidden="1" customHeight="1">
      <c r="A1114" s="277" t="s">
        <v>5471</v>
      </c>
      <c r="B1114" s="9" t="s">
        <v>21</v>
      </c>
      <c r="C1114" s="9">
        <v>2025</v>
      </c>
      <c r="D1114" s="9" t="s">
        <v>27</v>
      </c>
      <c r="E1114" s="90" t="s">
        <v>23</v>
      </c>
      <c r="F1114" s="9" t="s">
        <v>7</v>
      </c>
      <c r="G1114" s="10"/>
      <c r="H1114" s="96">
        <v>250103</v>
      </c>
      <c r="I1114" s="109" t="s">
        <v>591</v>
      </c>
      <c r="J1114" s="115">
        <v>45685</v>
      </c>
      <c r="K1114" s="119">
        <v>45699</v>
      </c>
      <c r="L1114" s="116">
        <v>6394499</v>
      </c>
      <c r="M1114" s="116" t="s">
        <v>596</v>
      </c>
      <c r="N1114" s="34" t="s">
        <v>29</v>
      </c>
      <c r="O1114" s="10"/>
      <c r="P1114" s="113">
        <v>45757</v>
      </c>
      <c r="Q1114" s="113">
        <v>45757</v>
      </c>
      <c r="R1114" s="113">
        <v>45757</v>
      </c>
      <c r="S1114" s="37">
        <f t="shared" si="222"/>
        <v>6394499</v>
      </c>
      <c r="T1114" s="37">
        <f t="shared" si="223"/>
        <v>0</v>
      </c>
      <c r="U1114" s="10"/>
      <c r="V1114" s="10"/>
      <c r="W1114" s="10"/>
      <c r="X1114" s="10"/>
      <c r="Y1114" s="10"/>
      <c r="Z1114" s="10"/>
      <c r="AA1114" s="10"/>
      <c r="AB1114" s="10"/>
      <c r="AC1114" s="10"/>
      <c r="AD1114" s="10"/>
      <c r="AE1114" s="10"/>
    </row>
    <row r="1115" spans="1:31" ht="14.25" hidden="1" customHeight="1">
      <c r="A1115" s="277" t="s">
        <v>5472</v>
      </c>
      <c r="B1115" s="9" t="s">
        <v>21</v>
      </c>
      <c r="C1115" s="9">
        <v>2025</v>
      </c>
      <c r="D1115" s="9" t="s">
        <v>27</v>
      </c>
      <c r="E1115" s="90" t="s">
        <v>23</v>
      </c>
      <c r="F1115" s="9" t="s">
        <v>7</v>
      </c>
      <c r="G1115" s="10"/>
      <c r="H1115" s="96">
        <v>250149</v>
      </c>
      <c r="I1115" s="109" t="s">
        <v>591</v>
      </c>
      <c r="J1115" s="115">
        <v>45691</v>
      </c>
      <c r="K1115" s="119">
        <v>45706</v>
      </c>
      <c r="L1115" s="116">
        <v>6725268</v>
      </c>
      <c r="M1115" s="116" t="s">
        <v>597</v>
      </c>
      <c r="N1115" s="34" t="s">
        <v>29</v>
      </c>
      <c r="O1115" s="10"/>
      <c r="P1115" s="113">
        <v>45757</v>
      </c>
      <c r="Q1115" s="113">
        <v>45757</v>
      </c>
      <c r="R1115" s="113">
        <v>45757</v>
      </c>
      <c r="S1115" s="37">
        <f t="shared" si="222"/>
        <v>6725268</v>
      </c>
      <c r="T1115" s="37">
        <f t="shared" si="223"/>
        <v>0</v>
      </c>
      <c r="U1115" s="10"/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10"/>
    </row>
    <row r="1116" spans="1:31" ht="14.25" hidden="1" customHeight="1">
      <c r="A1116" s="277" t="s">
        <v>5473</v>
      </c>
      <c r="B1116" s="9" t="s">
        <v>21</v>
      </c>
      <c r="C1116" s="9">
        <v>2025</v>
      </c>
      <c r="D1116" s="9" t="s">
        <v>27</v>
      </c>
      <c r="E1116" s="90" t="s">
        <v>23</v>
      </c>
      <c r="F1116" s="9" t="s">
        <v>7</v>
      </c>
      <c r="G1116" s="10"/>
      <c r="H1116" s="96">
        <v>250126</v>
      </c>
      <c r="I1116" s="109" t="s">
        <v>591</v>
      </c>
      <c r="J1116" s="115">
        <v>45691</v>
      </c>
      <c r="K1116" s="119">
        <v>45706</v>
      </c>
      <c r="L1116" s="116">
        <v>995004</v>
      </c>
      <c r="M1116" s="116" t="s">
        <v>598</v>
      </c>
      <c r="N1116" s="34" t="s">
        <v>29</v>
      </c>
      <c r="O1116" s="10"/>
      <c r="P1116" s="113">
        <v>45757</v>
      </c>
      <c r="Q1116" s="113">
        <v>45757</v>
      </c>
      <c r="R1116" s="113">
        <v>45757</v>
      </c>
      <c r="S1116" s="37">
        <f t="shared" si="222"/>
        <v>995004</v>
      </c>
      <c r="T1116" s="37">
        <f t="shared" si="223"/>
        <v>0</v>
      </c>
      <c r="U1116" s="10"/>
      <c r="V1116" s="10"/>
      <c r="W1116" s="10"/>
      <c r="X1116" s="10"/>
      <c r="Y1116" s="10"/>
      <c r="Z1116" s="10"/>
      <c r="AA1116" s="10"/>
      <c r="AB1116" s="10"/>
      <c r="AC1116" s="10"/>
      <c r="AD1116" s="10"/>
      <c r="AE1116" s="10"/>
    </row>
    <row r="1117" spans="1:31" hidden="1">
      <c r="A1117" s="277" t="s">
        <v>5474</v>
      </c>
      <c r="B1117" s="9" t="s">
        <v>21</v>
      </c>
      <c r="C1117" s="9">
        <v>2025</v>
      </c>
      <c r="D1117" s="9" t="s">
        <v>27</v>
      </c>
      <c r="E1117" s="90" t="s">
        <v>23</v>
      </c>
      <c r="F1117" s="9" t="s">
        <v>7</v>
      </c>
      <c r="G1117" s="10"/>
      <c r="H1117" s="96">
        <v>250224</v>
      </c>
      <c r="I1117" s="109" t="s">
        <v>591</v>
      </c>
      <c r="J1117" s="115">
        <v>45712</v>
      </c>
      <c r="K1117" s="119">
        <v>45720</v>
      </c>
      <c r="L1117" s="116">
        <v>12894903</v>
      </c>
      <c r="M1117" s="116" t="s">
        <v>599</v>
      </c>
      <c r="N1117" s="34" t="s">
        <v>29</v>
      </c>
      <c r="O1117" s="27">
        <f>SUM(L1117)</f>
        <v>12894903</v>
      </c>
      <c r="P1117" s="113">
        <v>45820</v>
      </c>
      <c r="Q1117" s="113">
        <v>45820</v>
      </c>
      <c r="R1117" s="113">
        <v>45820</v>
      </c>
      <c r="S1117" s="37">
        <f t="shared" si="222"/>
        <v>12894903</v>
      </c>
      <c r="T1117" s="37">
        <f t="shared" si="223"/>
        <v>0</v>
      </c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</row>
    <row r="1118" spans="1:31" hidden="1">
      <c r="A1118" s="277" t="s">
        <v>5475</v>
      </c>
      <c r="B1118" s="9" t="s">
        <v>21</v>
      </c>
      <c r="C1118" s="9">
        <v>2025</v>
      </c>
      <c r="D1118" s="9" t="s">
        <v>27</v>
      </c>
      <c r="E1118" s="90" t="s">
        <v>23</v>
      </c>
      <c r="F1118" s="9" t="s">
        <v>7</v>
      </c>
      <c r="G1118" s="10"/>
      <c r="H1118" s="96">
        <v>250226</v>
      </c>
      <c r="I1118" s="109" t="s">
        <v>591</v>
      </c>
      <c r="J1118" s="115">
        <v>45712</v>
      </c>
      <c r="K1118" s="119">
        <v>45720</v>
      </c>
      <c r="L1118" s="116">
        <v>610000</v>
      </c>
      <c r="M1118" s="116" t="s">
        <v>600</v>
      </c>
      <c r="N1118" s="34" t="s">
        <v>29</v>
      </c>
      <c r="O1118" s="27">
        <f>SUM(L1118:L1127)</f>
        <v>16276863</v>
      </c>
      <c r="P1118" s="113">
        <v>45824</v>
      </c>
      <c r="Q1118" s="113">
        <v>45824</v>
      </c>
      <c r="R1118" s="113">
        <v>45824</v>
      </c>
      <c r="S1118" s="37">
        <f t="shared" ref="S1118:S1124" si="224">IF(R1118="",0,L1118)</f>
        <v>610000</v>
      </c>
      <c r="T1118" s="37">
        <f t="shared" ref="T1118:T1124" si="225">L1118-S1118</f>
        <v>0</v>
      </c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10"/>
    </row>
    <row r="1119" spans="1:31" hidden="1">
      <c r="A1119" s="277" t="s">
        <v>5476</v>
      </c>
      <c r="B1119" s="9" t="s">
        <v>21</v>
      </c>
      <c r="C1119" s="9">
        <v>2025</v>
      </c>
      <c r="D1119" s="9" t="s">
        <v>27</v>
      </c>
      <c r="E1119" s="90" t="s">
        <v>23</v>
      </c>
      <c r="F1119" s="9" t="s">
        <v>7</v>
      </c>
      <c r="G1119" s="10"/>
      <c r="H1119" s="96">
        <v>250223</v>
      </c>
      <c r="I1119" s="109" t="s">
        <v>591</v>
      </c>
      <c r="J1119" s="115">
        <v>45712</v>
      </c>
      <c r="K1119" s="119">
        <v>45720</v>
      </c>
      <c r="L1119" s="116">
        <v>1249478</v>
      </c>
      <c r="M1119" s="116" t="s">
        <v>601</v>
      </c>
      <c r="N1119" s="34" t="s">
        <v>29</v>
      </c>
      <c r="O1119" s="10"/>
      <c r="P1119" s="113">
        <v>45824</v>
      </c>
      <c r="Q1119" s="113">
        <v>45824</v>
      </c>
      <c r="R1119" s="113">
        <v>45824</v>
      </c>
      <c r="S1119" s="37">
        <f t="shared" si="224"/>
        <v>1249478</v>
      </c>
      <c r="T1119" s="37">
        <f t="shared" si="225"/>
        <v>0</v>
      </c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</row>
    <row r="1120" spans="1:31" hidden="1">
      <c r="A1120" s="277" t="s">
        <v>5477</v>
      </c>
      <c r="B1120" s="9" t="s">
        <v>21</v>
      </c>
      <c r="C1120" s="9">
        <v>2025</v>
      </c>
      <c r="D1120" s="9" t="s">
        <v>27</v>
      </c>
      <c r="E1120" s="90" t="s">
        <v>23</v>
      </c>
      <c r="F1120" s="9" t="s">
        <v>7</v>
      </c>
      <c r="G1120" s="10"/>
      <c r="H1120" s="96">
        <v>250267</v>
      </c>
      <c r="I1120" s="109" t="s">
        <v>591</v>
      </c>
      <c r="J1120" s="115">
        <v>45713</v>
      </c>
      <c r="K1120" s="119">
        <v>45727</v>
      </c>
      <c r="L1120" s="116">
        <v>1658340</v>
      </c>
      <c r="M1120" s="116" t="s">
        <v>602</v>
      </c>
      <c r="N1120" s="34" t="s">
        <v>29</v>
      </c>
      <c r="O1120" s="10"/>
      <c r="P1120" s="113">
        <v>45824</v>
      </c>
      <c r="Q1120" s="113">
        <v>45824</v>
      </c>
      <c r="R1120" s="113">
        <v>45824</v>
      </c>
      <c r="S1120" s="37">
        <f t="shared" si="224"/>
        <v>1658340</v>
      </c>
      <c r="T1120" s="37">
        <f t="shared" si="225"/>
        <v>0</v>
      </c>
      <c r="U1120" s="10"/>
      <c r="V1120" s="10"/>
      <c r="W1120" s="10"/>
      <c r="X1120" s="10"/>
      <c r="Y1120" s="10"/>
      <c r="Z1120" s="10"/>
      <c r="AA1120" s="10"/>
      <c r="AB1120" s="10"/>
      <c r="AC1120" s="10"/>
      <c r="AD1120" s="10"/>
      <c r="AE1120" s="10"/>
    </row>
    <row r="1121" spans="1:31" hidden="1">
      <c r="A1121" s="277" t="s">
        <v>5478</v>
      </c>
      <c r="B1121" s="9" t="s">
        <v>21</v>
      </c>
      <c r="C1121" s="9">
        <v>2025</v>
      </c>
      <c r="D1121" s="9" t="s">
        <v>27</v>
      </c>
      <c r="E1121" s="90" t="s">
        <v>23</v>
      </c>
      <c r="F1121" s="9" t="s">
        <v>7</v>
      </c>
      <c r="G1121" s="10"/>
      <c r="H1121" s="96">
        <v>250268</v>
      </c>
      <c r="I1121" s="109" t="s">
        <v>591</v>
      </c>
      <c r="J1121" s="115">
        <v>45713</v>
      </c>
      <c r="K1121" s="119">
        <v>45727</v>
      </c>
      <c r="L1121" s="116">
        <v>833987</v>
      </c>
      <c r="M1121" s="116" t="s">
        <v>603</v>
      </c>
      <c r="N1121" s="34" t="s">
        <v>29</v>
      </c>
      <c r="O1121" s="10"/>
      <c r="P1121" s="113">
        <v>45824</v>
      </c>
      <c r="Q1121" s="113">
        <v>45824</v>
      </c>
      <c r="R1121" s="113">
        <v>45824</v>
      </c>
      <c r="S1121" s="37">
        <f t="shared" si="224"/>
        <v>833987</v>
      </c>
      <c r="T1121" s="37">
        <f t="shared" si="225"/>
        <v>0</v>
      </c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10"/>
    </row>
    <row r="1122" spans="1:31" hidden="1">
      <c r="A1122" s="277" t="s">
        <v>5479</v>
      </c>
      <c r="B1122" s="9" t="s">
        <v>21</v>
      </c>
      <c r="C1122" s="9">
        <v>2025</v>
      </c>
      <c r="D1122" s="9" t="s">
        <v>27</v>
      </c>
      <c r="E1122" s="90" t="s">
        <v>23</v>
      </c>
      <c r="F1122" s="9" t="s">
        <v>7</v>
      </c>
      <c r="G1122" s="10"/>
      <c r="H1122" s="96">
        <v>250270</v>
      </c>
      <c r="I1122" s="109" t="s">
        <v>591</v>
      </c>
      <c r="J1122" s="115">
        <v>45715</v>
      </c>
      <c r="K1122" s="119">
        <v>45727</v>
      </c>
      <c r="L1122" s="116">
        <v>199600</v>
      </c>
      <c r="M1122" s="116" t="s">
        <v>604</v>
      </c>
      <c r="N1122" s="34" t="s">
        <v>29</v>
      </c>
      <c r="O1122" s="10"/>
      <c r="P1122" s="113">
        <v>45824</v>
      </c>
      <c r="Q1122" s="113">
        <v>45824</v>
      </c>
      <c r="R1122" s="113">
        <v>45824</v>
      </c>
      <c r="S1122" s="37">
        <f t="shared" si="224"/>
        <v>199600</v>
      </c>
      <c r="T1122" s="37">
        <f t="shared" si="225"/>
        <v>0</v>
      </c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</row>
    <row r="1123" spans="1:31" hidden="1">
      <c r="A1123" s="277" t="s">
        <v>5480</v>
      </c>
      <c r="B1123" s="9" t="s">
        <v>21</v>
      </c>
      <c r="C1123" s="9">
        <v>2025</v>
      </c>
      <c r="D1123" s="9" t="s">
        <v>27</v>
      </c>
      <c r="E1123" s="90" t="s">
        <v>23</v>
      </c>
      <c r="F1123" s="9" t="s">
        <v>7</v>
      </c>
      <c r="G1123" s="10"/>
      <c r="H1123" s="96">
        <v>250269</v>
      </c>
      <c r="I1123" s="109" t="s">
        <v>591</v>
      </c>
      <c r="J1123" s="115">
        <v>45716</v>
      </c>
      <c r="K1123" s="119">
        <v>45727</v>
      </c>
      <c r="L1123" s="116">
        <v>1198800</v>
      </c>
      <c r="M1123" s="116" t="s">
        <v>605</v>
      </c>
      <c r="N1123" s="34" t="s">
        <v>29</v>
      </c>
      <c r="O1123" s="10"/>
      <c r="P1123" s="113">
        <v>45824</v>
      </c>
      <c r="Q1123" s="113">
        <v>45824</v>
      </c>
      <c r="R1123" s="113">
        <v>45824</v>
      </c>
      <c r="S1123" s="37">
        <f t="shared" si="224"/>
        <v>1198800</v>
      </c>
      <c r="T1123" s="37">
        <f t="shared" si="225"/>
        <v>0</v>
      </c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10"/>
    </row>
    <row r="1124" spans="1:31" hidden="1">
      <c r="A1124" s="277" t="s">
        <v>5481</v>
      </c>
      <c r="B1124" s="9" t="s">
        <v>21</v>
      </c>
      <c r="C1124" s="9">
        <v>2025</v>
      </c>
      <c r="D1124" s="9" t="s">
        <v>27</v>
      </c>
      <c r="E1124" s="90" t="s">
        <v>23</v>
      </c>
      <c r="F1124" s="9" t="s">
        <v>7</v>
      </c>
      <c r="G1124" s="10"/>
      <c r="H1124" s="96">
        <v>250291</v>
      </c>
      <c r="I1124" s="109" t="s">
        <v>591</v>
      </c>
      <c r="J1124" s="115">
        <v>45716</v>
      </c>
      <c r="K1124" s="119">
        <v>45727</v>
      </c>
      <c r="L1124" s="116">
        <v>666000</v>
      </c>
      <c r="M1124" s="116" t="s">
        <v>606</v>
      </c>
      <c r="N1124" s="34" t="s">
        <v>29</v>
      </c>
      <c r="O1124" s="10"/>
      <c r="P1124" s="113">
        <v>45824</v>
      </c>
      <c r="Q1124" s="113">
        <v>45824</v>
      </c>
      <c r="R1124" s="113">
        <v>45824</v>
      </c>
      <c r="S1124" s="37">
        <f t="shared" si="224"/>
        <v>666000</v>
      </c>
      <c r="T1124" s="37">
        <f t="shared" si="225"/>
        <v>0</v>
      </c>
      <c r="U1124" s="10"/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10"/>
    </row>
    <row r="1125" spans="1:31" hidden="1">
      <c r="A1125" s="277" t="s">
        <v>5482</v>
      </c>
      <c r="B1125" s="9" t="s">
        <v>21</v>
      </c>
      <c r="C1125" s="9">
        <v>2025</v>
      </c>
      <c r="D1125" s="9" t="s">
        <v>27</v>
      </c>
      <c r="E1125" s="90" t="s">
        <v>23</v>
      </c>
      <c r="F1125" s="9" t="s">
        <v>7</v>
      </c>
      <c r="G1125" s="10"/>
      <c r="H1125" s="96">
        <v>250343</v>
      </c>
      <c r="I1125" s="109" t="s">
        <v>591</v>
      </c>
      <c r="J1125" s="115">
        <v>45715</v>
      </c>
      <c r="K1125" s="119">
        <v>45734</v>
      </c>
      <c r="L1125" s="116">
        <v>6725268</v>
      </c>
      <c r="M1125" s="116" t="s">
        <v>607</v>
      </c>
      <c r="N1125" s="34" t="s">
        <v>29</v>
      </c>
      <c r="O1125" s="10"/>
      <c r="P1125" s="113">
        <v>45824</v>
      </c>
      <c r="Q1125" s="113">
        <v>45824</v>
      </c>
      <c r="R1125" s="113">
        <v>45824</v>
      </c>
      <c r="S1125" s="37">
        <f>IF(R1125="",0,L1125)</f>
        <v>6725268</v>
      </c>
      <c r="T1125" s="37">
        <f>L1125-S1125</f>
        <v>0</v>
      </c>
      <c r="U1125" s="10"/>
      <c r="V1125" s="10"/>
      <c r="W1125" s="10"/>
      <c r="X1125" s="10"/>
      <c r="Y1125" s="10"/>
      <c r="Z1125" s="10"/>
      <c r="AA1125" s="10"/>
      <c r="AB1125" s="10"/>
      <c r="AC1125" s="10"/>
      <c r="AD1125" s="10"/>
      <c r="AE1125" s="10"/>
    </row>
    <row r="1126" spans="1:31" hidden="1">
      <c r="A1126" s="277" t="s">
        <v>5483</v>
      </c>
      <c r="B1126" s="9" t="s">
        <v>21</v>
      </c>
      <c r="C1126" s="9">
        <v>2025</v>
      </c>
      <c r="D1126" s="9" t="s">
        <v>27</v>
      </c>
      <c r="E1126" s="90" t="s">
        <v>23</v>
      </c>
      <c r="F1126" s="9" t="s">
        <v>7</v>
      </c>
      <c r="G1126" s="10"/>
      <c r="H1126" s="96">
        <v>250330</v>
      </c>
      <c r="I1126" s="109" t="s">
        <v>591</v>
      </c>
      <c r="J1126" s="115">
        <v>45726</v>
      </c>
      <c r="K1126" s="119">
        <v>45734</v>
      </c>
      <c r="L1126" s="116">
        <v>315990</v>
      </c>
      <c r="M1126" s="116" t="s">
        <v>608</v>
      </c>
      <c r="N1126" s="34" t="s">
        <v>29</v>
      </c>
      <c r="O1126" s="10"/>
      <c r="P1126" s="113">
        <v>45824</v>
      </c>
      <c r="Q1126" s="113">
        <v>45824</v>
      </c>
      <c r="R1126" s="113">
        <v>45824</v>
      </c>
      <c r="S1126" s="37">
        <f>IF(R1126="",0,L1126)</f>
        <v>315990</v>
      </c>
      <c r="T1126" s="37">
        <f>L1126-S1126</f>
        <v>0</v>
      </c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  <c r="AE1126" s="10"/>
    </row>
    <row r="1127" spans="1:31" ht="14.25" hidden="1" customHeight="1">
      <c r="A1127" s="277" t="s">
        <v>7580</v>
      </c>
      <c r="B1127" s="9" t="s">
        <v>21</v>
      </c>
      <c r="C1127" s="9">
        <v>2025</v>
      </c>
      <c r="D1127" s="9" t="s">
        <v>27</v>
      </c>
      <c r="E1127" s="90" t="s">
        <v>23</v>
      </c>
      <c r="F1127" s="9" t="s">
        <v>7</v>
      </c>
      <c r="G1127" s="10"/>
      <c r="H1127" s="96">
        <v>250425</v>
      </c>
      <c r="I1127" s="109" t="s">
        <v>591</v>
      </c>
      <c r="J1127" s="115">
        <v>45759</v>
      </c>
      <c r="K1127" s="119">
        <v>45776</v>
      </c>
      <c r="L1127" s="116">
        <v>2819400</v>
      </c>
      <c r="M1127" s="116" t="s">
        <v>609</v>
      </c>
      <c r="N1127" s="34" t="s">
        <v>29</v>
      </c>
      <c r="O1127" s="10"/>
      <c r="P1127" s="113">
        <v>45824</v>
      </c>
      <c r="Q1127" s="113">
        <v>45824</v>
      </c>
      <c r="R1127" s="113">
        <v>45824</v>
      </c>
      <c r="S1127" s="37">
        <f>IF(R1127="",0,L1127)</f>
        <v>2819400</v>
      </c>
      <c r="T1127" s="37">
        <f>L1127-S1127</f>
        <v>0</v>
      </c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</row>
    <row r="1128" spans="1:31" ht="14.25" hidden="1" customHeight="1">
      <c r="A1128" s="277" t="s">
        <v>7581</v>
      </c>
      <c r="B1128" s="9" t="s">
        <v>21</v>
      </c>
      <c r="C1128" s="9">
        <v>2025</v>
      </c>
      <c r="D1128" s="9" t="s">
        <v>27</v>
      </c>
      <c r="E1128" s="90" t="s">
        <v>23</v>
      </c>
      <c r="F1128" s="9" t="s">
        <v>7</v>
      </c>
      <c r="G1128" s="10"/>
      <c r="H1128" s="96">
        <v>250422</v>
      </c>
      <c r="I1128" s="109" t="s">
        <v>591</v>
      </c>
      <c r="J1128" s="115">
        <v>45759</v>
      </c>
      <c r="K1128" s="119">
        <v>45776</v>
      </c>
      <c r="L1128" s="116">
        <v>10657498</v>
      </c>
      <c r="M1128" s="116" t="s">
        <v>610</v>
      </c>
      <c r="N1128" s="34" t="s">
        <v>29</v>
      </c>
      <c r="O1128" s="27">
        <f>SUM(L1128:L1139)</f>
        <v>37106355</v>
      </c>
      <c r="P1128" s="113">
        <v>45831</v>
      </c>
      <c r="Q1128" s="113">
        <v>45831</v>
      </c>
      <c r="R1128" s="113">
        <v>45831</v>
      </c>
      <c r="S1128" s="37">
        <f t="shared" ref="S1128:S1139" si="226">IF(R1128="",0,L1128)</f>
        <v>10657498</v>
      </c>
      <c r="T1128" s="37">
        <f t="shared" ref="T1128:T1139" si="227">L1128-S1128</f>
        <v>0</v>
      </c>
      <c r="U1128" s="10"/>
      <c r="V1128" s="10"/>
      <c r="W1128" s="10"/>
      <c r="X1128" s="10"/>
      <c r="Y1128" s="10"/>
      <c r="Z1128" s="10"/>
      <c r="AA1128" s="10"/>
      <c r="AB1128" s="10"/>
      <c r="AC1128" s="10"/>
      <c r="AD1128" s="10"/>
      <c r="AE1128" s="10"/>
    </row>
    <row r="1129" spans="1:31" ht="14.25" hidden="1" customHeight="1">
      <c r="A1129" s="277" t="s">
        <v>7582</v>
      </c>
      <c r="B1129" s="9" t="s">
        <v>21</v>
      </c>
      <c r="C1129" s="9">
        <v>2025</v>
      </c>
      <c r="D1129" s="9" t="s">
        <v>27</v>
      </c>
      <c r="E1129" s="90" t="s">
        <v>23</v>
      </c>
      <c r="F1129" s="9" t="s">
        <v>7</v>
      </c>
      <c r="G1129" s="10"/>
      <c r="H1129" s="96">
        <v>250419</v>
      </c>
      <c r="I1129" s="109" t="s">
        <v>591</v>
      </c>
      <c r="J1129" s="115">
        <v>45761</v>
      </c>
      <c r="K1129" s="119">
        <v>45776</v>
      </c>
      <c r="L1129" s="116">
        <v>1038000</v>
      </c>
      <c r="M1129" s="116" t="s">
        <v>611</v>
      </c>
      <c r="N1129" s="34" t="s">
        <v>29</v>
      </c>
      <c r="O1129" s="10"/>
      <c r="P1129" s="113">
        <v>45831</v>
      </c>
      <c r="Q1129" s="113">
        <v>45831</v>
      </c>
      <c r="R1129" s="113">
        <v>45831</v>
      </c>
      <c r="S1129" s="37">
        <f t="shared" si="226"/>
        <v>1038000</v>
      </c>
      <c r="T1129" s="37">
        <f t="shared" si="227"/>
        <v>0</v>
      </c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  <c r="AE1129" s="10"/>
    </row>
    <row r="1130" spans="1:31" ht="14.25" hidden="1" customHeight="1">
      <c r="A1130" s="277" t="s">
        <v>7583</v>
      </c>
      <c r="B1130" s="9" t="s">
        <v>21</v>
      </c>
      <c r="C1130" s="9">
        <v>2025</v>
      </c>
      <c r="D1130" s="9" t="s">
        <v>27</v>
      </c>
      <c r="E1130" s="90" t="s">
        <v>23</v>
      </c>
      <c r="F1130" s="9" t="s">
        <v>7</v>
      </c>
      <c r="G1130" s="10"/>
      <c r="H1130" s="96">
        <v>250418</v>
      </c>
      <c r="I1130" s="109" t="s">
        <v>591</v>
      </c>
      <c r="J1130" s="115">
        <v>45761</v>
      </c>
      <c r="K1130" s="119">
        <v>45776</v>
      </c>
      <c r="L1130" s="116">
        <v>142800</v>
      </c>
      <c r="M1130" s="116" t="s">
        <v>612</v>
      </c>
      <c r="N1130" s="34" t="s">
        <v>29</v>
      </c>
      <c r="O1130" s="10"/>
      <c r="P1130" s="113">
        <v>45831</v>
      </c>
      <c r="Q1130" s="113">
        <v>45831</v>
      </c>
      <c r="R1130" s="113">
        <v>45831</v>
      </c>
      <c r="S1130" s="37">
        <f t="shared" si="226"/>
        <v>142800</v>
      </c>
      <c r="T1130" s="37">
        <f t="shared" si="227"/>
        <v>0</v>
      </c>
      <c r="U1130" s="10"/>
      <c r="V1130" s="10"/>
      <c r="W1130" s="10"/>
      <c r="X1130" s="10"/>
      <c r="Y1130" s="10"/>
      <c r="Z1130" s="10"/>
      <c r="AA1130" s="10"/>
      <c r="AB1130" s="10"/>
      <c r="AC1130" s="10"/>
      <c r="AD1130" s="10"/>
      <c r="AE1130" s="10"/>
    </row>
    <row r="1131" spans="1:31" ht="14.25" hidden="1" customHeight="1">
      <c r="A1131" s="277" t="s">
        <v>5484</v>
      </c>
      <c r="B1131" s="9" t="s">
        <v>21</v>
      </c>
      <c r="C1131" s="9">
        <v>2025</v>
      </c>
      <c r="D1131" s="9" t="s">
        <v>27</v>
      </c>
      <c r="E1131" s="90" t="s">
        <v>23</v>
      </c>
      <c r="F1131" s="9" t="s">
        <v>7</v>
      </c>
      <c r="G1131" s="10"/>
      <c r="H1131" s="96">
        <v>250424</v>
      </c>
      <c r="I1131" s="109" t="s">
        <v>591</v>
      </c>
      <c r="J1131" s="115">
        <v>45761</v>
      </c>
      <c r="K1131" s="119">
        <v>45776</v>
      </c>
      <c r="L1131" s="116">
        <v>3330000</v>
      </c>
      <c r="M1131" s="116" t="s">
        <v>613</v>
      </c>
      <c r="N1131" s="34" t="s">
        <v>29</v>
      </c>
      <c r="O1131" s="10"/>
      <c r="P1131" s="113">
        <v>45831</v>
      </c>
      <c r="Q1131" s="113">
        <v>45831</v>
      </c>
      <c r="R1131" s="113">
        <v>45831</v>
      </c>
      <c r="S1131" s="37">
        <f t="shared" si="226"/>
        <v>3330000</v>
      </c>
      <c r="T1131" s="37">
        <f t="shared" si="227"/>
        <v>0</v>
      </c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0"/>
    </row>
    <row r="1132" spans="1:31" ht="14.25" hidden="1" customHeight="1">
      <c r="A1132" s="277" t="s">
        <v>5485</v>
      </c>
      <c r="B1132" s="9" t="s">
        <v>21</v>
      </c>
      <c r="C1132" s="9">
        <v>2025</v>
      </c>
      <c r="D1132" s="9" t="s">
        <v>27</v>
      </c>
      <c r="E1132" s="90" t="s">
        <v>23</v>
      </c>
      <c r="F1132" s="9" t="s">
        <v>7</v>
      </c>
      <c r="G1132" s="10"/>
      <c r="H1132" s="96">
        <v>250423</v>
      </c>
      <c r="I1132" s="109" t="s">
        <v>591</v>
      </c>
      <c r="J1132" s="115">
        <v>45761</v>
      </c>
      <c r="K1132" s="119">
        <v>45776</v>
      </c>
      <c r="L1132" s="116">
        <v>2085024</v>
      </c>
      <c r="M1132" s="116" t="s">
        <v>614</v>
      </c>
      <c r="N1132" s="34" t="s">
        <v>29</v>
      </c>
      <c r="O1132" s="10"/>
      <c r="P1132" s="113">
        <v>45831</v>
      </c>
      <c r="Q1132" s="113">
        <v>45831</v>
      </c>
      <c r="R1132" s="113">
        <v>45831</v>
      </c>
      <c r="S1132" s="37">
        <f t="shared" si="226"/>
        <v>2085024</v>
      </c>
      <c r="T1132" s="37">
        <f t="shared" si="227"/>
        <v>0</v>
      </c>
      <c r="U1132" s="10"/>
      <c r="V1132" s="10"/>
      <c r="W1132" s="10"/>
      <c r="X1132" s="10"/>
      <c r="Y1132" s="10"/>
      <c r="Z1132" s="10"/>
      <c r="AA1132" s="10"/>
      <c r="AB1132" s="10"/>
      <c r="AC1132" s="10"/>
      <c r="AD1132" s="10"/>
      <c r="AE1132" s="10"/>
    </row>
    <row r="1133" spans="1:31" ht="14.25" hidden="1" customHeight="1">
      <c r="A1133" s="277" t="s">
        <v>5486</v>
      </c>
      <c r="B1133" s="9" t="s">
        <v>21</v>
      </c>
      <c r="C1133" s="9">
        <v>2025</v>
      </c>
      <c r="D1133" s="9" t="s">
        <v>27</v>
      </c>
      <c r="E1133" s="90" t="s">
        <v>23</v>
      </c>
      <c r="F1133" s="9" t="s">
        <v>7</v>
      </c>
      <c r="G1133" s="10"/>
      <c r="H1133" s="96">
        <v>250432</v>
      </c>
      <c r="I1133" s="109" t="s">
        <v>591</v>
      </c>
      <c r="J1133" s="115">
        <v>45762</v>
      </c>
      <c r="K1133" s="119">
        <v>45776</v>
      </c>
      <c r="L1133" s="116">
        <v>155844</v>
      </c>
      <c r="M1133" s="116" t="s">
        <v>615</v>
      </c>
      <c r="N1133" s="34" t="s">
        <v>29</v>
      </c>
      <c r="O1133" s="10"/>
      <c r="P1133" s="113">
        <v>45831</v>
      </c>
      <c r="Q1133" s="113">
        <v>45831</v>
      </c>
      <c r="R1133" s="113">
        <v>45831</v>
      </c>
      <c r="S1133" s="37">
        <f t="shared" si="226"/>
        <v>155844</v>
      </c>
      <c r="T1133" s="37">
        <f t="shared" si="227"/>
        <v>0</v>
      </c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0"/>
    </row>
    <row r="1134" spans="1:31" ht="14.25" hidden="1" customHeight="1">
      <c r="A1134" s="277" t="s">
        <v>5487</v>
      </c>
      <c r="B1134" s="9" t="s">
        <v>21</v>
      </c>
      <c r="C1134" s="9">
        <v>2025</v>
      </c>
      <c r="D1134" s="9" t="s">
        <v>27</v>
      </c>
      <c r="E1134" s="90" t="s">
        <v>23</v>
      </c>
      <c r="F1134" s="9" t="s">
        <v>7</v>
      </c>
      <c r="G1134" s="10"/>
      <c r="H1134" s="96">
        <v>250431</v>
      </c>
      <c r="I1134" s="109" t="s">
        <v>591</v>
      </c>
      <c r="J1134" s="115">
        <v>45762</v>
      </c>
      <c r="K1134" s="119">
        <v>45776</v>
      </c>
      <c r="L1134" s="116">
        <v>208791</v>
      </c>
      <c r="M1134" s="116" t="s">
        <v>616</v>
      </c>
      <c r="N1134" s="34" t="s">
        <v>29</v>
      </c>
      <c r="O1134" s="10"/>
      <c r="P1134" s="113">
        <v>45831</v>
      </c>
      <c r="Q1134" s="113">
        <v>45831</v>
      </c>
      <c r="R1134" s="113">
        <v>45831</v>
      </c>
      <c r="S1134" s="37">
        <f t="shared" si="226"/>
        <v>208791</v>
      </c>
      <c r="T1134" s="37">
        <f t="shared" si="227"/>
        <v>0</v>
      </c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  <c r="AE1134" s="10"/>
    </row>
    <row r="1135" spans="1:31" ht="14.25" hidden="1" customHeight="1">
      <c r="A1135" s="277" t="s">
        <v>5488</v>
      </c>
      <c r="B1135" s="9" t="s">
        <v>21</v>
      </c>
      <c r="C1135" s="9">
        <v>2025</v>
      </c>
      <c r="D1135" s="9" t="s">
        <v>27</v>
      </c>
      <c r="E1135" s="90" t="s">
        <v>23</v>
      </c>
      <c r="F1135" s="9" t="s">
        <v>7</v>
      </c>
      <c r="G1135" s="10"/>
      <c r="H1135" s="96">
        <v>250457</v>
      </c>
      <c r="I1135" s="109" t="s">
        <v>591</v>
      </c>
      <c r="J1135" s="115">
        <v>45769</v>
      </c>
      <c r="K1135" s="119">
        <v>45783</v>
      </c>
      <c r="L1135" s="116">
        <v>972080</v>
      </c>
      <c r="M1135" s="116" t="s">
        <v>617</v>
      </c>
      <c r="N1135" s="34" t="s">
        <v>29</v>
      </c>
      <c r="O1135" s="10"/>
      <c r="P1135" s="113">
        <v>45831</v>
      </c>
      <c r="Q1135" s="113">
        <v>45831</v>
      </c>
      <c r="R1135" s="113">
        <v>45831</v>
      </c>
      <c r="S1135" s="37">
        <f t="shared" si="226"/>
        <v>972080</v>
      </c>
      <c r="T1135" s="37">
        <f t="shared" si="227"/>
        <v>0</v>
      </c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</row>
    <row r="1136" spans="1:31" ht="14.25" hidden="1" customHeight="1">
      <c r="A1136" s="277" t="s">
        <v>5489</v>
      </c>
      <c r="B1136" s="9" t="s">
        <v>21</v>
      </c>
      <c r="C1136" s="9">
        <v>2025</v>
      </c>
      <c r="D1136" s="9" t="s">
        <v>27</v>
      </c>
      <c r="E1136" s="90" t="s">
        <v>23</v>
      </c>
      <c r="F1136" s="9" t="s">
        <v>7</v>
      </c>
      <c r="G1136" s="10"/>
      <c r="H1136" s="96">
        <v>250456</v>
      </c>
      <c r="I1136" s="109" t="s">
        <v>591</v>
      </c>
      <c r="J1136" s="115">
        <v>45769</v>
      </c>
      <c r="K1136" s="119">
        <v>45783</v>
      </c>
      <c r="L1136" s="116">
        <v>155844</v>
      </c>
      <c r="M1136" s="116" t="s">
        <v>618</v>
      </c>
      <c r="N1136" s="34" t="s">
        <v>29</v>
      </c>
      <c r="O1136" s="10"/>
      <c r="P1136" s="113">
        <v>45831</v>
      </c>
      <c r="Q1136" s="113">
        <v>45831</v>
      </c>
      <c r="R1136" s="113">
        <v>45831</v>
      </c>
      <c r="S1136" s="37">
        <f t="shared" si="226"/>
        <v>155844</v>
      </c>
      <c r="T1136" s="37">
        <f t="shared" si="227"/>
        <v>0</v>
      </c>
      <c r="U1136" s="10"/>
      <c r="V1136" s="10"/>
      <c r="W1136" s="10"/>
      <c r="X1136" s="10"/>
      <c r="Y1136" s="10"/>
      <c r="Z1136" s="10"/>
      <c r="AA1136" s="10"/>
      <c r="AB1136" s="10"/>
      <c r="AC1136" s="10"/>
      <c r="AD1136" s="10"/>
      <c r="AE1136" s="10"/>
    </row>
    <row r="1137" spans="1:31" ht="14.25" hidden="1" customHeight="1">
      <c r="A1137" s="277" t="s">
        <v>5490</v>
      </c>
      <c r="B1137" s="9" t="s">
        <v>21</v>
      </c>
      <c r="C1137" s="9">
        <v>2025</v>
      </c>
      <c r="D1137" s="9" t="s">
        <v>27</v>
      </c>
      <c r="E1137" s="90" t="s">
        <v>23</v>
      </c>
      <c r="F1137" s="9" t="s">
        <v>7</v>
      </c>
      <c r="G1137" s="10"/>
      <c r="H1137" s="96">
        <v>250459</v>
      </c>
      <c r="I1137" s="109" t="s">
        <v>591</v>
      </c>
      <c r="J1137" s="115">
        <v>45769</v>
      </c>
      <c r="K1137" s="119">
        <v>45783</v>
      </c>
      <c r="L1137" s="116">
        <v>3180000</v>
      </c>
      <c r="M1137" s="116" t="s">
        <v>619</v>
      </c>
      <c r="N1137" s="34" t="s">
        <v>29</v>
      </c>
      <c r="O1137" s="10"/>
      <c r="P1137" s="113">
        <v>45831</v>
      </c>
      <c r="Q1137" s="113">
        <v>45831</v>
      </c>
      <c r="R1137" s="113">
        <v>45831</v>
      </c>
      <c r="S1137" s="37">
        <f t="shared" si="226"/>
        <v>3180000</v>
      </c>
      <c r="T1137" s="37">
        <f t="shared" si="227"/>
        <v>0</v>
      </c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</row>
    <row r="1138" spans="1:31" ht="14.25" hidden="1" customHeight="1">
      <c r="A1138" s="277" t="s">
        <v>5491</v>
      </c>
      <c r="B1138" s="9" t="s">
        <v>21</v>
      </c>
      <c r="C1138" s="9">
        <v>2025</v>
      </c>
      <c r="D1138" s="9" t="s">
        <v>27</v>
      </c>
      <c r="E1138" s="90" t="s">
        <v>23</v>
      </c>
      <c r="F1138" s="9" t="s">
        <v>7</v>
      </c>
      <c r="G1138" s="10"/>
      <c r="H1138" s="96">
        <v>250458</v>
      </c>
      <c r="I1138" s="109" t="s">
        <v>591</v>
      </c>
      <c r="J1138" s="115">
        <v>45769</v>
      </c>
      <c r="K1138" s="119">
        <v>45783</v>
      </c>
      <c r="L1138" s="116">
        <v>14920497</v>
      </c>
      <c r="M1138" s="116" t="s">
        <v>620</v>
      </c>
      <c r="N1138" s="34" t="s">
        <v>29</v>
      </c>
      <c r="O1138" s="10"/>
      <c r="P1138" s="113">
        <v>45831</v>
      </c>
      <c r="Q1138" s="113">
        <v>45831</v>
      </c>
      <c r="R1138" s="113">
        <v>45831</v>
      </c>
      <c r="S1138" s="37">
        <f t="shared" si="226"/>
        <v>14920497</v>
      </c>
      <c r="T1138" s="37">
        <f t="shared" si="227"/>
        <v>0</v>
      </c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  <c r="AE1138" s="10"/>
    </row>
    <row r="1139" spans="1:31" ht="14.25" hidden="1" customHeight="1">
      <c r="A1139" s="277" t="s">
        <v>5492</v>
      </c>
      <c r="B1139" s="9" t="s">
        <v>21</v>
      </c>
      <c r="C1139" s="9">
        <v>2025</v>
      </c>
      <c r="D1139" s="9" t="s">
        <v>27</v>
      </c>
      <c r="E1139" s="90" t="s">
        <v>23</v>
      </c>
      <c r="F1139" s="9" t="s">
        <v>7</v>
      </c>
      <c r="G1139" s="10"/>
      <c r="H1139" s="96">
        <v>250471</v>
      </c>
      <c r="I1139" s="109" t="s">
        <v>591</v>
      </c>
      <c r="J1139" s="115">
        <v>45769</v>
      </c>
      <c r="K1139" s="119">
        <v>45783</v>
      </c>
      <c r="L1139" s="116">
        <v>259977</v>
      </c>
      <c r="M1139" s="116" t="s">
        <v>621</v>
      </c>
      <c r="N1139" s="34" t="s">
        <v>29</v>
      </c>
      <c r="O1139" s="10"/>
      <c r="P1139" s="113">
        <v>45831</v>
      </c>
      <c r="Q1139" s="113">
        <v>45831</v>
      </c>
      <c r="R1139" s="113">
        <v>45831</v>
      </c>
      <c r="S1139" s="37">
        <f t="shared" si="226"/>
        <v>259977</v>
      </c>
      <c r="T1139" s="37">
        <f t="shared" si="227"/>
        <v>0</v>
      </c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  <c r="AE1139" s="10"/>
    </row>
    <row r="1140" spans="1:31" ht="14.25" hidden="1" customHeight="1">
      <c r="A1140" s="277" t="s">
        <v>5493</v>
      </c>
      <c r="B1140" s="9" t="s">
        <v>21</v>
      </c>
      <c r="C1140" s="9">
        <v>2025</v>
      </c>
      <c r="D1140" s="9" t="s">
        <v>27</v>
      </c>
      <c r="E1140" s="90" t="s">
        <v>23</v>
      </c>
      <c r="F1140" s="9" t="s">
        <v>7</v>
      </c>
      <c r="G1140" s="10"/>
      <c r="H1140" s="96">
        <v>250474</v>
      </c>
      <c r="I1140" s="109" t="s">
        <v>591</v>
      </c>
      <c r="J1140" s="115">
        <v>45773</v>
      </c>
      <c r="K1140" s="119">
        <v>45790</v>
      </c>
      <c r="L1140" s="116">
        <v>2220000</v>
      </c>
      <c r="M1140" s="116" t="s">
        <v>622</v>
      </c>
      <c r="N1140" s="34" t="s">
        <v>29</v>
      </c>
      <c r="O1140" s="27">
        <f>SUM(L1140:L1142)</f>
        <v>19602766</v>
      </c>
      <c r="P1140" s="113">
        <v>45847</v>
      </c>
      <c r="Q1140" s="113">
        <v>45847</v>
      </c>
      <c r="R1140" s="113">
        <v>45847</v>
      </c>
      <c r="S1140" s="37">
        <f t="shared" ref="S1140:S1153" si="228">IF(R1140="",0,L1140)</f>
        <v>2220000</v>
      </c>
      <c r="T1140" s="37">
        <f t="shared" ref="T1140:T1153" si="229">L1140-S1140</f>
        <v>0</v>
      </c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  <c r="AE1140" s="10"/>
    </row>
    <row r="1141" spans="1:31" ht="14.25" hidden="1" customHeight="1">
      <c r="A1141" s="277" t="s">
        <v>5494</v>
      </c>
      <c r="B1141" s="9" t="s">
        <v>21</v>
      </c>
      <c r="C1141" s="9">
        <v>2025</v>
      </c>
      <c r="D1141" s="9" t="s">
        <v>27</v>
      </c>
      <c r="E1141" s="90" t="s">
        <v>23</v>
      </c>
      <c r="F1141" s="9" t="s">
        <v>7</v>
      </c>
      <c r="G1141" s="10"/>
      <c r="H1141" s="96">
        <v>250512</v>
      </c>
      <c r="I1141" s="109" t="s">
        <v>591</v>
      </c>
      <c r="J1141" s="115">
        <v>45785</v>
      </c>
      <c r="K1141" s="119">
        <v>45797</v>
      </c>
      <c r="L1141" s="116">
        <v>6725268</v>
      </c>
      <c r="M1141" s="116" t="s">
        <v>623</v>
      </c>
      <c r="N1141" s="34" t="s">
        <v>29</v>
      </c>
      <c r="O1141" s="10"/>
      <c r="P1141" s="113">
        <v>45847</v>
      </c>
      <c r="Q1141" s="113">
        <v>45847</v>
      </c>
      <c r="R1141" s="113">
        <v>45847</v>
      </c>
      <c r="S1141" s="37">
        <f t="shared" si="228"/>
        <v>6725268</v>
      </c>
      <c r="T1141" s="37">
        <f t="shared" si="229"/>
        <v>0</v>
      </c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  <c r="AE1141" s="10"/>
    </row>
    <row r="1142" spans="1:31" ht="14.25" hidden="1" customHeight="1">
      <c r="A1142" s="277" t="s">
        <v>5495</v>
      </c>
      <c r="B1142" s="9" t="s">
        <v>21</v>
      </c>
      <c r="C1142" s="9">
        <v>2025</v>
      </c>
      <c r="D1142" s="9" t="s">
        <v>27</v>
      </c>
      <c r="E1142" s="90" t="s">
        <v>23</v>
      </c>
      <c r="F1142" s="9" t="s">
        <v>7</v>
      </c>
      <c r="G1142" s="10"/>
      <c r="H1142" s="96">
        <v>250513</v>
      </c>
      <c r="I1142" s="109" t="s">
        <v>591</v>
      </c>
      <c r="J1142" s="115">
        <v>45786</v>
      </c>
      <c r="K1142" s="119">
        <v>45836</v>
      </c>
      <c r="L1142" s="116">
        <v>10657498</v>
      </c>
      <c r="M1142" s="116" t="s">
        <v>624</v>
      </c>
      <c r="N1142" s="34" t="s">
        <v>29</v>
      </c>
      <c r="O1142" s="10"/>
      <c r="P1142" s="113">
        <v>45847</v>
      </c>
      <c r="Q1142" s="113">
        <v>45847</v>
      </c>
      <c r="R1142" s="113">
        <v>45847</v>
      </c>
      <c r="S1142" s="37">
        <f t="shared" si="228"/>
        <v>10657498</v>
      </c>
      <c r="T1142" s="37">
        <f t="shared" si="229"/>
        <v>0</v>
      </c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  <c r="AE1142" s="10"/>
    </row>
    <row r="1143" spans="1:31" ht="14.25" hidden="1" customHeight="1">
      <c r="A1143" s="277" t="s">
        <v>5496</v>
      </c>
      <c r="B1143" s="9" t="s">
        <v>21</v>
      </c>
      <c r="C1143" s="9">
        <v>2025</v>
      </c>
      <c r="D1143" s="9" t="s">
        <v>27</v>
      </c>
      <c r="E1143" s="90" t="s">
        <v>23</v>
      </c>
      <c r="F1143" s="9" t="s">
        <v>7</v>
      </c>
      <c r="G1143" s="10"/>
      <c r="H1143" s="96">
        <v>250526</v>
      </c>
      <c r="I1143" s="109" t="s">
        <v>591</v>
      </c>
      <c r="J1143" s="115">
        <v>45791</v>
      </c>
      <c r="K1143" s="119">
        <v>45836</v>
      </c>
      <c r="L1143" s="116">
        <v>7346424</v>
      </c>
      <c r="M1143" s="116" t="s">
        <v>625</v>
      </c>
      <c r="N1143" s="34" t="s">
        <v>29</v>
      </c>
      <c r="O1143" s="27">
        <f>SUM(L1143:L1145)</f>
        <v>23597434</v>
      </c>
      <c r="P1143" s="113">
        <v>45853</v>
      </c>
      <c r="Q1143" s="113">
        <v>45853</v>
      </c>
      <c r="R1143" s="113">
        <v>45853</v>
      </c>
      <c r="S1143" s="37">
        <f t="shared" si="228"/>
        <v>7346424</v>
      </c>
      <c r="T1143" s="37">
        <f t="shared" si="229"/>
        <v>0</v>
      </c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10"/>
    </row>
    <row r="1144" spans="1:31" ht="14.25" hidden="1" customHeight="1">
      <c r="A1144" s="277" t="s">
        <v>5497</v>
      </c>
      <c r="B1144" s="9" t="s">
        <v>21</v>
      </c>
      <c r="C1144" s="9">
        <v>2025</v>
      </c>
      <c r="D1144" s="9" t="s">
        <v>27</v>
      </c>
      <c r="E1144" s="90" t="s">
        <v>23</v>
      </c>
      <c r="F1144" s="9" t="s">
        <v>7</v>
      </c>
      <c r="G1144" s="10"/>
      <c r="H1144" s="96">
        <v>250561</v>
      </c>
      <c r="I1144" s="109" t="s">
        <v>591</v>
      </c>
      <c r="J1144" s="115">
        <v>45805</v>
      </c>
      <c r="K1144" s="119">
        <v>45818</v>
      </c>
      <c r="L1144" s="116">
        <v>6500404</v>
      </c>
      <c r="M1144" s="116" t="s">
        <v>626</v>
      </c>
      <c r="N1144" s="34" t="s">
        <v>29</v>
      </c>
      <c r="O1144" s="10"/>
      <c r="P1144" s="113">
        <v>45853</v>
      </c>
      <c r="Q1144" s="113">
        <v>45853</v>
      </c>
      <c r="R1144" s="113">
        <v>45853</v>
      </c>
      <c r="S1144" s="37">
        <f t="shared" si="228"/>
        <v>6500404</v>
      </c>
      <c r="T1144" s="37">
        <f t="shared" si="229"/>
        <v>0</v>
      </c>
      <c r="U1144" s="10"/>
      <c r="V1144" s="10"/>
      <c r="W1144" s="10"/>
      <c r="X1144" s="10"/>
      <c r="Y1144" s="10"/>
      <c r="Z1144" s="10"/>
      <c r="AA1144" s="10"/>
      <c r="AB1144" s="10"/>
      <c r="AC1144" s="10"/>
      <c r="AD1144" s="10"/>
      <c r="AE1144" s="10"/>
    </row>
    <row r="1145" spans="1:31" ht="14.25" hidden="1" customHeight="1">
      <c r="A1145" s="277" t="s">
        <v>5498</v>
      </c>
      <c r="B1145" s="9" t="s">
        <v>21</v>
      </c>
      <c r="C1145" s="9">
        <v>2025</v>
      </c>
      <c r="D1145" s="9" t="s">
        <v>27</v>
      </c>
      <c r="E1145" s="90" t="s">
        <v>23</v>
      </c>
      <c r="F1145" s="9" t="s">
        <v>7</v>
      </c>
      <c r="G1145" s="10"/>
      <c r="H1145" s="96">
        <v>250576</v>
      </c>
      <c r="I1145" s="109" t="s">
        <v>591</v>
      </c>
      <c r="J1145" s="115">
        <v>45808</v>
      </c>
      <c r="K1145" s="119">
        <v>45818</v>
      </c>
      <c r="L1145" s="116">
        <v>9750606</v>
      </c>
      <c r="M1145" s="116" t="s">
        <v>627</v>
      </c>
      <c r="N1145" s="34" t="s">
        <v>29</v>
      </c>
      <c r="O1145" s="10"/>
      <c r="P1145" s="113">
        <v>45853</v>
      </c>
      <c r="Q1145" s="113">
        <v>45853</v>
      </c>
      <c r="R1145" s="113">
        <v>45853</v>
      </c>
      <c r="S1145" s="37">
        <f t="shared" si="228"/>
        <v>9750606</v>
      </c>
      <c r="T1145" s="37">
        <f t="shared" si="229"/>
        <v>0</v>
      </c>
      <c r="U1145" s="10"/>
      <c r="V1145" s="10"/>
      <c r="W1145" s="10"/>
      <c r="X1145" s="10"/>
      <c r="Y1145" s="10"/>
      <c r="Z1145" s="10"/>
      <c r="AA1145" s="10"/>
      <c r="AB1145" s="10"/>
      <c r="AC1145" s="10"/>
      <c r="AD1145" s="10"/>
      <c r="AE1145" s="10"/>
    </row>
    <row r="1146" spans="1:31" ht="14.25" hidden="1" customHeight="1">
      <c r="A1146" s="277" t="s">
        <v>5499</v>
      </c>
      <c r="B1146" s="9" t="s">
        <v>21</v>
      </c>
      <c r="C1146" s="9">
        <v>2025</v>
      </c>
      <c r="D1146" s="9" t="s">
        <v>27</v>
      </c>
      <c r="E1146" s="90" t="s">
        <v>23</v>
      </c>
      <c r="F1146" s="9" t="s">
        <v>7</v>
      </c>
      <c r="G1146" s="10"/>
      <c r="H1146" s="96">
        <v>250631</v>
      </c>
      <c r="I1146" s="109" t="s">
        <v>591</v>
      </c>
      <c r="J1146" s="115">
        <v>45833</v>
      </c>
      <c r="K1146" s="119">
        <v>45846</v>
      </c>
      <c r="L1146" s="116">
        <v>999999</v>
      </c>
      <c r="M1146" s="116" t="s">
        <v>628</v>
      </c>
      <c r="N1146" s="34" t="s">
        <v>29</v>
      </c>
      <c r="O1146" s="27">
        <f>SUM(L1146:L1157)</f>
        <v>18362314</v>
      </c>
      <c r="P1146" s="113">
        <v>45898</v>
      </c>
      <c r="Q1146" s="113">
        <v>45898</v>
      </c>
      <c r="R1146" s="113">
        <v>45898</v>
      </c>
      <c r="S1146" s="37">
        <f t="shared" si="228"/>
        <v>999999</v>
      </c>
      <c r="T1146" s="37">
        <f t="shared" si="229"/>
        <v>0</v>
      </c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  <c r="AE1146" s="10"/>
    </row>
    <row r="1147" spans="1:31" ht="14.25" hidden="1" customHeight="1">
      <c r="A1147" s="277" t="s">
        <v>5500</v>
      </c>
      <c r="B1147" s="9" t="s">
        <v>21</v>
      </c>
      <c r="C1147" s="9">
        <v>2025</v>
      </c>
      <c r="D1147" s="9" t="s">
        <v>27</v>
      </c>
      <c r="E1147" s="90" t="s">
        <v>23</v>
      </c>
      <c r="F1147" s="9" t="s">
        <v>7</v>
      </c>
      <c r="G1147" s="10"/>
      <c r="H1147" s="96">
        <v>250630</v>
      </c>
      <c r="I1147" s="109" t="s">
        <v>591</v>
      </c>
      <c r="J1147" s="115">
        <v>45833</v>
      </c>
      <c r="K1147" s="119">
        <v>45846</v>
      </c>
      <c r="L1147" s="116">
        <v>90948</v>
      </c>
      <c r="M1147" s="116" t="s">
        <v>629</v>
      </c>
      <c r="N1147" s="34" t="s">
        <v>29</v>
      </c>
      <c r="O1147" s="10"/>
      <c r="P1147" s="113">
        <v>45898</v>
      </c>
      <c r="Q1147" s="113">
        <v>45898</v>
      </c>
      <c r="R1147" s="113">
        <v>45898</v>
      </c>
      <c r="S1147" s="37">
        <f t="shared" si="228"/>
        <v>90948</v>
      </c>
      <c r="T1147" s="37">
        <f t="shared" si="229"/>
        <v>0</v>
      </c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0"/>
    </row>
    <row r="1148" spans="1:31" ht="14.25" hidden="1" customHeight="1">
      <c r="A1148" s="277" t="s">
        <v>5501</v>
      </c>
      <c r="B1148" s="9" t="s">
        <v>21</v>
      </c>
      <c r="C1148" s="9">
        <v>2025</v>
      </c>
      <c r="D1148" s="9" t="s">
        <v>27</v>
      </c>
      <c r="E1148" s="90" t="s">
        <v>23</v>
      </c>
      <c r="F1148" s="9" t="s">
        <v>7</v>
      </c>
      <c r="G1148" s="10"/>
      <c r="H1148" s="96">
        <v>250646</v>
      </c>
      <c r="I1148" s="109" t="s">
        <v>591</v>
      </c>
      <c r="J1148" s="115">
        <v>45834</v>
      </c>
      <c r="K1148" s="119">
        <v>45846</v>
      </c>
      <c r="L1148" s="116">
        <v>6725268</v>
      </c>
      <c r="M1148" s="116" t="s">
        <v>630</v>
      </c>
      <c r="N1148" s="34" t="s">
        <v>29</v>
      </c>
      <c r="O1148" s="10"/>
      <c r="P1148" s="113">
        <v>45898</v>
      </c>
      <c r="Q1148" s="113">
        <v>45898</v>
      </c>
      <c r="R1148" s="113">
        <v>45898</v>
      </c>
      <c r="S1148" s="37">
        <f t="shared" si="228"/>
        <v>6725268</v>
      </c>
      <c r="T1148" s="37">
        <f t="shared" si="229"/>
        <v>0</v>
      </c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</row>
    <row r="1149" spans="1:31" ht="14.25" hidden="1" customHeight="1">
      <c r="A1149" s="277" t="s">
        <v>5502</v>
      </c>
      <c r="B1149" s="9" t="s">
        <v>21</v>
      </c>
      <c r="C1149" s="9">
        <v>2025</v>
      </c>
      <c r="D1149" s="9" t="s">
        <v>27</v>
      </c>
      <c r="E1149" s="90" t="s">
        <v>23</v>
      </c>
      <c r="F1149" s="9" t="s">
        <v>7</v>
      </c>
      <c r="G1149" s="10"/>
      <c r="H1149" s="96">
        <v>250672</v>
      </c>
      <c r="I1149" s="109" t="s">
        <v>591</v>
      </c>
      <c r="J1149" s="115">
        <v>45848</v>
      </c>
      <c r="K1149" s="119">
        <v>45860</v>
      </c>
      <c r="L1149" s="116">
        <v>972080</v>
      </c>
      <c r="M1149" s="116" t="s">
        <v>631</v>
      </c>
      <c r="N1149" s="34" t="s">
        <v>29</v>
      </c>
      <c r="O1149" s="10"/>
      <c r="P1149" s="113">
        <v>45898</v>
      </c>
      <c r="Q1149" s="113">
        <v>45898</v>
      </c>
      <c r="R1149" s="113">
        <v>45898</v>
      </c>
      <c r="S1149" s="37">
        <f t="shared" si="228"/>
        <v>972080</v>
      </c>
      <c r="T1149" s="37">
        <f t="shared" si="229"/>
        <v>0</v>
      </c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</row>
    <row r="1150" spans="1:31" ht="14.25" hidden="1" customHeight="1">
      <c r="A1150" s="277" t="s">
        <v>5503</v>
      </c>
      <c r="B1150" s="9" t="s">
        <v>21</v>
      </c>
      <c r="C1150" s="9">
        <v>2025</v>
      </c>
      <c r="D1150" s="9" t="s">
        <v>27</v>
      </c>
      <c r="E1150" s="90" t="s">
        <v>23</v>
      </c>
      <c r="F1150" s="9" t="s">
        <v>7</v>
      </c>
      <c r="G1150" s="10"/>
      <c r="H1150" s="96">
        <v>250671</v>
      </c>
      <c r="I1150" s="109" t="s">
        <v>591</v>
      </c>
      <c r="J1150" s="115">
        <v>45848</v>
      </c>
      <c r="K1150" s="119">
        <v>45860</v>
      </c>
      <c r="L1150" s="116">
        <v>507847</v>
      </c>
      <c r="M1150" s="116" t="s">
        <v>632</v>
      </c>
      <c r="N1150" s="34" t="s">
        <v>29</v>
      </c>
      <c r="O1150" s="10"/>
      <c r="P1150" s="113">
        <v>45898</v>
      </c>
      <c r="Q1150" s="113">
        <v>45898</v>
      </c>
      <c r="R1150" s="113">
        <v>45898</v>
      </c>
      <c r="S1150" s="37">
        <f t="shared" si="228"/>
        <v>507847</v>
      </c>
      <c r="T1150" s="37">
        <f t="shared" si="229"/>
        <v>0</v>
      </c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  <c r="AE1150" s="10"/>
    </row>
    <row r="1151" spans="1:31" ht="14.25" hidden="1" customHeight="1">
      <c r="A1151" s="277" t="s">
        <v>5504</v>
      </c>
      <c r="B1151" s="9" t="s">
        <v>21</v>
      </c>
      <c r="C1151" s="9">
        <v>2025</v>
      </c>
      <c r="D1151" s="9" t="s">
        <v>27</v>
      </c>
      <c r="E1151" s="90" t="s">
        <v>23</v>
      </c>
      <c r="F1151" s="9" t="s">
        <v>7</v>
      </c>
      <c r="G1151" s="10"/>
      <c r="H1151" s="96">
        <v>250678</v>
      </c>
      <c r="I1151" s="109" t="s">
        <v>591</v>
      </c>
      <c r="J1151" s="115">
        <v>45849</v>
      </c>
      <c r="K1151" s="119">
        <v>45860</v>
      </c>
      <c r="L1151" s="116">
        <v>1899853</v>
      </c>
      <c r="M1151" s="116" t="s">
        <v>633</v>
      </c>
      <c r="N1151" s="34" t="s">
        <v>29</v>
      </c>
      <c r="O1151" s="10"/>
      <c r="P1151" s="113">
        <v>45898</v>
      </c>
      <c r="Q1151" s="113">
        <v>45898</v>
      </c>
      <c r="R1151" s="113">
        <v>45898</v>
      </c>
      <c r="S1151" s="37">
        <f t="shared" si="228"/>
        <v>1899853</v>
      </c>
      <c r="T1151" s="37">
        <f t="shared" si="229"/>
        <v>0</v>
      </c>
      <c r="U1151" s="10"/>
      <c r="V1151" s="10"/>
      <c r="W1151" s="10"/>
      <c r="X1151" s="10"/>
      <c r="Y1151" s="10"/>
      <c r="Z1151" s="10"/>
      <c r="AA1151" s="10"/>
      <c r="AB1151" s="10"/>
      <c r="AC1151" s="10"/>
      <c r="AD1151" s="10"/>
      <c r="AE1151" s="10"/>
    </row>
    <row r="1152" spans="1:31" ht="14.25" hidden="1" customHeight="1">
      <c r="A1152" s="277" t="s">
        <v>5505</v>
      </c>
      <c r="B1152" s="9" t="s">
        <v>21</v>
      </c>
      <c r="C1152" s="9">
        <v>2025</v>
      </c>
      <c r="D1152" s="9" t="s">
        <v>27</v>
      </c>
      <c r="E1152" s="90" t="s">
        <v>23</v>
      </c>
      <c r="F1152" s="9" t="s">
        <v>7</v>
      </c>
      <c r="G1152" s="10"/>
      <c r="H1152" s="96">
        <v>250687</v>
      </c>
      <c r="I1152" s="109" t="s">
        <v>591</v>
      </c>
      <c r="J1152" s="115">
        <v>45852</v>
      </c>
      <c r="K1152" s="119">
        <v>45860</v>
      </c>
      <c r="L1152" s="116">
        <v>949926</v>
      </c>
      <c r="M1152" s="116" t="s">
        <v>634</v>
      </c>
      <c r="N1152" s="34" t="s">
        <v>29</v>
      </c>
      <c r="O1152" s="10"/>
      <c r="P1152" s="113">
        <v>45898</v>
      </c>
      <c r="Q1152" s="113">
        <v>45898</v>
      </c>
      <c r="R1152" s="113">
        <v>45898</v>
      </c>
      <c r="S1152" s="37">
        <f t="shared" si="228"/>
        <v>949926</v>
      </c>
      <c r="T1152" s="37">
        <f t="shared" si="229"/>
        <v>0</v>
      </c>
      <c r="U1152" s="10"/>
      <c r="V1152" s="10"/>
      <c r="W1152" s="10"/>
      <c r="X1152" s="10"/>
      <c r="Y1152" s="10"/>
      <c r="Z1152" s="10"/>
      <c r="AA1152" s="10"/>
      <c r="AB1152" s="10"/>
      <c r="AC1152" s="10"/>
      <c r="AD1152" s="10"/>
      <c r="AE1152" s="10"/>
    </row>
    <row r="1153" spans="1:31" ht="14.25" hidden="1" customHeight="1">
      <c r="A1153" s="277" t="s">
        <v>5506</v>
      </c>
      <c r="B1153" s="9" t="s">
        <v>21</v>
      </c>
      <c r="C1153" s="9">
        <v>2025</v>
      </c>
      <c r="D1153" s="9" t="s">
        <v>27</v>
      </c>
      <c r="E1153" s="90" t="s">
        <v>23</v>
      </c>
      <c r="F1153" s="9" t="s">
        <v>7</v>
      </c>
      <c r="G1153" s="10"/>
      <c r="H1153" s="96">
        <v>250686</v>
      </c>
      <c r="I1153" s="109" t="s">
        <v>591</v>
      </c>
      <c r="J1153" s="115">
        <v>45852</v>
      </c>
      <c r="K1153" s="119">
        <v>45860</v>
      </c>
      <c r="L1153" s="116">
        <v>2143193</v>
      </c>
      <c r="M1153" s="116" t="s">
        <v>635</v>
      </c>
      <c r="N1153" s="34" t="s">
        <v>29</v>
      </c>
      <c r="O1153" s="10"/>
      <c r="P1153" s="113">
        <v>45898</v>
      </c>
      <c r="Q1153" s="113">
        <v>45898</v>
      </c>
      <c r="R1153" s="113">
        <v>45898</v>
      </c>
      <c r="S1153" s="37">
        <f t="shared" si="228"/>
        <v>2143193</v>
      </c>
      <c r="T1153" s="37">
        <f t="shared" si="229"/>
        <v>0</v>
      </c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  <c r="AE1153" s="10"/>
    </row>
    <row r="1154" spans="1:31" ht="14.25" hidden="1" customHeight="1">
      <c r="A1154" s="277" t="s">
        <v>5507</v>
      </c>
      <c r="B1154" s="9" t="s">
        <v>21</v>
      </c>
      <c r="C1154" s="9">
        <v>2025</v>
      </c>
      <c r="D1154" s="9" t="s">
        <v>27</v>
      </c>
      <c r="E1154" s="90" t="s">
        <v>23</v>
      </c>
      <c r="F1154" s="9" t="s">
        <v>7</v>
      </c>
      <c r="G1154" s="10"/>
      <c r="H1154" s="96">
        <v>250692</v>
      </c>
      <c r="I1154" s="109" t="s">
        <v>591</v>
      </c>
      <c r="J1154" s="115">
        <v>45854</v>
      </c>
      <c r="K1154" s="119">
        <v>45867</v>
      </c>
      <c r="L1154" s="116">
        <v>444000</v>
      </c>
      <c r="M1154" s="116" t="s">
        <v>636</v>
      </c>
      <c r="N1154" s="34" t="s">
        <v>29</v>
      </c>
      <c r="O1154" s="10"/>
      <c r="P1154" s="113">
        <v>45898</v>
      </c>
      <c r="Q1154" s="113">
        <v>45898</v>
      </c>
      <c r="R1154" s="113">
        <v>45898</v>
      </c>
      <c r="S1154" s="37">
        <f t="shared" ref="S1154:S1162" si="230">IF(R1154="",0,L1154)</f>
        <v>444000</v>
      </c>
      <c r="T1154" s="37">
        <f t="shared" ref="T1154:T1162" si="231">L1154-S1154</f>
        <v>0</v>
      </c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  <c r="AE1154" s="10"/>
    </row>
    <row r="1155" spans="1:31" ht="14.25" hidden="1" customHeight="1">
      <c r="A1155" s="277" t="s">
        <v>5508</v>
      </c>
      <c r="B1155" s="9" t="s">
        <v>21</v>
      </c>
      <c r="C1155" s="9">
        <v>2025</v>
      </c>
      <c r="D1155" s="9" t="s">
        <v>27</v>
      </c>
      <c r="E1155" s="90" t="s">
        <v>23</v>
      </c>
      <c r="F1155" s="9" t="s">
        <v>7</v>
      </c>
      <c r="G1155" s="10"/>
      <c r="H1155" s="96">
        <v>250693</v>
      </c>
      <c r="I1155" s="109" t="s">
        <v>591</v>
      </c>
      <c r="J1155" s="115">
        <v>45854</v>
      </c>
      <c r="K1155" s="119">
        <v>45867</v>
      </c>
      <c r="L1155" s="116">
        <v>2220000</v>
      </c>
      <c r="M1155" s="116" t="s">
        <v>637</v>
      </c>
      <c r="N1155" s="34" t="s">
        <v>29</v>
      </c>
      <c r="O1155" s="10"/>
      <c r="P1155" s="113">
        <v>45898</v>
      </c>
      <c r="Q1155" s="113">
        <v>45898</v>
      </c>
      <c r="R1155" s="113">
        <v>45898</v>
      </c>
      <c r="S1155" s="37">
        <f t="shared" si="230"/>
        <v>2220000</v>
      </c>
      <c r="T1155" s="37">
        <f t="shared" si="231"/>
        <v>0</v>
      </c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  <c r="AE1155" s="10"/>
    </row>
    <row r="1156" spans="1:31" ht="14.25" hidden="1" customHeight="1">
      <c r="A1156" s="277" t="s">
        <v>5509</v>
      </c>
      <c r="B1156" s="9" t="s">
        <v>21</v>
      </c>
      <c r="C1156" s="9">
        <v>2025</v>
      </c>
      <c r="D1156" s="9" t="s">
        <v>27</v>
      </c>
      <c r="E1156" s="90" t="s">
        <v>23</v>
      </c>
      <c r="F1156" s="9" t="s">
        <v>7</v>
      </c>
      <c r="G1156" s="10"/>
      <c r="H1156" s="96">
        <v>250697</v>
      </c>
      <c r="I1156" s="109" t="s">
        <v>591</v>
      </c>
      <c r="J1156" s="115">
        <v>45855</v>
      </c>
      <c r="K1156" s="119">
        <v>45867</v>
      </c>
      <c r="L1156" s="116">
        <v>799200</v>
      </c>
      <c r="M1156" s="116" t="s">
        <v>638</v>
      </c>
      <c r="N1156" s="34" t="s">
        <v>29</v>
      </c>
      <c r="O1156" s="10"/>
      <c r="P1156" s="113">
        <v>45898</v>
      </c>
      <c r="Q1156" s="113">
        <v>45898</v>
      </c>
      <c r="R1156" s="113">
        <v>45898</v>
      </c>
      <c r="S1156" s="37">
        <f t="shared" si="230"/>
        <v>799200</v>
      </c>
      <c r="T1156" s="37">
        <f t="shared" si="231"/>
        <v>0</v>
      </c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  <c r="AE1156" s="10"/>
    </row>
    <row r="1157" spans="1:31" ht="14.25" hidden="1" customHeight="1">
      <c r="A1157" s="277" t="s">
        <v>5510</v>
      </c>
      <c r="B1157" s="9" t="s">
        <v>21</v>
      </c>
      <c r="C1157" s="9">
        <v>2025</v>
      </c>
      <c r="D1157" s="9" t="s">
        <v>27</v>
      </c>
      <c r="E1157" s="90" t="s">
        <v>23</v>
      </c>
      <c r="F1157" s="9" t="s">
        <v>7</v>
      </c>
      <c r="G1157" s="10"/>
      <c r="H1157" s="96">
        <v>250736</v>
      </c>
      <c r="I1157" s="109" t="s">
        <v>591</v>
      </c>
      <c r="J1157" s="115">
        <v>45856</v>
      </c>
      <c r="K1157" s="119">
        <v>45874</v>
      </c>
      <c r="L1157" s="116">
        <v>610000</v>
      </c>
      <c r="M1157" s="116" t="s">
        <v>639</v>
      </c>
      <c r="N1157" s="34" t="s">
        <v>29</v>
      </c>
      <c r="O1157" s="10"/>
      <c r="P1157" s="113">
        <v>45898</v>
      </c>
      <c r="Q1157" s="113">
        <v>45898</v>
      </c>
      <c r="R1157" s="113">
        <v>45898</v>
      </c>
      <c r="S1157" s="37">
        <f t="shared" si="230"/>
        <v>610000</v>
      </c>
      <c r="T1157" s="37">
        <f t="shared" si="231"/>
        <v>0</v>
      </c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10"/>
    </row>
    <row r="1158" spans="1:31" ht="14.25" hidden="1" customHeight="1">
      <c r="A1158" s="277" t="s">
        <v>5511</v>
      </c>
      <c r="B1158" s="9" t="s">
        <v>21</v>
      </c>
      <c r="C1158" s="9">
        <v>2025</v>
      </c>
      <c r="D1158" s="9" t="s">
        <v>27</v>
      </c>
      <c r="E1158" s="90" t="s">
        <v>23</v>
      </c>
      <c r="F1158" s="9" t="s">
        <v>7</v>
      </c>
      <c r="G1158" s="10"/>
      <c r="H1158" s="96">
        <v>250707</v>
      </c>
      <c r="I1158" s="109" t="s">
        <v>591</v>
      </c>
      <c r="J1158" s="115">
        <v>45862</v>
      </c>
      <c r="K1158" s="119">
        <v>45874</v>
      </c>
      <c r="L1158" s="116">
        <v>10657498</v>
      </c>
      <c r="M1158" s="116" t="s">
        <v>640</v>
      </c>
      <c r="N1158" s="34" t="s">
        <v>29</v>
      </c>
      <c r="O1158" s="10"/>
      <c r="P1158" s="113">
        <v>45925</v>
      </c>
      <c r="Q1158" s="113">
        <v>45925</v>
      </c>
      <c r="R1158" s="113">
        <v>45925</v>
      </c>
      <c r="S1158" s="37">
        <f t="shared" si="230"/>
        <v>10657498</v>
      </c>
      <c r="T1158" s="37">
        <f t="shared" si="231"/>
        <v>0</v>
      </c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  <c r="AE1158" s="10"/>
    </row>
    <row r="1159" spans="1:31" ht="14.25" hidden="1" customHeight="1">
      <c r="A1159" s="277" t="s">
        <v>5512</v>
      </c>
      <c r="B1159" s="9" t="s">
        <v>21</v>
      </c>
      <c r="C1159" s="9">
        <v>2025</v>
      </c>
      <c r="D1159" s="9" t="s">
        <v>27</v>
      </c>
      <c r="E1159" s="90" t="s">
        <v>23</v>
      </c>
      <c r="F1159" s="9" t="s">
        <v>7</v>
      </c>
      <c r="G1159" s="10"/>
      <c r="H1159" s="96">
        <v>250733</v>
      </c>
      <c r="I1159" s="109" t="s">
        <v>591</v>
      </c>
      <c r="J1159" s="115">
        <v>45857</v>
      </c>
      <c r="K1159" s="119">
        <v>45874</v>
      </c>
      <c r="L1159" s="116">
        <v>528000</v>
      </c>
      <c r="M1159" s="116" t="s">
        <v>641</v>
      </c>
      <c r="N1159" s="34" t="s">
        <v>29</v>
      </c>
      <c r="O1159" s="27">
        <f>SUM(L1159:L1171)</f>
        <v>22142593</v>
      </c>
      <c r="P1159" s="113">
        <v>45930</v>
      </c>
      <c r="Q1159" s="113">
        <v>45930</v>
      </c>
      <c r="R1159" s="113">
        <v>45930</v>
      </c>
      <c r="S1159" s="37">
        <f t="shared" si="230"/>
        <v>528000</v>
      </c>
      <c r="T1159" s="37">
        <f t="shared" si="231"/>
        <v>0</v>
      </c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  <c r="AE1159" s="10"/>
    </row>
    <row r="1160" spans="1:31" ht="14.25" hidden="1" customHeight="1">
      <c r="A1160" s="277" t="s">
        <v>5513</v>
      </c>
      <c r="B1160" s="9" t="s">
        <v>21</v>
      </c>
      <c r="C1160" s="9">
        <v>2025</v>
      </c>
      <c r="D1160" s="9" t="s">
        <v>27</v>
      </c>
      <c r="E1160" s="90" t="s">
        <v>23</v>
      </c>
      <c r="F1160" s="9" t="s">
        <v>7</v>
      </c>
      <c r="G1160" s="10"/>
      <c r="H1160" s="96">
        <v>250734</v>
      </c>
      <c r="I1160" s="109" t="s">
        <v>591</v>
      </c>
      <c r="J1160" s="115">
        <v>45862</v>
      </c>
      <c r="K1160" s="119">
        <v>45874</v>
      </c>
      <c r="L1160" s="116">
        <v>1072704</v>
      </c>
      <c r="M1160" s="116" t="s">
        <v>642</v>
      </c>
      <c r="N1160" s="34" t="s">
        <v>29</v>
      </c>
      <c r="O1160" s="10"/>
      <c r="P1160" s="113">
        <v>45930</v>
      </c>
      <c r="Q1160" s="113">
        <v>45930</v>
      </c>
      <c r="R1160" s="113">
        <v>45930</v>
      </c>
      <c r="S1160" s="37">
        <f t="shared" si="230"/>
        <v>1072704</v>
      </c>
      <c r="T1160" s="37">
        <f t="shared" si="231"/>
        <v>0</v>
      </c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  <c r="AE1160" s="10"/>
    </row>
    <row r="1161" spans="1:31" ht="14.25" hidden="1" customHeight="1">
      <c r="A1161" s="277" t="s">
        <v>5514</v>
      </c>
      <c r="B1161" s="9" t="s">
        <v>21</v>
      </c>
      <c r="C1161" s="9">
        <v>2025</v>
      </c>
      <c r="D1161" s="9" t="s">
        <v>27</v>
      </c>
      <c r="E1161" s="90" t="s">
        <v>23</v>
      </c>
      <c r="F1161" s="9" t="s">
        <v>7</v>
      </c>
      <c r="G1161" s="10"/>
      <c r="H1161" s="96">
        <v>250706</v>
      </c>
      <c r="I1161" s="109" t="s">
        <v>591</v>
      </c>
      <c r="J1161" s="115">
        <v>45862</v>
      </c>
      <c r="K1161" s="119">
        <v>45874</v>
      </c>
      <c r="L1161" s="116">
        <v>237995</v>
      </c>
      <c r="M1161" s="116" t="s">
        <v>643</v>
      </c>
      <c r="N1161" s="34" t="s">
        <v>29</v>
      </c>
      <c r="O1161" s="10"/>
      <c r="P1161" s="113">
        <v>45930</v>
      </c>
      <c r="Q1161" s="113">
        <v>45930</v>
      </c>
      <c r="R1161" s="113">
        <v>45930</v>
      </c>
      <c r="S1161" s="37">
        <f t="shared" si="230"/>
        <v>237995</v>
      </c>
      <c r="T1161" s="37">
        <f t="shared" si="231"/>
        <v>0</v>
      </c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0"/>
    </row>
    <row r="1162" spans="1:31" ht="14.25" hidden="1" customHeight="1">
      <c r="A1162" s="277" t="s">
        <v>5515</v>
      </c>
      <c r="B1162" s="9" t="s">
        <v>21</v>
      </c>
      <c r="C1162" s="9">
        <v>2025</v>
      </c>
      <c r="D1162" s="9" t="s">
        <v>27</v>
      </c>
      <c r="E1162" s="90" t="s">
        <v>23</v>
      </c>
      <c r="F1162" s="9" t="s">
        <v>7</v>
      </c>
      <c r="G1162" s="10"/>
      <c r="H1162" s="96">
        <v>250735</v>
      </c>
      <c r="I1162" s="109" t="s">
        <v>591</v>
      </c>
      <c r="J1162" s="115">
        <v>45864</v>
      </c>
      <c r="K1162" s="119">
        <v>45874</v>
      </c>
      <c r="L1162" s="116">
        <v>955493</v>
      </c>
      <c r="M1162" s="116" t="s">
        <v>644</v>
      </c>
      <c r="N1162" s="34" t="s">
        <v>29</v>
      </c>
      <c r="O1162" s="10"/>
      <c r="P1162" s="113">
        <v>45930</v>
      </c>
      <c r="Q1162" s="113">
        <v>45930</v>
      </c>
      <c r="R1162" s="113">
        <v>45930</v>
      </c>
      <c r="S1162" s="37">
        <f t="shared" si="230"/>
        <v>955493</v>
      </c>
      <c r="T1162" s="37">
        <f t="shared" si="231"/>
        <v>0</v>
      </c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  <c r="AE1162" s="10"/>
    </row>
    <row r="1163" spans="1:31" ht="14.25" hidden="1" customHeight="1">
      <c r="A1163" s="277" t="s">
        <v>5516</v>
      </c>
      <c r="B1163" s="9" t="s">
        <v>21</v>
      </c>
      <c r="C1163" s="9">
        <v>2025</v>
      </c>
      <c r="D1163" s="9" t="s">
        <v>27</v>
      </c>
      <c r="E1163" s="90" t="s">
        <v>23</v>
      </c>
      <c r="F1163" s="9" t="s">
        <v>7</v>
      </c>
      <c r="G1163" s="10"/>
      <c r="H1163" s="96">
        <v>250725</v>
      </c>
      <c r="I1163" s="109" t="s">
        <v>591</v>
      </c>
      <c r="J1163" s="115">
        <v>45866</v>
      </c>
      <c r="K1163" s="119">
        <v>45881</v>
      </c>
      <c r="L1163" s="116">
        <v>213075</v>
      </c>
      <c r="M1163" s="116" t="s">
        <v>645</v>
      </c>
      <c r="N1163" s="34" t="s">
        <v>29</v>
      </c>
      <c r="O1163" s="10"/>
      <c r="P1163" s="113">
        <v>45930</v>
      </c>
      <c r="Q1163" s="113">
        <v>45930</v>
      </c>
      <c r="R1163" s="113">
        <v>45930</v>
      </c>
      <c r="S1163" s="37">
        <f t="shared" ref="S1163:S1183" si="232">IF(R1163="",0,L1163)</f>
        <v>213075</v>
      </c>
      <c r="T1163" s="37">
        <f t="shared" ref="T1163:T1183" si="233">L1163-S1163</f>
        <v>0</v>
      </c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</row>
    <row r="1164" spans="1:31" ht="14.25" hidden="1" customHeight="1">
      <c r="A1164" s="277" t="s">
        <v>5517</v>
      </c>
      <c r="B1164" s="9" t="s">
        <v>21</v>
      </c>
      <c r="C1164" s="9">
        <v>2025</v>
      </c>
      <c r="D1164" s="9" t="s">
        <v>27</v>
      </c>
      <c r="E1164" s="90" t="s">
        <v>23</v>
      </c>
      <c r="F1164" s="9" t="s">
        <v>7</v>
      </c>
      <c r="G1164" s="10"/>
      <c r="H1164" s="96">
        <v>250726</v>
      </c>
      <c r="I1164" s="109" t="s">
        <v>591</v>
      </c>
      <c r="J1164" s="115">
        <v>45866</v>
      </c>
      <c r="K1164" s="119">
        <v>45881</v>
      </c>
      <c r="L1164" s="116">
        <v>110511</v>
      </c>
      <c r="M1164" s="116" t="s">
        <v>646</v>
      </c>
      <c r="N1164" s="34" t="s">
        <v>29</v>
      </c>
      <c r="O1164" s="10"/>
      <c r="P1164" s="113">
        <v>45930</v>
      </c>
      <c r="Q1164" s="113">
        <v>45930</v>
      </c>
      <c r="R1164" s="113">
        <v>45930</v>
      </c>
      <c r="S1164" s="37">
        <f t="shared" si="232"/>
        <v>110511</v>
      </c>
      <c r="T1164" s="37">
        <f t="shared" si="233"/>
        <v>0</v>
      </c>
      <c r="U1164" s="10"/>
      <c r="V1164" s="10"/>
      <c r="W1164" s="10"/>
      <c r="X1164" s="10"/>
      <c r="Y1164" s="10"/>
      <c r="Z1164" s="10"/>
      <c r="AA1164" s="10"/>
      <c r="AB1164" s="10"/>
      <c r="AC1164" s="10"/>
      <c r="AD1164" s="10"/>
      <c r="AE1164" s="10"/>
    </row>
    <row r="1165" spans="1:31" hidden="1">
      <c r="A1165" s="277" t="s">
        <v>5518</v>
      </c>
      <c r="B1165" s="9" t="s">
        <v>21</v>
      </c>
      <c r="C1165" s="9">
        <v>2025</v>
      </c>
      <c r="D1165" s="9" t="s">
        <v>27</v>
      </c>
      <c r="E1165" s="90" t="s">
        <v>23</v>
      </c>
      <c r="F1165" s="9" t="s">
        <v>7</v>
      </c>
      <c r="G1165" s="10"/>
      <c r="H1165" s="96">
        <v>250732</v>
      </c>
      <c r="I1165" s="109" t="s">
        <v>591</v>
      </c>
      <c r="J1165" s="115">
        <v>45867</v>
      </c>
      <c r="K1165" s="119">
        <v>45881</v>
      </c>
      <c r="L1165" s="116">
        <v>2502028</v>
      </c>
      <c r="M1165" s="116" t="s">
        <v>647</v>
      </c>
      <c r="N1165" s="34" t="s">
        <v>29</v>
      </c>
      <c r="O1165" s="10"/>
      <c r="P1165" s="113">
        <v>45930</v>
      </c>
      <c r="Q1165" s="113">
        <v>45930</v>
      </c>
      <c r="R1165" s="113">
        <v>45930</v>
      </c>
      <c r="S1165" s="37">
        <f t="shared" si="232"/>
        <v>2502028</v>
      </c>
      <c r="T1165" s="37">
        <f t="shared" si="233"/>
        <v>0</v>
      </c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</row>
    <row r="1166" spans="1:31" hidden="1">
      <c r="A1166" s="277" t="s">
        <v>5519</v>
      </c>
      <c r="B1166" s="9" t="s">
        <v>21</v>
      </c>
      <c r="C1166" s="9">
        <v>2025</v>
      </c>
      <c r="D1166" s="9" t="s">
        <v>27</v>
      </c>
      <c r="E1166" s="90" t="s">
        <v>23</v>
      </c>
      <c r="F1166" s="9" t="s">
        <v>7</v>
      </c>
      <c r="G1166" s="10"/>
      <c r="H1166" s="96">
        <v>250765</v>
      </c>
      <c r="I1166" s="109" t="s">
        <v>591</v>
      </c>
      <c r="J1166" s="115">
        <v>45869</v>
      </c>
      <c r="K1166" s="119">
        <v>45881</v>
      </c>
      <c r="L1166" s="116">
        <v>6394499</v>
      </c>
      <c r="M1166" s="116" t="s">
        <v>648</v>
      </c>
      <c r="N1166" s="34" t="s">
        <v>29</v>
      </c>
      <c r="O1166" s="10"/>
      <c r="P1166" s="113">
        <v>45930</v>
      </c>
      <c r="Q1166" s="113">
        <v>45930</v>
      </c>
      <c r="R1166" s="113">
        <v>45930</v>
      </c>
      <c r="S1166" s="37">
        <f t="shared" si="232"/>
        <v>6394499</v>
      </c>
      <c r="T1166" s="37">
        <f t="shared" si="233"/>
        <v>0</v>
      </c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  <c r="AE1166" s="10"/>
    </row>
    <row r="1167" spans="1:31" hidden="1">
      <c r="A1167" s="277" t="s">
        <v>5520</v>
      </c>
      <c r="B1167" s="9" t="s">
        <v>21</v>
      </c>
      <c r="C1167" s="9">
        <v>2025</v>
      </c>
      <c r="D1167" s="9" t="s">
        <v>27</v>
      </c>
      <c r="E1167" s="90" t="s">
        <v>23</v>
      </c>
      <c r="F1167" s="9" t="s">
        <v>7</v>
      </c>
      <c r="G1167" s="10"/>
      <c r="H1167" s="96">
        <v>250782</v>
      </c>
      <c r="I1167" s="109" t="s">
        <v>591</v>
      </c>
      <c r="J1167" s="115">
        <v>45869</v>
      </c>
      <c r="K1167" s="119">
        <v>45881</v>
      </c>
      <c r="L1167" s="116">
        <v>7472520</v>
      </c>
      <c r="M1167" s="116" t="s">
        <v>649</v>
      </c>
      <c r="N1167" s="34" t="s">
        <v>29</v>
      </c>
      <c r="O1167" s="10"/>
      <c r="P1167" s="113">
        <v>45930</v>
      </c>
      <c r="Q1167" s="113">
        <v>45930</v>
      </c>
      <c r="R1167" s="113">
        <v>45930</v>
      </c>
      <c r="S1167" s="37">
        <f t="shared" si="232"/>
        <v>7472520</v>
      </c>
      <c r="T1167" s="37">
        <f t="shared" si="233"/>
        <v>0</v>
      </c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0"/>
    </row>
    <row r="1168" spans="1:31" hidden="1">
      <c r="A1168" s="277" t="s">
        <v>5521</v>
      </c>
      <c r="B1168" s="9" t="s">
        <v>21</v>
      </c>
      <c r="C1168" s="9">
        <v>2025</v>
      </c>
      <c r="D1168" s="9" t="s">
        <v>27</v>
      </c>
      <c r="E1168" s="90" t="s">
        <v>23</v>
      </c>
      <c r="F1168" s="9" t="s">
        <v>7</v>
      </c>
      <c r="G1168" s="10"/>
      <c r="H1168" s="96">
        <v>250761</v>
      </c>
      <c r="I1168" s="109" t="s">
        <v>591</v>
      </c>
      <c r="J1168" s="115">
        <v>45869</v>
      </c>
      <c r="K1168" s="119">
        <v>45881</v>
      </c>
      <c r="L1168" s="116">
        <v>874968</v>
      </c>
      <c r="M1168" s="116" t="s">
        <v>650</v>
      </c>
      <c r="N1168" s="34" t="s">
        <v>29</v>
      </c>
      <c r="O1168" s="10"/>
      <c r="P1168" s="113">
        <v>45930</v>
      </c>
      <c r="Q1168" s="113">
        <v>45930</v>
      </c>
      <c r="R1168" s="113">
        <v>45930</v>
      </c>
      <c r="S1168" s="37">
        <f t="shared" si="232"/>
        <v>874968</v>
      </c>
      <c r="T1168" s="37">
        <f t="shared" si="233"/>
        <v>0</v>
      </c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  <c r="AE1168" s="10"/>
    </row>
    <row r="1169" spans="1:31" hidden="1">
      <c r="A1169" s="277" t="s">
        <v>5522</v>
      </c>
      <c r="B1169" s="9" t="s">
        <v>21</v>
      </c>
      <c r="C1169" s="9">
        <v>2025</v>
      </c>
      <c r="D1169" s="9" t="s">
        <v>27</v>
      </c>
      <c r="E1169" s="90" t="s">
        <v>23</v>
      </c>
      <c r="F1169" s="9" t="s">
        <v>7</v>
      </c>
      <c r="G1169" s="10"/>
      <c r="H1169" s="96">
        <v>250781</v>
      </c>
      <c r="I1169" s="109" t="s">
        <v>591</v>
      </c>
      <c r="J1169" s="115">
        <v>45873</v>
      </c>
      <c r="K1169" s="119">
        <v>45888</v>
      </c>
      <c r="L1169" s="116">
        <v>567032</v>
      </c>
      <c r="M1169" s="116" t="s">
        <v>651</v>
      </c>
      <c r="N1169" s="34" t="s">
        <v>29</v>
      </c>
      <c r="O1169" s="10"/>
      <c r="P1169" s="113">
        <v>45930</v>
      </c>
      <c r="Q1169" s="113">
        <v>45930</v>
      </c>
      <c r="R1169" s="113">
        <v>45930</v>
      </c>
      <c r="S1169" s="37">
        <f t="shared" si="232"/>
        <v>567032</v>
      </c>
      <c r="T1169" s="37">
        <f t="shared" si="233"/>
        <v>0</v>
      </c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10"/>
    </row>
    <row r="1170" spans="1:31" hidden="1">
      <c r="A1170" s="277" t="s">
        <v>5523</v>
      </c>
      <c r="B1170" s="9" t="s">
        <v>21</v>
      </c>
      <c r="C1170" s="9">
        <v>2025</v>
      </c>
      <c r="D1170" s="9" t="s">
        <v>27</v>
      </c>
      <c r="E1170" s="90" t="s">
        <v>23</v>
      </c>
      <c r="F1170" s="9" t="s">
        <v>7</v>
      </c>
      <c r="G1170" s="10"/>
      <c r="H1170" s="96">
        <v>250790</v>
      </c>
      <c r="I1170" s="109" t="s">
        <v>591</v>
      </c>
      <c r="J1170" s="115">
        <v>45876</v>
      </c>
      <c r="K1170" s="119">
        <v>45888</v>
      </c>
      <c r="L1170" s="116">
        <v>610000</v>
      </c>
      <c r="M1170" s="116" t="s">
        <v>652</v>
      </c>
      <c r="N1170" s="34" t="s">
        <v>29</v>
      </c>
      <c r="O1170" s="10"/>
      <c r="P1170" s="113">
        <v>45930</v>
      </c>
      <c r="Q1170" s="113">
        <v>45930</v>
      </c>
      <c r="R1170" s="113">
        <v>45930</v>
      </c>
      <c r="S1170" s="37">
        <f t="shared" si="232"/>
        <v>610000</v>
      </c>
      <c r="T1170" s="37">
        <f t="shared" si="233"/>
        <v>0</v>
      </c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  <c r="AE1170" s="10"/>
    </row>
    <row r="1171" spans="1:31" ht="14.25" hidden="1" customHeight="1">
      <c r="A1171" s="277" t="s">
        <v>7584</v>
      </c>
      <c r="B1171" s="9" t="s">
        <v>21</v>
      </c>
      <c r="C1171" s="9">
        <v>2025</v>
      </c>
      <c r="D1171" s="9" t="s">
        <v>27</v>
      </c>
      <c r="E1171" s="90" t="s">
        <v>23</v>
      </c>
      <c r="F1171" s="9" t="s">
        <v>7</v>
      </c>
      <c r="G1171" s="10"/>
      <c r="H1171" s="96">
        <v>250801</v>
      </c>
      <c r="I1171" s="109" t="s">
        <v>591</v>
      </c>
      <c r="J1171" s="115">
        <v>45877</v>
      </c>
      <c r="K1171" s="119">
        <v>45888</v>
      </c>
      <c r="L1171" s="116">
        <v>603768</v>
      </c>
      <c r="M1171" s="116" t="s">
        <v>653</v>
      </c>
      <c r="N1171" s="34" t="s">
        <v>29</v>
      </c>
      <c r="O1171" s="10"/>
      <c r="P1171" s="113">
        <v>45930</v>
      </c>
      <c r="Q1171" s="113">
        <v>45930</v>
      </c>
      <c r="R1171" s="113">
        <v>45930</v>
      </c>
      <c r="S1171" s="37">
        <f t="shared" si="232"/>
        <v>603768</v>
      </c>
      <c r="T1171" s="37">
        <f t="shared" si="233"/>
        <v>0</v>
      </c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  <c r="AE1171" s="10"/>
    </row>
    <row r="1172" spans="1:31" ht="14.25" hidden="1" customHeight="1">
      <c r="A1172" s="277" t="s">
        <v>7585</v>
      </c>
      <c r="B1172" s="9" t="s">
        <v>21</v>
      </c>
      <c r="C1172" s="9">
        <v>2025</v>
      </c>
      <c r="D1172" s="9" t="s">
        <v>27</v>
      </c>
      <c r="E1172" s="90" t="s">
        <v>23</v>
      </c>
      <c r="F1172" s="9" t="s">
        <v>7</v>
      </c>
      <c r="G1172" s="10"/>
      <c r="H1172" s="96">
        <v>250821</v>
      </c>
      <c r="I1172" s="109" t="s">
        <v>591</v>
      </c>
      <c r="J1172" s="115">
        <v>45884</v>
      </c>
      <c r="K1172" s="119">
        <v>45895</v>
      </c>
      <c r="L1172" s="116">
        <v>239993</v>
      </c>
      <c r="M1172" s="116" t="s">
        <v>654</v>
      </c>
      <c r="N1172" s="34" t="s">
        <v>29</v>
      </c>
      <c r="O1172" s="27">
        <f>SUM(L1172:L1176)</f>
        <v>21914728</v>
      </c>
      <c r="P1172" s="113">
        <v>45965</v>
      </c>
      <c r="Q1172" s="113">
        <v>45965</v>
      </c>
      <c r="R1172" s="113">
        <v>45965</v>
      </c>
      <c r="S1172" s="37">
        <f t="shared" si="232"/>
        <v>239993</v>
      </c>
      <c r="T1172" s="37">
        <f t="shared" si="233"/>
        <v>0</v>
      </c>
      <c r="U1172" s="10"/>
      <c r="V1172" s="10"/>
      <c r="W1172" s="10"/>
      <c r="X1172" s="10"/>
      <c r="Y1172" s="10"/>
      <c r="Z1172" s="10"/>
      <c r="AA1172" s="10"/>
      <c r="AB1172" s="10"/>
      <c r="AC1172" s="10"/>
      <c r="AD1172" s="10"/>
      <c r="AE1172" s="10"/>
    </row>
    <row r="1173" spans="1:31" ht="14.25" hidden="1" customHeight="1">
      <c r="A1173" s="277" t="s">
        <v>7586</v>
      </c>
      <c r="B1173" s="9" t="s">
        <v>21</v>
      </c>
      <c r="C1173" s="9">
        <v>2025</v>
      </c>
      <c r="D1173" s="9" t="s">
        <v>27</v>
      </c>
      <c r="E1173" s="90" t="s">
        <v>23</v>
      </c>
      <c r="F1173" s="9" t="s">
        <v>7</v>
      </c>
      <c r="G1173" s="10"/>
      <c r="H1173" s="96">
        <v>250822</v>
      </c>
      <c r="I1173" s="109" t="s">
        <v>591</v>
      </c>
      <c r="J1173" s="115">
        <v>45884</v>
      </c>
      <c r="K1173" s="119">
        <v>45895</v>
      </c>
      <c r="L1173" s="116">
        <v>17051997</v>
      </c>
      <c r="M1173" s="116" t="s">
        <v>655</v>
      </c>
      <c r="N1173" s="34" t="s">
        <v>29</v>
      </c>
      <c r="O1173" s="10"/>
      <c r="P1173" s="113">
        <v>45965</v>
      </c>
      <c r="Q1173" s="113">
        <v>45965</v>
      </c>
      <c r="R1173" s="113">
        <v>45965</v>
      </c>
      <c r="S1173" s="37">
        <f t="shared" si="232"/>
        <v>17051997</v>
      </c>
      <c r="T1173" s="37">
        <f t="shared" si="233"/>
        <v>0</v>
      </c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  <c r="AE1173" s="10"/>
    </row>
    <row r="1174" spans="1:31" ht="14.25" hidden="1" customHeight="1">
      <c r="A1174" s="277" t="s">
        <v>7587</v>
      </c>
      <c r="B1174" s="9" t="s">
        <v>21</v>
      </c>
      <c r="C1174" s="9">
        <v>2025</v>
      </c>
      <c r="D1174" s="9" t="s">
        <v>27</v>
      </c>
      <c r="E1174" s="90" t="s">
        <v>23</v>
      </c>
      <c r="F1174" s="9" t="s">
        <v>7</v>
      </c>
      <c r="G1174" s="10"/>
      <c r="H1174" s="96">
        <v>250823</v>
      </c>
      <c r="I1174" s="109" t="s">
        <v>591</v>
      </c>
      <c r="J1174" s="115">
        <v>45885</v>
      </c>
      <c r="K1174" s="119">
        <v>45895</v>
      </c>
      <c r="L1174" s="116">
        <v>2629023</v>
      </c>
      <c r="M1174" s="116" t="s">
        <v>656</v>
      </c>
      <c r="N1174" s="34" t="s">
        <v>29</v>
      </c>
      <c r="O1174" s="10"/>
      <c r="P1174" s="113">
        <v>45965</v>
      </c>
      <c r="Q1174" s="113">
        <v>45965</v>
      </c>
      <c r="R1174" s="113">
        <v>45965</v>
      </c>
      <c r="S1174" s="37">
        <f t="shared" si="232"/>
        <v>2629023</v>
      </c>
      <c r="T1174" s="37">
        <f t="shared" si="233"/>
        <v>0</v>
      </c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0"/>
    </row>
    <row r="1175" spans="1:31" ht="14.25" hidden="1" customHeight="1">
      <c r="A1175" s="277" t="s">
        <v>7588</v>
      </c>
      <c r="B1175" s="9" t="s">
        <v>21</v>
      </c>
      <c r="C1175" s="9">
        <v>2025</v>
      </c>
      <c r="D1175" s="9" t="s">
        <v>27</v>
      </c>
      <c r="E1175" s="90" t="s">
        <v>23</v>
      </c>
      <c r="F1175" s="9" t="s">
        <v>7</v>
      </c>
      <c r="G1175" s="10"/>
      <c r="H1175" s="96">
        <v>250827</v>
      </c>
      <c r="I1175" s="109" t="s">
        <v>591</v>
      </c>
      <c r="J1175" s="115">
        <v>45888</v>
      </c>
      <c r="K1175" s="119">
        <v>45895</v>
      </c>
      <c r="L1175" s="116">
        <v>1118702</v>
      </c>
      <c r="M1175" s="116" t="s">
        <v>657</v>
      </c>
      <c r="N1175" s="34" t="s">
        <v>29</v>
      </c>
      <c r="O1175" s="10"/>
      <c r="P1175" s="113">
        <v>45965</v>
      </c>
      <c r="Q1175" s="113">
        <v>45965</v>
      </c>
      <c r="R1175" s="113">
        <v>45965</v>
      </c>
      <c r="S1175" s="37">
        <f t="shared" si="232"/>
        <v>1118702</v>
      </c>
      <c r="T1175" s="37">
        <f t="shared" si="233"/>
        <v>0</v>
      </c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</row>
    <row r="1176" spans="1:31" ht="14.25" hidden="1" customHeight="1">
      <c r="A1176" s="277" t="s">
        <v>7589</v>
      </c>
      <c r="B1176" s="9" t="s">
        <v>21</v>
      </c>
      <c r="C1176" s="9">
        <v>2025</v>
      </c>
      <c r="D1176" s="9" t="s">
        <v>27</v>
      </c>
      <c r="E1176" s="90" t="s">
        <v>23</v>
      </c>
      <c r="F1176" s="9" t="s">
        <v>7</v>
      </c>
      <c r="G1176" s="10"/>
      <c r="H1176" s="96">
        <v>250837</v>
      </c>
      <c r="I1176" s="109" t="s">
        <v>591</v>
      </c>
      <c r="J1176" s="115">
        <v>45889</v>
      </c>
      <c r="K1176" s="119">
        <v>45902</v>
      </c>
      <c r="L1176" s="116">
        <v>875013</v>
      </c>
      <c r="M1176" s="116" t="s">
        <v>659</v>
      </c>
      <c r="N1176" s="34" t="s">
        <v>29</v>
      </c>
      <c r="O1176" s="10"/>
      <c r="P1176" s="113">
        <v>45965</v>
      </c>
      <c r="Q1176" s="113">
        <v>45965</v>
      </c>
      <c r="R1176" s="113">
        <v>45965</v>
      </c>
      <c r="S1176" s="37">
        <f>IF(R1176="",0,L1176)</f>
        <v>875013</v>
      </c>
      <c r="T1176" s="37">
        <f>L1176-S1176</f>
        <v>0</v>
      </c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  <c r="AE1176" s="10"/>
    </row>
    <row r="1177" spans="1:31" ht="14.25" hidden="1" customHeight="1">
      <c r="A1177" s="277" t="s">
        <v>7590</v>
      </c>
      <c r="B1177" s="9" t="s">
        <v>21</v>
      </c>
      <c r="C1177" s="9">
        <v>2025</v>
      </c>
      <c r="D1177" s="9" t="s">
        <v>27</v>
      </c>
      <c r="E1177" s="90" t="s">
        <v>23</v>
      </c>
      <c r="F1177" s="9" t="s">
        <v>7</v>
      </c>
      <c r="G1177" s="10"/>
      <c r="H1177" s="96">
        <v>250836</v>
      </c>
      <c r="I1177" s="109" t="s">
        <v>591</v>
      </c>
      <c r="J1177" s="115">
        <v>45889</v>
      </c>
      <c r="K1177" s="119">
        <v>45902</v>
      </c>
      <c r="L1177" s="116">
        <v>14183136</v>
      </c>
      <c r="M1177" s="116" t="s">
        <v>658</v>
      </c>
      <c r="N1177" s="34" t="s">
        <v>29</v>
      </c>
      <c r="O1177" s="27">
        <f>SUM(L1177:L1183)</f>
        <v>26929533</v>
      </c>
      <c r="P1177" s="113">
        <v>45974</v>
      </c>
      <c r="Q1177" s="113">
        <v>45974</v>
      </c>
      <c r="R1177" s="113">
        <v>45974</v>
      </c>
      <c r="S1177" s="37">
        <f t="shared" si="232"/>
        <v>14183136</v>
      </c>
      <c r="T1177" s="37">
        <f t="shared" si="233"/>
        <v>0</v>
      </c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  <c r="AE1177" s="10"/>
    </row>
    <row r="1178" spans="1:31" ht="14.25" hidden="1" customHeight="1">
      <c r="A1178" s="277" t="s">
        <v>7591</v>
      </c>
      <c r="B1178" s="9" t="s">
        <v>21</v>
      </c>
      <c r="C1178" s="9">
        <v>2025</v>
      </c>
      <c r="D1178" s="9" t="s">
        <v>27</v>
      </c>
      <c r="E1178" s="90" t="s">
        <v>23</v>
      </c>
      <c r="F1178" s="9" t="s">
        <v>7</v>
      </c>
      <c r="G1178" s="10"/>
      <c r="H1178" s="96">
        <v>250903</v>
      </c>
      <c r="I1178" s="109" t="s">
        <v>591</v>
      </c>
      <c r="J1178" s="115">
        <v>45902</v>
      </c>
      <c r="K1178" s="119">
        <v>45916</v>
      </c>
      <c r="L1178" s="116">
        <v>3836715</v>
      </c>
      <c r="M1178" s="116" t="s">
        <v>660</v>
      </c>
      <c r="N1178" s="34" t="s">
        <v>29</v>
      </c>
      <c r="O1178" s="10"/>
      <c r="P1178" s="113">
        <v>45974</v>
      </c>
      <c r="Q1178" s="113">
        <v>45974</v>
      </c>
      <c r="R1178" s="113">
        <v>45974</v>
      </c>
      <c r="S1178" s="37">
        <f t="shared" si="232"/>
        <v>3836715</v>
      </c>
      <c r="T1178" s="37">
        <f t="shared" si="233"/>
        <v>0</v>
      </c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10"/>
    </row>
    <row r="1179" spans="1:31" ht="14.25" hidden="1" customHeight="1">
      <c r="A1179" s="277" t="s">
        <v>7592</v>
      </c>
      <c r="B1179" s="9" t="s">
        <v>21</v>
      </c>
      <c r="C1179" s="9">
        <v>2025</v>
      </c>
      <c r="D1179" s="9" t="s">
        <v>27</v>
      </c>
      <c r="E1179" s="90" t="s">
        <v>23</v>
      </c>
      <c r="F1179" s="9" t="s">
        <v>7</v>
      </c>
      <c r="G1179" s="10"/>
      <c r="H1179" s="96">
        <v>250909</v>
      </c>
      <c r="I1179" s="109" t="s">
        <v>591</v>
      </c>
      <c r="J1179" s="115">
        <v>45904</v>
      </c>
      <c r="K1179" s="119">
        <v>45916</v>
      </c>
      <c r="L1179" s="116">
        <v>1976688</v>
      </c>
      <c r="M1179" s="116" t="s">
        <v>661</v>
      </c>
      <c r="N1179" s="34" t="s">
        <v>29</v>
      </c>
      <c r="O1179" s="10"/>
      <c r="P1179" s="113">
        <v>45974</v>
      </c>
      <c r="Q1179" s="113">
        <v>45974</v>
      </c>
      <c r="R1179" s="113">
        <v>45974</v>
      </c>
      <c r="S1179" s="37">
        <f t="shared" si="232"/>
        <v>1976688</v>
      </c>
      <c r="T1179" s="37">
        <f t="shared" si="233"/>
        <v>0</v>
      </c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  <c r="AE1179" s="10"/>
    </row>
    <row r="1180" spans="1:31" ht="14.25" hidden="1" customHeight="1">
      <c r="A1180" s="277" t="s">
        <v>7593</v>
      </c>
      <c r="B1180" s="9" t="s">
        <v>21</v>
      </c>
      <c r="C1180" s="9">
        <v>2025</v>
      </c>
      <c r="D1180" s="9" t="s">
        <v>27</v>
      </c>
      <c r="E1180" s="90" t="s">
        <v>23</v>
      </c>
      <c r="F1180" s="9" t="s">
        <v>7</v>
      </c>
      <c r="G1180" s="10"/>
      <c r="H1180" s="96">
        <v>250911</v>
      </c>
      <c r="I1180" s="109" t="s">
        <v>591</v>
      </c>
      <c r="J1180" s="115">
        <v>45908</v>
      </c>
      <c r="K1180" s="119">
        <v>45916</v>
      </c>
      <c r="L1180" s="116">
        <v>391630</v>
      </c>
      <c r="M1180" s="116" t="s">
        <v>662</v>
      </c>
      <c r="N1180" s="34" t="s">
        <v>29</v>
      </c>
      <c r="O1180" s="10"/>
      <c r="P1180" s="113">
        <v>45974</v>
      </c>
      <c r="Q1180" s="113">
        <v>45974</v>
      </c>
      <c r="R1180" s="113">
        <v>45974</v>
      </c>
      <c r="S1180" s="37">
        <f t="shared" si="232"/>
        <v>391630</v>
      </c>
      <c r="T1180" s="37">
        <f t="shared" si="233"/>
        <v>0</v>
      </c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</row>
    <row r="1181" spans="1:31" ht="14.25" hidden="1" customHeight="1">
      <c r="A1181" s="277" t="s">
        <v>7594</v>
      </c>
      <c r="B1181" s="9" t="s">
        <v>21</v>
      </c>
      <c r="C1181" s="9">
        <v>2025</v>
      </c>
      <c r="D1181" s="9" t="s">
        <v>27</v>
      </c>
      <c r="E1181" s="90" t="s">
        <v>23</v>
      </c>
      <c r="F1181" s="9" t="s">
        <v>7</v>
      </c>
      <c r="G1181" s="10"/>
      <c r="H1181" s="96">
        <v>250914</v>
      </c>
      <c r="I1181" s="109" t="s">
        <v>591</v>
      </c>
      <c r="J1181" s="115">
        <v>45909</v>
      </c>
      <c r="K1181" s="119">
        <v>45916</v>
      </c>
      <c r="L1181" s="116">
        <v>874968</v>
      </c>
      <c r="M1181" s="116" t="s">
        <v>663</v>
      </c>
      <c r="N1181" s="34" t="s">
        <v>29</v>
      </c>
      <c r="O1181" s="10"/>
      <c r="P1181" s="113">
        <v>45974</v>
      </c>
      <c r="Q1181" s="113">
        <v>45974</v>
      </c>
      <c r="R1181" s="113">
        <v>45974</v>
      </c>
      <c r="S1181" s="37">
        <f t="shared" si="232"/>
        <v>874968</v>
      </c>
      <c r="T1181" s="37">
        <f t="shared" si="233"/>
        <v>0</v>
      </c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10"/>
    </row>
    <row r="1182" spans="1:31" ht="14.25" hidden="1" customHeight="1">
      <c r="A1182" s="277" t="s">
        <v>7595</v>
      </c>
      <c r="B1182" s="9" t="s">
        <v>21</v>
      </c>
      <c r="C1182" s="9">
        <v>2025</v>
      </c>
      <c r="D1182" s="9" t="s">
        <v>27</v>
      </c>
      <c r="E1182" s="90" t="s">
        <v>23</v>
      </c>
      <c r="F1182" s="9" t="s">
        <v>7</v>
      </c>
      <c r="G1182" s="10"/>
      <c r="H1182" s="96">
        <v>250931</v>
      </c>
      <c r="I1182" s="109" t="s">
        <v>591</v>
      </c>
      <c r="J1182" s="115">
        <v>45910</v>
      </c>
      <c r="K1182" s="119">
        <v>45923</v>
      </c>
      <c r="L1182" s="116">
        <v>5550000</v>
      </c>
      <c r="M1182" s="116" t="s">
        <v>3686</v>
      </c>
      <c r="N1182" s="34" t="s">
        <v>29</v>
      </c>
      <c r="O1182" s="10"/>
      <c r="P1182" s="113">
        <v>45974</v>
      </c>
      <c r="Q1182" s="113">
        <v>45974</v>
      </c>
      <c r="R1182" s="113">
        <v>45974</v>
      </c>
      <c r="S1182" s="37">
        <f t="shared" si="232"/>
        <v>5550000</v>
      </c>
      <c r="T1182" s="37">
        <f t="shared" si="233"/>
        <v>0</v>
      </c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  <c r="AE1182" s="10"/>
    </row>
    <row r="1183" spans="1:31" ht="14.25" hidden="1" customHeight="1">
      <c r="A1183" s="277" t="s">
        <v>7596</v>
      </c>
      <c r="B1183" s="9" t="s">
        <v>21</v>
      </c>
      <c r="C1183" s="9">
        <v>2025</v>
      </c>
      <c r="D1183" s="9" t="s">
        <v>27</v>
      </c>
      <c r="E1183" s="90" t="s">
        <v>23</v>
      </c>
      <c r="F1183" s="9" t="s">
        <v>7</v>
      </c>
      <c r="G1183" s="10"/>
      <c r="H1183" s="96">
        <v>250930</v>
      </c>
      <c r="I1183" s="109" t="s">
        <v>591</v>
      </c>
      <c r="J1183" s="115">
        <v>45911</v>
      </c>
      <c r="K1183" s="119">
        <v>45923</v>
      </c>
      <c r="L1183" s="116">
        <v>116396</v>
      </c>
      <c r="M1183" s="116" t="s">
        <v>3687</v>
      </c>
      <c r="N1183" s="34" t="s">
        <v>29</v>
      </c>
      <c r="O1183" s="10"/>
      <c r="P1183" s="113">
        <v>45974</v>
      </c>
      <c r="Q1183" s="113">
        <v>45974</v>
      </c>
      <c r="R1183" s="113">
        <v>45974</v>
      </c>
      <c r="S1183" s="37">
        <f t="shared" si="232"/>
        <v>116396</v>
      </c>
      <c r="T1183" s="37">
        <f t="shared" si="233"/>
        <v>0</v>
      </c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  <c r="AE1183" s="10"/>
    </row>
    <row r="1184" spans="1:31" ht="14.25" hidden="1" customHeight="1">
      <c r="A1184" s="277" t="s">
        <v>7597</v>
      </c>
      <c r="B1184" s="9" t="s">
        <v>21</v>
      </c>
      <c r="C1184" s="9">
        <v>2025</v>
      </c>
      <c r="D1184" s="9" t="s">
        <v>27</v>
      </c>
      <c r="E1184" s="90" t="s">
        <v>23</v>
      </c>
      <c r="F1184" s="9" t="s">
        <v>7</v>
      </c>
      <c r="G1184" s="10"/>
      <c r="H1184" s="96">
        <v>250990</v>
      </c>
      <c r="I1184" s="109" t="s">
        <v>591</v>
      </c>
      <c r="J1184" s="115">
        <v>45930</v>
      </c>
      <c r="K1184" s="119">
        <v>45946</v>
      </c>
      <c r="L1184" s="116">
        <v>2237404</v>
      </c>
      <c r="M1184" s="116" t="s">
        <v>3820</v>
      </c>
      <c r="N1184" s="34" t="s">
        <v>29</v>
      </c>
      <c r="O1184" s="27">
        <f>SUM(L1184:L1190)</f>
        <v>41276802</v>
      </c>
      <c r="P1184" s="113">
        <v>45996</v>
      </c>
      <c r="Q1184" s="113">
        <v>45996</v>
      </c>
      <c r="R1184" s="113">
        <v>45996</v>
      </c>
      <c r="S1184" s="37">
        <f t="shared" ref="S1184:S1191" si="234">IF(R1184="",0,L1184)</f>
        <v>2237404</v>
      </c>
      <c r="T1184" s="37">
        <f t="shared" ref="T1184:T1191" si="235">L1184-S1184</f>
        <v>0</v>
      </c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  <c r="AE1184" s="10"/>
    </row>
    <row r="1185" spans="1:31" ht="14.25" hidden="1" customHeight="1">
      <c r="A1185" s="277" t="s">
        <v>7598</v>
      </c>
      <c r="B1185" s="9" t="s">
        <v>21</v>
      </c>
      <c r="C1185" s="9">
        <v>2025</v>
      </c>
      <c r="D1185" s="9" t="s">
        <v>27</v>
      </c>
      <c r="E1185" s="90" t="s">
        <v>23</v>
      </c>
      <c r="F1185" s="9" t="s">
        <v>7</v>
      </c>
      <c r="G1185" s="10"/>
      <c r="H1185" s="96">
        <v>251008</v>
      </c>
      <c r="I1185" s="109" t="s">
        <v>591</v>
      </c>
      <c r="J1185" s="115">
        <v>45930</v>
      </c>
      <c r="K1185" s="119">
        <v>45946</v>
      </c>
      <c r="L1185" s="116">
        <v>444000</v>
      </c>
      <c r="M1185" s="116" t="s">
        <v>3821</v>
      </c>
      <c r="N1185" s="34" t="s">
        <v>29</v>
      </c>
      <c r="O1185" s="10"/>
      <c r="P1185" s="113">
        <v>45996</v>
      </c>
      <c r="Q1185" s="113">
        <v>45996</v>
      </c>
      <c r="R1185" s="113">
        <v>45996</v>
      </c>
      <c r="S1185" s="37">
        <f t="shared" si="234"/>
        <v>444000</v>
      </c>
      <c r="T1185" s="37">
        <f t="shared" si="235"/>
        <v>0</v>
      </c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10"/>
    </row>
    <row r="1186" spans="1:31" ht="14.25" hidden="1" customHeight="1">
      <c r="A1186" s="277" t="s">
        <v>7599</v>
      </c>
      <c r="B1186" s="9" t="s">
        <v>21</v>
      </c>
      <c r="C1186" s="9">
        <v>2025</v>
      </c>
      <c r="D1186" s="9" t="s">
        <v>27</v>
      </c>
      <c r="E1186" s="90" t="s">
        <v>23</v>
      </c>
      <c r="F1186" s="9" t="s">
        <v>7</v>
      </c>
      <c r="G1186" s="10"/>
      <c r="H1186" s="96">
        <v>251009</v>
      </c>
      <c r="I1186" s="109" t="s">
        <v>591</v>
      </c>
      <c r="J1186" s="115">
        <v>45930</v>
      </c>
      <c r="K1186" s="119">
        <v>45946</v>
      </c>
      <c r="L1186" s="116">
        <v>804528</v>
      </c>
      <c r="M1186" s="116" t="s">
        <v>3822</v>
      </c>
      <c r="N1186" s="34" t="s">
        <v>29</v>
      </c>
      <c r="O1186" s="10"/>
      <c r="P1186" s="113">
        <v>45996</v>
      </c>
      <c r="Q1186" s="113">
        <v>45996</v>
      </c>
      <c r="R1186" s="113">
        <v>45996</v>
      </c>
      <c r="S1186" s="37">
        <f t="shared" si="234"/>
        <v>804528</v>
      </c>
      <c r="T1186" s="37">
        <f t="shared" si="235"/>
        <v>0</v>
      </c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  <c r="AE1186" s="10"/>
    </row>
    <row r="1187" spans="1:31" ht="14.25" hidden="1" customHeight="1">
      <c r="A1187" s="277" t="s">
        <v>7600</v>
      </c>
      <c r="B1187" s="9" t="s">
        <v>21</v>
      </c>
      <c r="C1187" s="9">
        <v>2025</v>
      </c>
      <c r="D1187" s="9" t="s">
        <v>27</v>
      </c>
      <c r="E1187" s="90" t="s">
        <v>23</v>
      </c>
      <c r="F1187" s="9" t="s">
        <v>7</v>
      </c>
      <c r="G1187" s="10"/>
      <c r="H1187" s="96">
        <v>251024</v>
      </c>
      <c r="I1187" s="109" t="s">
        <v>591</v>
      </c>
      <c r="J1187" s="115">
        <v>45930</v>
      </c>
      <c r="K1187" s="119">
        <v>45951</v>
      </c>
      <c r="L1187" s="116">
        <v>6725268</v>
      </c>
      <c r="M1187" s="116" t="s">
        <v>3861</v>
      </c>
      <c r="N1187" s="34" t="s">
        <v>29</v>
      </c>
      <c r="O1187" s="10"/>
      <c r="P1187" s="113">
        <v>45996</v>
      </c>
      <c r="Q1187" s="113">
        <v>45996</v>
      </c>
      <c r="R1187" s="113">
        <v>45996</v>
      </c>
      <c r="S1187" s="37">
        <f t="shared" si="234"/>
        <v>6725268</v>
      </c>
      <c r="T1187" s="37">
        <f t="shared" si="235"/>
        <v>0</v>
      </c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  <c r="AE1187" s="10"/>
    </row>
    <row r="1188" spans="1:31" ht="14.25" hidden="1" customHeight="1">
      <c r="A1188" s="277" t="s">
        <v>7601</v>
      </c>
      <c r="B1188" s="9" t="s">
        <v>21</v>
      </c>
      <c r="C1188" s="9">
        <v>2025</v>
      </c>
      <c r="D1188" s="9" t="s">
        <v>27</v>
      </c>
      <c r="E1188" s="90" t="s">
        <v>23</v>
      </c>
      <c r="F1188" s="9" t="s">
        <v>7</v>
      </c>
      <c r="G1188" s="10"/>
      <c r="H1188" s="96">
        <v>251007</v>
      </c>
      <c r="I1188" s="109" t="s">
        <v>591</v>
      </c>
      <c r="J1188" s="115">
        <v>45930</v>
      </c>
      <c r="K1188" s="119">
        <v>45951</v>
      </c>
      <c r="L1188" s="116">
        <v>10657498</v>
      </c>
      <c r="M1188" s="116" t="s">
        <v>3862</v>
      </c>
      <c r="N1188" s="34" t="s">
        <v>29</v>
      </c>
      <c r="O1188" s="10"/>
      <c r="P1188" s="113">
        <v>45996</v>
      </c>
      <c r="Q1188" s="113">
        <v>45996</v>
      </c>
      <c r="R1188" s="113">
        <v>45996</v>
      </c>
      <c r="S1188" s="37">
        <f t="shared" si="234"/>
        <v>10657498</v>
      </c>
      <c r="T1188" s="37">
        <f t="shared" si="235"/>
        <v>0</v>
      </c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  <c r="AE1188" s="10"/>
    </row>
    <row r="1189" spans="1:31" ht="14.25" hidden="1" customHeight="1">
      <c r="A1189" s="277" t="s">
        <v>5524</v>
      </c>
      <c r="B1189" s="9" t="s">
        <v>21</v>
      </c>
      <c r="C1189" s="9">
        <v>2025</v>
      </c>
      <c r="D1189" s="9" t="s">
        <v>27</v>
      </c>
      <c r="E1189" s="90" t="s">
        <v>23</v>
      </c>
      <c r="F1189" s="9" t="s">
        <v>7</v>
      </c>
      <c r="G1189" s="10"/>
      <c r="H1189" s="96">
        <v>251144</v>
      </c>
      <c r="I1189" s="109" t="s">
        <v>591</v>
      </c>
      <c r="J1189" s="115">
        <v>45961</v>
      </c>
      <c r="K1189" s="119">
        <v>45981</v>
      </c>
      <c r="L1189" s="116">
        <v>16145105</v>
      </c>
      <c r="M1189" s="116" t="s">
        <v>4005</v>
      </c>
      <c r="N1189" s="34" t="s">
        <v>29</v>
      </c>
      <c r="O1189" s="10"/>
      <c r="P1189" s="113">
        <v>45996</v>
      </c>
      <c r="Q1189" s="113">
        <v>45996</v>
      </c>
      <c r="R1189" s="113">
        <v>45996</v>
      </c>
      <c r="S1189" s="37">
        <f t="shared" si="234"/>
        <v>16145105</v>
      </c>
      <c r="T1189" s="37">
        <f t="shared" si="235"/>
        <v>0</v>
      </c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10"/>
    </row>
    <row r="1190" spans="1:31" ht="14.25" hidden="1" customHeight="1">
      <c r="A1190" s="277" t="s">
        <v>5525</v>
      </c>
      <c r="B1190" s="9" t="s">
        <v>21</v>
      </c>
      <c r="C1190" s="9">
        <v>2025</v>
      </c>
      <c r="D1190" s="9" t="s">
        <v>27</v>
      </c>
      <c r="E1190" s="90" t="s">
        <v>23</v>
      </c>
      <c r="F1190" s="9" t="s">
        <v>7</v>
      </c>
      <c r="G1190" s="10"/>
      <c r="H1190" s="96">
        <v>251143</v>
      </c>
      <c r="I1190" s="109" t="s">
        <v>591</v>
      </c>
      <c r="J1190" s="115">
        <v>45961</v>
      </c>
      <c r="K1190" s="119">
        <v>45981</v>
      </c>
      <c r="L1190" s="116">
        <v>4262999</v>
      </c>
      <c r="M1190" s="116" t="s">
        <v>4006</v>
      </c>
      <c r="N1190" s="34" t="s">
        <v>29</v>
      </c>
      <c r="O1190" s="10"/>
      <c r="P1190" s="113">
        <v>45996</v>
      </c>
      <c r="Q1190" s="113">
        <v>45996</v>
      </c>
      <c r="R1190" s="113">
        <v>45996</v>
      </c>
      <c r="S1190" s="37">
        <f t="shared" si="234"/>
        <v>4262999</v>
      </c>
      <c r="T1190" s="37">
        <f t="shared" si="235"/>
        <v>0</v>
      </c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</row>
    <row r="1191" spans="1:31" ht="14.25" hidden="1" customHeight="1">
      <c r="A1191" s="277" t="s">
        <v>5526</v>
      </c>
      <c r="B1191" s="9" t="s">
        <v>21</v>
      </c>
      <c r="C1191" s="9">
        <v>2025</v>
      </c>
      <c r="D1191" s="9" t="s">
        <v>27</v>
      </c>
      <c r="E1191" s="90" t="s">
        <v>23</v>
      </c>
      <c r="F1191" s="9" t="s">
        <v>7</v>
      </c>
      <c r="G1191" s="10"/>
      <c r="H1191" s="96">
        <v>251187</v>
      </c>
      <c r="I1191" s="109" t="s">
        <v>591</v>
      </c>
      <c r="J1191" s="115">
        <v>45979</v>
      </c>
      <c r="K1191" s="119">
        <v>45993</v>
      </c>
      <c r="L1191" s="116">
        <v>154001</v>
      </c>
      <c r="M1191" s="116" t="s">
        <v>4036</v>
      </c>
      <c r="N1191" s="34" t="s">
        <v>29</v>
      </c>
      <c r="O1191" s="27">
        <f>SUM(L1191:L1206)</f>
        <v>55553545</v>
      </c>
      <c r="P1191" s="113">
        <v>46049</v>
      </c>
      <c r="Q1191" s="113">
        <v>46049</v>
      </c>
      <c r="R1191" s="113">
        <v>46049</v>
      </c>
      <c r="S1191" s="37">
        <f t="shared" si="234"/>
        <v>154001</v>
      </c>
      <c r="T1191" s="37">
        <f t="shared" si="235"/>
        <v>0</v>
      </c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  <c r="AE1191" s="10"/>
    </row>
    <row r="1192" spans="1:31" ht="14.25" hidden="1" customHeight="1">
      <c r="A1192" s="277" t="s">
        <v>5527</v>
      </c>
      <c r="B1192" s="9" t="s">
        <v>21</v>
      </c>
      <c r="C1192" s="9">
        <v>2025</v>
      </c>
      <c r="D1192" s="9" t="s">
        <v>27</v>
      </c>
      <c r="E1192" s="90" t="s">
        <v>23</v>
      </c>
      <c r="F1192" s="9" t="s">
        <v>7</v>
      </c>
      <c r="G1192" s="10"/>
      <c r="H1192" s="96">
        <v>251188</v>
      </c>
      <c r="I1192" s="109" t="s">
        <v>591</v>
      </c>
      <c r="J1192" s="115">
        <v>45979</v>
      </c>
      <c r="K1192" s="119">
        <v>45993</v>
      </c>
      <c r="L1192" s="116">
        <v>2765498</v>
      </c>
      <c r="M1192" s="116" t="s">
        <v>4037</v>
      </c>
      <c r="N1192" s="34" t="s">
        <v>29</v>
      </c>
      <c r="O1192" s="10"/>
      <c r="P1192" s="113">
        <v>46049</v>
      </c>
      <c r="Q1192" s="113">
        <v>46049</v>
      </c>
      <c r="R1192" s="113">
        <v>46049</v>
      </c>
      <c r="S1192" s="37">
        <f t="shared" ref="S1192:S1198" si="236">IF(R1192="",0,L1192)</f>
        <v>2765498</v>
      </c>
      <c r="T1192" s="37">
        <f t="shared" ref="T1192:T1198" si="237">L1192-S1192</f>
        <v>0</v>
      </c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  <c r="AE1192" s="10"/>
    </row>
    <row r="1193" spans="1:31" ht="14.25" hidden="1" customHeight="1">
      <c r="A1193" s="277" t="s">
        <v>5528</v>
      </c>
      <c r="B1193" s="9" t="s">
        <v>21</v>
      </c>
      <c r="C1193" s="9">
        <v>2025</v>
      </c>
      <c r="D1193" s="9" t="s">
        <v>27</v>
      </c>
      <c r="E1193" s="90" t="s">
        <v>23</v>
      </c>
      <c r="F1193" s="9" t="s">
        <v>7</v>
      </c>
      <c r="G1193" s="10"/>
      <c r="H1193" s="96">
        <v>251189</v>
      </c>
      <c r="I1193" s="109" t="s">
        <v>591</v>
      </c>
      <c r="J1193" s="115">
        <v>45979</v>
      </c>
      <c r="K1193" s="119">
        <v>45993</v>
      </c>
      <c r="L1193" s="116">
        <v>15026403</v>
      </c>
      <c r="M1193" s="116" t="s">
        <v>4038</v>
      </c>
      <c r="N1193" s="34" t="s">
        <v>29</v>
      </c>
      <c r="O1193" s="10"/>
      <c r="P1193" s="113">
        <v>46049</v>
      </c>
      <c r="Q1193" s="113">
        <v>46049</v>
      </c>
      <c r="R1193" s="113">
        <v>46049</v>
      </c>
      <c r="S1193" s="37">
        <f t="shared" si="236"/>
        <v>15026403</v>
      </c>
      <c r="T1193" s="37">
        <f t="shared" si="237"/>
        <v>0</v>
      </c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  <c r="AE1193" s="10"/>
    </row>
    <row r="1194" spans="1:31" ht="14.25" hidden="1" customHeight="1">
      <c r="A1194" s="277" t="s">
        <v>5529</v>
      </c>
      <c r="B1194" s="9" t="s">
        <v>21</v>
      </c>
      <c r="C1194" s="9">
        <v>2025</v>
      </c>
      <c r="D1194" s="9" t="s">
        <v>27</v>
      </c>
      <c r="E1194" s="90" t="s">
        <v>23</v>
      </c>
      <c r="F1194" s="9" t="s">
        <v>7</v>
      </c>
      <c r="G1194" s="10"/>
      <c r="H1194" s="96">
        <v>251194</v>
      </c>
      <c r="I1194" s="109" t="s">
        <v>591</v>
      </c>
      <c r="J1194" s="115">
        <v>45985</v>
      </c>
      <c r="K1194" s="119">
        <v>45993</v>
      </c>
      <c r="L1194" s="116">
        <v>173160</v>
      </c>
      <c r="M1194" s="116" t="s">
        <v>4039</v>
      </c>
      <c r="N1194" s="34" t="s">
        <v>29</v>
      </c>
      <c r="O1194" s="10"/>
      <c r="P1194" s="113">
        <v>46049</v>
      </c>
      <c r="Q1194" s="113">
        <v>46049</v>
      </c>
      <c r="R1194" s="113">
        <v>46049</v>
      </c>
      <c r="S1194" s="37">
        <f t="shared" si="236"/>
        <v>173160</v>
      </c>
      <c r="T1194" s="37">
        <f t="shared" si="237"/>
        <v>0</v>
      </c>
      <c r="U1194" s="10"/>
      <c r="V1194" s="10"/>
      <c r="W1194" s="10"/>
      <c r="X1194" s="10"/>
      <c r="Y1194" s="10"/>
      <c r="Z1194" s="10"/>
      <c r="AA1194" s="10"/>
      <c r="AB1194" s="10"/>
      <c r="AC1194" s="10"/>
      <c r="AD1194" s="10"/>
      <c r="AE1194" s="10"/>
    </row>
    <row r="1195" spans="1:31" ht="14.25" hidden="1" customHeight="1">
      <c r="A1195" s="277" t="s">
        <v>5530</v>
      </c>
      <c r="B1195" s="9" t="s">
        <v>21</v>
      </c>
      <c r="C1195" s="9">
        <v>2025</v>
      </c>
      <c r="D1195" s="9" t="s">
        <v>27</v>
      </c>
      <c r="E1195" s="90" t="s">
        <v>23</v>
      </c>
      <c r="F1195" s="9" t="s">
        <v>7</v>
      </c>
      <c r="G1195" s="10"/>
      <c r="H1195" s="96">
        <v>251195</v>
      </c>
      <c r="I1195" s="109" t="s">
        <v>591</v>
      </c>
      <c r="J1195" s="115">
        <v>45985</v>
      </c>
      <c r="K1195" s="119">
        <v>45993</v>
      </c>
      <c r="L1195" s="116">
        <v>2850036</v>
      </c>
      <c r="M1195" s="116" t="s">
        <v>4040</v>
      </c>
      <c r="N1195" s="34" t="s">
        <v>29</v>
      </c>
      <c r="O1195" s="10"/>
      <c r="P1195" s="113">
        <v>46049</v>
      </c>
      <c r="Q1195" s="113">
        <v>46049</v>
      </c>
      <c r="R1195" s="113">
        <v>46049</v>
      </c>
      <c r="S1195" s="37">
        <f t="shared" si="236"/>
        <v>2850036</v>
      </c>
      <c r="T1195" s="37">
        <f t="shared" si="237"/>
        <v>0</v>
      </c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  <c r="AE1195" s="10"/>
    </row>
    <row r="1196" spans="1:31" ht="14.25" hidden="1" customHeight="1">
      <c r="A1196" s="277" t="s">
        <v>5531</v>
      </c>
      <c r="B1196" s="9" t="s">
        <v>21</v>
      </c>
      <c r="C1196" s="9">
        <v>2025</v>
      </c>
      <c r="D1196" s="9" t="s">
        <v>27</v>
      </c>
      <c r="E1196" s="90" t="s">
        <v>23</v>
      </c>
      <c r="F1196" s="9" t="s">
        <v>7</v>
      </c>
      <c r="G1196" s="10"/>
      <c r="H1196" s="96">
        <v>251197</v>
      </c>
      <c r="I1196" s="109" t="s">
        <v>591</v>
      </c>
      <c r="J1196" s="115">
        <v>45986</v>
      </c>
      <c r="K1196" s="119">
        <v>46000</v>
      </c>
      <c r="L1196" s="116">
        <v>1273991</v>
      </c>
      <c r="M1196" s="116" t="s">
        <v>4072</v>
      </c>
      <c r="N1196" s="34" t="s">
        <v>29</v>
      </c>
      <c r="O1196" s="10"/>
      <c r="P1196" s="113">
        <v>46049</v>
      </c>
      <c r="Q1196" s="113">
        <v>46049</v>
      </c>
      <c r="R1196" s="113">
        <v>46049</v>
      </c>
      <c r="S1196" s="37">
        <f t="shared" si="236"/>
        <v>1273991</v>
      </c>
      <c r="T1196" s="37">
        <f t="shared" si="237"/>
        <v>0</v>
      </c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10"/>
    </row>
    <row r="1197" spans="1:31" ht="14.25" hidden="1" customHeight="1">
      <c r="A1197" s="277" t="s">
        <v>5532</v>
      </c>
      <c r="B1197" s="9" t="s">
        <v>21</v>
      </c>
      <c r="C1197" s="9">
        <v>2025</v>
      </c>
      <c r="D1197" s="9" t="s">
        <v>27</v>
      </c>
      <c r="E1197" s="90" t="s">
        <v>23</v>
      </c>
      <c r="F1197" s="9" t="s">
        <v>7</v>
      </c>
      <c r="G1197" s="10"/>
      <c r="H1197" s="96">
        <v>251212</v>
      </c>
      <c r="I1197" s="109" t="s">
        <v>591</v>
      </c>
      <c r="J1197" s="115">
        <v>45989</v>
      </c>
      <c r="K1197" s="119">
        <v>46000</v>
      </c>
      <c r="L1197" s="116">
        <v>1340880</v>
      </c>
      <c r="M1197" s="116" t="s">
        <v>4073</v>
      </c>
      <c r="N1197" s="34" t="s">
        <v>29</v>
      </c>
      <c r="O1197" s="10"/>
      <c r="P1197" s="113">
        <v>46049</v>
      </c>
      <c r="Q1197" s="113">
        <v>46049</v>
      </c>
      <c r="R1197" s="113">
        <v>46049</v>
      </c>
      <c r="S1197" s="37">
        <f t="shared" si="236"/>
        <v>1340880</v>
      </c>
      <c r="T1197" s="37">
        <f t="shared" si="237"/>
        <v>0</v>
      </c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0"/>
    </row>
    <row r="1198" spans="1:31" ht="14.25" hidden="1" customHeight="1">
      <c r="A1198" s="277" t="s">
        <v>5533</v>
      </c>
      <c r="B1198" s="9" t="s">
        <v>21</v>
      </c>
      <c r="C1198" s="9">
        <v>2025</v>
      </c>
      <c r="D1198" s="9" t="s">
        <v>27</v>
      </c>
      <c r="E1198" s="90" t="s">
        <v>23</v>
      </c>
      <c r="F1198" s="9" t="s">
        <v>7</v>
      </c>
      <c r="G1198" s="10"/>
      <c r="H1198" s="96">
        <v>251211</v>
      </c>
      <c r="I1198" s="109" t="s">
        <v>591</v>
      </c>
      <c r="J1198" s="115">
        <v>45990</v>
      </c>
      <c r="K1198" s="119">
        <v>46000</v>
      </c>
      <c r="L1198" s="116">
        <v>2194958</v>
      </c>
      <c r="M1198" s="116" t="s">
        <v>4074</v>
      </c>
      <c r="N1198" s="34" t="s">
        <v>29</v>
      </c>
      <c r="O1198" s="10"/>
      <c r="P1198" s="113">
        <v>46049</v>
      </c>
      <c r="Q1198" s="113">
        <v>46049</v>
      </c>
      <c r="R1198" s="113">
        <v>46049</v>
      </c>
      <c r="S1198" s="37">
        <f t="shared" si="236"/>
        <v>2194958</v>
      </c>
      <c r="T1198" s="37">
        <f t="shared" si="237"/>
        <v>0</v>
      </c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  <c r="AE1198" s="10"/>
    </row>
    <row r="1199" spans="1:31" ht="14.25" hidden="1" customHeight="1">
      <c r="A1199" s="277" t="s">
        <v>5534</v>
      </c>
      <c r="B1199" s="9" t="s">
        <v>21</v>
      </c>
      <c r="C1199" s="9">
        <v>2025</v>
      </c>
      <c r="D1199" s="9" t="s">
        <v>27</v>
      </c>
      <c r="E1199" s="90" t="s">
        <v>23</v>
      </c>
      <c r="F1199" s="9" t="s">
        <v>7</v>
      </c>
      <c r="G1199" s="10"/>
      <c r="H1199" s="96">
        <v>251251</v>
      </c>
      <c r="I1199" s="109" t="s">
        <v>591</v>
      </c>
      <c r="J1199" s="115">
        <v>46000</v>
      </c>
      <c r="K1199" s="119">
        <v>46014</v>
      </c>
      <c r="L1199" s="116">
        <v>8498160</v>
      </c>
      <c r="M1199" s="116" t="s">
        <v>4176</v>
      </c>
      <c r="N1199" s="34" t="s">
        <v>29</v>
      </c>
      <c r="O1199" s="10"/>
      <c r="P1199" s="113">
        <v>46049</v>
      </c>
      <c r="Q1199" s="113">
        <v>46049</v>
      </c>
      <c r="R1199" s="113">
        <v>46049</v>
      </c>
      <c r="S1199" s="37">
        <f t="shared" ref="S1199:S1212" si="238">IF(R1199="",0,L1199)</f>
        <v>8498160</v>
      </c>
      <c r="T1199" s="37">
        <f t="shared" ref="T1199:T1212" si="239">L1199-S1199</f>
        <v>0</v>
      </c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10"/>
    </row>
    <row r="1200" spans="1:31" ht="14.25" hidden="1" customHeight="1">
      <c r="A1200" s="277" t="s">
        <v>5535</v>
      </c>
      <c r="B1200" s="9" t="s">
        <v>21</v>
      </c>
      <c r="C1200" s="9">
        <v>2025</v>
      </c>
      <c r="D1200" s="9" t="s">
        <v>27</v>
      </c>
      <c r="E1200" s="90" t="s">
        <v>23</v>
      </c>
      <c r="F1200" s="9" t="s">
        <v>7</v>
      </c>
      <c r="G1200" s="10"/>
      <c r="H1200" s="96">
        <v>251250</v>
      </c>
      <c r="I1200" s="109" t="s">
        <v>591</v>
      </c>
      <c r="J1200" s="115">
        <v>46001</v>
      </c>
      <c r="K1200" s="119">
        <v>46014</v>
      </c>
      <c r="L1200" s="116">
        <v>165834</v>
      </c>
      <c r="M1200" s="116" t="s">
        <v>4177</v>
      </c>
      <c r="N1200" s="34" t="s">
        <v>29</v>
      </c>
      <c r="O1200" s="10"/>
      <c r="P1200" s="113">
        <v>46049</v>
      </c>
      <c r="Q1200" s="113">
        <v>46049</v>
      </c>
      <c r="R1200" s="113">
        <v>46049</v>
      </c>
      <c r="S1200" s="37">
        <f t="shared" si="238"/>
        <v>165834</v>
      </c>
      <c r="T1200" s="37">
        <f t="shared" si="239"/>
        <v>0</v>
      </c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  <c r="AE1200" s="10"/>
    </row>
    <row r="1201" spans="1:31" ht="14.25" hidden="1" customHeight="1">
      <c r="A1201" s="277" t="s">
        <v>5536</v>
      </c>
      <c r="B1201" s="9" t="s">
        <v>21</v>
      </c>
      <c r="C1201" s="9">
        <v>2025</v>
      </c>
      <c r="D1201" s="9" t="s">
        <v>27</v>
      </c>
      <c r="E1201" s="90" t="s">
        <v>23</v>
      </c>
      <c r="F1201" s="9" t="s">
        <v>7</v>
      </c>
      <c r="G1201" s="10"/>
      <c r="H1201" s="96">
        <v>251252</v>
      </c>
      <c r="I1201" s="109" t="s">
        <v>591</v>
      </c>
      <c r="J1201" s="115">
        <v>46001</v>
      </c>
      <c r="K1201" s="119">
        <v>46014</v>
      </c>
      <c r="L1201" s="116">
        <v>1056000</v>
      </c>
      <c r="M1201" s="116" t="s">
        <v>4178</v>
      </c>
      <c r="N1201" s="34" t="s">
        <v>29</v>
      </c>
      <c r="O1201" s="10"/>
      <c r="P1201" s="113">
        <v>46049</v>
      </c>
      <c r="Q1201" s="113">
        <v>46049</v>
      </c>
      <c r="R1201" s="113">
        <v>46049</v>
      </c>
      <c r="S1201" s="37">
        <f t="shared" si="238"/>
        <v>1056000</v>
      </c>
      <c r="T1201" s="37">
        <f t="shared" si="239"/>
        <v>0</v>
      </c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  <c r="AE1201" s="10"/>
    </row>
    <row r="1202" spans="1:31" ht="14.25" hidden="1" customHeight="1">
      <c r="A1202" s="277" t="s">
        <v>5537</v>
      </c>
      <c r="B1202" s="9" t="s">
        <v>21</v>
      </c>
      <c r="C1202" s="9">
        <v>2025</v>
      </c>
      <c r="D1202" s="9" t="s">
        <v>27</v>
      </c>
      <c r="E1202" s="90" t="s">
        <v>23</v>
      </c>
      <c r="F1202" s="9" t="s">
        <v>7</v>
      </c>
      <c r="G1202" s="10"/>
      <c r="H1202" s="96">
        <v>251256</v>
      </c>
      <c r="I1202" s="109" t="s">
        <v>591</v>
      </c>
      <c r="J1202" s="115">
        <v>46001</v>
      </c>
      <c r="K1202" s="119">
        <v>46014</v>
      </c>
      <c r="L1202" s="116">
        <v>237995</v>
      </c>
      <c r="M1202" s="116" t="s">
        <v>4179</v>
      </c>
      <c r="N1202" s="34" t="s">
        <v>29</v>
      </c>
      <c r="O1202" s="10"/>
      <c r="P1202" s="113">
        <v>46049</v>
      </c>
      <c r="Q1202" s="113">
        <v>46049</v>
      </c>
      <c r="R1202" s="113">
        <v>46049</v>
      </c>
      <c r="S1202" s="37">
        <f t="shared" si="238"/>
        <v>237995</v>
      </c>
      <c r="T1202" s="37">
        <f t="shared" si="239"/>
        <v>0</v>
      </c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  <c r="AE1202" s="10"/>
    </row>
    <row r="1203" spans="1:31" ht="14.25" hidden="1" customHeight="1">
      <c r="A1203" s="277" t="s">
        <v>5538</v>
      </c>
      <c r="B1203" s="9" t="s">
        <v>21</v>
      </c>
      <c r="C1203" s="9">
        <v>2025</v>
      </c>
      <c r="D1203" s="9" t="s">
        <v>27</v>
      </c>
      <c r="E1203" s="90" t="s">
        <v>23</v>
      </c>
      <c r="F1203" s="9" t="s">
        <v>7</v>
      </c>
      <c r="G1203" s="10"/>
      <c r="H1203" s="96">
        <v>251267</v>
      </c>
      <c r="I1203" s="109" t="s">
        <v>591</v>
      </c>
      <c r="J1203" s="115">
        <v>46002</v>
      </c>
      <c r="K1203" s="119">
        <v>46014</v>
      </c>
      <c r="L1203" s="116">
        <v>6725268</v>
      </c>
      <c r="M1203" s="116" t="s">
        <v>4180</v>
      </c>
      <c r="N1203" s="34" t="s">
        <v>29</v>
      </c>
      <c r="O1203" s="10"/>
      <c r="P1203" s="113">
        <v>46049</v>
      </c>
      <c r="Q1203" s="113">
        <v>46049</v>
      </c>
      <c r="R1203" s="113">
        <v>46049</v>
      </c>
      <c r="S1203" s="37">
        <f t="shared" si="238"/>
        <v>6725268</v>
      </c>
      <c r="T1203" s="37">
        <f t="shared" si="239"/>
        <v>0</v>
      </c>
      <c r="U1203" s="10"/>
      <c r="V1203" s="10"/>
      <c r="W1203" s="10"/>
      <c r="X1203" s="10"/>
      <c r="Y1203" s="10"/>
      <c r="Z1203" s="10"/>
      <c r="AA1203" s="10"/>
      <c r="AB1203" s="10"/>
      <c r="AC1203" s="10"/>
      <c r="AD1203" s="10"/>
      <c r="AE1203" s="10"/>
    </row>
    <row r="1204" spans="1:31" ht="14.25" hidden="1" customHeight="1">
      <c r="A1204" s="277" t="s">
        <v>5539</v>
      </c>
      <c r="B1204" s="9" t="s">
        <v>21</v>
      </c>
      <c r="C1204" s="9">
        <v>2025</v>
      </c>
      <c r="D1204" s="9" t="s">
        <v>27</v>
      </c>
      <c r="E1204" s="90" t="s">
        <v>23</v>
      </c>
      <c r="F1204" s="9" t="s">
        <v>7</v>
      </c>
      <c r="G1204" s="10"/>
      <c r="H1204" s="96">
        <v>251261</v>
      </c>
      <c r="I1204" s="109" t="s">
        <v>591</v>
      </c>
      <c r="J1204" s="115">
        <v>46003</v>
      </c>
      <c r="K1204" s="119">
        <v>46014</v>
      </c>
      <c r="L1204" s="116">
        <v>11186513</v>
      </c>
      <c r="M1204" s="116" t="s">
        <v>4181</v>
      </c>
      <c r="N1204" s="34" t="s">
        <v>29</v>
      </c>
      <c r="O1204" s="10"/>
      <c r="P1204" s="113">
        <v>46049</v>
      </c>
      <c r="Q1204" s="113">
        <v>46049</v>
      </c>
      <c r="R1204" s="113">
        <v>46049</v>
      </c>
      <c r="S1204" s="37">
        <f t="shared" si="238"/>
        <v>11186513</v>
      </c>
      <c r="T1204" s="37">
        <f t="shared" si="239"/>
        <v>0</v>
      </c>
      <c r="U1204" s="10"/>
      <c r="V1204" s="10"/>
      <c r="W1204" s="10"/>
      <c r="X1204" s="10"/>
      <c r="Y1204" s="10"/>
      <c r="Z1204" s="10"/>
      <c r="AA1204" s="10"/>
      <c r="AB1204" s="10"/>
      <c r="AC1204" s="10"/>
      <c r="AD1204" s="10"/>
      <c r="AE1204" s="10"/>
    </row>
    <row r="1205" spans="1:31" ht="14.25" hidden="1" customHeight="1">
      <c r="A1205" s="277" t="s">
        <v>5540</v>
      </c>
      <c r="B1205" s="9" t="s">
        <v>21</v>
      </c>
      <c r="C1205" s="9">
        <v>2025</v>
      </c>
      <c r="D1205" s="9" t="s">
        <v>27</v>
      </c>
      <c r="E1205" s="90" t="s">
        <v>23</v>
      </c>
      <c r="F1205" s="9" t="s">
        <v>7</v>
      </c>
      <c r="G1205" s="10"/>
      <c r="H1205" s="96">
        <v>251268</v>
      </c>
      <c r="I1205" s="109" t="s">
        <v>591</v>
      </c>
      <c r="J1205" s="115">
        <v>46003</v>
      </c>
      <c r="K1205" s="119">
        <v>46014</v>
      </c>
      <c r="L1205" s="116">
        <v>1241512</v>
      </c>
      <c r="M1205" s="116" t="s">
        <v>4182</v>
      </c>
      <c r="N1205" s="34" t="s">
        <v>29</v>
      </c>
      <c r="O1205" s="10"/>
      <c r="P1205" s="113">
        <v>46049</v>
      </c>
      <c r="Q1205" s="113">
        <v>46049</v>
      </c>
      <c r="R1205" s="113">
        <v>46049</v>
      </c>
      <c r="S1205" s="37">
        <f t="shared" si="238"/>
        <v>1241512</v>
      </c>
      <c r="T1205" s="37">
        <f t="shared" si="239"/>
        <v>0</v>
      </c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  <c r="AE1205" s="10"/>
    </row>
    <row r="1206" spans="1:31" ht="14.25" hidden="1" customHeight="1">
      <c r="A1206" s="277" t="s">
        <v>5541</v>
      </c>
      <c r="B1206" s="9" t="s">
        <v>21</v>
      </c>
      <c r="C1206" s="9">
        <v>2025</v>
      </c>
      <c r="D1206" s="9" t="s">
        <v>27</v>
      </c>
      <c r="E1206" s="90" t="s">
        <v>23</v>
      </c>
      <c r="F1206" s="9" t="s">
        <v>7</v>
      </c>
      <c r="G1206" s="10"/>
      <c r="H1206" s="96">
        <v>251266</v>
      </c>
      <c r="I1206" s="109" t="s">
        <v>591</v>
      </c>
      <c r="J1206" s="115">
        <v>46004</v>
      </c>
      <c r="K1206" s="119">
        <v>46014</v>
      </c>
      <c r="L1206" s="116">
        <v>663336</v>
      </c>
      <c r="M1206" s="116" t="s">
        <v>4183</v>
      </c>
      <c r="N1206" s="34" t="s">
        <v>29</v>
      </c>
      <c r="O1206" s="10"/>
      <c r="P1206" s="113">
        <v>46049</v>
      </c>
      <c r="Q1206" s="113">
        <v>46049</v>
      </c>
      <c r="R1206" s="113">
        <v>46049</v>
      </c>
      <c r="S1206" s="37">
        <f t="shared" si="238"/>
        <v>663336</v>
      </c>
      <c r="T1206" s="37">
        <f t="shared" si="239"/>
        <v>0</v>
      </c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  <c r="AE1206" s="10"/>
    </row>
    <row r="1207" spans="1:31" ht="14.25" hidden="1" customHeight="1">
      <c r="A1207" s="277" t="s">
        <v>5542</v>
      </c>
      <c r="B1207" s="9" t="s">
        <v>21</v>
      </c>
      <c r="C1207" s="9">
        <v>2025</v>
      </c>
      <c r="D1207" s="9" t="s">
        <v>27</v>
      </c>
      <c r="E1207" s="90" t="s">
        <v>23</v>
      </c>
      <c r="F1207" s="9" t="s">
        <v>7</v>
      </c>
      <c r="G1207" s="10"/>
      <c r="H1207" s="96">
        <v>251311</v>
      </c>
      <c r="I1207" s="109" t="s">
        <v>591</v>
      </c>
      <c r="J1207" s="115">
        <v>46021</v>
      </c>
      <c r="K1207" s="119">
        <v>46035</v>
      </c>
      <c r="L1207" s="116">
        <v>7255043</v>
      </c>
      <c r="M1207" s="116" t="s">
        <v>4222</v>
      </c>
      <c r="N1207" s="34" t="s">
        <v>29</v>
      </c>
      <c r="O1207" s="27">
        <f>SUM(L1207:L1214)</f>
        <v>36360645</v>
      </c>
      <c r="P1207" s="113">
        <v>46108</v>
      </c>
      <c r="Q1207" s="113">
        <v>46108</v>
      </c>
      <c r="R1207" s="113">
        <v>46108</v>
      </c>
      <c r="S1207" s="37">
        <f t="shared" si="238"/>
        <v>7255043</v>
      </c>
      <c r="T1207" s="37">
        <f t="shared" si="239"/>
        <v>0</v>
      </c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  <c r="AE1207" s="10"/>
    </row>
    <row r="1208" spans="1:31" ht="14.25" hidden="1" customHeight="1">
      <c r="A1208" s="277" t="s">
        <v>5543</v>
      </c>
      <c r="B1208" s="9" t="s">
        <v>21</v>
      </c>
      <c r="C1208" s="9">
        <v>2025</v>
      </c>
      <c r="D1208" s="9" t="s">
        <v>27</v>
      </c>
      <c r="E1208" s="90" t="s">
        <v>23</v>
      </c>
      <c r="F1208" s="9" t="s">
        <v>7</v>
      </c>
      <c r="G1208" s="10"/>
      <c r="H1208" s="96">
        <v>251310</v>
      </c>
      <c r="I1208" s="109" t="s">
        <v>591</v>
      </c>
      <c r="J1208" s="115">
        <v>46021</v>
      </c>
      <c r="K1208" s="119">
        <v>46035</v>
      </c>
      <c r="L1208" s="116">
        <v>1928514</v>
      </c>
      <c r="M1208" s="116" t="s">
        <v>4223</v>
      </c>
      <c r="N1208" s="34" t="s">
        <v>29</v>
      </c>
      <c r="O1208" s="10"/>
      <c r="P1208" s="113">
        <v>46108</v>
      </c>
      <c r="Q1208" s="113">
        <v>46108</v>
      </c>
      <c r="R1208" s="113">
        <v>46108</v>
      </c>
      <c r="S1208" s="37">
        <f t="shared" si="238"/>
        <v>1928514</v>
      </c>
      <c r="T1208" s="37">
        <f t="shared" si="239"/>
        <v>0</v>
      </c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  <c r="AE1208" s="10"/>
    </row>
    <row r="1209" spans="1:31" ht="14.25" hidden="1" customHeight="1">
      <c r="A1209" s="277" t="s">
        <v>5544</v>
      </c>
      <c r="B1209" s="9" t="s">
        <v>21</v>
      </c>
      <c r="C1209" s="9">
        <v>2025</v>
      </c>
      <c r="D1209" s="9" t="s">
        <v>27</v>
      </c>
      <c r="E1209" s="90" t="s">
        <v>23</v>
      </c>
      <c r="F1209" s="9" t="s">
        <v>7</v>
      </c>
      <c r="G1209" s="10"/>
      <c r="H1209" s="96">
        <v>251312</v>
      </c>
      <c r="I1209" s="109" t="s">
        <v>591</v>
      </c>
      <c r="J1209" s="115">
        <v>46021</v>
      </c>
      <c r="K1209" s="119">
        <v>46035</v>
      </c>
      <c r="L1209" s="116">
        <v>3663000</v>
      </c>
      <c r="M1209" s="116" t="s">
        <v>4224</v>
      </c>
      <c r="N1209" s="34" t="s">
        <v>29</v>
      </c>
      <c r="O1209" s="10"/>
      <c r="P1209" s="113">
        <v>46108</v>
      </c>
      <c r="Q1209" s="113">
        <v>46108</v>
      </c>
      <c r="R1209" s="113">
        <v>46108</v>
      </c>
      <c r="S1209" s="37">
        <f t="shared" si="238"/>
        <v>3663000</v>
      </c>
      <c r="T1209" s="37">
        <f t="shared" si="239"/>
        <v>0</v>
      </c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  <c r="AE1209" s="10"/>
    </row>
    <row r="1210" spans="1:31" hidden="1">
      <c r="A1210" s="277" t="s">
        <v>5545</v>
      </c>
      <c r="B1210" s="9" t="s">
        <v>21</v>
      </c>
      <c r="C1210" s="9">
        <v>2025</v>
      </c>
      <c r="D1210" s="9" t="s">
        <v>27</v>
      </c>
      <c r="E1210" s="90" t="s">
        <v>23</v>
      </c>
      <c r="F1210" s="9" t="s">
        <v>7</v>
      </c>
      <c r="G1210" s="10"/>
      <c r="H1210" s="96">
        <v>251328</v>
      </c>
      <c r="I1210" s="109" t="s">
        <v>591</v>
      </c>
      <c r="J1210" s="115">
        <v>46021</v>
      </c>
      <c r="K1210" s="119">
        <v>46035</v>
      </c>
      <c r="L1210" s="116">
        <v>5655339</v>
      </c>
      <c r="M1210" s="116" t="s">
        <v>4225</v>
      </c>
      <c r="N1210" s="34" t="s">
        <v>29</v>
      </c>
      <c r="O1210" s="10"/>
      <c r="P1210" s="113">
        <v>46108</v>
      </c>
      <c r="Q1210" s="113">
        <v>46108</v>
      </c>
      <c r="R1210" s="113">
        <v>46108</v>
      </c>
      <c r="S1210" s="37">
        <f t="shared" si="238"/>
        <v>5655339</v>
      </c>
      <c r="T1210" s="37">
        <f t="shared" si="239"/>
        <v>0</v>
      </c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  <c r="AE1210" s="10"/>
    </row>
    <row r="1211" spans="1:31" hidden="1">
      <c r="A1211" s="277" t="s">
        <v>5546</v>
      </c>
      <c r="B1211" s="9" t="s">
        <v>21</v>
      </c>
      <c r="C1211" s="9">
        <v>2025</v>
      </c>
      <c r="D1211" s="9" t="s">
        <v>27</v>
      </c>
      <c r="E1211" s="90" t="s">
        <v>23</v>
      </c>
      <c r="F1211" s="9" t="s">
        <v>7</v>
      </c>
      <c r="G1211" s="10"/>
      <c r="H1211" s="96">
        <v>251330</v>
      </c>
      <c r="I1211" s="109" t="s">
        <v>591</v>
      </c>
      <c r="J1211" s="115">
        <v>46021</v>
      </c>
      <c r="K1211" s="119">
        <v>46035</v>
      </c>
      <c r="L1211" s="116">
        <v>5669807</v>
      </c>
      <c r="M1211" s="116" t="s">
        <v>4226</v>
      </c>
      <c r="N1211" s="34" t="s">
        <v>29</v>
      </c>
      <c r="O1211" s="10"/>
      <c r="P1211" s="113">
        <v>46108</v>
      </c>
      <c r="Q1211" s="113">
        <v>46108</v>
      </c>
      <c r="R1211" s="113">
        <v>46108</v>
      </c>
      <c r="S1211" s="37">
        <f t="shared" si="238"/>
        <v>5669807</v>
      </c>
      <c r="T1211" s="37">
        <f t="shared" si="239"/>
        <v>0</v>
      </c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  <c r="AE1211" s="10"/>
    </row>
    <row r="1212" spans="1:31" hidden="1">
      <c r="A1212" s="277" t="s">
        <v>5547</v>
      </c>
      <c r="B1212" s="9" t="s">
        <v>21</v>
      </c>
      <c r="C1212" s="9">
        <v>2025</v>
      </c>
      <c r="D1212" s="9" t="s">
        <v>27</v>
      </c>
      <c r="E1212" s="90" t="s">
        <v>23</v>
      </c>
      <c r="F1212" s="9" t="s">
        <v>7</v>
      </c>
      <c r="G1212" s="10"/>
      <c r="H1212" s="96">
        <v>251329</v>
      </c>
      <c r="I1212" s="109" t="s">
        <v>591</v>
      </c>
      <c r="J1212" s="115">
        <v>46021</v>
      </c>
      <c r="K1212" s="119">
        <v>46035</v>
      </c>
      <c r="L1212" s="116">
        <v>5879325</v>
      </c>
      <c r="M1212" s="116" t="s">
        <v>4227</v>
      </c>
      <c r="N1212" s="34" t="s">
        <v>29</v>
      </c>
      <c r="O1212" s="10"/>
      <c r="P1212" s="113">
        <v>46108</v>
      </c>
      <c r="Q1212" s="113">
        <v>46108</v>
      </c>
      <c r="R1212" s="113">
        <v>46108</v>
      </c>
      <c r="S1212" s="37">
        <f t="shared" si="238"/>
        <v>5879325</v>
      </c>
      <c r="T1212" s="37">
        <f t="shared" si="239"/>
        <v>0</v>
      </c>
      <c r="U1212" s="10"/>
      <c r="V1212" s="10"/>
      <c r="W1212" s="10"/>
      <c r="X1212" s="10"/>
      <c r="Y1212" s="10"/>
      <c r="Z1212" s="10"/>
      <c r="AA1212" s="10"/>
      <c r="AB1212" s="10"/>
      <c r="AC1212" s="10"/>
      <c r="AD1212" s="10"/>
      <c r="AE1212" s="10"/>
    </row>
    <row r="1213" spans="1:31" hidden="1">
      <c r="A1213" s="277" t="s">
        <v>5548</v>
      </c>
      <c r="B1213" s="9" t="s">
        <v>21</v>
      </c>
      <c r="C1213" s="9">
        <v>2026</v>
      </c>
      <c r="D1213" s="9" t="s">
        <v>27</v>
      </c>
      <c r="E1213" s="90" t="s">
        <v>23</v>
      </c>
      <c r="F1213" s="9" t="s">
        <v>7</v>
      </c>
      <c r="G1213" s="10"/>
      <c r="H1213" s="96">
        <v>260059</v>
      </c>
      <c r="I1213" s="109" t="s">
        <v>591</v>
      </c>
      <c r="J1213" s="115">
        <v>46050</v>
      </c>
      <c r="K1213" s="119">
        <v>46063</v>
      </c>
      <c r="L1213" s="116">
        <f>6725268-2917679</f>
        <v>3807589</v>
      </c>
      <c r="M1213" s="116" t="s">
        <v>4316</v>
      </c>
      <c r="N1213" s="34" t="s">
        <v>29</v>
      </c>
      <c r="O1213" s="10"/>
      <c r="P1213" s="113">
        <v>46108</v>
      </c>
      <c r="Q1213" s="113">
        <v>46108</v>
      </c>
      <c r="R1213" s="113">
        <v>46108</v>
      </c>
      <c r="S1213" s="37">
        <f t="shared" ref="S1213:S1218" si="240">IF(R1213="",0,L1213)</f>
        <v>3807589</v>
      </c>
      <c r="T1213" s="37">
        <f t="shared" ref="T1213:T1218" si="241">L1213-S1213</f>
        <v>0</v>
      </c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0"/>
    </row>
    <row r="1214" spans="1:31" hidden="1">
      <c r="A1214" s="277" t="s">
        <v>5549</v>
      </c>
      <c r="B1214" s="9" t="s">
        <v>21</v>
      </c>
      <c r="C1214" s="9">
        <v>2026</v>
      </c>
      <c r="D1214" s="9" t="s">
        <v>27</v>
      </c>
      <c r="E1214" s="90" t="s">
        <v>23</v>
      </c>
      <c r="F1214" s="9" t="s">
        <v>7</v>
      </c>
      <c r="G1214" s="10"/>
      <c r="H1214" s="96">
        <v>260058</v>
      </c>
      <c r="I1214" s="109" t="s">
        <v>591</v>
      </c>
      <c r="J1214" s="115">
        <v>46050</v>
      </c>
      <c r="K1214" s="119">
        <v>46063</v>
      </c>
      <c r="L1214" s="116">
        <v>2502028</v>
      </c>
      <c r="M1214" s="116" t="s">
        <v>4317</v>
      </c>
      <c r="N1214" s="34" t="s">
        <v>29</v>
      </c>
      <c r="O1214" s="10"/>
      <c r="P1214" s="113">
        <v>46108</v>
      </c>
      <c r="Q1214" s="113">
        <v>46108</v>
      </c>
      <c r="R1214" s="113">
        <v>46108</v>
      </c>
      <c r="S1214" s="37">
        <f t="shared" si="240"/>
        <v>2502028</v>
      </c>
      <c r="T1214" s="37">
        <f t="shared" si="241"/>
        <v>0</v>
      </c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  <c r="AE1214" s="10"/>
    </row>
    <row r="1215" spans="1:31" hidden="1">
      <c r="A1215" s="277" t="s">
        <v>5550</v>
      </c>
      <c r="B1215" s="9" t="s">
        <v>21</v>
      </c>
      <c r="C1215" s="9">
        <v>2026</v>
      </c>
      <c r="D1215" s="9" t="s">
        <v>27</v>
      </c>
      <c r="E1215" s="90" t="s">
        <v>23</v>
      </c>
      <c r="F1215" s="9" t="s">
        <v>7</v>
      </c>
      <c r="G1215" s="10"/>
      <c r="H1215" s="96">
        <v>260090</v>
      </c>
      <c r="I1215" s="109" t="s">
        <v>591</v>
      </c>
      <c r="J1215" s="115">
        <v>46052</v>
      </c>
      <c r="K1215" s="119">
        <v>46063</v>
      </c>
      <c r="L1215" s="116">
        <v>15026403</v>
      </c>
      <c r="M1215" s="116" t="s">
        <v>4318</v>
      </c>
      <c r="N1215" s="34" t="s">
        <v>29</v>
      </c>
      <c r="O1215" s="27">
        <f>SUM(L1215:L1227)</f>
        <v>73832802</v>
      </c>
      <c r="P1215" s="113">
        <v>46133</v>
      </c>
      <c r="Q1215" s="113">
        <v>46133</v>
      </c>
      <c r="R1215" s="113">
        <v>46133</v>
      </c>
      <c r="S1215" s="37">
        <f t="shared" si="240"/>
        <v>15026403</v>
      </c>
      <c r="T1215" s="37">
        <f t="shared" si="241"/>
        <v>0</v>
      </c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10"/>
    </row>
    <row r="1216" spans="1:31" hidden="1">
      <c r="A1216" s="277" t="s">
        <v>5551</v>
      </c>
      <c r="B1216" s="9" t="s">
        <v>21</v>
      </c>
      <c r="C1216" s="9">
        <v>2026</v>
      </c>
      <c r="D1216" s="9" t="s">
        <v>27</v>
      </c>
      <c r="E1216" s="90" t="s">
        <v>23</v>
      </c>
      <c r="F1216" s="9" t="s">
        <v>7</v>
      </c>
      <c r="G1216" s="10"/>
      <c r="H1216" s="96">
        <v>260092</v>
      </c>
      <c r="I1216" s="109" t="s">
        <v>591</v>
      </c>
      <c r="J1216" s="115">
        <v>46053</v>
      </c>
      <c r="K1216" s="119">
        <v>46063</v>
      </c>
      <c r="L1216" s="116">
        <v>888000</v>
      </c>
      <c r="M1216" s="116" t="s">
        <v>4319</v>
      </c>
      <c r="N1216" s="34" t="s">
        <v>29</v>
      </c>
      <c r="O1216" s="10"/>
      <c r="P1216" s="113">
        <v>46133</v>
      </c>
      <c r="Q1216" s="113">
        <v>46133</v>
      </c>
      <c r="R1216" s="113">
        <v>46133</v>
      </c>
      <c r="S1216" s="37">
        <f t="shared" si="240"/>
        <v>888000</v>
      </c>
      <c r="T1216" s="37">
        <f t="shared" si="241"/>
        <v>0</v>
      </c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</row>
    <row r="1217" spans="1:31" hidden="1">
      <c r="A1217" s="277" t="s">
        <v>5552</v>
      </c>
      <c r="B1217" s="9" t="s">
        <v>21</v>
      </c>
      <c r="C1217" s="9">
        <v>2026</v>
      </c>
      <c r="D1217" s="9" t="s">
        <v>27</v>
      </c>
      <c r="E1217" s="90" t="s">
        <v>23</v>
      </c>
      <c r="F1217" s="9" t="s">
        <v>7</v>
      </c>
      <c r="G1217" s="10"/>
      <c r="H1217" s="96">
        <v>260091</v>
      </c>
      <c r="I1217" s="109" t="s">
        <v>591</v>
      </c>
      <c r="J1217" s="115">
        <v>46053</v>
      </c>
      <c r="K1217" s="119">
        <v>46063</v>
      </c>
      <c r="L1217" s="116">
        <v>14005957</v>
      </c>
      <c r="M1217" s="116" t="s">
        <v>4320</v>
      </c>
      <c r="N1217" s="34" t="s">
        <v>29</v>
      </c>
      <c r="O1217" s="10"/>
      <c r="P1217" s="113">
        <v>46133</v>
      </c>
      <c r="Q1217" s="113">
        <v>46133</v>
      </c>
      <c r="R1217" s="113">
        <v>46133</v>
      </c>
      <c r="S1217" s="37">
        <f t="shared" si="240"/>
        <v>14005957</v>
      </c>
      <c r="T1217" s="37">
        <f t="shared" si="241"/>
        <v>0</v>
      </c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  <c r="AE1217" s="10"/>
    </row>
    <row r="1218" spans="1:31" hidden="1">
      <c r="A1218" s="277" t="s">
        <v>5553</v>
      </c>
      <c r="B1218" s="9" t="s">
        <v>21</v>
      </c>
      <c r="C1218" s="9">
        <v>2026</v>
      </c>
      <c r="D1218" s="9" t="s">
        <v>27</v>
      </c>
      <c r="E1218" s="90" t="s">
        <v>23</v>
      </c>
      <c r="F1218" s="9" t="s">
        <v>7</v>
      </c>
      <c r="G1218" s="10"/>
      <c r="H1218" s="96">
        <v>260089</v>
      </c>
      <c r="I1218" s="109" t="s">
        <v>591</v>
      </c>
      <c r="J1218" s="115">
        <v>46053</v>
      </c>
      <c r="K1218" s="119">
        <v>46063</v>
      </c>
      <c r="L1218" s="116">
        <v>8287704</v>
      </c>
      <c r="M1218" s="116" t="s">
        <v>4321</v>
      </c>
      <c r="N1218" s="34" t="s">
        <v>29</v>
      </c>
      <c r="O1218" s="10"/>
      <c r="P1218" s="113">
        <v>46133</v>
      </c>
      <c r="Q1218" s="113">
        <v>46133</v>
      </c>
      <c r="R1218" s="113">
        <v>46133</v>
      </c>
      <c r="S1218" s="37">
        <f t="shared" si="240"/>
        <v>8287704</v>
      </c>
      <c r="T1218" s="37">
        <f t="shared" si="241"/>
        <v>0</v>
      </c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</row>
    <row r="1219" spans="1:31" hidden="1">
      <c r="A1219" s="277" t="s">
        <v>5554</v>
      </c>
      <c r="B1219" s="9" t="s">
        <v>21</v>
      </c>
      <c r="C1219" s="9">
        <v>2026</v>
      </c>
      <c r="D1219" s="9" t="s">
        <v>27</v>
      </c>
      <c r="E1219" s="90" t="s">
        <v>23</v>
      </c>
      <c r="F1219" s="9" t="s">
        <v>7</v>
      </c>
      <c r="G1219" s="10"/>
      <c r="H1219" s="96">
        <v>260111</v>
      </c>
      <c r="I1219" s="109" t="s">
        <v>591</v>
      </c>
      <c r="J1219" s="115">
        <v>46063</v>
      </c>
      <c r="K1219" s="119">
        <v>46077</v>
      </c>
      <c r="L1219" s="116">
        <v>50283</v>
      </c>
      <c r="M1219" s="116" t="s">
        <v>4381</v>
      </c>
      <c r="N1219" s="34" t="s">
        <v>29</v>
      </c>
      <c r="O1219" s="10"/>
      <c r="P1219" s="113">
        <v>46133</v>
      </c>
      <c r="Q1219" s="113">
        <v>46133</v>
      </c>
      <c r="R1219" s="113">
        <v>46133</v>
      </c>
      <c r="S1219" s="37">
        <f t="shared" ref="S1219:S1227" si="242">IF(R1219="",0,L1219)</f>
        <v>50283</v>
      </c>
      <c r="T1219" s="37">
        <f t="shared" ref="T1219:T1227" si="243">L1219-S1219</f>
        <v>0</v>
      </c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  <c r="AE1219" s="10"/>
    </row>
    <row r="1220" spans="1:31" hidden="1">
      <c r="A1220" s="277" t="s">
        <v>5555</v>
      </c>
      <c r="B1220" s="9" t="s">
        <v>21</v>
      </c>
      <c r="C1220" s="9">
        <v>2026</v>
      </c>
      <c r="D1220" s="9" t="s">
        <v>27</v>
      </c>
      <c r="E1220" s="90" t="s">
        <v>23</v>
      </c>
      <c r="F1220" s="9" t="s">
        <v>7</v>
      </c>
      <c r="G1220" s="10"/>
      <c r="H1220" s="96">
        <v>260107</v>
      </c>
      <c r="I1220" s="109" t="s">
        <v>591</v>
      </c>
      <c r="J1220" s="115">
        <v>46063</v>
      </c>
      <c r="K1220" s="119">
        <v>46077</v>
      </c>
      <c r="L1220" s="116">
        <v>5045838</v>
      </c>
      <c r="M1220" s="116" t="s">
        <v>4382</v>
      </c>
      <c r="N1220" s="34" t="s">
        <v>29</v>
      </c>
      <c r="O1220" s="10"/>
      <c r="P1220" s="113">
        <v>46133</v>
      </c>
      <c r="Q1220" s="113">
        <v>46133</v>
      </c>
      <c r="R1220" s="113">
        <v>46133</v>
      </c>
      <c r="S1220" s="37">
        <f t="shared" si="242"/>
        <v>5045838</v>
      </c>
      <c r="T1220" s="37">
        <f t="shared" si="243"/>
        <v>0</v>
      </c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0"/>
      <c r="AE1220" s="10"/>
    </row>
    <row r="1221" spans="1:31" hidden="1">
      <c r="A1221" s="277" t="s">
        <v>5556</v>
      </c>
      <c r="B1221" s="9" t="s">
        <v>21</v>
      </c>
      <c r="C1221" s="9">
        <v>2026</v>
      </c>
      <c r="D1221" s="9" t="s">
        <v>27</v>
      </c>
      <c r="E1221" s="90" t="s">
        <v>23</v>
      </c>
      <c r="F1221" s="9" t="s">
        <v>7</v>
      </c>
      <c r="G1221" s="10"/>
      <c r="H1221" s="96">
        <v>260105</v>
      </c>
      <c r="I1221" s="109" t="s">
        <v>591</v>
      </c>
      <c r="J1221" s="115">
        <v>46063</v>
      </c>
      <c r="K1221" s="119">
        <v>46077</v>
      </c>
      <c r="L1221" s="116">
        <v>16643961</v>
      </c>
      <c r="M1221" s="116" t="s">
        <v>4383</v>
      </c>
      <c r="N1221" s="34" t="s">
        <v>29</v>
      </c>
      <c r="O1221" s="10"/>
      <c r="P1221" s="113">
        <v>46133</v>
      </c>
      <c r="Q1221" s="113">
        <v>46133</v>
      </c>
      <c r="R1221" s="113">
        <v>46133</v>
      </c>
      <c r="S1221" s="37">
        <f t="shared" si="242"/>
        <v>16643961</v>
      </c>
      <c r="T1221" s="37">
        <f t="shared" si="243"/>
        <v>0</v>
      </c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  <c r="AE1221" s="10"/>
    </row>
    <row r="1222" spans="1:31" hidden="1">
      <c r="A1222" s="277" t="s">
        <v>5557</v>
      </c>
      <c r="B1222" s="9" t="s">
        <v>21</v>
      </c>
      <c r="C1222" s="9">
        <v>2026</v>
      </c>
      <c r="D1222" s="9" t="s">
        <v>27</v>
      </c>
      <c r="E1222" s="90" t="s">
        <v>23</v>
      </c>
      <c r="F1222" s="9" t="s">
        <v>7</v>
      </c>
      <c r="G1222" s="10"/>
      <c r="H1222" s="96">
        <v>260106</v>
      </c>
      <c r="I1222" s="109" t="s">
        <v>591</v>
      </c>
      <c r="J1222" s="115">
        <v>46063</v>
      </c>
      <c r="K1222" s="119">
        <v>46077</v>
      </c>
      <c r="L1222" s="116">
        <v>2944852</v>
      </c>
      <c r="M1222" s="116" t="s">
        <v>4384</v>
      </c>
      <c r="N1222" s="34" t="s">
        <v>29</v>
      </c>
      <c r="O1222" s="10"/>
      <c r="P1222" s="113">
        <v>46133</v>
      </c>
      <c r="Q1222" s="113">
        <v>46133</v>
      </c>
      <c r="R1222" s="113">
        <v>46133</v>
      </c>
      <c r="S1222" s="37">
        <f t="shared" si="242"/>
        <v>2944852</v>
      </c>
      <c r="T1222" s="37">
        <f t="shared" si="243"/>
        <v>0</v>
      </c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0"/>
      <c r="AE1222" s="10"/>
    </row>
    <row r="1223" spans="1:31" hidden="1">
      <c r="A1223" s="277" t="s">
        <v>5558</v>
      </c>
      <c r="B1223" s="9" t="s">
        <v>21</v>
      </c>
      <c r="C1223" s="9">
        <v>2026</v>
      </c>
      <c r="D1223" s="9" t="s">
        <v>27</v>
      </c>
      <c r="E1223" s="90" t="s">
        <v>23</v>
      </c>
      <c r="F1223" s="9" t="s">
        <v>7</v>
      </c>
      <c r="G1223" s="10"/>
      <c r="H1223" s="96">
        <v>260113</v>
      </c>
      <c r="I1223" s="109" t="s">
        <v>591</v>
      </c>
      <c r="J1223" s="115">
        <v>46064</v>
      </c>
      <c r="K1223" s="119">
        <v>46077</v>
      </c>
      <c r="L1223" s="116">
        <v>1687200</v>
      </c>
      <c r="M1223" s="116" t="s">
        <v>4385</v>
      </c>
      <c r="N1223" s="34" t="s">
        <v>29</v>
      </c>
      <c r="O1223" s="10"/>
      <c r="P1223" s="113">
        <v>46133</v>
      </c>
      <c r="Q1223" s="113">
        <v>46133</v>
      </c>
      <c r="R1223" s="113">
        <v>46133</v>
      </c>
      <c r="S1223" s="37">
        <f t="shared" si="242"/>
        <v>1687200</v>
      </c>
      <c r="T1223" s="37">
        <f t="shared" si="243"/>
        <v>0</v>
      </c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  <c r="AE1223" s="10"/>
    </row>
    <row r="1224" spans="1:31" hidden="1">
      <c r="A1224" s="277" t="s">
        <v>5559</v>
      </c>
      <c r="B1224" s="9" t="s">
        <v>21</v>
      </c>
      <c r="C1224" s="9">
        <v>2026</v>
      </c>
      <c r="D1224" s="9" t="s">
        <v>27</v>
      </c>
      <c r="E1224" s="90" t="s">
        <v>23</v>
      </c>
      <c r="F1224" s="9" t="s">
        <v>7</v>
      </c>
      <c r="G1224" s="10"/>
      <c r="H1224" s="96">
        <v>260126</v>
      </c>
      <c r="I1224" s="109" t="s">
        <v>591</v>
      </c>
      <c r="J1224" s="115">
        <v>46073</v>
      </c>
      <c r="K1224" s="119">
        <v>46084</v>
      </c>
      <c r="L1224" s="116">
        <v>348540</v>
      </c>
      <c r="M1224" s="116" t="s">
        <v>4429</v>
      </c>
      <c r="N1224" s="34" t="s">
        <v>29</v>
      </c>
      <c r="O1224" s="10"/>
      <c r="P1224" s="113">
        <v>46133</v>
      </c>
      <c r="Q1224" s="113">
        <v>46133</v>
      </c>
      <c r="R1224" s="113">
        <v>46133</v>
      </c>
      <c r="S1224" s="37">
        <f t="shared" si="242"/>
        <v>348540</v>
      </c>
      <c r="T1224" s="37">
        <f t="shared" si="243"/>
        <v>0</v>
      </c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  <c r="AE1224" s="10"/>
    </row>
    <row r="1225" spans="1:31" hidden="1">
      <c r="A1225" s="277" t="s">
        <v>5560</v>
      </c>
      <c r="B1225" s="9" t="s">
        <v>21</v>
      </c>
      <c r="C1225" s="9">
        <v>2026</v>
      </c>
      <c r="D1225" s="9" t="s">
        <v>27</v>
      </c>
      <c r="E1225" s="90" t="s">
        <v>23</v>
      </c>
      <c r="F1225" s="9" t="s">
        <v>7</v>
      </c>
      <c r="G1225" s="10"/>
      <c r="H1225" s="96">
        <v>260127</v>
      </c>
      <c r="I1225" s="109" t="s">
        <v>591</v>
      </c>
      <c r="J1225" s="115">
        <v>46073</v>
      </c>
      <c r="K1225" s="119">
        <v>46084</v>
      </c>
      <c r="L1225" s="116">
        <v>2504160</v>
      </c>
      <c r="M1225" s="116" t="s">
        <v>4430</v>
      </c>
      <c r="N1225" s="34" t="s">
        <v>29</v>
      </c>
      <c r="O1225" s="10"/>
      <c r="P1225" s="113">
        <v>46133</v>
      </c>
      <c r="Q1225" s="113">
        <v>46133</v>
      </c>
      <c r="R1225" s="113">
        <v>46133</v>
      </c>
      <c r="S1225" s="37">
        <f t="shared" si="242"/>
        <v>2504160</v>
      </c>
      <c r="T1225" s="37">
        <f t="shared" si="243"/>
        <v>0</v>
      </c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  <c r="AE1225" s="10"/>
    </row>
    <row r="1226" spans="1:31" hidden="1">
      <c r="A1226" s="277" t="s">
        <v>5561</v>
      </c>
      <c r="B1226" s="9" t="s">
        <v>21</v>
      </c>
      <c r="C1226" s="9">
        <v>2026</v>
      </c>
      <c r="D1226" s="9" t="s">
        <v>27</v>
      </c>
      <c r="E1226" s="90" t="s">
        <v>23</v>
      </c>
      <c r="F1226" s="9" t="s">
        <v>7</v>
      </c>
      <c r="G1226" s="10"/>
      <c r="H1226" s="96">
        <v>260130</v>
      </c>
      <c r="I1226" s="109" t="s">
        <v>591</v>
      </c>
      <c r="J1226" s="115">
        <v>46076</v>
      </c>
      <c r="K1226" s="119">
        <v>46084</v>
      </c>
      <c r="L1226" s="116">
        <v>4162500</v>
      </c>
      <c r="M1226" s="116" t="s">
        <v>4431</v>
      </c>
      <c r="N1226" s="34" t="s">
        <v>29</v>
      </c>
      <c r="O1226" s="10"/>
      <c r="P1226" s="113">
        <v>46133</v>
      </c>
      <c r="Q1226" s="113">
        <v>46133</v>
      </c>
      <c r="R1226" s="113">
        <v>46133</v>
      </c>
      <c r="S1226" s="37">
        <f t="shared" si="242"/>
        <v>4162500</v>
      </c>
      <c r="T1226" s="37">
        <f t="shared" si="243"/>
        <v>0</v>
      </c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10"/>
    </row>
    <row r="1227" spans="1:31" ht="14.25" hidden="1" customHeight="1">
      <c r="A1227" s="277" t="s">
        <v>5562</v>
      </c>
      <c r="B1227" s="9" t="s">
        <v>21</v>
      </c>
      <c r="C1227" s="9">
        <v>2026</v>
      </c>
      <c r="D1227" s="9" t="s">
        <v>27</v>
      </c>
      <c r="E1227" s="90" t="s">
        <v>23</v>
      </c>
      <c r="F1227" s="9" t="s">
        <v>7</v>
      </c>
      <c r="G1227" s="10"/>
      <c r="H1227" s="96">
        <v>260146</v>
      </c>
      <c r="I1227" s="109" t="s">
        <v>591</v>
      </c>
      <c r="J1227" s="115">
        <v>46081</v>
      </c>
      <c r="K1227" s="119">
        <v>46091</v>
      </c>
      <c r="L1227" s="116">
        <v>2237404</v>
      </c>
      <c r="M1227" s="116" t="s">
        <v>4450</v>
      </c>
      <c r="N1227" s="34" t="s">
        <v>29</v>
      </c>
      <c r="O1227" s="10"/>
      <c r="P1227" s="113">
        <v>46133</v>
      </c>
      <c r="Q1227" s="113">
        <v>46133</v>
      </c>
      <c r="R1227" s="113">
        <v>46133</v>
      </c>
      <c r="S1227" s="37">
        <f t="shared" si="242"/>
        <v>2237404</v>
      </c>
      <c r="T1227" s="37">
        <f t="shared" si="243"/>
        <v>0</v>
      </c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0"/>
    </row>
    <row r="1228" spans="1:31" ht="14.25" hidden="1" customHeight="1">
      <c r="A1228" s="277" t="s">
        <v>5563</v>
      </c>
      <c r="B1228" s="9" t="s">
        <v>21</v>
      </c>
      <c r="C1228" s="9">
        <v>2026</v>
      </c>
      <c r="D1228" s="9" t="s">
        <v>27</v>
      </c>
      <c r="E1228" s="90" t="s">
        <v>23</v>
      </c>
      <c r="F1228" s="9" t="s">
        <v>7</v>
      </c>
      <c r="G1228" s="10"/>
      <c r="H1228" s="96">
        <v>260195</v>
      </c>
      <c r="I1228" s="109" t="s">
        <v>591</v>
      </c>
      <c r="J1228" s="115">
        <v>46112</v>
      </c>
      <c r="K1228" s="119">
        <v>46126</v>
      </c>
      <c r="L1228" s="116">
        <v>10657498</v>
      </c>
      <c r="M1228" s="116" t="s">
        <v>4523</v>
      </c>
      <c r="N1228" s="34" t="s">
        <v>29</v>
      </c>
      <c r="O1228" s="27">
        <f>SUM(L1228:L1239)</f>
        <v>54293987</v>
      </c>
      <c r="P1228" s="113">
        <v>46178</v>
      </c>
      <c r="Q1228" s="113">
        <v>46178</v>
      </c>
      <c r="R1228" s="113">
        <v>46178</v>
      </c>
      <c r="S1228" s="37">
        <f>IF(R1228="",0,L1228)</f>
        <v>10657498</v>
      </c>
      <c r="T1228" s="37">
        <f>L1228-S1228</f>
        <v>0</v>
      </c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</row>
    <row r="1229" spans="1:31" ht="14.25" hidden="1" customHeight="1">
      <c r="A1229" s="277" t="s">
        <v>5564</v>
      </c>
      <c r="B1229" s="9" t="s">
        <v>21</v>
      </c>
      <c r="C1229" s="9">
        <v>2026</v>
      </c>
      <c r="D1229" s="9" t="s">
        <v>27</v>
      </c>
      <c r="E1229" s="90" t="s">
        <v>23</v>
      </c>
      <c r="F1229" s="9" t="s">
        <v>7</v>
      </c>
      <c r="G1229" s="10"/>
      <c r="H1229" s="96">
        <v>260196</v>
      </c>
      <c r="I1229" s="109" t="s">
        <v>591</v>
      </c>
      <c r="J1229" s="115">
        <v>46112</v>
      </c>
      <c r="K1229" s="119">
        <v>46126</v>
      </c>
      <c r="L1229" s="116">
        <v>66600</v>
      </c>
      <c r="M1229" s="116" t="s">
        <v>4524</v>
      </c>
      <c r="N1229" s="34" t="s">
        <v>29</v>
      </c>
      <c r="O1229" s="10"/>
      <c r="P1229" s="113">
        <v>46178</v>
      </c>
      <c r="Q1229" s="113">
        <v>46178</v>
      </c>
      <c r="R1229" s="113">
        <v>46178</v>
      </c>
      <c r="S1229" s="37">
        <f>IF(R1229="",0,L1229)</f>
        <v>66600</v>
      </c>
      <c r="T1229" s="37">
        <f>L1229-S1229</f>
        <v>0</v>
      </c>
      <c r="U1229" s="10"/>
      <c r="V1229" s="10"/>
      <c r="W1229" s="10"/>
      <c r="X1229" s="10"/>
      <c r="Y1229" s="10"/>
      <c r="Z1229" s="10"/>
      <c r="AA1229" s="10"/>
      <c r="AB1229" s="10"/>
      <c r="AC1229" s="10"/>
      <c r="AD1229" s="10"/>
      <c r="AE1229" s="10"/>
    </row>
    <row r="1230" spans="1:31" ht="14.25" hidden="1" customHeight="1">
      <c r="A1230" s="277" t="s">
        <v>5565</v>
      </c>
      <c r="B1230" s="9" t="s">
        <v>21</v>
      </c>
      <c r="C1230" s="9">
        <v>2026</v>
      </c>
      <c r="D1230" s="9" t="s">
        <v>27</v>
      </c>
      <c r="E1230" s="90" t="s">
        <v>23</v>
      </c>
      <c r="F1230" s="9" t="s">
        <v>7</v>
      </c>
      <c r="G1230" s="10"/>
      <c r="H1230" s="96">
        <v>260230</v>
      </c>
      <c r="I1230" s="109" t="s">
        <v>591</v>
      </c>
      <c r="J1230" s="115">
        <v>46134</v>
      </c>
      <c r="K1230" s="119">
        <v>46147</v>
      </c>
      <c r="L1230" s="116">
        <v>9007650</v>
      </c>
      <c r="M1230" s="116" t="s">
        <v>6995</v>
      </c>
      <c r="N1230" s="34" t="s">
        <v>29</v>
      </c>
      <c r="O1230" s="10"/>
      <c r="P1230" s="113">
        <v>46178</v>
      </c>
      <c r="Q1230" s="113">
        <v>46178</v>
      </c>
      <c r="R1230" s="113">
        <v>46178</v>
      </c>
      <c r="S1230" s="37">
        <f t="shared" ref="S1230:S1264" si="244">IF(R1230="",0,L1230)</f>
        <v>9007650</v>
      </c>
      <c r="T1230" s="37">
        <f t="shared" ref="T1230:T1264" si="245">L1230-S1230</f>
        <v>0</v>
      </c>
      <c r="U1230" s="10"/>
      <c r="V1230" s="10"/>
      <c r="W1230" s="10"/>
      <c r="X1230" s="10"/>
      <c r="Y1230" s="10"/>
      <c r="Z1230" s="10"/>
      <c r="AA1230" s="10"/>
      <c r="AB1230" s="10"/>
      <c r="AC1230" s="10"/>
      <c r="AD1230" s="10"/>
      <c r="AE1230" s="10"/>
    </row>
    <row r="1231" spans="1:31" hidden="1">
      <c r="A1231" s="277" t="s">
        <v>5566</v>
      </c>
      <c r="B1231" s="9" t="s">
        <v>21</v>
      </c>
      <c r="C1231" s="9">
        <v>2026</v>
      </c>
      <c r="D1231" s="9" t="s">
        <v>27</v>
      </c>
      <c r="E1231" s="90" t="s">
        <v>23</v>
      </c>
      <c r="F1231" s="9" t="s">
        <v>7</v>
      </c>
      <c r="G1231" s="10"/>
      <c r="H1231" s="96">
        <v>260241</v>
      </c>
      <c r="I1231" s="109" t="s">
        <v>591</v>
      </c>
      <c r="J1231" s="115">
        <v>46136</v>
      </c>
      <c r="K1231" s="119">
        <v>46147</v>
      </c>
      <c r="L1231" s="116">
        <v>8680200</v>
      </c>
      <c r="M1231" s="116" t="s">
        <v>6996</v>
      </c>
      <c r="N1231" s="34" t="s">
        <v>29</v>
      </c>
      <c r="O1231" s="10"/>
      <c r="P1231" s="113">
        <v>46178</v>
      </c>
      <c r="Q1231" s="113">
        <v>46178</v>
      </c>
      <c r="R1231" s="113">
        <v>46178</v>
      </c>
      <c r="S1231" s="37">
        <f t="shared" si="244"/>
        <v>8680200</v>
      </c>
      <c r="T1231" s="37">
        <f t="shared" si="245"/>
        <v>0</v>
      </c>
      <c r="U1231" s="10"/>
      <c r="V1231" s="10"/>
      <c r="W1231" s="10"/>
      <c r="X1231" s="10"/>
      <c r="Y1231" s="10"/>
      <c r="Z1231" s="10"/>
      <c r="AA1231" s="10"/>
      <c r="AB1231" s="10"/>
      <c r="AC1231" s="10"/>
      <c r="AD1231" s="10"/>
      <c r="AE1231" s="10"/>
    </row>
    <row r="1232" spans="1:31" hidden="1">
      <c r="A1232" s="277" t="s">
        <v>5567</v>
      </c>
      <c r="B1232" s="9" t="s">
        <v>21</v>
      </c>
      <c r="C1232" s="9">
        <v>2026</v>
      </c>
      <c r="D1232" s="9" t="s">
        <v>27</v>
      </c>
      <c r="E1232" s="90" t="s">
        <v>23</v>
      </c>
      <c r="F1232" s="9" t="s">
        <v>7</v>
      </c>
      <c r="G1232" s="10"/>
      <c r="H1232" s="96">
        <v>260245</v>
      </c>
      <c r="I1232" s="109" t="s">
        <v>591</v>
      </c>
      <c r="J1232" s="115">
        <v>46136</v>
      </c>
      <c r="K1232" s="119">
        <v>46147</v>
      </c>
      <c r="L1232" s="116">
        <v>11682809</v>
      </c>
      <c r="M1232" s="116" t="s">
        <v>6997</v>
      </c>
      <c r="N1232" s="34" t="s">
        <v>29</v>
      </c>
      <c r="O1232" s="10"/>
      <c r="P1232" s="113">
        <v>46178</v>
      </c>
      <c r="Q1232" s="113">
        <v>46178</v>
      </c>
      <c r="R1232" s="113">
        <v>46178</v>
      </c>
      <c r="S1232" s="37">
        <f t="shared" si="244"/>
        <v>11682809</v>
      </c>
      <c r="T1232" s="37">
        <f t="shared" si="245"/>
        <v>0</v>
      </c>
      <c r="U1232" s="10"/>
      <c r="V1232" s="10"/>
      <c r="W1232" s="10"/>
      <c r="X1232" s="10"/>
      <c r="Y1232" s="10"/>
      <c r="Z1232" s="10"/>
      <c r="AA1232" s="10"/>
      <c r="AB1232" s="10"/>
      <c r="AC1232" s="10"/>
      <c r="AD1232" s="10"/>
      <c r="AE1232" s="10"/>
    </row>
    <row r="1233" spans="1:31" hidden="1">
      <c r="A1233" s="277" t="s">
        <v>5568</v>
      </c>
      <c r="B1233" s="9" t="s">
        <v>21</v>
      </c>
      <c r="C1233" s="9">
        <v>2026</v>
      </c>
      <c r="D1233" s="9" t="s">
        <v>27</v>
      </c>
      <c r="E1233" s="90" t="s">
        <v>23</v>
      </c>
      <c r="F1233" s="9" t="s">
        <v>7</v>
      </c>
      <c r="G1233" s="10"/>
      <c r="H1233" s="96">
        <v>260243</v>
      </c>
      <c r="I1233" s="109" t="s">
        <v>591</v>
      </c>
      <c r="J1233" s="115">
        <v>46136</v>
      </c>
      <c r="K1233" s="119">
        <v>46147</v>
      </c>
      <c r="L1233" s="116">
        <v>6725268</v>
      </c>
      <c r="M1233" s="116" t="s">
        <v>6998</v>
      </c>
      <c r="N1233" s="34" t="s">
        <v>29</v>
      </c>
      <c r="O1233" s="10"/>
      <c r="P1233" s="113">
        <v>46178</v>
      </c>
      <c r="Q1233" s="113">
        <v>46178</v>
      </c>
      <c r="R1233" s="113">
        <v>46178</v>
      </c>
      <c r="S1233" s="37">
        <f t="shared" si="244"/>
        <v>6725268</v>
      </c>
      <c r="T1233" s="37">
        <f t="shared" si="245"/>
        <v>0</v>
      </c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  <c r="AE1233" s="10"/>
    </row>
    <row r="1234" spans="1:31" hidden="1">
      <c r="A1234" s="277" t="s">
        <v>5569</v>
      </c>
      <c r="B1234" s="9" t="s">
        <v>21</v>
      </c>
      <c r="C1234" s="9">
        <v>2026</v>
      </c>
      <c r="D1234" s="9" t="s">
        <v>27</v>
      </c>
      <c r="E1234" s="90" t="s">
        <v>23</v>
      </c>
      <c r="F1234" s="9" t="s">
        <v>7</v>
      </c>
      <c r="G1234" s="10"/>
      <c r="H1234" s="96">
        <v>260244</v>
      </c>
      <c r="I1234" s="109" t="s">
        <v>591</v>
      </c>
      <c r="J1234" s="115">
        <v>46136</v>
      </c>
      <c r="K1234" s="119">
        <v>46147</v>
      </c>
      <c r="L1234" s="116">
        <v>142524</v>
      </c>
      <c r="M1234" s="116" t="s">
        <v>6999</v>
      </c>
      <c r="N1234" s="34" t="s">
        <v>29</v>
      </c>
      <c r="O1234" s="10"/>
      <c r="P1234" s="113">
        <v>46178</v>
      </c>
      <c r="Q1234" s="113">
        <v>46178</v>
      </c>
      <c r="R1234" s="113">
        <v>46178</v>
      </c>
      <c r="S1234" s="37">
        <f t="shared" si="244"/>
        <v>142524</v>
      </c>
      <c r="T1234" s="37">
        <f t="shared" si="245"/>
        <v>0</v>
      </c>
      <c r="U1234" s="10"/>
      <c r="V1234" s="10"/>
      <c r="W1234" s="10"/>
      <c r="X1234" s="10"/>
      <c r="Y1234" s="10"/>
      <c r="Z1234" s="10"/>
      <c r="AA1234" s="10"/>
      <c r="AB1234" s="10"/>
      <c r="AC1234" s="10"/>
      <c r="AD1234" s="10"/>
      <c r="AE1234" s="10"/>
    </row>
    <row r="1235" spans="1:31" hidden="1">
      <c r="A1235" s="277" t="s">
        <v>5570</v>
      </c>
      <c r="B1235" s="9" t="s">
        <v>21</v>
      </c>
      <c r="C1235" s="9">
        <v>2026</v>
      </c>
      <c r="D1235" s="9" t="s">
        <v>27</v>
      </c>
      <c r="E1235" s="90" t="s">
        <v>23</v>
      </c>
      <c r="F1235" s="9" t="s">
        <v>7</v>
      </c>
      <c r="G1235" s="10"/>
      <c r="H1235" s="96">
        <v>260242</v>
      </c>
      <c r="I1235" s="109" t="s">
        <v>591</v>
      </c>
      <c r="J1235" s="115">
        <v>46136</v>
      </c>
      <c r="K1235" s="119">
        <v>46147</v>
      </c>
      <c r="L1235" s="116">
        <v>888000</v>
      </c>
      <c r="M1235" s="116" t="s">
        <v>7000</v>
      </c>
      <c r="N1235" s="34" t="s">
        <v>29</v>
      </c>
      <c r="O1235" s="10"/>
      <c r="P1235" s="113">
        <v>46178</v>
      </c>
      <c r="Q1235" s="113">
        <v>46178</v>
      </c>
      <c r="R1235" s="113">
        <v>46178</v>
      </c>
      <c r="S1235" s="37">
        <f t="shared" si="244"/>
        <v>888000</v>
      </c>
      <c r="T1235" s="37">
        <f t="shared" si="245"/>
        <v>0</v>
      </c>
      <c r="U1235" s="10"/>
      <c r="V1235" s="10"/>
      <c r="W1235" s="10"/>
      <c r="X1235" s="10"/>
      <c r="Y1235" s="10"/>
      <c r="Z1235" s="10"/>
      <c r="AA1235" s="10"/>
      <c r="AB1235" s="10"/>
      <c r="AC1235" s="10"/>
      <c r="AD1235" s="10"/>
      <c r="AE1235" s="10"/>
    </row>
    <row r="1236" spans="1:31" hidden="1">
      <c r="A1236" s="277" t="s">
        <v>5571</v>
      </c>
      <c r="B1236" s="9" t="s">
        <v>21</v>
      </c>
      <c r="C1236" s="9">
        <v>2026</v>
      </c>
      <c r="D1236" s="9" t="s">
        <v>27</v>
      </c>
      <c r="E1236" s="90" t="s">
        <v>23</v>
      </c>
      <c r="F1236" s="9" t="s">
        <v>7</v>
      </c>
      <c r="G1236" s="10"/>
      <c r="H1236" s="96">
        <v>260248</v>
      </c>
      <c r="I1236" s="109" t="s">
        <v>591</v>
      </c>
      <c r="J1236" s="115">
        <v>46140</v>
      </c>
      <c r="K1236" s="119">
        <v>46154</v>
      </c>
      <c r="L1236" s="116">
        <v>1749937</v>
      </c>
      <c r="M1236" s="116" t="s">
        <v>7035</v>
      </c>
      <c r="N1236" s="34" t="s">
        <v>29</v>
      </c>
      <c r="O1236" s="10"/>
      <c r="P1236" s="113">
        <v>46178</v>
      </c>
      <c r="Q1236" s="113">
        <v>46178</v>
      </c>
      <c r="R1236" s="113">
        <v>46178</v>
      </c>
      <c r="S1236" s="37">
        <f t="shared" si="244"/>
        <v>1749937</v>
      </c>
      <c r="T1236" s="37">
        <f t="shared" si="245"/>
        <v>0</v>
      </c>
      <c r="U1236" s="10"/>
      <c r="V1236" s="10"/>
      <c r="W1236" s="10"/>
      <c r="X1236" s="10"/>
      <c r="Y1236" s="10"/>
      <c r="Z1236" s="10"/>
      <c r="AA1236" s="10"/>
      <c r="AB1236" s="10"/>
      <c r="AC1236" s="10"/>
      <c r="AD1236" s="10"/>
      <c r="AE1236" s="10"/>
    </row>
    <row r="1237" spans="1:31" hidden="1">
      <c r="A1237" s="277" t="s">
        <v>5572</v>
      </c>
      <c r="B1237" s="9" t="s">
        <v>21</v>
      </c>
      <c r="C1237" s="9">
        <v>2026</v>
      </c>
      <c r="D1237" s="9" t="s">
        <v>27</v>
      </c>
      <c r="E1237" s="90" t="s">
        <v>23</v>
      </c>
      <c r="F1237" s="9" t="s">
        <v>7</v>
      </c>
      <c r="G1237" s="10"/>
      <c r="H1237" s="96">
        <v>260249</v>
      </c>
      <c r="I1237" s="109" t="s">
        <v>591</v>
      </c>
      <c r="J1237" s="115">
        <v>46141</v>
      </c>
      <c r="K1237" s="119">
        <v>46154</v>
      </c>
      <c r="L1237" s="116">
        <v>2640001</v>
      </c>
      <c r="M1237" s="116" t="s">
        <v>7036</v>
      </c>
      <c r="N1237" s="34" t="s">
        <v>29</v>
      </c>
      <c r="O1237" s="10"/>
      <c r="P1237" s="113">
        <v>46178</v>
      </c>
      <c r="Q1237" s="113">
        <v>46178</v>
      </c>
      <c r="R1237" s="113">
        <v>46178</v>
      </c>
      <c r="S1237" s="37">
        <f t="shared" si="244"/>
        <v>2640001</v>
      </c>
      <c r="T1237" s="37">
        <f t="shared" si="245"/>
        <v>0</v>
      </c>
      <c r="U1237" s="10"/>
      <c r="V1237" s="10"/>
      <c r="W1237" s="10"/>
      <c r="X1237" s="10"/>
      <c r="Y1237" s="10"/>
      <c r="Z1237" s="10"/>
      <c r="AA1237" s="10"/>
      <c r="AB1237" s="10"/>
      <c r="AC1237" s="10"/>
      <c r="AD1237" s="10"/>
      <c r="AE1237" s="10"/>
    </row>
    <row r="1238" spans="1:31" hidden="1">
      <c r="A1238" s="277" t="s">
        <v>5573</v>
      </c>
      <c r="B1238" s="9" t="s">
        <v>21</v>
      </c>
      <c r="C1238" s="9">
        <v>2026</v>
      </c>
      <c r="D1238" s="9" t="s">
        <v>27</v>
      </c>
      <c r="E1238" s="90" t="s">
        <v>23</v>
      </c>
      <c r="F1238" s="9" t="s">
        <v>7</v>
      </c>
      <c r="G1238" s="10"/>
      <c r="H1238" s="96">
        <v>260257</v>
      </c>
      <c r="I1238" s="109" t="s">
        <v>591</v>
      </c>
      <c r="J1238" s="115">
        <v>46141</v>
      </c>
      <c r="K1238" s="119">
        <v>46154</v>
      </c>
      <c r="L1238" s="116">
        <v>1931400</v>
      </c>
      <c r="M1238" s="116" t="s">
        <v>7037</v>
      </c>
      <c r="N1238" s="34" t="s">
        <v>29</v>
      </c>
      <c r="O1238" s="10"/>
      <c r="P1238" s="113">
        <v>46178</v>
      </c>
      <c r="Q1238" s="113">
        <v>46178</v>
      </c>
      <c r="R1238" s="113">
        <v>46178</v>
      </c>
      <c r="S1238" s="37">
        <f t="shared" si="244"/>
        <v>1931400</v>
      </c>
      <c r="T1238" s="37">
        <f t="shared" si="245"/>
        <v>0</v>
      </c>
      <c r="U1238" s="10"/>
      <c r="V1238" s="10"/>
      <c r="W1238" s="10"/>
      <c r="X1238" s="10"/>
      <c r="Y1238" s="10"/>
      <c r="Z1238" s="10"/>
      <c r="AA1238" s="10"/>
      <c r="AB1238" s="10"/>
      <c r="AC1238" s="10"/>
      <c r="AD1238" s="10"/>
      <c r="AE1238" s="10"/>
    </row>
    <row r="1239" spans="1:31" ht="14.25" customHeight="1">
      <c r="A1239" s="277" t="s">
        <v>5574</v>
      </c>
      <c r="B1239" s="9" t="s">
        <v>21</v>
      </c>
      <c r="C1239" s="9">
        <v>2026</v>
      </c>
      <c r="D1239" s="9" t="s">
        <v>27</v>
      </c>
      <c r="E1239" s="90" t="s">
        <v>23</v>
      </c>
      <c r="F1239" s="9" t="s">
        <v>7</v>
      </c>
      <c r="G1239" s="10"/>
      <c r="H1239" s="96">
        <v>260288</v>
      </c>
      <c r="I1239" s="109" t="s">
        <v>591</v>
      </c>
      <c r="J1239" s="115">
        <v>46157</v>
      </c>
      <c r="K1239" s="119">
        <v>46168</v>
      </c>
      <c r="L1239" s="116">
        <v>122100</v>
      </c>
      <c r="M1239" s="116" t="s">
        <v>7083</v>
      </c>
      <c r="N1239" s="34" t="s">
        <v>29</v>
      </c>
      <c r="O1239" s="10"/>
      <c r="P1239" s="113">
        <v>46178</v>
      </c>
      <c r="Q1239" s="113">
        <v>46178</v>
      </c>
      <c r="R1239" s="113">
        <v>46178</v>
      </c>
      <c r="S1239" s="37">
        <f t="shared" si="244"/>
        <v>122100</v>
      </c>
      <c r="T1239" s="37">
        <f t="shared" si="245"/>
        <v>0</v>
      </c>
      <c r="U1239" s="10"/>
      <c r="V1239" s="10"/>
      <c r="W1239" s="10"/>
      <c r="X1239" s="10"/>
      <c r="Y1239" s="10"/>
      <c r="Z1239" s="10"/>
      <c r="AA1239" s="10"/>
      <c r="AB1239" s="10"/>
      <c r="AC1239" s="10"/>
      <c r="AD1239" s="10"/>
      <c r="AE1239" s="10"/>
    </row>
    <row r="1240" spans="1:31" ht="14.25" customHeight="1">
      <c r="A1240" s="277" t="s">
        <v>5575</v>
      </c>
      <c r="B1240" s="9" t="s">
        <v>21</v>
      </c>
      <c r="C1240" s="9">
        <v>2026</v>
      </c>
      <c r="D1240" s="9" t="s">
        <v>27</v>
      </c>
      <c r="E1240" s="90" t="s">
        <v>23</v>
      </c>
      <c r="F1240" s="9" t="s">
        <v>7</v>
      </c>
      <c r="G1240" s="10"/>
      <c r="H1240" s="96">
        <v>260340</v>
      </c>
      <c r="I1240" s="109" t="s">
        <v>591</v>
      </c>
      <c r="J1240" s="115">
        <v>46182</v>
      </c>
      <c r="K1240" s="119">
        <v>46198</v>
      </c>
      <c r="L1240" s="116">
        <v>6660000</v>
      </c>
      <c r="M1240" s="116" t="s">
        <v>7163</v>
      </c>
      <c r="N1240" s="34" t="s">
        <v>29</v>
      </c>
      <c r="O1240" s="27">
        <f>SUM(L1240:L1244)</f>
        <v>25853838</v>
      </c>
      <c r="P1240" s="113">
        <v>46231</v>
      </c>
      <c r="Q1240" s="113">
        <v>46231</v>
      </c>
      <c r="R1240" s="113">
        <v>46231</v>
      </c>
      <c r="S1240" s="37">
        <f t="shared" ref="S1240:S1245" si="246">IF(R1240="",0,L1240)</f>
        <v>6660000</v>
      </c>
      <c r="T1240" s="37">
        <f t="shared" ref="T1240:T1245" si="247">L1240-S1240</f>
        <v>0</v>
      </c>
      <c r="U1240" s="10"/>
      <c r="V1240" s="10"/>
      <c r="W1240" s="10"/>
      <c r="X1240" s="10"/>
      <c r="Y1240" s="10"/>
      <c r="Z1240" s="10"/>
      <c r="AA1240" s="10"/>
      <c r="AB1240" s="10"/>
      <c r="AC1240" s="10"/>
      <c r="AD1240" s="10"/>
      <c r="AE1240" s="10"/>
    </row>
    <row r="1241" spans="1:31" ht="14.25" customHeight="1">
      <c r="A1241" s="277" t="s">
        <v>5576</v>
      </c>
      <c r="B1241" s="9" t="s">
        <v>21</v>
      </c>
      <c r="C1241" s="9">
        <v>2026</v>
      </c>
      <c r="D1241" s="9" t="s">
        <v>27</v>
      </c>
      <c r="E1241" s="90" t="s">
        <v>23</v>
      </c>
      <c r="F1241" s="9" t="s">
        <v>7</v>
      </c>
      <c r="G1241" s="10"/>
      <c r="H1241" s="96">
        <v>260345</v>
      </c>
      <c r="I1241" s="109" t="s">
        <v>591</v>
      </c>
      <c r="J1241" s="115">
        <v>46183</v>
      </c>
      <c r="K1241" s="119">
        <v>46198</v>
      </c>
      <c r="L1241" s="116">
        <v>7554438</v>
      </c>
      <c r="M1241" s="116" t="s">
        <v>7164</v>
      </c>
      <c r="N1241" s="34" t="s">
        <v>29</v>
      </c>
      <c r="O1241" s="10"/>
      <c r="P1241" s="113">
        <v>46231</v>
      </c>
      <c r="Q1241" s="113">
        <v>46231</v>
      </c>
      <c r="R1241" s="113">
        <v>46231</v>
      </c>
      <c r="S1241" s="37">
        <f t="shared" si="246"/>
        <v>7554438</v>
      </c>
      <c r="T1241" s="37">
        <f t="shared" si="247"/>
        <v>0</v>
      </c>
      <c r="U1241" s="10"/>
      <c r="V1241" s="10"/>
      <c r="W1241" s="10"/>
      <c r="X1241" s="10"/>
      <c r="Y1241" s="10"/>
      <c r="Z1241" s="10"/>
      <c r="AA1241" s="10"/>
      <c r="AB1241" s="10"/>
      <c r="AC1241" s="10"/>
      <c r="AD1241" s="10"/>
      <c r="AE1241" s="10"/>
    </row>
    <row r="1242" spans="1:31" ht="14.25" customHeight="1">
      <c r="A1242" s="277" t="s">
        <v>5577</v>
      </c>
      <c r="B1242" s="9" t="s">
        <v>21</v>
      </c>
      <c r="C1242" s="9">
        <v>2026</v>
      </c>
      <c r="D1242" s="9" t="s">
        <v>27</v>
      </c>
      <c r="E1242" s="90" t="s">
        <v>23</v>
      </c>
      <c r="F1242" s="9" t="s">
        <v>7</v>
      </c>
      <c r="G1242" s="10"/>
      <c r="H1242" s="96">
        <v>260350</v>
      </c>
      <c r="I1242" s="109" t="s">
        <v>591</v>
      </c>
      <c r="J1242" s="115">
        <v>46183</v>
      </c>
      <c r="K1242" s="119">
        <v>46198</v>
      </c>
      <c r="L1242" s="116">
        <v>260850</v>
      </c>
      <c r="M1242" s="116" t="s">
        <v>7165</v>
      </c>
      <c r="N1242" s="34" t="s">
        <v>29</v>
      </c>
      <c r="O1242" s="10"/>
      <c r="P1242" s="113">
        <v>46231</v>
      </c>
      <c r="Q1242" s="113">
        <v>46231</v>
      </c>
      <c r="R1242" s="113">
        <v>46231</v>
      </c>
      <c r="S1242" s="37">
        <f t="shared" si="246"/>
        <v>260850</v>
      </c>
      <c r="T1242" s="37">
        <f t="shared" si="247"/>
        <v>0</v>
      </c>
      <c r="U1242" s="10"/>
      <c r="V1242" s="10"/>
      <c r="W1242" s="10"/>
      <c r="X1242" s="10"/>
      <c r="Y1242" s="10"/>
      <c r="Z1242" s="10"/>
      <c r="AA1242" s="10"/>
      <c r="AB1242" s="10"/>
      <c r="AC1242" s="10"/>
      <c r="AD1242" s="10"/>
      <c r="AE1242" s="10"/>
    </row>
    <row r="1243" spans="1:31" ht="14.25" customHeight="1">
      <c r="A1243" s="277" t="s">
        <v>5578</v>
      </c>
      <c r="B1243" s="9" t="s">
        <v>21</v>
      </c>
      <c r="C1243" s="9">
        <v>2026</v>
      </c>
      <c r="D1243" s="9" t="s">
        <v>27</v>
      </c>
      <c r="E1243" s="90" t="s">
        <v>23</v>
      </c>
      <c r="F1243" s="9" t="s">
        <v>7</v>
      </c>
      <c r="G1243" s="10"/>
      <c r="H1243" s="96">
        <v>260347</v>
      </c>
      <c r="I1243" s="109" t="s">
        <v>591</v>
      </c>
      <c r="J1243" s="115">
        <v>46183</v>
      </c>
      <c r="K1243" s="119">
        <v>46198</v>
      </c>
      <c r="L1243" s="116">
        <v>2427592</v>
      </c>
      <c r="M1243" s="116" t="s">
        <v>7166</v>
      </c>
      <c r="N1243" s="34" t="s">
        <v>29</v>
      </c>
      <c r="O1243" s="10"/>
      <c r="P1243" s="113">
        <v>46231</v>
      </c>
      <c r="Q1243" s="113">
        <v>46231</v>
      </c>
      <c r="R1243" s="113">
        <v>46231</v>
      </c>
      <c r="S1243" s="37">
        <f t="shared" si="246"/>
        <v>2427592</v>
      </c>
      <c r="T1243" s="37">
        <f t="shared" si="247"/>
        <v>0</v>
      </c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  <c r="AE1243" s="10"/>
    </row>
    <row r="1244" spans="1:31" ht="14.25" customHeight="1">
      <c r="A1244" s="277" t="s">
        <v>5579</v>
      </c>
      <c r="B1244" s="9" t="s">
        <v>21</v>
      </c>
      <c r="C1244" s="9">
        <v>2026</v>
      </c>
      <c r="D1244" s="9" t="s">
        <v>27</v>
      </c>
      <c r="E1244" s="90" t="s">
        <v>23</v>
      </c>
      <c r="F1244" s="9" t="s">
        <v>7</v>
      </c>
      <c r="G1244" s="10"/>
      <c r="H1244" s="96">
        <v>260346</v>
      </c>
      <c r="I1244" s="109" t="s">
        <v>591</v>
      </c>
      <c r="J1244" s="115">
        <v>46183</v>
      </c>
      <c r="K1244" s="119">
        <v>46198</v>
      </c>
      <c r="L1244" s="116">
        <v>8950958</v>
      </c>
      <c r="M1244" s="116" t="s">
        <v>7167</v>
      </c>
      <c r="N1244" s="34" t="s">
        <v>29</v>
      </c>
      <c r="O1244" s="10"/>
      <c r="P1244" s="113">
        <v>46231</v>
      </c>
      <c r="Q1244" s="113">
        <v>46231</v>
      </c>
      <c r="R1244" s="113">
        <v>46231</v>
      </c>
      <c r="S1244" s="37">
        <f t="shared" si="246"/>
        <v>8950958</v>
      </c>
      <c r="T1244" s="37">
        <f t="shared" si="247"/>
        <v>0</v>
      </c>
      <c r="U1244" s="10"/>
      <c r="V1244" s="10"/>
      <c r="W1244" s="10"/>
      <c r="X1244" s="10"/>
      <c r="Y1244" s="10"/>
      <c r="Z1244" s="10"/>
      <c r="AA1244" s="10"/>
      <c r="AB1244" s="10"/>
      <c r="AC1244" s="10"/>
      <c r="AD1244" s="10"/>
      <c r="AE1244" s="10"/>
    </row>
    <row r="1245" spans="1:31" ht="14.25" customHeight="1">
      <c r="A1245" s="277" t="s">
        <v>5580</v>
      </c>
      <c r="B1245" s="9" t="s">
        <v>21</v>
      </c>
      <c r="C1245" s="9">
        <v>2026</v>
      </c>
      <c r="D1245" s="9" t="s">
        <v>77</v>
      </c>
      <c r="E1245" s="90" t="s">
        <v>23</v>
      </c>
      <c r="F1245" s="9" t="s">
        <v>7</v>
      </c>
      <c r="G1245" s="10"/>
      <c r="H1245" s="9">
        <v>260356</v>
      </c>
      <c r="I1245" s="11" t="s">
        <v>591</v>
      </c>
      <c r="J1245" s="12">
        <v>46186</v>
      </c>
      <c r="K1245" s="122">
        <v>46198</v>
      </c>
      <c r="L1245" s="27">
        <v>1931400</v>
      </c>
      <c r="M1245" s="27" t="s">
        <v>7168</v>
      </c>
      <c r="N1245" s="34">
        <f t="shared" ref="N1245:N1262" ca="1" si="248">$J$3-J1245</f>
        <v>54.463776388889528</v>
      </c>
      <c r="O1245" s="10"/>
      <c r="P1245" s="39"/>
      <c r="Q1245" s="39"/>
      <c r="R1245" s="39"/>
      <c r="S1245" s="37">
        <f t="shared" si="246"/>
        <v>0</v>
      </c>
      <c r="T1245" s="37">
        <f t="shared" si="247"/>
        <v>1931400</v>
      </c>
      <c r="U1245" s="10"/>
      <c r="V1245" s="10"/>
      <c r="W1245" s="10"/>
      <c r="X1245" s="10"/>
      <c r="Y1245" s="10"/>
      <c r="Z1245" s="10"/>
      <c r="AA1245" s="10"/>
      <c r="AB1245" s="10"/>
      <c r="AC1245" s="10"/>
      <c r="AD1245" s="10"/>
      <c r="AE1245" s="10"/>
    </row>
    <row r="1246" spans="1:31" ht="14.25" customHeight="1">
      <c r="A1246" s="277" t="s">
        <v>5581</v>
      </c>
      <c r="B1246" s="9" t="s">
        <v>21</v>
      </c>
      <c r="C1246" s="9">
        <v>2026</v>
      </c>
      <c r="D1246" s="9" t="s">
        <v>77</v>
      </c>
      <c r="E1246" s="90" t="s">
        <v>23</v>
      </c>
      <c r="F1246" s="9" t="s">
        <v>7</v>
      </c>
      <c r="G1246" s="10"/>
      <c r="H1246" s="9">
        <v>260368</v>
      </c>
      <c r="I1246" s="11" t="s">
        <v>591</v>
      </c>
      <c r="J1246" s="12">
        <v>46188</v>
      </c>
      <c r="K1246" s="122">
        <v>46203</v>
      </c>
      <c r="L1246" s="27">
        <v>1274280</v>
      </c>
      <c r="M1246" s="27" t="s">
        <v>7191</v>
      </c>
      <c r="N1246" s="34">
        <f t="shared" ca="1" si="248"/>
        <v>52.463776388889528</v>
      </c>
      <c r="O1246" s="10"/>
      <c r="P1246" s="39"/>
      <c r="Q1246" s="39"/>
      <c r="R1246" s="39"/>
      <c r="S1246" s="37">
        <f t="shared" ref="S1246:S1250" si="249">IF(R1246="",0,L1246)</f>
        <v>0</v>
      </c>
      <c r="T1246" s="37">
        <f t="shared" ref="T1246:T1250" si="250">L1246-S1246</f>
        <v>1274280</v>
      </c>
      <c r="U1246" s="10"/>
      <c r="V1246" s="10"/>
      <c r="W1246" s="10"/>
      <c r="X1246" s="10"/>
      <c r="Y1246" s="10"/>
      <c r="Z1246" s="10"/>
      <c r="AA1246" s="10"/>
      <c r="AB1246" s="10"/>
      <c r="AC1246" s="10"/>
      <c r="AD1246" s="10"/>
      <c r="AE1246" s="10"/>
    </row>
    <row r="1247" spans="1:31" ht="14.25" customHeight="1">
      <c r="A1247" s="277" t="s">
        <v>5582</v>
      </c>
      <c r="B1247" s="9" t="s">
        <v>21</v>
      </c>
      <c r="C1247" s="9">
        <v>2026</v>
      </c>
      <c r="D1247" s="9" t="s">
        <v>77</v>
      </c>
      <c r="E1247" s="90" t="s">
        <v>23</v>
      </c>
      <c r="F1247" s="9" t="s">
        <v>7</v>
      </c>
      <c r="G1247" s="10"/>
      <c r="H1247" s="9">
        <v>260380</v>
      </c>
      <c r="I1247" s="11" t="s">
        <v>591</v>
      </c>
      <c r="J1247" s="12">
        <v>46192</v>
      </c>
      <c r="K1247" s="122">
        <v>46203</v>
      </c>
      <c r="L1247" s="27">
        <v>6365228</v>
      </c>
      <c r="M1247" s="27" t="s">
        <v>7192</v>
      </c>
      <c r="N1247" s="34">
        <f t="shared" ca="1" si="248"/>
        <v>48.463776388889528</v>
      </c>
      <c r="O1247" s="10"/>
      <c r="P1247" s="39"/>
      <c r="Q1247" s="39"/>
      <c r="R1247" s="39"/>
      <c r="S1247" s="37">
        <f t="shared" si="249"/>
        <v>0</v>
      </c>
      <c r="T1247" s="37">
        <f t="shared" si="250"/>
        <v>6365228</v>
      </c>
      <c r="U1247" s="10"/>
      <c r="V1247" s="10"/>
      <c r="W1247" s="10"/>
      <c r="X1247" s="10"/>
      <c r="Y1247" s="10"/>
      <c r="Z1247" s="10"/>
      <c r="AA1247" s="10"/>
      <c r="AB1247" s="10"/>
      <c r="AC1247" s="10"/>
      <c r="AD1247" s="10"/>
      <c r="AE1247" s="10"/>
    </row>
    <row r="1248" spans="1:31" ht="14.25" customHeight="1">
      <c r="A1248" s="277" t="s">
        <v>5583</v>
      </c>
      <c r="B1248" s="9" t="s">
        <v>21</v>
      </c>
      <c r="C1248" s="9">
        <v>2026</v>
      </c>
      <c r="D1248" s="9" t="s">
        <v>77</v>
      </c>
      <c r="E1248" s="90" t="s">
        <v>23</v>
      </c>
      <c r="F1248" s="9" t="s">
        <v>7</v>
      </c>
      <c r="G1248" s="10"/>
      <c r="H1248" s="9">
        <v>260381</v>
      </c>
      <c r="I1248" s="11" t="s">
        <v>591</v>
      </c>
      <c r="J1248" s="12">
        <v>46192</v>
      </c>
      <c r="K1248" s="122">
        <v>46203</v>
      </c>
      <c r="L1248" s="27">
        <v>4143852</v>
      </c>
      <c r="M1248" s="27" t="s">
        <v>7193</v>
      </c>
      <c r="N1248" s="34">
        <f t="shared" ca="1" si="248"/>
        <v>48.463776388889528</v>
      </c>
      <c r="O1248" s="10"/>
      <c r="P1248" s="39"/>
      <c r="Q1248" s="39"/>
      <c r="R1248" s="39"/>
      <c r="S1248" s="37">
        <f t="shared" si="249"/>
        <v>0</v>
      </c>
      <c r="T1248" s="37">
        <f t="shared" si="250"/>
        <v>4143852</v>
      </c>
      <c r="U1248" s="10"/>
      <c r="V1248" s="10"/>
      <c r="W1248" s="10"/>
      <c r="X1248" s="10"/>
      <c r="Y1248" s="10"/>
      <c r="Z1248" s="10"/>
      <c r="AA1248" s="10"/>
      <c r="AB1248" s="10"/>
      <c r="AC1248" s="10"/>
      <c r="AD1248" s="10"/>
      <c r="AE1248" s="10"/>
    </row>
    <row r="1249" spans="1:31" ht="14.25" customHeight="1">
      <c r="A1249" s="277" t="s">
        <v>5584</v>
      </c>
      <c r="B1249" s="9" t="s">
        <v>21</v>
      </c>
      <c r="C1249" s="9">
        <v>2026</v>
      </c>
      <c r="D1249" s="9" t="s">
        <v>77</v>
      </c>
      <c r="E1249" s="90" t="s">
        <v>23</v>
      </c>
      <c r="F1249" s="9" t="s">
        <v>7</v>
      </c>
      <c r="G1249" s="10"/>
      <c r="H1249" s="9">
        <v>260379</v>
      </c>
      <c r="I1249" s="11" t="s">
        <v>591</v>
      </c>
      <c r="J1249" s="12">
        <v>46192</v>
      </c>
      <c r="K1249" s="122">
        <v>46203</v>
      </c>
      <c r="L1249" s="27">
        <v>1227021</v>
      </c>
      <c r="M1249" s="27" t="s">
        <v>7194</v>
      </c>
      <c r="N1249" s="34">
        <f t="shared" ca="1" si="248"/>
        <v>48.463776388889528</v>
      </c>
      <c r="O1249" s="10"/>
      <c r="P1249" s="39"/>
      <c r="Q1249" s="39"/>
      <c r="R1249" s="39"/>
      <c r="S1249" s="37">
        <f t="shared" si="249"/>
        <v>0</v>
      </c>
      <c r="T1249" s="37">
        <f t="shared" si="250"/>
        <v>1227021</v>
      </c>
      <c r="U1249" s="10"/>
      <c r="V1249" s="10"/>
      <c r="W1249" s="10"/>
      <c r="X1249" s="10"/>
      <c r="Y1249" s="10"/>
      <c r="Z1249" s="10"/>
      <c r="AA1249" s="10"/>
      <c r="AB1249" s="10"/>
      <c r="AC1249" s="10"/>
      <c r="AD1249" s="10"/>
      <c r="AE1249" s="10"/>
    </row>
    <row r="1250" spans="1:31" ht="14.25" customHeight="1">
      <c r="A1250" s="277" t="s">
        <v>5585</v>
      </c>
      <c r="B1250" s="9" t="s">
        <v>21</v>
      </c>
      <c r="C1250" s="9">
        <v>2026</v>
      </c>
      <c r="D1250" s="9" t="s">
        <v>77</v>
      </c>
      <c r="E1250" s="90" t="s">
        <v>23</v>
      </c>
      <c r="F1250" s="9" t="s">
        <v>7</v>
      </c>
      <c r="G1250" s="10"/>
      <c r="H1250" s="9">
        <v>260387</v>
      </c>
      <c r="I1250" s="11" t="s">
        <v>591</v>
      </c>
      <c r="J1250" s="12">
        <v>46195</v>
      </c>
      <c r="K1250" s="122">
        <v>46203</v>
      </c>
      <c r="L1250" s="27">
        <v>8312848</v>
      </c>
      <c r="M1250" s="27" t="s">
        <v>7195</v>
      </c>
      <c r="N1250" s="34">
        <f t="shared" ca="1" si="248"/>
        <v>45.463776388889528</v>
      </c>
      <c r="O1250" s="10"/>
      <c r="P1250" s="39"/>
      <c r="Q1250" s="39"/>
      <c r="R1250" s="39"/>
      <c r="S1250" s="37">
        <f t="shared" si="249"/>
        <v>0</v>
      </c>
      <c r="T1250" s="37">
        <f t="shared" si="250"/>
        <v>8312848</v>
      </c>
      <c r="U1250" s="10"/>
      <c r="V1250" s="10"/>
      <c r="W1250" s="10"/>
      <c r="X1250" s="10"/>
      <c r="Y1250" s="10"/>
      <c r="Z1250" s="10"/>
      <c r="AA1250" s="10"/>
      <c r="AB1250" s="10"/>
      <c r="AC1250" s="10"/>
      <c r="AD1250" s="10"/>
      <c r="AE1250" s="10"/>
    </row>
    <row r="1251" spans="1:31" ht="14.25" customHeight="1">
      <c r="A1251" s="277" t="s">
        <v>5586</v>
      </c>
      <c r="B1251" s="9" t="s">
        <v>21</v>
      </c>
      <c r="C1251" s="9">
        <v>2026</v>
      </c>
      <c r="D1251" s="9" t="s">
        <v>77</v>
      </c>
      <c r="E1251" s="90" t="s">
        <v>23</v>
      </c>
      <c r="F1251" s="9" t="s">
        <v>7</v>
      </c>
      <c r="G1251" s="10"/>
      <c r="H1251" s="9">
        <v>260394</v>
      </c>
      <c r="I1251" s="11" t="s">
        <v>591</v>
      </c>
      <c r="J1251" s="12">
        <v>46197</v>
      </c>
      <c r="K1251" s="122">
        <v>46217</v>
      </c>
      <c r="L1251" s="27">
        <v>1626816</v>
      </c>
      <c r="M1251" s="27" t="s">
        <v>7370</v>
      </c>
      <c r="N1251" s="34">
        <f t="shared" ca="1" si="248"/>
        <v>43.463776388889528</v>
      </c>
      <c r="O1251" s="10"/>
      <c r="P1251" s="39"/>
      <c r="Q1251" s="39"/>
      <c r="R1251" s="39"/>
      <c r="S1251" s="37">
        <f t="shared" ref="S1251:S1263" si="251">IF(R1251="",0,L1251)</f>
        <v>0</v>
      </c>
      <c r="T1251" s="37">
        <f t="shared" ref="T1251:T1263" si="252">L1251-S1251</f>
        <v>1626816</v>
      </c>
      <c r="U1251" s="10"/>
      <c r="V1251" s="10"/>
      <c r="W1251" s="10"/>
      <c r="X1251" s="10"/>
      <c r="Y1251" s="10"/>
      <c r="Z1251" s="10"/>
      <c r="AA1251" s="10"/>
      <c r="AB1251" s="10"/>
      <c r="AC1251" s="10"/>
      <c r="AD1251" s="10"/>
      <c r="AE1251" s="10"/>
    </row>
    <row r="1252" spans="1:31" ht="14.25" customHeight="1">
      <c r="A1252" s="277" t="s">
        <v>5587</v>
      </c>
      <c r="B1252" s="9" t="s">
        <v>21</v>
      </c>
      <c r="C1252" s="9">
        <v>2026</v>
      </c>
      <c r="D1252" s="9" t="s">
        <v>77</v>
      </c>
      <c r="E1252" s="90" t="s">
        <v>23</v>
      </c>
      <c r="F1252" s="9" t="s">
        <v>7</v>
      </c>
      <c r="G1252" s="10"/>
      <c r="H1252" s="9">
        <v>260404</v>
      </c>
      <c r="I1252" s="11" t="s">
        <v>591</v>
      </c>
      <c r="J1252" s="12">
        <v>46199</v>
      </c>
      <c r="K1252" s="122">
        <v>46217</v>
      </c>
      <c r="L1252" s="27">
        <v>6066327</v>
      </c>
      <c r="M1252" s="27" t="s">
        <v>7371</v>
      </c>
      <c r="N1252" s="34">
        <f t="shared" ca="1" si="248"/>
        <v>41.463776388889528</v>
      </c>
      <c r="O1252" s="10"/>
      <c r="P1252" s="39"/>
      <c r="Q1252" s="39"/>
      <c r="R1252" s="39"/>
      <c r="S1252" s="37">
        <f t="shared" si="251"/>
        <v>0</v>
      </c>
      <c r="T1252" s="37">
        <f t="shared" si="252"/>
        <v>6066327</v>
      </c>
      <c r="U1252" s="10"/>
      <c r="V1252" s="10"/>
      <c r="W1252" s="10"/>
      <c r="X1252" s="10"/>
      <c r="Y1252" s="10"/>
      <c r="Z1252" s="10"/>
      <c r="AA1252" s="10"/>
      <c r="AB1252" s="10"/>
      <c r="AC1252" s="10"/>
      <c r="AD1252" s="10"/>
      <c r="AE1252" s="10"/>
    </row>
    <row r="1253" spans="1:31" ht="14.25" customHeight="1">
      <c r="A1253" s="277" t="s">
        <v>5588</v>
      </c>
      <c r="B1253" s="9" t="s">
        <v>21</v>
      </c>
      <c r="C1253" s="9">
        <v>2026</v>
      </c>
      <c r="D1253" s="9" t="s">
        <v>77</v>
      </c>
      <c r="E1253" s="90" t="s">
        <v>23</v>
      </c>
      <c r="F1253" s="9" t="s">
        <v>7</v>
      </c>
      <c r="G1253" s="10"/>
      <c r="H1253" s="9">
        <v>260421</v>
      </c>
      <c r="I1253" s="11" t="s">
        <v>591</v>
      </c>
      <c r="J1253" s="12">
        <v>46203</v>
      </c>
      <c r="K1253" s="122">
        <v>46217</v>
      </c>
      <c r="L1253" s="27">
        <v>2131499</v>
      </c>
      <c r="M1253" s="27" t="s">
        <v>7372</v>
      </c>
      <c r="N1253" s="34">
        <f t="shared" ca="1" si="248"/>
        <v>37.463776388889528</v>
      </c>
      <c r="O1253" s="10"/>
      <c r="P1253" s="39"/>
      <c r="Q1253" s="39"/>
      <c r="R1253" s="39"/>
      <c r="S1253" s="37">
        <f t="shared" si="251"/>
        <v>0</v>
      </c>
      <c r="T1253" s="37">
        <f t="shared" si="252"/>
        <v>2131499</v>
      </c>
      <c r="U1253" s="10"/>
      <c r="V1253" s="10"/>
      <c r="W1253" s="10"/>
      <c r="X1253" s="10"/>
      <c r="Y1253" s="10"/>
      <c r="Z1253" s="10"/>
      <c r="AA1253" s="10"/>
      <c r="AB1253" s="10"/>
      <c r="AC1253" s="10"/>
      <c r="AD1253" s="10"/>
      <c r="AE1253" s="10"/>
    </row>
    <row r="1254" spans="1:31" ht="14.25" customHeight="1">
      <c r="A1254" s="277" t="s">
        <v>5589</v>
      </c>
      <c r="B1254" s="9" t="s">
        <v>21</v>
      </c>
      <c r="C1254" s="9">
        <v>2026</v>
      </c>
      <c r="D1254" s="9" t="s">
        <v>77</v>
      </c>
      <c r="E1254" s="90" t="s">
        <v>23</v>
      </c>
      <c r="F1254" s="9" t="s">
        <v>7</v>
      </c>
      <c r="G1254" s="10"/>
      <c r="H1254" s="9">
        <v>260435</v>
      </c>
      <c r="I1254" s="11" t="s">
        <v>591</v>
      </c>
      <c r="J1254" s="12">
        <v>46207</v>
      </c>
      <c r="K1254" s="122">
        <v>46217</v>
      </c>
      <c r="L1254" s="27">
        <v>2910697</v>
      </c>
      <c r="M1254" s="27" t="s">
        <v>7373</v>
      </c>
      <c r="N1254" s="34">
        <f t="shared" ca="1" si="248"/>
        <v>33.463776388889528</v>
      </c>
      <c r="O1254" s="10"/>
      <c r="P1254" s="39"/>
      <c r="Q1254" s="39"/>
      <c r="R1254" s="39"/>
      <c r="S1254" s="37">
        <f t="shared" si="251"/>
        <v>0</v>
      </c>
      <c r="T1254" s="37">
        <f t="shared" si="252"/>
        <v>2910697</v>
      </c>
      <c r="U1254" s="10"/>
      <c r="V1254" s="10"/>
      <c r="W1254" s="10"/>
      <c r="X1254" s="10"/>
      <c r="Y1254" s="10"/>
      <c r="Z1254" s="10"/>
      <c r="AA1254" s="10"/>
      <c r="AB1254" s="10"/>
      <c r="AC1254" s="10"/>
      <c r="AD1254" s="10"/>
      <c r="AE1254" s="10"/>
    </row>
    <row r="1255" spans="1:31" ht="14.25" customHeight="1">
      <c r="A1255" s="277" t="s">
        <v>5590</v>
      </c>
      <c r="B1255" s="9" t="s">
        <v>21</v>
      </c>
      <c r="C1255" s="9">
        <v>2026</v>
      </c>
      <c r="D1255" s="9" t="s">
        <v>77</v>
      </c>
      <c r="E1255" s="90" t="s">
        <v>23</v>
      </c>
      <c r="F1255" s="9" t="s">
        <v>7</v>
      </c>
      <c r="G1255" s="10"/>
      <c r="H1255" s="9">
        <v>260472</v>
      </c>
      <c r="I1255" s="11" t="s">
        <v>591</v>
      </c>
      <c r="J1255" s="12">
        <v>46218</v>
      </c>
      <c r="K1255" s="122">
        <v>46231</v>
      </c>
      <c r="L1255" s="27">
        <v>2968628</v>
      </c>
      <c r="M1255" s="27" t="s">
        <v>7440</v>
      </c>
      <c r="N1255" s="34">
        <f t="shared" ca="1" si="248"/>
        <v>22.463776388889528</v>
      </c>
      <c r="O1255" s="10"/>
      <c r="P1255" s="39"/>
      <c r="Q1255" s="39"/>
      <c r="R1255" s="39"/>
      <c r="S1255" s="37">
        <f t="shared" si="251"/>
        <v>0</v>
      </c>
      <c r="T1255" s="37">
        <f t="shared" si="252"/>
        <v>2968628</v>
      </c>
      <c r="U1255" s="10"/>
      <c r="V1255" s="10"/>
      <c r="W1255" s="10"/>
      <c r="X1255" s="10"/>
      <c r="Y1255" s="10"/>
      <c r="Z1255" s="10"/>
      <c r="AA1255" s="10"/>
      <c r="AB1255" s="10"/>
      <c r="AC1255" s="10"/>
      <c r="AD1255" s="10"/>
      <c r="AE1255" s="10"/>
    </row>
    <row r="1256" spans="1:31" ht="14.25" customHeight="1">
      <c r="A1256" s="277" t="s">
        <v>5591</v>
      </c>
      <c r="B1256" s="9" t="s">
        <v>21</v>
      </c>
      <c r="C1256" s="9">
        <v>2026</v>
      </c>
      <c r="D1256" s="9" t="s">
        <v>77</v>
      </c>
      <c r="E1256" s="90" t="s">
        <v>23</v>
      </c>
      <c r="F1256" s="9" t="s">
        <v>7</v>
      </c>
      <c r="G1256" s="10"/>
      <c r="H1256" s="9">
        <v>260473</v>
      </c>
      <c r="I1256" s="11" t="s">
        <v>591</v>
      </c>
      <c r="J1256" s="12">
        <v>46218</v>
      </c>
      <c r="K1256" s="122">
        <v>46231</v>
      </c>
      <c r="L1256" s="27">
        <v>1636029</v>
      </c>
      <c r="M1256" s="27" t="s">
        <v>7441</v>
      </c>
      <c r="N1256" s="34">
        <f t="shared" ca="1" si="248"/>
        <v>22.463776388889528</v>
      </c>
      <c r="O1256" s="10"/>
      <c r="P1256" s="39"/>
      <c r="Q1256" s="39"/>
      <c r="R1256" s="39"/>
      <c r="S1256" s="37">
        <f t="shared" si="251"/>
        <v>0</v>
      </c>
      <c r="T1256" s="37">
        <f t="shared" si="252"/>
        <v>1636029</v>
      </c>
      <c r="U1256" s="10"/>
      <c r="V1256" s="10"/>
      <c r="W1256" s="10"/>
      <c r="X1256" s="10"/>
      <c r="Y1256" s="10"/>
      <c r="Z1256" s="10"/>
      <c r="AA1256" s="10"/>
      <c r="AB1256" s="10"/>
      <c r="AC1256" s="10"/>
      <c r="AD1256" s="10"/>
      <c r="AE1256" s="10"/>
    </row>
    <row r="1257" spans="1:31" ht="14.25" customHeight="1">
      <c r="A1257" s="277" t="s">
        <v>5592</v>
      </c>
      <c r="B1257" s="9" t="s">
        <v>21</v>
      </c>
      <c r="C1257" s="9">
        <v>2026</v>
      </c>
      <c r="D1257" s="9" t="s">
        <v>77</v>
      </c>
      <c r="E1257" s="90" t="s">
        <v>23</v>
      </c>
      <c r="F1257" s="9" t="s">
        <v>7</v>
      </c>
      <c r="G1257" s="10"/>
      <c r="H1257" s="9">
        <v>260474</v>
      </c>
      <c r="I1257" s="11" t="s">
        <v>591</v>
      </c>
      <c r="J1257" s="12">
        <v>46219</v>
      </c>
      <c r="K1257" s="122">
        <v>46231</v>
      </c>
      <c r="L1257" s="27">
        <v>8686449</v>
      </c>
      <c r="M1257" s="27" t="s">
        <v>7442</v>
      </c>
      <c r="N1257" s="34">
        <f t="shared" ca="1" si="248"/>
        <v>21.463776388889528</v>
      </c>
      <c r="O1257" s="10"/>
      <c r="P1257" s="39"/>
      <c r="Q1257" s="39"/>
      <c r="R1257" s="39"/>
      <c r="S1257" s="37">
        <f t="shared" si="251"/>
        <v>0</v>
      </c>
      <c r="T1257" s="37">
        <f t="shared" si="252"/>
        <v>8686449</v>
      </c>
      <c r="U1257" s="10"/>
      <c r="V1257" s="10"/>
      <c r="W1257" s="10"/>
      <c r="X1257" s="10"/>
      <c r="Y1257" s="10"/>
      <c r="Z1257" s="10"/>
      <c r="AA1257" s="10"/>
      <c r="AB1257" s="10"/>
      <c r="AC1257" s="10"/>
      <c r="AD1257" s="10"/>
      <c r="AE1257" s="10"/>
    </row>
    <row r="1258" spans="1:31" ht="14.25" customHeight="1">
      <c r="A1258" s="277" t="s">
        <v>5593</v>
      </c>
      <c r="B1258" s="9" t="s">
        <v>21</v>
      </c>
      <c r="C1258" s="9">
        <v>2026</v>
      </c>
      <c r="D1258" s="9" t="s">
        <v>77</v>
      </c>
      <c r="E1258" s="90" t="s">
        <v>23</v>
      </c>
      <c r="F1258" s="9" t="s">
        <v>7</v>
      </c>
      <c r="G1258" s="10"/>
      <c r="H1258" s="9">
        <v>260487</v>
      </c>
      <c r="I1258" s="11" t="s">
        <v>591</v>
      </c>
      <c r="J1258" s="12">
        <v>46219</v>
      </c>
      <c r="K1258" s="122">
        <v>46231</v>
      </c>
      <c r="L1258" s="27">
        <v>251415</v>
      </c>
      <c r="M1258" s="27" t="s">
        <v>7443</v>
      </c>
      <c r="N1258" s="34">
        <f t="shared" ca="1" si="248"/>
        <v>21.463776388889528</v>
      </c>
      <c r="O1258" s="10"/>
      <c r="P1258" s="39"/>
      <c r="Q1258" s="39"/>
      <c r="R1258" s="39"/>
      <c r="S1258" s="37">
        <f t="shared" si="251"/>
        <v>0</v>
      </c>
      <c r="T1258" s="37">
        <f t="shared" si="252"/>
        <v>251415</v>
      </c>
      <c r="U1258" s="10"/>
      <c r="V1258" s="10"/>
      <c r="W1258" s="10"/>
      <c r="X1258" s="10"/>
      <c r="Y1258" s="10"/>
      <c r="Z1258" s="10"/>
      <c r="AA1258" s="10"/>
      <c r="AB1258" s="10"/>
      <c r="AC1258" s="10"/>
      <c r="AD1258" s="10"/>
      <c r="AE1258" s="10"/>
    </row>
    <row r="1259" spans="1:31" ht="14.25" customHeight="1">
      <c r="A1259" s="277" t="s">
        <v>5594</v>
      </c>
      <c r="B1259" s="9" t="s">
        <v>21</v>
      </c>
      <c r="C1259" s="9">
        <v>2026</v>
      </c>
      <c r="D1259" s="9" t="s">
        <v>77</v>
      </c>
      <c r="E1259" s="90" t="s">
        <v>23</v>
      </c>
      <c r="F1259" s="9" t="s">
        <v>7</v>
      </c>
      <c r="G1259" s="10"/>
      <c r="H1259" s="9">
        <v>260498</v>
      </c>
      <c r="I1259" s="11" t="s">
        <v>591</v>
      </c>
      <c r="J1259" s="12">
        <v>46220</v>
      </c>
      <c r="K1259" s="122">
        <v>46231</v>
      </c>
      <c r="L1259" s="27">
        <v>518925</v>
      </c>
      <c r="M1259" s="27" t="s">
        <v>7444</v>
      </c>
      <c r="N1259" s="34">
        <f t="shared" ca="1" si="248"/>
        <v>20.463776388889528</v>
      </c>
      <c r="O1259" s="10"/>
      <c r="P1259" s="39"/>
      <c r="Q1259" s="39"/>
      <c r="R1259" s="39"/>
      <c r="S1259" s="37">
        <f t="shared" si="251"/>
        <v>0</v>
      </c>
      <c r="T1259" s="37">
        <f t="shared" si="252"/>
        <v>518925</v>
      </c>
      <c r="U1259" s="10"/>
      <c r="V1259" s="10"/>
      <c r="W1259" s="10"/>
      <c r="X1259" s="10"/>
      <c r="Y1259" s="10"/>
      <c r="Z1259" s="10"/>
      <c r="AA1259" s="10"/>
      <c r="AB1259" s="10"/>
      <c r="AC1259" s="10"/>
      <c r="AD1259" s="10"/>
      <c r="AE1259" s="10"/>
    </row>
    <row r="1260" spans="1:31" ht="14.25" customHeight="1">
      <c r="A1260" s="277" t="s">
        <v>5595</v>
      </c>
      <c r="B1260" s="9" t="s">
        <v>21</v>
      </c>
      <c r="C1260" s="9">
        <v>2026</v>
      </c>
      <c r="D1260" s="9" t="s">
        <v>77</v>
      </c>
      <c r="E1260" s="90" t="s">
        <v>23</v>
      </c>
      <c r="F1260" s="9" t="s">
        <v>7</v>
      </c>
      <c r="G1260" s="10"/>
      <c r="H1260" s="9">
        <v>260499</v>
      </c>
      <c r="I1260" s="11" t="s">
        <v>591</v>
      </c>
      <c r="J1260" s="12">
        <v>46220</v>
      </c>
      <c r="K1260" s="122">
        <v>46231</v>
      </c>
      <c r="L1260" s="27">
        <v>535020</v>
      </c>
      <c r="M1260" s="27" t="s">
        <v>7445</v>
      </c>
      <c r="N1260" s="34">
        <f t="shared" ca="1" si="248"/>
        <v>20.463776388889528</v>
      </c>
      <c r="O1260" s="10"/>
      <c r="P1260" s="39"/>
      <c r="Q1260" s="39"/>
      <c r="R1260" s="39"/>
      <c r="S1260" s="37">
        <f t="shared" si="251"/>
        <v>0</v>
      </c>
      <c r="T1260" s="37">
        <f t="shared" si="252"/>
        <v>535020</v>
      </c>
      <c r="U1260" s="10"/>
      <c r="V1260" s="10"/>
      <c r="W1260" s="10"/>
      <c r="X1260" s="10"/>
      <c r="Y1260" s="10"/>
      <c r="Z1260" s="10"/>
      <c r="AA1260" s="10"/>
      <c r="AB1260" s="10"/>
      <c r="AC1260" s="10"/>
      <c r="AD1260" s="10"/>
      <c r="AE1260" s="10"/>
    </row>
    <row r="1261" spans="1:31" ht="14.25" customHeight="1">
      <c r="A1261" s="277" t="s">
        <v>5596</v>
      </c>
      <c r="B1261" s="9" t="s">
        <v>21</v>
      </c>
      <c r="C1261" s="9">
        <v>2026</v>
      </c>
      <c r="D1261" s="9" t="s">
        <v>77</v>
      </c>
      <c r="E1261" s="90" t="s">
        <v>23</v>
      </c>
      <c r="F1261" s="9" t="s">
        <v>7</v>
      </c>
      <c r="G1261" s="10"/>
      <c r="H1261" s="9">
        <v>260500</v>
      </c>
      <c r="I1261" s="11" t="s">
        <v>591</v>
      </c>
      <c r="J1261" s="12">
        <v>46220</v>
      </c>
      <c r="K1261" s="122">
        <v>46231</v>
      </c>
      <c r="L1261" s="27">
        <v>6725268</v>
      </c>
      <c r="M1261" s="27" t="s">
        <v>7446</v>
      </c>
      <c r="N1261" s="34">
        <f t="shared" ca="1" si="248"/>
        <v>20.463776388889528</v>
      </c>
      <c r="O1261" s="10"/>
      <c r="P1261" s="39"/>
      <c r="Q1261" s="39"/>
      <c r="R1261" s="39"/>
      <c r="S1261" s="37">
        <f t="shared" si="251"/>
        <v>0</v>
      </c>
      <c r="T1261" s="37">
        <f t="shared" si="252"/>
        <v>6725268</v>
      </c>
      <c r="U1261" s="10"/>
      <c r="V1261" s="10"/>
      <c r="W1261" s="10"/>
      <c r="X1261" s="10"/>
      <c r="Y1261" s="10"/>
      <c r="Z1261" s="10"/>
      <c r="AA1261" s="10"/>
      <c r="AB1261" s="10"/>
      <c r="AC1261" s="10"/>
      <c r="AD1261" s="10"/>
      <c r="AE1261" s="10"/>
    </row>
    <row r="1262" spans="1:31" ht="14.25" customHeight="1">
      <c r="A1262" s="277" t="s">
        <v>5597</v>
      </c>
      <c r="B1262" s="9" t="s">
        <v>21</v>
      </c>
      <c r="C1262" s="9">
        <v>2026</v>
      </c>
      <c r="D1262" s="9" t="s">
        <v>77</v>
      </c>
      <c r="E1262" s="90" t="s">
        <v>23</v>
      </c>
      <c r="F1262" s="9" t="s">
        <v>7</v>
      </c>
      <c r="G1262" s="10"/>
      <c r="H1262" s="9">
        <v>260497</v>
      </c>
      <c r="I1262" s="11" t="s">
        <v>591</v>
      </c>
      <c r="J1262" s="12">
        <v>46220</v>
      </c>
      <c r="K1262" s="122">
        <v>46231</v>
      </c>
      <c r="L1262" s="27">
        <v>399600</v>
      </c>
      <c r="M1262" s="27" t="s">
        <v>7447</v>
      </c>
      <c r="N1262" s="34">
        <f t="shared" ca="1" si="248"/>
        <v>20.463776388889528</v>
      </c>
      <c r="O1262" s="10"/>
      <c r="P1262" s="39"/>
      <c r="Q1262" s="39"/>
      <c r="R1262" s="39"/>
      <c r="S1262" s="37">
        <f t="shared" si="251"/>
        <v>0</v>
      </c>
      <c r="T1262" s="37">
        <f t="shared" si="252"/>
        <v>399600</v>
      </c>
      <c r="U1262" s="10"/>
      <c r="V1262" s="10"/>
      <c r="W1262" s="10"/>
      <c r="X1262" s="10"/>
      <c r="Y1262" s="10"/>
      <c r="Z1262" s="10"/>
      <c r="AA1262" s="10"/>
      <c r="AB1262" s="10"/>
      <c r="AC1262" s="10"/>
      <c r="AD1262" s="10"/>
      <c r="AE1262" s="10"/>
    </row>
    <row r="1263" spans="1:31" ht="14.25" customHeight="1">
      <c r="A1263" s="277" t="s">
        <v>5598</v>
      </c>
      <c r="B1263" s="9"/>
      <c r="C1263" s="9"/>
      <c r="D1263" s="9"/>
      <c r="E1263" s="90"/>
      <c r="F1263" s="9"/>
      <c r="G1263" s="10"/>
      <c r="H1263" s="9"/>
      <c r="I1263" s="11"/>
      <c r="J1263" s="12"/>
      <c r="K1263" s="122"/>
      <c r="L1263" s="27"/>
      <c r="M1263" s="27"/>
      <c r="N1263" s="114">
        <f ca="1">$J$3-J1263</f>
        <v>46240.46377638889</v>
      </c>
      <c r="O1263" s="10"/>
      <c r="P1263" s="39"/>
      <c r="Q1263" s="39"/>
      <c r="R1263" s="39"/>
      <c r="S1263" s="37">
        <f t="shared" si="251"/>
        <v>0</v>
      </c>
      <c r="T1263" s="37">
        <f t="shared" si="252"/>
        <v>0</v>
      </c>
      <c r="U1263" s="10"/>
      <c r="V1263" s="10"/>
      <c r="W1263" s="10"/>
      <c r="X1263" s="10"/>
      <c r="Y1263" s="10"/>
      <c r="Z1263" s="10"/>
      <c r="AA1263" s="10"/>
      <c r="AB1263" s="10"/>
      <c r="AC1263" s="10"/>
      <c r="AD1263" s="10"/>
      <c r="AE1263" s="10"/>
    </row>
    <row r="1264" spans="1:31" ht="14.25" customHeight="1">
      <c r="A1264" s="277" t="s">
        <v>5599</v>
      </c>
      <c r="B1264" s="9" t="s">
        <v>21</v>
      </c>
      <c r="C1264" s="9"/>
      <c r="D1264" s="9"/>
      <c r="E1264" s="90"/>
      <c r="F1264" s="9"/>
      <c r="G1264" s="10"/>
      <c r="H1264" s="9"/>
      <c r="I1264" s="11"/>
      <c r="J1264" s="12"/>
      <c r="K1264" s="12"/>
      <c r="L1264" s="52"/>
      <c r="M1264" s="10"/>
      <c r="N1264" s="9"/>
      <c r="O1264" s="11"/>
      <c r="P1264" s="39"/>
      <c r="Q1264" s="39"/>
      <c r="R1264" s="39"/>
      <c r="S1264" s="37">
        <f t="shared" si="244"/>
        <v>0</v>
      </c>
      <c r="T1264" s="37">
        <f t="shared" si="245"/>
        <v>0</v>
      </c>
      <c r="U1264" s="10"/>
      <c r="V1264" s="10"/>
      <c r="W1264" s="10"/>
      <c r="X1264" s="10"/>
      <c r="Y1264" s="10"/>
      <c r="Z1264" s="10"/>
      <c r="AA1264" s="10"/>
      <c r="AB1264" s="10"/>
      <c r="AC1264" s="10"/>
      <c r="AD1264" s="10"/>
      <c r="AE1264" s="10"/>
    </row>
    <row r="1265" spans="1:31" ht="14.25" customHeight="1">
      <c r="A1265" s="277" t="s">
        <v>5600</v>
      </c>
      <c r="B1265" s="9" t="s">
        <v>21</v>
      </c>
      <c r="C1265" s="9"/>
      <c r="D1265" s="9"/>
      <c r="E1265" s="90"/>
      <c r="F1265" s="9"/>
      <c r="G1265" s="94" t="s">
        <v>24</v>
      </c>
      <c r="H1265" s="95" t="s">
        <v>664</v>
      </c>
      <c r="I1265" s="104"/>
      <c r="J1265" s="105"/>
      <c r="K1265" s="105"/>
      <c r="L1265" s="106">
        <f>SUM(L1266:L1323)</f>
        <v>35339930</v>
      </c>
      <c r="M1265" s="107"/>
      <c r="N1265" s="108" t="s">
        <v>26</v>
      </c>
      <c r="O1265" s="108"/>
      <c r="P1265" s="108"/>
      <c r="Q1265" s="108"/>
      <c r="R1265" s="108"/>
      <c r="S1265" s="106">
        <f>SUM(S1266:S1323)</f>
        <v>26736039</v>
      </c>
      <c r="T1265" s="106">
        <f>SUM(T1266:T1323)</f>
        <v>8603891</v>
      </c>
      <c r="U1265" s="10"/>
      <c r="V1265" s="52">
        <f>L1265-S1265</f>
        <v>8603891</v>
      </c>
      <c r="W1265" s="52">
        <f>T1265-V1265</f>
        <v>0</v>
      </c>
      <c r="X1265" s="10"/>
      <c r="Y1265" s="10"/>
      <c r="Z1265" s="10"/>
      <c r="AA1265" s="10"/>
      <c r="AB1265" s="10"/>
      <c r="AC1265" s="10"/>
      <c r="AD1265" s="10"/>
      <c r="AE1265" s="10"/>
    </row>
    <row r="1266" spans="1:31" ht="14.25" hidden="1" customHeight="1">
      <c r="A1266" s="277" t="s">
        <v>5601</v>
      </c>
      <c r="B1266" s="9" t="s">
        <v>21</v>
      </c>
      <c r="C1266" s="9">
        <v>2025</v>
      </c>
      <c r="D1266" s="9" t="s">
        <v>27</v>
      </c>
      <c r="E1266" s="90" t="s">
        <v>23</v>
      </c>
      <c r="F1266" s="9" t="s">
        <v>7</v>
      </c>
      <c r="G1266" s="10"/>
      <c r="H1266" s="96">
        <v>250091</v>
      </c>
      <c r="I1266" s="121" t="s">
        <v>664</v>
      </c>
      <c r="J1266" s="115">
        <v>45674</v>
      </c>
      <c r="K1266" s="115">
        <v>45708</v>
      </c>
      <c r="L1266" s="131">
        <v>169275</v>
      </c>
      <c r="M1266" s="109" t="s">
        <v>665</v>
      </c>
      <c r="N1266" s="34" t="s">
        <v>29</v>
      </c>
      <c r="O1266" s="52">
        <f>SUM(L1266:L1269)</f>
        <v>1419077</v>
      </c>
      <c r="P1266" s="113">
        <v>45770</v>
      </c>
      <c r="Q1266" s="113">
        <v>45770</v>
      </c>
      <c r="R1266" s="113">
        <v>45770</v>
      </c>
      <c r="S1266" s="37">
        <f t="shared" ref="S1266:S1276" si="253">IF(R1266="",0,L1266)</f>
        <v>169275</v>
      </c>
      <c r="T1266" s="37">
        <f t="shared" ref="T1266:T1276" si="254">L1266-S1266</f>
        <v>0</v>
      </c>
      <c r="U1266" s="10"/>
      <c r="V1266" s="10"/>
      <c r="W1266" s="10"/>
      <c r="X1266" s="10"/>
      <c r="Y1266" s="10"/>
      <c r="Z1266" s="10"/>
      <c r="AA1266" s="10"/>
      <c r="AB1266" s="10"/>
      <c r="AC1266" s="10"/>
      <c r="AD1266" s="10"/>
      <c r="AE1266" s="10"/>
    </row>
    <row r="1267" spans="1:31" ht="14.25" hidden="1" customHeight="1">
      <c r="A1267" s="277" t="s">
        <v>5602</v>
      </c>
      <c r="B1267" s="9" t="s">
        <v>21</v>
      </c>
      <c r="C1267" s="9">
        <v>2025</v>
      </c>
      <c r="D1267" s="9" t="s">
        <v>27</v>
      </c>
      <c r="E1267" s="90" t="s">
        <v>23</v>
      </c>
      <c r="F1267" s="9" t="s">
        <v>7</v>
      </c>
      <c r="G1267" s="10"/>
      <c r="H1267" s="96">
        <v>250167</v>
      </c>
      <c r="I1267" s="121" t="s">
        <v>664</v>
      </c>
      <c r="J1267" s="115">
        <v>45703</v>
      </c>
      <c r="K1267" s="115">
        <v>45720</v>
      </c>
      <c r="L1267" s="131">
        <v>475794</v>
      </c>
      <c r="M1267" s="109" t="s">
        <v>666</v>
      </c>
      <c r="N1267" s="34" t="s">
        <v>29</v>
      </c>
      <c r="O1267" s="10"/>
      <c r="P1267" s="113">
        <v>45770</v>
      </c>
      <c r="Q1267" s="113">
        <v>45770</v>
      </c>
      <c r="R1267" s="113">
        <v>45770</v>
      </c>
      <c r="S1267" s="37">
        <f t="shared" si="253"/>
        <v>475794</v>
      </c>
      <c r="T1267" s="37">
        <f t="shared" si="254"/>
        <v>0</v>
      </c>
      <c r="U1267" s="10"/>
      <c r="V1267" s="10"/>
      <c r="W1267" s="10"/>
      <c r="X1267" s="10"/>
      <c r="Y1267" s="10"/>
      <c r="Z1267" s="10"/>
      <c r="AA1267" s="10"/>
      <c r="AB1267" s="10"/>
      <c r="AC1267" s="10"/>
      <c r="AD1267" s="10"/>
      <c r="AE1267" s="10"/>
    </row>
    <row r="1268" spans="1:31" ht="14.25" hidden="1" customHeight="1">
      <c r="A1268" s="277" t="s">
        <v>5603</v>
      </c>
      <c r="B1268" s="9" t="s">
        <v>21</v>
      </c>
      <c r="C1268" s="9">
        <v>2025</v>
      </c>
      <c r="D1268" s="9" t="s">
        <v>27</v>
      </c>
      <c r="E1268" s="90" t="s">
        <v>23</v>
      </c>
      <c r="F1268" s="9" t="s">
        <v>7</v>
      </c>
      <c r="G1268" s="10"/>
      <c r="H1268" s="96">
        <v>250180</v>
      </c>
      <c r="I1268" s="121" t="s">
        <v>664</v>
      </c>
      <c r="J1268" s="115">
        <v>45707</v>
      </c>
      <c r="K1268" s="115">
        <v>45720</v>
      </c>
      <c r="L1268" s="131">
        <v>336433</v>
      </c>
      <c r="M1268" s="109" t="s">
        <v>667</v>
      </c>
      <c r="N1268" s="34" t="s">
        <v>29</v>
      </c>
      <c r="O1268" s="10"/>
      <c r="P1268" s="113">
        <v>45770</v>
      </c>
      <c r="Q1268" s="113">
        <v>45770</v>
      </c>
      <c r="R1268" s="113">
        <v>45770</v>
      </c>
      <c r="S1268" s="37">
        <f t="shared" si="253"/>
        <v>336433</v>
      </c>
      <c r="T1268" s="37">
        <f t="shared" si="254"/>
        <v>0</v>
      </c>
      <c r="U1268" s="10"/>
      <c r="V1268" s="10"/>
      <c r="W1268" s="10"/>
      <c r="X1268" s="10"/>
      <c r="Y1268" s="10"/>
      <c r="Z1268" s="10"/>
      <c r="AA1268" s="10"/>
      <c r="AB1268" s="10"/>
      <c r="AC1268" s="10"/>
      <c r="AD1268" s="10"/>
      <c r="AE1268" s="10"/>
    </row>
    <row r="1269" spans="1:31" ht="14.25" hidden="1" customHeight="1">
      <c r="A1269" s="277" t="s">
        <v>5604</v>
      </c>
      <c r="B1269" s="9" t="s">
        <v>21</v>
      </c>
      <c r="C1269" s="9">
        <v>2025</v>
      </c>
      <c r="D1269" s="9" t="s">
        <v>27</v>
      </c>
      <c r="E1269" s="90" t="s">
        <v>23</v>
      </c>
      <c r="F1269" s="9" t="s">
        <v>7</v>
      </c>
      <c r="G1269" s="10"/>
      <c r="H1269" s="96">
        <v>250178</v>
      </c>
      <c r="I1269" s="121" t="s">
        <v>664</v>
      </c>
      <c r="J1269" s="115">
        <v>45708</v>
      </c>
      <c r="K1269" s="115">
        <v>45720</v>
      </c>
      <c r="L1269" s="131">
        <v>437575</v>
      </c>
      <c r="M1269" s="109" t="s">
        <v>668</v>
      </c>
      <c r="N1269" s="34" t="s">
        <v>29</v>
      </c>
      <c r="O1269" s="10"/>
      <c r="P1269" s="113">
        <v>45770</v>
      </c>
      <c r="Q1269" s="113">
        <v>45770</v>
      </c>
      <c r="R1269" s="113">
        <v>45770</v>
      </c>
      <c r="S1269" s="37">
        <f t="shared" si="253"/>
        <v>437575</v>
      </c>
      <c r="T1269" s="37">
        <f t="shared" si="254"/>
        <v>0</v>
      </c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  <c r="AE1269" s="10"/>
    </row>
    <row r="1270" spans="1:31" ht="14.25" hidden="1" customHeight="1">
      <c r="A1270" s="277" t="s">
        <v>5605</v>
      </c>
      <c r="B1270" s="9" t="s">
        <v>21</v>
      </c>
      <c r="C1270" s="9">
        <v>2025</v>
      </c>
      <c r="D1270" s="9" t="s">
        <v>27</v>
      </c>
      <c r="E1270" s="90" t="s">
        <v>23</v>
      </c>
      <c r="F1270" s="9" t="s">
        <v>7</v>
      </c>
      <c r="G1270" s="10"/>
      <c r="H1270" s="96">
        <v>250357</v>
      </c>
      <c r="I1270" s="121" t="s">
        <v>664</v>
      </c>
      <c r="J1270" s="115">
        <v>45735</v>
      </c>
      <c r="K1270" s="115">
        <v>45741</v>
      </c>
      <c r="L1270" s="131">
        <v>343656</v>
      </c>
      <c r="M1270" s="109" t="s">
        <v>669</v>
      </c>
      <c r="N1270" s="34" t="s">
        <v>29</v>
      </c>
      <c r="O1270" s="10"/>
      <c r="P1270" s="113">
        <v>45793</v>
      </c>
      <c r="Q1270" s="113">
        <v>45793</v>
      </c>
      <c r="R1270" s="113">
        <v>45793</v>
      </c>
      <c r="S1270" s="37">
        <f t="shared" si="253"/>
        <v>343656</v>
      </c>
      <c r="T1270" s="37">
        <f t="shared" si="254"/>
        <v>0</v>
      </c>
      <c r="U1270" s="10"/>
      <c r="V1270" s="10"/>
      <c r="W1270" s="10"/>
      <c r="X1270" s="10"/>
      <c r="Y1270" s="10"/>
      <c r="Z1270" s="10"/>
      <c r="AA1270" s="10"/>
      <c r="AB1270" s="10"/>
      <c r="AC1270" s="10"/>
      <c r="AD1270" s="10"/>
      <c r="AE1270" s="10"/>
    </row>
    <row r="1271" spans="1:31" ht="14.25" hidden="1" customHeight="1">
      <c r="A1271" s="277" t="s">
        <v>5606</v>
      </c>
      <c r="B1271" s="9" t="s">
        <v>21</v>
      </c>
      <c r="C1271" s="9">
        <v>2025</v>
      </c>
      <c r="D1271" s="9" t="s">
        <v>27</v>
      </c>
      <c r="E1271" s="90" t="s">
        <v>23</v>
      </c>
      <c r="F1271" s="9" t="s">
        <v>7</v>
      </c>
      <c r="G1271" s="10"/>
      <c r="H1271" s="96">
        <v>250426</v>
      </c>
      <c r="I1271" s="121" t="s">
        <v>664</v>
      </c>
      <c r="J1271" s="115">
        <v>45761</v>
      </c>
      <c r="K1271" s="115">
        <v>45785</v>
      </c>
      <c r="L1271" s="131">
        <v>1180946</v>
      </c>
      <c r="M1271" s="109" t="s">
        <v>670</v>
      </c>
      <c r="N1271" s="34" t="s">
        <v>29</v>
      </c>
      <c r="O1271" s="52">
        <f>SUM(L1271:L1279)</f>
        <v>6586333</v>
      </c>
      <c r="P1271" s="113">
        <v>45831</v>
      </c>
      <c r="Q1271" s="113">
        <v>45831</v>
      </c>
      <c r="R1271" s="113">
        <v>45831</v>
      </c>
      <c r="S1271" s="37">
        <f t="shared" si="253"/>
        <v>1180946</v>
      </c>
      <c r="T1271" s="37">
        <f t="shared" si="254"/>
        <v>0</v>
      </c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  <c r="AE1271" s="10"/>
    </row>
    <row r="1272" spans="1:31" ht="14.25" hidden="1" customHeight="1">
      <c r="A1272" s="277" t="s">
        <v>5607</v>
      </c>
      <c r="B1272" s="9" t="s">
        <v>21</v>
      </c>
      <c r="C1272" s="9">
        <v>2025</v>
      </c>
      <c r="D1272" s="9" t="s">
        <v>27</v>
      </c>
      <c r="E1272" s="90" t="s">
        <v>23</v>
      </c>
      <c r="F1272" s="9" t="s">
        <v>7</v>
      </c>
      <c r="G1272" s="10"/>
      <c r="H1272" s="96">
        <v>250434</v>
      </c>
      <c r="I1272" s="121" t="s">
        <v>664</v>
      </c>
      <c r="J1272" s="115">
        <v>45764</v>
      </c>
      <c r="K1272" s="115">
        <v>45785</v>
      </c>
      <c r="L1272" s="131">
        <v>1063247</v>
      </c>
      <c r="M1272" s="109" t="s">
        <v>671</v>
      </c>
      <c r="N1272" s="34" t="s">
        <v>29</v>
      </c>
      <c r="O1272" s="10"/>
      <c r="P1272" s="113">
        <v>45831</v>
      </c>
      <c r="Q1272" s="113">
        <v>45831</v>
      </c>
      <c r="R1272" s="113">
        <v>45831</v>
      </c>
      <c r="S1272" s="37">
        <f t="shared" si="253"/>
        <v>1063247</v>
      </c>
      <c r="T1272" s="37">
        <f t="shared" si="254"/>
        <v>0</v>
      </c>
      <c r="U1272" s="10"/>
      <c r="V1272" s="10"/>
      <c r="W1272" s="10"/>
      <c r="X1272" s="10"/>
      <c r="Y1272" s="10"/>
      <c r="Z1272" s="10"/>
      <c r="AA1272" s="10"/>
      <c r="AB1272" s="10"/>
      <c r="AC1272" s="10"/>
      <c r="AD1272" s="10"/>
      <c r="AE1272" s="10"/>
    </row>
    <row r="1273" spans="1:31" ht="14.25" hidden="1" customHeight="1">
      <c r="A1273" s="277" t="s">
        <v>5608</v>
      </c>
      <c r="B1273" s="9" t="s">
        <v>21</v>
      </c>
      <c r="C1273" s="9">
        <v>2025</v>
      </c>
      <c r="D1273" s="9" t="s">
        <v>27</v>
      </c>
      <c r="E1273" s="90" t="s">
        <v>23</v>
      </c>
      <c r="F1273" s="9" t="s">
        <v>7</v>
      </c>
      <c r="G1273" s="10"/>
      <c r="H1273" s="96">
        <v>250452</v>
      </c>
      <c r="I1273" s="121" t="s">
        <v>664</v>
      </c>
      <c r="J1273" s="115">
        <v>45768</v>
      </c>
      <c r="K1273" s="115">
        <v>45785</v>
      </c>
      <c r="L1273" s="131">
        <v>1923190</v>
      </c>
      <c r="M1273" s="109" t="s">
        <v>672</v>
      </c>
      <c r="N1273" s="34" t="s">
        <v>29</v>
      </c>
      <c r="O1273" s="10"/>
      <c r="P1273" s="113">
        <v>45831</v>
      </c>
      <c r="Q1273" s="113">
        <v>45831</v>
      </c>
      <c r="R1273" s="113">
        <v>45831</v>
      </c>
      <c r="S1273" s="37">
        <f t="shared" si="253"/>
        <v>1923190</v>
      </c>
      <c r="T1273" s="37">
        <f t="shared" si="254"/>
        <v>0</v>
      </c>
      <c r="U1273" s="10"/>
      <c r="V1273" s="10"/>
      <c r="W1273" s="10"/>
      <c r="X1273" s="10"/>
      <c r="Y1273" s="10"/>
      <c r="Z1273" s="10"/>
      <c r="AA1273" s="10"/>
      <c r="AB1273" s="10"/>
      <c r="AC1273" s="10"/>
      <c r="AD1273" s="10"/>
      <c r="AE1273" s="10"/>
    </row>
    <row r="1274" spans="1:31" ht="14.25" hidden="1" customHeight="1">
      <c r="A1274" s="277" t="s">
        <v>5609</v>
      </c>
      <c r="B1274" s="9" t="s">
        <v>21</v>
      </c>
      <c r="C1274" s="9">
        <v>2025</v>
      </c>
      <c r="D1274" s="9" t="s">
        <v>27</v>
      </c>
      <c r="E1274" s="90" t="s">
        <v>23</v>
      </c>
      <c r="F1274" s="9" t="s">
        <v>7</v>
      </c>
      <c r="G1274" s="10"/>
      <c r="H1274" s="96">
        <v>250466</v>
      </c>
      <c r="I1274" s="121" t="s">
        <v>664</v>
      </c>
      <c r="J1274" s="115">
        <v>45772</v>
      </c>
      <c r="K1274" s="115">
        <v>45785</v>
      </c>
      <c r="L1274" s="131">
        <v>483356</v>
      </c>
      <c r="M1274" s="109" t="s">
        <v>670</v>
      </c>
      <c r="N1274" s="34" t="s">
        <v>29</v>
      </c>
      <c r="O1274" s="10"/>
      <c r="P1274" s="113">
        <v>45831</v>
      </c>
      <c r="Q1274" s="113">
        <v>45831</v>
      </c>
      <c r="R1274" s="113">
        <v>45831</v>
      </c>
      <c r="S1274" s="37">
        <f t="shared" si="253"/>
        <v>483356</v>
      </c>
      <c r="T1274" s="37">
        <f t="shared" si="254"/>
        <v>0</v>
      </c>
      <c r="U1274" s="10"/>
      <c r="V1274" s="10"/>
      <c r="W1274" s="10"/>
      <c r="X1274" s="10"/>
      <c r="Y1274" s="10"/>
      <c r="Z1274" s="10"/>
      <c r="AA1274" s="10"/>
      <c r="AB1274" s="10"/>
      <c r="AC1274" s="10"/>
      <c r="AD1274" s="10"/>
      <c r="AE1274" s="10"/>
    </row>
    <row r="1275" spans="1:31" ht="14.25" hidden="1" customHeight="1">
      <c r="A1275" s="277" t="s">
        <v>5610</v>
      </c>
      <c r="B1275" s="9" t="s">
        <v>21</v>
      </c>
      <c r="C1275" s="9">
        <v>2025</v>
      </c>
      <c r="D1275" s="9" t="s">
        <v>27</v>
      </c>
      <c r="E1275" s="90" t="s">
        <v>23</v>
      </c>
      <c r="F1275" s="9" t="s">
        <v>7</v>
      </c>
      <c r="G1275" s="10"/>
      <c r="H1275" s="96">
        <v>250543</v>
      </c>
      <c r="I1275" s="121" t="s">
        <v>664</v>
      </c>
      <c r="J1275" s="115">
        <v>45773</v>
      </c>
      <c r="K1275" s="115">
        <v>45797</v>
      </c>
      <c r="L1275" s="131">
        <v>483356</v>
      </c>
      <c r="M1275" s="109" t="s">
        <v>673</v>
      </c>
      <c r="N1275" s="34" t="s">
        <v>29</v>
      </c>
      <c r="O1275" s="10"/>
      <c r="P1275" s="113">
        <v>45831</v>
      </c>
      <c r="Q1275" s="113">
        <v>45831</v>
      </c>
      <c r="R1275" s="113">
        <v>45831</v>
      </c>
      <c r="S1275" s="37">
        <f t="shared" si="253"/>
        <v>483356</v>
      </c>
      <c r="T1275" s="37">
        <f t="shared" si="254"/>
        <v>0</v>
      </c>
      <c r="U1275" s="10"/>
      <c r="V1275" s="10"/>
      <c r="W1275" s="10"/>
      <c r="X1275" s="10"/>
      <c r="Y1275" s="10"/>
      <c r="Z1275" s="10"/>
      <c r="AA1275" s="10"/>
      <c r="AB1275" s="10"/>
      <c r="AC1275" s="10"/>
      <c r="AD1275" s="10"/>
      <c r="AE1275" s="10"/>
    </row>
    <row r="1276" spans="1:31" ht="14.25" hidden="1" customHeight="1">
      <c r="A1276" s="277" t="s">
        <v>5611</v>
      </c>
      <c r="B1276" s="9" t="s">
        <v>21</v>
      </c>
      <c r="C1276" s="9">
        <v>2025</v>
      </c>
      <c r="D1276" s="9" t="s">
        <v>27</v>
      </c>
      <c r="E1276" s="90" t="s">
        <v>23</v>
      </c>
      <c r="F1276" s="9" t="s">
        <v>7</v>
      </c>
      <c r="G1276" s="10"/>
      <c r="H1276" s="96">
        <v>250494</v>
      </c>
      <c r="I1276" s="121" t="s">
        <v>664</v>
      </c>
      <c r="J1276" s="115">
        <v>45776</v>
      </c>
      <c r="K1276" s="115">
        <v>45797</v>
      </c>
      <c r="L1276" s="131">
        <v>329657</v>
      </c>
      <c r="M1276" s="109" t="s">
        <v>674</v>
      </c>
      <c r="N1276" s="34" t="s">
        <v>29</v>
      </c>
      <c r="O1276" s="10"/>
      <c r="P1276" s="113">
        <v>45831</v>
      </c>
      <c r="Q1276" s="113">
        <v>45831</v>
      </c>
      <c r="R1276" s="113">
        <v>45831</v>
      </c>
      <c r="S1276" s="37">
        <f t="shared" si="253"/>
        <v>329657</v>
      </c>
      <c r="T1276" s="37">
        <f t="shared" si="254"/>
        <v>0</v>
      </c>
      <c r="U1276" s="10"/>
      <c r="V1276" s="10"/>
      <c r="W1276" s="10"/>
      <c r="X1276" s="10"/>
      <c r="Y1276" s="10"/>
      <c r="Z1276" s="10"/>
      <c r="AA1276" s="10"/>
      <c r="AB1276" s="10"/>
      <c r="AC1276" s="10"/>
      <c r="AD1276" s="10"/>
      <c r="AE1276" s="10"/>
    </row>
    <row r="1277" spans="1:31" ht="14.25" hidden="1" customHeight="1">
      <c r="A1277" s="277" t="s">
        <v>5612</v>
      </c>
      <c r="B1277" s="9" t="s">
        <v>21</v>
      </c>
      <c r="C1277" s="9">
        <v>2025</v>
      </c>
      <c r="D1277" s="9" t="s">
        <v>27</v>
      </c>
      <c r="E1277" s="90" t="s">
        <v>23</v>
      </c>
      <c r="F1277" s="9" t="s">
        <v>7</v>
      </c>
      <c r="G1277" s="10"/>
      <c r="H1277" s="96">
        <v>250524</v>
      </c>
      <c r="I1277" s="121" t="s">
        <v>664</v>
      </c>
      <c r="J1277" s="115">
        <v>45790</v>
      </c>
      <c r="K1277" s="115">
        <v>45808</v>
      </c>
      <c r="L1277" s="131">
        <v>269175</v>
      </c>
      <c r="M1277" s="109" t="s">
        <v>675</v>
      </c>
      <c r="N1277" s="34" t="s">
        <v>29</v>
      </c>
      <c r="O1277" s="10"/>
      <c r="P1277" s="113">
        <v>45831</v>
      </c>
      <c r="Q1277" s="113">
        <v>45831</v>
      </c>
      <c r="R1277" s="113">
        <v>45831</v>
      </c>
      <c r="S1277" s="37">
        <f t="shared" ref="S1277:S1283" si="255">IF(R1277="",0,L1277)</f>
        <v>269175</v>
      </c>
      <c r="T1277" s="37">
        <f t="shared" ref="T1277:T1283" si="256">L1277-S1277</f>
        <v>0</v>
      </c>
      <c r="U1277" s="10"/>
      <c r="V1277" s="10"/>
      <c r="W1277" s="10"/>
      <c r="X1277" s="10"/>
      <c r="Y1277" s="10"/>
      <c r="Z1277" s="10"/>
      <c r="AA1277" s="10"/>
      <c r="AB1277" s="10"/>
      <c r="AC1277" s="10"/>
      <c r="AD1277" s="10"/>
      <c r="AE1277" s="10"/>
    </row>
    <row r="1278" spans="1:31" ht="14.25" hidden="1" customHeight="1">
      <c r="A1278" s="277" t="s">
        <v>5613</v>
      </c>
      <c r="B1278" s="9" t="s">
        <v>21</v>
      </c>
      <c r="C1278" s="9">
        <v>2025</v>
      </c>
      <c r="D1278" s="9" t="s">
        <v>27</v>
      </c>
      <c r="E1278" s="90" t="s">
        <v>23</v>
      </c>
      <c r="F1278" s="9" t="s">
        <v>7</v>
      </c>
      <c r="G1278" s="10"/>
      <c r="H1278" s="96">
        <v>250539</v>
      </c>
      <c r="I1278" s="121" t="s">
        <v>664</v>
      </c>
      <c r="J1278" s="115">
        <v>45796</v>
      </c>
      <c r="K1278" s="115">
        <v>45808</v>
      </c>
      <c r="L1278" s="131">
        <v>473804</v>
      </c>
      <c r="M1278" s="109" t="s">
        <v>676</v>
      </c>
      <c r="N1278" s="34" t="s">
        <v>29</v>
      </c>
      <c r="O1278" s="10"/>
      <c r="P1278" s="113">
        <v>45831</v>
      </c>
      <c r="Q1278" s="113">
        <v>45831</v>
      </c>
      <c r="R1278" s="113">
        <v>45831</v>
      </c>
      <c r="S1278" s="37">
        <f t="shared" si="255"/>
        <v>473804</v>
      </c>
      <c r="T1278" s="37">
        <f t="shared" si="256"/>
        <v>0</v>
      </c>
      <c r="U1278" s="10"/>
      <c r="V1278" s="10"/>
      <c r="W1278" s="10"/>
      <c r="X1278" s="10"/>
      <c r="Y1278" s="10"/>
      <c r="Z1278" s="10"/>
      <c r="AA1278" s="10"/>
      <c r="AB1278" s="10"/>
      <c r="AC1278" s="10"/>
      <c r="AD1278" s="10"/>
      <c r="AE1278" s="10"/>
    </row>
    <row r="1279" spans="1:31" ht="14.25" hidden="1" customHeight="1">
      <c r="A1279" s="277" t="s">
        <v>5614</v>
      </c>
      <c r="B1279" s="9" t="s">
        <v>21</v>
      </c>
      <c r="C1279" s="9">
        <v>2025</v>
      </c>
      <c r="D1279" s="9" t="s">
        <v>27</v>
      </c>
      <c r="E1279" s="90" t="s">
        <v>23</v>
      </c>
      <c r="F1279" s="9" t="s">
        <v>7</v>
      </c>
      <c r="G1279" s="10"/>
      <c r="H1279" s="96">
        <v>250540</v>
      </c>
      <c r="I1279" s="121" t="s">
        <v>664</v>
      </c>
      <c r="J1279" s="115">
        <v>45798</v>
      </c>
      <c r="K1279" s="115">
        <v>45808</v>
      </c>
      <c r="L1279" s="131">
        <v>379602</v>
      </c>
      <c r="M1279" s="109" t="s">
        <v>675</v>
      </c>
      <c r="N1279" s="34" t="s">
        <v>29</v>
      </c>
      <c r="O1279" s="10"/>
      <c r="P1279" s="113">
        <v>45831</v>
      </c>
      <c r="Q1279" s="113">
        <v>45831</v>
      </c>
      <c r="R1279" s="113">
        <v>45831</v>
      </c>
      <c r="S1279" s="37">
        <f t="shared" si="255"/>
        <v>379602</v>
      </c>
      <c r="T1279" s="37">
        <f t="shared" si="256"/>
        <v>0</v>
      </c>
      <c r="U1279" s="10"/>
      <c r="V1279" s="10"/>
      <c r="W1279" s="10"/>
      <c r="X1279" s="10"/>
      <c r="Y1279" s="10"/>
      <c r="Z1279" s="10"/>
      <c r="AA1279" s="10"/>
      <c r="AB1279" s="10"/>
      <c r="AC1279" s="10"/>
      <c r="AD1279" s="10"/>
      <c r="AE1279" s="10"/>
    </row>
    <row r="1280" spans="1:31" ht="14.25" hidden="1" customHeight="1">
      <c r="A1280" s="277" t="s">
        <v>5615</v>
      </c>
      <c r="B1280" s="9" t="s">
        <v>21</v>
      </c>
      <c r="C1280" s="9">
        <v>2025</v>
      </c>
      <c r="D1280" s="9" t="s">
        <v>27</v>
      </c>
      <c r="E1280" s="90" t="s">
        <v>23</v>
      </c>
      <c r="F1280" s="9" t="s">
        <v>7</v>
      </c>
      <c r="G1280" s="10"/>
      <c r="H1280" s="96">
        <v>250547</v>
      </c>
      <c r="I1280" s="121" t="s">
        <v>664</v>
      </c>
      <c r="J1280" s="115">
        <v>45803</v>
      </c>
      <c r="K1280" s="115">
        <v>45811</v>
      </c>
      <c r="L1280" s="131">
        <v>910502</v>
      </c>
      <c r="M1280" s="109" t="s">
        <v>677</v>
      </c>
      <c r="N1280" s="34" t="s">
        <v>29</v>
      </c>
      <c r="O1280" s="52">
        <f>SUM(L1280:L1282)</f>
        <v>2608107</v>
      </c>
      <c r="P1280" s="113">
        <v>45867</v>
      </c>
      <c r="Q1280" s="113">
        <v>45867</v>
      </c>
      <c r="R1280" s="113">
        <v>45867</v>
      </c>
      <c r="S1280" s="37">
        <f t="shared" si="255"/>
        <v>910502</v>
      </c>
      <c r="T1280" s="37">
        <f t="shared" si="256"/>
        <v>0</v>
      </c>
      <c r="U1280" s="10"/>
      <c r="V1280" s="10"/>
      <c r="W1280" s="10"/>
      <c r="X1280" s="10"/>
      <c r="Y1280" s="10"/>
      <c r="Z1280" s="10"/>
      <c r="AA1280" s="10"/>
      <c r="AB1280" s="10"/>
      <c r="AC1280" s="10"/>
      <c r="AD1280" s="10"/>
      <c r="AE1280" s="10"/>
    </row>
    <row r="1281" spans="1:31" ht="14.25" hidden="1" customHeight="1">
      <c r="A1281" s="277" t="s">
        <v>5616</v>
      </c>
      <c r="B1281" s="9" t="s">
        <v>21</v>
      </c>
      <c r="C1281" s="9">
        <v>2025</v>
      </c>
      <c r="D1281" s="9" t="s">
        <v>27</v>
      </c>
      <c r="E1281" s="90" t="s">
        <v>23</v>
      </c>
      <c r="F1281" s="9" t="s">
        <v>7</v>
      </c>
      <c r="G1281" s="10"/>
      <c r="H1281" s="96">
        <v>250560</v>
      </c>
      <c r="I1281" s="121" t="s">
        <v>664</v>
      </c>
      <c r="J1281" s="115">
        <v>45800</v>
      </c>
      <c r="K1281" s="115">
        <v>45818</v>
      </c>
      <c r="L1281" s="131">
        <v>422066</v>
      </c>
      <c r="M1281" s="109" t="s">
        <v>678</v>
      </c>
      <c r="N1281" s="34" t="s">
        <v>29</v>
      </c>
      <c r="O1281" s="10"/>
      <c r="P1281" s="113">
        <v>45867</v>
      </c>
      <c r="Q1281" s="113">
        <v>45867</v>
      </c>
      <c r="R1281" s="113">
        <v>45867</v>
      </c>
      <c r="S1281" s="37">
        <f t="shared" si="255"/>
        <v>422066</v>
      </c>
      <c r="T1281" s="37">
        <f t="shared" si="256"/>
        <v>0</v>
      </c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  <c r="AE1281" s="10"/>
    </row>
    <row r="1282" spans="1:31" ht="14.25" hidden="1" customHeight="1">
      <c r="A1282" s="277" t="s">
        <v>5617</v>
      </c>
      <c r="B1282" s="9" t="s">
        <v>21</v>
      </c>
      <c r="C1282" s="9">
        <v>2025</v>
      </c>
      <c r="D1282" s="9" t="s">
        <v>27</v>
      </c>
      <c r="E1282" s="90" t="s">
        <v>23</v>
      </c>
      <c r="F1282" s="9" t="s">
        <v>7</v>
      </c>
      <c r="G1282" s="10"/>
      <c r="H1282" s="96">
        <v>250594</v>
      </c>
      <c r="I1282" s="121" t="s">
        <v>664</v>
      </c>
      <c r="J1282" s="115">
        <v>45818</v>
      </c>
      <c r="K1282" s="115">
        <v>45825</v>
      </c>
      <c r="L1282" s="131">
        <v>1275539</v>
      </c>
      <c r="M1282" s="109" t="s">
        <v>679</v>
      </c>
      <c r="N1282" s="34" t="s">
        <v>29</v>
      </c>
      <c r="O1282" s="10"/>
      <c r="P1282" s="113">
        <v>45867</v>
      </c>
      <c r="Q1282" s="113">
        <v>45867</v>
      </c>
      <c r="R1282" s="113">
        <v>45867</v>
      </c>
      <c r="S1282" s="37">
        <f t="shared" si="255"/>
        <v>1275539</v>
      </c>
      <c r="T1282" s="37">
        <f t="shared" si="256"/>
        <v>0</v>
      </c>
      <c r="U1282" s="10"/>
      <c r="V1282" s="10"/>
      <c r="W1282" s="10"/>
      <c r="X1282" s="10"/>
      <c r="Y1282" s="10"/>
      <c r="Z1282" s="10"/>
      <c r="AA1282" s="10"/>
      <c r="AB1282" s="10"/>
      <c r="AC1282" s="10"/>
      <c r="AD1282" s="10"/>
      <c r="AE1282" s="10"/>
    </row>
    <row r="1283" spans="1:31" ht="14.25" hidden="1" customHeight="1">
      <c r="A1283" s="277" t="s">
        <v>5618</v>
      </c>
      <c r="B1283" s="9" t="s">
        <v>21</v>
      </c>
      <c r="C1283" s="9">
        <v>2025</v>
      </c>
      <c r="D1283" s="9" t="s">
        <v>27</v>
      </c>
      <c r="E1283" s="90" t="s">
        <v>23</v>
      </c>
      <c r="F1283" s="9" t="s">
        <v>7</v>
      </c>
      <c r="G1283" s="10"/>
      <c r="H1283" s="96">
        <v>250624</v>
      </c>
      <c r="I1283" s="121" t="s">
        <v>664</v>
      </c>
      <c r="J1283" s="115">
        <v>45832</v>
      </c>
      <c r="K1283" s="115">
        <v>45853</v>
      </c>
      <c r="L1283" s="131">
        <v>152514</v>
      </c>
      <c r="M1283" s="109" t="s">
        <v>680</v>
      </c>
      <c r="N1283" s="34" t="s">
        <v>29</v>
      </c>
      <c r="O1283" s="52">
        <f>SUM(L1283:L1290)</f>
        <v>5392874</v>
      </c>
      <c r="P1283" s="113">
        <v>45898</v>
      </c>
      <c r="Q1283" s="113">
        <v>45898</v>
      </c>
      <c r="R1283" s="113">
        <v>45898</v>
      </c>
      <c r="S1283" s="37">
        <f t="shared" si="255"/>
        <v>152514</v>
      </c>
      <c r="T1283" s="37">
        <f t="shared" si="256"/>
        <v>0</v>
      </c>
      <c r="U1283" s="10"/>
      <c r="V1283" s="10"/>
      <c r="W1283" s="10"/>
      <c r="X1283" s="10"/>
      <c r="Y1283" s="10"/>
      <c r="Z1283" s="10"/>
      <c r="AA1283" s="10"/>
      <c r="AB1283" s="10"/>
      <c r="AC1283" s="10"/>
      <c r="AD1283" s="10"/>
      <c r="AE1283" s="10"/>
    </row>
    <row r="1284" spans="1:31" ht="14.25" hidden="1" customHeight="1">
      <c r="A1284" s="277" t="s">
        <v>5619</v>
      </c>
      <c r="B1284" s="9" t="s">
        <v>21</v>
      </c>
      <c r="C1284" s="9">
        <v>2025</v>
      </c>
      <c r="D1284" s="9" t="s">
        <v>27</v>
      </c>
      <c r="E1284" s="90" t="s">
        <v>23</v>
      </c>
      <c r="F1284" s="9" t="s">
        <v>7</v>
      </c>
      <c r="G1284" s="10"/>
      <c r="H1284" s="96">
        <v>250664</v>
      </c>
      <c r="I1284" s="121" t="s">
        <v>664</v>
      </c>
      <c r="J1284" s="115">
        <v>45841</v>
      </c>
      <c r="K1284" s="115">
        <v>45860</v>
      </c>
      <c r="L1284" s="131">
        <v>603252</v>
      </c>
      <c r="M1284" s="109" t="s">
        <v>681</v>
      </c>
      <c r="N1284" s="34" t="s">
        <v>29</v>
      </c>
      <c r="O1284" s="10"/>
      <c r="P1284" s="113">
        <v>45898</v>
      </c>
      <c r="Q1284" s="113">
        <v>45898</v>
      </c>
      <c r="R1284" s="113">
        <v>45898</v>
      </c>
      <c r="S1284" s="37">
        <f t="shared" ref="S1284:S1293" si="257">IF(R1284="",0,L1284)</f>
        <v>603252</v>
      </c>
      <c r="T1284" s="37">
        <f t="shared" ref="T1284:T1293" si="258">L1284-S1284</f>
        <v>0</v>
      </c>
      <c r="U1284" s="10"/>
      <c r="V1284" s="10"/>
      <c r="W1284" s="10"/>
      <c r="X1284" s="10"/>
      <c r="Y1284" s="10"/>
      <c r="Z1284" s="10"/>
      <c r="AA1284" s="10"/>
      <c r="AB1284" s="10"/>
      <c r="AC1284" s="10"/>
      <c r="AD1284" s="10"/>
      <c r="AE1284" s="10"/>
    </row>
    <row r="1285" spans="1:31" ht="14.25" hidden="1" customHeight="1">
      <c r="A1285" s="277" t="s">
        <v>5620</v>
      </c>
      <c r="B1285" s="9" t="s">
        <v>21</v>
      </c>
      <c r="C1285" s="9">
        <v>2025</v>
      </c>
      <c r="D1285" s="9" t="s">
        <v>27</v>
      </c>
      <c r="E1285" s="90" t="s">
        <v>23</v>
      </c>
      <c r="F1285" s="9" t="s">
        <v>7</v>
      </c>
      <c r="G1285" s="10"/>
      <c r="H1285" s="96">
        <v>250665</v>
      </c>
      <c r="I1285" s="121" t="s">
        <v>664</v>
      </c>
      <c r="J1285" s="115">
        <v>45842</v>
      </c>
      <c r="K1285" s="115">
        <v>45860</v>
      </c>
      <c r="L1285" s="131">
        <v>233100</v>
      </c>
      <c r="M1285" s="109" t="s">
        <v>682</v>
      </c>
      <c r="N1285" s="34" t="s">
        <v>29</v>
      </c>
      <c r="O1285" s="10"/>
      <c r="P1285" s="113">
        <v>45898</v>
      </c>
      <c r="Q1285" s="113">
        <v>45898</v>
      </c>
      <c r="R1285" s="113">
        <v>45898</v>
      </c>
      <c r="S1285" s="37">
        <f t="shared" si="257"/>
        <v>233100</v>
      </c>
      <c r="T1285" s="37">
        <f t="shared" si="258"/>
        <v>0</v>
      </c>
      <c r="U1285" s="10"/>
      <c r="V1285" s="10"/>
      <c r="W1285" s="10"/>
      <c r="X1285" s="10"/>
      <c r="Y1285" s="10"/>
      <c r="Z1285" s="10"/>
      <c r="AA1285" s="10"/>
      <c r="AB1285" s="10"/>
      <c r="AC1285" s="10"/>
      <c r="AD1285" s="10"/>
      <c r="AE1285" s="10"/>
    </row>
    <row r="1286" spans="1:31" hidden="1">
      <c r="A1286" s="277" t="s">
        <v>5621</v>
      </c>
      <c r="B1286" s="9" t="s">
        <v>21</v>
      </c>
      <c r="C1286" s="9">
        <v>2025</v>
      </c>
      <c r="D1286" s="9" t="s">
        <v>27</v>
      </c>
      <c r="E1286" s="90" t="s">
        <v>23</v>
      </c>
      <c r="F1286" s="9" t="s">
        <v>7</v>
      </c>
      <c r="G1286" s="10"/>
      <c r="H1286" s="96">
        <v>250670</v>
      </c>
      <c r="I1286" s="121" t="s">
        <v>664</v>
      </c>
      <c r="J1286" s="115">
        <v>45846</v>
      </c>
      <c r="K1286" s="115">
        <v>45860</v>
      </c>
      <c r="L1286" s="131">
        <v>211355</v>
      </c>
      <c r="M1286" s="109" t="s">
        <v>683</v>
      </c>
      <c r="N1286" s="34" t="s">
        <v>29</v>
      </c>
      <c r="O1286" s="10"/>
      <c r="P1286" s="113">
        <v>45898</v>
      </c>
      <c r="Q1286" s="113">
        <v>45898</v>
      </c>
      <c r="R1286" s="113">
        <v>45898</v>
      </c>
      <c r="S1286" s="37">
        <f t="shared" si="257"/>
        <v>211355</v>
      </c>
      <c r="T1286" s="37">
        <f t="shared" si="258"/>
        <v>0</v>
      </c>
      <c r="U1286" s="10"/>
      <c r="V1286" s="10"/>
      <c r="W1286" s="10"/>
      <c r="X1286" s="10"/>
      <c r="Y1286" s="10"/>
      <c r="Z1286" s="10"/>
      <c r="AA1286" s="10"/>
      <c r="AB1286" s="10"/>
      <c r="AC1286" s="10"/>
      <c r="AD1286" s="10"/>
      <c r="AE1286" s="10"/>
    </row>
    <row r="1287" spans="1:31" hidden="1">
      <c r="A1287" s="277" t="s">
        <v>5622</v>
      </c>
      <c r="B1287" s="9" t="s">
        <v>21</v>
      </c>
      <c r="C1287" s="9">
        <v>2025</v>
      </c>
      <c r="D1287" s="9" t="s">
        <v>27</v>
      </c>
      <c r="E1287" s="90" t="s">
        <v>23</v>
      </c>
      <c r="F1287" s="9" t="s">
        <v>7</v>
      </c>
      <c r="G1287" s="10"/>
      <c r="H1287" s="96">
        <v>250683</v>
      </c>
      <c r="I1287" s="121" t="s">
        <v>664</v>
      </c>
      <c r="J1287" s="115">
        <v>45852</v>
      </c>
      <c r="K1287" s="115">
        <v>45860</v>
      </c>
      <c r="L1287" s="131">
        <v>840399</v>
      </c>
      <c r="M1287" s="109" t="s">
        <v>684</v>
      </c>
      <c r="N1287" s="34" t="s">
        <v>29</v>
      </c>
      <c r="O1287" s="10"/>
      <c r="P1287" s="113">
        <v>45898</v>
      </c>
      <c r="Q1287" s="113">
        <v>45898</v>
      </c>
      <c r="R1287" s="113">
        <v>45898</v>
      </c>
      <c r="S1287" s="37">
        <f t="shared" si="257"/>
        <v>840399</v>
      </c>
      <c r="T1287" s="37">
        <f t="shared" si="258"/>
        <v>0</v>
      </c>
      <c r="U1287" s="10"/>
      <c r="V1287" s="10"/>
      <c r="W1287" s="10"/>
      <c r="X1287" s="10"/>
      <c r="Y1287" s="10"/>
      <c r="Z1287" s="10"/>
      <c r="AA1287" s="10"/>
      <c r="AB1287" s="10"/>
      <c r="AC1287" s="10"/>
      <c r="AD1287" s="10"/>
      <c r="AE1287" s="10"/>
    </row>
    <row r="1288" spans="1:31" hidden="1">
      <c r="A1288" s="277" t="s">
        <v>5623</v>
      </c>
      <c r="B1288" s="9" t="s">
        <v>21</v>
      </c>
      <c r="C1288" s="9">
        <v>2025</v>
      </c>
      <c r="D1288" s="9" t="s">
        <v>27</v>
      </c>
      <c r="E1288" s="90" t="s">
        <v>23</v>
      </c>
      <c r="F1288" s="9" t="s">
        <v>7</v>
      </c>
      <c r="G1288" s="10"/>
      <c r="H1288" s="96">
        <v>250695</v>
      </c>
      <c r="I1288" s="121" t="s">
        <v>664</v>
      </c>
      <c r="J1288" s="115">
        <v>45855</v>
      </c>
      <c r="K1288" s="115">
        <v>45860</v>
      </c>
      <c r="L1288" s="131">
        <v>1001664</v>
      </c>
      <c r="M1288" s="109" t="s">
        <v>685</v>
      </c>
      <c r="N1288" s="34" t="s">
        <v>29</v>
      </c>
      <c r="O1288" s="10"/>
      <c r="P1288" s="113">
        <v>45898</v>
      </c>
      <c r="Q1288" s="113">
        <v>45898</v>
      </c>
      <c r="R1288" s="113">
        <v>45898</v>
      </c>
      <c r="S1288" s="37">
        <f t="shared" si="257"/>
        <v>1001664</v>
      </c>
      <c r="T1288" s="37">
        <f t="shared" si="258"/>
        <v>0</v>
      </c>
      <c r="U1288" s="10"/>
      <c r="V1288" s="10"/>
      <c r="W1288" s="10"/>
      <c r="X1288" s="10"/>
      <c r="Y1288" s="10"/>
      <c r="Z1288" s="10"/>
      <c r="AA1288" s="10"/>
      <c r="AB1288" s="10"/>
      <c r="AC1288" s="10"/>
      <c r="AD1288" s="10"/>
      <c r="AE1288" s="10"/>
    </row>
    <row r="1289" spans="1:31" hidden="1">
      <c r="A1289" s="277" t="s">
        <v>5624</v>
      </c>
      <c r="B1289" s="9" t="s">
        <v>21</v>
      </c>
      <c r="C1289" s="9">
        <v>2025</v>
      </c>
      <c r="D1289" s="9" t="s">
        <v>27</v>
      </c>
      <c r="E1289" s="90" t="s">
        <v>23</v>
      </c>
      <c r="F1289" s="9" t="s">
        <v>7</v>
      </c>
      <c r="G1289" s="10"/>
      <c r="H1289" s="96">
        <v>250704</v>
      </c>
      <c r="I1289" s="121" t="s">
        <v>664</v>
      </c>
      <c r="J1289" s="115">
        <v>45862</v>
      </c>
      <c r="K1289" s="115">
        <v>45867</v>
      </c>
      <c r="L1289" s="131">
        <v>816699</v>
      </c>
      <c r="M1289" s="109" t="s">
        <v>686</v>
      </c>
      <c r="N1289" s="34" t="s">
        <v>29</v>
      </c>
      <c r="O1289" s="10"/>
      <c r="P1289" s="113">
        <v>45898</v>
      </c>
      <c r="Q1289" s="113">
        <v>45898</v>
      </c>
      <c r="R1289" s="113">
        <v>45898</v>
      </c>
      <c r="S1289" s="37">
        <f t="shared" si="257"/>
        <v>816699</v>
      </c>
      <c r="T1289" s="37">
        <f t="shared" si="258"/>
        <v>0</v>
      </c>
      <c r="U1289" s="10"/>
      <c r="V1289" s="10"/>
      <c r="W1289" s="10"/>
      <c r="X1289" s="10"/>
      <c r="Y1289" s="10"/>
      <c r="Z1289" s="10"/>
      <c r="AA1289" s="10"/>
      <c r="AB1289" s="10"/>
      <c r="AC1289" s="10"/>
      <c r="AD1289" s="10"/>
      <c r="AE1289" s="10"/>
    </row>
    <row r="1290" spans="1:31" hidden="1">
      <c r="A1290" s="277" t="s">
        <v>5625</v>
      </c>
      <c r="B1290" s="9" t="s">
        <v>21</v>
      </c>
      <c r="C1290" s="9">
        <v>2025</v>
      </c>
      <c r="D1290" s="9" t="s">
        <v>27</v>
      </c>
      <c r="E1290" s="90" t="s">
        <v>23</v>
      </c>
      <c r="F1290" s="9" t="s">
        <v>7</v>
      </c>
      <c r="G1290" s="10"/>
      <c r="H1290" s="96">
        <v>250759</v>
      </c>
      <c r="I1290" s="121" t="s">
        <v>664</v>
      </c>
      <c r="J1290" s="115">
        <v>45866</v>
      </c>
      <c r="K1290" s="115">
        <v>45813</v>
      </c>
      <c r="L1290" s="131">
        <v>1533891</v>
      </c>
      <c r="M1290" s="109" t="s">
        <v>687</v>
      </c>
      <c r="N1290" s="34" t="s">
        <v>29</v>
      </c>
      <c r="O1290" s="10"/>
      <c r="P1290" s="113">
        <v>45898</v>
      </c>
      <c r="Q1290" s="113">
        <v>45898</v>
      </c>
      <c r="R1290" s="113">
        <v>45898</v>
      </c>
      <c r="S1290" s="37">
        <f t="shared" si="257"/>
        <v>1533891</v>
      </c>
      <c r="T1290" s="37">
        <f t="shared" si="258"/>
        <v>0</v>
      </c>
      <c r="U1290" s="10"/>
      <c r="V1290" s="10"/>
      <c r="W1290" s="10"/>
      <c r="X1290" s="10"/>
      <c r="Y1290" s="10"/>
      <c r="Z1290" s="10"/>
      <c r="AA1290" s="10"/>
      <c r="AB1290" s="10"/>
      <c r="AC1290" s="10"/>
      <c r="AD1290" s="10"/>
      <c r="AE1290" s="10"/>
    </row>
    <row r="1291" spans="1:31" hidden="1">
      <c r="A1291" s="277" t="s">
        <v>5626</v>
      </c>
      <c r="B1291" s="9" t="s">
        <v>21</v>
      </c>
      <c r="C1291" s="9">
        <v>2025</v>
      </c>
      <c r="D1291" s="9" t="s">
        <v>27</v>
      </c>
      <c r="E1291" s="90" t="s">
        <v>23</v>
      </c>
      <c r="F1291" s="9" t="s">
        <v>7</v>
      </c>
      <c r="G1291" s="10"/>
      <c r="H1291" s="96">
        <v>250795</v>
      </c>
      <c r="I1291" s="121" t="s">
        <v>664</v>
      </c>
      <c r="J1291" s="115">
        <v>45876</v>
      </c>
      <c r="K1291" s="115">
        <v>45888</v>
      </c>
      <c r="L1291" s="131">
        <v>419801</v>
      </c>
      <c r="M1291" s="109" t="s">
        <v>688</v>
      </c>
      <c r="N1291" s="34" t="s">
        <v>29</v>
      </c>
      <c r="O1291" s="52">
        <f>SUM(L1291:L1293)</f>
        <v>1969817</v>
      </c>
      <c r="P1291" s="113">
        <v>45945</v>
      </c>
      <c r="Q1291" s="113">
        <v>45945</v>
      </c>
      <c r="R1291" s="113">
        <v>45945</v>
      </c>
      <c r="S1291" s="37">
        <f t="shared" si="257"/>
        <v>419801</v>
      </c>
      <c r="T1291" s="37">
        <f t="shared" si="258"/>
        <v>0</v>
      </c>
      <c r="U1291" s="10"/>
      <c r="V1291" s="10"/>
      <c r="W1291" s="10"/>
      <c r="X1291" s="10"/>
      <c r="Y1291" s="10"/>
      <c r="Z1291" s="10"/>
      <c r="AA1291" s="10"/>
      <c r="AB1291" s="10"/>
      <c r="AC1291" s="10"/>
      <c r="AD1291" s="10"/>
      <c r="AE1291" s="10"/>
    </row>
    <row r="1292" spans="1:31" hidden="1">
      <c r="A1292" s="277" t="s">
        <v>5627</v>
      </c>
      <c r="B1292" s="9" t="s">
        <v>21</v>
      </c>
      <c r="C1292" s="9">
        <v>2025</v>
      </c>
      <c r="D1292" s="9" t="s">
        <v>27</v>
      </c>
      <c r="E1292" s="90" t="s">
        <v>23</v>
      </c>
      <c r="F1292" s="9" t="s">
        <v>7</v>
      </c>
      <c r="G1292" s="10"/>
      <c r="H1292" s="96">
        <v>250808</v>
      </c>
      <c r="I1292" s="121" t="s">
        <v>664</v>
      </c>
      <c r="J1292" s="115">
        <v>45881</v>
      </c>
      <c r="K1292" s="115">
        <v>45888</v>
      </c>
      <c r="L1292" s="131">
        <v>689033</v>
      </c>
      <c r="M1292" s="109" t="s">
        <v>689</v>
      </c>
      <c r="N1292" s="34" t="s">
        <v>29</v>
      </c>
      <c r="O1292" s="10"/>
      <c r="P1292" s="113">
        <v>45945</v>
      </c>
      <c r="Q1292" s="113">
        <v>45945</v>
      </c>
      <c r="R1292" s="113">
        <v>45945</v>
      </c>
      <c r="S1292" s="37">
        <f t="shared" si="257"/>
        <v>689033</v>
      </c>
      <c r="T1292" s="37">
        <f t="shared" si="258"/>
        <v>0</v>
      </c>
      <c r="U1292" s="10"/>
      <c r="V1292" s="10"/>
      <c r="W1292" s="10"/>
      <c r="X1292" s="10"/>
      <c r="Y1292" s="10"/>
      <c r="Z1292" s="10"/>
      <c r="AA1292" s="10"/>
      <c r="AB1292" s="10"/>
      <c r="AC1292" s="10"/>
      <c r="AD1292" s="10"/>
      <c r="AE1292" s="10"/>
    </row>
    <row r="1293" spans="1:31" ht="14.25" hidden="1" customHeight="1">
      <c r="A1293" s="277" t="s">
        <v>5628</v>
      </c>
      <c r="B1293" s="9" t="s">
        <v>21</v>
      </c>
      <c r="C1293" s="9">
        <v>2025</v>
      </c>
      <c r="D1293" s="9" t="s">
        <v>27</v>
      </c>
      <c r="E1293" s="90" t="s">
        <v>23</v>
      </c>
      <c r="F1293" s="9" t="s">
        <v>7</v>
      </c>
      <c r="G1293" s="10"/>
      <c r="H1293" s="96">
        <v>250825</v>
      </c>
      <c r="I1293" s="121" t="s">
        <v>664</v>
      </c>
      <c r="J1293" s="115">
        <v>45885</v>
      </c>
      <c r="K1293" s="115">
        <v>45909</v>
      </c>
      <c r="L1293" s="131">
        <v>860983</v>
      </c>
      <c r="M1293" s="109" t="s">
        <v>690</v>
      </c>
      <c r="N1293" s="34" t="s">
        <v>29</v>
      </c>
      <c r="O1293" s="10"/>
      <c r="P1293" s="113">
        <v>45945</v>
      </c>
      <c r="Q1293" s="113">
        <v>45945</v>
      </c>
      <c r="R1293" s="113">
        <v>45945</v>
      </c>
      <c r="S1293" s="37">
        <f t="shared" si="257"/>
        <v>860983</v>
      </c>
      <c r="T1293" s="37">
        <f t="shared" si="258"/>
        <v>0</v>
      </c>
      <c r="U1293" s="10"/>
      <c r="V1293" s="10"/>
      <c r="W1293" s="10"/>
      <c r="X1293" s="10"/>
      <c r="Y1293" s="10"/>
      <c r="Z1293" s="10"/>
      <c r="AA1293" s="10"/>
      <c r="AB1293" s="10"/>
      <c r="AC1293" s="10"/>
      <c r="AD1293" s="10"/>
      <c r="AE1293" s="10"/>
    </row>
    <row r="1294" spans="1:31" ht="14.25" hidden="1" customHeight="1">
      <c r="A1294" s="277" t="s">
        <v>5629</v>
      </c>
      <c r="B1294" s="9" t="s">
        <v>21</v>
      </c>
      <c r="C1294" s="9">
        <v>2025</v>
      </c>
      <c r="D1294" s="9" t="s">
        <v>27</v>
      </c>
      <c r="E1294" s="90" t="s">
        <v>23</v>
      </c>
      <c r="F1294" s="9" t="s">
        <v>7</v>
      </c>
      <c r="G1294" s="10"/>
      <c r="H1294" s="96">
        <v>250927</v>
      </c>
      <c r="I1294" s="121" t="s">
        <v>664</v>
      </c>
      <c r="J1294" s="115">
        <v>45913</v>
      </c>
      <c r="K1294" s="115">
        <v>45937</v>
      </c>
      <c r="L1294" s="131">
        <v>311428</v>
      </c>
      <c r="M1294" s="109" t="s">
        <v>3734</v>
      </c>
      <c r="N1294" s="34" t="s">
        <v>29</v>
      </c>
      <c r="O1294" s="52">
        <f>SUM(L1294:L1309)</f>
        <v>8416175</v>
      </c>
      <c r="P1294" s="113">
        <v>46007</v>
      </c>
      <c r="Q1294" s="113">
        <v>46007</v>
      </c>
      <c r="R1294" s="113">
        <v>46007</v>
      </c>
      <c r="S1294" s="37">
        <f>IF(R1294="",0,L1294)</f>
        <v>311428</v>
      </c>
      <c r="T1294" s="37">
        <f>L1294-S1294</f>
        <v>0</v>
      </c>
      <c r="U1294" s="10"/>
      <c r="V1294" s="10"/>
      <c r="W1294" s="10"/>
      <c r="X1294" s="10"/>
      <c r="Y1294" s="10"/>
      <c r="Z1294" s="10"/>
      <c r="AA1294" s="10"/>
      <c r="AB1294" s="10"/>
      <c r="AC1294" s="10"/>
      <c r="AD1294" s="10"/>
      <c r="AE1294" s="10"/>
    </row>
    <row r="1295" spans="1:31" ht="14.25" hidden="1" customHeight="1">
      <c r="A1295" s="277" t="s">
        <v>5630</v>
      </c>
      <c r="B1295" s="9" t="s">
        <v>21</v>
      </c>
      <c r="C1295" s="9">
        <v>2025</v>
      </c>
      <c r="D1295" s="9" t="s">
        <v>27</v>
      </c>
      <c r="E1295" s="90" t="s">
        <v>23</v>
      </c>
      <c r="F1295" s="9" t="s">
        <v>7</v>
      </c>
      <c r="G1295" s="10"/>
      <c r="H1295" s="96">
        <v>250944</v>
      </c>
      <c r="I1295" s="121" t="s">
        <v>664</v>
      </c>
      <c r="J1295" s="115">
        <v>45916</v>
      </c>
      <c r="K1295" s="115">
        <v>45937</v>
      </c>
      <c r="L1295" s="131">
        <v>211538</v>
      </c>
      <c r="M1295" s="109" t="s">
        <v>3735</v>
      </c>
      <c r="N1295" s="34" t="s">
        <v>29</v>
      </c>
      <c r="P1295" s="113">
        <v>46007</v>
      </c>
      <c r="Q1295" s="113">
        <v>46007</v>
      </c>
      <c r="R1295" s="113">
        <v>46007</v>
      </c>
      <c r="S1295" s="37">
        <f t="shared" ref="S1295:S1322" si="259">IF(R1295="",0,L1295)</f>
        <v>211538</v>
      </c>
      <c r="T1295" s="37">
        <f t="shared" ref="T1295:T1322" si="260">L1295-S1295</f>
        <v>0</v>
      </c>
      <c r="U1295" s="10"/>
      <c r="V1295" s="10"/>
      <c r="W1295" s="10"/>
      <c r="X1295" s="10"/>
      <c r="Y1295" s="10"/>
      <c r="Z1295" s="10"/>
      <c r="AA1295" s="10"/>
      <c r="AB1295" s="10"/>
      <c r="AC1295" s="10"/>
      <c r="AD1295" s="10"/>
      <c r="AE1295" s="10"/>
    </row>
    <row r="1296" spans="1:31" ht="14.25" hidden="1" customHeight="1">
      <c r="A1296" s="277" t="s">
        <v>5631</v>
      </c>
      <c r="B1296" s="9" t="s">
        <v>21</v>
      </c>
      <c r="C1296" s="9">
        <v>2025</v>
      </c>
      <c r="D1296" s="9" t="s">
        <v>27</v>
      </c>
      <c r="E1296" s="90" t="s">
        <v>23</v>
      </c>
      <c r="F1296" s="9" t="s">
        <v>7</v>
      </c>
      <c r="G1296" s="10"/>
      <c r="H1296" s="96">
        <v>250958</v>
      </c>
      <c r="I1296" s="121" t="s">
        <v>664</v>
      </c>
      <c r="J1296" s="115">
        <v>45924</v>
      </c>
      <c r="K1296" s="115">
        <v>45944</v>
      </c>
      <c r="L1296" s="131">
        <v>1307102</v>
      </c>
      <c r="M1296" s="109" t="s">
        <v>3800</v>
      </c>
      <c r="N1296" s="34" t="s">
        <v>29</v>
      </c>
      <c r="O1296" s="10"/>
      <c r="P1296" s="113">
        <v>46007</v>
      </c>
      <c r="Q1296" s="113">
        <v>46007</v>
      </c>
      <c r="R1296" s="113">
        <v>46007</v>
      </c>
      <c r="S1296" s="37">
        <f t="shared" si="259"/>
        <v>1307102</v>
      </c>
      <c r="T1296" s="37">
        <f t="shared" si="260"/>
        <v>0</v>
      </c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0"/>
      <c r="AE1296" s="10"/>
    </row>
    <row r="1297" spans="1:31" ht="14.25" hidden="1" customHeight="1">
      <c r="A1297" s="277" t="s">
        <v>5632</v>
      </c>
      <c r="B1297" s="9" t="s">
        <v>21</v>
      </c>
      <c r="C1297" s="9">
        <v>2025</v>
      </c>
      <c r="D1297" s="9" t="s">
        <v>27</v>
      </c>
      <c r="E1297" s="90" t="s">
        <v>23</v>
      </c>
      <c r="F1297" s="9" t="s">
        <v>7</v>
      </c>
      <c r="G1297" s="10"/>
      <c r="H1297" s="96">
        <v>250972</v>
      </c>
      <c r="I1297" s="121" t="s">
        <v>664</v>
      </c>
      <c r="J1297" s="115">
        <v>45925</v>
      </c>
      <c r="K1297" s="115">
        <v>45944</v>
      </c>
      <c r="L1297" s="131">
        <v>1486838</v>
      </c>
      <c r="M1297" s="109" t="s">
        <v>3801</v>
      </c>
      <c r="N1297" s="34" t="s">
        <v>29</v>
      </c>
      <c r="O1297" s="10"/>
      <c r="P1297" s="113">
        <v>46007</v>
      </c>
      <c r="Q1297" s="113">
        <v>46007</v>
      </c>
      <c r="R1297" s="113">
        <v>46007</v>
      </c>
      <c r="S1297" s="37">
        <f t="shared" si="259"/>
        <v>1486838</v>
      </c>
      <c r="T1297" s="37">
        <f t="shared" si="260"/>
        <v>0</v>
      </c>
      <c r="U1297" s="10"/>
      <c r="V1297" s="10"/>
      <c r="W1297" s="10"/>
      <c r="X1297" s="10"/>
      <c r="Y1297" s="10"/>
      <c r="Z1297" s="10"/>
      <c r="AA1297" s="10"/>
      <c r="AB1297" s="10"/>
      <c r="AC1297" s="10"/>
      <c r="AD1297" s="10"/>
      <c r="AE1297" s="10"/>
    </row>
    <row r="1298" spans="1:31" ht="14.25" hidden="1" customHeight="1">
      <c r="A1298" s="277" t="s">
        <v>5633</v>
      </c>
      <c r="B1298" s="9" t="s">
        <v>21</v>
      </c>
      <c r="C1298" s="9">
        <v>2025</v>
      </c>
      <c r="D1298" s="9" t="s">
        <v>27</v>
      </c>
      <c r="E1298" s="90" t="s">
        <v>23</v>
      </c>
      <c r="F1298" s="9" t="s">
        <v>7</v>
      </c>
      <c r="G1298" s="10"/>
      <c r="H1298" s="96">
        <v>250984</v>
      </c>
      <c r="I1298" s="121" t="s">
        <v>664</v>
      </c>
      <c r="J1298" s="115">
        <v>45931</v>
      </c>
      <c r="K1298" s="115">
        <v>45958</v>
      </c>
      <c r="L1298" s="131">
        <v>617622</v>
      </c>
      <c r="M1298" s="109" t="s">
        <v>3888</v>
      </c>
      <c r="N1298" s="34" t="s">
        <v>29</v>
      </c>
      <c r="O1298" s="10"/>
      <c r="P1298" s="113">
        <v>46007</v>
      </c>
      <c r="Q1298" s="113">
        <v>46007</v>
      </c>
      <c r="R1298" s="113">
        <v>46007</v>
      </c>
      <c r="S1298" s="37">
        <f t="shared" si="259"/>
        <v>617622</v>
      </c>
      <c r="T1298" s="37">
        <f t="shared" si="260"/>
        <v>0</v>
      </c>
      <c r="U1298" s="10"/>
      <c r="V1298" s="10"/>
      <c r="W1298" s="10"/>
      <c r="X1298" s="10"/>
      <c r="Y1298" s="10"/>
      <c r="Z1298" s="10"/>
      <c r="AA1298" s="10"/>
      <c r="AB1298" s="10"/>
      <c r="AC1298" s="10"/>
      <c r="AD1298" s="10"/>
      <c r="AE1298" s="10"/>
    </row>
    <row r="1299" spans="1:31" ht="14.25" hidden="1" customHeight="1">
      <c r="A1299" s="277" t="s">
        <v>5634</v>
      </c>
      <c r="B1299" s="9" t="s">
        <v>21</v>
      </c>
      <c r="C1299" s="9">
        <v>2025</v>
      </c>
      <c r="D1299" s="9" t="s">
        <v>27</v>
      </c>
      <c r="E1299" s="90" t="s">
        <v>23</v>
      </c>
      <c r="F1299" s="9" t="s">
        <v>7</v>
      </c>
      <c r="G1299" s="10"/>
      <c r="H1299" s="96">
        <v>251014</v>
      </c>
      <c r="I1299" s="121" t="s">
        <v>664</v>
      </c>
      <c r="J1299" s="115">
        <v>45936</v>
      </c>
      <c r="K1299" s="115">
        <v>45958</v>
      </c>
      <c r="L1299" s="131">
        <v>582138</v>
      </c>
      <c r="M1299" s="109" t="s">
        <v>3889</v>
      </c>
      <c r="N1299" s="34" t="s">
        <v>29</v>
      </c>
      <c r="O1299" s="10"/>
      <c r="P1299" s="113">
        <v>46007</v>
      </c>
      <c r="Q1299" s="113">
        <v>46007</v>
      </c>
      <c r="R1299" s="113">
        <v>46007</v>
      </c>
      <c r="S1299" s="37">
        <f t="shared" si="259"/>
        <v>582138</v>
      </c>
      <c r="T1299" s="37">
        <f t="shared" si="260"/>
        <v>0</v>
      </c>
      <c r="U1299" s="10"/>
      <c r="V1299" s="10"/>
      <c r="W1299" s="10"/>
      <c r="X1299" s="10"/>
      <c r="Y1299" s="10"/>
      <c r="Z1299" s="10"/>
      <c r="AA1299" s="10"/>
      <c r="AB1299" s="10"/>
      <c r="AC1299" s="10"/>
      <c r="AD1299" s="10"/>
      <c r="AE1299" s="10"/>
    </row>
    <row r="1300" spans="1:31" ht="14.25" hidden="1" customHeight="1">
      <c r="A1300" s="277" t="s">
        <v>5635</v>
      </c>
      <c r="B1300" s="9" t="s">
        <v>21</v>
      </c>
      <c r="C1300" s="9">
        <v>2025</v>
      </c>
      <c r="D1300" s="9" t="s">
        <v>27</v>
      </c>
      <c r="E1300" s="90" t="s">
        <v>23</v>
      </c>
      <c r="F1300" s="9" t="s">
        <v>7</v>
      </c>
      <c r="G1300" s="10"/>
      <c r="H1300" s="96">
        <v>251036</v>
      </c>
      <c r="I1300" s="121" t="s">
        <v>664</v>
      </c>
      <c r="J1300" s="115">
        <v>45940</v>
      </c>
      <c r="K1300" s="115">
        <v>45958</v>
      </c>
      <c r="L1300" s="131">
        <v>212963</v>
      </c>
      <c r="M1300" s="109" t="s">
        <v>3890</v>
      </c>
      <c r="N1300" s="34" t="s">
        <v>29</v>
      </c>
      <c r="O1300" s="10"/>
      <c r="P1300" s="113">
        <v>46007</v>
      </c>
      <c r="Q1300" s="113">
        <v>46007</v>
      </c>
      <c r="R1300" s="113">
        <v>46007</v>
      </c>
      <c r="S1300" s="37">
        <f t="shared" si="259"/>
        <v>212963</v>
      </c>
      <c r="T1300" s="37">
        <f t="shared" si="260"/>
        <v>0</v>
      </c>
      <c r="U1300" s="10"/>
      <c r="V1300" s="10"/>
      <c r="W1300" s="10"/>
      <c r="X1300" s="10"/>
      <c r="Y1300" s="10"/>
      <c r="Z1300" s="10"/>
      <c r="AA1300" s="10"/>
      <c r="AB1300" s="10"/>
      <c r="AC1300" s="10"/>
      <c r="AD1300" s="10"/>
      <c r="AE1300" s="10"/>
    </row>
    <row r="1301" spans="1:31" ht="14.25" hidden="1" customHeight="1">
      <c r="A1301" s="277" t="s">
        <v>5636</v>
      </c>
      <c r="B1301" s="9" t="s">
        <v>21</v>
      </c>
      <c r="C1301" s="9">
        <v>2025</v>
      </c>
      <c r="D1301" s="9" t="s">
        <v>27</v>
      </c>
      <c r="E1301" s="90" t="s">
        <v>23</v>
      </c>
      <c r="F1301" s="9" t="s">
        <v>7</v>
      </c>
      <c r="G1301" s="10"/>
      <c r="H1301" s="96">
        <v>251035</v>
      </c>
      <c r="I1301" s="121" t="s">
        <v>664</v>
      </c>
      <c r="J1301" s="115">
        <v>45940</v>
      </c>
      <c r="K1301" s="115">
        <v>45958</v>
      </c>
      <c r="L1301" s="131">
        <v>103985</v>
      </c>
      <c r="M1301" s="109" t="s">
        <v>3891</v>
      </c>
      <c r="N1301" s="34" t="s">
        <v>29</v>
      </c>
      <c r="O1301" s="10"/>
      <c r="P1301" s="113">
        <v>46007</v>
      </c>
      <c r="Q1301" s="113">
        <v>46007</v>
      </c>
      <c r="R1301" s="113">
        <v>46007</v>
      </c>
      <c r="S1301" s="37">
        <f t="shared" si="259"/>
        <v>103985</v>
      </c>
      <c r="T1301" s="37">
        <f t="shared" si="260"/>
        <v>0</v>
      </c>
      <c r="U1301" s="10"/>
      <c r="V1301" s="10"/>
      <c r="W1301" s="10"/>
      <c r="X1301" s="10"/>
      <c r="Y1301" s="10"/>
      <c r="Z1301" s="10"/>
      <c r="AA1301" s="10"/>
      <c r="AB1301" s="10"/>
      <c r="AC1301" s="10"/>
      <c r="AD1301" s="10"/>
      <c r="AE1301" s="10"/>
    </row>
    <row r="1302" spans="1:31" ht="14.25" hidden="1" customHeight="1">
      <c r="A1302" s="277" t="s">
        <v>5637</v>
      </c>
      <c r="B1302" s="9" t="s">
        <v>21</v>
      </c>
      <c r="C1302" s="9">
        <v>2025</v>
      </c>
      <c r="D1302" s="9" t="s">
        <v>27</v>
      </c>
      <c r="E1302" s="90" t="s">
        <v>23</v>
      </c>
      <c r="F1302" s="9" t="s">
        <v>7</v>
      </c>
      <c r="G1302" s="10"/>
      <c r="H1302" s="96">
        <v>251053</v>
      </c>
      <c r="I1302" s="121" t="s">
        <v>664</v>
      </c>
      <c r="J1302" s="115">
        <v>45944</v>
      </c>
      <c r="K1302" s="115">
        <v>45958</v>
      </c>
      <c r="L1302" s="131">
        <v>817254</v>
      </c>
      <c r="M1302" s="109" t="s">
        <v>3888</v>
      </c>
      <c r="N1302" s="34" t="s">
        <v>29</v>
      </c>
      <c r="O1302" s="10"/>
      <c r="P1302" s="113">
        <v>46007</v>
      </c>
      <c r="Q1302" s="113">
        <v>46007</v>
      </c>
      <c r="R1302" s="113">
        <v>46007</v>
      </c>
      <c r="S1302" s="37">
        <f t="shared" si="259"/>
        <v>817254</v>
      </c>
      <c r="T1302" s="37">
        <f t="shared" si="260"/>
        <v>0</v>
      </c>
      <c r="U1302" s="10"/>
      <c r="V1302" s="10"/>
      <c r="W1302" s="10"/>
      <c r="X1302" s="10"/>
      <c r="Y1302" s="10"/>
      <c r="Z1302" s="10"/>
      <c r="AA1302" s="10"/>
      <c r="AB1302" s="10"/>
      <c r="AC1302" s="10"/>
      <c r="AD1302" s="10"/>
      <c r="AE1302" s="10"/>
    </row>
    <row r="1303" spans="1:31" ht="14.25" hidden="1" customHeight="1">
      <c r="A1303" s="277" t="s">
        <v>5638</v>
      </c>
      <c r="B1303" s="9" t="s">
        <v>21</v>
      </c>
      <c r="C1303" s="9">
        <v>2025</v>
      </c>
      <c r="D1303" s="9" t="s">
        <v>27</v>
      </c>
      <c r="E1303" s="90" t="s">
        <v>23</v>
      </c>
      <c r="F1303" s="9" t="s">
        <v>7</v>
      </c>
      <c r="G1303" s="10"/>
      <c r="H1303" s="96">
        <v>251063</v>
      </c>
      <c r="I1303" s="121" t="s">
        <v>664</v>
      </c>
      <c r="J1303" s="115">
        <v>45947</v>
      </c>
      <c r="K1303" s="115">
        <v>45958</v>
      </c>
      <c r="L1303" s="131">
        <v>157487</v>
      </c>
      <c r="M1303" s="109" t="s">
        <v>3892</v>
      </c>
      <c r="N1303" s="34" t="s">
        <v>29</v>
      </c>
      <c r="O1303" s="10"/>
      <c r="P1303" s="113">
        <v>46007</v>
      </c>
      <c r="Q1303" s="113">
        <v>46007</v>
      </c>
      <c r="R1303" s="113">
        <v>46007</v>
      </c>
      <c r="S1303" s="37">
        <f t="shared" si="259"/>
        <v>157487</v>
      </c>
      <c r="T1303" s="37">
        <f t="shared" si="260"/>
        <v>0</v>
      </c>
      <c r="U1303" s="10"/>
      <c r="V1303" s="10"/>
      <c r="W1303" s="10"/>
      <c r="X1303" s="10"/>
      <c r="Y1303" s="10"/>
      <c r="Z1303" s="10"/>
      <c r="AA1303" s="10"/>
      <c r="AB1303" s="10"/>
      <c r="AC1303" s="10"/>
      <c r="AD1303" s="10"/>
      <c r="AE1303" s="10"/>
    </row>
    <row r="1304" spans="1:31" ht="14.25" hidden="1" customHeight="1">
      <c r="A1304" s="277" t="s">
        <v>5639</v>
      </c>
      <c r="B1304" s="9" t="s">
        <v>21</v>
      </c>
      <c r="C1304" s="9">
        <v>2025</v>
      </c>
      <c r="D1304" s="9" t="s">
        <v>27</v>
      </c>
      <c r="E1304" s="90" t="s">
        <v>23</v>
      </c>
      <c r="F1304" s="9" t="s">
        <v>7</v>
      </c>
      <c r="G1304" s="10"/>
      <c r="H1304" s="96">
        <v>251081</v>
      </c>
      <c r="I1304" s="121" t="s">
        <v>664</v>
      </c>
      <c r="J1304" s="115">
        <v>45951</v>
      </c>
      <c r="K1304" s="115">
        <v>45958</v>
      </c>
      <c r="L1304" s="131">
        <v>1457679</v>
      </c>
      <c r="M1304" s="109" t="s">
        <v>3893</v>
      </c>
      <c r="N1304" s="34" t="s">
        <v>29</v>
      </c>
      <c r="O1304" s="10"/>
      <c r="P1304" s="113">
        <v>46007</v>
      </c>
      <c r="Q1304" s="113">
        <v>46007</v>
      </c>
      <c r="R1304" s="113">
        <v>46007</v>
      </c>
      <c r="S1304" s="37">
        <f t="shared" si="259"/>
        <v>1457679</v>
      </c>
      <c r="T1304" s="37">
        <f t="shared" si="260"/>
        <v>0</v>
      </c>
      <c r="U1304" s="10"/>
      <c r="V1304" s="10"/>
      <c r="W1304" s="10"/>
      <c r="X1304" s="10"/>
      <c r="Y1304" s="10"/>
      <c r="Z1304" s="10"/>
      <c r="AA1304" s="10"/>
      <c r="AB1304" s="10"/>
      <c r="AC1304" s="10"/>
      <c r="AD1304" s="10"/>
      <c r="AE1304" s="10"/>
    </row>
    <row r="1305" spans="1:31" ht="14.25" hidden="1" customHeight="1">
      <c r="A1305" s="277" t="s">
        <v>5640</v>
      </c>
      <c r="B1305" s="9" t="s">
        <v>21</v>
      </c>
      <c r="C1305" s="9">
        <v>2025</v>
      </c>
      <c r="D1305" s="9" t="s">
        <v>27</v>
      </c>
      <c r="E1305" s="90" t="s">
        <v>23</v>
      </c>
      <c r="F1305" s="9" t="s">
        <v>7</v>
      </c>
      <c r="G1305" s="10"/>
      <c r="H1305" s="96">
        <v>251092</v>
      </c>
      <c r="I1305" s="121" t="s">
        <v>664</v>
      </c>
      <c r="J1305" s="115">
        <v>45954</v>
      </c>
      <c r="K1305" s="115">
        <v>45958</v>
      </c>
      <c r="L1305" s="131">
        <v>160200</v>
      </c>
      <c r="M1305" s="109" t="s">
        <v>3894</v>
      </c>
      <c r="N1305" s="34" t="s">
        <v>29</v>
      </c>
      <c r="O1305" s="10"/>
      <c r="P1305" s="113">
        <v>46007</v>
      </c>
      <c r="Q1305" s="113">
        <v>46007</v>
      </c>
      <c r="R1305" s="113">
        <v>46007</v>
      </c>
      <c r="S1305" s="37">
        <f t="shared" si="259"/>
        <v>160200</v>
      </c>
      <c r="T1305" s="37">
        <f t="shared" si="260"/>
        <v>0</v>
      </c>
      <c r="U1305" s="10"/>
      <c r="V1305" s="10"/>
      <c r="W1305" s="10"/>
      <c r="X1305" s="10"/>
      <c r="Y1305" s="10"/>
      <c r="Z1305" s="10"/>
      <c r="AA1305" s="10"/>
      <c r="AB1305" s="10"/>
      <c r="AC1305" s="10"/>
      <c r="AD1305" s="10"/>
      <c r="AE1305" s="10"/>
    </row>
    <row r="1306" spans="1:31" ht="14.25" hidden="1" customHeight="1">
      <c r="A1306" s="277" t="s">
        <v>5641</v>
      </c>
      <c r="B1306" s="9" t="s">
        <v>21</v>
      </c>
      <c r="C1306" s="9">
        <v>2025</v>
      </c>
      <c r="D1306" s="9" t="s">
        <v>27</v>
      </c>
      <c r="E1306" s="90" t="s">
        <v>23</v>
      </c>
      <c r="F1306" s="9" t="s">
        <v>7</v>
      </c>
      <c r="G1306" s="10"/>
      <c r="H1306" s="96">
        <v>251104</v>
      </c>
      <c r="I1306" s="121" t="s">
        <v>664</v>
      </c>
      <c r="J1306" s="115">
        <v>45958</v>
      </c>
      <c r="K1306" s="115">
        <v>45965</v>
      </c>
      <c r="L1306" s="131">
        <v>461223</v>
      </c>
      <c r="M1306" s="109" t="s">
        <v>3920</v>
      </c>
      <c r="N1306" s="34" t="s">
        <v>29</v>
      </c>
      <c r="O1306" s="10"/>
      <c r="P1306" s="113">
        <v>46007</v>
      </c>
      <c r="Q1306" s="113">
        <v>46007</v>
      </c>
      <c r="R1306" s="113">
        <v>46007</v>
      </c>
      <c r="S1306" s="37">
        <f t="shared" si="259"/>
        <v>461223</v>
      </c>
      <c r="T1306" s="37">
        <f t="shared" si="260"/>
        <v>0</v>
      </c>
      <c r="U1306" s="10"/>
      <c r="V1306" s="10"/>
      <c r="W1306" s="10"/>
      <c r="X1306" s="10"/>
      <c r="Y1306" s="10"/>
      <c r="Z1306" s="10"/>
      <c r="AA1306" s="10"/>
      <c r="AB1306" s="10"/>
      <c r="AC1306" s="10"/>
      <c r="AD1306" s="10"/>
      <c r="AE1306" s="10"/>
    </row>
    <row r="1307" spans="1:31" ht="14.25" hidden="1" customHeight="1">
      <c r="A1307" s="277" t="s">
        <v>5642</v>
      </c>
      <c r="B1307" s="9" t="s">
        <v>21</v>
      </c>
      <c r="C1307" s="9">
        <v>2025</v>
      </c>
      <c r="D1307" s="9" t="s">
        <v>27</v>
      </c>
      <c r="E1307" s="90" t="s">
        <v>23</v>
      </c>
      <c r="F1307" s="9" t="s">
        <v>7</v>
      </c>
      <c r="G1307" s="10"/>
      <c r="H1307" s="96">
        <v>251171</v>
      </c>
      <c r="I1307" s="121" t="s">
        <v>664</v>
      </c>
      <c r="J1307" s="115">
        <v>45967</v>
      </c>
      <c r="K1307" s="115">
        <v>45972</v>
      </c>
      <c r="L1307" s="131">
        <v>104515</v>
      </c>
      <c r="M1307" s="109" t="s">
        <v>3951</v>
      </c>
      <c r="N1307" s="34" t="s">
        <v>29</v>
      </c>
      <c r="O1307" s="10"/>
      <c r="P1307" s="113">
        <v>46007</v>
      </c>
      <c r="Q1307" s="113">
        <v>46007</v>
      </c>
      <c r="R1307" s="113">
        <v>46007</v>
      </c>
      <c r="S1307" s="37">
        <f t="shared" ref="S1307:S1312" si="261">IF(R1307="",0,L1307)</f>
        <v>104515</v>
      </c>
      <c r="T1307" s="37">
        <f t="shared" ref="T1307:T1312" si="262">L1307-S1307</f>
        <v>0</v>
      </c>
      <c r="U1307" s="10"/>
      <c r="V1307" s="10"/>
      <c r="W1307" s="10"/>
      <c r="X1307" s="10"/>
      <c r="Y1307" s="10"/>
      <c r="Z1307" s="10"/>
      <c r="AA1307" s="10"/>
      <c r="AB1307" s="10"/>
      <c r="AC1307" s="10"/>
      <c r="AD1307" s="10"/>
      <c r="AE1307" s="10"/>
    </row>
    <row r="1308" spans="1:31" ht="14.25" hidden="1" customHeight="1">
      <c r="A1308" s="277" t="s">
        <v>5643</v>
      </c>
      <c r="B1308" s="9" t="s">
        <v>21</v>
      </c>
      <c r="C1308" s="9">
        <v>2025</v>
      </c>
      <c r="D1308" s="9" t="s">
        <v>27</v>
      </c>
      <c r="E1308" s="90" t="s">
        <v>23</v>
      </c>
      <c r="F1308" s="9" t="s">
        <v>7</v>
      </c>
      <c r="G1308" s="10"/>
      <c r="H1308" s="96">
        <v>251172</v>
      </c>
      <c r="I1308" s="121" t="s">
        <v>664</v>
      </c>
      <c r="J1308" s="115">
        <v>45967</v>
      </c>
      <c r="K1308" s="115">
        <v>45972</v>
      </c>
      <c r="L1308" s="131">
        <v>281213</v>
      </c>
      <c r="M1308" s="109" t="s">
        <v>3952</v>
      </c>
      <c r="N1308" s="34" t="s">
        <v>29</v>
      </c>
      <c r="O1308" s="10"/>
      <c r="P1308" s="113">
        <v>46007</v>
      </c>
      <c r="Q1308" s="113">
        <v>46007</v>
      </c>
      <c r="R1308" s="113">
        <v>46007</v>
      </c>
      <c r="S1308" s="37">
        <f t="shared" si="261"/>
        <v>281213</v>
      </c>
      <c r="T1308" s="37">
        <f t="shared" si="262"/>
        <v>0</v>
      </c>
      <c r="U1308" s="10"/>
      <c r="V1308" s="10"/>
      <c r="W1308" s="10"/>
      <c r="X1308" s="10"/>
      <c r="Y1308" s="10"/>
      <c r="Z1308" s="10"/>
      <c r="AA1308" s="10"/>
      <c r="AB1308" s="10"/>
      <c r="AC1308" s="10"/>
      <c r="AD1308" s="10"/>
      <c r="AE1308" s="10"/>
    </row>
    <row r="1309" spans="1:31" ht="14.25" customHeight="1">
      <c r="A1309" s="277" t="s">
        <v>5644</v>
      </c>
      <c r="B1309" s="9" t="s">
        <v>21</v>
      </c>
      <c r="C1309" s="9">
        <v>2025</v>
      </c>
      <c r="D1309" s="9" t="s">
        <v>27</v>
      </c>
      <c r="E1309" s="90" t="s">
        <v>23</v>
      </c>
      <c r="F1309" s="9" t="s">
        <v>7</v>
      </c>
      <c r="G1309" s="10"/>
      <c r="H1309" s="96">
        <v>251170</v>
      </c>
      <c r="I1309" s="121" t="s">
        <v>664</v>
      </c>
      <c r="J1309" s="115">
        <v>45967</v>
      </c>
      <c r="K1309" s="115">
        <v>45972</v>
      </c>
      <c r="L1309" s="131">
        <v>142990</v>
      </c>
      <c r="M1309" s="109" t="s">
        <v>3953</v>
      </c>
      <c r="N1309" s="34" t="s">
        <v>29</v>
      </c>
      <c r="O1309" s="10"/>
      <c r="P1309" s="113">
        <v>46007</v>
      </c>
      <c r="Q1309" s="113">
        <v>46007</v>
      </c>
      <c r="R1309" s="113">
        <v>46007</v>
      </c>
      <c r="S1309" s="37">
        <f t="shared" si="261"/>
        <v>142990</v>
      </c>
      <c r="T1309" s="37">
        <f t="shared" si="262"/>
        <v>0</v>
      </c>
      <c r="U1309" s="10"/>
      <c r="V1309" s="10"/>
      <c r="W1309" s="10"/>
      <c r="X1309" s="10"/>
      <c r="Y1309" s="10"/>
      <c r="Z1309" s="10"/>
      <c r="AA1309" s="10"/>
      <c r="AB1309" s="10"/>
      <c r="AC1309" s="10"/>
      <c r="AD1309" s="10"/>
      <c r="AE1309" s="10"/>
    </row>
    <row r="1310" spans="1:31" ht="14.25" customHeight="1">
      <c r="A1310" s="277" t="s">
        <v>5645</v>
      </c>
      <c r="B1310" s="9" t="s">
        <v>21</v>
      </c>
      <c r="C1310" s="9">
        <v>2025</v>
      </c>
      <c r="D1310" s="9" t="s">
        <v>77</v>
      </c>
      <c r="E1310" s="90" t="s">
        <v>23</v>
      </c>
      <c r="F1310" s="9" t="s">
        <v>7</v>
      </c>
      <c r="G1310" s="10"/>
      <c r="H1310" s="9">
        <v>251202</v>
      </c>
      <c r="I1310" s="126" t="s">
        <v>664</v>
      </c>
      <c r="J1310" s="12">
        <v>45987</v>
      </c>
      <c r="K1310" s="12">
        <v>46014</v>
      </c>
      <c r="L1310" s="52">
        <v>467675</v>
      </c>
      <c r="M1310" s="11" t="s">
        <v>4161</v>
      </c>
      <c r="N1310" s="34">
        <f ca="1">$J$3-J1310</f>
        <v>253.46377638888953</v>
      </c>
      <c r="O1310" s="52">
        <f>SUM(L1310:L1311)</f>
        <v>664787</v>
      </c>
      <c r="P1310" s="39"/>
      <c r="Q1310" s="39"/>
      <c r="R1310" s="39"/>
      <c r="S1310" s="37">
        <f t="shared" si="261"/>
        <v>0</v>
      </c>
      <c r="T1310" s="37">
        <f t="shared" si="262"/>
        <v>467675</v>
      </c>
      <c r="U1310" s="10"/>
      <c r="V1310" s="10"/>
      <c r="W1310" s="10"/>
      <c r="X1310" s="10"/>
      <c r="Y1310" s="10"/>
      <c r="Z1310" s="10"/>
      <c r="AA1310" s="10"/>
      <c r="AB1310" s="10"/>
      <c r="AC1310" s="10"/>
      <c r="AD1310" s="10"/>
      <c r="AE1310" s="10"/>
    </row>
    <row r="1311" spans="1:31" ht="14.25" customHeight="1">
      <c r="A1311" s="277" t="s">
        <v>5646</v>
      </c>
      <c r="B1311" s="9" t="s">
        <v>21</v>
      </c>
      <c r="C1311" s="9">
        <v>2025</v>
      </c>
      <c r="D1311" s="9" t="s">
        <v>77</v>
      </c>
      <c r="E1311" s="90" t="s">
        <v>23</v>
      </c>
      <c r="F1311" s="9" t="s">
        <v>7</v>
      </c>
      <c r="G1311" s="10"/>
      <c r="H1311" s="9">
        <v>251170</v>
      </c>
      <c r="I1311" s="126" t="s">
        <v>664</v>
      </c>
      <c r="J1311" s="12">
        <v>46002</v>
      </c>
      <c r="K1311" s="12">
        <v>46014</v>
      </c>
      <c r="L1311" s="52">
        <v>197112</v>
      </c>
      <c r="M1311" s="11" t="s">
        <v>4162</v>
      </c>
      <c r="N1311" s="34">
        <f ca="1">$J$3-J1311</f>
        <v>238.46377638888953</v>
      </c>
      <c r="O1311" s="10"/>
      <c r="P1311" s="39"/>
      <c r="Q1311" s="39"/>
      <c r="R1311" s="39"/>
      <c r="S1311" s="37">
        <f t="shared" si="261"/>
        <v>0</v>
      </c>
      <c r="T1311" s="37">
        <f t="shared" si="262"/>
        <v>197112</v>
      </c>
      <c r="U1311" s="10"/>
      <c r="V1311" s="10"/>
      <c r="W1311" s="10"/>
      <c r="X1311" s="10"/>
      <c r="Y1311" s="10"/>
      <c r="Z1311" s="10"/>
      <c r="AA1311" s="10"/>
      <c r="AB1311" s="10"/>
      <c r="AC1311" s="10"/>
      <c r="AD1311" s="10"/>
      <c r="AE1311" s="10"/>
    </row>
    <row r="1312" spans="1:31" ht="14.25" customHeight="1">
      <c r="A1312" s="277" t="s">
        <v>5647</v>
      </c>
      <c r="B1312" s="9" t="s">
        <v>21</v>
      </c>
      <c r="C1312" s="9">
        <v>2026</v>
      </c>
      <c r="D1312" s="9" t="s">
        <v>77</v>
      </c>
      <c r="E1312" s="90" t="s">
        <v>23</v>
      </c>
      <c r="F1312" s="9" t="s">
        <v>7</v>
      </c>
      <c r="G1312" s="10"/>
      <c r="H1312" s="9">
        <v>260010</v>
      </c>
      <c r="I1312" s="126" t="s">
        <v>664</v>
      </c>
      <c r="J1312" s="12">
        <v>46029</v>
      </c>
      <c r="K1312" s="12">
        <v>46049</v>
      </c>
      <c r="L1312" s="52">
        <v>821026</v>
      </c>
      <c r="M1312" s="11" t="s">
        <v>4277</v>
      </c>
      <c r="N1312" s="34">
        <f ca="1">$J$3-J1312</f>
        <v>211.46377638888953</v>
      </c>
      <c r="O1312" s="10"/>
      <c r="P1312" s="39"/>
      <c r="Q1312" s="39"/>
      <c r="R1312" s="39"/>
      <c r="S1312" s="37">
        <f t="shared" si="261"/>
        <v>0</v>
      </c>
      <c r="T1312" s="37">
        <f t="shared" si="262"/>
        <v>821026</v>
      </c>
      <c r="U1312" s="10"/>
      <c r="V1312" s="10"/>
      <c r="W1312" s="10"/>
      <c r="X1312" s="10"/>
      <c r="Y1312" s="10"/>
      <c r="Z1312" s="10"/>
      <c r="AA1312" s="10"/>
      <c r="AB1312" s="10"/>
      <c r="AC1312" s="10"/>
      <c r="AD1312" s="10"/>
      <c r="AE1312" s="10"/>
    </row>
    <row r="1313" spans="1:31" ht="14.25" customHeight="1">
      <c r="A1313" s="277" t="s">
        <v>5648</v>
      </c>
      <c r="B1313" s="9" t="s">
        <v>21</v>
      </c>
      <c r="C1313" s="9">
        <v>2026</v>
      </c>
      <c r="D1313" s="9" t="s">
        <v>77</v>
      </c>
      <c r="E1313" s="90" t="s">
        <v>23</v>
      </c>
      <c r="F1313" s="9" t="s">
        <v>7</v>
      </c>
      <c r="G1313" s="10"/>
      <c r="H1313" s="9">
        <v>260060</v>
      </c>
      <c r="I1313" s="126" t="s">
        <v>664</v>
      </c>
      <c r="J1313" s="12">
        <v>46051</v>
      </c>
      <c r="K1313" s="12">
        <v>46077</v>
      </c>
      <c r="L1313" s="52">
        <v>1440297</v>
      </c>
      <c r="M1313" s="11" t="s">
        <v>4379</v>
      </c>
      <c r="N1313" s="34">
        <f t="shared" ref="N1313:N1321" ca="1" si="263">$J$3-J1313</f>
        <v>189.46377638888953</v>
      </c>
      <c r="O1313" s="10"/>
      <c r="P1313" s="39"/>
      <c r="Q1313" s="39"/>
      <c r="R1313" s="39"/>
      <c r="S1313" s="37">
        <f t="shared" ref="S1313:S1321" si="264">IF(R1313="",0,L1313)</f>
        <v>0</v>
      </c>
      <c r="T1313" s="37">
        <f t="shared" ref="T1313:T1321" si="265">L1313-S1313</f>
        <v>1440297</v>
      </c>
      <c r="U1313" s="10"/>
      <c r="V1313" s="10"/>
      <c r="W1313" s="10"/>
      <c r="X1313" s="10"/>
      <c r="Y1313" s="10"/>
      <c r="Z1313" s="10"/>
      <c r="AA1313" s="10"/>
      <c r="AB1313" s="10"/>
      <c r="AC1313" s="10"/>
      <c r="AD1313" s="10"/>
      <c r="AE1313" s="10"/>
    </row>
    <row r="1314" spans="1:31" ht="14.25" customHeight="1">
      <c r="A1314" s="277" t="s">
        <v>5649</v>
      </c>
      <c r="B1314" s="9" t="s">
        <v>21</v>
      </c>
      <c r="C1314" s="9">
        <v>2026</v>
      </c>
      <c r="D1314" s="9" t="s">
        <v>77</v>
      </c>
      <c r="E1314" s="90" t="s">
        <v>23</v>
      </c>
      <c r="F1314" s="9" t="s">
        <v>7</v>
      </c>
      <c r="G1314" s="10"/>
      <c r="H1314" s="9">
        <v>260082</v>
      </c>
      <c r="I1314" s="126" t="s">
        <v>664</v>
      </c>
      <c r="J1314" s="12">
        <v>46053</v>
      </c>
      <c r="K1314" s="12">
        <v>46077</v>
      </c>
      <c r="L1314" s="52">
        <v>404063</v>
      </c>
      <c r="M1314" s="11" t="s">
        <v>4380</v>
      </c>
      <c r="N1314" s="34">
        <f t="shared" ca="1" si="263"/>
        <v>187.46377638888953</v>
      </c>
      <c r="O1314" s="10"/>
      <c r="P1314" s="39"/>
      <c r="Q1314" s="39"/>
      <c r="R1314" s="39"/>
      <c r="S1314" s="37">
        <f t="shared" si="264"/>
        <v>0</v>
      </c>
      <c r="T1314" s="37">
        <f t="shared" si="265"/>
        <v>404063</v>
      </c>
      <c r="U1314" s="10"/>
      <c r="V1314" s="10"/>
      <c r="W1314" s="10"/>
      <c r="X1314" s="10"/>
      <c r="Y1314" s="10"/>
      <c r="Z1314" s="10"/>
      <c r="AA1314" s="10"/>
      <c r="AB1314" s="10"/>
      <c r="AC1314" s="10"/>
      <c r="AD1314" s="10"/>
      <c r="AE1314" s="10"/>
    </row>
    <row r="1315" spans="1:31" ht="14.25" customHeight="1">
      <c r="A1315" s="277" t="s">
        <v>5650</v>
      </c>
      <c r="B1315" s="9" t="s">
        <v>21</v>
      </c>
      <c r="C1315" s="9">
        <v>2026</v>
      </c>
      <c r="D1315" s="9" t="s">
        <v>77</v>
      </c>
      <c r="E1315" s="90" t="s">
        <v>23</v>
      </c>
      <c r="F1315" s="9" t="s">
        <v>7</v>
      </c>
      <c r="G1315" s="10"/>
      <c r="H1315" s="9">
        <v>260079</v>
      </c>
      <c r="I1315" s="126" t="s">
        <v>664</v>
      </c>
      <c r="J1315" s="12">
        <v>46057</v>
      </c>
      <c r="K1315" s="12">
        <v>46084</v>
      </c>
      <c r="L1315" s="52">
        <v>1269716</v>
      </c>
      <c r="M1315" s="11" t="s">
        <v>4425</v>
      </c>
      <c r="N1315" s="34">
        <f t="shared" ca="1" si="263"/>
        <v>183.46377638888953</v>
      </c>
      <c r="O1315" s="10"/>
      <c r="P1315" s="39"/>
      <c r="Q1315" s="39"/>
      <c r="R1315" s="39"/>
      <c r="S1315" s="37">
        <f t="shared" si="264"/>
        <v>0</v>
      </c>
      <c r="T1315" s="37">
        <f t="shared" si="265"/>
        <v>1269716</v>
      </c>
      <c r="U1315" s="10"/>
      <c r="V1315" s="10"/>
      <c r="W1315" s="10"/>
      <c r="X1315" s="10"/>
      <c r="Y1315" s="10"/>
      <c r="Z1315" s="10"/>
      <c r="AA1315" s="10"/>
      <c r="AB1315" s="10"/>
      <c r="AC1315" s="10"/>
      <c r="AD1315" s="10"/>
      <c r="AE1315" s="10"/>
    </row>
    <row r="1316" spans="1:31" ht="14.25" customHeight="1">
      <c r="A1316" s="277" t="s">
        <v>5651</v>
      </c>
      <c r="B1316" s="9" t="s">
        <v>21</v>
      </c>
      <c r="C1316" s="9">
        <v>2026</v>
      </c>
      <c r="D1316" s="9" t="s">
        <v>77</v>
      </c>
      <c r="E1316" s="90" t="s">
        <v>23</v>
      </c>
      <c r="F1316" s="9" t="s">
        <v>7</v>
      </c>
      <c r="G1316" s="10"/>
      <c r="H1316" s="9">
        <v>260121</v>
      </c>
      <c r="I1316" s="126" t="s">
        <v>664</v>
      </c>
      <c r="J1316" s="12">
        <v>46067</v>
      </c>
      <c r="K1316" s="12">
        <v>46084</v>
      </c>
      <c r="L1316" s="52">
        <v>1224523</v>
      </c>
      <c r="M1316" s="11" t="s">
        <v>4426</v>
      </c>
      <c r="N1316" s="34">
        <f t="shared" ca="1" si="263"/>
        <v>173.46377638888953</v>
      </c>
      <c r="O1316" s="10"/>
      <c r="P1316" s="39"/>
      <c r="Q1316" s="39"/>
      <c r="R1316" s="39"/>
      <c r="S1316" s="37">
        <f t="shared" si="264"/>
        <v>0</v>
      </c>
      <c r="T1316" s="37">
        <f t="shared" si="265"/>
        <v>1224523</v>
      </c>
      <c r="U1316" s="10"/>
      <c r="V1316" s="10"/>
      <c r="W1316" s="10"/>
      <c r="X1316" s="10"/>
      <c r="Y1316" s="10"/>
      <c r="Z1316" s="10"/>
      <c r="AA1316" s="10"/>
      <c r="AB1316" s="10"/>
      <c r="AC1316" s="10"/>
      <c r="AD1316" s="10"/>
      <c r="AE1316" s="10"/>
    </row>
    <row r="1317" spans="1:31" ht="14.25" customHeight="1">
      <c r="A1317" s="277" t="s">
        <v>5652</v>
      </c>
      <c r="B1317" s="9" t="s">
        <v>21</v>
      </c>
      <c r="C1317" s="9">
        <v>2026</v>
      </c>
      <c r="D1317" s="9" t="s">
        <v>77</v>
      </c>
      <c r="E1317" s="90" t="s">
        <v>23</v>
      </c>
      <c r="F1317" s="9" t="s">
        <v>7</v>
      </c>
      <c r="G1317" s="10"/>
      <c r="H1317" s="9">
        <v>260122</v>
      </c>
      <c r="I1317" s="126" t="s">
        <v>664</v>
      </c>
      <c r="J1317" s="12">
        <v>46067</v>
      </c>
      <c r="K1317" s="12">
        <v>46084</v>
      </c>
      <c r="L1317" s="52">
        <v>104515</v>
      </c>
      <c r="M1317" s="11" t="s">
        <v>4427</v>
      </c>
      <c r="N1317" s="34">
        <f t="shared" ca="1" si="263"/>
        <v>173.46377638888953</v>
      </c>
      <c r="O1317" s="10"/>
      <c r="P1317" s="39"/>
      <c r="Q1317" s="39"/>
      <c r="R1317" s="39"/>
      <c r="S1317" s="37">
        <f t="shared" si="264"/>
        <v>0</v>
      </c>
      <c r="T1317" s="37">
        <f t="shared" si="265"/>
        <v>104515</v>
      </c>
      <c r="U1317" s="10"/>
      <c r="V1317" s="10"/>
      <c r="W1317" s="10"/>
      <c r="X1317" s="10"/>
      <c r="Y1317" s="10"/>
      <c r="Z1317" s="10"/>
      <c r="AA1317" s="10"/>
      <c r="AB1317" s="10"/>
      <c r="AC1317" s="10"/>
      <c r="AD1317" s="10"/>
      <c r="AE1317" s="10"/>
    </row>
    <row r="1318" spans="1:31" ht="14.25" customHeight="1">
      <c r="A1318" s="277" t="s">
        <v>5653</v>
      </c>
      <c r="B1318" s="9" t="s">
        <v>21</v>
      </c>
      <c r="C1318" s="9">
        <v>2026</v>
      </c>
      <c r="D1318" s="9" t="s">
        <v>77</v>
      </c>
      <c r="E1318" s="90" t="s">
        <v>23</v>
      </c>
      <c r="F1318" s="9" t="s">
        <v>7</v>
      </c>
      <c r="G1318" s="10"/>
      <c r="H1318" s="9">
        <v>260132</v>
      </c>
      <c r="I1318" s="126" t="s">
        <v>664</v>
      </c>
      <c r="J1318" s="12">
        <v>46077</v>
      </c>
      <c r="K1318" s="12">
        <v>46084</v>
      </c>
      <c r="L1318" s="52">
        <v>285980</v>
      </c>
      <c r="M1318" s="11" t="s">
        <v>4425</v>
      </c>
      <c r="N1318" s="34">
        <f t="shared" ca="1" si="263"/>
        <v>163.46377638888953</v>
      </c>
      <c r="O1318" s="10"/>
      <c r="P1318" s="39"/>
      <c r="Q1318" s="39"/>
      <c r="R1318" s="39"/>
      <c r="S1318" s="37">
        <f t="shared" si="264"/>
        <v>0</v>
      </c>
      <c r="T1318" s="37">
        <f t="shared" si="265"/>
        <v>285980</v>
      </c>
      <c r="U1318" s="10"/>
      <c r="V1318" s="10"/>
      <c r="W1318" s="10"/>
      <c r="X1318" s="10"/>
      <c r="Y1318" s="10"/>
      <c r="Z1318" s="10"/>
      <c r="AA1318" s="10"/>
      <c r="AB1318" s="10"/>
      <c r="AC1318" s="10"/>
      <c r="AD1318" s="10"/>
      <c r="AE1318" s="10"/>
    </row>
    <row r="1319" spans="1:31" ht="14.25" customHeight="1">
      <c r="A1319" s="277" t="s">
        <v>5654</v>
      </c>
      <c r="B1319" s="9" t="s">
        <v>21</v>
      </c>
      <c r="C1319" s="9">
        <v>2026</v>
      </c>
      <c r="D1319" s="9" t="s">
        <v>77</v>
      </c>
      <c r="E1319" s="90" t="s">
        <v>23</v>
      </c>
      <c r="F1319" s="9" t="s">
        <v>7</v>
      </c>
      <c r="G1319" s="10"/>
      <c r="H1319" s="9">
        <v>260133</v>
      </c>
      <c r="I1319" s="126" t="s">
        <v>664</v>
      </c>
      <c r="J1319" s="12">
        <v>46078</v>
      </c>
      <c r="K1319" s="12">
        <v>46084</v>
      </c>
      <c r="L1319" s="52">
        <v>167521</v>
      </c>
      <c r="M1319" s="11" t="s">
        <v>4428</v>
      </c>
      <c r="N1319" s="34">
        <f t="shared" ca="1" si="263"/>
        <v>162.46377638888953</v>
      </c>
      <c r="O1319" s="10"/>
      <c r="P1319" s="39"/>
      <c r="Q1319" s="39"/>
      <c r="R1319" s="39"/>
      <c r="S1319" s="37">
        <f t="shared" si="264"/>
        <v>0</v>
      </c>
      <c r="T1319" s="37">
        <f t="shared" si="265"/>
        <v>167521</v>
      </c>
      <c r="U1319" s="10"/>
      <c r="V1319" s="10"/>
      <c r="W1319" s="10"/>
      <c r="X1319" s="10"/>
      <c r="Y1319" s="10"/>
      <c r="Z1319" s="10"/>
      <c r="AA1319" s="10"/>
      <c r="AB1319" s="10"/>
      <c r="AC1319" s="10"/>
      <c r="AD1319" s="10"/>
      <c r="AE1319" s="10"/>
    </row>
    <row r="1320" spans="1:31" ht="14.25" customHeight="1">
      <c r="A1320" s="277" t="s">
        <v>5655</v>
      </c>
      <c r="B1320" s="9" t="s">
        <v>21</v>
      </c>
      <c r="C1320" s="9">
        <v>2026</v>
      </c>
      <c r="D1320" s="9" t="s">
        <v>77</v>
      </c>
      <c r="E1320" s="90" t="s">
        <v>23</v>
      </c>
      <c r="F1320" s="9" t="s">
        <v>7</v>
      </c>
      <c r="G1320" s="10"/>
      <c r="H1320" s="9">
        <v>260173</v>
      </c>
      <c r="I1320" s="126" t="s">
        <v>664</v>
      </c>
      <c r="J1320" s="12">
        <v>46099</v>
      </c>
      <c r="K1320" s="12">
        <v>46119</v>
      </c>
      <c r="L1320" s="52">
        <v>937506</v>
      </c>
      <c r="M1320" s="11" t="s">
        <v>4500</v>
      </c>
      <c r="N1320" s="34">
        <f t="shared" ca="1" si="263"/>
        <v>141.46377638888953</v>
      </c>
      <c r="O1320" s="10"/>
      <c r="P1320" s="39"/>
      <c r="Q1320" s="39"/>
      <c r="R1320" s="39"/>
      <c r="S1320" s="37">
        <f t="shared" si="264"/>
        <v>0</v>
      </c>
      <c r="T1320" s="37">
        <f t="shared" si="265"/>
        <v>937506</v>
      </c>
      <c r="U1320" s="10"/>
      <c r="V1320" s="10"/>
      <c r="W1320" s="10"/>
      <c r="X1320" s="10"/>
      <c r="Y1320" s="10"/>
      <c r="Z1320" s="10"/>
      <c r="AA1320" s="10"/>
      <c r="AB1320" s="10"/>
      <c r="AC1320" s="10"/>
      <c r="AD1320" s="10"/>
      <c r="AE1320" s="10"/>
    </row>
    <row r="1321" spans="1:31" ht="14.25" customHeight="1">
      <c r="A1321" s="277" t="s">
        <v>7602</v>
      </c>
      <c r="B1321" s="9" t="s">
        <v>21</v>
      </c>
      <c r="C1321" s="9">
        <v>2026</v>
      </c>
      <c r="D1321" s="9" t="s">
        <v>77</v>
      </c>
      <c r="E1321" s="90" t="s">
        <v>23</v>
      </c>
      <c r="F1321" s="9" t="s">
        <v>7</v>
      </c>
      <c r="G1321" s="10"/>
      <c r="H1321" s="9">
        <v>260211</v>
      </c>
      <c r="I1321" s="126" t="s">
        <v>664</v>
      </c>
      <c r="J1321" s="12">
        <v>46122</v>
      </c>
      <c r="K1321" s="12">
        <v>46161</v>
      </c>
      <c r="L1321" s="52">
        <v>1283957</v>
      </c>
      <c r="M1321" s="11" t="s">
        <v>7045</v>
      </c>
      <c r="N1321" s="34">
        <f t="shared" ca="1" si="263"/>
        <v>118.46377638888953</v>
      </c>
      <c r="O1321" s="10"/>
      <c r="P1321" s="39"/>
      <c r="Q1321" s="39"/>
      <c r="R1321" s="39"/>
      <c r="S1321" s="37">
        <f t="shared" si="264"/>
        <v>0</v>
      </c>
      <c r="T1321" s="37">
        <f t="shared" si="265"/>
        <v>1283957</v>
      </c>
      <c r="U1321" s="10"/>
      <c r="V1321" s="10"/>
      <c r="W1321" s="10"/>
      <c r="X1321" s="10"/>
      <c r="Y1321" s="10"/>
      <c r="Z1321" s="10"/>
      <c r="AA1321" s="10"/>
      <c r="AB1321" s="10"/>
      <c r="AC1321" s="10"/>
      <c r="AD1321" s="10"/>
      <c r="AE1321" s="10"/>
    </row>
    <row r="1322" spans="1:31" ht="14.25" customHeight="1">
      <c r="A1322" s="277" t="s">
        <v>7603</v>
      </c>
      <c r="B1322" s="9" t="s">
        <v>21</v>
      </c>
      <c r="C1322" s="9"/>
      <c r="D1322" s="9"/>
      <c r="E1322" s="90"/>
      <c r="F1322" s="9"/>
      <c r="G1322" s="10"/>
      <c r="H1322" s="9"/>
      <c r="I1322" s="11"/>
      <c r="J1322" s="12"/>
      <c r="K1322" s="12"/>
      <c r="L1322" s="52"/>
      <c r="M1322" s="10"/>
      <c r="N1322" s="114">
        <f ca="1">$J$3-J1322</f>
        <v>46240.46377638889</v>
      </c>
      <c r="O1322" s="11"/>
      <c r="P1322" s="39"/>
      <c r="Q1322" s="39"/>
      <c r="R1322" s="39"/>
      <c r="S1322" s="37">
        <f t="shared" si="259"/>
        <v>0</v>
      </c>
      <c r="T1322" s="37">
        <f t="shared" si="260"/>
        <v>0</v>
      </c>
      <c r="U1322" s="10"/>
      <c r="V1322" s="10"/>
      <c r="W1322" s="10"/>
      <c r="X1322" s="10"/>
      <c r="Y1322" s="10"/>
      <c r="Z1322" s="10"/>
      <c r="AA1322" s="10"/>
      <c r="AB1322" s="10"/>
      <c r="AC1322" s="10"/>
      <c r="AD1322" s="10"/>
      <c r="AE1322" s="10"/>
    </row>
    <row r="1323" spans="1:31" ht="14.25" customHeight="1">
      <c r="A1323" s="277" t="s">
        <v>5656</v>
      </c>
      <c r="B1323" s="9" t="s">
        <v>21</v>
      </c>
      <c r="C1323" s="9"/>
      <c r="D1323" s="9"/>
      <c r="E1323" s="90"/>
      <c r="F1323" s="9"/>
      <c r="G1323" s="10"/>
      <c r="H1323" s="9"/>
      <c r="I1323" s="11"/>
      <c r="J1323" s="12"/>
      <c r="K1323" s="12"/>
      <c r="L1323" s="52"/>
      <c r="M1323" s="10"/>
      <c r="N1323" s="9"/>
      <c r="O1323" s="11"/>
      <c r="P1323" s="39"/>
      <c r="Q1323" s="39"/>
      <c r="R1323" s="39"/>
      <c r="S1323" s="37"/>
      <c r="T1323" s="37"/>
      <c r="U1323" s="10"/>
      <c r="V1323" s="10"/>
      <c r="W1323" s="10"/>
      <c r="X1323" s="10"/>
      <c r="Y1323" s="10"/>
      <c r="Z1323" s="10"/>
      <c r="AA1323" s="10"/>
      <c r="AB1323" s="10"/>
      <c r="AC1323" s="10"/>
      <c r="AD1323" s="10"/>
      <c r="AE1323" s="10"/>
    </row>
    <row r="1324" spans="1:31" ht="14.25" customHeight="1">
      <c r="A1324" s="277" t="s">
        <v>5657</v>
      </c>
      <c r="B1324" s="9" t="s">
        <v>21</v>
      </c>
      <c r="C1324" s="9"/>
      <c r="D1324" s="9"/>
      <c r="E1324" s="90"/>
      <c r="F1324" s="9"/>
      <c r="G1324" s="94" t="s">
        <v>24</v>
      </c>
      <c r="H1324" s="95" t="s">
        <v>691</v>
      </c>
      <c r="I1324" s="104"/>
      <c r="J1324" s="105"/>
      <c r="K1324" s="105"/>
      <c r="L1324" s="106">
        <f>SUM(L1325:L1396)</f>
        <v>427477281</v>
      </c>
      <c r="M1324" s="107"/>
      <c r="N1324" s="108" t="s">
        <v>26</v>
      </c>
      <c r="O1324" s="108"/>
      <c r="P1324" s="108"/>
      <c r="Q1324" s="108"/>
      <c r="R1324" s="108"/>
      <c r="S1324" s="106">
        <f>SUM(S1325:S1396)</f>
        <v>404767727</v>
      </c>
      <c r="T1324" s="106">
        <f>SUM(T1325:T1396)</f>
        <v>22709554</v>
      </c>
      <c r="U1324" s="10"/>
      <c r="V1324" s="52">
        <f>L1324-S1324</f>
        <v>22709554</v>
      </c>
      <c r="W1324" s="52">
        <f>T1324-V1324</f>
        <v>0</v>
      </c>
      <c r="X1324" s="10"/>
      <c r="Y1324" s="10"/>
      <c r="Z1324" s="10"/>
      <c r="AA1324" s="10"/>
      <c r="AB1324" s="10"/>
      <c r="AC1324" s="10"/>
      <c r="AD1324" s="10"/>
      <c r="AE1324" s="10"/>
    </row>
    <row r="1325" spans="1:31" ht="14.25" hidden="1" customHeight="1">
      <c r="A1325" s="277" t="s">
        <v>5658</v>
      </c>
      <c r="B1325" s="9" t="s">
        <v>21</v>
      </c>
      <c r="C1325" s="9">
        <v>2025</v>
      </c>
      <c r="D1325" s="9" t="s">
        <v>27</v>
      </c>
      <c r="E1325" s="90" t="s">
        <v>23</v>
      </c>
      <c r="F1325" s="9" t="s">
        <v>7</v>
      </c>
      <c r="G1325" s="10"/>
      <c r="H1325" s="96">
        <v>250079</v>
      </c>
      <c r="I1325" s="109" t="s">
        <v>691</v>
      </c>
      <c r="J1325" s="115">
        <v>45674</v>
      </c>
      <c r="K1325" s="115">
        <v>45699</v>
      </c>
      <c r="L1325" s="116">
        <v>2264400</v>
      </c>
      <c r="M1325" s="117" t="s">
        <v>692</v>
      </c>
      <c r="N1325" s="34" t="s">
        <v>29</v>
      </c>
      <c r="O1325" s="27">
        <f>SUM(L1325:L1332)</f>
        <v>39388305</v>
      </c>
      <c r="P1325" s="113">
        <v>45770</v>
      </c>
      <c r="Q1325" s="113">
        <v>45770</v>
      </c>
      <c r="R1325" s="113">
        <v>45770</v>
      </c>
      <c r="S1325" s="37">
        <f t="shared" ref="S1325:S1332" si="266">IF(R1325="",0,L1325)</f>
        <v>2264400</v>
      </c>
      <c r="T1325" s="37">
        <f t="shared" ref="T1325:T1332" si="267">L1325-S1325</f>
        <v>0</v>
      </c>
      <c r="U1325" s="10"/>
      <c r="V1325" s="10"/>
      <c r="W1325" s="10"/>
      <c r="X1325" s="10"/>
      <c r="Y1325" s="10"/>
      <c r="Z1325" s="10"/>
      <c r="AA1325" s="10"/>
      <c r="AB1325" s="10"/>
      <c r="AC1325" s="10"/>
      <c r="AD1325" s="10"/>
      <c r="AE1325" s="10"/>
    </row>
    <row r="1326" spans="1:31" ht="14.25" hidden="1" customHeight="1">
      <c r="A1326" s="277" t="s">
        <v>5659</v>
      </c>
      <c r="B1326" s="9" t="s">
        <v>21</v>
      </c>
      <c r="C1326" s="9">
        <v>2025</v>
      </c>
      <c r="D1326" s="9" t="s">
        <v>27</v>
      </c>
      <c r="E1326" s="90" t="s">
        <v>23</v>
      </c>
      <c r="F1326" s="9" t="s">
        <v>7</v>
      </c>
      <c r="G1326" s="10"/>
      <c r="H1326" s="96">
        <v>250078</v>
      </c>
      <c r="I1326" s="109" t="s">
        <v>691</v>
      </c>
      <c r="J1326" s="115">
        <v>45673</v>
      </c>
      <c r="K1326" s="115">
        <v>45699</v>
      </c>
      <c r="L1326" s="116">
        <v>5325114</v>
      </c>
      <c r="M1326" s="117" t="s">
        <v>693</v>
      </c>
      <c r="N1326" s="34" t="s">
        <v>29</v>
      </c>
      <c r="O1326" s="10"/>
      <c r="P1326" s="113">
        <v>45770</v>
      </c>
      <c r="Q1326" s="113">
        <v>45770</v>
      </c>
      <c r="R1326" s="113">
        <v>45770</v>
      </c>
      <c r="S1326" s="37">
        <f t="shared" si="266"/>
        <v>5325114</v>
      </c>
      <c r="T1326" s="37">
        <f t="shared" si="267"/>
        <v>0</v>
      </c>
      <c r="U1326" s="10"/>
      <c r="V1326" s="10"/>
      <c r="W1326" s="10"/>
      <c r="X1326" s="10"/>
      <c r="Y1326" s="10"/>
      <c r="Z1326" s="10"/>
      <c r="AA1326" s="10"/>
      <c r="AB1326" s="10"/>
      <c r="AC1326" s="10"/>
      <c r="AD1326" s="10"/>
      <c r="AE1326" s="10"/>
    </row>
    <row r="1327" spans="1:31" ht="14.25" hidden="1" customHeight="1">
      <c r="A1327" s="277" t="s">
        <v>5660</v>
      </c>
      <c r="B1327" s="9" t="s">
        <v>21</v>
      </c>
      <c r="C1327" s="9">
        <v>2025</v>
      </c>
      <c r="D1327" s="9" t="s">
        <v>27</v>
      </c>
      <c r="E1327" s="90" t="s">
        <v>23</v>
      </c>
      <c r="F1327" s="9" t="s">
        <v>7</v>
      </c>
      <c r="G1327" s="10"/>
      <c r="H1327" s="96">
        <v>250077</v>
      </c>
      <c r="I1327" s="109" t="s">
        <v>691</v>
      </c>
      <c r="J1327" s="115">
        <v>45674</v>
      </c>
      <c r="K1327" s="115">
        <v>45699</v>
      </c>
      <c r="L1327" s="116">
        <v>4426125</v>
      </c>
      <c r="M1327" s="117" t="s">
        <v>694</v>
      </c>
      <c r="N1327" s="34" t="s">
        <v>29</v>
      </c>
      <c r="O1327" s="10"/>
      <c r="P1327" s="113">
        <v>45770</v>
      </c>
      <c r="Q1327" s="113">
        <v>45770</v>
      </c>
      <c r="R1327" s="113">
        <v>45770</v>
      </c>
      <c r="S1327" s="37">
        <f t="shared" si="266"/>
        <v>4426125</v>
      </c>
      <c r="T1327" s="37">
        <f t="shared" si="267"/>
        <v>0</v>
      </c>
      <c r="U1327" s="10"/>
      <c r="V1327" s="10"/>
      <c r="W1327" s="10"/>
      <c r="X1327" s="10"/>
      <c r="Y1327" s="10"/>
      <c r="Z1327" s="10"/>
      <c r="AA1327" s="10"/>
      <c r="AB1327" s="10"/>
      <c r="AC1327" s="10"/>
      <c r="AD1327" s="10"/>
      <c r="AE1327" s="10"/>
    </row>
    <row r="1328" spans="1:31" ht="14.25" hidden="1" customHeight="1">
      <c r="A1328" s="277" t="s">
        <v>5661</v>
      </c>
      <c r="B1328" s="9" t="s">
        <v>21</v>
      </c>
      <c r="C1328" s="9">
        <v>2025</v>
      </c>
      <c r="D1328" s="9" t="s">
        <v>27</v>
      </c>
      <c r="E1328" s="90" t="s">
        <v>23</v>
      </c>
      <c r="F1328" s="9" t="s">
        <v>7</v>
      </c>
      <c r="G1328" s="10"/>
      <c r="H1328" s="96">
        <v>250075</v>
      </c>
      <c r="I1328" s="109" t="s">
        <v>691</v>
      </c>
      <c r="J1328" s="115">
        <v>45677</v>
      </c>
      <c r="K1328" s="115">
        <v>45699</v>
      </c>
      <c r="L1328" s="116">
        <v>284715</v>
      </c>
      <c r="M1328" s="117" t="s">
        <v>695</v>
      </c>
      <c r="N1328" s="34" t="s">
        <v>29</v>
      </c>
      <c r="O1328" s="10"/>
      <c r="P1328" s="113">
        <v>45770</v>
      </c>
      <c r="Q1328" s="113">
        <v>45770</v>
      </c>
      <c r="R1328" s="113">
        <v>45770</v>
      </c>
      <c r="S1328" s="37">
        <f t="shared" si="266"/>
        <v>284715</v>
      </c>
      <c r="T1328" s="37">
        <f t="shared" si="267"/>
        <v>0</v>
      </c>
      <c r="U1328" s="10"/>
      <c r="V1328" s="10"/>
      <c r="W1328" s="10"/>
      <c r="X1328" s="10"/>
      <c r="Y1328" s="10"/>
      <c r="Z1328" s="10"/>
      <c r="AA1328" s="10"/>
      <c r="AB1328" s="10"/>
      <c r="AC1328" s="10"/>
      <c r="AD1328" s="10"/>
      <c r="AE1328" s="10"/>
    </row>
    <row r="1329" spans="1:31" ht="14.25" hidden="1" customHeight="1">
      <c r="A1329" s="277" t="s">
        <v>5662</v>
      </c>
      <c r="B1329" s="9" t="s">
        <v>21</v>
      </c>
      <c r="C1329" s="9">
        <v>2025</v>
      </c>
      <c r="D1329" s="9" t="s">
        <v>27</v>
      </c>
      <c r="E1329" s="90" t="s">
        <v>23</v>
      </c>
      <c r="F1329" s="9" t="s">
        <v>7</v>
      </c>
      <c r="G1329" s="10"/>
      <c r="H1329" s="96">
        <v>250076</v>
      </c>
      <c r="I1329" s="109" t="s">
        <v>691</v>
      </c>
      <c r="J1329" s="115">
        <v>45678</v>
      </c>
      <c r="K1329" s="115">
        <v>45706</v>
      </c>
      <c r="L1329" s="116">
        <v>13273158</v>
      </c>
      <c r="M1329" s="117" t="s">
        <v>696</v>
      </c>
      <c r="N1329" s="34" t="s">
        <v>29</v>
      </c>
      <c r="O1329" s="10"/>
      <c r="P1329" s="113">
        <v>45770</v>
      </c>
      <c r="Q1329" s="113">
        <v>45770</v>
      </c>
      <c r="R1329" s="113">
        <v>45770</v>
      </c>
      <c r="S1329" s="37">
        <f t="shared" si="266"/>
        <v>13273158</v>
      </c>
      <c r="T1329" s="37">
        <f t="shared" si="267"/>
        <v>0</v>
      </c>
      <c r="U1329" s="10"/>
      <c r="V1329" s="10"/>
      <c r="W1329" s="10"/>
      <c r="X1329" s="10"/>
      <c r="Y1329" s="10"/>
      <c r="Z1329" s="10"/>
      <c r="AA1329" s="10"/>
      <c r="AB1329" s="10"/>
      <c r="AC1329" s="10"/>
      <c r="AD1329" s="10"/>
      <c r="AE1329" s="10"/>
    </row>
    <row r="1330" spans="1:31" ht="14.25" hidden="1" customHeight="1">
      <c r="A1330" s="277" t="s">
        <v>5663</v>
      </c>
      <c r="B1330" s="9" t="s">
        <v>21</v>
      </c>
      <c r="C1330" s="9">
        <v>2025</v>
      </c>
      <c r="D1330" s="9" t="s">
        <v>27</v>
      </c>
      <c r="E1330" s="90" t="s">
        <v>23</v>
      </c>
      <c r="F1330" s="9" t="s">
        <v>7</v>
      </c>
      <c r="G1330" s="10"/>
      <c r="H1330" s="96">
        <v>250133</v>
      </c>
      <c r="I1330" s="109" t="s">
        <v>691</v>
      </c>
      <c r="J1330" s="115">
        <v>45688</v>
      </c>
      <c r="K1330" s="115">
        <v>45706</v>
      </c>
      <c r="L1330" s="116">
        <v>9786981</v>
      </c>
      <c r="M1330" s="117" t="s">
        <v>697</v>
      </c>
      <c r="N1330" s="34" t="s">
        <v>29</v>
      </c>
      <c r="O1330" s="10"/>
      <c r="P1330" s="113">
        <v>45770</v>
      </c>
      <c r="Q1330" s="113">
        <v>45770</v>
      </c>
      <c r="R1330" s="113">
        <v>45770</v>
      </c>
      <c r="S1330" s="37">
        <f t="shared" si="266"/>
        <v>9786981</v>
      </c>
      <c r="T1330" s="37">
        <f t="shared" si="267"/>
        <v>0</v>
      </c>
      <c r="U1330" s="10"/>
      <c r="V1330" s="10"/>
      <c r="W1330" s="10"/>
      <c r="X1330" s="10"/>
      <c r="Y1330" s="10"/>
      <c r="Z1330" s="10"/>
      <c r="AA1330" s="10"/>
      <c r="AB1330" s="10"/>
      <c r="AC1330" s="10"/>
      <c r="AD1330" s="10"/>
      <c r="AE1330" s="10"/>
    </row>
    <row r="1331" spans="1:31" ht="14.25" hidden="1" customHeight="1">
      <c r="A1331" s="277" t="s">
        <v>5664</v>
      </c>
      <c r="B1331" s="9" t="s">
        <v>21</v>
      </c>
      <c r="C1331" s="9">
        <v>2025</v>
      </c>
      <c r="D1331" s="9" t="s">
        <v>27</v>
      </c>
      <c r="E1331" s="90" t="s">
        <v>23</v>
      </c>
      <c r="F1331" s="9" t="s">
        <v>7</v>
      </c>
      <c r="G1331" s="10"/>
      <c r="H1331" s="96">
        <v>250134</v>
      </c>
      <c r="I1331" s="109" t="s">
        <v>691</v>
      </c>
      <c r="J1331" s="115">
        <v>45688</v>
      </c>
      <c r="K1331" s="115">
        <v>45706</v>
      </c>
      <c r="L1331" s="116">
        <v>2367630</v>
      </c>
      <c r="M1331" s="117" t="s">
        <v>698</v>
      </c>
      <c r="N1331" s="34" t="s">
        <v>29</v>
      </c>
      <c r="O1331" s="10"/>
      <c r="P1331" s="113">
        <v>45770</v>
      </c>
      <c r="Q1331" s="113">
        <v>45770</v>
      </c>
      <c r="R1331" s="113">
        <v>45770</v>
      </c>
      <c r="S1331" s="37">
        <f t="shared" si="266"/>
        <v>2367630</v>
      </c>
      <c r="T1331" s="37">
        <f t="shared" si="267"/>
        <v>0</v>
      </c>
      <c r="U1331" s="10"/>
      <c r="V1331" s="10"/>
      <c r="W1331" s="10"/>
      <c r="X1331" s="10"/>
      <c r="Y1331" s="10"/>
      <c r="Z1331" s="10"/>
      <c r="AA1331" s="10"/>
      <c r="AB1331" s="10"/>
      <c r="AC1331" s="10"/>
      <c r="AD1331" s="10"/>
      <c r="AE1331" s="10"/>
    </row>
    <row r="1332" spans="1:31" ht="14.25" hidden="1" customHeight="1">
      <c r="A1332" s="277" t="s">
        <v>5665</v>
      </c>
      <c r="B1332" s="9" t="s">
        <v>21</v>
      </c>
      <c r="C1332" s="9">
        <v>2025</v>
      </c>
      <c r="D1332" s="9" t="s">
        <v>27</v>
      </c>
      <c r="E1332" s="90" t="s">
        <v>23</v>
      </c>
      <c r="F1332" s="9" t="s">
        <v>7</v>
      </c>
      <c r="G1332" s="10"/>
      <c r="H1332" s="96">
        <v>250132</v>
      </c>
      <c r="I1332" s="109" t="s">
        <v>691</v>
      </c>
      <c r="J1332" s="115">
        <v>45688</v>
      </c>
      <c r="K1332" s="115">
        <v>45706</v>
      </c>
      <c r="L1332" s="116">
        <v>1660182</v>
      </c>
      <c r="M1332" s="117" t="s">
        <v>699</v>
      </c>
      <c r="N1332" s="34" t="s">
        <v>29</v>
      </c>
      <c r="O1332" s="10"/>
      <c r="P1332" s="113">
        <v>45770</v>
      </c>
      <c r="Q1332" s="113">
        <v>45770</v>
      </c>
      <c r="R1332" s="113">
        <v>45770</v>
      </c>
      <c r="S1332" s="37">
        <f t="shared" si="266"/>
        <v>1660182</v>
      </c>
      <c r="T1332" s="37">
        <f t="shared" si="267"/>
        <v>0</v>
      </c>
      <c r="U1332" s="10"/>
      <c r="V1332" s="10"/>
      <c r="W1332" s="10"/>
      <c r="X1332" s="10"/>
      <c r="Y1332" s="10"/>
      <c r="Z1332" s="10"/>
      <c r="AA1332" s="10"/>
      <c r="AB1332" s="10"/>
      <c r="AC1332" s="10"/>
      <c r="AD1332" s="10"/>
      <c r="AE1332" s="10"/>
    </row>
    <row r="1333" spans="1:31" ht="14.25" hidden="1" customHeight="1">
      <c r="A1333" s="277" t="s">
        <v>5666</v>
      </c>
      <c r="B1333" s="9" t="s">
        <v>21</v>
      </c>
      <c r="C1333" s="9">
        <v>2025</v>
      </c>
      <c r="D1333" s="9" t="s">
        <v>27</v>
      </c>
      <c r="E1333" s="90" t="s">
        <v>23</v>
      </c>
      <c r="F1333" s="9" t="s">
        <v>7</v>
      </c>
      <c r="G1333" s="10"/>
      <c r="H1333" s="96">
        <v>250128</v>
      </c>
      <c r="I1333" s="109" t="s">
        <v>691</v>
      </c>
      <c r="J1333" s="115">
        <v>45692</v>
      </c>
      <c r="K1333" s="115">
        <v>45708</v>
      </c>
      <c r="L1333" s="116">
        <v>1542622</v>
      </c>
      <c r="M1333" s="117" t="s">
        <v>700</v>
      </c>
      <c r="N1333" s="34" t="s">
        <v>29</v>
      </c>
      <c r="O1333" s="27">
        <f>SUM(L1333:L1345)</f>
        <v>28197272</v>
      </c>
      <c r="P1333" s="113">
        <v>45811</v>
      </c>
      <c r="Q1333" s="113">
        <v>45811</v>
      </c>
      <c r="R1333" s="113">
        <v>45811</v>
      </c>
      <c r="S1333" s="37">
        <f t="shared" ref="S1333:S1358" si="268">IF(R1333="",0,L1333)</f>
        <v>1542622</v>
      </c>
      <c r="T1333" s="37">
        <f t="shared" ref="T1333:T1358" si="269">L1333-S1333</f>
        <v>0</v>
      </c>
      <c r="U1333" s="10"/>
      <c r="V1333" s="10"/>
      <c r="W1333" s="10"/>
      <c r="X1333" s="10"/>
      <c r="Y1333" s="10"/>
      <c r="Z1333" s="10"/>
      <c r="AA1333" s="10"/>
      <c r="AB1333" s="10"/>
      <c r="AC1333" s="10"/>
      <c r="AD1333" s="10"/>
      <c r="AE1333" s="10"/>
    </row>
    <row r="1334" spans="1:31" ht="14.25" hidden="1" customHeight="1">
      <c r="A1334" s="277" t="s">
        <v>5667</v>
      </c>
      <c r="B1334" s="9" t="s">
        <v>21</v>
      </c>
      <c r="C1334" s="9">
        <v>2025</v>
      </c>
      <c r="D1334" s="9" t="s">
        <v>27</v>
      </c>
      <c r="E1334" s="90" t="s">
        <v>23</v>
      </c>
      <c r="F1334" s="9" t="s">
        <v>7</v>
      </c>
      <c r="G1334" s="10"/>
      <c r="H1334" s="96">
        <v>250127</v>
      </c>
      <c r="I1334" s="109" t="s">
        <v>691</v>
      </c>
      <c r="J1334" s="115">
        <v>45692</v>
      </c>
      <c r="K1334" s="115">
        <v>45708</v>
      </c>
      <c r="L1334" s="116">
        <v>540625</v>
      </c>
      <c r="M1334" s="117" t="s">
        <v>701</v>
      </c>
      <c r="N1334" s="34" t="s">
        <v>29</v>
      </c>
      <c r="O1334" s="10"/>
      <c r="P1334" s="113">
        <v>45811</v>
      </c>
      <c r="Q1334" s="113">
        <v>45811</v>
      </c>
      <c r="R1334" s="113">
        <v>45811</v>
      </c>
      <c r="S1334" s="37">
        <f t="shared" si="268"/>
        <v>540625</v>
      </c>
      <c r="T1334" s="37">
        <f t="shared" si="269"/>
        <v>0</v>
      </c>
      <c r="U1334" s="10"/>
      <c r="V1334" s="10"/>
      <c r="W1334" s="10"/>
      <c r="X1334" s="10"/>
      <c r="Y1334" s="10"/>
      <c r="Z1334" s="10"/>
      <c r="AA1334" s="10"/>
      <c r="AB1334" s="10"/>
      <c r="AC1334" s="10"/>
      <c r="AD1334" s="10"/>
      <c r="AE1334" s="10"/>
    </row>
    <row r="1335" spans="1:31" ht="14.25" hidden="1" customHeight="1">
      <c r="A1335" s="277" t="s">
        <v>5668</v>
      </c>
      <c r="B1335" s="9" t="s">
        <v>21</v>
      </c>
      <c r="C1335" s="9">
        <v>2025</v>
      </c>
      <c r="D1335" s="9" t="s">
        <v>27</v>
      </c>
      <c r="E1335" s="90" t="s">
        <v>23</v>
      </c>
      <c r="F1335" s="9" t="s">
        <v>7</v>
      </c>
      <c r="G1335" s="10"/>
      <c r="H1335" s="96">
        <v>250120</v>
      </c>
      <c r="I1335" s="109" t="s">
        <v>691</v>
      </c>
      <c r="J1335" s="115">
        <v>45693</v>
      </c>
      <c r="K1335" s="115">
        <v>45708</v>
      </c>
      <c r="L1335" s="116">
        <v>377400</v>
      </c>
      <c r="M1335" s="117" t="s">
        <v>702</v>
      </c>
      <c r="N1335" s="34" t="s">
        <v>29</v>
      </c>
      <c r="O1335" s="10"/>
      <c r="P1335" s="113">
        <v>45811</v>
      </c>
      <c r="Q1335" s="113">
        <v>45811</v>
      </c>
      <c r="R1335" s="113">
        <v>45811</v>
      </c>
      <c r="S1335" s="37">
        <f t="shared" si="268"/>
        <v>377400</v>
      </c>
      <c r="T1335" s="37">
        <f t="shared" si="269"/>
        <v>0</v>
      </c>
      <c r="U1335" s="10"/>
      <c r="V1335" s="10"/>
      <c r="W1335" s="10"/>
      <c r="X1335" s="10"/>
      <c r="Y1335" s="10"/>
      <c r="Z1335" s="10"/>
      <c r="AA1335" s="10"/>
      <c r="AB1335" s="10"/>
      <c r="AC1335" s="10"/>
      <c r="AD1335" s="10"/>
      <c r="AE1335" s="10"/>
    </row>
    <row r="1336" spans="1:31" ht="14.25" hidden="1" customHeight="1">
      <c r="A1336" s="277" t="s">
        <v>5669</v>
      </c>
      <c r="B1336" s="9" t="s">
        <v>21</v>
      </c>
      <c r="C1336" s="9">
        <v>2025</v>
      </c>
      <c r="D1336" s="9" t="s">
        <v>27</v>
      </c>
      <c r="E1336" s="90" t="s">
        <v>23</v>
      </c>
      <c r="F1336" s="9" t="s">
        <v>7</v>
      </c>
      <c r="G1336" s="10"/>
      <c r="H1336" s="96">
        <v>250172</v>
      </c>
      <c r="I1336" s="109" t="s">
        <v>691</v>
      </c>
      <c r="J1336" s="115">
        <v>45700</v>
      </c>
      <c r="K1336" s="115">
        <v>45708</v>
      </c>
      <c r="L1336" s="116">
        <v>382950</v>
      </c>
      <c r="M1336" s="117" t="s">
        <v>703</v>
      </c>
      <c r="N1336" s="34" t="s">
        <v>29</v>
      </c>
      <c r="O1336" s="10"/>
      <c r="P1336" s="113">
        <v>45811</v>
      </c>
      <c r="Q1336" s="113">
        <v>45811</v>
      </c>
      <c r="R1336" s="113">
        <v>45811</v>
      </c>
      <c r="S1336" s="37">
        <f t="shared" si="268"/>
        <v>382950</v>
      </c>
      <c r="T1336" s="37">
        <f t="shared" si="269"/>
        <v>0</v>
      </c>
      <c r="U1336" s="10"/>
      <c r="V1336" s="10"/>
      <c r="W1336" s="10"/>
      <c r="X1336" s="10"/>
      <c r="Y1336" s="10"/>
      <c r="Z1336" s="10"/>
      <c r="AA1336" s="10"/>
      <c r="AB1336" s="10"/>
      <c r="AC1336" s="10"/>
      <c r="AD1336" s="10"/>
      <c r="AE1336" s="10"/>
    </row>
    <row r="1337" spans="1:31" hidden="1">
      <c r="A1337" s="277" t="s">
        <v>5670</v>
      </c>
      <c r="B1337" s="9" t="s">
        <v>21</v>
      </c>
      <c r="C1337" s="9">
        <v>2025</v>
      </c>
      <c r="D1337" s="9" t="s">
        <v>27</v>
      </c>
      <c r="E1337" s="90" t="s">
        <v>23</v>
      </c>
      <c r="F1337" s="9" t="s">
        <v>7</v>
      </c>
      <c r="G1337" s="10"/>
      <c r="H1337" s="96">
        <v>250162</v>
      </c>
      <c r="I1337" s="109" t="s">
        <v>691</v>
      </c>
      <c r="J1337" s="115">
        <v>45702</v>
      </c>
      <c r="K1337" s="115">
        <v>45720</v>
      </c>
      <c r="L1337" s="116">
        <v>1455210</v>
      </c>
      <c r="M1337" s="117" t="s">
        <v>704</v>
      </c>
      <c r="N1337" s="34" t="s">
        <v>29</v>
      </c>
      <c r="O1337" s="10"/>
      <c r="P1337" s="113">
        <v>45811</v>
      </c>
      <c r="Q1337" s="113">
        <v>45811</v>
      </c>
      <c r="R1337" s="113">
        <v>45811</v>
      </c>
      <c r="S1337" s="37">
        <f t="shared" si="268"/>
        <v>1455210</v>
      </c>
      <c r="T1337" s="37">
        <f t="shared" si="269"/>
        <v>0</v>
      </c>
      <c r="U1337" s="10"/>
      <c r="V1337" s="10"/>
      <c r="W1337" s="10"/>
      <c r="X1337" s="10"/>
      <c r="Y1337" s="10"/>
      <c r="Z1337" s="10"/>
      <c r="AA1337" s="10"/>
      <c r="AB1337" s="10"/>
      <c r="AC1337" s="10"/>
      <c r="AD1337" s="10"/>
      <c r="AE1337" s="10"/>
    </row>
    <row r="1338" spans="1:31" hidden="1">
      <c r="A1338" s="277" t="s">
        <v>5671</v>
      </c>
      <c r="B1338" s="9" t="s">
        <v>21</v>
      </c>
      <c r="C1338" s="9">
        <v>2025</v>
      </c>
      <c r="D1338" s="9" t="s">
        <v>27</v>
      </c>
      <c r="E1338" s="90" t="s">
        <v>23</v>
      </c>
      <c r="F1338" s="9" t="s">
        <v>7</v>
      </c>
      <c r="G1338" s="10"/>
      <c r="H1338" s="96">
        <v>250163</v>
      </c>
      <c r="I1338" s="109" t="s">
        <v>691</v>
      </c>
      <c r="J1338" s="115">
        <v>45702</v>
      </c>
      <c r="K1338" s="115">
        <v>45720</v>
      </c>
      <c r="L1338" s="116">
        <v>990675</v>
      </c>
      <c r="M1338" s="117" t="s">
        <v>705</v>
      </c>
      <c r="N1338" s="34" t="s">
        <v>29</v>
      </c>
      <c r="O1338" s="10"/>
      <c r="P1338" s="113">
        <v>45811</v>
      </c>
      <c r="Q1338" s="113">
        <v>45811</v>
      </c>
      <c r="R1338" s="113">
        <v>45811</v>
      </c>
      <c r="S1338" s="37">
        <f t="shared" si="268"/>
        <v>990675</v>
      </c>
      <c r="T1338" s="37">
        <f t="shared" si="269"/>
        <v>0</v>
      </c>
      <c r="U1338" s="10"/>
      <c r="V1338" s="10"/>
      <c r="W1338" s="10"/>
      <c r="X1338" s="10"/>
      <c r="Y1338" s="10"/>
      <c r="Z1338" s="10"/>
      <c r="AA1338" s="10"/>
      <c r="AB1338" s="10"/>
      <c r="AC1338" s="10"/>
      <c r="AD1338" s="10"/>
      <c r="AE1338" s="10"/>
    </row>
    <row r="1339" spans="1:31" hidden="1">
      <c r="A1339" s="277" t="s">
        <v>5672</v>
      </c>
      <c r="B1339" s="9" t="s">
        <v>21</v>
      </c>
      <c r="C1339" s="9">
        <v>2025</v>
      </c>
      <c r="D1339" s="9" t="s">
        <v>27</v>
      </c>
      <c r="E1339" s="90" t="s">
        <v>23</v>
      </c>
      <c r="F1339" s="9" t="s">
        <v>7</v>
      </c>
      <c r="G1339" s="10"/>
      <c r="H1339" s="96">
        <v>250168</v>
      </c>
      <c r="I1339" s="109" t="s">
        <v>691</v>
      </c>
      <c r="J1339" s="115">
        <v>45703</v>
      </c>
      <c r="K1339" s="115">
        <v>45722</v>
      </c>
      <c r="L1339" s="116">
        <v>6267670</v>
      </c>
      <c r="M1339" s="117" t="s">
        <v>706</v>
      </c>
      <c r="N1339" s="34" t="s">
        <v>29</v>
      </c>
      <c r="O1339" s="10"/>
      <c r="P1339" s="113">
        <v>45811</v>
      </c>
      <c r="Q1339" s="113">
        <v>45811</v>
      </c>
      <c r="R1339" s="113">
        <v>45811</v>
      </c>
      <c r="S1339" s="37">
        <f t="shared" si="268"/>
        <v>6267670</v>
      </c>
      <c r="T1339" s="37">
        <f t="shared" si="269"/>
        <v>0</v>
      </c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0"/>
      <c r="AE1339" s="10"/>
    </row>
    <row r="1340" spans="1:31" hidden="1">
      <c r="A1340" s="277" t="s">
        <v>5673</v>
      </c>
      <c r="B1340" s="9" t="s">
        <v>21</v>
      </c>
      <c r="C1340" s="9">
        <v>2025</v>
      </c>
      <c r="D1340" s="9" t="s">
        <v>27</v>
      </c>
      <c r="E1340" s="90" t="s">
        <v>23</v>
      </c>
      <c r="F1340" s="9" t="s">
        <v>7</v>
      </c>
      <c r="G1340" s="10"/>
      <c r="H1340" s="96">
        <v>250207</v>
      </c>
      <c r="I1340" s="109" t="s">
        <v>691</v>
      </c>
      <c r="J1340" s="115">
        <v>45705</v>
      </c>
      <c r="K1340" s="115">
        <v>45722</v>
      </c>
      <c r="L1340" s="116">
        <v>8116875</v>
      </c>
      <c r="M1340" s="117" t="s">
        <v>707</v>
      </c>
      <c r="N1340" s="34" t="s">
        <v>29</v>
      </c>
      <c r="O1340" s="10"/>
      <c r="P1340" s="113">
        <v>45811</v>
      </c>
      <c r="Q1340" s="113">
        <v>45811</v>
      </c>
      <c r="R1340" s="113">
        <v>45811</v>
      </c>
      <c r="S1340" s="37">
        <f t="shared" si="268"/>
        <v>8116875</v>
      </c>
      <c r="T1340" s="37">
        <f t="shared" si="269"/>
        <v>0</v>
      </c>
      <c r="U1340" s="10"/>
      <c r="V1340" s="10"/>
      <c r="W1340" s="10"/>
      <c r="X1340" s="10"/>
      <c r="Y1340" s="10"/>
      <c r="Z1340" s="10"/>
      <c r="AA1340" s="10"/>
      <c r="AB1340" s="10"/>
      <c r="AC1340" s="10"/>
      <c r="AD1340" s="10"/>
      <c r="AE1340" s="10"/>
    </row>
    <row r="1341" spans="1:31" hidden="1">
      <c r="A1341" s="277" t="s">
        <v>5674</v>
      </c>
      <c r="B1341" s="9" t="s">
        <v>21</v>
      </c>
      <c r="C1341" s="9">
        <v>2025</v>
      </c>
      <c r="D1341" s="9" t="s">
        <v>27</v>
      </c>
      <c r="E1341" s="90" t="s">
        <v>23</v>
      </c>
      <c r="F1341" s="9" t="s">
        <v>7</v>
      </c>
      <c r="G1341" s="10"/>
      <c r="H1341" s="96">
        <v>250208</v>
      </c>
      <c r="I1341" s="109" t="s">
        <v>691</v>
      </c>
      <c r="J1341" s="115">
        <v>45706</v>
      </c>
      <c r="K1341" s="115">
        <v>45720</v>
      </c>
      <c r="L1341" s="116">
        <v>2907090</v>
      </c>
      <c r="M1341" s="117" t="s">
        <v>708</v>
      </c>
      <c r="N1341" s="34" t="s">
        <v>29</v>
      </c>
      <c r="O1341" s="10"/>
      <c r="P1341" s="113">
        <v>45811</v>
      </c>
      <c r="Q1341" s="113">
        <v>45811</v>
      </c>
      <c r="R1341" s="113">
        <v>45811</v>
      </c>
      <c r="S1341" s="37">
        <f t="shared" si="268"/>
        <v>2907090</v>
      </c>
      <c r="T1341" s="37">
        <f t="shared" si="269"/>
        <v>0</v>
      </c>
      <c r="U1341" s="10"/>
      <c r="V1341" s="10"/>
      <c r="W1341" s="10"/>
      <c r="X1341" s="10"/>
      <c r="Y1341" s="10"/>
      <c r="Z1341" s="10"/>
      <c r="AA1341" s="10"/>
      <c r="AB1341" s="10"/>
      <c r="AC1341" s="10"/>
      <c r="AD1341" s="10"/>
      <c r="AE1341" s="10"/>
    </row>
    <row r="1342" spans="1:31" hidden="1">
      <c r="A1342" s="277" t="s">
        <v>5675</v>
      </c>
      <c r="B1342" s="9" t="s">
        <v>21</v>
      </c>
      <c r="C1342" s="9">
        <v>2025</v>
      </c>
      <c r="D1342" s="9" t="s">
        <v>27</v>
      </c>
      <c r="E1342" s="90" t="s">
        <v>23</v>
      </c>
      <c r="F1342" s="9" t="s">
        <v>7</v>
      </c>
      <c r="G1342" s="10"/>
      <c r="H1342" s="96">
        <v>250206</v>
      </c>
      <c r="I1342" s="109" t="s">
        <v>691</v>
      </c>
      <c r="J1342" s="115">
        <v>45707</v>
      </c>
      <c r="K1342" s="115">
        <v>45720</v>
      </c>
      <c r="L1342" s="116">
        <v>2910697</v>
      </c>
      <c r="M1342" s="117" t="s">
        <v>709</v>
      </c>
      <c r="N1342" s="34" t="s">
        <v>29</v>
      </c>
      <c r="O1342" s="10"/>
      <c r="P1342" s="113">
        <v>45811</v>
      </c>
      <c r="Q1342" s="113">
        <v>45811</v>
      </c>
      <c r="R1342" s="113">
        <v>45811</v>
      </c>
      <c r="S1342" s="37">
        <f t="shared" si="268"/>
        <v>2910697</v>
      </c>
      <c r="T1342" s="37">
        <f t="shared" si="269"/>
        <v>0</v>
      </c>
      <c r="U1342" s="10"/>
      <c r="V1342" s="10"/>
      <c r="W1342" s="10"/>
      <c r="X1342" s="10"/>
      <c r="Y1342" s="10"/>
      <c r="Z1342" s="10"/>
      <c r="AA1342" s="10"/>
      <c r="AB1342" s="10"/>
      <c r="AC1342" s="10"/>
      <c r="AD1342" s="10"/>
      <c r="AE1342" s="10"/>
    </row>
    <row r="1343" spans="1:31" hidden="1">
      <c r="A1343" s="277" t="s">
        <v>5676</v>
      </c>
      <c r="B1343" s="9" t="s">
        <v>21</v>
      </c>
      <c r="C1343" s="9">
        <v>2025</v>
      </c>
      <c r="D1343" s="9" t="s">
        <v>27</v>
      </c>
      <c r="E1343" s="90" t="s">
        <v>23</v>
      </c>
      <c r="F1343" s="9" t="s">
        <v>7</v>
      </c>
      <c r="G1343" s="10"/>
      <c r="H1343" s="96">
        <v>250229</v>
      </c>
      <c r="I1343" s="109" t="s">
        <v>691</v>
      </c>
      <c r="J1343" s="115">
        <v>45714</v>
      </c>
      <c r="K1343" s="115">
        <v>45722</v>
      </c>
      <c r="L1343" s="116">
        <v>1723275</v>
      </c>
      <c r="M1343" s="117" t="s">
        <v>710</v>
      </c>
      <c r="N1343" s="34" t="s">
        <v>29</v>
      </c>
      <c r="O1343" s="10"/>
      <c r="P1343" s="113">
        <v>45811</v>
      </c>
      <c r="Q1343" s="113">
        <v>45811</v>
      </c>
      <c r="R1343" s="113">
        <v>45811</v>
      </c>
      <c r="S1343" s="37">
        <f t="shared" si="268"/>
        <v>1723275</v>
      </c>
      <c r="T1343" s="37">
        <f t="shared" si="269"/>
        <v>0</v>
      </c>
      <c r="U1343" s="10"/>
      <c r="V1343" s="10"/>
      <c r="W1343" s="10"/>
      <c r="X1343" s="10"/>
      <c r="Y1343" s="10"/>
      <c r="Z1343" s="10"/>
      <c r="AA1343" s="10"/>
      <c r="AB1343" s="10"/>
      <c r="AC1343" s="10"/>
      <c r="AD1343" s="10"/>
      <c r="AE1343" s="10"/>
    </row>
    <row r="1344" spans="1:31" hidden="1">
      <c r="A1344" s="277" t="s">
        <v>5677</v>
      </c>
      <c r="B1344" s="9" t="s">
        <v>21</v>
      </c>
      <c r="C1344" s="9">
        <v>2025</v>
      </c>
      <c r="D1344" s="9" t="s">
        <v>27</v>
      </c>
      <c r="E1344" s="90" t="s">
        <v>23</v>
      </c>
      <c r="F1344" s="9" t="s">
        <v>7</v>
      </c>
      <c r="G1344" s="10"/>
      <c r="H1344" s="96">
        <v>250237</v>
      </c>
      <c r="I1344" s="109" t="s">
        <v>691</v>
      </c>
      <c r="J1344" s="115">
        <v>45716</v>
      </c>
      <c r="K1344" s="115">
        <v>45722</v>
      </c>
      <c r="L1344" s="116">
        <v>684981</v>
      </c>
      <c r="M1344" s="117" t="s">
        <v>711</v>
      </c>
      <c r="N1344" s="34" t="s">
        <v>29</v>
      </c>
      <c r="O1344" s="10"/>
      <c r="P1344" s="113">
        <v>45811</v>
      </c>
      <c r="Q1344" s="113">
        <v>45811</v>
      </c>
      <c r="R1344" s="113">
        <v>45811</v>
      </c>
      <c r="S1344" s="37">
        <f t="shared" si="268"/>
        <v>684981</v>
      </c>
      <c r="T1344" s="37">
        <f t="shared" si="269"/>
        <v>0</v>
      </c>
      <c r="U1344" s="10"/>
      <c r="V1344" s="10"/>
      <c r="W1344" s="10"/>
      <c r="X1344" s="10"/>
      <c r="Y1344" s="10"/>
      <c r="Z1344" s="10"/>
      <c r="AA1344" s="10"/>
      <c r="AB1344" s="10"/>
      <c r="AC1344" s="10"/>
      <c r="AD1344" s="10"/>
      <c r="AE1344" s="10"/>
    </row>
    <row r="1345" spans="1:31" hidden="1">
      <c r="A1345" s="277" t="s">
        <v>5678</v>
      </c>
      <c r="B1345" s="9" t="s">
        <v>21</v>
      </c>
      <c r="C1345" s="9">
        <v>2025</v>
      </c>
      <c r="D1345" s="9" t="s">
        <v>27</v>
      </c>
      <c r="E1345" s="90" t="s">
        <v>23</v>
      </c>
      <c r="F1345" s="9" t="s">
        <v>7</v>
      </c>
      <c r="G1345" s="10"/>
      <c r="H1345" s="96">
        <v>250290</v>
      </c>
      <c r="I1345" s="109" t="s">
        <v>691</v>
      </c>
      <c r="J1345" s="115">
        <v>45716</v>
      </c>
      <c r="K1345" s="115">
        <v>45722</v>
      </c>
      <c r="L1345" s="116">
        <v>297202</v>
      </c>
      <c r="M1345" s="117" t="s">
        <v>712</v>
      </c>
      <c r="N1345" s="34" t="s">
        <v>29</v>
      </c>
      <c r="O1345" s="10"/>
      <c r="P1345" s="113">
        <v>45811</v>
      </c>
      <c r="Q1345" s="113">
        <v>45811</v>
      </c>
      <c r="R1345" s="113">
        <v>45811</v>
      </c>
      <c r="S1345" s="37">
        <f t="shared" si="268"/>
        <v>297202</v>
      </c>
      <c r="T1345" s="37">
        <f t="shared" si="269"/>
        <v>0</v>
      </c>
      <c r="U1345" s="10"/>
      <c r="V1345" s="10"/>
      <c r="W1345" s="10"/>
      <c r="X1345" s="10"/>
      <c r="Y1345" s="10"/>
      <c r="Z1345" s="10"/>
      <c r="AA1345" s="10"/>
      <c r="AB1345" s="10"/>
      <c r="AC1345" s="10"/>
      <c r="AD1345" s="10"/>
      <c r="AE1345" s="10"/>
    </row>
    <row r="1346" spans="1:31" hidden="1">
      <c r="A1346" s="277" t="s">
        <v>5679</v>
      </c>
      <c r="B1346" s="9" t="s">
        <v>21</v>
      </c>
      <c r="C1346" s="9">
        <v>2025</v>
      </c>
      <c r="D1346" s="9" t="s">
        <v>27</v>
      </c>
      <c r="E1346" s="90" t="s">
        <v>23</v>
      </c>
      <c r="F1346" s="9" t="s">
        <v>7</v>
      </c>
      <c r="G1346" s="10"/>
      <c r="H1346" s="96">
        <v>250288</v>
      </c>
      <c r="I1346" s="109" t="s">
        <v>691</v>
      </c>
      <c r="J1346" s="115">
        <v>45716</v>
      </c>
      <c r="K1346" s="115">
        <v>45722</v>
      </c>
      <c r="L1346" s="116">
        <v>14150915</v>
      </c>
      <c r="M1346" s="117" t="s">
        <v>713</v>
      </c>
      <c r="N1346" s="34" t="s">
        <v>29</v>
      </c>
      <c r="O1346" s="27">
        <f>SUM(L1346:L1351)</f>
        <v>43509725</v>
      </c>
      <c r="P1346" s="113">
        <v>45834</v>
      </c>
      <c r="Q1346" s="113">
        <v>45834</v>
      </c>
      <c r="R1346" s="113">
        <v>45834</v>
      </c>
      <c r="S1346" s="37">
        <f t="shared" si="268"/>
        <v>14150915</v>
      </c>
      <c r="T1346" s="37">
        <f t="shared" si="269"/>
        <v>0</v>
      </c>
      <c r="U1346" s="10"/>
      <c r="V1346" s="10"/>
      <c r="W1346" s="10"/>
      <c r="X1346" s="10"/>
      <c r="Y1346" s="10"/>
      <c r="Z1346" s="10"/>
      <c r="AA1346" s="10"/>
      <c r="AB1346" s="10"/>
      <c r="AC1346" s="10"/>
      <c r="AD1346" s="10"/>
      <c r="AE1346" s="10"/>
    </row>
    <row r="1347" spans="1:31" hidden="1">
      <c r="A1347" s="277" t="s">
        <v>5680</v>
      </c>
      <c r="B1347" s="9" t="s">
        <v>21</v>
      </c>
      <c r="C1347" s="9">
        <v>2025</v>
      </c>
      <c r="D1347" s="9" t="s">
        <v>27</v>
      </c>
      <c r="E1347" s="90" t="s">
        <v>23</v>
      </c>
      <c r="F1347" s="9" t="s">
        <v>7</v>
      </c>
      <c r="G1347" s="10"/>
      <c r="H1347" s="96">
        <v>250286</v>
      </c>
      <c r="I1347" s="109" t="s">
        <v>691</v>
      </c>
      <c r="J1347" s="115">
        <v>45716</v>
      </c>
      <c r="K1347" s="115">
        <v>45722</v>
      </c>
      <c r="L1347" s="116">
        <v>2737660</v>
      </c>
      <c r="M1347" s="117" t="s">
        <v>714</v>
      </c>
      <c r="N1347" s="34" t="s">
        <v>29</v>
      </c>
      <c r="O1347" s="10"/>
      <c r="P1347" s="113">
        <v>45834</v>
      </c>
      <c r="Q1347" s="113">
        <v>45834</v>
      </c>
      <c r="R1347" s="113">
        <v>45834</v>
      </c>
      <c r="S1347" s="37">
        <f t="shared" si="268"/>
        <v>2737660</v>
      </c>
      <c r="T1347" s="37">
        <f t="shared" si="269"/>
        <v>0</v>
      </c>
      <c r="U1347" s="10"/>
      <c r="V1347" s="10"/>
      <c r="W1347" s="10"/>
      <c r="X1347" s="10"/>
      <c r="Y1347" s="10"/>
      <c r="Z1347" s="10"/>
      <c r="AA1347" s="10"/>
      <c r="AB1347" s="10"/>
      <c r="AC1347" s="10"/>
      <c r="AD1347" s="10"/>
      <c r="AE1347" s="10"/>
    </row>
    <row r="1348" spans="1:31" hidden="1">
      <c r="A1348" s="277" t="s">
        <v>5681</v>
      </c>
      <c r="B1348" s="9" t="s">
        <v>21</v>
      </c>
      <c r="C1348" s="9">
        <v>2025</v>
      </c>
      <c r="D1348" s="9" t="s">
        <v>27</v>
      </c>
      <c r="E1348" s="90" t="s">
        <v>23</v>
      </c>
      <c r="F1348" s="9" t="s">
        <v>7</v>
      </c>
      <c r="G1348" s="10"/>
      <c r="H1348" s="96">
        <v>250289</v>
      </c>
      <c r="I1348" s="109" t="s">
        <v>691</v>
      </c>
      <c r="J1348" s="115">
        <v>45716</v>
      </c>
      <c r="K1348" s="115">
        <v>45722</v>
      </c>
      <c r="L1348" s="116">
        <v>3176820</v>
      </c>
      <c r="M1348" s="117" t="s">
        <v>715</v>
      </c>
      <c r="N1348" s="34" t="s">
        <v>29</v>
      </c>
      <c r="O1348" s="10"/>
      <c r="P1348" s="113">
        <v>45834</v>
      </c>
      <c r="Q1348" s="113">
        <v>45834</v>
      </c>
      <c r="R1348" s="113">
        <v>45834</v>
      </c>
      <c r="S1348" s="37">
        <f t="shared" si="268"/>
        <v>3176820</v>
      </c>
      <c r="T1348" s="37">
        <f t="shared" si="269"/>
        <v>0</v>
      </c>
      <c r="U1348" s="10"/>
      <c r="V1348" s="10"/>
      <c r="W1348" s="10"/>
      <c r="X1348" s="10"/>
      <c r="Y1348" s="10"/>
      <c r="Z1348" s="10"/>
      <c r="AA1348" s="10"/>
      <c r="AB1348" s="10"/>
      <c r="AC1348" s="10"/>
      <c r="AD1348" s="10"/>
      <c r="AE1348" s="10"/>
    </row>
    <row r="1349" spans="1:31" hidden="1">
      <c r="A1349" s="277" t="s">
        <v>5682</v>
      </c>
      <c r="B1349" s="9" t="s">
        <v>21</v>
      </c>
      <c r="C1349" s="9">
        <v>2025</v>
      </c>
      <c r="D1349" s="9" t="s">
        <v>27</v>
      </c>
      <c r="E1349" s="90" t="s">
        <v>23</v>
      </c>
      <c r="F1349" s="9" t="s">
        <v>7</v>
      </c>
      <c r="G1349" s="10"/>
      <c r="H1349" s="96">
        <v>250287</v>
      </c>
      <c r="I1349" s="109" t="s">
        <v>691</v>
      </c>
      <c r="J1349" s="115">
        <v>45717</v>
      </c>
      <c r="K1349" s="115">
        <v>45722</v>
      </c>
      <c r="L1349" s="116">
        <v>134996</v>
      </c>
      <c r="M1349" s="117" t="s">
        <v>716</v>
      </c>
      <c r="N1349" s="34" t="s">
        <v>29</v>
      </c>
      <c r="O1349" s="10"/>
      <c r="P1349" s="113">
        <v>45834</v>
      </c>
      <c r="Q1349" s="113">
        <v>45834</v>
      </c>
      <c r="R1349" s="113">
        <v>45834</v>
      </c>
      <c r="S1349" s="37">
        <f t="shared" si="268"/>
        <v>134996</v>
      </c>
      <c r="T1349" s="37">
        <f t="shared" si="269"/>
        <v>0</v>
      </c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  <c r="AE1349" s="10"/>
    </row>
    <row r="1350" spans="1:31" hidden="1">
      <c r="A1350" s="277" t="s">
        <v>5683</v>
      </c>
      <c r="B1350" s="9" t="s">
        <v>21</v>
      </c>
      <c r="C1350" s="9">
        <v>2025</v>
      </c>
      <c r="D1350" s="9" t="s">
        <v>27</v>
      </c>
      <c r="E1350" s="90" t="s">
        <v>23</v>
      </c>
      <c r="F1350" s="9" t="s">
        <v>7</v>
      </c>
      <c r="G1350" s="10"/>
      <c r="H1350" s="96">
        <v>250465</v>
      </c>
      <c r="I1350" s="109" t="s">
        <v>691</v>
      </c>
      <c r="J1350" s="115">
        <v>45771</v>
      </c>
      <c r="K1350" s="115">
        <v>45780</v>
      </c>
      <c r="L1350" s="116">
        <v>21649151</v>
      </c>
      <c r="M1350" s="117" t="s">
        <v>717</v>
      </c>
      <c r="N1350" s="34" t="s">
        <v>29</v>
      </c>
      <c r="O1350" s="10"/>
      <c r="P1350" s="113">
        <v>45834</v>
      </c>
      <c r="Q1350" s="113">
        <v>45834</v>
      </c>
      <c r="R1350" s="113">
        <v>45834</v>
      </c>
      <c r="S1350" s="37">
        <f t="shared" si="268"/>
        <v>21649151</v>
      </c>
      <c r="T1350" s="37">
        <f t="shared" si="269"/>
        <v>0</v>
      </c>
      <c r="U1350" s="10"/>
      <c r="V1350" s="10"/>
      <c r="W1350" s="10"/>
      <c r="X1350" s="10"/>
      <c r="Y1350" s="10"/>
      <c r="Z1350" s="10"/>
      <c r="AA1350" s="10"/>
      <c r="AB1350" s="10"/>
      <c r="AC1350" s="10"/>
      <c r="AD1350" s="10"/>
      <c r="AE1350" s="10"/>
    </row>
    <row r="1351" spans="1:31" hidden="1">
      <c r="A1351" s="277" t="s">
        <v>5684</v>
      </c>
      <c r="B1351" s="9" t="s">
        <v>21</v>
      </c>
      <c r="C1351" s="9">
        <v>2025</v>
      </c>
      <c r="D1351" s="9" t="s">
        <v>27</v>
      </c>
      <c r="E1351" s="90" t="s">
        <v>23</v>
      </c>
      <c r="F1351" s="9" t="s">
        <v>7</v>
      </c>
      <c r="G1351" s="10"/>
      <c r="H1351" s="96">
        <v>250479</v>
      </c>
      <c r="I1351" s="109" t="s">
        <v>691</v>
      </c>
      <c r="J1351" s="115">
        <v>45775</v>
      </c>
      <c r="K1351" s="115">
        <v>45780</v>
      </c>
      <c r="L1351" s="116">
        <v>1660183</v>
      </c>
      <c r="M1351" s="117" t="s">
        <v>718</v>
      </c>
      <c r="N1351" s="34" t="s">
        <v>29</v>
      </c>
      <c r="O1351" s="10"/>
      <c r="P1351" s="113">
        <v>45834</v>
      </c>
      <c r="Q1351" s="113">
        <v>45834</v>
      </c>
      <c r="R1351" s="113">
        <v>45834</v>
      </c>
      <c r="S1351" s="37">
        <f t="shared" si="268"/>
        <v>1660183</v>
      </c>
      <c r="T1351" s="37">
        <f t="shared" si="269"/>
        <v>0</v>
      </c>
      <c r="U1351" s="10"/>
      <c r="V1351" s="10"/>
      <c r="W1351" s="10"/>
      <c r="X1351" s="10"/>
      <c r="Y1351" s="10"/>
      <c r="Z1351" s="10"/>
      <c r="AA1351" s="10"/>
      <c r="AB1351" s="10"/>
      <c r="AC1351" s="10"/>
      <c r="AD1351" s="10"/>
      <c r="AE1351" s="10"/>
    </row>
    <row r="1352" spans="1:31" hidden="1">
      <c r="A1352" s="277" t="s">
        <v>5685</v>
      </c>
      <c r="B1352" s="9" t="s">
        <v>21</v>
      </c>
      <c r="C1352" s="9">
        <v>2025</v>
      </c>
      <c r="D1352" s="9" t="s">
        <v>27</v>
      </c>
      <c r="E1352" s="90" t="s">
        <v>23</v>
      </c>
      <c r="F1352" s="9" t="s">
        <v>7</v>
      </c>
      <c r="G1352" s="10"/>
      <c r="H1352" s="96">
        <v>250640</v>
      </c>
      <c r="I1352" s="109" t="s">
        <v>691</v>
      </c>
      <c r="J1352" s="115">
        <v>45834</v>
      </c>
      <c r="K1352" s="115">
        <v>45841</v>
      </c>
      <c r="L1352" s="116">
        <v>11141348</v>
      </c>
      <c r="M1352" s="117" t="s">
        <v>719</v>
      </c>
      <c r="N1352" s="34" t="s">
        <v>29</v>
      </c>
      <c r="O1352" s="27">
        <f>SUM(L1352:L1353)</f>
        <v>23795348</v>
      </c>
      <c r="P1352" s="113">
        <v>45893</v>
      </c>
      <c r="Q1352" s="113">
        <v>45893</v>
      </c>
      <c r="R1352" s="113">
        <v>45893</v>
      </c>
      <c r="S1352" s="37">
        <f t="shared" si="268"/>
        <v>11141348</v>
      </c>
      <c r="T1352" s="37">
        <f t="shared" si="269"/>
        <v>0</v>
      </c>
      <c r="U1352" s="10"/>
      <c r="V1352" s="10"/>
      <c r="W1352" s="10"/>
      <c r="X1352" s="10"/>
      <c r="Y1352" s="10"/>
      <c r="Z1352" s="10"/>
      <c r="AA1352" s="10"/>
      <c r="AB1352" s="10"/>
      <c r="AC1352" s="10"/>
      <c r="AD1352" s="10"/>
      <c r="AE1352" s="10"/>
    </row>
    <row r="1353" spans="1:31" hidden="1">
      <c r="A1353" s="277" t="s">
        <v>5686</v>
      </c>
      <c r="B1353" s="9" t="s">
        <v>21</v>
      </c>
      <c r="C1353" s="9">
        <v>2025</v>
      </c>
      <c r="D1353" s="9" t="s">
        <v>27</v>
      </c>
      <c r="E1353" s="90" t="s">
        <v>23</v>
      </c>
      <c r="F1353" s="9" t="s">
        <v>7</v>
      </c>
      <c r="G1353" s="10"/>
      <c r="H1353" s="96">
        <v>250638</v>
      </c>
      <c r="I1353" s="109" t="s">
        <v>691</v>
      </c>
      <c r="J1353" s="115">
        <v>45834</v>
      </c>
      <c r="K1353" s="115">
        <v>45841</v>
      </c>
      <c r="L1353" s="116">
        <v>12654000</v>
      </c>
      <c r="M1353" s="117" t="s">
        <v>720</v>
      </c>
      <c r="N1353" s="34" t="s">
        <v>29</v>
      </c>
      <c r="P1353" s="113">
        <v>45893</v>
      </c>
      <c r="Q1353" s="113">
        <v>45893</v>
      </c>
      <c r="R1353" s="113">
        <v>45893</v>
      </c>
      <c r="S1353" s="37">
        <f t="shared" si="268"/>
        <v>12654000</v>
      </c>
      <c r="T1353" s="37">
        <f t="shared" si="269"/>
        <v>0</v>
      </c>
      <c r="U1353" s="10"/>
      <c r="V1353" s="10"/>
      <c r="W1353" s="10"/>
      <c r="X1353" s="10"/>
      <c r="Y1353" s="10"/>
      <c r="Z1353" s="10"/>
      <c r="AA1353" s="10"/>
      <c r="AB1353" s="10"/>
      <c r="AC1353" s="10"/>
      <c r="AD1353" s="10"/>
      <c r="AE1353" s="10"/>
    </row>
    <row r="1354" spans="1:31" hidden="1">
      <c r="A1354" s="277" t="s">
        <v>5687</v>
      </c>
      <c r="B1354" s="9" t="s">
        <v>21</v>
      </c>
      <c r="C1354" s="9">
        <v>2025</v>
      </c>
      <c r="D1354" s="9" t="s">
        <v>27</v>
      </c>
      <c r="E1354" s="90" t="s">
        <v>23</v>
      </c>
      <c r="F1354" s="9" t="s">
        <v>7</v>
      </c>
      <c r="G1354" s="10"/>
      <c r="H1354" s="96">
        <v>250639</v>
      </c>
      <c r="I1354" s="109" t="s">
        <v>691</v>
      </c>
      <c r="J1354" s="115">
        <v>45834</v>
      </c>
      <c r="K1354" s="115">
        <v>45841</v>
      </c>
      <c r="L1354" s="116">
        <v>16430220</v>
      </c>
      <c r="M1354" s="117" t="s">
        <v>721</v>
      </c>
      <c r="N1354" s="34" t="s">
        <v>29</v>
      </c>
      <c r="O1354" s="141">
        <f>SUM(L1354:L1355)</f>
        <v>21336970</v>
      </c>
      <c r="P1354" s="113">
        <v>45912</v>
      </c>
      <c r="Q1354" s="113">
        <v>45912</v>
      </c>
      <c r="R1354" s="113">
        <v>45912</v>
      </c>
      <c r="S1354" s="37">
        <f t="shared" si="268"/>
        <v>16430220</v>
      </c>
      <c r="T1354" s="37">
        <f t="shared" si="269"/>
        <v>0</v>
      </c>
      <c r="U1354" s="10"/>
      <c r="V1354" s="10"/>
      <c r="W1354" s="10"/>
      <c r="X1354" s="10"/>
      <c r="Y1354" s="10"/>
      <c r="Z1354" s="10"/>
      <c r="AA1354" s="10"/>
      <c r="AB1354" s="10"/>
      <c r="AC1354" s="10"/>
      <c r="AD1354" s="10"/>
      <c r="AE1354" s="10"/>
    </row>
    <row r="1355" spans="1:31" hidden="1">
      <c r="A1355" s="277" t="s">
        <v>5688</v>
      </c>
      <c r="B1355" s="9" t="s">
        <v>21</v>
      </c>
      <c r="C1355" s="9">
        <v>2025</v>
      </c>
      <c r="D1355" s="9" t="s">
        <v>27</v>
      </c>
      <c r="E1355" s="90" t="s">
        <v>23</v>
      </c>
      <c r="F1355" s="9" t="s">
        <v>7</v>
      </c>
      <c r="G1355" s="10"/>
      <c r="H1355" s="96">
        <v>250637</v>
      </c>
      <c r="I1355" s="109" t="s">
        <v>691</v>
      </c>
      <c r="J1355" s="115">
        <v>45834</v>
      </c>
      <c r="K1355" s="115">
        <v>45841</v>
      </c>
      <c r="L1355" s="116">
        <f>9906750-5000000</f>
        <v>4906750</v>
      </c>
      <c r="M1355" s="117" t="s">
        <v>722</v>
      </c>
      <c r="N1355" s="34" t="s">
        <v>29</v>
      </c>
      <c r="O1355" s="10"/>
      <c r="P1355" s="113">
        <v>45912</v>
      </c>
      <c r="Q1355" s="113">
        <v>45912</v>
      </c>
      <c r="R1355" s="113">
        <v>45912</v>
      </c>
      <c r="S1355" s="37">
        <f t="shared" si="268"/>
        <v>4906750</v>
      </c>
      <c r="T1355" s="37">
        <f t="shared" si="269"/>
        <v>0</v>
      </c>
      <c r="U1355" s="10"/>
      <c r="V1355" s="10"/>
      <c r="W1355" s="10"/>
      <c r="X1355" s="10"/>
      <c r="Y1355" s="10"/>
      <c r="Z1355" s="10"/>
      <c r="AA1355" s="10"/>
      <c r="AB1355" s="10"/>
      <c r="AC1355" s="10"/>
      <c r="AD1355" s="10"/>
      <c r="AE1355" s="10"/>
    </row>
    <row r="1356" spans="1:31" hidden="1">
      <c r="A1356" s="277" t="s">
        <v>5689</v>
      </c>
      <c r="B1356" s="9" t="s">
        <v>21</v>
      </c>
      <c r="C1356" s="9">
        <v>2025</v>
      </c>
      <c r="D1356" s="9" t="s">
        <v>27</v>
      </c>
      <c r="E1356" s="90" t="s">
        <v>23</v>
      </c>
      <c r="F1356" s="9" t="s">
        <v>7</v>
      </c>
      <c r="G1356" s="10"/>
      <c r="H1356" s="96">
        <v>250637</v>
      </c>
      <c r="I1356" s="109" t="s">
        <v>691</v>
      </c>
      <c r="J1356" s="115">
        <v>45834</v>
      </c>
      <c r="K1356" s="115">
        <v>45841</v>
      </c>
      <c r="L1356" s="116">
        <v>5000000</v>
      </c>
      <c r="M1356" s="117" t="s">
        <v>723</v>
      </c>
      <c r="N1356" s="34" t="s">
        <v>29</v>
      </c>
      <c r="O1356" s="27">
        <f>SUM(L1356:L1358)</f>
        <v>30000000</v>
      </c>
      <c r="P1356" s="113">
        <v>45930</v>
      </c>
      <c r="Q1356" s="113">
        <v>45930</v>
      </c>
      <c r="R1356" s="113">
        <v>45930</v>
      </c>
      <c r="S1356" s="37">
        <f>IF(R1356="",0,L1356)</f>
        <v>5000000</v>
      </c>
      <c r="T1356" s="37">
        <f>L1356-S1356</f>
        <v>0</v>
      </c>
      <c r="U1356" s="10"/>
      <c r="V1356" s="27">
        <f>L1356+L1357+L1358</f>
        <v>30000000</v>
      </c>
      <c r="W1356" s="10"/>
      <c r="X1356" s="10"/>
      <c r="Y1356" s="10"/>
      <c r="Z1356" s="10"/>
      <c r="AA1356" s="10"/>
      <c r="AB1356" s="10"/>
      <c r="AC1356" s="10"/>
      <c r="AD1356" s="10"/>
      <c r="AE1356" s="10"/>
    </row>
    <row r="1357" spans="1:31" hidden="1">
      <c r="A1357" s="277" t="s">
        <v>5690</v>
      </c>
      <c r="B1357" s="9" t="s">
        <v>21</v>
      </c>
      <c r="C1357" s="9">
        <v>2025</v>
      </c>
      <c r="D1357" s="9" t="s">
        <v>27</v>
      </c>
      <c r="E1357" s="90" t="s">
        <v>23</v>
      </c>
      <c r="F1357" s="9" t="s">
        <v>7</v>
      </c>
      <c r="G1357" s="10"/>
      <c r="H1357" s="96">
        <v>250641</v>
      </c>
      <c r="I1357" s="109" t="s">
        <v>691</v>
      </c>
      <c r="J1357" s="115">
        <v>45834</v>
      </c>
      <c r="K1357" s="115">
        <v>45841</v>
      </c>
      <c r="L1357" s="116">
        <v>1273725</v>
      </c>
      <c r="M1357" s="117" t="s">
        <v>724</v>
      </c>
      <c r="N1357" s="34" t="s">
        <v>29</v>
      </c>
      <c r="O1357" s="10"/>
      <c r="P1357" s="113">
        <v>45930</v>
      </c>
      <c r="Q1357" s="113">
        <v>45930</v>
      </c>
      <c r="R1357" s="113">
        <v>45930</v>
      </c>
      <c r="S1357" s="37">
        <f t="shared" si="268"/>
        <v>1273725</v>
      </c>
      <c r="T1357" s="37">
        <f t="shared" si="269"/>
        <v>0</v>
      </c>
      <c r="U1357" s="10"/>
      <c r="V1357" s="10"/>
      <c r="W1357" s="10"/>
      <c r="X1357" s="10"/>
      <c r="Y1357" s="10"/>
      <c r="Z1357" s="10"/>
      <c r="AA1357" s="10"/>
      <c r="AB1357" s="10"/>
      <c r="AC1357" s="10"/>
      <c r="AD1357" s="10"/>
      <c r="AE1357" s="10"/>
    </row>
    <row r="1358" spans="1:31" hidden="1">
      <c r="A1358" s="277" t="s">
        <v>5691</v>
      </c>
      <c r="B1358" s="9" t="s">
        <v>21</v>
      </c>
      <c r="C1358" s="9">
        <v>2025</v>
      </c>
      <c r="D1358" s="9" t="s">
        <v>27</v>
      </c>
      <c r="E1358" s="90" t="s">
        <v>23</v>
      </c>
      <c r="F1358" s="9" t="s">
        <v>7</v>
      </c>
      <c r="G1358" s="10"/>
      <c r="H1358" s="96">
        <v>250642</v>
      </c>
      <c r="I1358" s="109" t="s">
        <v>691</v>
      </c>
      <c r="J1358" s="115">
        <v>45834</v>
      </c>
      <c r="K1358" s="115">
        <v>45841</v>
      </c>
      <c r="L1358" s="116">
        <v>23726275</v>
      </c>
      <c r="M1358" s="256" t="s">
        <v>3681</v>
      </c>
      <c r="N1358" s="34" t="s">
        <v>29</v>
      </c>
      <c r="O1358" s="10"/>
      <c r="P1358" s="113">
        <v>45930</v>
      </c>
      <c r="Q1358" s="113">
        <v>45930</v>
      </c>
      <c r="R1358" s="113">
        <v>45930</v>
      </c>
      <c r="S1358" s="37">
        <f t="shared" si="268"/>
        <v>23726275</v>
      </c>
      <c r="T1358" s="37">
        <f t="shared" si="269"/>
        <v>0</v>
      </c>
      <c r="U1358" s="10"/>
      <c r="V1358" s="10"/>
      <c r="W1358" s="10"/>
      <c r="X1358" s="10"/>
      <c r="Y1358" s="10"/>
      <c r="Z1358" s="10"/>
      <c r="AA1358" s="10"/>
      <c r="AB1358" s="10"/>
      <c r="AC1358" s="10"/>
      <c r="AD1358" s="10"/>
      <c r="AE1358" s="10"/>
    </row>
    <row r="1359" spans="1:31" ht="14.25" hidden="1" customHeight="1">
      <c r="A1359" s="277" t="s">
        <v>5692</v>
      </c>
      <c r="B1359" s="9" t="s">
        <v>21</v>
      </c>
      <c r="C1359" s="9">
        <v>2025</v>
      </c>
      <c r="D1359" s="9" t="s">
        <v>27</v>
      </c>
      <c r="E1359" s="90" t="s">
        <v>23</v>
      </c>
      <c r="F1359" s="9" t="s">
        <v>7</v>
      </c>
      <c r="G1359" s="10"/>
      <c r="H1359" s="96">
        <v>250642</v>
      </c>
      <c r="I1359" s="109" t="s">
        <v>691</v>
      </c>
      <c r="J1359" s="115">
        <v>45834</v>
      </c>
      <c r="K1359" s="115">
        <v>45841</v>
      </c>
      <c r="L1359" s="116">
        <v>13500000</v>
      </c>
      <c r="M1359" s="117" t="s">
        <v>3685</v>
      </c>
      <c r="N1359" s="34" t="s">
        <v>29</v>
      </c>
      <c r="O1359" s="27">
        <f>+L1359</f>
        <v>13500000</v>
      </c>
      <c r="P1359" s="113">
        <v>45937</v>
      </c>
      <c r="Q1359" s="113">
        <v>45937</v>
      </c>
      <c r="R1359" s="113">
        <v>45937</v>
      </c>
      <c r="S1359" s="37">
        <f>IF(R1359="",0,L1359)</f>
        <v>13500000</v>
      </c>
      <c r="T1359" s="37">
        <f>L1359-S1359</f>
        <v>0</v>
      </c>
      <c r="U1359" s="10"/>
      <c r="V1359" s="10"/>
      <c r="W1359" s="10"/>
      <c r="X1359" s="10"/>
      <c r="Y1359" s="10"/>
      <c r="Z1359" s="10"/>
      <c r="AA1359" s="10"/>
      <c r="AB1359" s="10"/>
      <c r="AC1359" s="10"/>
      <c r="AD1359" s="10"/>
      <c r="AE1359" s="10"/>
    </row>
    <row r="1360" spans="1:31" ht="14.25" hidden="1" customHeight="1">
      <c r="A1360" s="277" t="s">
        <v>5693</v>
      </c>
      <c r="B1360" s="9" t="s">
        <v>21</v>
      </c>
      <c r="C1360" s="9">
        <v>2025</v>
      </c>
      <c r="D1360" s="9" t="s">
        <v>27</v>
      </c>
      <c r="E1360" s="90" t="s">
        <v>23</v>
      </c>
      <c r="F1360" s="9" t="s">
        <v>7</v>
      </c>
      <c r="G1360" s="10"/>
      <c r="H1360" s="96">
        <v>250642</v>
      </c>
      <c r="I1360" s="109" t="s">
        <v>691</v>
      </c>
      <c r="J1360" s="115">
        <v>45834</v>
      </c>
      <c r="K1360" s="115">
        <v>45841</v>
      </c>
      <c r="L1360" s="116">
        <f>57605526-23726275-13500000</f>
        <v>20379251</v>
      </c>
      <c r="M1360" s="256" t="s">
        <v>3682</v>
      </c>
      <c r="N1360" s="34" t="s">
        <v>29</v>
      </c>
      <c r="O1360" s="27">
        <f>SUM(L1360:L1365)</f>
        <v>38941902</v>
      </c>
      <c r="P1360" s="113">
        <v>45960</v>
      </c>
      <c r="Q1360" s="113">
        <v>45960</v>
      </c>
      <c r="R1360" s="113">
        <v>45960</v>
      </c>
      <c r="S1360" s="37">
        <f>IF(R1360="",0,L1360)</f>
        <v>20379251</v>
      </c>
      <c r="T1360" s="37">
        <f>L1360-S1360</f>
        <v>0</v>
      </c>
      <c r="U1360" s="10"/>
      <c r="V1360" s="10"/>
      <c r="W1360" s="10"/>
      <c r="X1360" s="10"/>
      <c r="Y1360" s="10"/>
      <c r="Z1360" s="10"/>
      <c r="AA1360" s="10"/>
      <c r="AB1360" s="10"/>
      <c r="AC1360" s="10"/>
      <c r="AD1360" s="10"/>
      <c r="AE1360" s="10"/>
    </row>
    <row r="1361" spans="1:31" ht="14.25" hidden="1" customHeight="1">
      <c r="A1361" s="277" t="s">
        <v>5694</v>
      </c>
      <c r="B1361" s="9" t="s">
        <v>21</v>
      </c>
      <c r="C1361" s="9">
        <v>2025</v>
      </c>
      <c r="D1361" s="9" t="s">
        <v>27</v>
      </c>
      <c r="E1361" s="90" t="s">
        <v>23</v>
      </c>
      <c r="F1361" s="9" t="s">
        <v>7</v>
      </c>
      <c r="G1361" s="10"/>
      <c r="H1361" s="96">
        <v>250633</v>
      </c>
      <c r="I1361" s="109" t="s">
        <v>691</v>
      </c>
      <c r="J1361" s="115">
        <v>45836</v>
      </c>
      <c r="K1361" s="115">
        <v>45846</v>
      </c>
      <c r="L1361" s="116">
        <v>126540</v>
      </c>
      <c r="M1361" s="117" t="s">
        <v>725</v>
      </c>
      <c r="N1361" s="34" t="s">
        <v>29</v>
      </c>
      <c r="O1361" s="10"/>
      <c r="P1361" s="113">
        <v>45960</v>
      </c>
      <c r="Q1361" s="113">
        <v>45960</v>
      </c>
      <c r="R1361" s="113">
        <v>45960</v>
      </c>
      <c r="S1361" s="37">
        <f>IF(R1361="",0,L1361)</f>
        <v>126540</v>
      </c>
      <c r="T1361" s="37">
        <f>L1361-S1361</f>
        <v>0</v>
      </c>
      <c r="U1361" s="10"/>
      <c r="V1361" s="10"/>
      <c r="W1361" s="10"/>
      <c r="X1361" s="10"/>
      <c r="Y1361" s="10"/>
      <c r="Z1361" s="10"/>
      <c r="AA1361" s="10"/>
      <c r="AB1361" s="10"/>
      <c r="AC1361" s="10"/>
      <c r="AD1361" s="10"/>
      <c r="AE1361" s="10"/>
    </row>
    <row r="1362" spans="1:31" ht="14.25" hidden="1" customHeight="1">
      <c r="A1362" s="277" t="s">
        <v>5695</v>
      </c>
      <c r="B1362" s="9" t="s">
        <v>21</v>
      </c>
      <c r="C1362" s="9">
        <v>2025</v>
      </c>
      <c r="D1362" s="9" t="s">
        <v>27</v>
      </c>
      <c r="E1362" s="90" t="s">
        <v>23</v>
      </c>
      <c r="F1362" s="9" t="s">
        <v>7</v>
      </c>
      <c r="G1362" s="10"/>
      <c r="H1362" s="96">
        <v>250635</v>
      </c>
      <c r="I1362" s="109" t="s">
        <v>691</v>
      </c>
      <c r="J1362" s="115">
        <v>45836</v>
      </c>
      <c r="K1362" s="115">
        <v>45846</v>
      </c>
      <c r="L1362" s="116">
        <v>342490</v>
      </c>
      <c r="M1362" s="117" t="s">
        <v>726</v>
      </c>
      <c r="N1362" s="34" t="s">
        <v>29</v>
      </c>
      <c r="O1362" s="10"/>
      <c r="P1362" s="113">
        <v>45960</v>
      </c>
      <c r="Q1362" s="113">
        <v>45960</v>
      </c>
      <c r="R1362" s="113">
        <v>45960</v>
      </c>
      <c r="S1362" s="37">
        <f t="shared" ref="S1362:S1368" si="270">IF(R1362="",0,L1362)</f>
        <v>342490</v>
      </c>
      <c r="T1362" s="37">
        <f t="shared" ref="T1362:T1368" si="271">L1362-S1362</f>
        <v>0</v>
      </c>
      <c r="U1362" s="10"/>
      <c r="V1362" s="10"/>
      <c r="W1362" s="10"/>
      <c r="X1362" s="10"/>
      <c r="Y1362" s="10"/>
      <c r="Z1362" s="10"/>
      <c r="AA1362" s="10"/>
      <c r="AB1362" s="10"/>
      <c r="AC1362" s="10"/>
      <c r="AD1362" s="10"/>
      <c r="AE1362" s="10"/>
    </row>
    <row r="1363" spans="1:31" ht="14.25" hidden="1" customHeight="1">
      <c r="A1363" s="277" t="s">
        <v>5696</v>
      </c>
      <c r="B1363" s="9" t="s">
        <v>21</v>
      </c>
      <c r="C1363" s="9">
        <v>2025</v>
      </c>
      <c r="D1363" s="9" t="s">
        <v>27</v>
      </c>
      <c r="E1363" s="90" t="s">
        <v>23</v>
      </c>
      <c r="F1363" s="9" t="s">
        <v>7</v>
      </c>
      <c r="G1363" s="10"/>
      <c r="H1363" s="96">
        <v>250634</v>
      </c>
      <c r="I1363" s="109" t="s">
        <v>691</v>
      </c>
      <c r="J1363" s="115">
        <v>45836</v>
      </c>
      <c r="K1363" s="115">
        <v>45846</v>
      </c>
      <c r="L1363" s="116">
        <v>3020643</v>
      </c>
      <c r="M1363" s="117" t="s">
        <v>727</v>
      </c>
      <c r="N1363" s="34" t="s">
        <v>29</v>
      </c>
      <c r="O1363" s="10"/>
      <c r="P1363" s="113">
        <v>45960</v>
      </c>
      <c r="Q1363" s="113">
        <v>45960</v>
      </c>
      <c r="R1363" s="113">
        <v>45960</v>
      </c>
      <c r="S1363" s="37">
        <f t="shared" si="270"/>
        <v>3020643</v>
      </c>
      <c r="T1363" s="37">
        <f t="shared" si="271"/>
        <v>0</v>
      </c>
      <c r="U1363" s="10"/>
      <c r="V1363" s="10"/>
      <c r="W1363" s="10"/>
      <c r="X1363" s="10"/>
      <c r="Y1363" s="10"/>
      <c r="Z1363" s="10"/>
      <c r="AA1363" s="10"/>
      <c r="AB1363" s="10"/>
      <c r="AC1363" s="10"/>
      <c r="AD1363" s="10"/>
      <c r="AE1363" s="10"/>
    </row>
    <row r="1364" spans="1:31" ht="14.25" hidden="1" customHeight="1">
      <c r="A1364" s="277" t="s">
        <v>5697</v>
      </c>
      <c r="B1364" s="9" t="s">
        <v>21</v>
      </c>
      <c r="C1364" s="9">
        <v>2025</v>
      </c>
      <c r="D1364" s="9" t="s">
        <v>27</v>
      </c>
      <c r="E1364" s="90" t="s">
        <v>23</v>
      </c>
      <c r="F1364" s="9" t="s">
        <v>7</v>
      </c>
      <c r="G1364" s="10"/>
      <c r="H1364" s="96">
        <v>250857</v>
      </c>
      <c r="I1364" s="109" t="s">
        <v>691</v>
      </c>
      <c r="J1364" s="115">
        <v>45895</v>
      </c>
      <c r="K1364" s="115">
        <v>45902</v>
      </c>
      <c r="L1364" s="116">
        <v>11251803</v>
      </c>
      <c r="M1364" s="117" t="s">
        <v>728</v>
      </c>
      <c r="N1364" s="34" t="s">
        <v>29</v>
      </c>
      <c r="O1364" s="10"/>
      <c r="P1364" s="113">
        <v>45960</v>
      </c>
      <c r="Q1364" s="113">
        <v>45960</v>
      </c>
      <c r="R1364" s="113">
        <v>45960</v>
      </c>
      <c r="S1364" s="37">
        <f t="shared" si="270"/>
        <v>11251803</v>
      </c>
      <c r="T1364" s="37">
        <f t="shared" si="271"/>
        <v>0</v>
      </c>
      <c r="U1364" s="10"/>
      <c r="V1364" s="10"/>
      <c r="W1364" s="10"/>
      <c r="X1364" s="10"/>
      <c r="Y1364" s="10"/>
      <c r="Z1364" s="10"/>
      <c r="AA1364" s="10"/>
      <c r="AB1364" s="10"/>
      <c r="AC1364" s="10"/>
      <c r="AD1364" s="10"/>
      <c r="AE1364" s="10"/>
    </row>
    <row r="1365" spans="1:31" ht="14.25" hidden="1" customHeight="1">
      <c r="A1365" s="277" t="s">
        <v>5698</v>
      </c>
      <c r="B1365" s="9" t="s">
        <v>21</v>
      </c>
      <c r="C1365" s="9">
        <v>2025</v>
      </c>
      <c r="D1365" s="9" t="s">
        <v>27</v>
      </c>
      <c r="E1365" s="90" t="s">
        <v>23</v>
      </c>
      <c r="F1365" s="9" t="s">
        <v>7</v>
      </c>
      <c r="G1365" s="10"/>
      <c r="H1365" s="96">
        <v>250853</v>
      </c>
      <c r="I1365" s="109" t="s">
        <v>691</v>
      </c>
      <c r="J1365" s="115">
        <v>45895</v>
      </c>
      <c r="K1365" s="115">
        <v>45904</v>
      </c>
      <c r="L1365" s="116">
        <v>3821175</v>
      </c>
      <c r="M1365" s="117" t="s">
        <v>3859</v>
      </c>
      <c r="N1365" s="34" t="s">
        <v>29</v>
      </c>
      <c r="O1365" s="10"/>
      <c r="P1365" s="113">
        <v>45960</v>
      </c>
      <c r="Q1365" s="113">
        <v>45960</v>
      </c>
      <c r="R1365" s="113">
        <v>45960</v>
      </c>
      <c r="S1365" s="37">
        <f t="shared" si="270"/>
        <v>3821175</v>
      </c>
      <c r="T1365" s="37">
        <f t="shared" si="271"/>
        <v>0</v>
      </c>
      <c r="U1365" s="10"/>
      <c r="V1365" s="10"/>
      <c r="W1365" s="10"/>
      <c r="X1365" s="10"/>
      <c r="Y1365" s="10"/>
      <c r="Z1365" s="10"/>
      <c r="AA1365" s="10"/>
      <c r="AB1365" s="10"/>
      <c r="AC1365" s="10"/>
      <c r="AD1365" s="10"/>
      <c r="AE1365" s="10"/>
    </row>
    <row r="1366" spans="1:31" ht="14.25" hidden="1" customHeight="1">
      <c r="A1366" s="277" t="s">
        <v>5699</v>
      </c>
      <c r="B1366" s="9" t="s">
        <v>21</v>
      </c>
      <c r="C1366" s="9">
        <v>2025</v>
      </c>
      <c r="D1366" s="9" t="s">
        <v>27</v>
      </c>
      <c r="E1366" s="90" t="s">
        <v>23</v>
      </c>
      <c r="F1366" s="9" t="s">
        <v>7</v>
      </c>
      <c r="G1366" s="10"/>
      <c r="H1366" s="96">
        <v>250982</v>
      </c>
      <c r="I1366" s="109" t="s">
        <v>691</v>
      </c>
      <c r="J1366" s="115">
        <v>45930</v>
      </c>
      <c r="K1366" s="115">
        <v>45951</v>
      </c>
      <c r="L1366" s="116">
        <f>22615928-1993948-2949825</f>
        <v>17672155</v>
      </c>
      <c r="M1366" s="117" t="s">
        <v>3863</v>
      </c>
      <c r="N1366" s="34" t="s">
        <v>29</v>
      </c>
      <c r="O1366" s="27">
        <f>SUM(L1366:L1371)</f>
        <v>53230275</v>
      </c>
      <c r="P1366" s="113">
        <v>46024</v>
      </c>
      <c r="Q1366" s="113">
        <v>46024</v>
      </c>
      <c r="R1366" s="113">
        <v>46024</v>
      </c>
      <c r="S1366" s="37">
        <f t="shared" si="270"/>
        <v>17672155</v>
      </c>
      <c r="T1366" s="37">
        <f t="shared" si="271"/>
        <v>0</v>
      </c>
      <c r="U1366" s="10"/>
      <c r="V1366" s="10"/>
      <c r="W1366" s="10"/>
      <c r="X1366" s="10"/>
      <c r="Y1366" s="10"/>
      <c r="Z1366" s="10"/>
      <c r="AA1366" s="10"/>
      <c r="AB1366" s="10"/>
      <c r="AC1366" s="10"/>
      <c r="AD1366" s="10"/>
      <c r="AE1366" s="10"/>
    </row>
    <row r="1367" spans="1:31" ht="14.25" hidden="1" customHeight="1">
      <c r="A1367" s="277" t="s">
        <v>5700</v>
      </c>
      <c r="B1367" s="9" t="s">
        <v>21</v>
      </c>
      <c r="C1367" s="9">
        <v>2025</v>
      </c>
      <c r="D1367" s="9" t="s">
        <v>27</v>
      </c>
      <c r="E1367" s="90" t="s">
        <v>23</v>
      </c>
      <c r="F1367" s="9" t="s">
        <v>7</v>
      </c>
      <c r="G1367" s="10"/>
      <c r="H1367" s="96">
        <v>250144</v>
      </c>
      <c r="I1367" s="109" t="s">
        <v>691</v>
      </c>
      <c r="J1367" s="115">
        <v>45694</v>
      </c>
      <c r="K1367" s="115">
        <v>45961</v>
      </c>
      <c r="L1367" s="116">
        <v>363802</v>
      </c>
      <c r="M1367" s="117" t="s">
        <v>3909</v>
      </c>
      <c r="N1367" s="34" t="s">
        <v>29</v>
      </c>
      <c r="O1367" s="10"/>
      <c r="P1367" s="113">
        <v>46024</v>
      </c>
      <c r="Q1367" s="113">
        <v>46024</v>
      </c>
      <c r="R1367" s="113">
        <v>46024</v>
      </c>
      <c r="S1367" s="37">
        <f t="shared" si="270"/>
        <v>363802</v>
      </c>
      <c r="T1367" s="37">
        <f t="shared" si="271"/>
        <v>0</v>
      </c>
      <c r="U1367" s="10"/>
      <c r="V1367" s="10"/>
      <c r="W1367" s="10"/>
      <c r="X1367" s="10"/>
      <c r="Y1367" s="10"/>
      <c r="Z1367" s="10"/>
      <c r="AA1367" s="10"/>
      <c r="AB1367" s="10"/>
      <c r="AC1367" s="10"/>
      <c r="AD1367" s="10"/>
      <c r="AE1367" s="10"/>
    </row>
    <row r="1368" spans="1:31" ht="14.25" hidden="1" customHeight="1">
      <c r="A1368" s="277" t="s">
        <v>5701</v>
      </c>
      <c r="B1368" s="9" t="s">
        <v>21</v>
      </c>
      <c r="C1368" s="9">
        <v>2025</v>
      </c>
      <c r="D1368" s="9" t="s">
        <v>27</v>
      </c>
      <c r="E1368" s="90" t="s">
        <v>23</v>
      </c>
      <c r="F1368" s="9" t="s">
        <v>7</v>
      </c>
      <c r="G1368" s="10"/>
      <c r="H1368" s="96">
        <v>251102</v>
      </c>
      <c r="I1368" s="109" t="s">
        <v>691</v>
      </c>
      <c r="J1368" s="115">
        <v>45952</v>
      </c>
      <c r="K1368" s="115">
        <v>45965</v>
      </c>
      <c r="L1368" s="116">
        <v>2507351</v>
      </c>
      <c r="M1368" s="117" t="s">
        <v>3937</v>
      </c>
      <c r="N1368" s="34" t="s">
        <v>29</v>
      </c>
      <c r="O1368" s="10"/>
      <c r="P1368" s="113">
        <v>46024</v>
      </c>
      <c r="Q1368" s="113">
        <v>46024</v>
      </c>
      <c r="R1368" s="113">
        <v>46024</v>
      </c>
      <c r="S1368" s="37">
        <f t="shared" si="270"/>
        <v>2507351</v>
      </c>
      <c r="T1368" s="37">
        <f t="shared" si="271"/>
        <v>0</v>
      </c>
      <c r="U1368" s="10"/>
      <c r="V1368" s="10"/>
      <c r="W1368" s="10"/>
      <c r="X1368" s="10"/>
      <c r="Y1368" s="10"/>
      <c r="Z1368" s="10"/>
      <c r="AA1368" s="10"/>
      <c r="AB1368" s="10"/>
      <c r="AC1368" s="10"/>
      <c r="AD1368" s="10"/>
      <c r="AE1368" s="10"/>
    </row>
    <row r="1369" spans="1:31" ht="14.25" hidden="1" customHeight="1">
      <c r="A1369" s="277" t="s">
        <v>5702</v>
      </c>
      <c r="B1369" s="9" t="s">
        <v>21</v>
      </c>
      <c r="C1369" s="9">
        <v>2025</v>
      </c>
      <c r="D1369" s="9" t="s">
        <v>27</v>
      </c>
      <c r="E1369" s="90" t="s">
        <v>23</v>
      </c>
      <c r="F1369" s="9" t="s">
        <v>7</v>
      </c>
      <c r="G1369" s="10"/>
      <c r="H1369" s="96">
        <v>251138</v>
      </c>
      <c r="I1369" s="109" t="s">
        <v>691</v>
      </c>
      <c r="J1369" s="115">
        <v>45961</v>
      </c>
      <c r="K1369" s="115">
        <v>45974</v>
      </c>
      <c r="L1369" s="116">
        <v>3806543</v>
      </c>
      <c r="M1369" s="117" t="s">
        <v>3990</v>
      </c>
      <c r="N1369" s="34" t="s">
        <v>29</v>
      </c>
      <c r="O1369" s="10"/>
      <c r="P1369" s="113">
        <v>46024</v>
      </c>
      <c r="Q1369" s="113">
        <v>46024</v>
      </c>
      <c r="R1369" s="113">
        <v>46024</v>
      </c>
      <c r="S1369" s="37">
        <f t="shared" ref="S1369:S1383" si="272">IF(R1369="",0,L1369)</f>
        <v>3806543</v>
      </c>
      <c r="T1369" s="37">
        <f t="shared" ref="T1369:T1383" si="273">L1369-S1369</f>
        <v>0</v>
      </c>
      <c r="U1369" s="10"/>
      <c r="V1369" s="10"/>
      <c r="W1369" s="10"/>
      <c r="X1369" s="10"/>
      <c r="Y1369" s="10"/>
      <c r="Z1369" s="10"/>
      <c r="AA1369" s="10"/>
      <c r="AB1369" s="10"/>
      <c r="AC1369" s="10"/>
      <c r="AD1369" s="10"/>
      <c r="AE1369" s="10"/>
    </row>
    <row r="1370" spans="1:31" hidden="1">
      <c r="A1370" s="277" t="s">
        <v>5703</v>
      </c>
      <c r="B1370" s="9" t="s">
        <v>21</v>
      </c>
      <c r="C1370" s="9">
        <v>2025</v>
      </c>
      <c r="D1370" s="9" t="s">
        <v>27</v>
      </c>
      <c r="E1370" s="90" t="s">
        <v>23</v>
      </c>
      <c r="F1370" s="9" t="s">
        <v>7</v>
      </c>
      <c r="G1370" s="10"/>
      <c r="H1370" s="96">
        <v>251134</v>
      </c>
      <c r="I1370" s="109" t="s">
        <v>691</v>
      </c>
      <c r="J1370" s="115">
        <v>45961</v>
      </c>
      <c r="K1370" s="115">
        <v>45974</v>
      </c>
      <c r="L1370" s="116">
        <v>14159160</v>
      </c>
      <c r="M1370" s="117" t="s">
        <v>3991</v>
      </c>
      <c r="N1370" s="34" t="s">
        <v>29</v>
      </c>
      <c r="O1370" s="10"/>
      <c r="P1370" s="113">
        <v>46024</v>
      </c>
      <c r="Q1370" s="113">
        <v>46024</v>
      </c>
      <c r="R1370" s="113">
        <v>46024</v>
      </c>
      <c r="S1370" s="37">
        <f t="shared" si="272"/>
        <v>14159160</v>
      </c>
      <c r="T1370" s="37">
        <f t="shared" si="273"/>
        <v>0</v>
      </c>
      <c r="U1370" s="10"/>
      <c r="V1370" s="10"/>
      <c r="W1370" s="10"/>
      <c r="X1370" s="10"/>
      <c r="Y1370" s="10"/>
      <c r="Z1370" s="10"/>
      <c r="AA1370" s="10"/>
      <c r="AB1370" s="10"/>
      <c r="AC1370" s="10"/>
      <c r="AD1370" s="10"/>
      <c r="AE1370" s="10"/>
    </row>
    <row r="1371" spans="1:31" hidden="1">
      <c r="A1371" s="277" t="s">
        <v>5704</v>
      </c>
      <c r="B1371" s="9" t="s">
        <v>21</v>
      </c>
      <c r="C1371" s="9">
        <v>2025</v>
      </c>
      <c r="D1371" s="9" t="s">
        <v>27</v>
      </c>
      <c r="E1371" s="90" t="s">
        <v>23</v>
      </c>
      <c r="F1371" s="9" t="s">
        <v>7</v>
      </c>
      <c r="G1371" s="10"/>
      <c r="H1371" s="96">
        <v>251139</v>
      </c>
      <c r="I1371" s="109" t="s">
        <v>691</v>
      </c>
      <c r="J1371" s="115">
        <v>45961</v>
      </c>
      <c r="K1371" s="115">
        <v>45974</v>
      </c>
      <c r="L1371" s="116">
        <v>14721264</v>
      </c>
      <c r="M1371" s="117" t="s">
        <v>3992</v>
      </c>
      <c r="N1371" s="34" t="s">
        <v>29</v>
      </c>
      <c r="O1371" s="10"/>
      <c r="P1371" s="113">
        <v>46024</v>
      </c>
      <c r="Q1371" s="113">
        <v>46024</v>
      </c>
      <c r="R1371" s="113">
        <v>46024</v>
      </c>
      <c r="S1371" s="37">
        <f t="shared" si="272"/>
        <v>14721264</v>
      </c>
      <c r="T1371" s="37">
        <f t="shared" si="273"/>
        <v>0</v>
      </c>
      <c r="U1371" s="10"/>
      <c r="V1371" s="10"/>
      <c r="W1371" s="10"/>
      <c r="X1371" s="10"/>
      <c r="Y1371" s="10"/>
      <c r="Z1371" s="10"/>
      <c r="AA1371" s="10"/>
      <c r="AB1371" s="10"/>
      <c r="AC1371" s="10"/>
      <c r="AD1371" s="10"/>
      <c r="AE1371" s="10"/>
    </row>
    <row r="1372" spans="1:31" hidden="1">
      <c r="A1372" s="277" t="s">
        <v>5705</v>
      </c>
      <c r="B1372" s="9" t="s">
        <v>21</v>
      </c>
      <c r="C1372" s="9">
        <v>2025</v>
      </c>
      <c r="D1372" s="9" t="s">
        <v>27</v>
      </c>
      <c r="E1372" s="90" t="s">
        <v>23</v>
      </c>
      <c r="F1372" s="9" t="s">
        <v>7</v>
      </c>
      <c r="G1372" s="10"/>
      <c r="H1372" s="96">
        <v>251137</v>
      </c>
      <c r="I1372" s="109" t="s">
        <v>691</v>
      </c>
      <c r="J1372" s="115">
        <v>45961</v>
      </c>
      <c r="K1372" s="115">
        <v>45974</v>
      </c>
      <c r="L1372" s="116">
        <v>10684305</v>
      </c>
      <c r="M1372" s="117" t="s">
        <v>3993</v>
      </c>
      <c r="N1372" s="34" t="s">
        <v>29</v>
      </c>
      <c r="O1372" s="27">
        <f>SUM(L1372:L1375)</f>
        <v>45546891</v>
      </c>
      <c r="P1372" s="113">
        <v>46119</v>
      </c>
      <c r="Q1372" s="113">
        <v>46119</v>
      </c>
      <c r="R1372" s="113">
        <v>46119</v>
      </c>
      <c r="S1372" s="37">
        <f t="shared" si="272"/>
        <v>10684305</v>
      </c>
      <c r="T1372" s="37">
        <f t="shared" si="273"/>
        <v>0</v>
      </c>
      <c r="U1372" s="10"/>
      <c r="V1372" s="10"/>
      <c r="W1372" s="10"/>
      <c r="X1372" s="10"/>
      <c r="Y1372" s="10"/>
      <c r="Z1372" s="10"/>
      <c r="AA1372" s="10"/>
      <c r="AB1372" s="10"/>
      <c r="AC1372" s="10"/>
      <c r="AD1372" s="10"/>
      <c r="AE1372" s="10"/>
    </row>
    <row r="1373" spans="1:31" hidden="1">
      <c r="A1373" s="277" t="s">
        <v>5706</v>
      </c>
      <c r="B1373" s="9" t="s">
        <v>21</v>
      </c>
      <c r="C1373" s="9">
        <v>2025</v>
      </c>
      <c r="D1373" s="9" t="s">
        <v>27</v>
      </c>
      <c r="E1373" s="90" t="s">
        <v>23</v>
      </c>
      <c r="F1373" s="9" t="s">
        <v>7</v>
      </c>
      <c r="G1373" s="10"/>
      <c r="H1373" s="96">
        <v>251136</v>
      </c>
      <c r="I1373" s="109" t="s">
        <v>691</v>
      </c>
      <c r="J1373" s="115">
        <v>45962</v>
      </c>
      <c r="K1373" s="115">
        <v>45974</v>
      </c>
      <c r="L1373" s="116">
        <v>31147460</v>
      </c>
      <c r="M1373" s="117" t="s">
        <v>3994</v>
      </c>
      <c r="N1373" s="34" t="s">
        <v>29</v>
      </c>
      <c r="O1373" s="10"/>
      <c r="P1373" s="113">
        <v>46119</v>
      </c>
      <c r="Q1373" s="113">
        <v>46119</v>
      </c>
      <c r="R1373" s="113">
        <v>46119</v>
      </c>
      <c r="S1373" s="37">
        <f t="shared" si="272"/>
        <v>31147460</v>
      </c>
      <c r="T1373" s="37">
        <f t="shared" si="273"/>
        <v>0</v>
      </c>
      <c r="U1373" s="10"/>
      <c r="V1373" s="10"/>
      <c r="W1373" s="10"/>
      <c r="X1373" s="10"/>
      <c r="Y1373" s="10"/>
      <c r="Z1373" s="10"/>
      <c r="AA1373" s="10"/>
      <c r="AB1373" s="10"/>
      <c r="AC1373" s="10"/>
      <c r="AD1373" s="10"/>
      <c r="AE1373" s="10"/>
    </row>
    <row r="1374" spans="1:31" hidden="1">
      <c r="A1374" s="277" t="s">
        <v>5707</v>
      </c>
      <c r="B1374" s="9" t="s">
        <v>21</v>
      </c>
      <c r="C1374" s="9">
        <v>2025</v>
      </c>
      <c r="D1374" s="9" t="s">
        <v>27</v>
      </c>
      <c r="E1374" s="90" t="s">
        <v>23</v>
      </c>
      <c r="F1374" s="9" t="s">
        <v>7</v>
      </c>
      <c r="G1374" s="10"/>
      <c r="H1374" s="96">
        <v>251140</v>
      </c>
      <c r="I1374" s="109" t="s">
        <v>691</v>
      </c>
      <c r="J1374" s="115">
        <v>45964</v>
      </c>
      <c r="K1374" s="115">
        <v>45974</v>
      </c>
      <c r="L1374" s="116">
        <v>2054943</v>
      </c>
      <c r="M1374" s="117" t="s">
        <v>3995</v>
      </c>
      <c r="N1374" s="34" t="s">
        <v>29</v>
      </c>
      <c r="O1374" s="10"/>
      <c r="P1374" s="113">
        <v>46119</v>
      </c>
      <c r="Q1374" s="113">
        <v>46119</v>
      </c>
      <c r="R1374" s="113">
        <v>46119</v>
      </c>
      <c r="S1374" s="37">
        <f t="shared" si="272"/>
        <v>2054943</v>
      </c>
      <c r="T1374" s="37">
        <f t="shared" si="273"/>
        <v>0</v>
      </c>
      <c r="U1374" s="10"/>
      <c r="V1374" s="10"/>
      <c r="W1374" s="10"/>
      <c r="X1374" s="10"/>
      <c r="Y1374" s="10"/>
      <c r="Z1374" s="10"/>
      <c r="AA1374" s="10"/>
      <c r="AB1374" s="10"/>
      <c r="AC1374" s="10"/>
      <c r="AD1374" s="10"/>
      <c r="AE1374" s="10"/>
    </row>
    <row r="1375" spans="1:31" ht="14.25" hidden="1" customHeight="1">
      <c r="A1375" s="277" t="s">
        <v>5708</v>
      </c>
      <c r="B1375" s="9" t="s">
        <v>21</v>
      </c>
      <c r="C1375" s="9">
        <v>2025</v>
      </c>
      <c r="D1375" s="9" t="s">
        <v>27</v>
      </c>
      <c r="E1375" s="90" t="s">
        <v>23</v>
      </c>
      <c r="F1375" s="9" t="s">
        <v>7</v>
      </c>
      <c r="G1375" s="10"/>
      <c r="H1375" s="96">
        <v>251135</v>
      </c>
      <c r="I1375" s="109" t="s">
        <v>691</v>
      </c>
      <c r="J1375" s="115">
        <v>45964</v>
      </c>
      <c r="K1375" s="115">
        <v>45974</v>
      </c>
      <c r="L1375" s="116">
        <v>1660183</v>
      </c>
      <c r="M1375" s="117" t="s">
        <v>3996</v>
      </c>
      <c r="N1375" s="34" t="s">
        <v>29</v>
      </c>
      <c r="O1375" s="10"/>
      <c r="P1375" s="113">
        <v>46119</v>
      </c>
      <c r="Q1375" s="113">
        <v>46119</v>
      </c>
      <c r="R1375" s="113">
        <v>46119</v>
      </c>
      <c r="S1375" s="37">
        <f t="shared" si="272"/>
        <v>1660183</v>
      </c>
      <c r="T1375" s="37">
        <f t="shared" si="273"/>
        <v>0</v>
      </c>
      <c r="U1375" s="10"/>
      <c r="V1375" s="10"/>
      <c r="W1375" s="10"/>
      <c r="X1375" s="10"/>
      <c r="Y1375" s="10"/>
      <c r="Z1375" s="10"/>
      <c r="AA1375" s="10"/>
      <c r="AB1375" s="10"/>
      <c r="AC1375" s="10"/>
      <c r="AD1375" s="10"/>
      <c r="AE1375" s="10"/>
    </row>
    <row r="1376" spans="1:31" ht="14.25" hidden="1" customHeight="1">
      <c r="A1376" s="277" t="s">
        <v>5709</v>
      </c>
      <c r="B1376" s="9" t="s">
        <v>21</v>
      </c>
      <c r="C1376" s="9">
        <v>2025</v>
      </c>
      <c r="D1376" s="9" t="s">
        <v>27</v>
      </c>
      <c r="E1376" s="90" t="s">
        <v>23</v>
      </c>
      <c r="F1376" s="9" t="s">
        <v>7</v>
      </c>
      <c r="G1376" s="10"/>
      <c r="H1376" s="96">
        <v>260002</v>
      </c>
      <c r="I1376" s="109" t="s">
        <v>691</v>
      </c>
      <c r="J1376" s="115">
        <v>46028</v>
      </c>
      <c r="K1376" s="115">
        <v>46037</v>
      </c>
      <c r="L1376" s="116">
        <v>6368625</v>
      </c>
      <c r="M1376" s="117" t="s">
        <v>4233</v>
      </c>
      <c r="N1376" s="34" t="s">
        <v>29</v>
      </c>
      <c r="O1376" s="27">
        <f>SUM(L1376:L1379)</f>
        <v>16512693</v>
      </c>
      <c r="P1376" s="113">
        <v>46133</v>
      </c>
      <c r="Q1376" s="113">
        <v>46133</v>
      </c>
      <c r="R1376" s="113">
        <v>46133</v>
      </c>
      <c r="S1376" s="37">
        <f t="shared" si="272"/>
        <v>6368625</v>
      </c>
      <c r="T1376" s="37">
        <f t="shared" si="273"/>
        <v>0</v>
      </c>
      <c r="U1376" s="10"/>
      <c r="V1376" s="10"/>
      <c r="W1376" s="10"/>
      <c r="X1376" s="10"/>
      <c r="Y1376" s="10"/>
      <c r="Z1376" s="10"/>
      <c r="AA1376" s="10"/>
      <c r="AB1376" s="10"/>
      <c r="AC1376" s="10"/>
      <c r="AD1376" s="10"/>
      <c r="AE1376" s="10"/>
    </row>
    <row r="1377" spans="1:31" ht="14.25" hidden="1" customHeight="1">
      <c r="A1377" s="277" t="s">
        <v>5710</v>
      </c>
      <c r="B1377" s="9" t="s">
        <v>21</v>
      </c>
      <c r="C1377" s="9">
        <v>2025</v>
      </c>
      <c r="D1377" s="9" t="s">
        <v>27</v>
      </c>
      <c r="E1377" s="90" t="s">
        <v>23</v>
      </c>
      <c r="F1377" s="9" t="s">
        <v>7</v>
      </c>
      <c r="G1377" s="10"/>
      <c r="H1377" s="96">
        <v>260004</v>
      </c>
      <c r="I1377" s="109" t="s">
        <v>691</v>
      </c>
      <c r="J1377" s="115">
        <v>46028</v>
      </c>
      <c r="K1377" s="115">
        <v>46037</v>
      </c>
      <c r="L1377" s="116">
        <v>9353082</v>
      </c>
      <c r="M1377" s="117" t="s">
        <v>4234</v>
      </c>
      <c r="N1377" s="34" t="s">
        <v>29</v>
      </c>
      <c r="O1377" s="10"/>
      <c r="P1377" s="113">
        <v>46133</v>
      </c>
      <c r="Q1377" s="113">
        <v>46133</v>
      </c>
      <c r="R1377" s="113">
        <v>46133</v>
      </c>
      <c r="S1377" s="37">
        <f t="shared" si="272"/>
        <v>9353082</v>
      </c>
      <c r="T1377" s="37">
        <f t="shared" si="273"/>
        <v>0</v>
      </c>
      <c r="U1377" s="10"/>
      <c r="V1377" s="10"/>
      <c r="W1377" s="10"/>
      <c r="X1377" s="10"/>
      <c r="Y1377" s="10"/>
      <c r="Z1377" s="10"/>
      <c r="AA1377" s="10"/>
      <c r="AB1377" s="10"/>
      <c r="AC1377" s="10"/>
      <c r="AD1377" s="10"/>
      <c r="AE1377" s="10"/>
    </row>
    <row r="1378" spans="1:31" ht="14.25" hidden="1" customHeight="1">
      <c r="A1378" s="277" t="s">
        <v>5711</v>
      </c>
      <c r="B1378" s="9" t="s">
        <v>21</v>
      </c>
      <c r="C1378" s="9">
        <v>2026</v>
      </c>
      <c r="D1378" s="9" t="s">
        <v>27</v>
      </c>
      <c r="E1378" s="90" t="s">
        <v>23</v>
      </c>
      <c r="F1378" s="9" t="s">
        <v>7</v>
      </c>
      <c r="G1378" s="10"/>
      <c r="H1378" s="96">
        <v>260011</v>
      </c>
      <c r="I1378" s="109" t="s">
        <v>691</v>
      </c>
      <c r="J1378" s="115">
        <v>46030</v>
      </c>
      <c r="K1378" s="115">
        <v>46044</v>
      </c>
      <c r="L1378" s="116">
        <v>527250</v>
      </c>
      <c r="M1378" s="117" t="s">
        <v>4269</v>
      </c>
      <c r="N1378" s="34" t="s">
        <v>29</v>
      </c>
      <c r="O1378" s="10"/>
      <c r="P1378" s="113">
        <v>46133</v>
      </c>
      <c r="Q1378" s="113">
        <v>46133</v>
      </c>
      <c r="R1378" s="113">
        <v>46133</v>
      </c>
      <c r="S1378" s="37">
        <f t="shared" si="272"/>
        <v>527250</v>
      </c>
      <c r="T1378" s="37">
        <f t="shared" si="273"/>
        <v>0</v>
      </c>
      <c r="U1378" s="10"/>
      <c r="V1378" s="10"/>
      <c r="W1378" s="10"/>
      <c r="X1378" s="10"/>
      <c r="Y1378" s="10"/>
      <c r="Z1378" s="10"/>
      <c r="AA1378" s="10"/>
      <c r="AB1378" s="10"/>
      <c r="AC1378" s="10"/>
      <c r="AD1378" s="10"/>
      <c r="AE1378" s="10"/>
    </row>
    <row r="1379" spans="1:31" ht="14.25" hidden="1" customHeight="1">
      <c r="A1379" s="277" t="s">
        <v>5712</v>
      </c>
      <c r="B1379" s="9" t="s">
        <v>21</v>
      </c>
      <c r="C1379" s="9">
        <v>2026</v>
      </c>
      <c r="D1379" s="9" t="s">
        <v>27</v>
      </c>
      <c r="E1379" s="90" t="s">
        <v>23</v>
      </c>
      <c r="F1379" s="9" t="s">
        <v>7</v>
      </c>
      <c r="G1379" s="10"/>
      <c r="H1379" s="96">
        <v>260022</v>
      </c>
      <c r="I1379" s="109" t="s">
        <v>691</v>
      </c>
      <c r="J1379" s="115">
        <v>46039</v>
      </c>
      <c r="K1379" s="115">
        <v>46049</v>
      </c>
      <c r="L1379" s="116">
        <v>263736</v>
      </c>
      <c r="M1379" s="117" t="s">
        <v>4281</v>
      </c>
      <c r="N1379" s="34" t="s">
        <v>29</v>
      </c>
      <c r="O1379" s="10"/>
      <c r="P1379" s="113">
        <v>46133</v>
      </c>
      <c r="Q1379" s="113">
        <v>46133</v>
      </c>
      <c r="R1379" s="113">
        <v>46133</v>
      </c>
      <c r="S1379" s="37">
        <f t="shared" si="272"/>
        <v>263736</v>
      </c>
      <c r="T1379" s="37">
        <f t="shared" si="273"/>
        <v>0</v>
      </c>
      <c r="U1379" s="10"/>
      <c r="V1379" s="10"/>
      <c r="W1379" s="10"/>
      <c r="X1379" s="10"/>
      <c r="Y1379" s="10"/>
      <c r="Z1379" s="10"/>
      <c r="AA1379" s="10"/>
      <c r="AB1379" s="10"/>
      <c r="AC1379" s="10"/>
      <c r="AD1379" s="10"/>
      <c r="AE1379" s="10"/>
    </row>
    <row r="1380" spans="1:31" ht="14.25" hidden="1" customHeight="1">
      <c r="A1380" s="277" t="s">
        <v>5713</v>
      </c>
      <c r="B1380" s="9" t="s">
        <v>21</v>
      </c>
      <c r="C1380" s="9">
        <v>2026</v>
      </c>
      <c r="D1380" s="9" t="s">
        <v>27</v>
      </c>
      <c r="E1380" s="90" t="s">
        <v>23</v>
      </c>
      <c r="F1380" s="9" t="s">
        <v>7</v>
      </c>
      <c r="G1380" s="10"/>
      <c r="H1380" s="96">
        <v>260051</v>
      </c>
      <c r="I1380" s="109" t="s">
        <v>691</v>
      </c>
      <c r="J1380" s="115">
        <v>46051</v>
      </c>
      <c r="K1380" s="115">
        <v>46063</v>
      </c>
      <c r="L1380" s="116">
        <v>2415804</v>
      </c>
      <c r="M1380" s="117" t="s">
        <v>4326</v>
      </c>
      <c r="N1380" s="34" t="s">
        <v>29</v>
      </c>
      <c r="O1380" s="27">
        <f>SUM(L1380:L1383)</f>
        <v>27080337</v>
      </c>
      <c r="P1380" s="113">
        <v>46177</v>
      </c>
      <c r="Q1380" s="113">
        <v>46177</v>
      </c>
      <c r="R1380" s="113">
        <v>46177</v>
      </c>
      <c r="S1380" s="37">
        <f t="shared" si="272"/>
        <v>2415804</v>
      </c>
      <c r="T1380" s="37">
        <f t="shared" si="273"/>
        <v>0</v>
      </c>
      <c r="U1380" s="10"/>
      <c r="V1380" s="10"/>
      <c r="W1380" s="10"/>
      <c r="X1380" s="10"/>
      <c r="Y1380" s="10"/>
      <c r="Z1380" s="10"/>
      <c r="AA1380" s="10"/>
      <c r="AB1380" s="10"/>
      <c r="AC1380" s="10"/>
      <c r="AD1380" s="10"/>
      <c r="AE1380" s="10"/>
    </row>
    <row r="1381" spans="1:31" ht="14.25" hidden="1" customHeight="1">
      <c r="A1381" s="277" t="s">
        <v>5714</v>
      </c>
      <c r="B1381" s="9" t="s">
        <v>21</v>
      </c>
      <c r="C1381" s="9">
        <v>2026</v>
      </c>
      <c r="D1381" s="9" t="s">
        <v>27</v>
      </c>
      <c r="E1381" s="90" t="s">
        <v>23</v>
      </c>
      <c r="F1381" s="9" t="s">
        <v>7</v>
      </c>
      <c r="G1381" s="10"/>
      <c r="H1381" s="96">
        <v>260052</v>
      </c>
      <c r="I1381" s="109" t="s">
        <v>691</v>
      </c>
      <c r="J1381" s="115">
        <v>46051</v>
      </c>
      <c r="K1381" s="115">
        <v>46063</v>
      </c>
      <c r="L1381" s="116">
        <v>18669978</v>
      </c>
      <c r="M1381" s="117" t="s">
        <v>4327</v>
      </c>
      <c r="N1381" s="34" t="s">
        <v>29</v>
      </c>
      <c r="O1381" s="10"/>
      <c r="P1381" s="113">
        <v>46177</v>
      </c>
      <c r="Q1381" s="113">
        <v>46177</v>
      </c>
      <c r="R1381" s="113">
        <v>46177</v>
      </c>
      <c r="S1381" s="37">
        <f t="shared" si="272"/>
        <v>18669978</v>
      </c>
      <c r="T1381" s="37">
        <f t="shared" si="273"/>
        <v>0</v>
      </c>
      <c r="U1381" s="10"/>
      <c r="V1381" s="10"/>
      <c r="W1381" s="10"/>
      <c r="X1381" s="10"/>
      <c r="Y1381" s="10"/>
      <c r="Z1381" s="10"/>
      <c r="AA1381" s="10"/>
      <c r="AB1381" s="10"/>
      <c r="AC1381" s="10"/>
      <c r="AD1381" s="10"/>
      <c r="AE1381" s="10"/>
    </row>
    <row r="1382" spans="1:31" ht="14.25" hidden="1" customHeight="1">
      <c r="A1382" s="277" t="s">
        <v>7604</v>
      </c>
      <c r="B1382" s="9" t="s">
        <v>21</v>
      </c>
      <c r="C1382" s="9">
        <v>2026</v>
      </c>
      <c r="D1382" s="9" t="s">
        <v>27</v>
      </c>
      <c r="E1382" s="90" t="s">
        <v>23</v>
      </c>
      <c r="F1382" s="9" t="s">
        <v>7</v>
      </c>
      <c r="G1382" s="10"/>
      <c r="H1382" s="96">
        <v>260053</v>
      </c>
      <c r="I1382" s="109" t="s">
        <v>691</v>
      </c>
      <c r="J1382" s="115">
        <v>46051</v>
      </c>
      <c r="K1382" s="115">
        <v>46063</v>
      </c>
      <c r="L1382" s="116">
        <v>3821175</v>
      </c>
      <c r="M1382" s="117" t="s">
        <v>4328</v>
      </c>
      <c r="N1382" s="34" t="s">
        <v>29</v>
      </c>
      <c r="O1382" s="10"/>
      <c r="P1382" s="113">
        <v>46177</v>
      </c>
      <c r="Q1382" s="113">
        <v>46177</v>
      </c>
      <c r="R1382" s="113">
        <v>46177</v>
      </c>
      <c r="S1382" s="37">
        <f t="shared" si="272"/>
        <v>3821175</v>
      </c>
      <c r="T1382" s="37">
        <f t="shared" si="273"/>
        <v>0</v>
      </c>
      <c r="U1382" s="10"/>
      <c r="V1382" s="10"/>
      <c r="W1382" s="10"/>
      <c r="X1382" s="10"/>
      <c r="Y1382" s="10"/>
      <c r="Z1382" s="10"/>
      <c r="AA1382" s="10"/>
      <c r="AB1382" s="10"/>
      <c r="AC1382" s="10"/>
      <c r="AD1382" s="10"/>
      <c r="AE1382" s="10"/>
    </row>
    <row r="1383" spans="1:31" ht="14.25" hidden="1" customHeight="1">
      <c r="A1383" s="277" t="s">
        <v>7605</v>
      </c>
      <c r="B1383" s="9" t="s">
        <v>21</v>
      </c>
      <c r="C1383" s="9">
        <v>2026</v>
      </c>
      <c r="D1383" s="9" t="s">
        <v>27</v>
      </c>
      <c r="E1383" s="90" t="s">
        <v>23</v>
      </c>
      <c r="F1383" s="9" t="s">
        <v>7</v>
      </c>
      <c r="G1383" s="10"/>
      <c r="H1383" s="96">
        <v>260120</v>
      </c>
      <c r="I1383" s="109" t="s">
        <v>691</v>
      </c>
      <c r="J1383" s="115">
        <v>46053</v>
      </c>
      <c r="K1383" s="115">
        <v>46077</v>
      </c>
      <c r="L1383" s="116">
        <v>2173380</v>
      </c>
      <c r="M1383" s="117" t="s">
        <v>4402</v>
      </c>
      <c r="N1383" s="34" t="s">
        <v>29</v>
      </c>
      <c r="O1383" s="10"/>
      <c r="P1383" s="113">
        <v>46177</v>
      </c>
      <c r="Q1383" s="113">
        <v>46177</v>
      </c>
      <c r="R1383" s="113">
        <v>46177</v>
      </c>
      <c r="S1383" s="37">
        <f t="shared" si="272"/>
        <v>2173380</v>
      </c>
      <c r="T1383" s="37">
        <f t="shared" si="273"/>
        <v>0</v>
      </c>
      <c r="U1383" s="10"/>
      <c r="V1383" s="10"/>
      <c r="W1383" s="10"/>
      <c r="X1383" s="10"/>
      <c r="Y1383" s="10"/>
      <c r="Z1383" s="10"/>
      <c r="AA1383" s="10"/>
      <c r="AB1383" s="10"/>
      <c r="AC1383" s="10"/>
      <c r="AD1383" s="10"/>
      <c r="AE1383" s="10"/>
    </row>
    <row r="1384" spans="1:31" ht="14.25" hidden="1" customHeight="1">
      <c r="A1384" s="277" t="s">
        <v>7606</v>
      </c>
      <c r="B1384" s="9" t="s">
        <v>21</v>
      </c>
      <c r="C1384" s="9">
        <v>2026</v>
      </c>
      <c r="D1384" s="9" t="s">
        <v>27</v>
      </c>
      <c r="E1384" s="90" t="s">
        <v>23</v>
      </c>
      <c r="F1384" s="9" t="s">
        <v>7</v>
      </c>
      <c r="G1384" s="10"/>
      <c r="H1384" s="96">
        <v>260205</v>
      </c>
      <c r="I1384" s="109" t="s">
        <v>691</v>
      </c>
      <c r="J1384" s="115">
        <v>46120</v>
      </c>
      <c r="K1384" s="115">
        <v>46128</v>
      </c>
      <c r="L1384" s="116">
        <v>15290111</v>
      </c>
      <c r="M1384" s="117" t="s">
        <v>4530</v>
      </c>
      <c r="N1384" s="34" t="s">
        <v>29</v>
      </c>
      <c r="O1384" s="27">
        <f>SUM(L1384:L1386)</f>
        <v>23728009</v>
      </c>
      <c r="P1384" s="113">
        <v>46209</v>
      </c>
      <c r="Q1384" s="113">
        <v>46209</v>
      </c>
      <c r="R1384" s="113">
        <v>46209</v>
      </c>
      <c r="S1384" s="37">
        <f>IF(R1384="",0,L1384)</f>
        <v>15290111</v>
      </c>
      <c r="T1384" s="37">
        <f>L1384-S1384</f>
        <v>0</v>
      </c>
      <c r="U1384" s="10"/>
      <c r="V1384" s="10"/>
      <c r="W1384" s="10"/>
      <c r="X1384" s="10"/>
      <c r="Y1384" s="10"/>
      <c r="Z1384" s="10"/>
      <c r="AA1384" s="10"/>
      <c r="AB1384" s="10"/>
      <c r="AC1384" s="10"/>
      <c r="AD1384" s="10"/>
      <c r="AE1384" s="10"/>
    </row>
    <row r="1385" spans="1:31" ht="14.25" hidden="1" customHeight="1">
      <c r="A1385" s="277" t="s">
        <v>7607</v>
      </c>
      <c r="B1385" s="9" t="s">
        <v>21</v>
      </c>
      <c r="C1385" s="9">
        <v>2026</v>
      </c>
      <c r="D1385" s="9" t="s">
        <v>27</v>
      </c>
      <c r="E1385" s="90" t="s">
        <v>23</v>
      </c>
      <c r="F1385" s="9" t="s">
        <v>7</v>
      </c>
      <c r="G1385" s="10"/>
      <c r="H1385" s="96">
        <v>260206</v>
      </c>
      <c r="I1385" s="109" t="s">
        <v>691</v>
      </c>
      <c r="J1385" s="115">
        <v>46120</v>
      </c>
      <c r="K1385" s="115">
        <v>46128</v>
      </c>
      <c r="L1385" s="116">
        <v>3779550</v>
      </c>
      <c r="M1385" s="117" t="s">
        <v>4531</v>
      </c>
      <c r="N1385" s="34" t="s">
        <v>29</v>
      </c>
      <c r="O1385" s="10"/>
      <c r="P1385" s="113">
        <v>46209</v>
      </c>
      <c r="Q1385" s="113">
        <v>46209</v>
      </c>
      <c r="R1385" s="113">
        <v>46209</v>
      </c>
      <c r="S1385" s="37">
        <f>IF(R1385="",0,L1385)</f>
        <v>3779550</v>
      </c>
      <c r="T1385" s="37">
        <f>L1385-S1385</f>
        <v>0</v>
      </c>
      <c r="U1385" s="10"/>
      <c r="V1385" s="10"/>
      <c r="W1385" s="10"/>
      <c r="X1385" s="10"/>
      <c r="Y1385" s="10"/>
      <c r="Z1385" s="10"/>
      <c r="AA1385" s="10"/>
      <c r="AB1385" s="10"/>
      <c r="AC1385" s="10"/>
      <c r="AD1385" s="10"/>
      <c r="AE1385" s="10"/>
    </row>
    <row r="1386" spans="1:31" ht="14.25" customHeight="1">
      <c r="A1386" s="277" t="s">
        <v>7608</v>
      </c>
      <c r="B1386" s="9" t="s">
        <v>21</v>
      </c>
      <c r="C1386" s="9">
        <v>2026</v>
      </c>
      <c r="D1386" s="9" t="s">
        <v>27</v>
      </c>
      <c r="E1386" s="90" t="s">
        <v>23</v>
      </c>
      <c r="F1386" s="9" t="s">
        <v>7</v>
      </c>
      <c r="G1386" s="10"/>
      <c r="H1386" s="96">
        <v>260232</v>
      </c>
      <c r="I1386" s="109" t="s">
        <v>691</v>
      </c>
      <c r="J1386" s="115">
        <v>46135</v>
      </c>
      <c r="K1386" s="115">
        <v>46140</v>
      </c>
      <c r="L1386" s="116">
        <v>4658348</v>
      </c>
      <c r="M1386" s="117" t="s">
        <v>6979</v>
      </c>
      <c r="N1386" s="34" t="s">
        <v>29</v>
      </c>
      <c r="O1386" s="10"/>
      <c r="P1386" s="113">
        <v>46209</v>
      </c>
      <c r="Q1386" s="113">
        <v>46209</v>
      </c>
      <c r="R1386" s="113">
        <v>46209</v>
      </c>
      <c r="S1386" s="37">
        <f t="shared" ref="S1386:S1391" si="274">IF(R1386="",0,L1386)</f>
        <v>4658348</v>
      </c>
      <c r="T1386" s="37">
        <f t="shared" ref="T1386:T1391" si="275">L1386-S1386</f>
        <v>0</v>
      </c>
      <c r="U1386" s="10"/>
      <c r="V1386" s="10"/>
      <c r="W1386" s="10"/>
      <c r="X1386" s="10"/>
      <c r="Y1386" s="10"/>
      <c r="Z1386" s="10"/>
      <c r="AA1386" s="10"/>
      <c r="AB1386" s="10"/>
      <c r="AC1386" s="10"/>
      <c r="AD1386" s="10"/>
      <c r="AE1386" s="10"/>
    </row>
    <row r="1387" spans="1:31" ht="14.25" customHeight="1">
      <c r="A1387" s="277" t="s">
        <v>7609</v>
      </c>
      <c r="B1387" s="9" t="s">
        <v>21</v>
      </c>
      <c r="C1387" s="9">
        <v>2026</v>
      </c>
      <c r="D1387" s="9" t="s">
        <v>77</v>
      </c>
      <c r="E1387" s="90" t="s">
        <v>23</v>
      </c>
      <c r="F1387" s="9" t="s">
        <v>7</v>
      </c>
      <c r="G1387" s="10"/>
      <c r="H1387" s="9">
        <v>260231</v>
      </c>
      <c r="I1387" s="11" t="s">
        <v>691</v>
      </c>
      <c r="J1387" s="12">
        <v>46135</v>
      </c>
      <c r="K1387" s="12">
        <v>46140</v>
      </c>
      <c r="L1387" s="27">
        <v>3095901</v>
      </c>
      <c r="M1387" s="10" t="s">
        <v>6980</v>
      </c>
      <c r="N1387" s="34">
        <f t="shared" ref="N1387:N1394" ca="1" si="276">$J$3-J1387</f>
        <v>105.46377638888953</v>
      </c>
      <c r="O1387" s="10"/>
      <c r="P1387" s="39"/>
      <c r="Q1387" s="39"/>
      <c r="R1387" s="39"/>
      <c r="S1387" s="37">
        <f t="shared" si="274"/>
        <v>0</v>
      </c>
      <c r="T1387" s="37">
        <f t="shared" si="275"/>
        <v>3095901</v>
      </c>
      <c r="U1387" s="10"/>
      <c r="V1387" s="10"/>
      <c r="W1387" s="10"/>
      <c r="X1387" s="10"/>
      <c r="Y1387" s="10"/>
      <c r="Z1387" s="10"/>
      <c r="AA1387" s="10"/>
      <c r="AB1387" s="10"/>
      <c r="AC1387" s="10"/>
      <c r="AD1387" s="10"/>
      <c r="AE1387" s="10"/>
    </row>
    <row r="1388" spans="1:31" ht="14.25" customHeight="1">
      <c r="A1388" s="277" t="s">
        <v>7610</v>
      </c>
      <c r="B1388" s="9" t="s">
        <v>21</v>
      </c>
      <c r="C1388" s="9">
        <v>2026</v>
      </c>
      <c r="D1388" s="9" t="s">
        <v>77</v>
      </c>
      <c r="E1388" s="90" t="s">
        <v>23</v>
      </c>
      <c r="F1388" s="9" t="s">
        <v>7</v>
      </c>
      <c r="G1388" s="10"/>
      <c r="H1388" s="9">
        <v>260341</v>
      </c>
      <c r="I1388" s="11" t="s">
        <v>691</v>
      </c>
      <c r="J1388" s="12">
        <v>46181</v>
      </c>
      <c r="K1388" s="12">
        <v>46198</v>
      </c>
      <c r="L1388" s="27">
        <v>297202</v>
      </c>
      <c r="M1388" s="10" t="s">
        <v>7172</v>
      </c>
      <c r="N1388" s="34">
        <f t="shared" ca="1" si="276"/>
        <v>59.463776388889528</v>
      </c>
      <c r="O1388" s="10"/>
      <c r="P1388" s="39"/>
      <c r="Q1388" s="39"/>
      <c r="R1388" s="39"/>
      <c r="S1388" s="37">
        <f t="shared" si="274"/>
        <v>0</v>
      </c>
      <c r="T1388" s="37">
        <f t="shared" si="275"/>
        <v>297202</v>
      </c>
      <c r="U1388" s="10"/>
      <c r="V1388" s="10"/>
      <c r="W1388" s="10"/>
      <c r="X1388" s="10"/>
      <c r="Y1388" s="10"/>
      <c r="Z1388" s="10"/>
      <c r="AA1388" s="10"/>
      <c r="AB1388" s="10"/>
      <c r="AC1388" s="10"/>
      <c r="AD1388" s="10"/>
      <c r="AE1388" s="10"/>
    </row>
    <row r="1389" spans="1:31" ht="14.25" customHeight="1">
      <c r="A1389" s="277" t="s">
        <v>7611</v>
      </c>
      <c r="B1389" s="9" t="s">
        <v>21</v>
      </c>
      <c r="C1389" s="9">
        <v>2026</v>
      </c>
      <c r="D1389" s="9" t="s">
        <v>77</v>
      </c>
      <c r="E1389" s="90" t="s">
        <v>23</v>
      </c>
      <c r="F1389" s="9" t="s">
        <v>7</v>
      </c>
      <c r="G1389" s="10"/>
      <c r="H1389" s="9">
        <v>260344</v>
      </c>
      <c r="I1389" s="11" t="s">
        <v>691</v>
      </c>
      <c r="J1389" s="12">
        <v>46182</v>
      </c>
      <c r="K1389" s="12">
        <v>46198</v>
      </c>
      <c r="L1389" s="27">
        <v>3440472</v>
      </c>
      <c r="M1389" s="10" t="s">
        <v>7173</v>
      </c>
      <c r="N1389" s="34">
        <f t="shared" ca="1" si="276"/>
        <v>58.463776388889528</v>
      </c>
      <c r="O1389" s="10"/>
      <c r="P1389" s="39"/>
      <c r="Q1389" s="39"/>
      <c r="R1389" s="39"/>
      <c r="S1389" s="37">
        <f t="shared" si="274"/>
        <v>0</v>
      </c>
      <c r="T1389" s="37">
        <f t="shared" si="275"/>
        <v>3440472</v>
      </c>
      <c r="U1389" s="10"/>
      <c r="V1389" s="10"/>
      <c r="W1389" s="10"/>
      <c r="X1389" s="10"/>
      <c r="Y1389" s="10"/>
      <c r="Z1389" s="10"/>
      <c r="AA1389" s="10"/>
      <c r="AB1389" s="10"/>
      <c r="AC1389" s="10"/>
      <c r="AD1389" s="10"/>
      <c r="AE1389" s="10"/>
    </row>
    <row r="1390" spans="1:31" ht="14.25" customHeight="1">
      <c r="A1390" s="277" t="s">
        <v>7612</v>
      </c>
      <c r="B1390" s="9" t="s">
        <v>21</v>
      </c>
      <c r="C1390" s="9">
        <v>2026</v>
      </c>
      <c r="D1390" s="9" t="s">
        <v>77</v>
      </c>
      <c r="E1390" s="90" t="s">
        <v>23</v>
      </c>
      <c r="F1390" s="9" t="s">
        <v>7</v>
      </c>
      <c r="G1390" s="10"/>
      <c r="H1390" s="9">
        <v>260343</v>
      </c>
      <c r="I1390" s="11" t="s">
        <v>691</v>
      </c>
      <c r="J1390" s="12">
        <v>46182</v>
      </c>
      <c r="K1390" s="12">
        <v>46198</v>
      </c>
      <c r="L1390" s="27">
        <v>4435171</v>
      </c>
      <c r="M1390" s="10" t="s">
        <v>7174</v>
      </c>
      <c r="N1390" s="34">
        <f t="shared" ca="1" si="276"/>
        <v>58.463776388889528</v>
      </c>
      <c r="O1390" s="10"/>
      <c r="P1390" s="39"/>
      <c r="Q1390" s="39"/>
      <c r="R1390" s="39"/>
      <c r="S1390" s="37">
        <f t="shared" si="274"/>
        <v>0</v>
      </c>
      <c r="T1390" s="37">
        <f t="shared" si="275"/>
        <v>4435171</v>
      </c>
      <c r="U1390" s="10"/>
      <c r="V1390" s="10"/>
      <c r="W1390" s="10"/>
      <c r="X1390" s="10"/>
      <c r="Y1390" s="10"/>
      <c r="Z1390" s="10"/>
      <c r="AA1390" s="10"/>
      <c r="AB1390" s="10"/>
      <c r="AC1390" s="10"/>
      <c r="AD1390" s="10"/>
      <c r="AE1390" s="10"/>
    </row>
    <row r="1391" spans="1:31" ht="14.25" customHeight="1">
      <c r="A1391" s="277" t="s">
        <v>7613</v>
      </c>
      <c r="B1391" s="9" t="s">
        <v>21</v>
      </c>
      <c r="C1391" s="9">
        <v>2026</v>
      </c>
      <c r="D1391" s="9" t="s">
        <v>77</v>
      </c>
      <c r="E1391" s="90" t="s">
        <v>23</v>
      </c>
      <c r="F1391" s="9" t="s">
        <v>7</v>
      </c>
      <c r="G1391" s="10"/>
      <c r="H1391" s="9">
        <v>260351</v>
      </c>
      <c r="I1391" s="11" t="s">
        <v>691</v>
      </c>
      <c r="J1391" s="12">
        <v>46184</v>
      </c>
      <c r="K1391" s="12">
        <v>46198</v>
      </c>
      <c r="L1391" s="27">
        <v>3821175</v>
      </c>
      <c r="M1391" s="10" t="s">
        <v>7175</v>
      </c>
      <c r="N1391" s="34">
        <f t="shared" ca="1" si="276"/>
        <v>56.463776388889528</v>
      </c>
      <c r="O1391" s="10"/>
      <c r="P1391" s="39"/>
      <c r="Q1391" s="39"/>
      <c r="R1391" s="39"/>
      <c r="S1391" s="37">
        <f t="shared" si="274"/>
        <v>0</v>
      </c>
      <c r="T1391" s="37">
        <f t="shared" si="275"/>
        <v>3821175</v>
      </c>
      <c r="U1391" s="10"/>
      <c r="V1391" s="10"/>
      <c r="W1391" s="10"/>
      <c r="X1391" s="10"/>
      <c r="Y1391" s="10"/>
      <c r="Z1391" s="10"/>
      <c r="AA1391" s="10"/>
      <c r="AB1391" s="10"/>
      <c r="AC1391" s="10"/>
      <c r="AD1391" s="10"/>
      <c r="AE1391" s="10"/>
    </row>
    <row r="1392" spans="1:31" ht="14.25" customHeight="1">
      <c r="A1392" s="277" t="s">
        <v>7614</v>
      </c>
      <c r="B1392" s="9" t="s">
        <v>21</v>
      </c>
      <c r="C1392" s="9">
        <v>2026</v>
      </c>
      <c r="D1392" s="9" t="s">
        <v>77</v>
      </c>
      <c r="E1392" s="90" t="s">
        <v>23</v>
      </c>
      <c r="F1392" s="9" t="s">
        <v>7</v>
      </c>
      <c r="G1392" s="10"/>
      <c r="H1392" s="9">
        <v>260428</v>
      </c>
      <c r="I1392" s="11" t="s">
        <v>691</v>
      </c>
      <c r="J1392" s="12">
        <v>46205</v>
      </c>
      <c r="K1392" s="12">
        <v>46217</v>
      </c>
      <c r="L1392" s="27">
        <v>1660182</v>
      </c>
      <c r="M1392" s="10" t="s">
        <v>7375</v>
      </c>
      <c r="N1392" s="34">
        <f t="shared" ca="1" si="276"/>
        <v>35.463776388889528</v>
      </c>
      <c r="O1392" s="10"/>
      <c r="P1392" s="39"/>
      <c r="Q1392" s="39"/>
      <c r="R1392" s="39"/>
      <c r="S1392" s="37">
        <f t="shared" ref="S1392:S1395" si="277">IF(R1392="",0,L1392)</f>
        <v>0</v>
      </c>
      <c r="T1392" s="37">
        <f t="shared" ref="T1392:T1395" si="278">L1392-S1392</f>
        <v>1660182</v>
      </c>
      <c r="U1392" s="10"/>
      <c r="V1392" s="10"/>
      <c r="W1392" s="10"/>
      <c r="X1392" s="10"/>
      <c r="Y1392" s="10"/>
      <c r="Z1392" s="10"/>
      <c r="AA1392" s="10"/>
      <c r="AB1392" s="10"/>
      <c r="AC1392" s="10"/>
      <c r="AD1392" s="10"/>
      <c r="AE1392" s="10"/>
    </row>
    <row r="1393" spans="1:31" ht="14.25" customHeight="1">
      <c r="A1393" s="277" t="s">
        <v>7615</v>
      </c>
      <c r="B1393" s="9" t="s">
        <v>21</v>
      </c>
      <c r="C1393" s="9">
        <v>2026</v>
      </c>
      <c r="D1393" s="9" t="s">
        <v>77</v>
      </c>
      <c r="E1393" s="90" t="s">
        <v>23</v>
      </c>
      <c r="F1393" s="9" t="s">
        <v>7</v>
      </c>
      <c r="G1393" s="10"/>
      <c r="H1393" s="9">
        <v>260445</v>
      </c>
      <c r="I1393" s="11" t="s">
        <v>691</v>
      </c>
      <c r="J1393" s="12">
        <v>46210</v>
      </c>
      <c r="K1393" s="12">
        <v>46217</v>
      </c>
      <c r="L1393" s="27">
        <v>5785625</v>
      </c>
      <c r="M1393" s="10" t="s">
        <v>7376</v>
      </c>
      <c r="N1393" s="34">
        <f t="shared" ca="1" si="276"/>
        <v>30.463776388889528</v>
      </c>
      <c r="O1393" s="10"/>
      <c r="P1393" s="39"/>
      <c r="Q1393" s="39"/>
      <c r="R1393" s="39"/>
      <c r="S1393" s="37">
        <f t="shared" si="277"/>
        <v>0</v>
      </c>
      <c r="T1393" s="37">
        <f t="shared" si="278"/>
        <v>5785625</v>
      </c>
      <c r="U1393" s="10"/>
      <c r="V1393" s="10"/>
      <c r="W1393" s="10"/>
      <c r="X1393" s="10"/>
      <c r="Y1393" s="10"/>
      <c r="Z1393" s="10"/>
      <c r="AA1393" s="10"/>
      <c r="AB1393" s="10"/>
      <c r="AC1393" s="10"/>
      <c r="AD1393" s="10"/>
      <c r="AE1393" s="10"/>
    </row>
    <row r="1394" spans="1:31" ht="14.25" customHeight="1">
      <c r="A1394" s="277" t="s">
        <v>7616</v>
      </c>
      <c r="B1394" s="9" t="s">
        <v>21</v>
      </c>
      <c r="C1394" s="9">
        <v>2026</v>
      </c>
      <c r="D1394" s="9" t="s">
        <v>77</v>
      </c>
      <c r="E1394" s="90" t="s">
        <v>23</v>
      </c>
      <c r="F1394" s="9" t="s">
        <v>7</v>
      </c>
      <c r="G1394" s="10"/>
      <c r="H1394" s="9">
        <v>260449</v>
      </c>
      <c r="I1394" s="11" t="s">
        <v>691</v>
      </c>
      <c r="J1394" s="12">
        <v>46210</v>
      </c>
      <c r="K1394" s="12">
        <v>46217</v>
      </c>
      <c r="L1394" s="27">
        <v>173826</v>
      </c>
      <c r="M1394" s="10" t="s">
        <v>7377</v>
      </c>
      <c r="N1394" s="34">
        <f t="shared" ca="1" si="276"/>
        <v>30.463776388889528</v>
      </c>
      <c r="O1394" s="10"/>
      <c r="P1394" s="39"/>
      <c r="Q1394" s="39"/>
      <c r="R1394" s="39"/>
      <c r="S1394" s="37">
        <f t="shared" si="277"/>
        <v>0</v>
      </c>
      <c r="T1394" s="37">
        <f t="shared" si="278"/>
        <v>173826</v>
      </c>
      <c r="U1394" s="10"/>
      <c r="V1394" s="10"/>
      <c r="W1394" s="10"/>
      <c r="X1394" s="10"/>
      <c r="Y1394" s="10"/>
      <c r="Z1394" s="10"/>
      <c r="AA1394" s="10"/>
      <c r="AB1394" s="10"/>
      <c r="AC1394" s="10"/>
      <c r="AD1394" s="10"/>
      <c r="AE1394" s="10"/>
    </row>
    <row r="1395" spans="1:31" ht="14.25" customHeight="1">
      <c r="A1395" s="277" t="s">
        <v>7617</v>
      </c>
      <c r="B1395" s="9" t="s">
        <v>21</v>
      </c>
      <c r="C1395" s="9"/>
      <c r="D1395" s="9"/>
      <c r="E1395" s="90"/>
      <c r="F1395" s="9"/>
      <c r="G1395" s="10"/>
      <c r="H1395" s="9"/>
      <c r="I1395" s="11"/>
      <c r="J1395" s="12"/>
      <c r="K1395" s="12"/>
      <c r="L1395" s="52"/>
      <c r="M1395" s="10"/>
      <c r="N1395" s="114">
        <f t="shared" ref="N1395" ca="1" si="279">$J$3-J1395</f>
        <v>46240.46377638889</v>
      </c>
      <c r="O1395" s="11"/>
      <c r="P1395" s="39"/>
      <c r="Q1395" s="39"/>
      <c r="R1395" s="39"/>
      <c r="S1395" s="37">
        <f t="shared" si="277"/>
        <v>0</v>
      </c>
      <c r="T1395" s="37">
        <f t="shared" si="278"/>
        <v>0</v>
      </c>
      <c r="U1395" s="10"/>
      <c r="V1395" s="10"/>
      <c r="W1395" s="10"/>
      <c r="X1395" s="10"/>
      <c r="Y1395" s="10"/>
      <c r="Z1395" s="10"/>
      <c r="AA1395" s="10"/>
      <c r="AB1395" s="10"/>
      <c r="AC1395" s="10"/>
      <c r="AD1395" s="10"/>
      <c r="AE1395" s="10"/>
    </row>
    <row r="1396" spans="1:31" ht="14.25" customHeight="1">
      <c r="A1396" s="277" t="s">
        <v>7618</v>
      </c>
      <c r="B1396" s="9" t="s">
        <v>21</v>
      </c>
      <c r="C1396" s="9"/>
      <c r="D1396" s="9"/>
      <c r="E1396" s="90"/>
      <c r="F1396" s="9"/>
      <c r="G1396" s="10"/>
      <c r="H1396" s="9"/>
      <c r="I1396" s="11"/>
      <c r="J1396" s="12"/>
      <c r="K1396" s="12"/>
      <c r="L1396" s="52"/>
      <c r="M1396" s="10"/>
      <c r="N1396" s="9"/>
      <c r="O1396" s="11"/>
      <c r="P1396" s="39"/>
      <c r="Q1396" s="39"/>
      <c r="R1396" s="39"/>
      <c r="S1396" s="37"/>
      <c r="T1396" s="37"/>
      <c r="U1396" s="10"/>
      <c r="V1396" s="10"/>
      <c r="W1396" s="10"/>
      <c r="X1396" s="10"/>
      <c r="Y1396" s="10"/>
      <c r="Z1396" s="10"/>
      <c r="AA1396" s="10"/>
      <c r="AB1396" s="10"/>
      <c r="AC1396" s="10"/>
      <c r="AD1396" s="10"/>
      <c r="AE1396" s="10"/>
    </row>
    <row r="1397" spans="1:31" ht="14.25" customHeight="1">
      <c r="A1397" s="277" t="s">
        <v>7619</v>
      </c>
      <c r="B1397" s="9" t="s">
        <v>21</v>
      </c>
      <c r="C1397" s="9"/>
      <c r="D1397" s="9"/>
      <c r="E1397" s="90"/>
      <c r="F1397" s="9"/>
      <c r="G1397" s="94" t="s">
        <v>24</v>
      </c>
      <c r="H1397" s="95" t="s">
        <v>729</v>
      </c>
      <c r="I1397" s="104"/>
      <c r="J1397" s="105"/>
      <c r="K1397" s="105"/>
      <c r="L1397" s="106">
        <f>SUM(L1398:L1422)</f>
        <v>46329847</v>
      </c>
      <c r="M1397" s="107"/>
      <c r="N1397" s="108" t="s">
        <v>26</v>
      </c>
      <c r="O1397" s="108"/>
      <c r="P1397" s="108"/>
      <c r="Q1397" s="108"/>
      <c r="R1397" s="108"/>
      <c r="S1397" s="106">
        <f>SUM(S1398:S1422)</f>
        <v>18840030</v>
      </c>
      <c r="T1397" s="106">
        <f>SUM(T1398:T1422)</f>
        <v>27489817</v>
      </c>
      <c r="U1397" s="10"/>
      <c r="V1397" s="52">
        <f>L1397-S1397</f>
        <v>27489817</v>
      </c>
      <c r="W1397" s="52">
        <f>T1397-V1397</f>
        <v>0</v>
      </c>
      <c r="X1397" s="10"/>
      <c r="Y1397" s="10"/>
      <c r="Z1397" s="10"/>
      <c r="AA1397" s="10"/>
      <c r="AB1397" s="10"/>
      <c r="AC1397" s="10"/>
      <c r="AD1397" s="10"/>
      <c r="AE1397" s="10"/>
    </row>
    <row r="1398" spans="1:31" ht="14.25" hidden="1" customHeight="1">
      <c r="A1398" s="277" t="s">
        <v>7620</v>
      </c>
      <c r="B1398" s="9" t="s">
        <v>21</v>
      </c>
      <c r="C1398" s="9">
        <v>2024</v>
      </c>
      <c r="D1398" s="9" t="s">
        <v>27</v>
      </c>
      <c r="E1398" s="90" t="s">
        <v>23</v>
      </c>
      <c r="F1398" s="9" t="s">
        <v>7</v>
      </c>
      <c r="G1398" s="10"/>
      <c r="H1398" s="96">
        <v>241473</v>
      </c>
      <c r="I1398" s="109" t="s">
        <v>729</v>
      </c>
      <c r="J1398" s="115">
        <v>45476</v>
      </c>
      <c r="K1398" s="115">
        <v>45489</v>
      </c>
      <c r="L1398" s="116">
        <v>285381</v>
      </c>
      <c r="M1398" s="117" t="s">
        <v>730</v>
      </c>
      <c r="N1398" s="34" t="s">
        <v>29</v>
      </c>
      <c r="O1398" s="31">
        <f>SUM(L1398:L1409)</f>
        <v>18840030</v>
      </c>
      <c r="P1398" s="113">
        <v>45843</v>
      </c>
      <c r="Q1398" s="113">
        <v>45843</v>
      </c>
      <c r="R1398" s="113">
        <v>45843</v>
      </c>
      <c r="S1398" s="37">
        <f t="shared" ref="S1398:S1411" si="280">IF(R1398="",0,L1398)</f>
        <v>285381</v>
      </c>
      <c r="T1398" s="37">
        <f t="shared" ref="T1398:T1411" si="281">L1398-S1398</f>
        <v>0</v>
      </c>
      <c r="U1398" s="10"/>
      <c r="V1398" s="10"/>
      <c r="W1398" s="10"/>
      <c r="X1398" s="10"/>
      <c r="Y1398" s="10"/>
      <c r="Z1398" s="10"/>
      <c r="AA1398" s="10"/>
      <c r="AB1398" s="10"/>
      <c r="AC1398" s="10"/>
      <c r="AD1398" s="10"/>
      <c r="AE1398" s="10"/>
    </row>
    <row r="1399" spans="1:31" ht="14.25" hidden="1" customHeight="1">
      <c r="A1399" s="277" t="s">
        <v>7621</v>
      </c>
      <c r="B1399" s="9" t="s">
        <v>21</v>
      </c>
      <c r="C1399" s="9">
        <v>2024</v>
      </c>
      <c r="D1399" s="9" t="s">
        <v>27</v>
      </c>
      <c r="E1399" s="90" t="s">
        <v>23</v>
      </c>
      <c r="F1399" s="9" t="s">
        <v>7</v>
      </c>
      <c r="G1399" s="10"/>
      <c r="H1399" s="96">
        <v>241474</v>
      </c>
      <c r="I1399" s="109" t="s">
        <v>729</v>
      </c>
      <c r="J1399" s="115">
        <v>45488</v>
      </c>
      <c r="K1399" s="115">
        <v>45496</v>
      </c>
      <c r="L1399" s="116">
        <v>1994115</v>
      </c>
      <c r="M1399" s="117" t="s">
        <v>731</v>
      </c>
      <c r="N1399" s="34" t="s">
        <v>29</v>
      </c>
      <c r="O1399" s="11"/>
      <c r="P1399" s="113">
        <v>45843</v>
      </c>
      <c r="Q1399" s="113">
        <v>45843</v>
      </c>
      <c r="R1399" s="113">
        <v>45843</v>
      </c>
      <c r="S1399" s="37">
        <f t="shared" si="280"/>
        <v>1994115</v>
      </c>
      <c r="T1399" s="37">
        <f t="shared" si="281"/>
        <v>0</v>
      </c>
      <c r="U1399" s="10"/>
      <c r="V1399" s="10"/>
      <c r="W1399" s="10"/>
      <c r="X1399" s="10"/>
      <c r="Y1399" s="10"/>
      <c r="Z1399" s="10"/>
      <c r="AA1399" s="10"/>
      <c r="AB1399" s="10"/>
      <c r="AC1399" s="10"/>
      <c r="AD1399" s="10"/>
      <c r="AE1399" s="10"/>
    </row>
    <row r="1400" spans="1:31" ht="14.25" hidden="1" customHeight="1">
      <c r="A1400" s="277" t="s">
        <v>7622</v>
      </c>
      <c r="B1400" s="9" t="s">
        <v>21</v>
      </c>
      <c r="C1400" s="9">
        <v>2024</v>
      </c>
      <c r="D1400" s="9" t="s">
        <v>27</v>
      </c>
      <c r="E1400" s="90" t="s">
        <v>23</v>
      </c>
      <c r="F1400" s="9" t="s">
        <v>7</v>
      </c>
      <c r="G1400" s="10"/>
      <c r="H1400" s="96">
        <v>241837</v>
      </c>
      <c r="I1400" s="109" t="s">
        <v>729</v>
      </c>
      <c r="J1400" s="115">
        <v>45512</v>
      </c>
      <c r="K1400" s="115">
        <v>45566</v>
      </c>
      <c r="L1400" s="116">
        <v>2146740</v>
      </c>
      <c r="M1400" s="117" t="s">
        <v>732</v>
      </c>
      <c r="N1400" s="34" t="s">
        <v>29</v>
      </c>
      <c r="O1400" s="11"/>
      <c r="P1400" s="113">
        <v>45843</v>
      </c>
      <c r="Q1400" s="113">
        <v>45843</v>
      </c>
      <c r="R1400" s="113">
        <v>45843</v>
      </c>
      <c r="S1400" s="37">
        <f t="shared" si="280"/>
        <v>2146740</v>
      </c>
      <c r="T1400" s="37">
        <f t="shared" si="281"/>
        <v>0</v>
      </c>
      <c r="U1400" s="10"/>
      <c r="V1400" s="10"/>
      <c r="W1400" s="10"/>
      <c r="X1400" s="10"/>
      <c r="Y1400" s="10"/>
      <c r="Z1400" s="10"/>
      <c r="AA1400" s="10"/>
      <c r="AB1400" s="10"/>
      <c r="AC1400" s="10"/>
      <c r="AD1400" s="10"/>
      <c r="AE1400" s="10"/>
    </row>
    <row r="1401" spans="1:31" ht="14.25" hidden="1" customHeight="1">
      <c r="A1401" s="277" t="s">
        <v>5715</v>
      </c>
      <c r="B1401" s="9" t="s">
        <v>21</v>
      </c>
      <c r="C1401" s="9">
        <v>2024</v>
      </c>
      <c r="D1401" s="9" t="s">
        <v>27</v>
      </c>
      <c r="E1401" s="90" t="s">
        <v>23</v>
      </c>
      <c r="F1401" s="9" t="s">
        <v>7</v>
      </c>
      <c r="G1401" s="10"/>
      <c r="H1401" s="96">
        <v>241800</v>
      </c>
      <c r="I1401" s="109" t="s">
        <v>729</v>
      </c>
      <c r="J1401" s="115">
        <v>45520</v>
      </c>
      <c r="K1401" s="115">
        <v>45566</v>
      </c>
      <c r="L1401" s="116">
        <v>1793316</v>
      </c>
      <c r="M1401" s="117" t="s">
        <v>733</v>
      </c>
      <c r="N1401" s="34" t="s">
        <v>29</v>
      </c>
      <c r="O1401" s="11"/>
      <c r="P1401" s="113">
        <v>45843</v>
      </c>
      <c r="Q1401" s="113">
        <v>45843</v>
      </c>
      <c r="R1401" s="113">
        <v>45843</v>
      </c>
      <c r="S1401" s="37">
        <f t="shared" si="280"/>
        <v>1793316</v>
      </c>
      <c r="T1401" s="37">
        <f t="shared" si="281"/>
        <v>0</v>
      </c>
      <c r="U1401" s="10"/>
      <c r="V1401" s="10"/>
      <c r="W1401" s="10"/>
      <c r="X1401" s="10"/>
      <c r="Y1401" s="10"/>
      <c r="Z1401" s="10"/>
      <c r="AA1401" s="10"/>
      <c r="AB1401" s="10"/>
      <c r="AC1401" s="10"/>
      <c r="AD1401" s="10"/>
      <c r="AE1401" s="10"/>
    </row>
    <row r="1402" spans="1:31" ht="14.25" hidden="1" customHeight="1">
      <c r="A1402" s="277" t="s">
        <v>5716</v>
      </c>
      <c r="B1402" s="9" t="s">
        <v>21</v>
      </c>
      <c r="C1402" s="9">
        <v>2024</v>
      </c>
      <c r="D1402" s="9" t="s">
        <v>27</v>
      </c>
      <c r="E1402" s="90" t="s">
        <v>23</v>
      </c>
      <c r="F1402" s="9" t="s">
        <v>7</v>
      </c>
      <c r="G1402" s="10"/>
      <c r="H1402" s="96">
        <v>241944</v>
      </c>
      <c r="I1402" s="109" t="s">
        <v>729</v>
      </c>
      <c r="J1402" s="115">
        <v>45544</v>
      </c>
      <c r="K1402" s="115">
        <v>45566</v>
      </c>
      <c r="L1402" s="116">
        <v>570762</v>
      </c>
      <c r="M1402" s="117" t="s">
        <v>734</v>
      </c>
      <c r="N1402" s="34" t="s">
        <v>29</v>
      </c>
      <c r="O1402" s="11"/>
      <c r="P1402" s="113">
        <v>45843</v>
      </c>
      <c r="Q1402" s="113">
        <v>45843</v>
      </c>
      <c r="R1402" s="113">
        <v>45843</v>
      </c>
      <c r="S1402" s="37">
        <f t="shared" si="280"/>
        <v>570762</v>
      </c>
      <c r="T1402" s="37">
        <f t="shared" si="281"/>
        <v>0</v>
      </c>
      <c r="U1402" s="10"/>
      <c r="V1402" s="10"/>
      <c r="W1402" s="10"/>
      <c r="X1402" s="10"/>
      <c r="Y1402" s="10"/>
      <c r="Z1402" s="10"/>
      <c r="AA1402" s="10"/>
      <c r="AB1402" s="10"/>
      <c r="AC1402" s="10"/>
      <c r="AD1402" s="10"/>
      <c r="AE1402" s="10"/>
    </row>
    <row r="1403" spans="1:31" ht="14.25" hidden="1" customHeight="1">
      <c r="A1403" s="277" t="s">
        <v>5717</v>
      </c>
      <c r="B1403" s="9" t="s">
        <v>21</v>
      </c>
      <c r="C1403" s="9">
        <v>2024</v>
      </c>
      <c r="D1403" s="9" t="s">
        <v>27</v>
      </c>
      <c r="E1403" s="90" t="s">
        <v>23</v>
      </c>
      <c r="F1403" s="9" t="s">
        <v>7</v>
      </c>
      <c r="G1403" s="10"/>
      <c r="H1403" s="96">
        <v>242071</v>
      </c>
      <c r="I1403" s="109" t="s">
        <v>729</v>
      </c>
      <c r="J1403" s="115">
        <v>45559</v>
      </c>
      <c r="K1403" s="115">
        <v>45601</v>
      </c>
      <c r="L1403" s="116">
        <v>3043398</v>
      </c>
      <c r="M1403" s="117" t="s">
        <v>735</v>
      </c>
      <c r="N1403" s="34" t="s">
        <v>29</v>
      </c>
      <c r="O1403" s="11"/>
      <c r="P1403" s="113">
        <v>45843</v>
      </c>
      <c r="Q1403" s="113">
        <v>45843</v>
      </c>
      <c r="R1403" s="113">
        <v>45843</v>
      </c>
      <c r="S1403" s="37">
        <f t="shared" si="280"/>
        <v>3043398</v>
      </c>
      <c r="T1403" s="37">
        <f t="shared" si="281"/>
        <v>0</v>
      </c>
      <c r="U1403" s="10"/>
      <c r="V1403" s="10"/>
      <c r="W1403" s="10"/>
      <c r="X1403" s="10"/>
      <c r="Y1403" s="10"/>
      <c r="Z1403" s="10"/>
      <c r="AA1403" s="10"/>
      <c r="AB1403" s="10"/>
      <c r="AC1403" s="10"/>
      <c r="AD1403" s="10"/>
      <c r="AE1403" s="10"/>
    </row>
    <row r="1404" spans="1:31" ht="14.25" hidden="1" customHeight="1">
      <c r="A1404" s="277" t="s">
        <v>5718</v>
      </c>
      <c r="B1404" s="9" t="s">
        <v>21</v>
      </c>
      <c r="C1404" s="9">
        <v>2024</v>
      </c>
      <c r="D1404" s="9" t="s">
        <v>27</v>
      </c>
      <c r="E1404" s="90" t="s">
        <v>23</v>
      </c>
      <c r="F1404" s="9" t="s">
        <v>7</v>
      </c>
      <c r="G1404" s="10"/>
      <c r="H1404" s="96">
        <v>242214</v>
      </c>
      <c r="I1404" s="109" t="s">
        <v>729</v>
      </c>
      <c r="J1404" s="115">
        <v>45586</v>
      </c>
      <c r="K1404" s="115">
        <v>45601</v>
      </c>
      <c r="L1404" s="116">
        <v>200799</v>
      </c>
      <c r="M1404" s="117" t="s">
        <v>736</v>
      </c>
      <c r="N1404" s="34" t="s">
        <v>29</v>
      </c>
      <c r="O1404" s="11"/>
      <c r="P1404" s="113">
        <v>45843</v>
      </c>
      <c r="Q1404" s="113">
        <v>45843</v>
      </c>
      <c r="R1404" s="113">
        <v>45843</v>
      </c>
      <c r="S1404" s="37">
        <f t="shared" si="280"/>
        <v>200799</v>
      </c>
      <c r="T1404" s="37">
        <f t="shared" si="281"/>
        <v>0</v>
      </c>
      <c r="U1404" s="10"/>
      <c r="V1404" s="10"/>
      <c r="W1404" s="10"/>
      <c r="X1404" s="10"/>
      <c r="Y1404" s="10"/>
      <c r="Z1404" s="10"/>
      <c r="AA1404" s="10"/>
      <c r="AB1404" s="10"/>
      <c r="AC1404" s="10"/>
      <c r="AD1404" s="10"/>
      <c r="AE1404" s="10"/>
    </row>
    <row r="1405" spans="1:31" ht="14.25" hidden="1" customHeight="1">
      <c r="A1405" s="277" t="s">
        <v>5719</v>
      </c>
      <c r="B1405" s="9" t="s">
        <v>21</v>
      </c>
      <c r="C1405" s="9">
        <v>2024</v>
      </c>
      <c r="D1405" s="9" t="s">
        <v>27</v>
      </c>
      <c r="E1405" s="90" t="s">
        <v>23</v>
      </c>
      <c r="F1405" s="9" t="s">
        <v>7</v>
      </c>
      <c r="G1405" s="10"/>
      <c r="H1405" s="96">
        <v>242363</v>
      </c>
      <c r="I1405" s="109" t="s">
        <v>729</v>
      </c>
      <c r="J1405" s="115">
        <v>45595</v>
      </c>
      <c r="K1405" s="115">
        <v>45657</v>
      </c>
      <c r="L1405" s="116">
        <v>896658</v>
      </c>
      <c r="M1405" s="117" t="s">
        <v>737</v>
      </c>
      <c r="N1405" s="34" t="s">
        <v>29</v>
      </c>
      <c r="O1405" s="11"/>
      <c r="P1405" s="113">
        <v>45843</v>
      </c>
      <c r="Q1405" s="113">
        <v>45843</v>
      </c>
      <c r="R1405" s="113">
        <v>45843</v>
      </c>
      <c r="S1405" s="37">
        <f t="shared" si="280"/>
        <v>896658</v>
      </c>
      <c r="T1405" s="37">
        <f t="shared" si="281"/>
        <v>0</v>
      </c>
      <c r="U1405" s="10"/>
      <c r="V1405" s="10"/>
      <c r="W1405" s="10"/>
      <c r="X1405" s="10"/>
      <c r="Y1405" s="10"/>
      <c r="Z1405" s="10"/>
      <c r="AA1405" s="10"/>
      <c r="AB1405" s="10"/>
      <c r="AC1405" s="10"/>
      <c r="AD1405" s="10"/>
      <c r="AE1405" s="10"/>
    </row>
    <row r="1406" spans="1:31" ht="14.25" hidden="1" customHeight="1">
      <c r="A1406" s="277" t="s">
        <v>5720</v>
      </c>
      <c r="B1406" s="9" t="s">
        <v>21</v>
      </c>
      <c r="C1406" s="9">
        <v>2024</v>
      </c>
      <c r="D1406" s="9" t="s">
        <v>27</v>
      </c>
      <c r="E1406" s="90" t="s">
        <v>23</v>
      </c>
      <c r="F1406" s="9" t="s">
        <v>7</v>
      </c>
      <c r="G1406" s="10"/>
      <c r="H1406" s="96">
        <v>242415</v>
      </c>
      <c r="I1406" s="109" t="s">
        <v>729</v>
      </c>
      <c r="J1406" s="115">
        <v>45614</v>
      </c>
      <c r="K1406" s="115">
        <v>45657</v>
      </c>
      <c r="L1406" s="116">
        <v>1579974</v>
      </c>
      <c r="M1406" s="117" t="s">
        <v>738</v>
      </c>
      <c r="N1406" s="34" t="s">
        <v>29</v>
      </c>
      <c r="O1406" s="11"/>
      <c r="P1406" s="113">
        <v>45843</v>
      </c>
      <c r="Q1406" s="113">
        <v>45843</v>
      </c>
      <c r="R1406" s="113">
        <v>45843</v>
      </c>
      <c r="S1406" s="37">
        <f t="shared" si="280"/>
        <v>1579974</v>
      </c>
      <c r="T1406" s="37">
        <f t="shared" si="281"/>
        <v>0</v>
      </c>
      <c r="U1406" s="10"/>
      <c r="V1406" s="10"/>
      <c r="W1406" s="10"/>
      <c r="X1406" s="10"/>
      <c r="Y1406" s="10"/>
      <c r="Z1406" s="10"/>
      <c r="AA1406" s="10"/>
      <c r="AB1406" s="10"/>
      <c r="AC1406" s="10"/>
      <c r="AD1406" s="10"/>
      <c r="AE1406" s="10"/>
    </row>
    <row r="1407" spans="1:31" ht="14.25" hidden="1" customHeight="1">
      <c r="A1407" s="277" t="s">
        <v>5721</v>
      </c>
      <c r="B1407" s="9" t="s">
        <v>21</v>
      </c>
      <c r="C1407" s="9">
        <v>2024</v>
      </c>
      <c r="D1407" s="9" t="s">
        <v>27</v>
      </c>
      <c r="E1407" s="90" t="s">
        <v>23</v>
      </c>
      <c r="F1407" s="9" t="s">
        <v>7</v>
      </c>
      <c r="G1407" s="10"/>
      <c r="H1407" s="96">
        <v>242416</v>
      </c>
      <c r="I1407" s="109" t="s">
        <v>729</v>
      </c>
      <c r="J1407" s="115">
        <v>45621</v>
      </c>
      <c r="K1407" s="115">
        <v>45657</v>
      </c>
      <c r="L1407" s="116">
        <v>1793316</v>
      </c>
      <c r="M1407" s="117" t="s">
        <v>739</v>
      </c>
      <c r="N1407" s="34" t="s">
        <v>29</v>
      </c>
      <c r="O1407" s="11"/>
      <c r="P1407" s="113">
        <v>45843</v>
      </c>
      <c r="Q1407" s="113">
        <v>45843</v>
      </c>
      <c r="R1407" s="113">
        <v>45843</v>
      </c>
      <c r="S1407" s="37">
        <f t="shared" si="280"/>
        <v>1793316</v>
      </c>
      <c r="T1407" s="37">
        <f t="shared" si="281"/>
        <v>0</v>
      </c>
      <c r="U1407" s="10"/>
      <c r="V1407" s="10"/>
      <c r="W1407" s="10"/>
      <c r="X1407" s="10"/>
      <c r="Y1407" s="10"/>
      <c r="Z1407" s="10"/>
      <c r="AA1407" s="10"/>
      <c r="AB1407" s="10"/>
      <c r="AC1407" s="10"/>
      <c r="AD1407" s="10"/>
      <c r="AE1407" s="10"/>
    </row>
    <row r="1408" spans="1:31" ht="14.25" hidden="1" customHeight="1">
      <c r="A1408" s="277" t="s">
        <v>5722</v>
      </c>
      <c r="B1408" s="9" t="s">
        <v>21</v>
      </c>
      <c r="C1408" s="9">
        <v>2024</v>
      </c>
      <c r="D1408" s="9" t="s">
        <v>27</v>
      </c>
      <c r="E1408" s="90" t="s">
        <v>23</v>
      </c>
      <c r="F1408" s="9" t="s">
        <v>7</v>
      </c>
      <c r="G1408" s="10"/>
      <c r="H1408" s="96">
        <v>242544</v>
      </c>
      <c r="I1408" s="109" t="s">
        <v>729</v>
      </c>
      <c r="J1408" s="115">
        <v>45644</v>
      </c>
      <c r="K1408" s="115">
        <v>45680</v>
      </c>
      <c r="L1408" s="116">
        <v>595515</v>
      </c>
      <c r="M1408" s="117" t="s">
        <v>740</v>
      </c>
      <c r="N1408" s="34" t="s">
        <v>29</v>
      </c>
      <c r="O1408" s="11"/>
      <c r="P1408" s="113">
        <v>45843</v>
      </c>
      <c r="Q1408" s="113">
        <v>45843</v>
      </c>
      <c r="R1408" s="113">
        <v>45843</v>
      </c>
      <c r="S1408" s="37">
        <f t="shared" si="280"/>
        <v>595515</v>
      </c>
      <c r="T1408" s="37">
        <f t="shared" si="281"/>
        <v>0</v>
      </c>
      <c r="U1408" s="10"/>
      <c r="V1408" s="10"/>
      <c r="W1408" s="10"/>
      <c r="X1408" s="10"/>
      <c r="Y1408" s="10"/>
      <c r="Z1408" s="10"/>
      <c r="AA1408" s="10"/>
      <c r="AB1408" s="10"/>
      <c r="AC1408" s="10"/>
      <c r="AD1408" s="10"/>
      <c r="AE1408" s="10"/>
    </row>
    <row r="1409" spans="1:31" ht="14.25" customHeight="1">
      <c r="A1409" s="277" t="s">
        <v>5723</v>
      </c>
      <c r="B1409" s="9" t="s">
        <v>21</v>
      </c>
      <c r="C1409" s="9">
        <v>2024</v>
      </c>
      <c r="D1409" s="9" t="s">
        <v>27</v>
      </c>
      <c r="E1409" s="90" t="s">
        <v>23</v>
      </c>
      <c r="F1409" s="9" t="s">
        <v>7</v>
      </c>
      <c r="G1409" s="10"/>
      <c r="H1409" s="96">
        <v>242579</v>
      </c>
      <c r="I1409" s="109" t="s">
        <v>729</v>
      </c>
      <c r="J1409" s="115">
        <v>45650</v>
      </c>
      <c r="K1409" s="115">
        <v>45680</v>
      </c>
      <c r="L1409" s="116">
        <v>3940056</v>
      </c>
      <c r="M1409" s="117" t="s">
        <v>741</v>
      </c>
      <c r="N1409" s="34" t="s">
        <v>29</v>
      </c>
      <c r="O1409" s="11"/>
      <c r="P1409" s="113">
        <v>45843</v>
      </c>
      <c r="Q1409" s="113">
        <v>45843</v>
      </c>
      <c r="R1409" s="113">
        <v>45843</v>
      </c>
      <c r="S1409" s="37">
        <f t="shared" si="280"/>
        <v>3940056</v>
      </c>
      <c r="T1409" s="37">
        <f t="shared" si="281"/>
        <v>0</v>
      </c>
      <c r="U1409" s="10"/>
      <c r="V1409" s="10"/>
      <c r="W1409" s="10"/>
      <c r="X1409" s="10"/>
      <c r="Y1409" s="10"/>
      <c r="Z1409" s="10"/>
      <c r="AA1409" s="10"/>
      <c r="AB1409" s="10"/>
      <c r="AC1409" s="10"/>
      <c r="AD1409" s="10"/>
      <c r="AE1409" s="10"/>
    </row>
    <row r="1410" spans="1:31" ht="14.25" customHeight="1">
      <c r="A1410" s="277" t="s">
        <v>5724</v>
      </c>
      <c r="B1410" s="9" t="s">
        <v>21</v>
      </c>
      <c r="C1410" s="9">
        <v>2025</v>
      </c>
      <c r="D1410" s="9" t="s">
        <v>77</v>
      </c>
      <c r="E1410" s="90" t="s">
        <v>23</v>
      </c>
      <c r="F1410" s="9" t="s">
        <v>7</v>
      </c>
      <c r="G1410" s="10"/>
      <c r="H1410" s="9">
        <v>250220</v>
      </c>
      <c r="I1410" s="11" t="s">
        <v>729</v>
      </c>
      <c r="J1410" s="12">
        <v>45692</v>
      </c>
      <c r="K1410" s="12">
        <v>45762</v>
      </c>
      <c r="L1410" s="27">
        <v>401598</v>
      </c>
      <c r="M1410" s="10" t="s">
        <v>742</v>
      </c>
      <c r="N1410" s="34">
        <f ca="1">$J$3-J1410-1</f>
        <v>547.46377638888953</v>
      </c>
      <c r="O1410" s="31">
        <f>SUM(L1410:L1413)</f>
        <v>8440662</v>
      </c>
      <c r="P1410" s="39"/>
      <c r="Q1410" s="49"/>
      <c r="R1410" s="49"/>
      <c r="S1410" s="37">
        <f t="shared" si="280"/>
        <v>0</v>
      </c>
      <c r="T1410" s="37">
        <f t="shared" si="281"/>
        <v>401598</v>
      </c>
      <c r="U1410" s="10"/>
      <c r="V1410" s="10"/>
      <c r="W1410" s="10"/>
      <c r="X1410" s="10"/>
      <c r="Y1410" s="10"/>
      <c r="Z1410" s="10"/>
      <c r="AA1410" s="10"/>
      <c r="AB1410" s="10"/>
      <c r="AC1410" s="10"/>
      <c r="AD1410" s="10"/>
      <c r="AE1410" s="10"/>
    </row>
    <row r="1411" spans="1:31" ht="14.25" customHeight="1">
      <c r="A1411" s="277" t="s">
        <v>5725</v>
      </c>
      <c r="B1411" s="9" t="s">
        <v>21</v>
      </c>
      <c r="C1411" s="9">
        <v>2025</v>
      </c>
      <c r="D1411" s="9" t="s">
        <v>77</v>
      </c>
      <c r="E1411" s="90" t="s">
        <v>23</v>
      </c>
      <c r="F1411" s="9" t="s">
        <v>7</v>
      </c>
      <c r="G1411" s="10"/>
      <c r="H1411" s="9">
        <v>242579</v>
      </c>
      <c r="I1411" s="11" t="s">
        <v>729</v>
      </c>
      <c r="J1411" s="12">
        <v>45736</v>
      </c>
      <c r="K1411" s="12">
        <v>45762</v>
      </c>
      <c r="L1411" s="27">
        <v>4535571</v>
      </c>
      <c r="M1411" s="10" t="s">
        <v>743</v>
      </c>
      <c r="N1411" s="34">
        <f ca="1">$J$3-J1411-1</f>
        <v>503.46377638888953</v>
      </c>
      <c r="O1411" s="11"/>
      <c r="P1411" s="39"/>
      <c r="Q1411" s="49"/>
      <c r="R1411" s="49"/>
      <c r="S1411" s="37">
        <f t="shared" si="280"/>
        <v>0</v>
      </c>
      <c r="T1411" s="37">
        <f t="shared" si="281"/>
        <v>4535571</v>
      </c>
      <c r="U1411" s="10"/>
      <c r="V1411" s="10"/>
      <c r="W1411" s="10"/>
      <c r="X1411" s="10"/>
      <c r="Y1411" s="10"/>
      <c r="Z1411" s="10"/>
      <c r="AA1411" s="10"/>
      <c r="AB1411" s="10"/>
      <c r="AC1411" s="10"/>
      <c r="AD1411" s="10"/>
      <c r="AE1411" s="10"/>
    </row>
    <row r="1412" spans="1:31" ht="14.25" customHeight="1">
      <c r="A1412" s="277" t="s">
        <v>5726</v>
      </c>
      <c r="B1412" s="9" t="s">
        <v>21</v>
      </c>
      <c r="C1412" s="9">
        <v>2025</v>
      </c>
      <c r="D1412" s="9" t="s">
        <v>77</v>
      </c>
      <c r="E1412" s="90" t="s">
        <v>23</v>
      </c>
      <c r="F1412" s="9" t="s">
        <v>7</v>
      </c>
      <c r="G1412" s="10"/>
      <c r="H1412" s="9">
        <v>250221</v>
      </c>
      <c r="I1412" s="11" t="s">
        <v>729</v>
      </c>
      <c r="J1412" s="12">
        <v>45777</v>
      </c>
      <c r="K1412" s="12">
        <v>45797</v>
      </c>
      <c r="L1412" s="27">
        <v>2462535</v>
      </c>
      <c r="M1412" s="10" t="s">
        <v>744</v>
      </c>
      <c r="N1412" s="34">
        <f ca="1">$J$3-J1412-1</f>
        <v>462.46377638888953</v>
      </c>
      <c r="O1412" s="11"/>
      <c r="P1412" s="39"/>
      <c r="Q1412" s="49"/>
      <c r="R1412" s="49"/>
      <c r="S1412" s="37">
        <f>IF(R1412="",0,L1412)</f>
        <v>0</v>
      </c>
      <c r="T1412" s="37">
        <f>L1412-S1412</f>
        <v>2462535</v>
      </c>
      <c r="U1412" s="10"/>
      <c r="V1412" s="10"/>
      <c r="W1412" s="10"/>
      <c r="X1412" s="10"/>
      <c r="Y1412" s="10"/>
      <c r="Z1412" s="10"/>
      <c r="AA1412" s="10"/>
      <c r="AB1412" s="10"/>
      <c r="AC1412" s="10"/>
      <c r="AD1412" s="10"/>
      <c r="AE1412" s="10"/>
    </row>
    <row r="1413" spans="1:31" ht="14.25" customHeight="1">
      <c r="A1413" s="277" t="s">
        <v>5727</v>
      </c>
      <c r="B1413" s="9" t="s">
        <v>21</v>
      </c>
      <c r="C1413" s="9">
        <v>2025</v>
      </c>
      <c r="D1413" s="9" t="s">
        <v>77</v>
      </c>
      <c r="E1413" s="90" t="s">
        <v>23</v>
      </c>
      <c r="F1413" s="9" t="s">
        <v>7</v>
      </c>
      <c r="G1413" s="10"/>
      <c r="H1413" s="9">
        <v>250680</v>
      </c>
      <c r="I1413" s="11" t="s">
        <v>729</v>
      </c>
      <c r="J1413" s="12">
        <v>45818</v>
      </c>
      <c r="K1413" s="12">
        <v>45869</v>
      </c>
      <c r="L1413" s="27">
        <v>1040958</v>
      </c>
      <c r="M1413" s="10" t="s">
        <v>745</v>
      </c>
      <c r="N1413" s="34">
        <f t="shared" ref="N1413:N1420" ca="1" si="282">$J$3-J1413-1</f>
        <v>421.46377638888953</v>
      </c>
      <c r="O1413" s="11"/>
      <c r="P1413" s="39"/>
      <c r="Q1413" s="49"/>
      <c r="R1413" s="49"/>
      <c r="S1413" s="37">
        <f t="shared" ref="S1413:S1420" si="283">IF(R1413="",0,L1413)</f>
        <v>0</v>
      </c>
      <c r="T1413" s="37">
        <f t="shared" ref="T1413:T1420" si="284">L1413-S1413</f>
        <v>1040958</v>
      </c>
      <c r="U1413" s="10"/>
      <c r="V1413" s="10"/>
      <c r="W1413" s="10"/>
      <c r="X1413" s="10"/>
      <c r="Y1413" s="10"/>
      <c r="Z1413" s="10"/>
      <c r="AA1413" s="10"/>
      <c r="AB1413" s="10"/>
      <c r="AC1413" s="10"/>
      <c r="AD1413" s="10"/>
      <c r="AE1413" s="10"/>
    </row>
    <row r="1414" spans="1:31" ht="14.25" customHeight="1">
      <c r="A1414" s="277" t="s">
        <v>5728</v>
      </c>
      <c r="B1414" s="9" t="s">
        <v>21</v>
      </c>
      <c r="C1414" s="9">
        <v>2025</v>
      </c>
      <c r="D1414" s="9" t="s">
        <v>77</v>
      </c>
      <c r="E1414" s="90" t="s">
        <v>23</v>
      </c>
      <c r="F1414" s="9" t="s">
        <v>7</v>
      </c>
      <c r="G1414" s="10"/>
      <c r="H1414" s="9">
        <v>250679</v>
      </c>
      <c r="I1414" s="11" t="s">
        <v>729</v>
      </c>
      <c r="J1414" s="12">
        <v>45846</v>
      </c>
      <c r="K1414" s="12">
        <v>45869</v>
      </c>
      <c r="L1414" s="27">
        <v>4163832</v>
      </c>
      <c r="M1414" s="10" t="s">
        <v>746</v>
      </c>
      <c r="N1414" s="34">
        <f t="shared" ca="1" si="282"/>
        <v>393.46377638888953</v>
      </c>
      <c r="O1414" s="11"/>
      <c r="P1414" s="39"/>
      <c r="Q1414" s="49"/>
      <c r="R1414" s="49"/>
      <c r="S1414" s="37">
        <f t="shared" si="283"/>
        <v>0</v>
      </c>
      <c r="T1414" s="37">
        <f t="shared" si="284"/>
        <v>4163832</v>
      </c>
      <c r="U1414" s="10"/>
      <c r="V1414" s="10"/>
      <c r="W1414" s="10"/>
      <c r="X1414" s="10"/>
      <c r="Y1414" s="10"/>
      <c r="Z1414" s="10"/>
      <c r="AA1414" s="10"/>
      <c r="AB1414" s="10"/>
      <c r="AC1414" s="10"/>
      <c r="AD1414" s="10"/>
      <c r="AE1414" s="10"/>
    </row>
    <row r="1415" spans="1:31" ht="14.25" customHeight="1">
      <c r="A1415" s="277" t="s">
        <v>5729</v>
      </c>
      <c r="B1415" s="9" t="s">
        <v>21</v>
      </c>
      <c r="C1415" s="9">
        <v>2025</v>
      </c>
      <c r="D1415" s="9" t="s">
        <v>77</v>
      </c>
      <c r="E1415" s="90" t="s">
        <v>23</v>
      </c>
      <c r="F1415" s="9" t="s">
        <v>7</v>
      </c>
      <c r="G1415" s="10"/>
      <c r="H1415" s="9">
        <v>250924</v>
      </c>
      <c r="I1415" s="11" t="s">
        <v>729</v>
      </c>
      <c r="J1415" s="12">
        <v>45894</v>
      </c>
      <c r="K1415" s="12">
        <v>45923</v>
      </c>
      <c r="L1415" s="27">
        <v>3610275</v>
      </c>
      <c r="M1415" s="10" t="s">
        <v>3697</v>
      </c>
      <c r="N1415" s="34">
        <f t="shared" ca="1" si="282"/>
        <v>345.46377638888953</v>
      </c>
      <c r="O1415" s="11"/>
      <c r="P1415" s="39"/>
      <c r="Q1415" s="49"/>
      <c r="R1415" s="49"/>
      <c r="S1415" s="37">
        <f t="shared" si="283"/>
        <v>0</v>
      </c>
      <c r="T1415" s="37">
        <f t="shared" si="284"/>
        <v>3610275</v>
      </c>
      <c r="U1415" s="10"/>
      <c r="V1415" s="10"/>
      <c r="W1415" s="10"/>
      <c r="X1415" s="10"/>
      <c r="Y1415" s="10"/>
      <c r="Z1415" s="10"/>
      <c r="AA1415" s="10"/>
      <c r="AB1415" s="10"/>
      <c r="AC1415" s="10"/>
      <c r="AD1415" s="10"/>
      <c r="AE1415" s="10"/>
    </row>
    <row r="1416" spans="1:31" ht="14.25" customHeight="1">
      <c r="A1416" s="277" t="s">
        <v>5730</v>
      </c>
      <c r="B1416" s="9" t="s">
        <v>21</v>
      </c>
      <c r="C1416" s="9">
        <v>2025</v>
      </c>
      <c r="D1416" s="9" t="s">
        <v>77</v>
      </c>
      <c r="E1416" s="90" t="s">
        <v>23</v>
      </c>
      <c r="F1416" s="9" t="s">
        <v>7</v>
      </c>
      <c r="G1416" s="10"/>
      <c r="H1416" s="9">
        <v>251076</v>
      </c>
      <c r="I1416" s="11" t="s">
        <v>729</v>
      </c>
      <c r="J1416" s="12">
        <v>45933</v>
      </c>
      <c r="K1416" s="12">
        <v>45974</v>
      </c>
      <c r="L1416" s="27">
        <v>3589296</v>
      </c>
      <c r="M1416" s="10" t="s">
        <v>3983</v>
      </c>
      <c r="N1416" s="34">
        <f t="shared" ca="1" si="282"/>
        <v>306.46377638888953</v>
      </c>
      <c r="O1416" s="11"/>
      <c r="P1416" s="39"/>
      <c r="Q1416" s="49"/>
      <c r="R1416" s="49"/>
      <c r="S1416" s="37">
        <f t="shared" si="283"/>
        <v>0</v>
      </c>
      <c r="T1416" s="37">
        <f t="shared" si="284"/>
        <v>3589296</v>
      </c>
      <c r="U1416" s="10"/>
      <c r="V1416" s="10"/>
      <c r="W1416" s="10"/>
      <c r="X1416" s="10"/>
      <c r="Y1416" s="10"/>
      <c r="Z1416" s="10"/>
      <c r="AA1416" s="10"/>
      <c r="AB1416" s="10"/>
      <c r="AC1416" s="10"/>
      <c r="AD1416" s="10"/>
      <c r="AE1416" s="10"/>
    </row>
    <row r="1417" spans="1:31" ht="14.25" customHeight="1">
      <c r="A1417" s="277" t="s">
        <v>5731</v>
      </c>
      <c r="B1417" s="9" t="s">
        <v>21</v>
      </c>
      <c r="C1417" s="9">
        <v>2025</v>
      </c>
      <c r="D1417" s="9" t="s">
        <v>77</v>
      </c>
      <c r="E1417" s="90" t="s">
        <v>23</v>
      </c>
      <c r="F1417" s="9" t="s">
        <v>7</v>
      </c>
      <c r="G1417" s="10"/>
      <c r="H1417" s="9">
        <v>251191</v>
      </c>
      <c r="I1417" s="11" t="s">
        <v>729</v>
      </c>
      <c r="J1417" s="12">
        <v>45982</v>
      </c>
      <c r="K1417" s="12">
        <v>45995</v>
      </c>
      <c r="L1417" s="27">
        <v>1865688</v>
      </c>
      <c r="M1417" s="10" t="s">
        <v>4063</v>
      </c>
      <c r="N1417" s="34">
        <f t="shared" ca="1" si="282"/>
        <v>257.46377638888953</v>
      </c>
      <c r="O1417" s="11"/>
      <c r="P1417" s="39"/>
      <c r="Q1417" s="49"/>
      <c r="R1417" s="49"/>
      <c r="S1417" s="37">
        <f t="shared" si="283"/>
        <v>0</v>
      </c>
      <c r="T1417" s="37">
        <f t="shared" si="284"/>
        <v>1865688</v>
      </c>
      <c r="U1417" s="10"/>
      <c r="V1417" s="10"/>
      <c r="W1417" s="10"/>
      <c r="X1417" s="10"/>
      <c r="Y1417" s="10"/>
      <c r="Z1417" s="10"/>
      <c r="AA1417" s="10"/>
      <c r="AB1417" s="10"/>
      <c r="AC1417" s="10"/>
      <c r="AD1417" s="10"/>
      <c r="AE1417" s="10"/>
    </row>
    <row r="1418" spans="1:31" ht="14.25" customHeight="1">
      <c r="A1418" s="277" t="s">
        <v>5732</v>
      </c>
      <c r="B1418" s="9" t="s">
        <v>21</v>
      </c>
      <c r="C1418" s="9">
        <v>2025</v>
      </c>
      <c r="D1418" s="9" t="s">
        <v>77</v>
      </c>
      <c r="E1418" s="90" t="s">
        <v>23</v>
      </c>
      <c r="F1418" s="9" t="s">
        <v>7</v>
      </c>
      <c r="G1418" s="10"/>
      <c r="H1418" s="9">
        <v>260007</v>
      </c>
      <c r="I1418" s="11" t="s">
        <v>729</v>
      </c>
      <c r="J1418" s="12">
        <v>46015</v>
      </c>
      <c r="K1418" s="12">
        <v>45677</v>
      </c>
      <c r="L1418" s="27">
        <v>1436340</v>
      </c>
      <c r="M1418" s="10" t="s">
        <v>4257</v>
      </c>
      <c r="N1418" s="34">
        <f t="shared" ca="1" si="282"/>
        <v>224.46377638888953</v>
      </c>
      <c r="O1418" s="11"/>
      <c r="P1418" s="39"/>
      <c r="Q1418" s="49"/>
      <c r="R1418" s="49"/>
      <c r="S1418" s="37">
        <f t="shared" si="283"/>
        <v>0</v>
      </c>
      <c r="T1418" s="37">
        <f t="shared" si="284"/>
        <v>1436340</v>
      </c>
      <c r="U1418" s="10"/>
      <c r="V1418" s="10"/>
      <c r="W1418" s="10"/>
      <c r="X1418" s="10"/>
      <c r="Y1418" s="10"/>
      <c r="Z1418" s="10"/>
      <c r="AA1418" s="10"/>
      <c r="AB1418" s="10"/>
      <c r="AC1418" s="10"/>
      <c r="AD1418" s="10"/>
      <c r="AE1418" s="10"/>
    </row>
    <row r="1419" spans="1:31" ht="14.25" customHeight="1">
      <c r="A1419" s="277" t="s">
        <v>5733</v>
      </c>
      <c r="B1419" s="9" t="s">
        <v>21</v>
      </c>
      <c r="C1419" s="9">
        <v>2025</v>
      </c>
      <c r="D1419" s="9" t="s">
        <v>77</v>
      </c>
      <c r="E1419" s="90" t="s">
        <v>23</v>
      </c>
      <c r="F1419" s="9" t="s">
        <v>7</v>
      </c>
      <c r="G1419" s="10"/>
      <c r="H1419" s="9">
        <v>260070</v>
      </c>
      <c r="I1419" s="11" t="s">
        <v>729</v>
      </c>
      <c r="J1419" s="12">
        <v>46006</v>
      </c>
      <c r="K1419" s="12">
        <v>45677</v>
      </c>
      <c r="L1419" s="27">
        <v>297758</v>
      </c>
      <c r="M1419" s="10" t="s">
        <v>4290</v>
      </c>
      <c r="N1419" s="34">
        <f t="shared" ca="1" si="282"/>
        <v>233.46377638888953</v>
      </c>
      <c r="O1419" s="11"/>
      <c r="P1419" s="39"/>
      <c r="Q1419" s="49"/>
      <c r="R1419" s="49"/>
      <c r="S1419" s="37">
        <f t="shared" si="283"/>
        <v>0</v>
      </c>
      <c r="T1419" s="37">
        <f t="shared" si="284"/>
        <v>297758</v>
      </c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</row>
    <row r="1420" spans="1:31" ht="14.25" customHeight="1">
      <c r="A1420" s="277" t="s">
        <v>5734</v>
      </c>
      <c r="B1420" s="9" t="s">
        <v>21</v>
      </c>
      <c r="C1420" s="9">
        <v>2026</v>
      </c>
      <c r="D1420" s="9" t="s">
        <v>77</v>
      </c>
      <c r="E1420" s="90" t="s">
        <v>23</v>
      </c>
      <c r="F1420" s="9" t="s">
        <v>7</v>
      </c>
      <c r="G1420" s="10"/>
      <c r="H1420" s="9">
        <v>260064</v>
      </c>
      <c r="I1420" s="11" t="s">
        <v>729</v>
      </c>
      <c r="J1420" s="12">
        <v>46051</v>
      </c>
      <c r="K1420" s="12">
        <v>46093</v>
      </c>
      <c r="L1420" s="27">
        <v>4085966</v>
      </c>
      <c r="M1420" s="10" t="s">
        <v>4457</v>
      </c>
      <c r="N1420" s="34">
        <f t="shared" ca="1" si="282"/>
        <v>188.46377638888953</v>
      </c>
      <c r="O1420" s="11"/>
      <c r="P1420" s="39"/>
      <c r="Q1420" s="49"/>
      <c r="R1420" s="49"/>
      <c r="S1420" s="37">
        <f t="shared" si="283"/>
        <v>0</v>
      </c>
      <c r="T1420" s="37">
        <f t="shared" si="284"/>
        <v>4085966</v>
      </c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</row>
    <row r="1421" spans="1:31" ht="14.25" customHeight="1">
      <c r="A1421" s="277" t="s">
        <v>5735</v>
      </c>
      <c r="B1421" s="9" t="s">
        <v>21</v>
      </c>
      <c r="C1421" s="9"/>
      <c r="D1421" s="9"/>
      <c r="E1421" s="90"/>
      <c r="F1421" s="9"/>
      <c r="G1421" s="10"/>
      <c r="H1421" s="9"/>
      <c r="I1421" s="11"/>
      <c r="J1421" s="12"/>
      <c r="K1421" s="12"/>
      <c r="L1421" s="52"/>
      <c r="M1421" s="10"/>
      <c r="N1421" s="114">
        <f ca="1">$J$3-J1421</f>
        <v>46240.46377638889</v>
      </c>
      <c r="O1421" s="11"/>
      <c r="P1421" s="39"/>
      <c r="Q1421" s="39"/>
      <c r="R1421" s="39"/>
      <c r="S1421" s="37">
        <f>IF(R1421="",0,L1421)</f>
        <v>0</v>
      </c>
      <c r="T1421" s="37">
        <f>L1421-S1421</f>
        <v>0</v>
      </c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</row>
    <row r="1422" spans="1:31" ht="14.25" customHeight="1">
      <c r="A1422" s="277" t="s">
        <v>5736</v>
      </c>
      <c r="B1422" s="9" t="s">
        <v>21</v>
      </c>
      <c r="C1422" s="9"/>
      <c r="D1422" s="9"/>
      <c r="E1422" s="90"/>
      <c r="F1422" s="9"/>
      <c r="G1422" s="10"/>
      <c r="H1422" s="9"/>
      <c r="I1422" s="11"/>
      <c r="J1422" s="12"/>
      <c r="K1422" s="12"/>
      <c r="L1422" s="52"/>
      <c r="M1422" s="10"/>
      <c r="N1422" s="9"/>
      <c r="O1422" s="11"/>
      <c r="P1422" s="39"/>
      <c r="Q1422" s="39"/>
      <c r="R1422" s="39"/>
      <c r="S1422" s="37"/>
      <c r="T1422" s="37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</row>
    <row r="1423" spans="1:31" ht="14.25" customHeight="1">
      <c r="A1423" s="277" t="s">
        <v>5737</v>
      </c>
      <c r="B1423" s="9" t="s">
        <v>21</v>
      </c>
      <c r="C1423" s="9"/>
      <c r="D1423" s="9"/>
      <c r="E1423" s="90"/>
      <c r="F1423" s="9"/>
      <c r="G1423" s="94" t="s">
        <v>24</v>
      </c>
      <c r="H1423" s="274" t="s">
        <v>747</v>
      </c>
      <c r="I1423" s="104"/>
      <c r="J1423" s="105"/>
      <c r="K1423" s="105"/>
      <c r="L1423" s="106">
        <f>SUM(L1424:L1438)</f>
        <v>38517333</v>
      </c>
      <c r="M1423" s="107"/>
      <c r="N1423" s="108" t="s">
        <v>26</v>
      </c>
      <c r="O1423" s="108"/>
      <c r="P1423" s="108"/>
      <c r="Q1423" s="108"/>
      <c r="R1423" s="108"/>
      <c r="S1423" s="106">
        <f>SUM(S1424:S1438)</f>
        <v>9590400</v>
      </c>
      <c r="T1423" s="106">
        <f>SUM(T1424:T1438)</f>
        <v>28926933</v>
      </c>
      <c r="U1423" s="10"/>
      <c r="V1423" s="52">
        <f>L1423-S1423</f>
        <v>28926933</v>
      </c>
      <c r="W1423" s="52">
        <f>T1423-V1423</f>
        <v>0</v>
      </c>
      <c r="X1423" s="10"/>
      <c r="Y1423" s="10"/>
      <c r="Z1423" s="10"/>
      <c r="AA1423" s="10"/>
      <c r="AB1423" s="10"/>
      <c r="AC1423" s="10"/>
      <c r="AD1423" s="10"/>
      <c r="AE1423" s="10"/>
    </row>
    <row r="1424" spans="1:31" ht="14.25" customHeight="1">
      <c r="A1424" s="277" t="s">
        <v>5738</v>
      </c>
      <c r="B1424" s="9" t="s">
        <v>21</v>
      </c>
      <c r="C1424" s="9">
        <v>2024</v>
      </c>
      <c r="D1424" s="9" t="s">
        <v>27</v>
      </c>
      <c r="E1424" s="90" t="s">
        <v>23</v>
      </c>
      <c r="F1424" s="9" t="s">
        <v>7</v>
      </c>
      <c r="G1424" s="120"/>
      <c r="H1424" s="142">
        <v>241575</v>
      </c>
      <c r="I1424" s="121" t="s">
        <v>747</v>
      </c>
      <c r="J1424" s="144">
        <v>45503</v>
      </c>
      <c r="K1424" s="124">
        <v>45505</v>
      </c>
      <c r="L1424" s="111">
        <v>4795200</v>
      </c>
      <c r="M1424" s="112" t="s">
        <v>748</v>
      </c>
      <c r="N1424" s="34" t="s">
        <v>29</v>
      </c>
      <c r="O1424" s="125">
        <f>SUM(L1424:L1425)</f>
        <v>9590400</v>
      </c>
      <c r="P1424" s="113">
        <v>45710</v>
      </c>
      <c r="Q1424" s="113">
        <v>45710</v>
      </c>
      <c r="R1424" s="113">
        <v>45710</v>
      </c>
      <c r="S1424" s="37">
        <f>IF(R1424="",0,L1424)</f>
        <v>4795200</v>
      </c>
      <c r="T1424" s="37">
        <f>L1424-S1424</f>
        <v>0</v>
      </c>
      <c r="U1424" s="10"/>
      <c r="V1424" s="52"/>
      <c r="W1424" s="52"/>
      <c r="X1424" s="10"/>
      <c r="Y1424" s="10"/>
      <c r="Z1424" s="10"/>
      <c r="AA1424" s="10"/>
      <c r="AB1424" s="10"/>
      <c r="AC1424" s="10"/>
      <c r="AD1424" s="10"/>
      <c r="AE1424" s="10"/>
    </row>
    <row r="1425" spans="1:31" ht="14.25" customHeight="1">
      <c r="A1425" s="277" t="s">
        <v>5739</v>
      </c>
      <c r="B1425" s="9" t="s">
        <v>21</v>
      </c>
      <c r="C1425" s="9">
        <v>2024</v>
      </c>
      <c r="D1425" s="9" t="s">
        <v>27</v>
      </c>
      <c r="E1425" s="90" t="s">
        <v>23</v>
      </c>
      <c r="F1425" s="9" t="s">
        <v>7</v>
      </c>
      <c r="G1425" s="120"/>
      <c r="H1425" s="142">
        <v>241892</v>
      </c>
      <c r="I1425" s="121" t="s">
        <v>747</v>
      </c>
      <c r="J1425" s="144">
        <v>45538</v>
      </c>
      <c r="K1425" s="124">
        <v>45552</v>
      </c>
      <c r="L1425" s="111">
        <v>4795200</v>
      </c>
      <c r="M1425" s="112" t="s">
        <v>749</v>
      </c>
      <c r="N1425" s="34" t="s">
        <v>29</v>
      </c>
      <c r="O1425" s="11"/>
      <c r="P1425" s="113">
        <v>45710</v>
      </c>
      <c r="Q1425" s="113">
        <v>45710</v>
      </c>
      <c r="R1425" s="113">
        <v>45710</v>
      </c>
      <c r="S1425" s="37">
        <f t="shared" ref="S1425:S1436" si="285">IF(R1425="",0,L1425)</f>
        <v>4795200</v>
      </c>
      <c r="T1425" s="37">
        <f t="shared" ref="T1425:T1436" si="286">L1425-S1425</f>
        <v>0</v>
      </c>
      <c r="U1425" s="10"/>
      <c r="V1425" s="52"/>
      <c r="W1425" s="52"/>
      <c r="X1425" s="10"/>
      <c r="Y1425" s="10"/>
      <c r="Z1425" s="10"/>
      <c r="AA1425" s="10"/>
      <c r="AB1425" s="10"/>
      <c r="AC1425" s="10"/>
      <c r="AD1425" s="10"/>
      <c r="AE1425" s="10"/>
    </row>
    <row r="1426" spans="1:31" ht="14.25" customHeight="1">
      <c r="A1426" s="277" t="s">
        <v>5740</v>
      </c>
      <c r="B1426" s="9" t="s">
        <v>21</v>
      </c>
      <c r="C1426" s="9">
        <v>2025</v>
      </c>
      <c r="D1426" s="9" t="s">
        <v>77</v>
      </c>
      <c r="E1426" s="90" t="s">
        <v>23</v>
      </c>
      <c r="F1426" s="9" t="s">
        <v>7</v>
      </c>
      <c r="G1426" s="120"/>
      <c r="H1426" s="143">
        <v>250590</v>
      </c>
      <c r="I1426" s="126" t="s">
        <v>747</v>
      </c>
      <c r="J1426" s="145">
        <v>45818</v>
      </c>
      <c r="K1426" s="146">
        <v>45867</v>
      </c>
      <c r="L1426" s="128">
        <v>1318680</v>
      </c>
      <c r="M1426" s="140" t="s">
        <v>750</v>
      </c>
      <c r="N1426" s="34">
        <f t="shared" ref="N1426:N1436" ca="1" si="287">$J$3-J1426-1</f>
        <v>421.46377638888953</v>
      </c>
      <c r="O1426" s="125">
        <f>SUM(L1426:L1429)</f>
        <v>10091565</v>
      </c>
      <c r="P1426" s="39"/>
      <c r="Q1426" s="49"/>
      <c r="R1426" s="49"/>
      <c r="S1426" s="37">
        <f t="shared" si="285"/>
        <v>0</v>
      </c>
      <c r="T1426" s="37">
        <f t="shared" si="286"/>
        <v>1318680</v>
      </c>
      <c r="U1426" s="10"/>
      <c r="V1426" s="52"/>
      <c r="W1426" s="52"/>
      <c r="X1426" s="10"/>
      <c r="Y1426" s="10"/>
      <c r="Z1426" s="10"/>
      <c r="AA1426" s="10"/>
      <c r="AB1426" s="10"/>
      <c r="AC1426" s="10"/>
      <c r="AD1426" s="10"/>
      <c r="AE1426" s="10"/>
    </row>
    <row r="1427" spans="1:31" ht="14.25" customHeight="1">
      <c r="A1427" s="277" t="s">
        <v>5741</v>
      </c>
      <c r="B1427" s="9" t="s">
        <v>21</v>
      </c>
      <c r="C1427" s="9">
        <v>2025</v>
      </c>
      <c r="D1427" s="9" t="s">
        <v>77</v>
      </c>
      <c r="E1427" s="90" t="s">
        <v>23</v>
      </c>
      <c r="F1427" s="9" t="s">
        <v>7</v>
      </c>
      <c r="G1427" s="120"/>
      <c r="H1427" s="143">
        <v>250702</v>
      </c>
      <c r="I1427" s="126" t="s">
        <v>747</v>
      </c>
      <c r="J1427" s="145">
        <v>45856</v>
      </c>
      <c r="K1427" s="146">
        <v>45874</v>
      </c>
      <c r="L1427" s="128">
        <v>2395380</v>
      </c>
      <c r="M1427" s="140" t="s">
        <v>751</v>
      </c>
      <c r="N1427" s="34">
        <f t="shared" ca="1" si="287"/>
        <v>383.46377638888953</v>
      </c>
      <c r="O1427" s="11"/>
      <c r="P1427" s="39"/>
      <c r="Q1427" s="49"/>
      <c r="R1427" s="49"/>
      <c r="S1427" s="37">
        <f t="shared" si="285"/>
        <v>0</v>
      </c>
      <c r="T1427" s="37">
        <f t="shared" si="286"/>
        <v>2395380</v>
      </c>
      <c r="U1427" s="10"/>
      <c r="V1427" s="52"/>
      <c r="W1427" s="52"/>
      <c r="X1427" s="10"/>
      <c r="Y1427" s="10"/>
      <c r="Z1427" s="10"/>
      <c r="AA1427" s="10"/>
      <c r="AB1427" s="10"/>
      <c r="AC1427" s="10"/>
      <c r="AD1427" s="10"/>
      <c r="AE1427" s="10"/>
    </row>
    <row r="1428" spans="1:31" ht="14.25" customHeight="1">
      <c r="A1428" s="277" t="s">
        <v>5742</v>
      </c>
      <c r="B1428" s="9" t="s">
        <v>21</v>
      </c>
      <c r="C1428" s="9">
        <v>2025</v>
      </c>
      <c r="D1428" s="9" t="s">
        <v>77</v>
      </c>
      <c r="E1428" s="90" t="s">
        <v>23</v>
      </c>
      <c r="F1428" s="9" t="s">
        <v>7</v>
      </c>
      <c r="G1428" s="120"/>
      <c r="H1428" s="143">
        <v>250773</v>
      </c>
      <c r="I1428" s="126" t="s">
        <v>747</v>
      </c>
      <c r="J1428" s="145">
        <v>45865</v>
      </c>
      <c r="K1428" s="146">
        <v>45874</v>
      </c>
      <c r="L1428" s="128">
        <v>5128200</v>
      </c>
      <c r="M1428" s="140" t="s">
        <v>751</v>
      </c>
      <c r="N1428" s="34">
        <f t="shared" ca="1" si="287"/>
        <v>374.46377638888953</v>
      </c>
      <c r="O1428" s="11"/>
      <c r="P1428" s="39"/>
      <c r="Q1428" s="49"/>
      <c r="R1428" s="49"/>
      <c r="S1428" s="37">
        <f t="shared" si="285"/>
        <v>0</v>
      </c>
      <c r="T1428" s="37">
        <f t="shared" si="286"/>
        <v>5128200</v>
      </c>
      <c r="U1428" s="10"/>
      <c r="V1428" s="52"/>
      <c r="W1428" s="52"/>
      <c r="X1428" s="10"/>
      <c r="Y1428" s="10"/>
      <c r="Z1428" s="10"/>
      <c r="AA1428" s="10"/>
      <c r="AB1428" s="10"/>
      <c r="AC1428" s="10"/>
      <c r="AD1428" s="10"/>
      <c r="AE1428" s="10"/>
    </row>
    <row r="1429" spans="1:31" ht="14.25" customHeight="1">
      <c r="A1429" s="277" t="s">
        <v>5743</v>
      </c>
      <c r="B1429" s="9" t="s">
        <v>21</v>
      </c>
      <c r="C1429" s="9">
        <v>2025</v>
      </c>
      <c r="D1429" s="9" t="s">
        <v>77</v>
      </c>
      <c r="E1429" s="90" t="s">
        <v>23</v>
      </c>
      <c r="F1429" s="9" t="s">
        <v>7</v>
      </c>
      <c r="G1429" s="120"/>
      <c r="H1429" s="143">
        <v>250945</v>
      </c>
      <c r="I1429" s="126" t="s">
        <v>747</v>
      </c>
      <c r="J1429" s="145">
        <v>45917</v>
      </c>
      <c r="K1429" s="146">
        <v>45939</v>
      </c>
      <c r="L1429" s="128">
        <v>1249305</v>
      </c>
      <c r="M1429" s="140" t="s">
        <v>3791</v>
      </c>
      <c r="N1429" s="34">
        <f t="shared" ca="1" si="287"/>
        <v>322.46377638888953</v>
      </c>
      <c r="O1429" s="11"/>
      <c r="P1429" s="39"/>
      <c r="Q1429" s="49"/>
      <c r="R1429" s="49"/>
      <c r="S1429" s="37">
        <f t="shared" si="285"/>
        <v>0</v>
      </c>
      <c r="T1429" s="37">
        <f t="shared" si="286"/>
        <v>1249305</v>
      </c>
      <c r="U1429" s="10"/>
      <c r="V1429" s="52"/>
      <c r="W1429" s="52"/>
      <c r="X1429" s="10"/>
      <c r="Y1429" s="10"/>
      <c r="Z1429" s="10"/>
      <c r="AA1429" s="10"/>
      <c r="AB1429" s="10"/>
      <c r="AC1429" s="10"/>
      <c r="AD1429" s="10"/>
      <c r="AE1429" s="10"/>
    </row>
    <row r="1430" spans="1:31" ht="14.25" customHeight="1">
      <c r="A1430" s="277" t="s">
        <v>5744</v>
      </c>
      <c r="B1430" s="9" t="s">
        <v>21</v>
      </c>
      <c r="C1430" s="9">
        <v>2025</v>
      </c>
      <c r="D1430" s="9" t="s">
        <v>77</v>
      </c>
      <c r="E1430" s="90" t="s">
        <v>23</v>
      </c>
      <c r="F1430" s="9" t="s">
        <v>7</v>
      </c>
      <c r="G1430" s="120"/>
      <c r="H1430" s="143">
        <v>251032</v>
      </c>
      <c r="I1430" s="126" t="s">
        <v>747</v>
      </c>
      <c r="J1430" s="145">
        <v>45938</v>
      </c>
      <c r="K1430" s="146">
        <v>45951</v>
      </c>
      <c r="L1430" s="128">
        <v>2236428</v>
      </c>
      <c r="M1430" s="140" t="s">
        <v>3866</v>
      </c>
      <c r="N1430" s="34">
        <f t="shared" ca="1" si="287"/>
        <v>301.46377638888953</v>
      </c>
      <c r="O1430" s="11"/>
      <c r="P1430" s="39"/>
      <c r="Q1430" s="49"/>
      <c r="R1430" s="49"/>
      <c r="S1430" s="37">
        <f t="shared" si="285"/>
        <v>0</v>
      </c>
      <c r="T1430" s="37">
        <f t="shared" si="286"/>
        <v>2236428</v>
      </c>
      <c r="U1430" s="10"/>
      <c r="V1430" s="52"/>
      <c r="W1430" s="52"/>
      <c r="X1430" s="10"/>
      <c r="Y1430" s="10"/>
      <c r="Z1430" s="10"/>
      <c r="AA1430" s="10"/>
      <c r="AB1430" s="10"/>
      <c r="AC1430" s="10"/>
      <c r="AD1430" s="10"/>
      <c r="AE1430" s="10"/>
    </row>
    <row r="1431" spans="1:31" ht="14.25" customHeight="1">
      <c r="A1431" s="277" t="s">
        <v>5745</v>
      </c>
      <c r="B1431" s="9" t="s">
        <v>21</v>
      </c>
      <c r="C1431" s="9">
        <v>2025</v>
      </c>
      <c r="D1431" s="9" t="s">
        <v>77</v>
      </c>
      <c r="E1431" s="90" t="s">
        <v>23</v>
      </c>
      <c r="F1431" s="9" t="s">
        <v>7</v>
      </c>
      <c r="G1431" s="120"/>
      <c r="H1431" s="143">
        <v>251169</v>
      </c>
      <c r="I1431" s="126" t="s">
        <v>747</v>
      </c>
      <c r="J1431" s="145">
        <v>45966</v>
      </c>
      <c r="K1431" s="146">
        <v>45972</v>
      </c>
      <c r="L1431" s="128">
        <v>5328000</v>
      </c>
      <c r="M1431" s="140" t="s">
        <v>3978</v>
      </c>
      <c r="N1431" s="34">
        <f t="shared" ca="1" si="287"/>
        <v>273.46377638888953</v>
      </c>
      <c r="O1431" s="11"/>
      <c r="P1431" s="39"/>
      <c r="Q1431" s="49"/>
      <c r="R1431" s="49"/>
      <c r="S1431" s="37">
        <f t="shared" si="285"/>
        <v>0</v>
      </c>
      <c r="T1431" s="37">
        <f t="shared" si="286"/>
        <v>5328000</v>
      </c>
      <c r="U1431" s="10"/>
      <c r="V1431" s="52"/>
      <c r="W1431" s="52"/>
      <c r="X1431" s="10"/>
      <c r="Y1431" s="10"/>
      <c r="Z1431" s="10"/>
      <c r="AA1431" s="10"/>
      <c r="AB1431" s="10"/>
      <c r="AC1431" s="10"/>
      <c r="AD1431" s="10"/>
      <c r="AE1431" s="10"/>
    </row>
    <row r="1432" spans="1:31" ht="14.25" customHeight="1">
      <c r="A1432" s="277" t="s">
        <v>5746</v>
      </c>
      <c r="B1432" s="9" t="s">
        <v>21</v>
      </c>
      <c r="C1432" s="9">
        <v>2025</v>
      </c>
      <c r="D1432" s="9" t="s">
        <v>77</v>
      </c>
      <c r="E1432" s="90" t="s">
        <v>23</v>
      </c>
      <c r="F1432" s="9" t="s">
        <v>7</v>
      </c>
      <c r="G1432" s="120"/>
      <c r="H1432" s="143">
        <v>251185</v>
      </c>
      <c r="I1432" s="126" t="s">
        <v>747</v>
      </c>
      <c r="J1432" s="145">
        <v>45978</v>
      </c>
      <c r="K1432" s="146">
        <v>45986</v>
      </c>
      <c r="L1432" s="128">
        <v>1771560</v>
      </c>
      <c r="M1432" s="140" t="s">
        <v>4028</v>
      </c>
      <c r="N1432" s="34">
        <f t="shared" ca="1" si="287"/>
        <v>261.46377638888953</v>
      </c>
      <c r="O1432" s="11"/>
      <c r="P1432" s="39"/>
      <c r="Q1432" s="49"/>
      <c r="R1432" s="49"/>
      <c r="S1432" s="37">
        <f t="shared" si="285"/>
        <v>0</v>
      </c>
      <c r="T1432" s="37">
        <f t="shared" si="286"/>
        <v>1771560</v>
      </c>
      <c r="U1432" s="10"/>
      <c r="V1432" s="52"/>
      <c r="W1432" s="52"/>
      <c r="X1432" s="10"/>
      <c r="Y1432" s="10"/>
      <c r="Z1432" s="10"/>
      <c r="AA1432" s="10"/>
      <c r="AB1432" s="10"/>
      <c r="AC1432" s="10"/>
      <c r="AD1432" s="10"/>
      <c r="AE1432" s="10"/>
    </row>
    <row r="1433" spans="1:31" ht="14.25" customHeight="1">
      <c r="A1433" s="277" t="s">
        <v>5747</v>
      </c>
      <c r="B1433" s="9" t="s">
        <v>21</v>
      </c>
      <c r="C1433" s="9">
        <v>2026</v>
      </c>
      <c r="D1433" s="9" t="s">
        <v>77</v>
      </c>
      <c r="E1433" s="90" t="s">
        <v>23</v>
      </c>
      <c r="F1433" s="9" t="s">
        <v>7</v>
      </c>
      <c r="G1433" s="120"/>
      <c r="H1433" s="143">
        <v>251282</v>
      </c>
      <c r="I1433" s="126" t="s">
        <v>747</v>
      </c>
      <c r="J1433" s="145">
        <v>46010</v>
      </c>
      <c r="K1433" s="146">
        <v>46128</v>
      </c>
      <c r="L1433" s="128">
        <v>399600</v>
      </c>
      <c r="M1433" s="140" t="s">
        <v>4527</v>
      </c>
      <c r="N1433" s="34">
        <f ca="1">$J$3-J1433-1</f>
        <v>229.46377638888953</v>
      </c>
      <c r="O1433" s="11"/>
      <c r="P1433" s="39"/>
      <c r="Q1433" s="49"/>
      <c r="R1433" s="49"/>
      <c r="S1433" s="37">
        <f>IF(R1433="",0,L1433)</f>
        <v>0</v>
      </c>
      <c r="T1433" s="37">
        <f>L1433-S1433</f>
        <v>399600</v>
      </c>
      <c r="U1433" s="10"/>
      <c r="V1433" s="52"/>
      <c r="W1433" s="52"/>
      <c r="X1433" s="10"/>
      <c r="Y1433" s="10"/>
      <c r="Z1433" s="10"/>
      <c r="AA1433" s="10"/>
      <c r="AB1433" s="10"/>
      <c r="AC1433" s="10"/>
      <c r="AD1433" s="10"/>
      <c r="AE1433" s="10"/>
    </row>
    <row r="1434" spans="1:31" ht="14.25" customHeight="1">
      <c r="A1434" s="277" t="s">
        <v>5748</v>
      </c>
      <c r="B1434" s="9" t="s">
        <v>21</v>
      </c>
      <c r="C1434" s="9">
        <v>2026</v>
      </c>
      <c r="D1434" s="9" t="s">
        <v>77</v>
      </c>
      <c r="E1434" s="90" t="s">
        <v>23</v>
      </c>
      <c r="F1434" s="9" t="s">
        <v>7</v>
      </c>
      <c r="G1434" s="120"/>
      <c r="H1434" s="143">
        <v>260102</v>
      </c>
      <c r="I1434" s="126" t="s">
        <v>747</v>
      </c>
      <c r="J1434" s="145">
        <v>46058</v>
      </c>
      <c r="K1434" s="146">
        <v>46077</v>
      </c>
      <c r="L1434" s="128">
        <v>510600</v>
      </c>
      <c r="M1434" s="140" t="s">
        <v>4400</v>
      </c>
      <c r="N1434" s="34">
        <f t="shared" ca="1" si="287"/>
        <v>181.46377638888953</v>
      </c>
      <c r="O1434" s="11"/>
      <c r="P1434" s="39"/>
      <c r="Q1434" s="49"/>
      <c r="R1434" s="49"/>
      <c r="S1434" s="37">
        <f t="shared" si="285"/>
        <v>0</v>
      </c>
      <c r="T1434" s="37">
        <f t="shared" si="286"/>
        <v>510600</v>
      </c>
      <c r="U1434" s="10"/>
      <c r="V1434" s="52"/>
      <c r="W1434" s="52"/>
      <c r="X1434" s="10"/>
      <c r="Y1434" s="10"/>
      <c r="Z1434" s="10"/>
      <c r="AA1434" s="10"/>
      <c r="AB1434" s="10"/>
      <c r="AC1434" s="10"/>
      <c r="AD1434" s="10"/>
      <c r="AE1434" s="10"/>
    </row>
    <row r="1435" spans="1:31" ht="14.25" customHeight="1">
      <c r="A1435" s="277" t="s">
        <v>5749</v>
      </c>
      <c r="B1435" s="9" t="s">
        <v>21</v>
      </c>
      <c r="C1435" s="9">
        <v>2026</v>
      </c>
      <c r="D1435" s="9" t="s">
        <v>77</v>
      </c>
      <c r="E1435" s="90" t="s">
        <v>23</v>
      </c>
      <c r="F1435" s="9" t="s">
        <v>7</v>
      </c>
      <c r="G1435" s="120"/>
      <c r="H1435" s="143">
        <v>260078</v>
      </c>
      <c r="I1435" s="126" t="s">
        <v>747</v>
      </c>
      <c r="J1435" s="145">
        <v>46058</v>
      </c>
      <c r="K1435" s="146">
        <v>46077</v>
      </c>
      <c r="L1435" s="128">
        <v>666000</v>
      </c>
      <c r="M1435" s="140" t="s">
        <v>4401</v>
      </c>
      <c r="N1435" s="34">
        <f t="shared" ca="1" si="287"/>
        <v>181.46377638888953</v>
      </c>
      <c r="O1435" s="11"/>
      <c r="P1435" s="39"/>
      <c r="Q1435" s="49"/>
      <c r="R1435" s="49"/>
      <c r="S1435" s="37">
        <f t="shared" si="285"/>
        <v>0</v>
      </c>
      <c r="T1435" s="37">
        <f t="shared" si="286"/>
        <v>666000</v>
      </c>
      <c r="U1435" s="10"/>
      <c r="V1435" s="52"/>
      <c r="W1435" s="52"/>
      <c r="X1435" s="10"/>
      <c r="Y1435" s="10"/>
      <c r="Z1435" s="10"/>
      <c r="AA1435" s="10"/>
      <c r="AB1435" s="10"/>
      <c r="AC1435" s="10"/>
      <c r="AD1435" s="10"/>
      <c r="AE1435" s="10"/>
    </row>
    <row r="1436" spans="1:31" ht="14.25" customHeight="1">
      <c r="A1436" s="277" t="s">
        <v>5750</v>
      </c>
      <c r="B1436" s="9" t="s">
        <v>21</v>
      </c>
      <c r="C1436" s="9">
        <v>2026</v>
      </c>
      <c r="D1436" s="9" t="s">
        <v>77</v>
      </c>
      <c r="E1436" s="90" t="s">
        <v>23</v>
      </c>
      <c r="F1436" s="9" t="s">
        <v>7</v>
      </c>
      <c r="G1436" s="120"/>
      <c r="H1436" s="143">
        <v>26077</v>
      </c>
      <c r="I1436" s="126" t="s">
        <v>747</v>
      </c>
      <c r="J1436" s="145">
        <v>46057</v>
      </c>
      <c r="K1436" s="146">
        <v>46077</v>
      </c>
      <c r="L1436" s="128">
        <v>2595180</v>
      </c>
      <c r="M1436" s="140" t="s">
        <v>4401</v>
      </c>
      <c r="N1436" s="34">
        <f t="shared" ca="1" si="287"/>
        <v>182.46377638888953</v>
      </c>
      <c r="O1436" s="11"/>
      <c r="P1436" s="39"/>
      <c r="Q1436" s="49"/>
      <c r="R1436" s="49"/>
      <c r="S1436" s="37">
        <f t="shared" si="285"/>
        <v>0</v>
      </c>
      <c r="T1436" s="37">
        <f t="shared" si="286"/>
        <v>2595180</v>
      </c>
      <c r="U1436" s="10"/>
      <c r="V1436" s="52"/>
      <c r="W1436" s="52"/>
      <c r="X1436" s="10"/>
      <c r="Y1436" s="10"/>
      <c r="Z1436" s="10"/>
      <c r="AA1436" s="10"/>
      <c r="AB1436" s="10"/>
      <c r="AC1436" s="10"/>
      <c r="AD1436" s="10"/>
      <c r="AE1436" s="10"/>
    </row>
    <row r="1437" spans="1:31" ht="14.25" customHeight="1">
      <c r="A1437" s="277" t="s">
        <v>5751</v>
      </c>
      <c r="B1437" s="9" t="s">
        <v>21</v>
      </c>
      <c r="C1437" s="9">
        <v>2026</v>
      </c>
      <c r="D1437" s="9" t="s">
        <v>77</v>
      </c>
      <c r="E1437" s="90" t="s">
        <v>23</v>
      </c>
      <c r="F1437" s="9" t="s">
        <v>7</v>
      </c>
      <c r="G1437" s="120"/>
      <c r="H1437" s="143">
        <v>260189</v>
      </c>
      <c r="I1437" s="126" t="s">
        <v>747</v>
      </c>
      <c r="J1437" s="145">
        <v>46112</v>
      </c>
      <c r="K1437" s="146">
        <v>46128</v>
      </c>
      <c r="L1437" s="128">
        <v>5328000</v>
      </c>
      <c r="M1437" s="140" t="s">
        <v>4526</v>
      </c>
      <c r="N1437" s="34">
        <f ca="1">$J$3-J1437-1</f>
        <v>127.46377638888953</v>
      </c>
      <c r="O1437" s="11"/>
      <c r="P1437" s="39"/>
      <c r="Q1437" s="49"/>
      <c r="R1437" s="49"/>
      <c r="S1437" s="37">
        <f>IF(R1437="",0,L1437)</f>
        <v>0</v>
      </c>
      <c r="T1437" s="37">
        <f>L1437-S1437</f>
        <v>5328000</v>
      </c>
      <c r="U1437" s="10"/>
      <c r="V1437" s="52"/>
      <c r="W1437" s="52"/>
      <c r="X1437" s="10"/>
      <c r="Y1437" s="10"/>
      <c r="Z1437" s="10"/>
      <c r="AA1437" s="10"/>
      <c r="AB1437" s="10"/>
      <c r="AC1437" s="10"/>
      <c r="AD1437" s="10"/>
      <c r="AE1437" s="10"/>
    </row>
    <row r="1438" spans="1:31" ht="14.25" customHeight="1">
      <c r="A1438" s="277" t="s">
        <v>5752</v>
      </c>
      <c r="B1438" s="9" t="s">
        <v>21</v>
      </c>
      <c r="C1438" s="9"/>
      <c r="D1438" s="9"/>
      <c r="E1438" s="90"/>
      <c r="F1438" s="9"/>
      <c r="G1438" s="10"/>
      <c r="H1438" s="9"/>
      <c r="I1438" s="11"/>
      <c r="J1438" s="12"/>
      <c r="K1438" s="12"/>
      <c r="L1438" s="52"/>
      <c r="M1438" s="10"/>
      <c r="N1438" s="114">
        <f ca="1">$J$3-J1438</f>
        <v>46240.46377638889</v>
      </c>
      <c r="O1438" s="11"/>
      <c r="P1438" s="39"/>
      <c r="Q1438" s="39"/>
      <c r="R1438" s="39"/>
      <c r="S1438" s="37">
        <f>IF(R1438="",0,L1438)</f>
        <v>0</v>
      </c>
      <c r="T1438" s="37">
        <f>L1438-S1438</f>
        <v>0</v>
      </c>
      <c r="U1438" s="10"/>
      <c r="V1438" s="10"/>
      <c r="W1438" s="10"/>
      <c r="X1438" s="10"/>
      <c r="Y1438" s="10"/>
      <c r="Z1438" s="10"/>
      <c r="AA1438" s="10"/>
      <c r="AB1438" s="10"/>
      <c r="AC1438" s="10"/>
      <c r="AD1438" s="10"/>
      <c r="AE1438" s="10"/>
    </row>
    <row r="1439" spans="1:31" ht="14.25" customHeight="1">
      <c r="A1439" s="277" t="s">
        <v>5753</v>
      </c>
      <c r="B1439" s="9" t="s">
        <v>21</v>
      </c>
      <c r="C1439" s="9"/>
      <c r="D1439" s="9"/>
      <c r="E1439" s="90"/>
      <c r="F1439" s="9"/>
      <c r="G1439" s="10"/>
      <c r="H1439" s="9"/>
      <c r="I1439" s="11"/>
      <c r="J1439" s="12"/>
      <c r="K1439" s="12"/>
      <c r="L1439" s="52"/>
      <c r="M1439" s="10"/>
      <c r="N1439" s="9"/>
      <c r="O1439" s="11"/>
      <c r="P1439" s="39"/>
      <c r="Q1439" s="39"/>
      <c r="R1439" s="39"/>
      <c r="S1439" s="37"/>
      <c r="T1439" s="37"/>
      <c r="U1439" s="10"/>
      <c r="V1439" s="10"/>
      <c r="W1439" s="10"/>
      <c r="X1439" s="10"/>
      <c r="Y1439" s="10"/>
      <c r="Z1439" s="10"/>
      <c r="AA1439" s="10"/>
      <c r="AB1439" s="10"/>
      <c r="AC1439" s="10"/>
      <c r="AD1439" s="10"/>
      <c r="AE1439" s="10"/>
    </row>
    <row r="1440" spans="1:31">
      <c r="A1440" s="277" t="s">
        <v>5754</v>
      </c>
      <c r="B1440" s="9" t="s">
        <v>21</v>
      </c>
      <c r="C1440" s="9"/>
      <c r="D1440" s="9"/>
      <c r="E1440" s="90"/>
      <c r="F1440" s="9"/>
      <c r="G1440" s="94" t="s">
        <v>24</v>
      </c>
      <c r="H1440" s="95" t="s">
        <v>752</v>
      </c>
      <c r="I1440" s="104"/>
      <c r="J1440" s="105"/>
      <c r="K1440" s="105"/>
      <c r="L1440" s="106">
        <f>SUM(L1441:L1457)</f>
        <v>77704000</v>
      </c>
      <c r="M1440" s="107"/>
      <c r="N1440" s="108" t="s">
        <v>26</v>
      </c>
      <c r="O1440" s="108"/>
      <c r="P1440" s="108"/>
      <c r="Q1440" s="108"/>
      <c r="R1440" s="108"/>
      <c r="S1440" s="106">
        <f>SUM(S1441:S1457)</f>
        <v>42528000</v>
      </c>
      <c r="T1440" s="106">
        <f>SUM(T1441:T1457)</f>
        <v>35176000</v>
      </c>
      <c r="U1440" s="10"/>
      <c r="V1440" s="52">
        <f>L1440-S1440</f>
        <v>35176000</v>
      </c>
      <c r="W1440" s="52">
        <f>T1440-V1440</f>
        <v>0</v>
      </c>
      <c r="X1440" s="10"/>
      <c r="Y1440" s="10"/>
      <c r="Z1440" s="10"/>
      <c r="AA1440" s="10"/>
      <c r="AB1440" s="10"/>
      <c r="AC1440" s="10"/>
      <c r="AD1440" s="10"/>
      <c r="AE1440" s="10"/>
    </row>
    <row r="1441" spans="1:31" hidden="1">
      <c r="A1441" s="277" t="s">
        <v>5755</v>
      </c>
      <c r="B1441" s="9" t="s">
        <v>21</v>
      </c>
      <c r="C1441" s="9">
        <v>2025</v>
      </c>
      <c r="D1441" s="9" t="s">
        <v>27</v>
      </c>
      <c r="E1441" s="90" t="s">
        <v>23</v>
      </c>
      <c r="F1441" s="9" t="s">
        <v>7</v>
      </c>
      <c r="G1441" s="10"/>
      <c r="H1441" s="96">
        <v>250182</v>
      </c>
      <c r="I1441" s="109" t="s">
        <v>752</v>
      </c>
      <c r="J1441" s="115">
        <v>45706</v>
      </c>
      <c r="K1441" s="115">
        <v>45728</v>
      </c>
      <c r="L1441" s="116">
        <v>8532000</v>
      </c>
      <c r="M1441" s="117" t="s">
        <v>753</v>
      </c>
      <c r="N1441" s="34" t="s">
        <v>29</v>
      </c>
      <c r="O1441" s="11"/>
      <c r="P1441" s="113">
        <v>45810</v>
      </c>
      <c r="Q1441" s="113">
        <v>45810</v>
      </c>
      <c r="R1441" s="113">
        <v>45810</v>
      </c>
      <c r="S1441" s="37">
        <f t="shared" ref="S1441:S1456" si="288">IF(R1441="",0,L1441)</f>
        <v>8532000</v>
      </c>
      <c r="T1441" s="37">
        <f t="shared" ref="T1441:T1456" si="289">L1441-S1441</f>
        <v>0</v>
      </c>
      <c r="U1441" s="10"/>
      <c r="V1441" s="10"/>
      <c r="W1441" s="10"/>
      <c r="X1441" s="10"/>
      <c r="Y1441" s="10"/>
      <c r="Z1441" s="10"/>
      <c r="AA1441" s="10"/>
      <c r="AB1441" s="10"/>
      <c r="AC1441" s="10"/>
      <c r="AD1441" s="10"/>
      <c r="AE1441" s="10"/>
    </row>
    <row r="1442" spans="1:31" hidden="1">
      <c r="A1442" s="277" t="s">
        <v>5756</v>
      </c>
      <c r="B1442" s="9" t="s">
        <v>21</v>
      </c>
      <c r="C1442" s="9">
        <v>2025</v>
      </c>
      <c r="D1442" s="9" t="s">
        <v>27</v>
      </c>
      <c r="E1442" s="90" t="s">
        <v>23</v>
      </c>
      <c r="F1442" s="9" t="s">
        <v>7</v>
      </c>
      <c r="G1442" s="10"/>
      <c r="H1442" s="96">
        <v>250416</v>
      </c>
      <c r="I1442" s="109" t="s">
        <v>752</v>
      </c>
      <c r="J1442" s="115">
        <v>45758</v>
      </c>
      <c r="K1442" s="115">
        <v>45787</v>
      </c>
      <c r="L1442" s="116">
        <v>2410000</v>
      </c>
      <c r="M1442" s="117" t="s">
        <v>754</v>
      </c>
      <c r="N1442" s="34" t="s">
        <v>29</v>
      </c>
      <c r="O1442" s="31">
        <f>SUM(L1442:L1445)</f>
        <v>11910000</v>
      </c>
      <c r="P1442" s="113">
        <v>45982</v>
      </c>
      <c r="Q1442" s="113">
        <v>45982</v>
      </c>
      <c r="R1442" s="113">
        <v>45982</v>
      </c>
      <c r="S1442" s="37">
        <f t="shared" si="288"/>
        <v>2410000</v>
      </c>
      <c r="T1442" s="37">
        <f t="shared" si="289"/>
        <v>0</v>
      </c>
      <c r="U1442" s="10"/>
      <c r="V1442" s="10"/>
      <c r="W1442" s="10"/>
      <c r="X1442" s="10"/>
      <c r="Y1442" s="10"/>
      <c r="Z1442" s="10"/>
      <c r="AA1442" s="10"/>
      <c r="AB1442" s="10"/>
      <c r="AC1442" s="10"/>
      <c r="AD1442" s="10"/>
      <c r="AE1442" s="10"/>
    </row>
    <row r="1443" spans="1:31" hidden="1">
      <c r="A1443" s="277" t="s">
        <v>5757</v>
      </c>
      <c r="B1443" s="9" t="s">
        <v>21</v>
      </c>
      <c r="C1443" s="9">
        <v>2025</v>
      </c>
      <c r="D1443" s="9" t="s">
        <v>27</v>
      </c>
      <c r="E1443" s="90" t="s">
        <v>23</v>
      </c>
      <c r="F1443" s="9" t="s">
        <v>7</v>
      </c>
      <c r="G1443" s="10"/>
      <c r="H1443" s="96">
        <v>250460</v>
      </c>
      <c r="I1443" s="109" t="s">
        <v>752</v>
      </c>
      <c r="J1443" s="115">
        <v>45768</v>
      </c>
      <c r="K1443" s="115">
        <v>45790</v>
      </c>
      <c r="L1443" s="116">
        <v>1500000</v>
      </c>
      <c r="M1443" s="117" t="s">
        <v>755</v>
      </c>
      <c r="N1443" s="34" t="s">
        <v>29</v>
      </c>
      <c r="O1443" s="11"/>
      <c r="P1443" s="113">
        <v>45982</v>
      </c>
      <c r="Q1443" s="113">
        <v>45982</v>
      </c>
      <c r="R1443" s="113">
        <v>45982</v>
      </c>
      <c r="S1443" s="37">
        <f t="shared" si="288"/>
        <v>1500000</v>
      </c>
      <c r="T1443" s="37">
        <f t="shared" si="289"/>
        <v>0</v>
      </c>
      <c r="U1443" s="10"/>
      <c r="V1443" s="10"/>
      <c r="W1443" s="10"/>
      <c r="X1443" s="10"/>
      <c r="Y1443" s="10"/>
      <c r="Z1443" s="10"/>
      <c r="AA1443" s="10"/>
      <c r="AB1443" s="10"/>
      <c r="AC1443" s="10"/>
      <c r="AD1443" s="10"/>
      <c r="AE1443" s="10"/>
    </row>
    <row r="1444" spans="1:31" hidden="1">
      <c r="A1444" s="277" t="s">
        <v>5758</v>
      </c>
      <c r="B1444" s="9" t="s">
        <v>21</v>
      </c>
      <c r="C1444" s="9">
        <v>2025</v>
      </c>
      <c r="D1444" s="9" t="s">
        <v>27</v>
      </c>
      <c r="E1444" s="90" t="s">
        <v>23</v>
      </c>
      <c r="F1444" s="9" t="s">
        <v>7</v>
      </c>
      <c r="G1444" s="10"/>
      <c r="H1444" s="96">
        <v>250502</v>
      </c>
      <c r="I1444" s="109" t="s">
        <v>752</v>
      </c>
      <c r="J1444" s="115">
        <v>45783</v>
      </c>
      <c r="K1444" s="115">
        <v>45790</v>
      </c>
      <c r="L1444" s="116">
        <v>4000000</v>
      </c>
      <c r="M1444" s="117" t="s">
        <v>756</v>
      </c>
      <c r="N1444" s="34" t="s">
        <v>29</v>
      </c>
      <c r="O1444" s="11"/>
      <c r="P1444" s="113">
        <v>45982</v>
      </c>
      <c r="Q1444" s="113">
        <v>45982</v>
      </c>
      <c r="R1444" s="113">
        <v>45982</v>
      </c>
      <c r="S1444" s="37">
        <f t="shared" si="288"/>
        <v>4000000</v>
      </c>
      <c r="T1444" s="37">
        <f t="shared" si="289"/>
        <v>0</v>
      </c>
      <c r="U1444" s="10"/>
      <c r="V1444" s="10"/>
      <c r="W1444" s="10"/>
      <c r="X1444" s="10"/>
      <c r="Y1444" s="10"/>
      <c r="Z1444" s="10"/>
      <c r="AA1444" s="10"/>
      <c r="AB1444" s="10"/>
      <c r="AC1444" s="10"/>
      <c r="AD1444" s="10"/>
      <c r="AE1444" s="10"/>
    </row>
    <row r="1445" spans="1:31" hidden="1">
      <c r="A1445" s="277" t="s">
        <v>5759</v>
      </c>
      <c r="B1445" s="9" t="s">
        <v>21</v>
      </c>
      <c r="C1445" s="9">
        <v>2025</v>
      </c>
      <c r="D1445" s="9" t="s">
        <v>27</v>
      </c>
      <c r="E1445" s="90" t="s">
        <v>23</v>
      </c>
      <c r="F1445" s="9" t="s">
        <v>7</v>
      </c>
      <c r="G1445" s="10"/>
      <c r="H1445" s="96">
        <v>250617</v>
      </c>
      <c r="I1445" s="109" t="s">
        <v>752</v>
      </c>
      <c r="J1445" s="115">
        <v>45828</v>
      </c>
      <c r="K1445" s="115">
        <v>45846</v>
      </c>
      <c r="L1445" s="116">
        <v>4000000</v>
      </c>
      <c r="M1445" s="117" t="s">
        <v>757</v>
      </c>
      <c r="N1445" s="34" t="s">
        <v>29</v>
      </c>
      <c r="O1445" s="11"/>
      <c r="P1445" s="113">
        <v>45982</v>
      </c>
      <c r="Q1445" s="113">
        <v>45982</v>
      </c>
      <c r="R1445" s="113">
        <v>45982</v>
      </c>
      <c r="S1445" s="37">
        <f t="shared" si="288"/>
        <v>4000000</v>
      </c>
      <c r="T1445" s="37">
        <f t="shared" si="289"/>
        <v>0</v>
      </c>
      <c r="U1445" s="10"/>
      <c r="V1445" s="10"/>
      <c r="W1445" s="10"/>
      <c r="X1445" s="10"/>
      <c r="Y1445" s="10"/>
      <c r="Z1445" s="10"/>
      <c r="AA1445" s="10"/>
      <c r="AB1445" s="10"/>
      <c r="AC1445" s="10"/>
      <c r="AD1445" s="10"/>
      <c r="AE1445" s="10"/>
    </row>
    <row r="1446" spans="1:31" hidden="1">
      <c r="A1446" s="277" t="s">
        <v>5760</v>
      </c>
      <c r="B1446" s="9" t="s">
        <v>21</v>
      </c>
      <c r="C1446" s="9">
        <v>2025</v>
      </c>
      <c r="D1446" s="9" t="s">
        <v>27</v>
      </c>
      <c r="E1446" s="90" t="s">
        <v>23</v>
      </c>
      <c r="F1446" s="9" t="s">
        <v>7</v>
      </c>
      <c r="G1446" s="10"/>
      <c r="H1446" s="96">
        <v>250858</v>
      </c>
      <c r="I1446" s="109" t="s">
        <v>752</v>
      </c>
      <c r="J1446" s="115">
        <v>45891</v>
      </c>
      <c r="K1446" s="115">
        <v>46036</v>
      </c>
      <c r="L1446" s="116">
        <v>1110000</v>
      </c>
      <c r="M1446" s="117" t="s">
        <v>4213</v>
      </c>
      <c r="N1446" s="34" t="s">
        <v>29</v>
      </c>
      <c r="O1446" s="11"/>
      <c r="P1446" s="113">
        <v>46036</v>
      </c>
      <c r="Q1446" s="113">
        <v>46036</v>
      </c>
      <c r="R1446" s="113">
        <v>46036</v>
      </c>
      <c r="S1446" s="37">
        <f t="shared" si="288"/>
        <v>1110000</v>
      </c>
      <c r="T1446" s="37">
        <f t="shared" si="289"/>
        <v>0</v>
      </c>
      <c r="U1446" s="10"/>
      <c r="V1446" s="10"/>
      <c r="W1446" s="10"/>
      <c r="X1446" s="10"/>
      <c r="Y1446" s="10"/>
      <c r="Z1446" s="10"/>
      <c r="AA1446" s="10"/>
      <c r="AB1446" s="10"/>
      <c r="AC1446" s="10"/>
      <c r="AD1446" s="10"/>
      <c r="AE1446" s="10"/>
    </row>
    <row r="1447" spans="1:31" hidden="1">
      <c r="A1447" s="277" t="s">
        <v>5761</v>
      </c>
      <c r="B1447" s="9" t="s">
        <v>21</v>
      </c>
      <c r="C1447" s="9">
        <v>2025</v>
      </c>
      <c r="D1447" s="9" t="s">
        <v>27</v>
      </c>
      <c r="E1447" s="90" t="s">
        <v>23</v>
      </c>
      <c r="F1447" s="9" t="s">
        <v>7</v>
      </c>
      <c r="G1447" s="10"/>
      <c r="H1447" s="96">
        <v>251180</v>
      </c>
      <c r="I1447" s="109" t="s">
        <v>752</v>
      </c>
      <c r="J1447" s="115">
        <v>45971</v>
      </c>
      <c r="K1447" s="115">
        <v>46036</v>
      </c>
      <c r="L1447" s="116">
        <v>5866000</v>
      </c>
      <c r="M1447" s="117" t="s">
        <v>4212</v>
      </c>
      <c r="N1447" s="34" t="s">
        <v>29</v>
      </c>
      <c r="O1447" s="11"/>
      <c r="P1447" s="113">
        <v>46036</v>
      </c>
      <c r="Q1447" s="113">
        <v>46036</v>
      </c>
      <c r="R1447" s="113">
        <v>46036</v>
      </c>
      <c r="S1447" s="37">
        <f t="shared" si="288"/>
        <v>5866000</v>
      </c>
      <c r="T1447" s="37">
        <f t="shared" si="289"/>
        <v>0</v>
      </c>
      <c r="U1447" s="10"/>
      <c r="V1447" s="10"/>
      <c r="W1447" s="10"/>
      <c r="X1447" s="10"/>
      <c r="Y1447" s="10"/>
      <c r="Z1447" s="10"/>
      <c r="AA1447" s="10"/>
      <c r="AB1447" s="10"/>
      <c r="AC1447" s="10"/>
      <c r="AD1447" s="10"/>
      <c r="AE1447" s="10"/>
    </row>
    <row r="1448" spans="1:31" ht="14.25" hidden="1" customHeight="1">
      <c r="A1448" s="277" t="s">
        <v>5762</v>
      </c>
      <c r="B1448" s="9" t="s">
        <v>21</v>
      </c>
      <c r="C1448" s="9">
        <v>2025</v>
      </c>
      <c r="D1448" s="9" t="s">
        <v>27</v>
      </c>
      <c r="E1448" s="90" t="s">
        <v>23</v>
      </c>
      <c r="F1448" s="9" t="s">
        <v>7</v>
      </c>
      <c r="G1448" s="10"/>
      <c r="H1448" s="96">
        <v>250694</v>
      </c>
      <c r="I1448" s="109" t="s">
        <v>752</v>
      </c>
      <c r="J1448" s="115">
        <v>45834</v>
      </c>
      <c r="K1448" s="115">
        <v>46083</v>
      </c>
      <c r="L1448" s="116">
        <v>9110000</v>
      </c>
      <c r="M1448" s="117" t="s">
        <v>4421</v>
      </c>
      <c r="N1448" s="34" t="s">
        <v>29</v>
      </c>
      <c r="O1448" s="31">
        <f>SUM(L1448:L1449)</f>
        <v>15110000</v>
      </c>
      <c r="P1448" s="113">
        <v>46195</v>
      </c>
      <c r="Q1448" s="113">
        <v>46195</v>
      </c>
      <c r="R1448" s="113">
        <v>46195</v>
      </c>
      <c r="S1448" s="37">
        <f t="shared" si="288"/>
        <v>9110000</v>
      </c>
      <c r="T1448" s="37">
        <f t="shared" si="289"/>
        <v>0</v>
      </c>
      <c r="U1448" s="10"/>
      <c r="V1448" s="10"/>
      <c r="W1448" s="10"/>
      <c r="X1448" s="10"/>
      <c r="Y1448" s="10"/>
      <c r="Z1448" s="10"/>
      <c r="AA1448" s="10"/>
      <c r="AB1448" s="10"/>
      <c r="AC1448" s="10"/>
      <c r="AD1448" s="10"/>
      <c r="AE1448" s="10"/>
    </row>
    <row r="1449" spans="1:31" ht="14.25" customHeight="1">
      <c r="A1449" s="277" t="s">
        <v>5763</v>
      </c>
      <c r="B1449" s="9" t="s">
        <v>21</v>
      </c>
      <c r="C1449" s="9">
        <v>2025</v>
      </c>
      <c r="D1449" s="9" t="s">
        <v>27</v>
      </c>
      <c r="E1449" s="90" t="s">
        <v>23</v>
      </c>
      <c r="F1449" s="9" t="s">
        <v>7</v>
      </c>
      <c r="G1449" s="10"/>
      <c r="H1449" s="96">
        <v>251229</v>
      </c>
      <c r="I1449" s="109" t="s">
        <v>752</v>
      </c>
      <c r="J1449" s="115">
        <v>45993</v>
      </c>
      <c r="K1449" s="115">
        <v>46036</v>
      </c>
      <c r="L1449" s="116">
        <v>6000000</v>
      </c>
      <c r="M1449" s="117" t="s">
        <v>4228</v>
      </c>
      <c r="N1449" s="34" t="s">
        <v>29</v>
      </c>
      <c r="O1449" s="11"/>
      <c r="P1449" s="113">
        <v>46195</v>
      </c>
      <c r="Q1449" s="113">
        <v>46195</v>
      </c>
      <c r="R1449" s="113">
        <v>46195</v>
      </c>
      <c r="S1449" s="37">
        <f t="shared" si="288"/>
        <v>6000000</v>
      </c>
      <c r="T1449" s="37">
        <f t="shared" si="289"/>
        <v>0</v>
      </c>
      <c r="U1449" s="10"/>
      <c r="V1449" s="10"/>
      <c r="W1449" s="10"/>
      <c r="X1449" s="10"/>
      <c r="Y1449" s="10"/>
      <c r="Z1449" s="10"/>
      <c r="AA1449" s="10"/>
      <c r="AB1449" s="10"/>
      <c r="AC1449" s="10"/>
      <c r="AD1449" s="10"/>
      <c r="AE1449" s="10"/>
    </row>
    <row r="1450" spans="1:31" ht="14.25" customHeight="1">
      <c r="A1450" s="277" t="s">
        <v>5764</v>
      </c>
      <c r="B1450" s="9" t="s">
        <v>21</v>
      </c>
      <c r="C1450" s="9">
        <v>2026</v>
      </c>
      <c r="D1450" s="9" t="s">
        <v>77</v>
      </c>
      <c r="E1450" s="90" t="s">
        <v>23</v>
      </c>
      <c r="F1450" s="9" t="s">
        <v>7</v>
      </c>
      <c r="G1450" s="10"/>
      <c r="H1450" s="9">
        <v>251180</v>
      </c>
      <c r="I1450" s="11" t="s">
        <v>752</v>
      </c>
      <c r="J1450" s="12">
        <v>46010</v>
      </c>
      <c r="K1450" s="12">
        <v>46036</v>
      </c>
      <c r="L1450" s="27">
        <v>6400000</v>
      </c>
      <c r="M1450" s="10" t="s">
        <v>4229</v>
      </c>
      <c r="N1450" s="34">
        <f t="shared" ref="N1450:N1455" ca="1" si="290">$J$3-J1450-1</f>
        <v>229.46377638888953</v>
      </c>
      <c r="O1450" s="11"/>
      <c r="P1450" s="39"/>
      <c r="Q1450" s="39"/>
      <c r="R1450" s="39"/>
      <c r="S1450" s="37">
        <f t="shared" si="288"/>
        <v>0</v>
      </c>
      <c r="T1450" s="37">
        <f t="shared" si="289"/>
        <v>6400000</v>
      </c>
      <c r="U1450" s="10"/>
      <c r="V1450" s="10"/>
      <c r="W1450" s="10"/>
      <c r="X1450" s="10"/>
      <c r="Y1450" s="10"/>
      <c r="Z1450" s="10"/>
      <c r="AA1450" s="10"/>
      <c r="AB1450" s="10"/>
      <c r="AC1450" s="10"/>
      <c r="AD1450" s="10"/>
      <c r="AE1450" s="10"/>
    </row>
    <row r="1451" spans="1:31" ht="14.25" customHeight="1">
      <c r="A1451" s="277" t="s">
        <v>5765</v>
      </c>
      <c r="B1451" s="9" t="s">
        <v>21</v>
      </c>
      <c r="C1451" s="9">
        <v>2026</v>
      </c>
      <c r="D1451" s="9" t="s">
        <v>77</v>
      </c>
      <c r="E1451" s="90" t="s">
        <v>23</v>
      </c>
      <c r="F1451" s="9" t="s">
        <v>7</v>
      </c>
      <c r="G1451" s="10"/>
      <c r="H1451" s="9">
        <v>260024</v>
      </c>
      <c r="I1451" s="11" t="s">
        <v>752</v>
      </c>
      <c r="J1451" s="12">
        <v>46037</v>
      </c>
      <c r="K1451" s="12">
        <v>46057</v>
      </c>
      <c r="L1451" s="27">
        <v>1110000</v>
      </c>
      <c r="M1451" s="10" t="s">
        <v>4307</v>
      </c>
      <c r="N1451" s="34">
        <f t="shared" ca="1" si="290"/>
        <v>202.46377638888953</v>
      </c>
      <c r="O1451" s="11"/>
      <c r="P1451" s="39"/>
      <c r="Q1451" s="39"/>
      <c r="R1451" s="39"/>
      <c r="S1451" s="37">
        <f t="shared" si="288"/>
        <v>0</v>
      </c>
      <c r="T1451" s="37">
        <f t="shared" si="289"/>
        <v>1110000</v>
      </c>
      <c r="U1451" s="10"/>
      <c r="V1451" s="10"/>
      <c r="W1451" s="10"/>
      <c r="X1451" s="10"/>
      <c r="Y1451" s="10"/>
      <c r="Z1451" s="10"/>
      <c r="AA1451" s="10"/>
      <c r="AB1451" s="10"/>
      <c r="AC1451" s="10"/>
      <c r="AD1451" s="10"/>
      <c r="AE1451" s="10"/>
    </row>
    <row r="1452" spans="1:31" ht="14.25" customHeight="1">
      <c r="A1452" s="277" t="s">
        <v>5766</v>
      </c>
      <c r="B1452" s="9" t="s">
        <v>21</v>
      </c>
      <c r="C1452" s="9">
        <v>2026</v>
      </c>
      <c r="D1452" s="9" t="s">
        <v>77</v>
      </c>
      <c r="E1452" s="90" t="s">
        <v>23</v>
      </c>
      <c r="F1452" s="9" t="s">
        <v>7</v>
      </c>
      <c r="G1452" s="10"/>
      <c r="H1452" s="9">
        <v>260184</v>
      </c>
      <c r="I1452" s="11" t="s">
        <v>752</v>
      </c>
      <c r="J1452" s="12">
        <v>46098</v>
      </c>
      <c r="K1452" s="12">
        <v>46106</v>
      </c>
      <c r="L1452" s="27">
        <v>6860000</v>
      </c>
      <c r="M1452" s="10" t="s">
        <v>4477</v>
      </c>
      <c r="N1452" s="34">
        <f t="shared" ca="1" si="290"/>
        <v>141.46377638888953</v>
      </c>
      <c r="O1452" s="11"/>
      <c r="P1452" s="39"/>
      <c r="Q1452" s="39"/>
      <c r="R1452" s="39"/>
      <c r="S1452" s="37">
        <f t="shared" si="288"/>
        <v>0</v>
      </c>
      <c r="T1452" s="37">
        <f t="shared" si="289"/>
        <v>6860000</v>
      </c>
      <c r="U1452" s="10"/>
      <c r="V1452" s="10"/>
      <c r="W1452" s="10"/>
      <c r="X1452" s="10"/>
      <c r="Y1452" s="10"/>
      <c r="Z1452" s="10"/>
      <c r="AA1452" s="10"/>
      <c r="AB1452" s="10"/>
      <c r="AC1452" s="10"/>
      <c r="AD1452" s="10"/>
      <c r="AE1452" s="10"/>
    </row>
    <row r="1453" spans="1:31" ht="14.25" customHeight="1">
      <c r="A1453" s="277" t="s">
        <v>5767</v>
      </c>
      <c r="B1453" s="9" t="s">
        <v>21</v>
      </c>
      <c r="C1453" s="9">
        <v>2026</v>
      </c>
      <c r="D1453" s="9" t="s">
        <v>77</v>
      </c>
      <c r="E1453" s="90" t="s">
        <v>23</v>
      </c>
      <c r="F1453" s="9" t="s">
        <v>7</v>
      </c>
      <c r="G1453" s="10"/>
      <c r="H1453" s="9">
        <v>260259</v>
      </c>
      <c r="I1453" s="11" t="s">
        <v>752</v>
      </c>
      <c r="J1453" s="12">
        <v>46144</v>
      </c>
      <c r="K1453" s="12">
        <v>46162</v>
      </c>
      <c r="L1453" s="27">
        <v>3582000</v>
      </c>
      <c r="M1453" s="10" t="s">
        <v>7048</v>
      </c>
      <c r="N1453" s="34">
        <f t="shared" ca="1" si="290"/>
        <v>95.463776388889528</v>
      </c>
      <c r="O1453" s="11"/>
      <c r="P1453" s="39"/>
      <c r="Q1453" s="39"/>
      <c r="R1453" s="39"/>
      <c r="S1453" s="37">
        <f t="shared" si="288"/>
        <v>0</v>
      </c>
      <c r="T1453" s="37">
        <f t="shared" si="289"/>
        <v>3582000</v>
      </c>
      <c r="U1453" s="10"/>
      <c r="V1453" s="10"/>
      <c r="W1453" s="10"/>
      <c r="X1453" s="10"/>
      <c r="Y1453" s="10"/>
      <c r="Z1453" s="10"/>
      <c r="AA1453" s="10"/>
      <c r="AB1453" s="10"/>
      <c r="AC1453" s="10"/>
      <c r="AD1453" s="10"/>
      <c r="AE1453" s="10"/>
    </row>
    <row r="1454" spans="1:31" ht="14.25" customHeight="1">
      <c r="A1454" s="277" t="s">
        <v>5768</v>
      </c>
      <c r="B1454" s="9" t="s">
        <v>21</v>
      </c>
      <c r="C1454" s="9">
        <v>2026</v>
      </c>
      <c r="D1454" s="9" t="s">
        <v>77</v>
      </c>
      <c r="E1454" s="90" t="s">
        <v>23</v>
      </c>
      <c r="F1454" s="9" t="s">
        <v>7</v>
      </c>
      <c r="G1454" s="10"/>
      <c r="H1454" s="9">
        <v>260300</v>
      </c>
      <c r="I1454" s="11" t="s">
        <v>752</v>
      </c>
      <c r="J1454" s="12">
        <v>46161</v>
      </c>
      <c r="K1454" s="12">
        <v>46175</v>
      </c>
      <c r="L1454" s="27">
        <v>7396000</v>
      </c>
      <c r="M1454" s="10" t="s">
        <v>7103</v>
      </c>
      <c r="N1454" s="34">
        <f t="shared" ca="1" si="290"/>
        <v>78.463776388889528</v>
      </c>
      <c r="O1454" s="11"/>
      <c r="P1454" s="39"/>
      <c r="Q1454" s="39"/>
      <c r="R1454" s="39"/>
      <c r="S1454" s="37">
        <f t="shared" si="288"/>
        <v>0</v>
      </c>
      <c r="T1454" s="37">
        <f t="shared" si="289"/>
        <v>7396000</v>
      </c>
      <c r="U1454" s="10"/>
      <c r="V1454" s="10"/>
      <c r="W1454" s="10"/>
      <c r="X1454" s="10"/>
      <c r="Y1454" s="10"/>
      <c r="Z1454" s="10"/>
      <c r="AA1454" s="10"/>
      <c r="AB1454" s="10"/>
      <c r="AC1454" s="10"/>
      <c r="AD1454" s="10"/>
      <c r="AE1454" s="10"/>
    </row>
    <row r="1455" spans="1:31" ht="14.25" customHeight="1">
      <c r="A1455" s="277" t="s">
        <v>5769</v>
      </c>
      <c r="B1455" s="9" t="s">
        <v>21</v>
      </c>
      <c r="C1455" s="9">
        <v>2026</v>
      </c>
      <c r="D1455" s="9" t="s">
        <v>77</v>
      </c>
      <c r="E1455" s="90" t="s">
        <v>23</v>
      </c>
      <c r="F1455" s="9" t="s">
        <v>7</v>
      </c>
      <c r="G1455" s="10"/>
      <c r="H1455" s="9">
        <v>260516</v>
      </c>
      <c r="I1455" s="11" t="s">
        <v>752</v>
      </c>
      <c r="J1455" s="12">
        <v>46224</v>
      </c>
      <c r="K1455" s="12">
        <v>46232</v>
      </c>
      <c r="L1455" s="27">
        <v>9828000</v>
      </c>
      <c r="M1455" s="10" t="s">
        <v>7451</v>
      </c>
      <c r="N1455" s="34">
        <f t="shared" ca="1" si="290"/>
        <v>15.463776388889528</v>
      </c>
      <c r="O1455" s="11"/>
      <c r="P1455" s="39"/>
      <c r="Q1455" s="39"/>
      <c r="R1455" s="39"/>
      <c r="S1455" s="37">
        <f t="shared" si="288"/>
        <v>0</v>
      </c>
      <c r="T1455" s="37">
        <f t="shared" si="289"/>
        <v>9828000</v>
      </c>
      <c r="U1455" s="10"/>
      <c r="V1455" s="10"/>
      <c r="W1455" s="10"/>
      <c r="X1455" s="10"/>
      <c r="Y1455" s="10"/>
      <c r="Z1455" s="10"/>
      <c r="AA1455" s="10"/>
      <c r="AB1455" s="10"/>
      <c r="AC1455" s="10"/>
      <c r="AD1455" s="10"/>
      <c r="AE1455" s="10"/>
    </row>
    <row r="1456" spans="1:31" ht="14.25" customHeight="1">
      <c r="A1456" s="277" t="s">
        <v>5770</v>
      </c>
      <c r="B1456" s="9" t="s">
        <v>21</v>
      </c>
      <c r="C1456" s="9"/>
      <c r="D1456" s="9"/>
      <c r="E1456" s="90"/>
      <c r="F1456" s="9"/>
      <c r="G1456" s="10"/>
      <c r="H1456" s="9"/>
      <c r="I1456" s="11"/>
      <c r="J1456" s="12"/>
      <c r="K1456" s="12"/>
      <c r="L1456" s="52"/>
      <c r="M1456" s="10"/>
      <c r="N1456" s="114">
        <f ca="1">$J$3-J1456</f>
        <v>46240.46377638889</v>
      </c>
      <c r="O1456" s="11"/>
      <c r="P1456" s="39"/>
      <c r="Q1456" s="39"/>
      <c r="R1456" s="39"/>
      <c r="S1456" s="37">
        <f t="shared" si="288"/>
        <v>0</v>
      </c>
      <c r="T1456" s="37">
        <f t="shared" si="289"/>
        <v>0</v>
      </c>
      <c r="U1456" s="10"/>
      <c r="V1456" s="10"/>
      <c r="W1456" s="10"/>
      <c r="X1456" s="10"/>
      <c r="Y1456" s="10"/>
      <c r="Z1456" s="10"/>
      <c r="AA1456" s="10"/>
      <c r="AB1456" s="10"/>
      <c r="AC1456" s="10"/>
      <c r="AD1456" s="10"/>
      <c r="AE1456" s="10"/>
    </row>
    <row r="1457" spans="1:31" ht="14.25" customHeight="1">
      <c r="A1457" s="277" t="s">
        <v>5771</v>
      </c>
      <c r="B1457" s="9" t="s">
        <v>21</v>
      </c>
      <c r="C1457" s="9"/>
      <c r="D1457" s="9"/>
      <c r="E1457" s="90"/>
      <c r="F1457" s="9"/>
      <c r="G1457" s="10"/>
      <c r="H1457" s="9"/>
      <c r="I1457" s="11"/>
      <c r="J1457" s="12"/>
      <c r="K1457" s="12"/>
      <c r="L1457" s="52"/>
      <c r="M1457" s="10"/>
      <c r="N1457" s="9"/>
      <c r="O1457" s="11"/>
      <c r="P1457" s="39"/>
      <c r="Q1457" s="39"/>
      <c r="R1457" s="39"/>
      <c r="S1457" s="37"/>
      <c r="T1457" s="37"/>
      <c r="U1457" s="10"/>
      <c r="V1457" s="10"/>
      <c r="W1457" s="10"/>
      <c r="X1457" s="10"/>
      <c r="Y1457" s="10"/>
      <c r="Z1457" s="10"/>
      <c r="AA1457" s="10"/>
      <c r="AB1457" s="10"/>
      <c r="AC1457" s="10"/>
      <c r="AD1457" s="10"/>
      <c r="AE1457" s="10"/>
    </row>
    <row r="1458" spans="1:31" ht="14.25" customHeight="1">
      <c r="A1458" s="277" t="s">
        <v>5772</v>
      </c>
      <c r="B1458" s="9" t="s">
        <v>21</v>
      </c>
      <c r="C1458" s="9"/>
      <c r="D1458" s="9"/>
      <c r="E1458" s="90"/>
      <c r="F1458" s="9"/>
      <c r="G1458" s="94" t="s">
        <v>24</v>
      </c>
      <c r="H1458" s="95" t="s">
        <v>758</v>
      </c>
      <c r="I1458" s="104"/>
      <c r="J1458" s="105"/>
      <c r="K1458" s="105"/>
      <c r="L1458" s="106">
        <f>SUM(L1459:L1483)</f>
        <v>57631981</v>
      </c>
      <c r="M1458" s="107"/>
      <c r="N1458" s="108" t="s">
        <v>26</v>
      </c>
      <c r="O1458" s="108"/>
      <c r="P1458" s="108"/>
      <c r="Q1458" s="108"/>
      <c r="R1458" s="108"/>
      <c r="S1458" s="106">
        <f>SUM(S1459:S1483)</f>
        <v>38067265</v>
      </c>
      <c r="T1458" s="106">
        <f>SUM(T1459:T1483)</f>
        <v>19564716</v>
      </c>
      <c r="U1458" s="10"/>
      <c r="V1458" s="52">
        <f>L1458-S1458</f>
        <v>19564716</v>
      </c>
      <c r="W1458" s="52">
        <f>T1458-V1458</f>
        <v>0</v>
      </c>
      <c r="X1458" s="10"/>
      <c r="Y1458" s="10"/>
      <c r="Z1458" s="10"/>
      <c r="AA1458" s="10"/>
      <c r="AB1458" s="10"/>
      <c r="AC1458" s="10"/>
      <c r="AD1458" s="10"/>
      <c r="AE1458" s="10"/>
    </row>
    <row r="1459" spans="1:31" ht="14.25" hidden="1" customHeight="1">
      <c r="A1459" s="277" t="s">
        <v>5773</v>
      </c>
      <c r="B1459" s="9" t="s">
        <v>21</v>
      </c>
      <c r="C1459" s="9">
        <v>2025</v>
      </c>
      <c r="D1459" s="9" t="s">
        <v>27</v>
      </c>
      <c r="E1459" s="90" t="s">
        <v>23</v>
      </c>
      <c r="F1459" s="9" t="s">
        <v>7</v>
      </c>
      <c r="G1459" s="10"/>
      <c r="H1459" s="96">
        <v>250334</v>
      </c>
      <c r="I1459" s="109" t="s">
        <v>758</v>
      </c>
      <c r="J1459" s="115">
        <v>45728</v>
      </c>
      <c r="K1459" s="115">
        <v>45839</v>
      </c>
      <c r="L1459" s="131">
        <v>747558</v>
      </c>
      <c r="M1459" s="147" t="s">
        <v>759</v>
      </c>
      <c r="N1459" s="34" t="s">
        <v>29</v>
      </c>
      <c r="O1459" s="125">
        <f>SUM(L1459:L1461)</f>
        <v>2242674</v>
      </c>
      <c r="P1459" s="113">
        <v>45890</v>
      </c>
      <c r="Q1459" s="113">
        <v>45890</v>
      </c>
      <c r="R1459" s="113">
        <v>45890</v>
      </c>
      <c r="S1459" s="37">
        <f t="shared" ref="S1459:S1466" si="291">IF(R1459="",0,L1459)</f>
        <v>747558</v>
      </c>
      <c r="T1459" s="37">
        <f t="shared" ref="T1459:T1466" si="292">L1459-S1459</f>
        <v>0</v>
      </c>
      <c r="U1459" s="10"/>
      <c r="V1459" s="10"/>
      <c r="W1459" s="10"/>
      <c r="X1459" s="10"/>
      <c r="Y1459" s="10"/>
      <c r="Z1459" s="10"/>
      <c r="AA1459" s="10"/>
      <c r="AB1459" s="10"/>
      <c r="AC1459" s="10"/>
      <c r="AD1459" s="10"/>
      <c r="AE1459" s="10"/>
    </row>
    <row r="1460" spans="1:31" ht="14.25" hidden="1" customHeight="1">
      <c r="A1460" s="277" t="s">
        <v>5774</v>
      </c>
      <c r="B1460" s="9" t="s">
        <v>21</v>
      </c>
      <c r="C1460" s="9">
        <v>2025</v>
      </c>
      <c r="D1460" s="9" t="s">
        <v>27</v>
      </c>
      <c r="E1460" s="90" t="s">
        <v>23</v>
      </c>
      <c r="F1460" s="9" t="s">
        <v>7</v>
      </c>
      <c r="G1460" s="10"/>
      <c r="H1460" s="96">
        <v>250349</v>
      </c>
      <c r="I1460" s="109" t="s">
        <v>758</v>
      </c>
      <c r="J1460" s="115">
        <v>45733</v>
      </c>
      <c r="K1460" s="115">
        <v>45839</v>
      </c>
      <c r="L1460" s="131">
        <v>747558</v>
      </c>
      <c r="M1460" s="147" t="s">
        <v>760</v>
      </c>
      <c r="N1460" s="34" t="s">
        <v>29</v>
      </c>
      <c r="O1460" s="11"/>
      <c r="P1460" s="113">
        <v>45890</v>
      </c>
      <c r="Q1460" s="113">
        <v>45890</v>
      </c>
      <c r="R1460" s="113">
        <v>45890</v>
      </c>
      <c r="S1460" s="37">
        <f t="shared" si="291"/>
        <v>747558</v>
      </c>
      <c r="T1460" s="37">
        <f t="shared" si="292"/>
        <v>0</v>
      </c>
      <c r="U1460" s="10"/>
      <c r="V1460" s="10"/>
      <c r="W1460" s="10"/>
      <c r="X1460" s="10"/>
      <c r="Y1460" s="10"/>
      <c r="Z1460" s="10"/>
      <c r="AA1460" s="10"/>
      <c r="AB1460" s="10"/>
      <c r="AC1460" s="10"/>
      <c r="AD1460" s="10"/>
      <c r="AE1460" s="10"/>
    </row>
    <row r="1461" spans="1:31" ht="14.25" hidden="1" customHeight="1">
      <c r="A1461" s="277" t="s">
        <v>5775</v>
      </c>
      <c r="B1461" s="9" t="s">
        <v>21</v>
      </c>
      <c r="C1461" s="9">
        <v>2025</v>
      </c>
      <c r="D1461" s="9" t="s">
        <v>27</v>
      </c>
      <c r="E1461" s="90" t="s">
        <v>23</v>
      </c>
      <c r="F1461" s="9" t="s">
        <v>7</v>
      </c>
      <c r="G1461" s="10"/>
      <c r="H1461" s="96">
        <v>250461</v>
      </c>
      <c r="I1461" s="109" t="s">
        <v>758</v>
      </c>
      <c r="J1461" s="115">
        <v>45770</v>
      </c>
      <c r="K1461" s="115">
        <v>45839</v>
      </c>
      <c r="L1461" s="131">
        <v>747558</v>
      </c>
      <c r="M1461" s="147" t="s">
        <v>761</v>
      </c>
      <c r="N1461" s="34" t="s">
        <v>29</v>
      </c>
      <c r="O1461" s="11"/>
      <c r="P1461" s="113">
        <v>45890</v>
      </c>
      <c r="Q1461" s="113">
        <v>45890</v>
      </c>
      <c r="R1461" s="113">
        <v>45890</v>
      </c>
      <c r="S1461" s="37">
        <f t="shared" si="291"/>
        <v>747558</v>
      </c>
      <c r="T1461" s="37">
        <f t="shared" si="292"/>
        <v>0</v>
      </c>
      <c r="U1461" s="10"/>
      <c r="V1461" s="10"/>
      <c r="W1461" s="10"/>
      <c r="X1461" s="10"/>
      <c r="Y1461" s="10"/>
      <c r="Z1461" s="10"/>
      <c r="AA1461" s="10"/>
      <c r="AB1461" s="10"/>
      <c r="AC1461" s="10"/>
      <c r="AD1461" s="10"/>
      <c r="AE1461" s="10"/>
    </row>
    <row r="1462" spans="1:31" ht="14.25" hidden="1" customHeight="1">
      <c r="A1462" s="277" t="s">
        <v>5776</v>
      </c>
      <c r="B1462" s="9" t="s">
        <v>21</v>
      </c>
      <c r="C1462" s="9">
        <v>2025</v>
      </c>
      <c r="D1462" s="9" t="s">
        <v>27</v>
      </c>
      <c r="E1462" s="90" t="s">
        <v>23</v>
      </c>
      <c r="F1462" s="9" t="s">
        <v>7</v>
      </c>
      <c r="G1462" s="10"/>
      <c r="H1462" s="96">
        <v>250791</v>
      </c>
      <c r="I1462" s="109" t="s">
        <v>758</v>
      </c>
      <c r="J1462" s="115">
        <v>45876</v>
      </c>
      <c r="K1462" s="115">
        <v>45923</v>
      </c>
      <c r="L1462" s="131">
        <v>2242661</v>
      </c>
      <c r="M1462" s="147" t="s">
        <v>3692</v>
      </c>
      <c r="N1462" s="34" t="s">
        <v>29</v>
      </c>
      <c r="O1462" s="125">
        <f>SUM(L1462:L1477)</f>
        <v>35824591</v>
      </c>
      <c r="P1462" s="113">
        <v>46124</v>
      </c>
      <c r="Q1462" s="113">
        <v>46124</v>
      </c>
      <c r="R1462" s="113">
        <v>46124</v>
      </c>
      <c r="S1462" s="37">
        <f t="shared" si="291"/>
        <v>2242661</v>
      </c>
      <c r="T1462" s="37">
        <f t="shared" si="292"/>
        <v>0</v>
      </c>
      <c r="U1462" s="10"/>
      <c r="V1462" s="10"/>
      <c r="W1462" s="10"/>
      <c r="X1462" s="10"/>
      <c r="Y1462" s="10"/>
      <c r="Z1462" s="10"/>
      <c r="AA1462" s="10"/>
      <c r="AB1462" s="10"/>
      <c r="AC1462" s="10"/>
      <c r="AD1462" s="10"/>
      <c r="AE1462" s="10"/>
    </row>
    <row r="1463" spans="1:31" ht="14.25" hidden="1" customHeight="1">
      <c r="A1463" s="277" t="s">
        <v>5777</v>
      </c>
      <c r="B1463" s="9" t="s">
        <v>21</v>
      </c>
      <c r="C1463" s="9">
        <v>2025</v>
      </c>
      <c r="D1463" s="9" t="s">
        <v>27</v>
      </c>
      <c r="E1463" s="90" t="s">
        <v>23</v>
      </c>
      <c r="F1463" s="9" t="s">
        <v>7</v>
      </c>
      <c r="G1463" s="10"/>
      <c r="H1463" s="96">
        <v>250807</v>
      </c>
      <c r="I1463" s="109" t="s">
        <v>758</v>
      </c>
      <c r="J1463" s="115">
        <v>45881</v>
      </c>
      <c r="K1463" s="115">
        <v>45923</v>
      </c>
      <c r="L1463" s="131">
        <v>679586</v>
      </c>
      <c r="M1463" s="147" t="s">
        <v>3693</v>
      </c>
      <c r="N1463" s="34" t="s">
        <v>29</v>
      </c>
      <c r="O1463" s="11"/>
      <c r="P1463" s="113">
        <v>46124</v>
      </c>
      <c r="Q1463" s="113">
        <v>46124</v>
      </c>
      <c r="R1463" s="113">
        <v>46124</v>
      </c>
      <c r="S1463" s="37">
        <f t="shared" si="291"/>
        <v>679586</v>
      </c>
      <c r="T1463" s="37">
        <f t="shared" si="292"/>
        <v>0</v>
      </c>
      <c r="U1463" s="10"/>
      <c r="V1463" s="10"/>
      <c r="W1463" s="10"/>
      <c r="X1463" s="10"/>
      <c r="Y1463" s="10"/>
      <c r="Z1463" s="10"/>
      <c r="AA1463" s="10"/>
      <c r="AB1463" s="10"/>
      <c r="AC1463" s="10"/>
      <c r="AD1463" s="10"/>
      <c r="AE1463" s="10"/>
    </row>
    <row r="1464" spans="1:31" ht="14.25" hidden="1" customHeight="1">
      <c r="A1464" s="277" t="s">
        <v>5778</v>
      </c>
      <c r="B1464" s="9" t="s">
        <v>21</v>
      </c>
      <c r="C1464" s="9">
        <v>2025</v>
      </c>
      <c r="D1464" s="9" t="s">
        <v>27</v>
      </c>
      <c r="E1464" s="90" t="s">
        <v>23</v>
      </c>
      <c r="F1464" s="9" t="s">
        <v>7</v>
      </c>
      <c r="G1464" s="10"/>
      <c r="H1464" s="96">
        <v>250826</v>
      </c>
      <c r="I1464" s="109" t="s">
        <v>758</v>
      </c>
      <c r="J1464" s="115">
        <v>45888</v>
      </c>
      <c r="K1464" s="115">
        <v>45923</v>
      </c>
      <c r="L1464" s="131">
        <v>747558</v>
      </c>
      <c r="M1464" s="147" t="s">
        <v>3694</v>
      </c>
      <c r="N1464" s="34" t="s">
        <v>29</v>
      </c>
      <c r="O1464" s="11"/>
      <c r="P1464" s="113">
        <v>46124</v>
      </c>
      <c r="Q1464" s="113">
        <v>46124</v>
      </c>
      <c r="R1464" s="113">
        <v>46124</v>
      </c>
      <c r="S1464" s="37">
        <f t="shared" si="291"/>
        <v>747558</v>
      </c>
      <c r="T1464" s="37">
        <f t="shared" si="292"/>
        <v>0</v>
      </c>
      <c r="U1464" s="10"/>
      <c r="V1464" s="10"/>
      <c r="W1464" s="10"/>
      <c r="X1464" s="10"/>
      <c r="Y1464" s="10"/>
      <c r="Z1464" s="10"/>
      <c r="AA1464" s="10"/>
      <c r="AB1464" s="10"/>
      <c r="AC1464" s="10"/>
      <c r="AD1464" s="10"/>
      <c r="AE1464" s="10"/>
    </row>
    <row r="1465" spans="1:31" ht="14.25" hidden="1" customHeight="1">
      <c r="A1465" s="277" t="s">
        <v>5779</v>
      </c>
      <c r="B1465" s="9" t="s">
        <v>21</v>
      </c>
      <c r="C1465" s="9">
        <v>2025</v>
      </c>
      <c r="D1465" s="9" t="s">
        <v>27</v>
      </c>
      <c r="E1465" s="90" t="s">
        <v>23</v>
      </c>
      <c r="F1465" s="9" t="s">
        <v>7</v>
      </c>
      <c r="G1465" s="10"/>
      <c r="H1465" s="96">
        <v>250833</v>
      </c>
      <c r="I1465" s="109" t="s">
        <v>758</v>
      </c>
      <c r="J1465" s="115">
        <v>45889</v>
      </c>
      <c r="K1465" s="115">
        <v>45923</v>
      </c>
      <c r="L1465" s="131">
        <v>3450002</v>
      </c>
      <c r="M1465" s="147" t="s">
        <v>3695</v>
      </c>
      <c r="N1465" s="34" t="s">
        <v>29</v>
      </c>
      <c r="O1465" s="11"/>
      <c r="P1465" s="113">
        <v>46124</v>
      </c>
      <c r="Q1465" s="113">
        <v>46124</v>
      </c>
      <c r="R1465" s="113">
        <v>46124</v>
      </c>
      <c r="S1465" s="37">
        <f t="shared" si="291"/>
        <v>3450002</v>
      </c>
      <c r="T1465" s="37">
        <f t="shared" si="292"/>
        <v>0</v>
      </c>
      <c r="U1465" s="10"/>
      <c r="V1465" s="10"/>
      <c r="W1465" s="10"/>
      <c r="X1465" s="10"/>
      <c r="Y1465" s="10"/>
      <c r="Z1465" s="10"/>
      <c r="AA1465" s="10"/>
      <c r="AB1465" s="10"/>
      <c r="AC1465" s="10"/>
      <c r="AD1465" s="10"/>
      <c r="AE1465" s="10"/>
    </row>
    <row r="1466" spans="1:31" ht="14.25" hidden="1" customHeight="1">
      <c r="A1466" s="277" t="s">
        <v>5780</v>
      </c>
      <c r="B1466" s="9" t="s">
        <v>21</v>
      </c>
      <c r="C1466" s="9">
        <v>2025</v>
      </c>
      <c r="D1466" s="9" t="s">
        <v>27</v>
      </c>
      <c r="E1466" s="90" t="s">
        <v>23</v>
      </c>
      <c r="F1466" s="9" t="s">
        <v>7</v>
      </c>
      <c r="G1466" s="10"/>
      <c r="H1466" s="96">
        <v>250932</v>
      </c>
      <c r="I1466" s="109" t="s">
        <v>758</v>
      </c>
      <c r="J1466" s="115">
        <v>45912</v>
      </c>
      <c r="K1466" s="115">
        <v>45923</v>
      </c>
      <c r="L1466" s="131">
        <v>2361582</v>
      </c>
      <c r="M1466" s="147" t="s">
        <v>3696</v>
      </c>
      <c r="N1466" s="34" t="s">
        <v>29</v>
      </c>
      <c r="O1466" s="11"/>
      <c r="P1466" s="113">
        <v>46124</v>
      </c>
      <c r="Q1466" s="113">
        <v>46124</v>
      </c>
      <c r="R1466" s="113">
        <v>46124</v>
      </c>
      <c r="S1466" s="37">
        <f t="shared" si="291"/>
        <v>2361582</v>
      </c>
      <c r="T1466" s="37">
        <f t="shared" si="292"/>
        <v>0</v>
      </c>
      <c r="U1466" s="10"/>
      <c r="V1466" s="10"/>
      <c r="W1466" s="10"/>
      <c r="X1466" s="10"/>
      <c r="Y1466" s="10"/>
      <c r="Z1466" s="10"/>
      <c r="AA1466" s="10"/>
      <c r="AB1466" s="10"/>
      <c r="AC1466" s="10"/>
      <c r="AD1466" s="10"/>
      <c r="AE1466" s="10"/>
    </row>
    <row r="1467" spans="1:31" ht="14.25" hidden="1" customHeight="1">
      <c r="A1467" s="277" t="s">
        <v>5781</v>
      </c>
      <c r="B1467" s="9" t="s">
        <v>21</v>
      </c>
      <c r="C1467" s="9">
        <v>2025</v>
      </c>
      <c r="D1467" s="9" t="s">
        <v>27</v>
      </c>
      <c r="E1467" s="90" t="s">
        <v>23</v>
      </c>
      <c r="F1467" s="9" t="s">
        <v>7</v>
      </c>
      <c r="G1467" s="10"/>
      <c r="H1467" s="96">
        <v>250975</v>
      </c>
      <c r="I1467" s="109" t="s">
        <v>758</v>
      </c>
      <c r="J1467" s="115">
        <v>45926</v>
      </c>
      <c r="K1467" s="115">
        <v>45981</v>
      </c>
      <c r="L1467" s="131">
        <v>1900146</v>
      </c>
      <c r="M1467" s="147" t="s">
        <v>4011</v>
      </c>
      <c r="N1467" s="34" t="s">
        <v>29</v>
      </c>
      <c r="O1467" s="11"/>
      <c r="P1467" s="113">
        <v>46124</v>
      </c>
      <c r="Q1467" s="113">
        <v>46124</v>
      </c>
      <c r="R1467" s="113">
        <v>46124</v>
      </c>
      <c r="S1467" s="37">
        <f t="shared" ref="S1467:S1473" si="293">IF(R1467="",0,L1467)</f>
        <v>1900146</v>
      </c>
      <c r="T1467" s="37">
        <f t="shared" ref="T1467:T1473" si="294">L1467-S1467</f>
        <v>0</v>
      </c>
      <c r="U1467" s="10"/>
      <c r="V1467" s="10"/>
      <c r="W1467" s="10"/>
      <c r="X1467" s="10"/>
      <c r="Y1467" s="10"/>
      <c r="Z1467" s="10"/>
      <c r="AA1467" s="10"/>
      <c r="AB1467" s="10"/>
      <c r="AC1467" s="10"/>
      <c r="AD1467" s="10"/>
      <c r="AE1467" s="10"/>
    </row>
    <row r="1468" spans="1:31" ht="14.25" hidden="1" customHeight="1">
      <c r="A1468" s="277" t="s">
        <v>5782</v>
      </c>
      <c r="B1468" s="9" t="s">
        <v>21</v>
      </c>
      <c r="C1468" s="9">
        <v>2025</v>
      </c>
      <c r="D1468" s="9" t="s">
        <v>27</v>
      </c>
      <c r="E1468" s="90" t="s">
        <v>23</v>
      </c>
      <c r="F1468" s="9" t="s">
        <v>7</v>
      </c>
      <c r="G1468" s="10"/>
      <c r="H1468" s="96">
        <v>250985</v>
      </c>
      <c r="I1468" s="109" t="s">
        <v>758</v>
      </c>
      <c r="J1468" s="115">
        <v>45931</v>
      </c>
      <c r="K1468" s="115">
        <v>45981</v>
      </c>
      <c r="L1468" s="131">
        <v>4485323</v>
      </c>
      <c r="M1468" s="147" t="s">
        <v>4012</v>
      </c>
      <c r="N1468" s="34" t="s">
        <v>29</v>
      </c>
      <c r="O1468" s="11"/>
      <c r="P1468" s="113">
        <v>46124</v>
      </c>
      <c r="Q1468" s="113">
        <v>46124</v>
      </c>
      <c r="R1468" s="113">
        <v>46124</v>
      </c>
      <c r="S1468" s="37">
        <f t="shared" si="293"/>
        <v>4485323</v>
      </c>
      <c r="T1468" s="37">
        <f t="shared" si="294"/>
        <v>0</v>
      </c>
      <c r="U1468" s="10"/>
      <c r="V1468" s="10"/>
      <c r="W1468" s="10"/>
      <c r="X1468" s="10"/>
      <c r="Y1468" s="10"/>
      <c r="Z1468" s="10"/>
      <c r="AA1468" s="10"/>
      <c r="AB1468" s="10"/>
      <c r="AC1468" s="10"/>
      <c r="AD1468" s="10"/>
      <c r="AE1468" s="10"/>
    </row>
    <row r="1469" spans="1:31" ht="14.25" hidden="1" customHeight="1">
      <c r="A1469" s="277" t="s">
        <v>5783</v>
      </c>
      <c r="B1469" s="9" t="s">
        <v>21</v>
      </c>
      <c r="C1469" s="9">
        <v>2025</v>
      </c>
      <c r="D1469" s="9" t="s">
        <v>27</v>
      </c>
      <c r="E1469" s="90" t="s">
        <v>23</v>
      </c>
      <c r="F1469" s="9" t="s">
        <v>7</v>
      </c>
      <c r="G1469" s="10"/>
      <c r="H1469" s="96">
        <v>251052</v>
      </c>
      <c r="I1469" s="109" t="s">
        <v>758</v>
      </c>
      <c r="J1469" s="115">
        <v>45944</v>
      </c>
      <c r="K1469" s="115">
        <v>45981</v>
      </c>
      <c r="L1469" s="131">
        <v>991785</v>
      </c>
      <c r="M1469" s="147" t="s">
        <v>4013</v>
      </c>
      <c r="N1469" s="34" t="s">
        <v>29</v>
      </c>
      <c r="O1469" s="11"/>
      <c r="P1469" s="113">
        <v>46124</v>
      </c>
      <c r="Q1469" s="113">
        <v>46124</v>
      </c>
      <c r="R1469" s="113">
        <v>46124</v>
      </c>
      <c r="S1469" s="37">
        <f t="shared" si="293"/>
        <v>991785</v>
      </c>
      <c r="T1469" s="37">
        <f t="shared" si="294"/>
        <v>0</v>
      </c>
      <c r="U1469" s="10"/>
      <c r="V1469" s="10"/>
      <c r="W1469" s="10"/>
      <c r="X1469" s="10"/>
      <c r="Y1469" s="10"/>
      <c r="Z1469" s="10"/>
      <c r="AA1469" s="10"/>
      <c r="AB1469" s="10"/>
      <c r="AC1469" s="10"/>
      <c r="AD1469" s="10"/>
      <c r="AE1469" s="10"/>
    </row>
    <row r="1470" spans="1:31" ht="14.25" hidden="1" customHeight="1">
      <c r="A1470" s="277" t="s">
        <v>5784</v>
      </c>
      <c r="B1470" s="9" t="s">
        <v>21</v>
      </c>
      <c r="C1470" s="9">
        <v>2025</v>
      </c>
      <c r="D1470" s="9" t="s">
        <v>27</v>
      </c>
      <c r="E1470" s="90" t="s">
        <v>23</v>
      </c>
      <c r="F1470" s="9" t="s">
        <v>7</v>
      </c>
      <c r="G1470" s="10"/>
      <c r="H1470" s="96">
        <v>251077</v>
      </c>
      <c r="I1470" s="109" t="s">
        <v>758</v>
      </c>
      <c r="J1470" s="115">
        <v>45950</v>
      </c>
      <c r="K1470" s="115">
        <v>45981</v>
      </c>
      <c r="L1470" s="131">
        <v>1495116</v>
      </c>
      <c r="M1470" s="147" t="s">
        <v>4014</v>
      </c>
      <c r="N1470" s="34" t="s">
        <v>29</v>
      </c>
      <c r="O1470" s="11"/>
      <c r="P1470" s="113">
        <v>46124</v>
      </c>
      <c r="Q1470" s="113">
        <v>46124</v>
      </c>
      <c r="R1470" s="113">
        <v>46124</v>
      </c>
      <c r="S1470" s="37">
        <f t="shared" si="293"/>
        <v>1495116</v>
      </c>
      <c r="T1470" s="37">
        <f t="shared" si="294"/>
        <v>0</v>
      </c>
      <c r="U1470" s="10"/>
      <c r="V1470" s="10"/>
      <c r="W1470" s="10"/>
      <c r="X1470" s="10"/>
      <c r="Y1470" s="10"/>
      <c r="Z1470" s="10"/>
      <c r="AA1470" s="10"/>
      <c r="AB1470" s="10"/>
      <c r="AC1470" s="10"/>
      <c r="AD1470" s="10"/>
      <c r="AE1470" s="10"/>
    </row>
    <row r="1471" spans="1:31" ht="14.25" hidden="1" customHeight="1">
      <c r="A1471" s="277" t="s">
        <v>5785</v>
      </c>
      <c r="B1471" s="9" t="s">
        <v>21</v>
      </c>
      <c r="C1471" s="9">
        <v>2025</v>
      </c>
      <c r="D1471" s="9" t="s">
        <v>27</v>
      </c>
      <c r="E1471" s="90" t="s">
        <v>23</v>
      </c>
      <c r="F1471" s="9" t="s">
        <v>7</v>
      </c>
      <c r="G1471" s="10"/>
      <c r="H1471" s="96">
        <v>251093</v>
      </c>
      <c r="I1471" s="109" t="s">
        <v>758</v>
      </c>
      <c r="J1471" s="115">
        <v>45954</v>
      </c>
      <c r="K1471" s="115">
        <v>45981</v>
      </c>
      <c r="L1471" s="131">
        <v>2094570</v>
      </c>
      <c r="M1471" s="147" t="s">
        <v>4015</v>
      </c>
      <c r="N1471" s="34" t="s">
        <v>29</v>
      </c>
      <c r="O1471" s="11"/>
      <c r="P1471" s="113">
        <v>46167</v>
      </c>
      <c r="Q1471" s="113">
        <v>46167</v>
      </c>
      <c r="R1471" s="113">
        <v>46167</v>
      </c>
      <c r="S1471" s="37">
        <f t="shared" si="293"/>
        <v>2094570</v>
      </c>
      <c r="T1471" s="37">
        <f t="shared" si="294"/>
        <v>0</v>
      </c>
      <c r="U1471" s="10"/>
      <c r="V1471" s="10"/>
      <c r="W1471" s="10"/>
      <c r="X1471" s="10"/>
      <c r="Y1471" s="10"/>
      <c r="Z1471" s="10"/>
      <c r="AA1471" s="10"/>
      <c r="AB1471" s="10"/>
      <c r="AC1471" s="10"/>
      <c r="AD1471" s="10"/>
      <c r="AE1471" s="10"/>
    </row>
    <row r="1472" spans="1:31" ht="14.25" hidden="1" customHeight="1">
      <c r="A1472" s="277" t="s">
        <v>5786</v>
      </c>
      <c r="B1472" s="9" t="s">
        <v>21</v>
      </c>
      <c r="C1472" s="9">
        <v>2025</v>
      </c>
      <c r="D1472" s="9" t="s">
        <v>27</v>
      </c>
      <c r="E1472" s="90" t="s">
        <v>23</v>
      </c>
      <c r="F1472" s="9" t="s">
        <v>7</v>
      </c>
      <c r="G1472" s="10"/>
      <c r="H1472" s="96">
        <v>251113</v>
      </c>
      <c r="I1472" s="109" t="s">
        <v>758</v>
      </c>
      <c r="J1472" s="115">
        <v>45958</v>
      </c>
      <c r="K1472" s="115">
        <v>45981</v>
      </c>
      <c r="L1472" s="131">
        <v>3450002</v>
      </c>
      <c r="M1472" s="147" t="s">
        <v>4016</v>
      </c>
      <c r="N1472" s="34" t="s">
        <v>29</v>
      </c>
      <c r="O1472" s="11"/>
      <c r="P1472" s="113">
        <v>46167</v>
      </c>
      <c r="Q1472" s="113">
        <v>46167</v>
      </c>
      <c r="R1472" s="113">
        <v>46167</v>
      </c>
      <c r="S1472" s="37">
        <f t="shared" si="293"/>
        <v>3450002</v>
      </c>
      <c r="T1472" s="37">
        <f t="shared" si="294"/>
        <v>0</v>
      </c>
      <c r="U1472" s="10"/>
      <c r="V1472" s="10"/>
      <c r="W1472" s="10"/>
      <c r="X1472" s="10"/>
      <c r="Y1472" s="10"/>
      <c r="Z1472" s="10"/>
      <c r="AA1472" s="10"/>
      <c r="AB1472" s="10"/>
      <c r="AC1472" s="10"/>
      <c r="AD1472" s="10"/>
      <c r="AE1472" s="10"/>
    </row>
    <row r="1473" spans="1:31" ht="14.25" hidden="1" customHeight="1">
      <c r="A1473" s="277" t="s">
        <v>5787</v>
      </c>
      <c r="B1473" s="9" t="s">
        <v>21</v>
      </c>
      <c r="C1473" s="9">
        <v>2025</v>
      </c>
      <c r="D1473" s="9" t="s">
        <v>27</v>
      </c>
      <c r="E1473" s="90" t="s">
        <v>23</v>
      </c>
      <c r="F1473" s="9" t="s">
        <v>7</v>
      </c>
      <c r="G1473" s="10"/>
      <c r="H1473" s="96">
        <v>251111</v>
      </c>
      <c r="I1473" s="109" t="s">
        <v>758</v>
      </c>
      <c r="J1473" s="115">
        <v>45960</v>
      </c>
      <c r="K1473" s="115">
        <v>45981</v>
      </c>
      <c r="L1473" s="131">
        <v>4382402</v>
      </c>
      <c r="M1473" s="147" t="s">
        <v>4017</v>
      </c>
      <c r="N1473" s="34" t="s">
        <v>29</v>
      </c>
      <c r="O1473" s="11"/>
      <c r="P1473" s="113">
        <v>46167</v>
      </c>
      <c r="Q1473" s="113">
        <v>46167</v>
      </c>
      <c r="R1473" s="113">
        <v>46167</v>
      </c>
      <c r="S1473" s="37">
        <f t="shared" si="293"/>
        <v>4382402</v>
      </c>
      <c r="T1473" s="37">
        <f t="shared" si="294"/>
        <v>0</v>
      </c>
      <c r="U1473" s="10"/>
      <c r="V1473" s="10"/>
      <c r="W1473" s="10"/>
      <c r="X1473" s="10"/>
      <c r="Y1473" s="10"/>
      <c r="Z1473" s="10"/>
      <c r="AA1473" s="10"/>
      <c r="AB1473" s="10"/>
      <c r="AC1473" s="10"/>
      <c r="AD1473" s="10"/>
      <c r="AE1473" s="10"/>
    </row>
    <row r="1474" spans="1:31" ht="14.25" hidden="1" customHeight="1">
      <c r="A1474" s="277" t="s">
        <v>5788</v>
      </c>
      <c r="B1474" s="9" t="s">
        <v>21</v>
      </c>
      <c r="C1474" s="9">
        <v>2025</v>
      </c>
      <c r="D1474" s="9" t="s">
        <v>27</v>
      </c>
      <c r="E1474" s="90" t="s">
        <v>23</v>
      </c>
      <c r="F1474" s="9" t="s">
        <v>7</v>
      </c>
      <c r="G1474" s="10"/>
      <c r="H1474" s="96">
        <v>251179</v>
      </c>
      <c r="I1474" s="109" t="s">
        <v>758</v>
      </c>
      <c r="J1474" s="115">
        <v>45971</v>
      </c>
      <c r="K1474" s="115">
        <v>46007</v>
      </c>
      <c r="L1474" s="131">
        <v>1121330</v>
      </c>
      <c r="M1474" s="147" t="s">
        <v>4104</v>
      </c>
      <c r="N1474" s="34" t="s">
        <v>29</v>
      </c>
      <c r="O1474" s="11"/>
      <c r="P1474" s="113">
        <v>46167</v>
      </c>
      <c r="Q1474" s="113">
        <v>46167</v>
      </c>
      <c r="R1474" s="113">
        <v>46167</v>
      </c>
      <c r="S1474" s="37">
        <f t="shared" ref="S1474:S1484" si="295">IF(R1474="",0,L1474)</f>
        <v>1121330</v>
      </c>
      <c r="T1474" s="37">
        <f t="shared" ref="T1474:T1484" si="296">L1474-S1474</f>
        <v>0</v>
      </c>
      <c r="U1474" s="10"/>
      <c r="V1474" s="10"/>
      <c r="W1474" s="10"/>
      <c r="X1474" s="10"/>
      <c r="Y1474" s="10"/>
      <c r="Z1474" s="10"/>
      <c r="AA1474" s="10"/>
      <c r="AB1474" s="10"/>
      <c r="AC1474" s="10"/>
      <c r="AD1474" s="10"/>
      <c r="AE1474" s="10"/>
    </row>
    <row r="1475" spans="1:31" ht="14.25" hidden="1" customHeight="1">
      <c r="A1475" s="277" t="s">
        <v>5789</v>
      </c>
      <c r="B1475" s="9" t="s">
        <v>21</v>
      </c>
      <c r="C1475" s="9">
        <v>2025</v>
      </c>
      <c r="D1475" s="9" t="s">
        <v>27</v>
      </c>
      <c r="E1475" s="90" t="s">
        <v>23</v>
      </c>
      <c r="F1475" s="9" t="s">
        <v>7</v>
      </c>
      <c r="G1475" s="10"/>
      <c r="H1475" s="96">
        <v>251203</v>
      </c>
      <c r="I1475" s="109" t="s">
        <v>758</v>
      </c>
      <c r="J1475" s="115">
        <v>45988</v>
      </c>
      <c r="K1475" s="115">
        <v>46007</v>
      </c>
      <c r="L1475" s="131">
        <v>1477410</v>
      </c>
      <c r="M1475" s="147" t="s">
        <v>4105</v>
      </c>
      <c r="N1475" s="34" t="s">
        <v>29</v>
      </c>
      <c r="O1475" s="11"/>
      <c r="P1475" s="113">
        <v>46167</v>
      </c>
      <c r="Q1475" s="113">
        <v>46167</v>
      </c>
      <c r="R1475" s="113">
        <v>46167</v>
      </c>
      <c r="S1475" s="37">
        <f t="shared" si="295"/>
        <v>1477410</v>
      </c>
      <c r="T1475" s="37">
        <f t="shared" si="296"/>
        <v>0</v>
      </c>
      <c r="U1475" s="10"/>
      <c r="V1475" s="10"/>
      <c r="W1475" s="10"/>
      <c r="X1475" s="10"/>
      <c r="Y1475" s="10"/>
      <c r="Z1475" s="10"/>
      <c r="AA1475" s="10"/>
      <c r="AB1475" s="10"/>
      <c r="AC1475" s="10"/>
      <c r="AD1475" s="10"/>
      <c r="AE1475" s="10"/>
    </row>
    <row r="1476" spans="1:31" ht="14.25" hidden="1" customHeight="1">
      <c r="A1476" s="277" t="s">
        <v>5790</v>
      </c>
      <c r="B1476" s="9" t="s">
        <v>21</v>
      </c>
      <c r="C1476" s="9">
        <v>2025</v>
      </c>
      <c r="D1476" s="9" t="s">
        <v>27</v>
      </c>
      <c r="E1476" s="90" t="s">
        <v>23</v>
      </c>
      <c r="F1476" s="9" t="s">
        <v>7</v>
      </c>
      <c r="G1476" s="10"/>
      <c r="H1476" s="96">
        <v>251269</v>
      </c>
      <c r="I1476" s="109" t="s">
        <v>758</v>
      </c>
      <c r="J1476" s="115">
        <v>46003</v>
      </c>
      <c r="K1476" s="115">
        <v>46007</v>
      </c>
      <c r="L1476" s="131">
        <v>3450002</v>
      </c>
      <c r="M1476" s="147" t="s">
        <v>4106</v>
      </c>
      <c r="N1476" s="34" t="s">
        <v>29</v>
      </c>
      <c r="O1476" s="11"/>
      <c r="P1476" s="113">
        <v>46167</v>
      </c>
      <c r="Q1476" s="113">
        <v>46167</v>
      </c>
      <c r="R1476" s="113">
        <v>46167</v>
      </c>
      <c r="S1476" s="37">
        <f t="shared" si="295"/>
        <v>3450002</v>
      </c>
      <c r="T1476" s="37">
        <f t="shared" si="296"/>
        <v>0</v>
      </c>
      <c r="U1476" s="10"/>
      <c r="V1476" s="10"/>
      <c r="W1476" s="10"/>
      <c r="X1476" s="10"/>
      <c r="Y1476" s="10"/>
      <c r="Z1476" s="10"/>
      <c r="AA1476" s="10"/>
      <c r="AB1476" s="10"/>
      <c r="AC1476" s="10"/>
      <c r="AD1476" s="10"/>
      <c r="AE1476" s="10"/>
    </row>
    <row r="1477" spans="1:31" ht="14.25" customHeight="1">
      <c r="A1477" s="277" t="s">
        <v>5791</v>
      </c>
      <c r="B1477" s="9" t="s">
        <v>21</v>
      </c>
      <c r="C1477" s="9">
        <v>2025</v>
      </c>
      <c r="D1477" s="9" t="s">
        <v>27</v>
      </c>
      <c r="E1477" s="90" t="s">
        <v>23</v>
      </c>
      <c r="F1477" s="9" t="s">
        <v>7</v>
      </c>
      <c r="G1477" s="10"/>
      <c r="H1477" s="96">
        <v>251276</v>
      </c>
      <c r="I1477" s="109" t="s">
        <v>758</v>
      </c>
      <c r="J1477" s="115">
        <v>46007</v>
      </c>
      <c r="K1477" s="115">
        <v>46095</v>
      </c>
      <c r="L1477" s="131">
        <v>1495116</v>
      </c>
      <c r="M1477" s="147" t="s">
        <v>4467</v>
      </c>
      <c r="N1477" s="34" t="s">
        <v>29</v>
      </c>
      <c r="O1477" s="11"/>
      <c r="P1477" s="113">
        <v>46167</v>
      </c>
      <c r="Q1477" s="113">
        <v>46167</v>
      </c>
      <c r="R1477" s="113">
        <v>46167</v>
      </c>
      <c r="S1477" s="37">
        <f t="shared" si="295"/>
        <v>1495116</v>
      </c>
      <c r="T1477" s="37">
        <f t="shared" si="296"/>
        <v>0</v>
      </c>
      <c r="U1477" s="10"/>
      <c r="V1477" s="10"/>
      <c r="W1477" s="10"/>
      <c r="X1477" s="10"/>
      <c r="Y1477" s="10"/>
      <c r="Z1477" s="10"/>
      <c r="AA1477" s="10"/>
      <c r="AB1477" s="10"/>
      <c r="AC1477" s="10"/>
      <c r="AD1477" s="10"/>
      <c r="AE1477" s="10"/>
    </row>
    <row r="1478" spans="1:31" ht="14.25" customHeight="1">
      <c r="A1478" s="277" t="s">
        <v>5792</v>
      </c>
      <c r="B1478" s="9" t="s">
        <v>21</v>
      </c>
      <c r="C1478" s="9">
        <v>2025</v>
      </c>
      <c r="D1478" s="9" t="s">
        <v>77</v>
      </c>
      <c r="E1478" s="90" t="s">
        <v>23</v>
      </c>
      <c r="F1478" s="9" t="s">
        <v>7</v>
      </c>
      <c r="G1478" s="10"/>
      <c r="H1478" s="9">
        <v>260214</v>
      </c>
      <c r="I1478" s="11" t="s">
        <v>758</v>
      </c>
      <c r="J1478" s="12">
        <v>46126</v>
      </c>
      <c r="K1478" s="12">
        <v>46214</v>
      </c>
      <c r="L1478" s="52">
        <v>4017969</v>
      </c>
      <c r="M1478" s="125" t="s">
        <v>7365</v>
      </c>
      <c r="N1478" s="34">
        <f t="shared" ref="N1478:N1482" ca="1" si="297">$J$3-J1478-1</f>
        <v>113.46377638888953</v>
      </c>
      <c r="O1478" s="11"/>
      <c r="P1478" s="39"/>
      <c r="Q1478" s="39"/>
      <c r="R1478" s="39"/>
      <c r="S1478" s="37">
        <f t="shared" ref="S1478" si="298">IF(R1478="",0,L1478)</f>
        <v>0</v>
      </c>
      <c r="T1478" s="37">
        <f t="shared" ref="T1478" si="299">L1478-S1478</f>
        <v>4017969</v>
      </c>
      <c r="U1478" s="10"/>
      <c r="V1478" s="10"/>
      <c r="W1478" s="10"/>
      <c r="X1478" s="10"/>
      <c r="Y1478" s="10"/>
      <c r="Z1478" s="10"/>
      <c r="AA1478" s="10"/>
      <c r="AB1478" s="10"/>
      <c r="AC1478" s="10"/>
      <c r="AD1478" s="10"/>
      <c r="AE1478" s="10"/>
    </row>
    <row r="1479" spans="1:31" ht="14.25" customHeight="1">
      <c r="A1479" s="277" t="s">
        <v>5793</v>
      </c>
      <c r="B1479" s="9" t="s">
        <v>21</v>
      </c>
      <c r="C1479" s="9">
        <v>2025</v>
      </c>
      <c r="D1479" s="9" t="s">
        <v>77</v>
      </c>
      <c r="E1479" s="90" t="s">
        <v>23</v>
      </c>
      <c r="F1479" s="9" t="s">
        <v>7</v>
      </c>
      <c r="G1479" s="10"/>
      <c r="H1479" s="9">
        <v>260217</v>
      </c>
      <c r="I1479" s="11" t="s">
        <v>758</v>
      </c>
      <c r="J1479" s="12">
        <v>46128</v>
      </c>
      <c r="K1479" s="12">
        <v>46214</v>
      </c>
      <c r="L1479" s="52">
        <v>747558</v>
      </c>
      <c r="M1479" s="125" t="s">
        <v>7366</v>
      </c>
      <c r="N1479" s="34">
        <f t="shared" ca="1" si="297"/>
        <v>111.46377638888953</v>
      </c>
      <c r="O1479" s="11"/>
      <c r="P1479" s="39"/>
      <c r="Q1479" s="39"/>
      <c r="R1479" s="39"/>
      <c r="S1479" s="37">
        <f t="shared" ref="S1479:S1483" si="300">IF(R1479="",0,L1479)</f>
        <v>0</v>
      </c>
      <c r="T1479" s="37">
        <f t="shared" ref="T1479:T1483" si="301">L1479-S1479</f>
        <v>747558</v>
      </c>
      <c r="U1479" s="10"/>
      <c r="V1479" s="10"/>
      <c r="W1479" s="10"/>
      <c r="X1479" s="10"/>
      <c r="Y1479" s="10"/>
      <c r="Z1479" s="10"/>
      <c r="AA1479" s="10"/>
      <c r="AB1479" s="10"/>
      <c r="AC1479" s="10"/>
      <c r="AD1479" s="10"/>
      <c r="AE1479" s="10"/>
    </row>
    <row r="1480" spans="1:31" ht="14.25" customHeight="1">
      <c r="A1480" s="277" t="s">
        <v>5794</v>
      </c>
      <c r="B1480" s="9" t="s">
        <v>21</v>
      </c>
      <c r="C1480" s="9">
        <v>2025</v>
      </c>
      <c r="D1480" s="9" t="s">
        <v>77</v>
      </c>
      <c r="E1480" s="90" t="s">
        <v>23</v>
      </c>
      <c r="F1480" s="9" t="s">
        <v>7</v>
      </c>
      <c r="G1480" s="10"/>
      <c r="H1480" s="9">
        <v>260253</v>
      </c>
      <c r="I1480" s="11" t="s">
        <v>758</v>
      </c>
      <c r="J1480" s="12">
        <v>46139</v>
      </c>
      <c r="K1480" s="12">
        <v>46214</v>
      </c>
      <c r="L1480" s="52">
        <v>2760001</v>
      </c>
      <c r="M1480" s="125" t="s">
        <v>7367</v>
      </c>
      <c r="N1480" s="34">
        <f t="shared" ca="1" si="297"/>
        <v>100.46377638888953</v>
      </c>
      <c r="O1480" s="11"/>
      <c r="P1480" s="39"/>
      <c r="Q1480" s="39"/>
      <c r="R1480" s="39"/>
      <c r="S1480" s="37">
        <f t="shared" si="300"/>
        <v>0</v>
      </c>
      <c r="T1480" s="37">
        <f t="shared" si="301"/>
        <v>2760001</v>
      </c>
      <c r="U1480" s="10"/>
      <c r="V1480" s="10"/>
      <c r="W1480" s="10"/>
      <c r="X1480" s="10"/>
      <c r="Y1480" s="10"/>
      <c r="Z1480" s="10"/>
      <c r="AA1480" s="10"/>
      <c r="AB1480" s="10"/>
      <c r="AC1480" s="10"/>
      <c r="AD1480" s="10"/>
      <c r="AE1480" s="10"/>
    </row>
    <row r="1481" spans="1:31" ht="14.25" customHeight="1">
      <c r="A1481" s="277" t="s">
        <v>5795</v>
      </c>
      <c r="B1481" s="9" t="s">
        <v>21</v>
      </c>
      <c r="C1481" s="9">
        <v>2025</v>
      </c>
      <c r="D1481" s="9" t="s">
        <v>77</v>
      </c>
      <c r="E1481" s="90" t="s">
        <v>23</v>
      </c>
      <c r="F1481" s="9" t="s">
        <v>7</v>
      </c>
      <c r="G1481" s="10"/>
      <c r="H1481" s="9">
        <v>260254</v>
      </c>
      <c r="I1481" s="11" t="s">
        <v>758</v>
      </c>
      <c r="J1481" s="12">
        <v>46142</v>
      </c>
      <c r="K1481" s="12">
        <v>46214</v>
      </c>
      <c r="L1481" s="52">
        <v>5139184</v>
      </c>
      <c r="M1481" s="125" t="s">
        <v>7368</v>
      </c>
      <c r="N1481" s="34">
        <f t="shared" ca="1" si="297"/>
        <v>97.463776388889528</v>
      </c>
      <c r="O1481" s="11"/>
      <c r="P1481" s="39"/>
      <c r="Q1481" s="39"/>
      <c r="R1481" s="39"/>
      <c r="S1481" s="37">
        <f t="shared" si="300"/>
        <v>0</v>
      </c>
      <c r="T1481" s="37">
        <f t="shared" si="301"/>
        <v>5139184</v>
      </c>
      <c r="U1481" s="10"/>
      <c r="V1481" s="10"/>
      <c r="W1481" s="10"/>
      <c r="X1481" s="10"/>
      <c r="Y1481" s="10"/>
      <c r="Z1481" s="10"/>
      <c r="AA1481" s="10"/>
      <c r="AB1481" s="10"/>
      <c r="AC1481" s="10"/>
      <c r="AD1481" s="10"/>
      <c r="AE1481" s="10"/>
    </row>
    <row r="1482" spans="1:31" ht="14.25" customHeight="1">
      <c r="A1482" s="277" t="s">
        <v>5796</v>
      </c>
      <c r="B1482" s="9" t="s">
        <v>21</v>
      </c>
      <c r="C1482" s="9">
        <v>2025</v>
      </c>
      <c r="D1482" s="9" t="s">
        <v>77</v>
      </c>
      <c r="E1482" s="90" t="s">
        <v>23</v>
      </c>
      <c r="F1482" s="9" t="s">
        <v>7</v>
      </c>
      <c r="G1482" s="10"/>
      <c r="H1482" s="9">
        <v>260361</v>
      </c>
      <c r="I1482" s="11" t="s">
        <v>758</v>
      </c>
      <c r="J1482" s="12">
        <v>46183</v>
      </c>
      <c r="K1482" s="12">
        <v>46214</v>
      </c>
      <c r="L1482" s="52">
        <v>6900004</v>
      </c>
      <c r="M1482" s="125" t="s">
        <v>7369</v>
      </c>
      <c r="N1482" s="34">
        <f t="shared" ca="1" si="297"/>
        <v>56.463776388889528</v>
      </c>
      <c r="O1482" s="11"/>
      <c r="P1482" s="39"/>
      <c r="Q1482" s="39"/>
      <c r="R1482" s="39"/>
      <c r="S1482" s="37">
        <f t="shared" si="300"/>
        <v>0</v>
      </c>
      <c r="T1482" s="37">
        <f t="shared" si="301"/>
        <v>6900004</v>
      </c>
      <c r="U1482" s="10"/>
      <c r="V1482" s="10"/>
      <c r="W1482" s="10"/>
      <c r="X1482" s="10"/>
      <c r="Y1482" s="10"/>
      <c r="Z1482" s="10"/>
      <c r="AA1482" s="10"/>
      <c r="AB1482" s="10"/>
      <c r="AC1482" s="10"/>
      <c r="AD1482" s="10"/>
      <c r="AE1482" s="10"/>
    </row>
    <row r="1483" spans="1:31" ht="14.25" customHeight="1">
      <c r="A1483" s="277" t="s">
        <v>5797</v>
      </c>
      <c r="B1483" s="9" t="s">
        <v>21</v>
      </c>
      <c r="C1483" s="9"/>
      <c r="D1483" s="9"/>
      <c r="E1483" s="90"/>
      <c r="F1483" s="9"/>
      <c r="G1483" s="10"/>
      <c r="H1483" s="9"/>
      <c r="I1483" s="11"/>
      <c r="J1483" s="12"/>
      <c r="K1483" s="12"/>
      <c r="L1483" s="52"/>
      <c r="M1483" s="10"/>
      <c r="N1483" s="114">
        <f ca="1">$J$3-J1483</f>
        <v>46240.46377638889</v>
      </c>
      <c r="O1483" s="11"/>
      <c r="P1483" s="39"/>
      <c r="Q1483" s="39"/>
      <c r="R1483" s="39"/>
      <c r="S1483" s="37">
        <f t="shared" si="300"/>
        <v>0</v>
      </c>
      <c r="T1483" s="37">
        <f t="shared" si="301"/>
        <v>0</v>
      </c>
      <c r="U1483" s="10"/>
      <c r="V1483" s="10"/>
      <c r="W1483" s="10"/>
      <c r="X1483" s="10"/>
      <c r="Y1483" s="10"/>
      <c r="Z1483" s="10"/>
      <c r="AA1483" s="10"/>
      <c r="AB1483" s="10"/>
      <c r="AC1483" s="10"/>
      <c r="AD1483" s="10"/>
      <c r="AE1483" s="10"/>
    </row>
    <row r="1484" spans="1:31" ht="14.25" customHeight="1">
      <c r="A1484" s="277" t="s">
        <v>5798</v>
      </c>
      <c r="B1484" s="9" t="s">
        <v>21</v>
      </c>
      <c r="C1484" s="9"/>
      <c r="D1484" s="9"/>
      <c r="E1484" s="90"/>
      <c r="F1484" s="9"/>
      <c r="G1484" s="10"/>
      <c r="H1484" s="9"/>
      <c r="I1484" s="11"/>
      <c r="J1484" s="12"/>
      <c r="K1484" s="12"/>
      <c r="L1484" s="52"/>
      <c r="M1484" s="10"/>
      <c r="N1484" s="9"/>
      <c r="O1484" s="11"/>
      <c r="P1484" s="39"/>
      <c r="Q1484" s="39"/>
      <c r="R1484" s="39"/>
      <c r="S1484" s="37">
        <f t="shared" si="295"/>
        <v>0</v>
      </c>
      <c r="T1484" s="37">
        <f t="shared" si="296"/>
        <v>0</v>
      </c>
      <c r="U1484" s="10"/>
      <c r="V1484" s="10"/>
      <c r="W1484" s="10"/>
      <c r="X1484" s="10">
        <v>1</v>
      </c>
      <c r="Y1484" s="10"/>
      <c r="Z1484" s="10"/>
      <c r="AA1484" s="10"/>
      <c r="AB1484" s="10"/>
      <c r="AC1484" s="10"/>
      <c r="AD1484" s="10"/>
      <c r="AE1484" s="10"/>
    </row>
    <row r="1485" spans="1:31">
      <c r="A1485" s="277" t="s">
        <v>5799</v>
      </c>
      <c r="B1485" s="9" t="s">
        <v>21</v>
      </c>
      <c r="C1485" s="9"/>
      <c r="D1485" s="9"/>
      <c r="E1485" s="90"/>
      <c r="F1485" s="9"/>
      <c r="G1485" s="94" t="s">
        <v>24</v>
      </c>
      <c r="H1485" s="95" t="s">
        <v>762</v>
      </c>
      <c r="I1485" s="104"/>
      <c r="J1485" s="105"/>
      <c r="K1485" s="105"/>
      <c r="L1485" s="106">
        <f>SUM(L1486:L1557)</f>
        <v>417926648</v>
      </c>
      <c r="M1485" s="107"/>
      <c r="N1485" s="108" t="s">
        <v>26</v>
      </c>
      <c r="O1485" s="108"/>
      <c r="P1485" s="108"/>
      <c r="Q1485" s="108"/>
      <c r="R1485" s="108"/>
      <c r="S1485" s="106">
        <f>SUM(S1486:S1557)</f>
        <v>394210161</v>
      </c>
      <c r="T1485" s="106">
        <f>SUM(T1486:T1557)</f>
        <v>23716487</v>
      </c>
      <c r="U1485" s="10"/>
      <c r="V1485" s="52">
        <f>L1485-S1485</f>
        <v>23716487</v>
      </c>
      <c r="W1485" s="52">
        <f>T1485-V1485</f>
        <v>0</v>
      </c>
      <c r="X1485" s="10">
        <v>1</v>
      </c>
      <c r="Y1485" s="10"/>
      <c r="Z1485" s="10"/>
      <c r="AA1485" s="10"/>
      <c r="AB1485" s="10"/>
      <c r="AC1485" s="10"/>
      <c r="AD1485" s="10"/>
      <c r="AE1485" s="10"/>
    </row>
    <row r="1486" spans="1:31" hidden="1">
      <c r="A1486" s="277" t="s">
        <v>5800</v>
      </c>
      <c r="B1486" s="9" t="s">
        <v>21</v>
      </c>
      <c r="C1486" s="9">
        <v>2025</v>
      </c>
      <c r="D1486" s="9" t="s">
        <v>27</v>
      </c>
      <c r="E1486" s="90" t="s">
        <v>23</v>
      </c>
      <c r="F1486" s="9" t="s">
        <v>7</v>
      </c>
      <c r="G1486" s="10"/>
      <c r="H1486" s="96">
        <v>250017</v>
      </c>
      <c r="I1486" s="109" t="s">
        <v>762</v>
      </c>
      <c r="J1486" s="115">
        <v>45664</v>
      </c>
      <c r="K1486" s="119">
        <v>45682</v>
      </c>
      <c r="L1486" s="116">
        <v>3846899</v>
      </c>
      <c r="M1486" s="116" t="s">
        <v>763</v>
      </c>
      <c r="N1486" s="34" t="s">
        <v>29</v>
      </c>
      <c r="O1486" s="10"/>
      <c r="P1486" s="113">
        <v>45869</v>
      </c>
      <c r="Q1486" s="113">
        <v>45869</v>
      </c>
      <c r="R1486" s="113">
        <v>45869</v>
      </c>
      <c r="S1486" s="37">
        <f t="shared" ref="S1486:S1487" si="302">IF(R1486="",0,L1486)</f>
        <v>3846899</v>
      </c>
      <c r="T1486" s="37">
        <f t="shared" ref="T1486:T1487" si="303">L1486-S1486</f>
        <v>0</v>
      </c>
      <c r="U1486" s="10"/>
      <c r="V1486" s="10"/>
      <c r="W1486" s="10"/>
      <c r="X1486" s="10">
        <v>1</v>
      </c>
      <c r="Y1486" s="10"/>
      <c r="Z1486" s="10"/>
      <c r="AA1486" s="10"/>
      <c r="AB1486" s="10"/>
      <c r="AC1486" s="10"/>
      <c r="AD1486" s="10"/>
      <c r="AE1486" s="10"/>
    </row>
    <row r="1487" spans="1:31" hidden="1">
      <c r="A1487" s="277" t="s">
        <v>5801</v>
      </c>
      <c r="B1487" s="9" t="s">
        <v>21</v>
      </c>
      <c r="C1487" s="9">
        <v>2025</v>
      </c>
      <c r="D1487" s="9" t="s">
        <v>27</v>
      </c>
      <c r="E1487" s="90" t="s">
        <v>23</v>
      </c>
      <c r="F1487" s="9" t="s">
        <v>7</v>
      </c>
      <c r="G1487" s="10"/>
      <c r="H1487" s="96">
        <v>250018</v>
      </c>
      <c r="I1487" s="109" t="s">
        <v>762</v>
      </c>
      <c r="J1487" s="115">
        <v>45665</v>
      </c>
      <c r="K1487" s="119">
        <v>45682</v>
      </c>
      <c r="L1487" s="116">
        <v>1635952</v>
      </c>
      <c r="M1487" s="116" t="s">
        <v>764</v>
      </c>
      <c r="N1487" s="34" t="s">
        <v>29</v>
      </c>
      <c r="O1487" s="10"/>
      <c r="P1487" s="113">
        <v>45869</v>
      </c>
      <c r="Q1487" s="113">
        <v>45869</v>
      </c>
      <c r="R1487" s="113">
        <v>45869</v>
      </c>
      <c r="S1487" s="37">
        <f t="shared" si="302"/>
        <v>1635952</v>
      </c>
      <c r="T1487" s="37">
        <f t="shared" si="303"/>
        <v>0</v>
      </c>
      <c r="U1487" s="10"/>
      <c r="V1487" s="10"/>
      <c r="W1487" s="10"/>
      <c r="X1487" s="10">
        <v>1</v>
      </c>
      <c r="Y1487" s="10"/>
      <c r="Z1487" s="10"/>
      <c r="AA1487" s="10"/>
      <c r="AB1487" s="10"/>
      <c r="AC1487" s="10"/>
      <c r="AD1487" s="10"/>
      <c r="AE1487" s="10"/>
    </row>
    <row r="1488" spans="1:31" hidden="1">
      <c r="A1488" s="277" t="s">
        <v>5802</v>
      </c>
      <c r="B1488" s="9" t="s">
        <v>21</v>
      </c>
      <c r="C1488" s="9">
        <v>2025</v>
      </c>
      <c r="D1488" s="9" t="s">
        <v>27</v>
      </c>
      <c r="E1488" s="90" t="s">
        <v>23</v>
      </c>
      <c r="F1488" s="9" t="s">
        <v>7</v>
      </c>
      <c r="G1488" s="10"/>
      <c r="H1488" s="96">
        <v>250019</v>
      </c>
      <c r="I1488" s="109" t="s">
        <v>762</v>
      </c>
      <c r="J1488" s="115">
        <v>45665</v>
      </c>
      <c r="K1488" s="119">
        <v>45682</v>
      </c>
      <c r="L1488" s="116">
        <v>5785920</v>
      </c>
      <c r="M1488" s="116" t="s">
        <v>765</v>
      </c>
      <c r="N1488" s="34" t="s">
        <v>29</v>
      </c>
      <c r="O1488" s="27">
        <f>SUM(L1488:L1493)</f>
        <v>50486732</v>
      </c>
      <c r="P1488" s="113">
        <v>45895</v>
      </c>
      <c r="Q1488" s="113">
        <v>45895</v>
      </c>
      <c r="R1488" s="113">
        <v>45895</v>
      </c>
      <c r="S1488" s="37">
        <f t="shared" ref="S1488:S1521" si="304">IF(R1488="",0,L1488)</f>
        <v>5785920</v>
      </c>
      <c r="T1488" s="37">
        <f t="shared" ref="T1488:T1521" si="305">L1488-S1488</f>
        <v>0</v>
      </c>
      <c r="U1488" s="10"/>
      <c r="V1488" s="10"/>
      <c r="W1488" s="10"/>
      <c r="X1488" s="10">
        <v>1</v>
      </c>
      <c r="Y1488" s="10"/>
      <c r="Z1488" s="10"/>
      <c r="AA1488" s="10"/>
      <c r="AB1488" s="10"/>
      <c r="AC1488" s="10"/>
      <c r="AD1488" s="10"/>
      <c r="AE1488" s="10"/>
    </row>
    <row r="1489" spans="1:31" hidden="1">
      <c r="A1489" s="277" t="s">
        <v>5803</v>
      </c>
      <c r="B1489" s="9" t="s">
        <v>21</v>
      </c>
      <c r="C1489" s="9">
        <v>2025</v>
      </c>
      <c r="D1489" s="9" t="s">
        <v>27</v>
      </c>
      <c r="E1489" s="90" t="s">
        <v>23</v>
      </c>
      <c r="F1489" s="9" t="s">
        <v>7</v>
      </c>
      <c r="G1489" s="10"/>
      <c r="H1489" s="96">
        <v>250034</v>
      </c>
      <c r="I1489" s="109" t="s">
        <v>762</v>
      </c>
      <c r="J1489" s="115">
        <v>45667</v>
      </c>
      <c r="K1489" s="119">
        <v>45682</v>
      </c>
      <c r="L1489" s="116">
        <v>3997110</v>
      </c>
      <c r="M1489" s="116" t="s">
        <v>766</v>
      </c>
      <c r="N1489" s="34" t="s">
        <v>29</v>
      </c>
      <c r="O1489" s="10"/>
      <c r="P1489" s="113">
        <v>45895</v>
      </c>
      <c r="Q1489" s="113">
        <v>45895</v>
      </c>
      <c r="R1489" s="113">
        <v>45895</v>
      </c>
      <c r="S1489" s="37">
        <f t="shared" si="304"/>
        <v>3997110</v>
      </c>
      <c r="T1489" s="37">
        <f t="shared" si="305"/>
        <v>0</v>
      </c>
      <c r="U1489" s="10"/>
      <c r="V1489" s="10"/>
      <c r="W1489" s="10"/>
      <c r="X1489" s="10">
        <v>1</v>
      </c>
      <c r="Y1489" s="10"/>
      <c r="Z1489" s="10"/>
      <c r="AA1489" s="10"/>
      <c r="AB1489" s="10"/>
      <c r="AC1489" s="10"/>
      <c r="AD1489" s="10"/>
      <c r="AE1489" s="10"/>
    </row>
    <row r="1490" spans="1:31" hidden="1">
      <c r="A1490" s="277" t="s">
        <v>5804</v>
      </c>
      <c r="B1490" s="9" t="s">
        <v>21</v>
      </c>
      <c r="C1490" s="9">
        <v>2025</v>
      </c>
      <c r="D1490" s="9" t="s">
        <v>27</v>
      </c>
      <c r="E1490" s="90" t="s">
        <v>23</v>
      </c>
      <c r="F1490" s="9" t="s">
        <v>7</v>
      </c>
      <c r="G1490" s="10"/>
      <c r="H1490" s="96">
        <v>250033</v>
      </c>
      <c r="I1490" s="109" t="s">
        <v>762</v>
      </c>
      <c r="J1490" s="115">
        <v>45667</v>
      </c>
      <c r="K1490" s="119">
        <v>45682</v>
      </c>
      <c r="L1490" s="116">
        <v>19096997</v>
      </c>
      <c r="M1490" s="116" t="s">
        <v>767</v>
      </c>
      <c r="N1490" s="34" t="s">
        <v>29</v>
      </c>
      <c r="O1490" s="10"/>
      <c r="P1490" s="113">
        <v>45895</v>
      </c>
      <c r="Q1490" s="113">
        <v>45895</v>
      </c>
      <c r="R1490" s="113">
        <v>45895</v>
      </c>
      <c r="S1490" s="37">
        <f t="shared" si="304"/>
        <v>19096997</v>
      </c>
      <c r="T1490" s="37">
        <f t="shared" si="305"/>
        <v>0</v>
      </c>
      <c r="U1490" s="10"/>
      <c r="V1490" s="10"/>
      <c r="W1490" s="10"/>
      <c r="X1490" s="10">
        <v>1</v>
      </c>
      <c r="Y1490" s="10"/>
      <c r="Z1490" s="10"/>
      <c r="AA1490" s="10"/>
      <c r="AB1490" s="10"/>
      <c r="AC1490" s="10"/>
      <c r="AD1490" s="10"/>
      <c r="AE1490" s="10"/>
    </row>
    <row r="1491" spans="1:31" hidden="1">
      <c r="A1491" s="277" t="s">
        <v>5805</v>
      </c>
      <c r="B1491" s="9" t="s">
        <v>21</v>
      </c>
      <c r="C1491" s="9">
        <v>2025</v>
      </c>
      <c r="D1491" s="9" t="s">
        <v>27</v>
      </c>
      <c r="E1491" s="90" t="s">
        <v>23</v>
      </c>
      <c r="F1491" s="9" t="s">
        <v>7</v>
      </c>
      <c r="G1491" s="10"/>
      <c r="H1491" s="96">
        <v>250211</v>
      </c>
      <c r="I1491" s="109" t="s">
        <v>762</v>
      </c>
      <c r="J1491" s="115">
        <v>45708</v>
      </c>
      <c r="K1491" s="119">
        <v>45722</v>
      </c>
      <c r="L1491" s="116">
        <v>14665875</v>
      </c>
      <c r="M1491" s="116" t="s">
        <v>768</v>
      </c>
      <c r="N1491" s="34" t="s">
        <v>29</v>
      </c>
      <c r="O1491" s="10"/>
      <c r="P1491" s="113">
        <v>45895</v>
      </c>
      <c r="Q1491" s="113">
        <v>45895</v>
      </c>
      <c r="R1491" s="113">
        <v>45895</v>
      </c>
      <c r="S1491" s="37">
        <f t="shared" si="304"/>
        <v>14665875</v>
      </c>
      <c r="T1491" s="37">
        <f t="shared" si="305"/>
        <v>0</v>
      </c>
      <c r="U1491" s="10"/>
      <c r="V1491" s="10"/>
      <c r="W1491" s="10"/>
      <c r="X1491" s="10"/>
      <c r="Y1491" s="10"/>
      <c r="Z1491" s="10"/>
      <c r="AA1491" s="10"/>
      <c r="AB1491" s="10"/>
      <c r="AC1491" s="10"/>
      <c r="AD1491" s="10"/>
      <c r="AE1491" s="10"/>
    </row>
    <row r="1492" spans="1:31" hidden="1">
      <c r="A1492" s="277" t="s">
        <v>5806</v>
      </c>
      <c r="B1492" s="9" t="s">
        <v>21</v>
      </c>
      <c r="C1492" s="9">
        <v>2025</v>
      </c>
      <c r="D1492" s="9" t="s">
        <v>27</v>
      </c>
      <c r="E1492" s="90" t="s">
        <v>23</v>
      </c>
      <c r="F1492" s="9" t="s">
        <v>7</v>
      </c>
      <c r="G1492" s="10"/>
      <c r="H1492" s="96">
        <v>250184</v>
      </c>
      <c r="I1492" s="109" t="s">
        <v>762</v>
      </c>
      <c r="J1492" s="115">
        <v>45709</v>
      </c>
      <c r="K1492" s="119">
        <v>45722</v>
      </c>
      <c r="L1492" s="116">
        <v>4365630</v>
      </c>
      <c r="M1492" s="116" t="s">
        <v>769</v>
      </c>
      <c r="N1492" s="34" t="s">
        <v>29</v>
      </c>
      <c r="O1492" s="10"/>
      <c r="P1492" s="113">
        <v>45895</v>
      </c>
      <c r="Q1492" s="113">
        <v>45895</v>
      </c>
      <c r="R1492" s="113">
        <v>45895</v>
      </c>
      <c r="S1492" s="37">
        <f t="shared" si="304"/>
        <v>4365630</v>
      </c>
      <c r="T1492" s="37">
        <f t="shared" si="305"/>
        <v>0</v>
      </c>
      <c r="U1492" s="10"/>
      <c r="V1492" s="10"/>
      <c r="W1492" s="10"/>
      <c r="X1492" s="10"/>
      <c r="Y1492" s="10"/>
      <c r="Z1492" s="10"/>
      <c r="AA1492" s="10"/>
      <c r="AB1492" s="10"/>
      <c r="AC1492" s="10"/>
      <c r="AD1492" s="10"/>
      <c r="AE1492" s="10"/>
    </row>
    <row r="1493" spans="1:31" hidden="1">
      <c r="A1493" s="277" t="s">
        <v>5807</v>
      </c>
      <c r="B1493" s="9" t="s">
        <v>21</v>
      </c>
      <c r="C1493" s="9">
        <v>2025</v>
      </c>
      <c r="D1493" s="9" t="s">
        <v>27</v>
      </c>
      <c r="E1493" s="90" t="s">
        <v>23</v>
      </c>
      <c r="F1493" s="9" t="s">
        <v>7</v>
      </c>
      <c r="G1493" s="10"/>
      <c r="H1493" s="96">
        <v>250310</v>
      </c>
      <c r="I1493" s="109" t="s">
        <v>762</v>
      </c>
      <c r="J1493" s="115">
        <v>45713</v>
      </c>
      <c r="K1493" s="119">
        <v>45722</v>
      </c>
      <c r="L1493" s="116">
        <v>2575200</v>
      </c>
      <c r="M1493" s="116" t="s">
        <v>770</v>
      </c>
      <c r="N1493" s="34" t="s">
        <v>29</v>
      </c>
      <c r="O1493" s="10"/>
      <c r="P1493" s="113">
        <v>45895</v>
      </c>
      <c r="Q1493" s="113">
        <v>45895</v>
      </c>
      <c r="R1493" s="113">
        <v>45895</v>
      </c>
      <c r="S1493" s="37">
        <f t="shared" si="304"/>
        <v>2575200</v>
      </c>
      <c r="T1493" s="37">
        <f t="shared" si="305"/>
        <v>0</v>
      </c>
      <c r="U1493" s="10"/>
      <c r="V1493" s="10"/>
      <c r="W1493" s="10"/>
      <c r="X1493" s="10"/>
      <c r="Y1493" s="10"/>
      <c r="Z1493" s="10"/>
      <c r="AA1493" s="10"/>
      <c r="AB1493" s="10"/>
      <c r="AC1493" s="10"/>
      <c r="AD1493" s="10"/>
      <c r="AE1493" s="10"/>
    </row>
    <row r="1494" spans="1:31" hidden="1">
      <c r="A1494" s="277" t="s">
        <v>5808</v>
      </c>
      <c r="B1494" s="9" t="s">
        <v>21</v>
      </c>
      <c r="C1494" s="9">
        <v>2025</v>
      </c>
      <c r="D1494" s="9" t="s">
        <v>27</v>
      </c>
      <c r="E1494" s="90" t="s">
        <v>23</v>
      </c>
      <c r="F1494" s="9" t="s">
        <v>7</v>
      </c>
      <c r="G1494" s="10"/>
      <c r="H1494" s="96">
        <v>250212</v>
      </c>
      <c r="I1494" s="109" t="s">
        <v>762</v>
      </c>
      <c r="J1494" s="115">
        <v>45710</v>
      </c>
      <c r="K1494" s="119">
        <v>45722</v>
      </c>
      <c r="L1494" s="116">
        <v>25681159</v>
      </c>
      <c r="M1494" s="116" t="s">
        <v>771</v>
      </c>
      <c r="N1494" s="34" t="s">
        <v>29</v>
      </c>
      <c r="O1494" s="27">
        <f>SUM(L1494:L1496)</f>
        <v>35000000</v>
      </c>
      <c r="P1494" s="113">
        <v>45937</v>
      </c>
      <c r="Q1494" s="113">
        <v>45937</v>
      </c>
      <c r="R1494" s="113">
        <v>45937</v>
      </c>
      <c r="S1494" s="37">
        <f t="shared" si="304"/>
        <v>25681159</v>
      </c>
      <c r="T1494" s="37">
        <f t="shared" si="305"/>
        <v>0</v>
      </c>
      <c r="U1494" s="10"/>
      <c r="V1494" s="10"/>
      <c r="W1494" s="10"/>
      <c r="X1494" s="10"/>
      <c r="Y1494" s="10"/>
      <c r="Z1494" s="10"/>
      <c r="AA1494" s="10"/>
      <c r="AB1494" s="10"/>
      <c r="AC1494" s="10"/>
      <c r="AD1494" s="10"/>
      <c r="AE1494" s="10"/>
    </row>
    <row r="1495" spans="1:31" hidden="1">
      <c r="A1495" s="277" t="s">
        <v>5809</v>
      </c>
      <c r="B1495" s="9" t="s">
        <v>21</v>
      </c>
      <c r="C1495" s="9">
        <v>2025</v>
      </c>
      <c r="D1495" s="9" t="s">
        <v>27</v>
      </c>
      <c r="E1495" s="90" t="s">
        <v>23</v>
      </c>
      <c r="F1495" s="9" t="s">
        <v>7</v>
      </c>
      <c r="G1495" s="10"/>
      <c r="H1495" s="96">
        <v>250312</v>
      </c>
      <c r="I1495" s="109" t="s">
        <v>762</v>
      </c>
      <c r="J1495" s="115">
        <v>45714</v>
      </c>
      <c r="K1495" s="119">
        <v>45743</v>
      </c>
      <c r="L1495" s="116">
        <v>2927520</v>
      </c>
      <c r="M1495" s="116" t="s">
        <v>772</v>
      </c>
      <c r="N1495" s="34" t="s">
        <v>29</v>
      </c>
      <c r="O1495" s="10"/>
      <c r="P1495" s="113">
        <v>45937</v>
      </c>
      <c r="Q1495" s="113">
        <v>45937</v>
      </c>
      <c r="R1495" s="113">
        <v>45937</v>
      </c>
      <c r="S1495" s="37">
        <f t="shared" si="304"/>
        <v>2927520</v>
      </c>
      <c r="T1495" s="37">
        <f t="shared" si="305"/>
        <v>0</v>
      </c>
      <c r="U1495" s="10"/>
      <c r="V1495" s="10"/>
      <c r="W1495" s="10"/>
      <c r="X1495" s="10"/>
      <c r="Y1495" s="10"/>
      <c r="Z1495" s="10"/>
      <c r="AA1495" s="10"/>
      <c r="AB1495" s="10"/>
      <c r="AC1495" s="10"/>
      <c r="AD1495" s="10"/>
      <c r="AE1495" s="10"/>
    </row>
    <row r="1496" spans="1:31" hidden="1">
      <c r="A1496" s="277" t="s">
        <v>5810</v>
      </c>
      <c r="B1496" s="9" t="s">
        <v>21</v>
      </c>
      <c r="C1496" s="9">
        <v>2025</v>
      </c>
      <c r="D1496" s="9" t="s">
        <v>27</v>
      </c>
      <c r="E1496" s="90" t="s">
        <v>23</v>
      </c>
      <c r="F1496" s="9" t="s">
        <v>7</v>
      </c>
      <c r="G1496" s="10"/>
      <c r="H1496" s="96">
        <v>250233</v>
      </c>
      <c r="I1496" s="109" t="s">
        <v>762</v>
      </c>
      <c r="J1496" s="115">
        <v>45715</v>
      </c>
      <c r="K1496" s="119">
        <v>45743</v>
      </c>
      <c r="L1496" s="116">
        <v>6391321</v>
      </c>
      <c r="M1496" s="116" t="s">
        <v>3683</v>
      </c>
      <c r="N1496" s="34" t="s">
        <v>29</v>
      </c>
      <c r="O1496" s="10"/>
      <c r="P1496" s="113">
        <v>45937</v>
      </c>
      <c r="Q1496" s="113">
        <v>45937</v>
      </c>
      <c r="R1496" s="113">
        <v>45937</v>
      </c>
      <c r="S1496" s="37">
        <f t="shared" si="304"/>
        <v>6391321</v>
      </c>
      <c r="T1496" s="37">
        <f t="shared" si="305"/>
        <v>0</v>
      </c>
      <c r="U1496" s="10"/>
      <c r="V1496" s="10"/>
      <c r="W1496" s="10"/>
      <c r="X1496" s="10"/>
      <c r="Y1496" s="10"/>
      <c r="Z1496" s="10"/>
      <c r="AA1496" s="10"/>
      <c r="AB1496" s="10"/>
      <c r="AC1496" s="10"/>
      <c r="AD1496" s="10"/>
      <c r="AE1496" s="10"/>
    </row>
    <row r="1497" spans="1:31" hidden="1">
      <c r="A1497" s="277" t="s">
        <v>5811</v>
      </c>
      <c r="B1497" s="9" t="s">
        <v>21</v>
      </c>
      <c r="C1497" s="9">
        <v>2025</v>
      </c>
      <c r="D1497" s="9" t="s">
        <v>27</v>
      </c>
      <c r="E1497" s="90" t="s">
        <v>23</v>
      </c>
      <c r="F1497" s="9" t="s">
        <v>7</v>
      </c>
      <c r="G1497" s="10"/>
      <c r="H1497" s="96">
        <v>250233</v>
      </c>
      <c r="I1497" s="109" t="s">
        <v>762</v>
      </c>
      <c r="J1497" s="115">
        <v>45715</v>
      </c>
      <c r="K1497" s="119">
        <v>45743</v>
      </c>
      <c r="L1497" s="116">
        <f>13401696-6391321</f>
        <v>7010375</v>
      </c>
      <c r="M1497" s="116" t="s">
        <v>3684</v>
      </c>
      <c r="N1497" s="34" t="s">
        <v>29</v>
      </c>
      <c r="O1497" s="27">
        <f>SUM(L1497:L1500)</f>
        <v>19082407</v>
      </c>
      <c r="P1497" s="113">
        <v>45938</v>
      </c>
      <c r="Q1497" s="113">
        <v>45938</v>
      </c>
      <c r="R1497" s="113">
        <v>45938</v>
      </c>
      <c r="S1497" s="37">
        <f>IF(R1497="",0,L1497)</f>
        <v>7010375</v>
      </c>
      <c r="T1497" s="37">
        <f>L1497-S1497</f>
        <v>0</v>
      </c>
      <c r="U1497" s="10"/>
      <c r="V1497" s="10"/>
      <c r="W1497" s="10"/>
      <c r="X1497" s="10"/>
      <c r="Y1497" s="10"/>
      <c r="Z1497" s="10"/>
      <c r="AA1497" s="10"/>
      <c r="AB1497" s="10"/>
      <c r="AC1497" s="10"/>
      <c r="AD1497" s="10"/>
      <c r="AE1497" s="10"/>
    </row>
    <row r="1498" spans="1:31" hidden="1">
      <c r="A1498" s="277" t="s">
        <v>5812</v>
      </c>
      <c r="B1498" s="9" t="s">
        <v>21</v>
      </c>
      <c r="C1498" s="9">
        <v>2025</v>
      </c>
      <c r="D1498" s="9" t="s">
        <v>27</v>
      </c>
      <c r="E1498" s="90" t="s">
        <v>23</v>
      </c>
      <c r="F1498" s="9" t="s">
        <v>7</v>
      </c>
      <c r="G1498" s="10"/>
      <c r="H1498" s="96">
        <v>250239</v>
      </c>
      <c r="I1498" s="109" t="s">
        <v>762</v>
      </c>
      <c r="J1498" s="115">
        <v>45716</v>
      </c>
      <c r="K1498" s="119">
        <v>45743</v>
      </c>
      <c r="L1498" s="116">
        <v>6323148</v>
      </c>
      <c r="M1498" s="116" t="s">
        <v>773</v>
      </c>
      <c r="N1498" s="34" t="s">
        <v>29</v>
      </c>
      <c r="O1498" s="10"/>
      <c r="P1498" s="113">
        <v>45938</v>
      </c>
      <c r="Q1498" s="113">
        <v>45938</v>
      </c>
      <c r="R1498" s="113">
        <v>45938</v>
      </c>
      <c r="S1498" s="37">
        <f>IF(R1498="",0,L1498)</f>
        <v>6323148</v>
      </c>
      <c r="T1498" s="37">
        <f>L1498-S1498</f>
        <v>0</v>
      </c>
      <c r="U1498" s="10"/>
      <c r="V1498" s="10"/>
      <c r="W1498" s="10"/>
      <c r="X1498" s="10"/>
      <c r="Y1498" s="10"/>
      <c r="Z1498" s="10"/>
      <c r="AA1498" s="10"/>
      <c r="AB1498" s="10"/>
      <c r="AC1498" s="10"/>
      <c r="AD1498" s="10"/>
      <c r="AE1498" s="10"/>
    </row>
    <row r="1499" spans="1:31" hidden="1">
      <c r="A1499" s="277" t="s">
        <v>5813</v>
      </c>
      <c r="B1499" s="9" t="s">
        <v>21</v>
      </c>
      <c r="C1499" s="9">
        <v>2025</v>
      </c>
      <c r="D1499" s="9" t="s">
        <v>27</v>
      </c>
      <c r="E1499" s="90" t="s">
        <v>23</v>
      </c>
      <c r="F1499" s="9" t="s">
        <v>7</v>
      </c>
      <c r="G1499" s="10"/>
      <c r="H1499" s="96">
        <v>250311</v>
      </c>
      <c r="I1499" s="109" t="s">
        <v>762</v>
      </c>
      <c r="J1499" s="115">
        <v>45716</v>
      </c>
      <c r="K1499" s="119">
        <v>45743</v>
      </c>
      <c r="L1499" s="116">
        <v>1470000</v>
      </c>
      <c r="M1499" s="116" t="s">
        <v>774</v>
      </c>
      <c r="N1499" s="34" t="s">
        <v>29</v>
      </c>
      <c r="O1499" s="10"/>
      <c r="P1499" s="113">
        <v>45938</v>
      </c>
      <c r="Q1499" s="113">
        <v>45938</v>
      </c>
      <c r="R1499" s="113">
        <v>45938</v>
      </c>
      <c r="S1499" s="37">
        <f t="shared" si="304"/>
        <v>1470000</v>
      </c>
      <c r="T1499" s="37">
        <f t="shared" si="305"/>
        <v>0</v>
      </c>
      <c r="U1499" s="10"/>
      <c r="V1499" s="10"/>
      <c r="W1499" s="10"/>
      <c r="X1499" s="10"/>
      <c r="Y1499" s="10"/>
      <c r="Z1499" s="10"/>
      <c r="AA1499" s="10"/>
      <c r="AB1499" s="10"/>
      <c r="AC1499" s="10"/>
      <c r="AD1499" s="10"/>
      <c r="AE1499" s="10"/>
    </row>
    <row r="1500" spans="1:31" hidden="1">
      <c r="A1500" s="277" t="s">
        <v>5814</v>
      </c>
      <c r="B1500" s="9" t="s">
        <v>21</v>
      </c>
      <c r="C1500" s="9">
        <v>2025</v>
      </c>
      <c r="D1500" s="9" t="s">
        <v>27</v>
      </c>
      <c r="E1500" s="90" t="s">
        <v>23</v>
      </c>
      <c r="F1500" s="9" t="s">
        <v>7</v>
      </c>
      <c r="G1500" s="10"/>
      <c r="H1500" s="96">
        <v>250308</v>
      </c>
      <c r="I1500" s="109" t="s">
        <v>762</v>
      </c>
      <c r="J1500" s="115">
        <v>45723</v>
      </c>
      <c r="K1500" s="119">
        <v>45743</v>
      </c>
      <c r="L1500" s="116">
        <v>4278884</v>
      </c>
      <c r="M1500" s="116" t="s">
        <v>776</v>
      </c>
      <c r="N1500" s="34" t="s">
        <v>29</v>
      </c>
      <c r="O1500" s="10"/>
      <c r="P1500" s="113">
        <v>45938</v>
      </c>
      <c r="Q1500" s="113">
        <v>45938</v>
      </c>
      <c r="R1500" s="113">
        <v>45938</v>
      </c>
      <c r="S1500" s="37">
        <f>IF(R1500="",0,L1500)</f>
        <v>4278884</v>
      </c>
      <c r="T1500" s="37">
        <f>L1500-S1500</f>
        <v>0</v>
      </c>
      <c r="U1500" s="10"/>
      <c r="V1500" s="10"/>
      <c r="W1500" s="10"/>
      <c r="X1500" s="10"/>
      <c r="Y1500" s="10"/>
      <c r="Z1500" s="10"/>
      <c r="AA1500" s="10"/>
      <c r="AB1500" s="10"/>
      <c r="AC1500" s="10"/>
      <c r="AD1500" s="10"/>
      <c r="AE1500" s="10"/>
    </row>
    <row r="1501" spans="1:31" hidden="1">
      <c r="A1501" s="277" t="s">
        <v>5815</v>
      </c>
      <c r="B1501" s="9" t="s">
        <v>21</v>
      </c>
      <c r="C1501" s="9">
        <v>2025</v>
      </c>
      <c r="D1501" s="9" t="s">
        <v>27</v>
      </c>
      <c r="E1501" s="90" t="s">
        <v>23</v>
      </c>
      <c r="F1501" s="9" t="s">
        <v>7</v>
      </c>
      <c r="G1501" s="10"/>
      <c r="H1501" s="96">
        <v>250309</v>
      </c>
      <c r="I1501" s="109" t="s">
        <v>762</v>
      </c>
      <c r="J1501" s="115">
        <v>45722</v>
      </c>
      <c r="K1501" s="119">
        <v>45743</v>
      </c>
      <c r="L1501" s="116">
        <v>12436265</v>
      </c>
      <c r="M1501" s="116" t="s">
        <v>775</v>
      </c>
      <c r="N1501" s="34" t="s">
        <v>29</v>
      </c>
      <c r="O1501" s="27">
        <f>SUM(L1501:L1503)</f>
        <v>25163881</v>
      </c>
      <c r="P1501" s="113">
        <v>45957</v>
      </c>
      <c r="Q1501" s="113">
        <v>45957</v>
      </c>
      <c r="R1501" s="113">
        <v>45957</v>
      </c>
      <c r="S1501" s="37">
        <f t="shared" si="304"/>
        <v>12436265</v>
      </c>
      <c r="T1501" s="37">
        <f t="shared" si="305"/>
        <v>0</v>
      </c>
      <c r="U1501" s="10"/>
      <c r="V1501" s="10"/>
      <c r="W1501" s="10"/>
      <c r="X1501" s="10"/>
      <c r="Y1501" s="10"/>
      <c r="Z1501" s="10"/>
      <c r="AA1501" s="10"/>
      <c r="AB1501" s="10"/>
      <c r="AC1501" s="10"/>
      <c r="AD1501" s="10"/>
      <c r="AE1501" s="10"/>
    </row>
    <row r="1502" spans="1:31" hidden="1">
      <c r="A1502" s="277" t="s">
        <v>5816</v>
      </c>
      <c r="B1502" s="9" t="s">
        <v>21</v>
      </c>
      <c r="C1502" s="9">
        <v>2025</v>
      </c>
      <c r="D1502" s="9" t="s">
        <v>27</v>
      </c>
      <c r="E1502" s="90" t="s">
        <v>23</v>
      </c>
      <c r="F1502" s="9" t="s">
        <v>7</v>
      </c>
      <c r="G1502" s="10"/>
      <c r="H1502" s="96">
        <v>250336</v>
      </c>
      <c r="I1502" s="109" t="s">
        <v>762</v>
      </c>
      <c r="J1502" s="115">
        <v>45729</v>
      </c>
      <c r="K1502" s="119">
        <v>45743</v>
      </c>
      <c r="L1502" s="116">
        <v>2250104</v>
      </c>
      <c r="M1502" s="116" t="s">
        <v>777</v>
      </c>
      <c r="N1502" s="34" t="s">
        <v>29</v>
      </c>
      <c r="O1502" s="10"/>
      <c r="P1502" s="113">
        <v>45957</v>
      </c>
      <c r="Q1502" s="113">
        <v>45957</v>
      </c>
      <c r="R1502" s="113">
        <v>45957</v>
      </c>
      <c r="S1502" s="37">
        <f t="shared" si="304"/>
        <v>2250104</v>
      </c>
      <c r="T1502" s="37">
        <f t="shared" si="305"/>
        <v>0</v>
      </c>
      <c r="U1502" s="10"/>
      <c r="V1502" s="10"/>
      <c r="W1502" s="10"/>
      <c r="X1502" s="10"/>
      <c r="Y1502" s="10"/>
      <c r="Z1502" s="10"/>
      <c r="AA1502" s="10"/>
      <c r="AB1502" s="10"/>
      <c r="AC1502" s="10"/>
      <c r="AD1502" s="10"/>
      <c r="AE1502" s="10"/>
    </row>
    <row r="1503" spans="1:31" hidden="1">
      <c r="A1503" s="277" t="s">
        <v>5817</v>
      </c>
      <c r="B1503" s="9" t="s">
        <v>21</v>
      </c>
      <c r="C1503" s="9">
        <v>2025</v>
      </c>
      <c r="D1503" s="9" t="s">
        <v>27</v>
      </c>
      <c r="E1503" s="90" t="s">
        <v>23</v>
      </c>
      <c r="F1503" s="9" t="s">
        <v>7</v>
      </c>
      <c r="G1503" s="10"/>
      <c r="H1503" s="96">
        <v>250380</v>
      </c>
      <c r="I1503" s="109" t="s">
        <v>762</v>
      </c>
      <c r="J1503" s="115">
        <v>45742</v>
      </c>
      <c r="K1503" s="119">
        <v>45773</v>
      </c>
      <c r="L1503" s="116">
        <v>10477512</v>
      </c>
      <c r="M1503" s="116" t="s">
        <v>778</v>
      </c>
      <c r="N1503" s="34" t="s">
        <v>29</v>
      </c>
      <c r="O1503" s="10"/>
      <c r="P1503" s="113">
        <v>45957</v>
      </c>
      <c r="Q1503" s="113">
        <v>45957</v>
      </c>
      <c r="R1503" s="113">
        <v>45957</v>
      </c>
      <c r="S1503" s="37">
        <f t="shared" si="304"/>
        <v>10477512</v>
      </c>
      <c r="T1503" s="37">
        <f t="shared" si="305"/>
        <v>0</v>
      </c>
      <c r="U1503" s="10"/>
      <c r="V1503" s="10"/>
      <c r="W1503" s="10"/>
      <c r="X1503" s="10"/>
      <c r="Y1503" s="10"/>
      <c r="Z1503" s="10"/>
      <c r="AA1503" s="10"/>
      <c r="AB1503" s="10"/>
      <c r="AC1503" s="10"/>
      <c r="AD1503" s="10"/>
      <c r="AE1503" s="10"/>
    </row>
    <row r="1504" spans="1:31" hidden="1">
      <c r="A1504" s="277" t="s">
        <v>5818</v>
      </c>
      <c r="B1504" s="9" t="s">
        <v>21</v>
      </c>
      <c r="C1504" s="9">
        <v>2025</v>
      </c>
      <c r="D1504" s="9" t="s">
        <v>27</v>
      </c>
      <c r="E1504" s="90" t="s">
        <v>23</v>
      </c>
      <c r="F1504" s="9" t="s">
        <v>7</v>
      </c>
      <c r="G1504" s="10"/>
      <c r="H1504" s="96">
        <v>250393</v>
      </c>
      <c r="I1504" s="109" t="s">
        <v>762</v>
      </c>
      <c r="J1504" s="115">
        <v>45743</v>
      </c>
      <c r="K1504" s="119">
        <v>45773</v>
      </c>
      <c r="L1504" s="116">
        <v>19469947</v>
      </c>
      <c r="M1504" s="116" t="s">
        <v>779</v>
      </c>
      <c r="N1504" s="34" t="s">
        <v>29</v>
      </c>
      <c r="O1504" s="27">
        <f>SUM(L1504:L1505)</f>
        <v>23544535</v>
      </c>
      <c r="P1504" s="113">
        <v>45989</v>
      </c>
      <c r="Q1504" s="113">
        <v>45989</v>
      </c>
      <c r="R1504" s="113">
        <v>45989</v>
      </c>
      <c r="S1504" s="37">
        <f t="shared" si="304"/>
        <v>19469947</v>
      </c>
      <c r="T1504" s="37">
        <f t="shared" si="305"/>
        <v>0</v>
      </c>
      <c r="U1504" s="10"/>
      <c r="V1504" s="10"/>
      <c r="W1504" s="10"/>
      <c r="X1504" s="10"/>
      <c r="Y1504" s="10"/>
      <c r="Z1504" s="10"/>
      <c r="AA1504" s="10"/>
      <c r="AB1504" s="10"/>
      <c r="AC1504" s="10"/>
      <c r="AD1504" s="10"/>
      <c r="AE1504" s="10"/>
    </row>
    <row r="1505" spans="1:31" hidden="1">
      <c r="A1505" s="277" t="s">
        <v>5819</v>
      </c>
      <c r="B1505" s="9" t="s">
        <v>21</v>
      </c>
      <c r="C1505" s="9">
        <v>2025</v>
      </c>
      <c r="D1505" s="9" t="s">
        <v>27</v>
      </c>
      <c r="E1505" s="90" t="s">
        <v>23</v>
      </c>
      <c r="F1505" s="9" t="s">
        <v>7</v>
      </c>
      <c r="G1505" s="10"/>
      <c r="H1505" s="96">
        <v>250417</v>
      </c>
      <c r="I1505" s="109" t="s">
        <v>762</v>
      </c>
      <c r="J1505" s="115">
        <v>45743</v>
      </c>
      <c r="K1505" s="119">
        <v>45773</v>
      </c>
      <c r="L1505" s="116">
        <v>4074588</v>
      </c>
      <c r="M1505" s="116" t="s">
        <v>780</v>
      </c>
      <c r="N1505" s="34" t="s">
        <v>29</v>
      </c>
      <c r="O1505" s="10"/>
      <c r="P1505" s="113">
        <v>45989</v>
      </c>
      <c r="Q1505" s="113">
        <v>45989</v>
      </c>
      <c r="R1505" s="113">
        <v>45989</v>
      </c>
      <c r="S1505" s="37">
        <f t="shared" si="304"/>
        <v>4074588</v>
      </c>
      <c r="T1505" s="37">
        <f t="shared" si="305"/>
        <v>0</v>
      </c>
      <c r="U1505" s="10"/>
      <c r="V1505" s="10"/>
      <c r="W1505" s="10"/>
      <c r="X1505" s="10"/>
      <c r="Y1505" s="10"/>
      <c r="Z1505" s="10"/>
      <c r="AA1505" s="10"/>
      <c r="AB1505" s="10"/>
      <c r="AC1505" s="10"/>
      <c r="AD1505" s="10"/>
      <c r="AE1505" s="10"/>
    </row>
    <row r="1506" spans="1:31" hidden="1">
      <c r="A1506" s="277" t="s">
        <v>5820</v>
      </c>
      <c r="B1506" s="9" t="s">
        <v>21</v>
      </c>
      <c r="C1506" s="9">
        <v>2025</v>
      </c>
      <c r="D1506" s="9" t="s">
        <v>27</v>
      </c>
      <c r="E1506" s="90" t="s">
        <v>23</v>
      </c>
      <c r="F1506" s="9" t="s">
        <v>7</v>
      </c>
      <c r="G1506" s="10"/>
      <c r="H1506" s="96">
        <v>250362</v>
      </c>
      <c r="I1506" s="109" t="s">
        <v>762</v>
      </c>
      <c r="J1506" s="115">
        <v>45744</v>
      </c>
      <c r="K1506" s="119">
        <v>45773</v>
      </c>
      <c r="L1506" s="116">
        <v>9992775</v>
      </c>
      <c r="M1506" s="116" t="s">
        <v>781</v>
      </c>
      <c r="N1506" s="34" t="s">
        <v>29</v>
      </c>
      <c r="O1506" s="27">
        <f>SUM(L1506:L1509)</f>
        <v>20085830</v>
      </c>
      <c r="P1506" s="113">
        <v>45994</v>
      </c>
      <c r="Q1506" s="113">
        <v>45994</v>
      </c>
      <c r="R1506" s="113">
        <v>45994</v>
      </c>
      <c r="S1506" s="37">
        <f t="shared" si="304"/>
        <v>9992775</v>
      </c>
      <c r="T1506" s="37">
        <f t="shared" si="305"/>
        <v>0</v>
      </c>
      <c r="U1506" s="10"/>
      <c r="V1506" s="10"/>
      <c r="W1506" s="10"/>
      <c r="X1506" s="10"/>
      <c r="Y1506" s="10"/>
      <c r="Z1506" s="10"/>
      <c r="AA1506" s="10"/>
      <c r="AB1506" s="10"/>
      <c r="AC1506" s="10"/>
      <c r="AD1506" s="10"/>
      <c r="AE1506" s="10"/>
    </row>
    <row r="1507" spans="1:31" hidden="1">
      <c r="A1507" s="277" t="s">
        <v>5821</v>
      </c>
      <c r="B1507" s="9" t="s">
        <v>21</v>
      </c>
      <c r="C1507" s="9">
        <v>2025</v>
      </c>
      <c r="D1507" s="9" t="s">
        <v>27</v>
      </c>
      <c r="E1507" s="90" t="s">
        <v>23</v>
      </c>
      <c r="F1507" s="9" t="s">
        <v>7</v>
      </c>
      <c r="G1507" s="10"/>
      <c r="H1507" s="96">
        <v>250493</v>
      </c>
      <c r="I1507" s="109" t="s">
        <v>762</v>
      </c>
      <c r="J1507" s="115">
        <v>45777</v>
      </c>
      <c r="K1507" s="119">
        <v>45857</v>
      </c>
      <c r="L1507" s="116">
        <v>2997000</v>
      </c>
      <c r="M1507" s="116" t="s">
        <v>782</v>
      </c>
      <c r="N1507" s="34" t="s">
        <v>29</v>
      </c>
      <c r="O1507" s="10"/>
      <c r="P1507" s="113">
        <v>45994</v>
      </c>
      <c r="Q1507" s="113">
        <v>45994</v>
      </c>
      <c r="R1507" s="113">
        <v>45994</v>
      </c>
      <c r="S1507" s="37">
        <f t="shared" si="304"/>
        <v>2997000</v>
      </c>
      <c r="T1507" s="37">
        <f t="shared" si="305"/>
        <v>0</v>
      </c>
      <c r="U1507" s="10"/>
      <c r="V1507" s="10"/>
      <c r="W1507" s="10"/>
      <c r="X1507" s="10"/>
      <c r="Y1507" s="10"/>
      <c r="Z1507" s="10"/>
      <c r="AA1507" s="10"/>
      <c r="AB1507" s="10"/>
      <c r="AC1507" s="10"/>
      <c r="AD1507" s="10"/>
      <c r="AE1507" s="10"/>
    </row>
    <row r="1508" spans="1:31" hidden="1">
      <c r="A1508" s="277" t="s">
        <v>5822</v>
      </c>
      <c r="B1508" s="9" t="s">
        <v>21</v>
      </c>
      <c r="C1508" s="9">
        <v>2025</v>
      </c>
      <c r="D1508" s="9" t="s">
        <v>27</v>
      </c>
      <c r="E1508" s="90" t="s">
        <v>23</v>
      </c>
      <c r="F1508" s="9" t="s">
        <v>7</v>
      </c>
      <c r="G1508" s="10"/>
      <c r="H1508" s="96">
        <v>250503</v>
      </c>
      <c r="I1508" s="109" t="s">
        <v>762</v>
      </c>
      <c r="J1508" s="115">
        <v>45783</v>
      </c>
      <c r="K1508" s="119">
        <v>45857</v>
      </c>
      <c r="L1508" s="116">
        <v>3705005</v>
      </c>
      <c r="M1508" s="116" t="s">
        <v>783</v>
      </c>
      <c r="N1508" s="34" t="s">
        <v>29</v>
      </c>
      <c r="O1508" s="10"/>
      <c r="P1508" s="113">
        <v>45994</v>
      </c>
      <c r="Q1508" s="113">
        <v>45994</v>
      </c>
      <c r="R1508" s="113">
        <v>45994</v>
      </c>
      <c r="S1508" s="37">
        <f t="shared" si="304"/>
        <v>3705005</v>
      </c>
      <c r="T1508" s="37">
        <f t="shared" si="305"/>
        <v>0</v>
      </c>
      <c r="U1508" s="10"/>
      <c r="V1508" s="10"/>
      <c r="W1508" s="10"/>
      <c r="X1508" s="10"/>
      <c r="Y1508" s="10"/>
      <c r="Z1508" s="10"/>
      <c r="AA1508" s="10"/>
      <c r="AB1508" s="10"/>
      <c r="AC1508" s="10"/>
      <c r="AD1508" s="10"/>
      <c r="AE1508" s="10"/>
    </row>
    <row r="1509" spans="1:31" hidden="1">
      <c r="A1509" s="277" t="s">
        <v>5823</v>
      </c>
      <c r="B1509" s="9" t="s">
        <v>21</v>
      </c>
      <c r="C1509" s="9">
        <v>2025</v>
      </c>
      <c r="D1509" s="9" t="s">
        <v>27</v>
      </c>
      <c r="E1509" s="90" t="s">
        <v>23</v>
      </c>
      <c r="F1509" s="9" t="s">
        <v>7</v>
      </c>
      <c r="G1509" s="10"/>
      <c r="H1509" s="96">
        <v>250748</v>
      </c>
      <c r="I1509" s="109" t="s">
        <v>762</v>
      </c>
      <c r="J1509" s="115">
        <v>45859</v>
      </c>
      <c r="K1509" s="119">
        <v>45913</v>
      </c>
      <c r="L1509" s="116">
        <v>3391050</v>
      </c>
      <c r="M1509" s="116" t="s">
        <v>784</v>
      </c>
      <c r="N1509" s="34" t="s">
        <v>29</v>
      </c>
      <c r="O1509" s="10"/>
      <c r="P1509" s="113">
        <v>45994</v>
      </c>
      <c r="Q1509" s="113">
        <v>45994</v>
      </c>
      <c r="R1509" s="113">
        <v>45994</v>
      </c>
      <c r="S1509" s="37">
        <f t="shared" si="304"/>
        <v>3391050</v>
      </c>
      <c r="T1509" s="37">
        <f t="shared" si="305"/>
        <v>0</v>
      </c>
      <c r="U1509" s="10"/>
      <c r="V1509" s="10"/>
      <c r="W1509" s="10"/>
      <c r="X1509" s="10"/>
      <c r="Y1509" s="10"/>
      <c r="Z1509" s="10"/>
      <c r="AA1509" s="10"/>
      <c r="AB1509" s="10"/>
      <c r="AC1509" s="10"/>
      <c r="AD1509" s="10"/>
      <c r="AE1509" s="10"/>
    </row>
    <row r="1510" spans="1:31" hidden="1">
      <c r="A1510" s="277" t="s">
        <v>7623</v>
      </c>
      <c r="B1510" s="9" t="s">
        <v>21</v>
      </c>
      <c r="C1510" s="9">
        <v>2025</v>
      </c>
      <c r="D1510" s="9" t="s">
        <v>27</v>
      </c>
      <c r="E1510" s="90" t="s">
        <v>23</v>
      </c>
      <c r="F1510" s="9" t="s">
        <v>7</v>
      </c>
      <c r="G1510" s="10"/>
      <c r="H1510" s="96">
        <v>250745</v>
      </c>
      <c r="I1510" s="109" t="s">
        <v>762</v>
      </c>
      <c r="J1510" s="115">
        <v>45861</v>
      </c>
      <c r="K1510" s="119">
        <v>45913</v>
      </c>
      <c r="L1510" s="116">
        <v>5995665</v>
      </c>
      <c r="M1510" s="116" t="s">
        <v>785</v>
      </c>
      <c r="N1510" s="34" t="s">
        <v>29</v>
      </c>
      <c r="O1510" s="27">
        <f>SUM(L1510:L1513)</f>
        <v>22350667</v>
      </c>
      <c r="P1510" s="113">
        <v>46038</v>
      </c>
      <c r="Q1510" s="113">
        <v>46038</v>
      </c>
      <c r="R1510" s="113">
        <v>46038</v>
      </c>
      <c r="S1510" s="37">
        <f t="shared" si="304"/>
        <v>5995665</v>
      </c>
      <c r="T1510" s="37">
        <f t="shared" si="305"/>
        <v>0</v>
      </c>
      <c r="U1510" s="10"/>
      <c r="V1510" s="10"/>
      <c r="W1510" s="10"/>
      <c r="X1510" s="10"/>
      <c r="Y1510" s="10"/>
      <c r="Z1510" s="10"/>
      <c r="AA1510" s="10"/>
      <c r="AB1510" s="10"/>
      <c r="AC1510" s="10"/>
      <c r="AD1510" s="10"/>
      <c r="AE1510" s="10"/>
    </row>
    <row r="1511" spans="1:31" hidden="1">
      <c r="A1511" s="277" t="s">
        <v>7624</v>
      </c>
      <c r="B1511" s="9" t="s">
        <v>21</v>
      </c>
      <c r="C1511" s="9">
        <v>2025</v>
      </c>
      <c r="D1511" s="9" t="s">
        <v>27</v>
      </c>
      <c r="E1511" s="90" t="s">
        <v>23</v>
      </c>
      <c r="F1511" s="9" t="s">
        <v>7</v>
      </c>
      <c r="G1511" s="10"/>
      <c r="H1511" s="96">
        <v>250746</v>
      </c>
      <c r="I1511" s="109" t="s">
        <v>762</v>
      </c>
      <c r="J1511" s="115">
        <v>45861</v>
      </c>
      <c r="K1511" s="119">
        <v>45913</v>
      </c>
      <c r="L1511" s="116">
        <v>9842761</v>
      </c>
      <c r="M1511" s="116" t="s">
        <v>786</v>
      </c>
      <c r="N1511" s="34" t="s">
        <v>29</v>
      </c>
      <c r="O1511" s="10"/>
      <c r="P1511" s="113">
        <v>46038</v>
      </c>
      <c r="Q1511" s="113">
        <v>46038</v>
      </c>
      <c r="R1511" s="113">
        <v>46038</v>
      </c>
      <c r="S1511" s="37">
        <f t="shared" si="304"/>
        <v>9842761</v>
      </c>
      <c r="T1511" s="37">
        <f t="shared" si="305"/>
        <v>0</v>
      </c>
      <c r="U1511" s="10"/>
      <c r="V1511" s="10"/>
      <c r="W1511" s="10"/>
      <c r="X1511" s="10"/>
      <c r="Y1511" s="10"/>
      <c r="Z1511" s="10"/>
      <c r="AA1511" s="10"/>
      <c r="AB1511" s="10"/>
      <c r="AC1511" s="10"/>
      <c r="AD1511" s="10"/>
      <c r="AE1511" s="10"/>
    </row>
    <row r="1512" spans="1:31" hidden="1">
      <c r="A1512" s="277" t="s">
        <v>7625</v>
      </c>
      <c r="B1512" s="9" t="s">
        <v>21</v>
      </c>
      <c r="C1512" s="9">
        <v>2025</v>
      </c>
      <c r="D1512" s="9" t="s">
        <v>27</v>
      </c>
      <c r="E1512" s="90" t="s">
        <v>23</v>
      </c>
      <c r="F1512" s="9" t="s">
        <v>7</v>
      </c>
      <c r="G1512" s="10"/>
      <c r="H1512" s="96">
        <v>250747</v>
      </c>
      <c r="I1512" s="109" t="s">
        <v>762</v>
      </c>
      <c r="J1512" s="115">
        <v>45861</v>
      </c>
      <c r="K1512" s="119">
        <v>45913</v>
      </c>
      <c r="L1512" s="116">
        <v>1738260</v>
      </c>
      <c r="M1512" s="116" t="s">
        <v>787</v>
      </c>
      <c r="N1512" s="34" t="s">
        <v>29</v>
      </c>
      <c r="O1512" s="10"/>
      <c r="P1512" s="113">
        <v>46038</v>
      </c>
      <c r="Q1512" s="113">
        <v>46038</v>
      </c>
      <c r="R1512" s="113">
        <v>46038</v>
      </c>
      <c r="S1512" s="37">
        <f t="shared" si="304"/>
        <v>1738260</v>
      </c>
      <c r="T1512" s="37">
        <f t="shared" si="305"/>
        <v>0</v>
      </c>
      <c r="U1512" s="10"/>
      <c r="V1512" s="10"/>
      <c r="W1512" s="10"/>
      <c r="X1512" s="10"/>
      <c r="Y1512" s="10"/>
      <c r="Z1512" s="10"/>
      <c r="AA1512" s="10"/>
      <c r="AB1512" s="10"/>
      <c r="AC1512" s="10"/>
      <c r="AD1512" s="10"/>
      <c r="AE1512" s="10"/>
    </row>
    <row r="1513" spans="1:31" hidden="1">
      <c r="A1513" s="277" t="s">
        <v>7626</v>
      </c>
      <c r="B1513" s="9" t="s">
        <v>21</v>
      </c>
      <c r="C1513" s="9">
        <v>2025</v>
      </c>
      <c r="D1513" s="9" t="s">
        <v>27</v>
      </c>
      <c r="E1513" s="90" t="s">
        <v>23</v>
      </c>
      <c r="F1513" s="9" t="s">
        <v>7</v>
      </c>
      <c r="G1513" s="10"/>
      <c r="H1513" s="96">
        <v>250771</v>
      </c>
      <c r="I1513" s="109" t="s">
        <v>762</v>
      </c>
      <c r="J1513" s="115">
        <v>45869</v>
      </c>
      <c r="K1513" s="119">
        <v>45913</v>
      </c>
      <c r="L1513" s="116">
        <v>4773981</v>
      </c>
      <c r="M1513" s="116" t="s">
        <v>790</v>
      </c>
      <c r="N1513" s="34" t="s">
        <v>29</v>
      </c>
      <c r="O1513" s="10"/>
      <c r="P1513" s="113">
        <v>46038</v>
      </c>
      <c r="Q1513" s="113">
        <v>46038</v>
      </c>
      <c r="R1513" s="113">
        <v>46038</v>
      </c>
      <c r="S1513" s="37">
        <f>IF(R1513="",0,L1513)</f>
        <v>4773981</v>
      </c>
      <c r="T1513" s="37">
        <f>L1513-S1513</f>
        <v>0</v>
      </c>
      <c r="U1513" s="10"/>
      <c r="V1513" s="10"/>
      <c r="W1513" s="10"/>
      <c r="X1513" s="10"/>
      <c r="Y1513" s="10"/>
      <c r="Z1513" s="10"/>
      <c r="AA1513" s="10"/>
      <c r="AB1513" s="10"/>
      <c r="AC1513" s="10"/>
      <c r="AD1513" s="10"/>
      <c r="AE1513" s="10"/>
    </row>
    <row r="1514" spans="1:31" hidden="1">
      <c r="A1514" s="277" t="s">
        <v>7627</v>
      </c>
      <c r="B1514" s="9" t="s">
        <v>21</v>
      </c>
      <c r="C1514" s="9">
        <v>2025</v>
      </c>
      <c r="D1514" s="9" t="s">
        <v>27</v>
      </c>
      <c r="E1514" s="90" t="s">
        <v>23</v>
      </c>
      <c r="F1514" s="9" t="s">
        <v>7</v>
      </c>
      <c r="G1514" s="10"/>
      <c r="H1514" s="96">
        <v>250767</v>
      </c>
      <c r="I1514" s="109" t="s">
        <v>762</v>
      </c>
      <c r="J1514" s="115">
        <v>45869</v>
      </c>
      <c r="K1514" s="119">
        <v>45913</v>
      </c>
      <c r="L1514" s="116">
        <v>5995665</v>
      </c>
      <c r="M1514" s="116" t="s">
        <v>788</v>
      </c>
      <c r="N1514" s="34" t="s">
        <v>29</v>
      </c>
      <c r="O1514" s="27">
        <f>SUM(L1514:L1517)</f>
        <v>15576561</v>
      </c>
      <c r="P1514" s="113">
        <v>46052</v>
      </c>
      <c r="Q1514" s="113">
        <v>46052</v>
      </c>
      <c r="R1514" s="113">
        <v>46052</v>
      </c>
      <c r="S1514" s="37">
        <f t="shared" si="304"/>
        <v>5995665</v>
      </c>
      <c r="T1514" s="37">
        <f t="shared" si="305"/>
        <v>0</v>
      </c>
      <c r="U1514" s="10"/>
      <c r="V1514" s="10"/>
      <c r="W1514" s="10"/>
      <c r="X1514" s="10"/>
      <c r="Y1514" s="10"/>
      <c r="Z1514" s="10"/>
      <c r="AA1514" s="10"/>
      <c r="AB1514" s="10"/>
      <c r="AC1514" s="10"/>
      <c r="AD1514" s="10"/>
      <c r="AE1514" s="10"/>
    </row>
    <row r="1515" spans="1:31" hidden="1">
      <c r="A1515" s="277" t="s">
        <v>7628</v>
      </c>
      <c r="B1515" s="9" t="s">
        <v>21</v>
      </c>
      <c r="C1515" s="9">
        <v>2025</v>
      </c>
      <c r="D1515" s="9" t="s">
        <v>27</v>
      </c>
      <c r="E1515" s="90" t="s">
        <v>23</v>
      </c>
      <c r="F1515" s="9" t="s">
        <v>7</v>
      </c>
      <c r="G1515" s="10"/>
      <c r="H1515" s="96">
        <v>250769</v>
      </c>
      <c r="I1515" s="109" t="s">
        <v>762</v>
      </c>
      <c r="J1515" s="115">
        <v>45869</v>
      </c>
      <c r="K1515" s="119">
        <v>45913</v>
      </c>
      <c r="L1515" s="116">
        <v>5477131</v>
      </c>
      <c r="M1515" s="116" t="s">
        <v>789</v>
      </c>
      <c r="N1515" s="34" t="s">
        <v>29</v>
      </c>
      <c r="O1515" s="10"/>
      <c r="P1515" s="113">
        <v>46052</v>
      </c>
      <c r="Q1515" s="113">
        <v>46052</v>
      </c>
      <c r="R1515" s="113">
        <v>46052</v>
      </c>
      <c r="S1515" s="37">
        <f t="shared" si="304"/>
        <v>5477131</v>
      </c>
      <c r="T1515" s="37">
        <f t="shared" si="305"/>
        <v>0</v>
      </c>
      <c r="U1515" s="10"/>
      <c r="V1515" s="10"/>
      <c r="W1515" s="10"/>
      <c r="X1515" s="10"/>
      <c r="Y1515" s="10"/>
      <c r="Z1515" s="10"/>
      <c r="AA1515" s="10"/>
      <c r="AB1515" s="10"/>
      <c r="AC1515" s="10"/>
      <c r="AD1515" s="10"/>
      <c r="AE1515" s="10"/>
    </row>
    <row r="1516" spans="1:31" hidden="1">
      <c r="A1516" s="277" t="s">
        <v>5824</v>
      </c>
      <c r="B1516" s="9" t="s">
        <v>21</v>
      </c>
      <c r="C1516" s="9">
        <v>2025</v>
      </c>
      <c r="D1516" s="9" t="s">
        <v>27</v>
      </c>
      <c r="E1516" s="90" t="s">
        <v>23</v>
      </c>
      <c r="F1516" s="9" t="s">
        <v>7</v>
      </c>
      <c r="G1516" s="10"/>
      <c r="H1516" s="96">
        <v>250770</v>
      </c>
      <c r="I1516" s="109" t="s">
        <v>762</v>
      </c>
      <c r="J1516" s="115">
        <v>45869</v>
      </c>
      <c r="K1516" s="119">
        <v>45913</v>
      </c>
      <c r="L1516" s="116">
        <v>3903026</v>
      </c>
      <c r="M1516" s="116" t="s">
        <v>791</v>
      </c>
      <c r="N1516" s="34" t="s">
        <v>29</v>
      </c>
      <c r="O1516" s="10"/>
      <c r="P1516" s="113">
        <v>46052</v>
      </c>
      <c r="Q1516" s="113">
        <v>46052</v>
      </c>
      <c r="R1516" s="113">
        <v>46052</v>
      </c>
      <c r="S1516" s="37">
        <f>IF(R1516="",0,L1516)</f>
        <v>3903026</v>
      </c>
      <c r="T1516" s="37">
        <f>L1516-S1516</f>
        <v>0</v>
      </c>
      <c r="U1516" s="10"/>
      <c r="V1516" s="10"/>
      <c r="W1516" s="10"/>
      <c r="X1516" s="10"/>
      <c r="Y1516" s="10"/>
      <c r="Z1516" s="10"/>
      <c r="AA1516" s="10"/>
      <c r="AB1516" s="10"/>
      <c r="AC1516" s="10"/>
      <c r="AD1516" s="10"/>
      <c r="AE1516" s="10"/>
    </row>
    <row r="1517" spans="1:31" hidden="1">
      <c r="A1517" s="277" t="s">
        <v>5825</v>
      </c>
      <c r="B1517" s="9" t="s">
        <v>21</v>
      </c>
      <c r="C1517" s="9">
        <v>2025</v>
      </c>
      <c r="D1517" s="9" t="s">
        <v>27</v>
      </c>
      <c r="E1517" s="90" t="s">
        <v>23</v>
      </c>
      <c r="F1517" s="9" t="s">
        <v>7</v>
      </c>
      <c r="G1517" s="10"/>
      <c r="H1517" s="96">
        <v>250768</v>
      </c>
      <c r="I1517" s="109" t="s">
        <v>762</v>
      </c>
      <c r="J1517" s="115">
        <v>45869</v>
      </c>
      <c r="K1517" s="119">
        <v>45913</v>
      </c>
      <c r="L1517" s="116">
        <v>200739</v>
      </c>
      <c r="M1517" s="116" t="s">
        <v>792</v>
      </c>
      <c r="N1517" s="34" t="s">
        <v>29</v>
      </c>
      <c r="O1517" s="10"/>
      <c r="P1517" s="113">
        <v>46052</v>
      </c>
      <c r="Q1517" s="113">
        <v>46052</v>
      </c>
      <c r="R1517" s="113">
        <v>46052</v>
      </c>
      <c r="S1517" s="37">
        <f t="shared" si="304"/>
        <v>200739</v>
      </c>
      <c r="T1517" s="37">
        <f t="shared" si="305"/>
        <v>0</v>
      </c>
      <c r="U1517" s="10"/>
      <c r="V1517" s="10"/>
      <c r="W1517" s="10"/>
      <c r="X1517" s="10"/>
      <c r="Y1517" s="10"/>
      <c r="Z1517" s="10"/>
      <c r="AA1517" s="10"/>
      <c r="AB1517" s="10"/>
      <c r="AC1517" s="10"/>
      <c r="AD1517" s="10"/>
      <c r="AE1517" s="10"/>
    </row>
    <row r="1518" spans="1:31" hidden="1">
      <c r="A1518" s="277" t="s">
        <v>5826</v>
      </c>
      <c r="B1518" s="9" t="s">
        <v>21</v>
      </c>
      <c r="C1518" s="9">
        <v>2025</v>
      </c>
      <c r="D1518" s="9" t="s">
        <v>27</v>
      </c>
      <c r="E1518" s="90" t="s">
        <v>23</v>
      </c>
      <c r="F1518" s="9" t="s">
        <v>7</v>
      </c>
      <c r="G1518" s="10"/>
      <c r="H1518" s="96">
        <v>250859</v>
      </c>
      <c r="I1518" s="109" t="s">
        <v>762</v>
      </c>
      <c r="J1518" s="115">
        <v>45897</v>
      </c>
      <c r="K1518" s="119">
        <v>45927</v>
      </c>
      <c r="L1518" s="116">
        <f>18257105</f>
        <v>18257105</v>
      </c>
      <c r="M1518" s="116" t="s">
        <v>3712</v>
      </c>
      <c r="N1518" s="34" t="s">
        <v>29</v>
      </c>
      <c r="O1518" s="27">
        <f>SUM(L1518:L1520)</f>
        <v>19494755</v>
      </c>
      <c r="P1518" s="113">
        <v>46091</v>
      </c>
      <c r="Q1518" s="113">
        <v>46091</v>
      </c>
      <c r="R1518" s="113">
        <v>46091</v>
      </c>
      <c r="S1518" s="37">
        <f t="shared" si="304"/>
        <v>18257105</v>
      </c>
      <c r="T1518" s="37">
        <f t="shared" si="305"/>
        <v>0</v>
      </c>
      <c r="U1518" s="10"/>
      <c r="V1518" s="10"/>
      <c r="W1518" s="10"/>
      <c r="X1518" s="10"/>
      <c r="Y1518" s="10"/>
      <c r="Z1518" s="10"/>
      <c r="AA1518" s="10"/>
      <c r="AB1518" s="10"/>
      <c r="AC1518" s="10"/>
      <c r="AD1518" s="10"/>
      <c r="AE1518" s="10"/>
    </row>
    <row r="1519" spans="1:31" hidden="1">
      <c r="A1519" s="277" t="s">
        <v>5827</v>
      </c>
      <c r="B1519" s="9" t="s">
        <v>21</v>
      </c>
      <c r="C1519" s="9">
        <v>2025</v>
      </c>
      <c r="D1519" s="9" t="s">
        <v>27</v>
      </c>
      <c r="E1519" s="90" t="s">
        <v>23</v>
      </c>
      <c r="F1519" s="9" t="s">
        <v>7</v>
      </c>
      <c r="G1519" s="10"/>
      <c r="H1519" s="96">
        <v>251042</v>
      </c>
      <c r="I1519" s="109" t="s">
        <v>762</v>
      </c>
      <c r="J1519" s="115">
        <v>45943</v>
      </c>
      <c r="K1519" s="119">
        <v>45958</v>
      </c>
      <c r="L1519" s="116">
        <v>1004550</v>
      </c>
      <c r="M1519" s="116" t="s">
        <v>3903</v>
      </c>
      <c r="N1519" s="34" t="s">
        <v>29</v>
      </c>
      <c r="O1519" s="10"/>
      <c r="P1519" s="113">
        <v>46091</v>
      </c>
      <c r="Q1519" s="113">
        <v>46091</v>
      </c>
      <c r="R1519" s="113">
        <v>46091</v>
      </c>
      <c r="S1519" s="37">
        <f t="shared" si="304"/>
        <v>1004550</v>
      </c>
      <c r="T1519" s="37">
        <f t="shared" si="305"/>
        <v>0</v>
      </c>
      <c r="U1519" s="10"/>
      <c r="V1519" s="10"/>
      <c r="W1519" s="10"/>
      <c r="X1519" s="10"/>
      <c r="Y1519" s="10"/>
      <c r="Z1519" s="10"/>
      <c r="AA1519" s="10"/>
      <c r="AB1519" s="10"/>
      <c r="AC1519" s="10"/>
      <c r="AD1519" s="10"/>
      <c r="AE1519" s="10"/>
    </row>
    <row r="1520" spans="1:31" hidden="1">
      <c r="A1520" s="277" t="s">
        <v>5828</v>
      </c>
      <c r="B1520" s="9" t="s">
        <v>21</v>
      </c>
      <c r="C1520" s="9">
        <v>2025</v>
      </c>
      <c r="D1520" s="9" t="s">
        <v>27</v>
      </c>
      <c r="E1520" s="90" t="s">
        <v>23</v>
      </c>
      <c r="F1520" s="9" t="s">
        <v>7</v>
      </c>
      <c r="G1520" s="10"/>
      <c r="H1520" s="96">
        <v>251043</v>
      </c>
      <c r="I1520" s="109" t="s">
        <v>762</v>
      </c>
      <c r="J1520" s="115">
        <v>45943</v>
      </c>
      <c r="K1520" s="119">
        <v>45958</v>
      </c>
      <c r="L1520" s="116">
        <v>233100</v>
      </c>
      <c r="M1520" s="116" t="s">
        <v>3904</v>
      </c>
      <c r="N1520" s="34" t="s">
        <v>29</v>
      </c>
      <c r="O1520" s="10"/>
      <c r="P1520" s="113">
        <v>46091</v>
      </c>
      <c r="Q1520" s="113">
        <v>46091</v>
      </c>
      <c r="R1520" s="113">
        <v>46091</v>
      </c>
      <c r="S1520" s="37">
        <f t="shared" si="304"/>
        <v>233100</v>
      </c>
      <c r="T1520" s="37">
        <f t="shared" si="305"/>
        <v>0</v>
      </c>
      <c r="U1520" s="10"/>
      <c r="V1520" s="10"/>
      <c r="W1520" s="10"/>
      <c r="X1520" s="10"/>
      <c r="Y1520" s="10"/>
      <c r="Z1520" s="10"/>
      <c r="AA1520" s="10"/>
      <c r="AB1520" s="10"/>
      <c r="AC1520" s="10"/>
      <c r="AD1520" s="10"/>
      <c r="AE1520" s="10"/>
    </row>
    <row r="1521" spans="1:31" hidden="1">
      <c r="A1521" s="277" t="s">
        <v>5829</v>
      </c>
      <c r="B1521" s="9" t="s">
        <v>21</v>
      </c>
      <c r="C1521" s="9">
        <v>2025</v>
      </c>
      <c r="D1521" s="9" t="s">
        <v>27</v>
      </c>
      <c r="E1521" s="90" t="s">
        <v>23</v>
      </c>
      <c r="F1521" s="9" t="s">
        <v>7</v>
      </c>
      <c r="G1521" s="10"/>
      <c r="H1521" s="96">
        <v>251041</v>
      </c>
      <c r="I1521" s="109" t="s">
        <v>762</v>
      </c>
      <c r="J1521" s="115">
        <v>45943</v>
      </c>
      <c r="K1521" s="119">
        <v>45958</v>
      </c>
      <c r="L1521" s="116">
        <v>3607500</v>
      </c>
      <c r="M1521" s="116" t="s">
        <v>3905</v>
      </c>
      <c r="N1521" s="34" t="s">
        <v>29</v>
      </c>
      <c r="O1521" s="27">
        <f>SUM(L1521:L1525)</f>
        <v>46000000</v>
      </c>
      <c r="P1521" s="113">
        <v>46148</v>
      </c>
      <c r="Q1521" s="113">
        <v>46148</v>
      </c>
      <c r="R1521" s="113">
        <v>46148</v>
      </c>
      <c r="S1521" s="37">
        <f t="shared" si="304"/>
        <v>3607500</v>
      </c>
      <c r="T1521" s="37">
        <f t="shared" si="305"/>
        <v>0</v>
      </c>
      <c r="U1521" s="10"/>
      <c r="V1521" s="10"/>
      <c r="W1521" s="10"/>
      <c r="X1521" s="10"/>
      <c r="Y1521" s="10"/>
      <c r="Z1521" s="10"/>
      <c r="AA1521" s="10"/>
      <c r="AB1521" s="10"/>
      <c r="AC1521" s="10"/>
      <c r="AD1521" s="10"/>
      <c r="AE1521" s="10"/>
    </row>
    <row r="1522" spans="1:31" hidden="1">
      <c r="A1522" s="277" t="s">
        <v>5830</v>
      </c>
      <c r="B1522" s="9" t="s">
        <v>21</v>
      </c>
      <c r="C1522" s="9">
        <v>2025</v>
      </c>
      <c r="D1522" s="9" t="s">
        <v>27</v>
      </c>
      <c r="E1522" s="90" t="s">
        <v>23</v>
      </c>
      <c r="F1522" s="9" t="s">
        <v>7</v>
      </c>
      <c r="G1522" s="10"/>
      <c r="H1522" s="96">
        <v>251045</v>
      </c>
      <c r="I1522" s="109" t="s">
        <v>762</v>
      </c>
      <c r="J1522" s="115">
        <v>45945</v>
      </c>
      <c r="K1522" s="119">
        <v>45972</v>
      </c>
      <c r="L1522" s="116">
        <v>323564</v>
      </c>
      <c r="M1522" s="116" t="s">
        <v>3954</v>
      </c>
      <c r="N1522" s="34" t="s">
        <v>29</v>
      </c>
      <c r="O1522" s="10"/>
      <c r="P1522" s="113">
        <v>46148</v>
      </c>
      <c r="Q1522" s="113">
        <v>46148</v>
      </c>
      <c r="R1522" s="113">
        <v>46148</v>
      </c>
      <c r="S1522" s="37">
        <f t="shared" ref="S1522:S1527" si="306">IF(R1522="",0,L1522)</f>
        <v>323564</v>
      </c>
      <c r="T1522" s="37">
        <f t="shared" ref="T1522:T1527" si="307">L1522-S1522</f>
        <v>0</v>
      </c>
      <c r="U1522" s="10"/>
      <c r="V1522" s="10"/>
      <c r="W1522" s="10"/>
      <c r="X1522" s="10"/>
      <c r="Y1522" s="10"/>
      <c r="Z1522" s="10"/>
      <c r="AA1522" s="10"/>
      <c r="AB1522" s="10"/>
      <c r="AC1522" s="10"/>
      <c r="AD1522" s="10"/>
      <c r="AE1522" s="10"/>
    </row>
    <row r="1523" spans="1:31" hidden="1">
      <c r="A1523" s="277" t="s">
        <v>5831</v>
      </c>
      <c r="B1523" s="9" t="s">
        <v>21</v>
      </c>
      <c r="C1523" s="9">
        <v>2025</v>
      </c>
      <c r="D1523" s="9" t="s">
        <v>27</v>
      </c>
      <c r="E1523" s="90" t="s">
        <v>23</v>
      </c>
      <c r="F1523" s="9" t="s">
        <v>7</v>
      </c>
      <c r="G1523" s="10"/>
      <c r="H1523" s="96">
        <v>251044</v>
      </c>
      <c r="I1523" s="109" t="s">
        <v>762</v>
      </c>
      <c r="J1523" s="115">
        <v>45945</v>
      </c>
      <c r="K1523" s="119">
        <v>45972</v>
      </c>
      <c r="L1523" s="116">
        <v>15894356</v>
      </c>
      <c r="M1523" s="116" t="s">
        <v>3955</v>
      </c>
      <c r="N1523" s="34" t="s">
        <v>29</v>
      </c>
      <c r="O1523" s="10"/>
      <c r="P1523" s="113">
        <v>46148</v>
      </c>
      <c r="Q1523" s="113">
        <v>46148</v>
      </c>
      <c r="R1523" s="113">
        <v>46148</v>
      </c>
      <c r="S1523" s="37">
        <f t="shared" si="306"/>
        <v>15894356</v>
      </c>
      <c r="T1523" s="37">
        <f t="shared" si="307"/>
        <v>0</v>
      </c>
      <c r="U1523" s="10"/>
      <c r="V1523" s="10"/>
      <c r="W1523" s="10"/>
      <c r="X1523" s="10"/>
      <c r="Y1523" s="10"/>
      <c r="Z1523" s="10"/>
      <c r="AA1523" s="10"/>
      <c r="AB1523" s="10"/>
      <c r="AC1523" s="10"/>
      <c r="AD1523" s="10"/>
      <c r="AE1523" s="10"/>
    </row>
    <row r="1524" spans="1:31" hidden="1">
      <c r="A1524" s="277" t="s">
        <v>5832</v>
      </c>
      <c r="B1524" s="9" t="s">
        <v>21</v>
      </c>
      <c r="C1524" s="9">
        <v>2025</v>
      </c>
      <c r="D1524" s="9" t="s">
        <v>27</v>
      </c>
      <c r="E1524" s="90" t="s">
        <v>23</v>
      </c>
      <c r="F1524" s="9" t="s">
        <v>7</v>
      </c>
      <c r="G1524" s="10"/>
      <c r="H1524" s="96">
        <v>251089</v>
      </c>
      <c r="I1524" s="109" t="s">
        <v>762</v>
      </c>
      <c r="J1524" s="115">
        <v>45954</v>
      </c>
      <c r="K1524" s="119">
        <v>45972</v>
      </c>
      <c r="L1524" s="116">
        <v>21254178</v>
      </c>
      <c r="M1524" s="116" t="s">
        <v>3956</v>
      </c>
      <c r="N1524" s="34" t="s">
        <v>29</v>
      </c>
      <c r="O1524" s="10"/>
      <c r="P1524" s="113">
        <v>46148</v>
      </c>
      <c r="Q1524" s="113">
        <v>46148</v>
      </c>
      <c r="R1524" s="113">
        <v>46148</v>
      </c>
      <c r="S1524" s="37">
        <f t="shared" si="306"/>
        <v>21254178</v>
      </c>
      <c r="T1524" s="37">
        <f t="shared" si="307"/>
        <v>0</v>
      </c>
      <c r="U1524" s="10"/>
      <c r="V1524" s="10"/>
      <c r="W1524" s="10"/>
      <c r="X1524" s="10"/>
      <c r="Y1524" s="10"/>
      <c r="Z1524" s="10"/>
      <c r="AA1524" s="10"/>
      <c r="AB1524" s="10"/>
      <c r="AC1524" s="10"/>
      <c r="AD1524" s="10"/>
      <c r="AE1524" s="10"/>
    </row>
    <row r="1525" spans="1:31" hidden="1">
      <c r="A1525" s="277" t="s">
        <v>5833</v>
      </c>
      <c r="B1525" s="9" t="s">
        <v>21</v>
      </c>
      <c r="C1525" s="9">
        <v>2025</v>
      </c>
      <c r="D1525" s="9" t="s">
        <v>27</v>
      </c>
      <c r="E1525" s="90" t="s">
        <v>23</v>
      </c>
      <c r="F1525" s="9" t="s">
        <v>7</v>
      </c>
      <c r="G1525" s="10"/>
      <c r="H1525" s="96">
        <v>251145</v>
      </c>
      <c r="I1525" s="109" t="s">
        <v>762</v>
      </c>
      <c r="J1525" s="115">
        <v>45961</v>
      </c>
      <c r="K1525" s="119">
        <v>45972</v>
      </c>
      <c r="L1525" s="116">
        <v>4920402</v>
      </c>
      <c r="M1525" s="116" t="s">
        <v>6986</v>
      </c>
      <c r="N1525" s="34" t="s">
        <v>29</v>
      </c>
      <c r="O1525" s="10"/>
      <c r="P1525" s="113">
        <v>46148</v>
      </c>
      <c r="Q1525" s="113">
        <v>46148</v>
      </c>
      <c r="R1525" s="113">
        <v>46148</v>
      </c>
      <c r="S1525" s="37">
        <f t="shared" si="306"/>
        <v>4920402</v>
      </c>
      <c r="T1525" s="37">
        <f t="shared" si="307"/>
        <v>0</v>
      </c>
      <c r="U1525" s="10"/>
      <c r="V1525" s="10"/>
      <c r="W1525" s="10"/>
      <c r="X1525" s="10"/>
      <c r="Y1525" s="10"/>
      <c r="Z1525" s="10"/>
      <c r="AA1525" s="10"/>
      <c r="AB1525" s="10"/>
      <c r="AC1525" s="10"/>
      <c r="AD1525" s="10"/>
      <c r="AE1525" s="10"/>
    </row>
    <row r="1526" spans="1:31" hidden="1">
      <c r="A1526" s="277" t="s">
        <v>5834</v>
      </c>
      <c r="B1526" s="9" t="s">
        <v>21</v>
      </c>
      <c r="C1526" s="9">
        <v>2025</v>
      </c>
      <c r="D1526" s="9" t="s">
        <v>27</v>
      </c>
      <c r="E1526" s="90" t="s">
        <v>23</v>
      </c>
      <c r="F1526" s="9" t="s">
        <v>7</v>
      </c>
      <c r="G1526" s="10"/>
      <c r="H1526" s="96">
        <v>251145</v>
      </c>
      <c r="I1526" s="109" t="s">
        <v>762</v>
      </c>
      <c r="J1526" s="115">
        <v>45961</v>
      </c>
      <c r="K1526" s="119">
        <v>45972</v>
      </c>
      <c r="L1526" s="116">
        <f>15085780-4920402</f>
        <v>10165378</v>
      </c>
      <c r="M1526" s="116" t="s">
        <v>6987</v>
      </c>
      <c r="N1526" s="34" t="s">
        <v>29</v>
      </c>
      <c r="O1526" s="27">
        <f>SUM(L1526:L1529)</f>
        <v>21650750</v>
      </c>
      <c r="P1526" s="113">
        <v>46168</v>
      </c>
      <c r="Q1526" s="113">
        <v>46168</v>
      </c>
      <c r="R1526" s="113">
        <v>46168</v>
      </c>
      <c r="S1526" s="37">
        <f t="shared" si="306"/>
        <v>10165378</v>
      </c>
      <c r="T1526" s="37">
        <f t="shared" si="307"/>
        <v>0</v>
      </c>
      <c r="U1526" s="10"/>
      <c r="V1526" s="10"/>
      <c r="W1526" s="10"/>
      <c r="X1526" s="10"/>
      <c r="Y1526" s="10"/>
      <c r="Z1526" s="10"/>
      <c r="AA1526" s="10"/>
      <c r="AB1526" s="10"/>
      <c r="AC1526" s="10"/>
      <c r="AD1526" s="10"/>
      <c r="AE1526" s="10"/>
    </row>
    <row r="1527" spans="1:31" hidden="1">
      <c r="A1527" s="277" t="s">
        <v>5835</v>
      </c>
      <c r="B1527" s="9" t="s">
        <v>21</v>
      </c>
      <c r="C1527" s="9">
        <v>2025</v>
      </c>
      <c r="D1527" s="9" t="s">
        <v>27</v>
      </c>
      <c r="E1527" s="90" t="s">
        <v>23</v>
      </c>
      <c r="F1527" s="9" t="s">
        <v>7</v>
      </c>
      <c r="G1527" s="10"/>
      <c r="H1527" s="96">
        <v>251213</v>
      </c>
      <c r="I1527" s="109" t="s">
        <v>762</v>
      </c>
      <c r="J1527" s="115">
        <v>45990</v>
      </c>
      <c r="K1527" s="119">
        <v>46000</v>
      </c>
      <c r="L1527" s="116">
        <v>5557617</v>
      </c>
      <c r="M1527" s="116" t="s">
        <v>4076</v>
      </c>
      <c r="N1527" s="34" t="s">
        <v>29</v>
      </c>
      <c r="O1527" s="10"/>
      <c r="P1527" s="113">
        <v>46168</v>
      </c>
      <c r="Q1527" s="113">
        <v>46168</v>
      </c>
      <c r="R1527" s="113">
        <v>46168</v>
      </c>
      <c r="S1527" s="37">
        <f t="shared" si="306"/>
        <v>5557617</v>
      </c>
      <c r="T1527" s="37">
        <f t="shared" si="307"/>
        <v>0</v>
      </c>
      <c r="U1527" s="10"/>
      <c r="V1527" s="10"/>
      <c r="W1527" s="10"/>
      <c r="X1527" s="10"/>
      <c r="Y1527" s="10"/>
      <c r="Z1527" s="10"/>
      <c r="AA1527" s="10"/>
      <c r="AB1527" s="10"/>
      <c r="AC1527" s="10"/>
      <c r="AD1527" s="10"/>
      <c r="AE1527" s="10"/>
    </row>
    <row r="1528" spans="1:31" hidden="1">
      <c r="A1528" s="277" t="s">
        <v>5836</v>
      </c>
      <c r="B1528" s="9" t="s">
        <v>21</v>
      </c>
      <c r="C1528" s="9">
        <v>2026</v>
      </c>
      <c r="D1528" s="9" t="s">
        <v>27</v>
      </c>
      <c r="E1528" s="90" t="s">
        <v>23</v>
      </c>
      <c r="F1528" s="9" t="s">
        <v>7</v>
      </c>
      <c r="G1528" s="10"/>
      <c r="H1528" s="96">
        <v>260040</v>
      </c>
      <c r="I1528" s="109" t="s">
        <v>762</v>
      </c>
      <c r="J1528" s="115">
        <v>46050</v>
      </c>
      <c r="K1528" s="119">
        <v>46077</v>
      </c>
      <c r="L1528" s="116">
        <v>4467750</v>
      </c>
      <c r="M1528" s="116" t="s">
        <v>4387</v>
      </c>
      <c r="N1528" s="34" t="s">
        <v>29</v>
      </c>
      <c r="O1528" s="10"/>
      <c r="P1528" s="113">
        <v>46168</v>
      </c>
      <c r="Q1528" s="113">
        <v>46168</v>
      </c>
      <c r="R1528" s="113">
        <v>46168</v>
      </c>
      <c r="S1528" s="37">
        <f t="shared" ref="S1528:S1535" si="308">IF(R1528="",0,L1528)</f>
        <v>4467750</v>
      </c>
      <c r="T1528" s="37">
        <f t="shared" ref="T1528:T1535" si="309">L1528-S1528</f>
        <v>0</v>
      </c>
      <c r="U1528" s="10"/>
      <c r="V1528" s="10"/>
      <c r="W1528" s="10"/>
      <c r="X1528" s="10"/>
      <c r="Y1528" s="10"/>
      <c r="Z1528" s="10"/>
      <c r="AA1528" s="10"/>
      <c r="AB1528" s="10"/>
      <c r="AC1528" s="10"/>
      <c r="AD1528" s="10"/>
      <c r="AE1528" s="10"/>
    </row>
    <row r="1529" spans="1:31" hidden="1">
      <c r="A1529" s="277" t="s">
        <v>5837</v>
      </c>
      <c r="B1529" s="9" t="s">
        <v>21</v>
      </c>
      <c r="C1529" s="9">
        <v>2026</v>
      </c>
      <c r="D1529" s="9" t="s">
        <v>27</v>
      </c>
      <c r="E1529" s="90" t="s">
        <v>23</v>
      </c>
      <c r="F1529" s="9" t="s">
        <v>7</v>
      </c>
      <c r="G1529" s="10"/>
      <c r="H1529" s="96">
        <v>260072</v>
      </c>
      <c r="I1529" s="109" t="s">
        <v>762</v>
      </c>
      <c r="J1529" s="115">
        <v>46052</v>
      </c>
      <c r="K1529" s="119">
        <v>46077</v>
      </c>
      <c r="L1529" s="116">
        <v>1460005</v>
      </c>
      <c r="M1529" s="116" t="s">
        <v>7159</v>
      </c>
      <c r="N1529" s="34" t="s">
        <v>29</v>
      </c>
      <c r="O1529" s="10"/>
      <c r="P1529" s="113">
        <v>46168</v>
      </c>
      <c r="Q1529" s="113">
        <v>46168</v>
      </c>
      <c r="R1529" s="113">
        <v>46168</v>
      </c>
      <c r="S1529" s="37">
        <f t="shared" ref="S1529" si="310">IF(R1529="",0,L1529)</f>
        <v>1460005</v>
      </c>
      <c r="T1529" s="37">
        <f t="shared" ref="T1529" si="311">L1529-S1529</f>
        <v>0</v>
      </c>
      <c r="U1529" s="10"/>
      <c r="V1529" s="10"/>
      <c r="W1529" s="10"/>
      <c r="X1529" s="10"/>
      <c r="Y1529" s="10"/>
      <c r="Z1529" s="10"/>
      <c r="AA1529" s="10"/>
      <c r="AB1529" s="10"/>
      <c r="AC1529" s="10"/>
      <c r="AD1529" s="10"/>
      <c r="AE1529" s="10"/>
    </row>
    <row r="1530" spans="1:31" hidden="1">
      <c r="A1530" s="277" t="s">
        <v>5838</v>
      </c>
      <c r="B1530" s="9" t="s">
        <v>21</v>
      </c>
      <c r="C1530" s="9">
        <v>2026</v>
      </c>
      <c r="D1530" s="9" t="s">
        <v>27</v>
      </c>
      <c r="E1530" s="90" t="s">
        <v>23</v>
      </c>
      <c r="F1530" s="9" t="s">
        <v>7</v>
      </c>
      <c r="G1530" s="10"/>
      <c r="H1530" s="96">
        <v>260057</v>
      </c>
      <c r="I1530" s="109" t="s">
        <v>762</v>
      </c>
      <c r="J1530" s="115">
        <v>46051</v>
      </c>
      <c r="K1530" s="119">
        <v>46077</v>
      </c>
      <c r="L1530" s="116">
        <v>21064096</v>
      </c>
      <c r="M1530" s="116" t="s">
        <v>4389</v>
      </c>
      <c r="N1530" s="34" t="s">
        <v>29</v>
      </c>
      <c r="O1530" s="27">
        <f>SUM(L1530:L1531)</f>
        <v>29795356</v>
      </c>
      <c r="P1530" s="113">
        <v>46190</v>
      </c>
      <c r="Q1530" s="113">
        <v>46190</v>
      </c>
      <c r="R1530" s="113">
        <v>46190</v>
      </c>
      <c r="S1530" s="37">
        <f t="shared" si="308"/>
        <v>21064096</v>
      </c>
      <c r="T1530" s="37">
        <f t="shared" si="309"/>
        <v>0</v>
      </c>
      <c r="U1530" s="10"/>
      <c r="V1530" s="10"/>
      <c r="W1530" s="10"/>
      <c r="X1530" s="10"/>
      <c r="Y1530" s="10"/>
      <c r="Z1530" s="10"/>
      <c r="AA1530" s="10"/>
      <c r="AB1530" s="10"/>
      <c r="AC1530" s="10"/>
      <c r="AD1530" s="10"/>
      <c r="AE1530" s="10"/>
    </row>
    <row r="1531" spans="1:31" hidden="1">
      <c r="A1531" s="277" t="s">
        <v>5839</v>
      </c>
      <c r="B1531" s="9" t="s">
        <v>21</v>
      </c>
      <c r="C1531" s="9">
        <v>2026</v>
      </c>
      <c r="D1531" s="9" t="s">
        <v>27</v>
      </c>
      <c r="E1531" s="90" t="s">
        <v>23</v>
      </c>
      <c r="F1531" s="9" t="s">
        <v>7</v>
      </c>
      <c r="G1531" s="10"/>
      <c r="H1531" s="96">
        <v>260074</v>
      </c>
      <c r="I1531" s="109" t="s">
        <v>762</v>
      </c>
      <c r="J1531" s="115">
        <v>46053</v>
      </c>
      <c r="K1531" s="119">
        <v>46077</v>
      </c>
      <c r="L1531" s="116">
        <v>8731260</v>
      </c>
      <c r="M1531" s="116" t="s">
        <v>4390</v>
      </c>
      <c r="N1531" s="34" t="s">
        <v>29</v>
      </c>
      <c r="O1531" s="10"/>
      <c r="P1531" s="113">
        <v>46190</v>
      </c>
      <c r="Q1531" s="113">
        <v>46190</v>
      </c>
      <c r="R1531" s="113">
        <v>46190</v>
      </c>
      <c r="S1531" s="37">
        <f t="shared" si="308"/>
        <v>8731260</v>
      </c>
      <c r="T1531" s="37">
        <f t="shared" si="309"/>
        <v>0</v>
      </c>
      <c r="U1531" s="10"/>
      <c r="V1531" s="10"/>
      <c r="W1531" s="10"/>
      <c r="X1531" s="10"/>
      <c r="Y1531" s="10"/>
      <c r="Z1531" s="10"/>
      <c r="AA1531" s="10"/>
      <c r="AB1531" s="10"/>
      <c r="AC1531" s="10"/>
      <c r="AD1531" s="10"/>
      <c r="AE1531" s="10"/>
    </row>
    <row r="1532" spans="1:31" hidden="1">
      <c r="A1532" s="277" t="s">
        <v>7629</v>
      </c>
      <c r="B1532" s="9" t="s">
        <v>21</v>
      </c>
      <c r="C1532" s="9">
        <v>2026</v>
      </c>
      <c r="D1532" s="9" t="s">
        <v>27</v>
      </c>
      <c r="E1532" s="90" t="s">
        <v>23</v>
      </c>
      <c r="F1532" s="9" t="s">
        <v>7</v>
      </c>
      <c r="G1532" s="10"/>
      <c r="H1532" s="96">
        <v>260076</v>
      </c>
      <c r="I1532" s="109" t="s">
        <v>762</v>
      </c>
      <c r="J1532" s="115">
        <v>46053</v>
      </c>
      <c r="K1532" s="119">
        <v>46077</v>
      </c>
      <c r="L1532" s="116">
        <v>1690200</v>
      </c>
      <c r="M1532" s="116" t="s">
        <v>4391</v>
      </c>
      <c r="N1532" s="34" t="s">
        <v>29</v>
      </c>
      <c r="O1532" s="27">
        <f>SUM(L1532:L1538)</f>
        <v>31173581</v>
      </c>
      <c r="P1532" s="113">
        <v>46195</v>
      </c>
      <c r="Q1532" s="113">
        <v>46195</v>
      </c>
      <c r="R1532" s="113">
        <v>46195</v>
      </c>
      <c r="S1532" s="37">
        <f t="shared" si="308"/>
        <v>1690200</v>
      </c>
      <c r="T1532" s="37">
        <f t="shared" si="309"/>
        <v>0</v>
      </c>
      <c r="U1532" s="10"/>
      <c r="V1532" s="10"/>
      <c r="W1532" s="10"/>
      <c r="X1532" s="10"/>
      <c r="Y1532" s="10"/>
      <c r="Z1532" s="10"/>
      <c r="AA1532" s="10"/>
      <c r="AB1532" s="10"/>
      <c r="AC1532" s="10"/>
      <c r="AD1532" s="10"/>
      <c r="AE1532" s="10"/>
    </row>
    <row r="1533" spans="1:31" hidden="1">
      <c r="A1533" s="277" t="s">
        <v>7630</v>
      </c>
      <c r="B1533" s="9" t="s">
        <v>21</v>
      </c>
      <c r="C1533" s="9">
        <v>2026</v>
      </c>
      <c r="D1533" s="9" t="s">
        <v>27</v>
      </c>
      <c r="E1533" s="90" t="s">
        <v>23</v>
      </c>
      <c r="F1533" s="9" t="s">
        <v>7</v>
      </c>
      <c r="G1533" s="10"/>
      <c r="H1533" s="96">
        <v>260080</v>
      </c>
      <c r="I1533" s="109" t="s">
        <v>762</v>
      </c>
      <c r="J1533" s="115">
        <v>46053</v>
      </c>
      <c r="K1533" s="119">
        <v>46077</v>
      </c>
      <c r="L1533" s="116">
        <v>1358640</v>
      </c>
      <c r="M1533" s="116" t="s">
        <v>4392</v>
      </c>
      <c r="N1533" s="34" t="s">
        <v>29</v>
      </c>
      <c r="O1533" s="10"/>
      <c r="P1533" s="113">
        <v>46195</v>
      </c>
      <c r="Q1533" s="113">
        <v>46195</v>
      </c>
      <c r="R1533" s="113">
        <v>46195</v>
      </c>
      <c r="S1533" s="37">
        <f t="shared" si="308"/>
        <v>1358640</v>
      </c>
      <c r="T1533" s="37">
        <f t="shared" si="309"/>
        <v>0</v>
      </c>
      <c r="U1533" s="10"/>
      <c r="V1533" s="10"/>
      <c r="W1533" s="10"/>
      <c r="X1533" s="10"/>
      <c r="Y1533" s="10"/>
      <c r="Z1533" s="10"/>
      <c r="AA1533" s="10"/>
      <c r="AB1533" s="10"/>
      <c r="AC1533" s="10"/>
      <c r="AD1533" s="10"/>
      <c r="AE1533" s="10"/>
    </row>
    <row r="1534" spans="1:31" hidden="1">
      <c r="A1534" s="277" t="s">
        <v>7631</v>
      </c>
      <c r="B1534" s="9" t="s">
        <v>21</v>
      </c>
      <c r="C1534" s="9">
        <v>2026</v>
      </c>
      <c r="D1534" s="9" t="s">
        <v>27</v>
      </c>
      <c r="E1534" s="90" t="s">
        <v>23</v>
      </c>
      <c r="F1534" s="9" t="s">
        <v>7</v>
      </c>
      <c r="G1534" s="10"/>
      <c r="H1534" s="96">
        <v>260071</v>
      </c>
      <c r="I1534" s="109" t="s">
        <v>762</v>
      </c>
      <c r="J1534" s="115">
        <v>46053</v>
      </c>
      <c r="K1534" s="119">
        <v>46077</v>
      </c>
      <c r="L1534" s="116">
        <v>5820840</v>
      </c>
      <c r="M1534" s="116" t="s">
        <v>4393</v>
      </c>
      <c r="N1534" s="34" t="s">
        <v>29</v>
      </c>
      <c r="O1534" s="10"/>
      <c r="P1534" s="113">
        <v>46195</v>
      </c>
      <c r="Q1534" s="113">
        <v>46195</v>
      </c>
      <c r="R1534" s="113">
        <v>46195</v>
      </c>
      <c r="S1534" s="37">
        <f t="shared" si="308"/>
        <v>5820840</v>
      </c>
      <c r="T1534" s="37">
        <f t="shared" si="309"/>
        <v>0</v>
      </c>
      <c r="U1534" s="10"/>
      <c r="V1534" s="10"/>
      <c r="W1534" s="10"/>
      <c r="X1534" s="10"/>
      <c r="Y1534" s="10"/>
      <c r="Z1534" s="10"/>
      <c r="AA1534" s="10"/>
      <c r="AB1534" s="10"/>
      <c r="AC1534" s="10"/>
      <c r="AD1534" s="10"/>
      <c r="AE1534" s="10"/>
    </row>
    <row r="1535" spans="1:31" hidden="1">
      <c r="A1535" s="277" t="s">
        <v>7632</v>
      </c>
      <c r="B1535" s="9" t="s">
        <v>21</v>
      </c>
      <c r="C1535" s="9">
        <v>2026</v>
      </c>
      <c r="D1535" s="9" t="s">
        <v>27</v>
      </c>
      <c r="E1535" s="90" t="s">
        <v>23</v>
      </c>
      <c r="F1535" s="9" t="s">
        <v>7</v>
      </c>
      <c r="G1535" s="10"/>
      <c r="H1535" s="96">
        <v>260075</v>
      </c>
      <c r="I1535" s="109" t="s">
        <v>762</v>
      </c>
      <c r="J1535" s="115">
        <v>46053</v>
      </c>
      <c r="K1535" s="119">
        <v>46077</v>
      </c>
      <c r="L1535" s="116">
        <v>8731260</v>
      </c>
      <c r="M1535" s="116" t="s">
        <v>4394</v>
      </c>
      <c r="N1535" s="34" t="s">
        <v>29</v>
      </c>
      <c r="O1535" s="10"/>
      <c r="P1535" s="113">
        <v>46195</v>
      </c>
      <c r="Q1535" s="113">
        <v>46195</v>
      </c>
      <c r="R1535" s="113">
        <v>46195</v>
      </c>
      <c r="S1535" s="37">
        <f t="shared" si="308"/>
        <v>8731260</v>
      </c>
      <c r="T1535" s="37">
        <f t="shared" si="309"/>
        <v>0</v>
      </c>
      <c r="U1535" s="10"/>
      <c r="V1535" s="10"/>
      <c r="W1535" s="10"/>
      <c r="X1535" s="10"/>
      <c r="Y1535" s="10"/>
      <c r="Z1535" s="10"/>
      <c r="AA1535" s="10"/>
      <c r="AB1535" s="10"/>
      <c r="AC1535" s="10"/>
      <c r="AD1535" s="10"/>
      <c r="AE1535" s="10"/>
    </row>
    <row r="1536" spans="1:31" hidden="1">
      <c r="A1536" s="277" t="s">
        <v>7633</v>
      </c>
      <c r="B1536" s="9" t="s">
        <v>21</v>
      </c>
      <c r="C1536" s="9">
        <v>2026</v>
      </c>
      <c r="D1536" s="9" t="s">
        <v>27</v>
      </c>
      <c r="E1536" s="90" t="s">
        <v>23</v>
      </c>
      <c r="F1536" s="9" t="s">
        <v>7</v>
      </c>
      <c r="G1536" s="10"/>
      <c r="H1536" s="96">
        <v>260269</v>
      </c>
      <c r="I1536" s="109" t="s">
        <v>762</v>
      </c>
      <c r="J1536" s="115">
        <v>46150</v>
      </c>
      <c r="K1536" s="119">
        <v>46165</v>
      </c>
      <c r="L1536" s="116">
        <v>4972867</v>
      </c>
      <c r="M1536" s="116" t="s">
        <v>7075</v>
      </c>
      <c r="N1536" s="34" t="s">
        <v>29</v>
      </c>
      <c r="O1536" s="10"/>
      <c r="P1536" s="113">
        <v>46195</v>
      </c>
      <c r="Q1536" s="113">
        <v>46195</v>
      </c>
      <c r="R1536" s="113">
        <v>46195</v>
      </c>
      <c r="S1536" s="37">
        <f t="shared" ref="S1536:S1542" si="312">IF(R1536="",0,L1536)</f>
        <v>4972867</v>
      </c>
      <c r="T1536" s="37">
        <f t="shared" ref="T1536:T1542" si="313">L1536-S1536</f>
        <v>0</v>
      </c>
      <c r="U1536" s="10"/>
      <c r="V1536" s="10"/>
      <c r="W1536" s="10"/>
      <c r="X1536" s="10"/>
      <c r="Y1536" s="10"/>
      <c r="Z1536" s="10"/>
      <c r="AA1536" s="10"/>
      <c r="AB1536" s="10"/>
      <c r="AC1536" s="10"/>
      <c r="AD1536" s="10"/>
      <c r="AE1536" s="10"/>
    </row>
    <row r="1537" spans="1:31" hidden="1">
      <c r="A1537" s="277" t="s">
        <v>5840</v>
      </c>
      <c r="B1537" s="9" t="s">
        <v>21</v>
      </c>
      <c r="C1537" s="9">
        <v>2026</v>
      </c>
      <c r="D1537" s="9" t="s">
        <v>27</v>
      </c>
      <c r="E1537" s="90" t="s">
        <v>23</v>
      </c>
      <c r="F1537" s="9" t="s">
        <v>7</v>
      </c>
      <c r="G1537" s="10"/>
      <c r="H1537" s="96">
        <v>260270</v>
      </c>
      <c r="I1537" s="109" t="s">
        <v>762</v>
      </c>
      <c r="J1537" s="115">
        <v>46150</v>
      </c>
      <c r="K1537" s="119">
        <v>46165</v>
      </c>
      <c r="L1537" s="116">
        <v>4762920</v>
      </c>
      <c r="M1537" s="116" t="s">
        <v>7076</v>
      </c>
      <c r="N1537" s="34" t="s">
        <v>29</v>
      </c>
      <c r="O1537" s="10"/>
      <c r="P1537" s="113">
        <v>46195</v>
      </c>
      <c r="Q1537" s="113">
        <v>46195</v>
      </c>
      <c r="R1537" s="113">
        <v>46195</v>
      </c>
      <c r="S1537" s="37">
        <f t="shared" si="312"/>
        <v>4762920</v>
      </c>
      <c r="T1537" s="37">
        <f t="shared" si="313"/>
        <v>0</v>
      </c>
      <c r="U1537" s="10"/>
      <c r="V1537" s="10"/>
      <c r="W1537" s="10"/>
      <c r="X1537" s="10"/>
      <c r="Y1537" s="10"/>
      <c r="Z1537" s="10"/>
      <c r="AA1537" s="10"/>
      <c r="AB1537" s="10"/>
      <c r="AC1537" s="10"/>
      <c r="AD1537" s="10"/>
      <c r="AE1537" s="10"/>
    </row>
    <row r="1538" spans="1:31" hidden="1">
      <c r="A1538" s="277" t="s">
        <v>5841</v>
      </c>
      <c r="B1538" s="9" t="s">
        <v>21</v>
      </c>
      <c r="C1538" s="9">
        <v>2026</v>
      </c>
      <c r="D1538" s="9" t="s">
        <v>27</v>
      </c>
      <c r="E1538" s="90" t="s">
        <v>23</v>
      </c>
      <c r="F1538" s="9" t="s">
        <v>7</v>
      </c>
      <c r="G1538" s="10"/>
      <c r="H1538" s="96">
        <v>260274</v>
      </c>
      <c r="I1538" s="109" t="s">
        <v>762</v>
      </c>
      <c r="J1538" s="115">
        <v>46151</v>
      </c>
      <c r="K1538" s="119">
        <v>46165</v>
      </c>
      <c r="L1538" s="116">
        <v>3836854</v>
      </c>
      <c r="M1538" s="116" t="s">
        <v>7077</v>
      </c>
      <c r="N1538" s="34" t="s">
        <v>29</v>
      </c>
      <c r="O1538" s="10"/>
      <c r="P1538" s="113">
        <v>46195</v>
      </c>
      <c r="Q1538" s="113">
        <v>46195</v>
      </c>
      <c r="R1538" s="113">
        <v>46195</v>
      </c>
      <c r="S1538" s="37">
        <f t="shared" si="312"/>
        <v>3836854</v>
      </c>
      <c r="T1538" s="37">
        <f t="shared" si="313"/>
        <v>0</v>
      </c>
      <c r="U1538" s="10"/>
      <c r="V1538" s="10"/>
      <c r="W1538" s="10"/>
      <c r="X1538" s="10"/>
      <c r="Y1538" s="10"/>
      <c r="Z1538" s="10"/>
      <c r="AA1538" s="10"/>
      <c r="AB1538" s="10"/>
      <c r="AC1538" s="10"/>
      <c r="AD1538" s="10"/>
      <c r="AE1538" s="10"/>
    </row>
    <row r="1539" spans="1:31" hidden="1">
      <c r="A1539" s="277" t="s">
        <v>5842</v>
      </c>
      <c r="B1539" s="9" t="s">
        <v>21</v>
      </c>
      <c r="C1539" s="9">
        <v>2026</v>
      </c>
      <c r="D1539" s="9" t="s">
        <v>27</v>
      </c>
      <c r="E1539" s="90" t="s">
        <v>23</v>
      </c>
      <c r="F1539" s="9" t="s">
        <v>7</v>
      </c>
      <c r="G1539" s="10"/>
      <c r="H1539" s="96">
        <v>260072</v>
      </c>
      <c r="I1539" s="109" t="s">
        <v>762</v>
      </c>
      <c r="J1539" s="115">
        <v>46052</v>
      </c>
      <c r="K1539" s="119">
        <v>46077</v>
      </c>
      <c r="L1539" s="116">
        <f>3857280-1460005</f>
        <v>2397275</v>
      </c>
      <c r="M1539" s="116" t="s">
        <v>7160</v>
      </c>
      <c r="N1539" s="34" t="s">
        <v>29</v>
      </c>
      <c r="O1539" s="27">
        <f>SUM(L1539:L1547)</f>
        <v>29322255</v>
      </c>
      <c r="P1539" s="113">
        <v>46229</v>
      </c>
      <c r="Q1539" s="113">
        <v>46229</v>
      </c>
      <c r="R1539" s="113">
        <v>46229</v>
      </c>
      <c r="S1539" s="37">
        <f>IF(R1539="",0,L1539)</f>
        <v>2397275</v>
      </c>
      <c r="T1539" s="37">
        <f>L1539-S1539</f>
        <v>0</v>
      </c>
      <c r="U1539" s="10"/>
      <c r="V1539" s="10"/>
      <c r="W1539" s="10"/>
      <c r="X1539" s="10"/>
      <c r="Y1539" s="10"/>
      <c r="Z1539" s="10"/>
      <c r="AA1539" s="10"/>
      <c r="AB1539" s="10"/>
      <c r="AC1539" s="10"/>
      <c r="AD1539" s="10"/>
      <c r="AE1539" s="10"/>
    </row>
    <row r="1540" spans="1:31" hidden="1">
      <c r="A1540" s="277" t="s">
        <v>5843</v>
      </c>
      <c r="B1540" s="9" t="s">
        <v>21</v>
      </c>
      <c r="C1540" s="9">
        <v>2026</v>
      </c>
      <c r="D1540" s="9" t="s">
        <v>27</v>
      </c>
      <c r="E1540" s="90" t="s">
        <v>23</v>
      </c>
      <c r="F1540" s="9" t="s">
        <v>7</v>
      </c>
      <c r="G1540" s="10"/>
      <c r="H1540" s="96">
        <v>260073</v>
      </c>
      <c r="I1540" s="109" t="s">
        <v>762</v>
      </c>
      <c r="J1540" s="115">
        <v>46052</v>
      </c>
      <c r="K1540" s="119">
        <v>46077</v>
      </c>
      <c r="L1540" s="116">
        <v>9621413</v>
      </c>
      <c r="M1540" s="116" t="s">
        <v>4388</v>
      </c>
      <c r="N1540" s="34" t="s">
        <v>29</v>
      </c>
      <c r="O1540" s="10"/>
      <c r="P1540" s="113">
        <v>46229</v>
      </c>
      <c r="Q1540" s="113">
        <v>46229</v>
      </c>
      <c r="R1540" s="113">
        <v>46229</v>
      </c>
      <c r="S1540" s="37">
        <f>IF(R1540="",0,L1540)</f>
        <v>9621413</v>
      </c>
      <c r="T1540" s="37">
        <f>L1540-S1540</f>
        <v>0</v>
      </c>
      <c r="U1540" s="10"/>
      <c r="V1540" s="10"/>
      <c r="W1540" s="10"/>
      <c r="X1540" s="10"/>
      <c r="Y1540" s="10"/>
      <c r="Z1540" s="10"/>
      <c r="AA1540" s="10"/>
      <c r="AB1540" s="10"/>
      <c r="AC1540" s="10"/>
      <c r="AD1540" s="10"/>
      <c r="AE1540" s="10"/>
    </row>
    <row r="1541" spans="1:31" hidden="1">
      <c r="A1541" s="277" t="s">
        <v>5844</v>
      </c>
      <c r="B1541" s="9" t="s">
        <v>21</v>
      </c>
      <c r="C1541" s="9">
        <v>2026</v>
      </c>
      <c r="D1541" s="9" t="s">
        <v>27</v>
      </c>
      <c r="E1541" s="90" t="s">
        <v>23</v>
      </c>
      <c r="F1541" s="9" t="s">
        <v>7</v>
      </c>
      <c r="G1541" s="10"/>
      <c r="H1541" s="96">
        <v>260278</v>
      </c>
      <c r="I1541" s="109" t="s">
        <v>762</v>
      </c>
      <c r="J1541" s="115">
        <v>46153</v>
      </c>
      <c r="K1541" s="119">
        <v>46165</v>
      </c>
      <c r="L1541" s="116">
        <v>611294</v>
      </c>
      <c r="M1541" s="116" t="s">
        <v>7078</v>
      </c>
      <c r="N1541" s="34" t="s">
        <v>29</v>
      </c>
      <c r="O1541" s="10"/>
      <c r="P1541" s="113">
        <v>46229</v>
      </c>
      <c r="Q1541" s="113">
        <v>46229</v>
      </c>
      <c r="R1541" s="113">
        <v>46229</v>
      </c>
      <c r="S1541" s="37">
        <f t="shared" si="312"/>
        <v>611294</v>
      </c>
      <c r="T1541" s="37">
        <f t="shared" si="313"/>
        <v>0</v>
      </c>
      <c r="U1541" s="10"/>
      <c r="V1541" s="10"/>
      <c r="W1541" s="10"/>
      <c r="X1541" s="10"/>
      <c r="Y1541" s="10"/>
      <c r="Z1541" s="10"/>
      <c r="AA1541" s="10"/>
      <c r="AB1541" s="10"/>
      <c r="AC1541" s="10"/>
      <c r="AD1541" s="10"/>
      <c r="AE1541" s="10"/>
    </row>
    <row r="1542" spans="1:31" hidden="1">
      <c r="A1542" s="277" t="s">
        <v>5845</v>
      </c>
      <c r="B1542" s="9" t="s">
        <v>21</v>
      </c>
      <c r="C1542" s="9">
        <v>2026</v>
      </c>
      <c r="D1542" s="9" t="s">
        <v>27</v>
      </c>
      <c r="E1542" s="90" t="s">
        <v>23</v>
      </c>
      <c r="F1542" s="9" t="s">
        <v>7</v>
      </c>
      <c r="G1542" s="10"/>
      <c r="H1542" s="96">
        <v>260285</v>
      </c>
      <c r="I1542" s="109" t="s">
        <v>762</v>
      </c>
      <c r="J1542" s="115">
        <v>46157</v>
      </c>
      <c r="K1542" s="119">
        <v>46165</v>
      </c>
      <c r="L1542" s="116">
        <v>4155327</v>
      </c>
      <c r="M1542" s="116" t="s">
        <v>7079</v>
      </c>
      <c r="N1542" s="34" t="s">
        <v>29</v>
      </c>
      <c r="O1542" s="10"/>
      <c r="P1542" s="113">
        <v>46229</v>
      </c>
      <c r="Q1542" s="113">
        <v>46229</v>
      </c>
      <c r="R1542" s="113">
        <v>46229</v>
      </c>
      <c r="S1542" s="37">
        <f t="shared" si="312"/>
        <v>4155327</v>
      </c>
      <c r="T1542" s="37">
        <f t="shared" si="313"/>
        <v>0</v>
      </c>
      <c r="U1542" s="10"/>
      <c r="V1542" s="10"/>
      <c r="W1542" s="10"/>
      <c r="X1542" s="10"/>
      <c r="Y1542" s="10"/>
      <c r="Z1542" s="10"/>
      <c r="AA1542" s="10"/>
      <c r="AB1542" s="10"/>
      <c r="AC1542" s="10"/>
      <c r="AD1542" s="10"/>
      <c r="AE1542" s="10"/>
    </row>
    <row r="1543" spans="1:31" hidden="1">
      <c r="A1543" s="277" t="s">
        <v>5846</v>
      </c>
      <c r="B1543" s="9" t="s">
        <v>21</v>
      </c>
      <c r="C1543" s="9">
        <v>2026</v>
      </c>
      <c r="D1543" s="9" t="s">
        <v>27</v>
      </c>
      <c r="E1543" s="90" t="s">
        <v>23</v>
      </c>
      <c r="F1543" s="9" t="s">
        <v>7</v>
      </c>
      <c r="G1543" s="10"/>
      <c r="H1543" s="96">
        <v>260303</v>
      </c>
      <c r="I1543" s="109" t="s">
        <v>762</v>
      </c>
      <c r="J1543" s="115">
        <v>46165</v>
      </c>
      <c r="K1543" s="119">
        <v>46193</v>
      </c>
      <c r="L1543" s="116">
        <v>2400028</v>
      </c>
      <c r="M1543" s="116" t="s">
        <v>7152</v>
      </c>
      <c r="N1543" s="34" t="s">
        <v>29</v>
      </c>
      <c r="O1543" s="10"/>
      <c r="P1543" s="113">
        <v>46229</v>
      </c>
      <c r="Q1543" s="113">
        <v>46229</v>
      </c>
      <c r="R1543" s="113">
        <v>46229</v>
      </c>
      <c r="S1543" s="37">
        <f t="shared" ref="S1543:S1555" si="314">IF(R1543="",0,L1543)</f>
        <v>2400028</v>
      </c>
      <c r="T1543" s="37">
        <f t="shared" ref="T1543:T1555" si="315">L1543-S1543</f>
        <v>0</v>
      </c>
      <c r="U1543" s="10"/>
      <c r="V1543" s="10"/>
      <c r="W1543" s="10"/>
      <c r="X1543" s="10"/>
      <c r="Y1543" s="10"/>
      <c r="Z1543" s="10"/>
      <c r="AA1543" s="10"/>
      <c r="AB1543" s="10"/>
      <c r="AC1543" s="10"/>
      <c r="AD1543" s="10"/>
      <c r="AE1543" s="10"/>
    </row>
    <row r="1544" spans="1:31" hidden="1">
      <c r="A1544" s="277" t="s">
        <v>5847</v>
      </c>
      <c r="B1544" s="9" t="s">
        <v>21</v>
      </c>
      <c r="C1544" s="9">
        <v>2026</v>
      </c>
      <c r="D1544" s="9" t="s">
        <v>27</v>
      </c>
      <c r="E1544" s="90" t="s">
        <v>23</v>
      </c>
      <c r="F1544" s="9" t="s">
        <v>7</v>
      </c>
      <c r="G1544" s="10"/>
      <c r="H1544" s="96">
        <v>260322</v>
      </c>
      <c r="I1544" s="109" t="s">
        <v>762</v>
      </c>
      <c r="J1544" s="115">
        <v>46172</v>
      </c>
      <c r="K1544" s="119">
        <v>46193</v>
      </c>
      <c r="L1544" s="116">
        <v>3503160</v>
      </c>
      <c r="M1544" s="116" t="s">
        <v>7153</v>
      </c>
      <c r="N1544" s="34" t="s">
        <v>29</v>
      </c>
      <c r="O1544" s="10"/>
      <c r="P1544" s="113">
        <v>46229</v>
      </c>
      <c r="Q1544" s="113">
        <v>46229</v>
      </c>
      <c r="R1544" s="113">
        <v>46229</v>
      </c>
      <c r="S1544" s="37">
        <f t="shared" si="314"/>
        <v>3503160</v>
      </c>
      <c r="T1544" s="37">
        <f t="shared" si="315"/>
        <v>0</v>
      </c>
      <c r="U1544" s="10"/>
      <c r="V1544" s="10"/>
      <c r="W1544" s="10"/>
      <c r="X1544" s="10"/>
      <c r="Y1544" s="10"/>
      <c r="Z1544" s="10"/>
      <c r="AA1544" s="10"/>
      <c r="AB1544" s="10"/>
      <c r="AC1544" s="10"/>
      <c r="AD1544" s="10"/>
      <c r="AE1544" s="10"/>
    </row>
    <row r="1545" spans="1:31">
      <c r="A1545" s="277" t="s">
        <v>5848</v>
      </c>
      <c r="B1545" s="9" t="s">
        <v>21</v>
      </c>
      <c r="C1545" s="9">
        <v>2026</v>
      </c>
      <c r="D1545" s="9" t="s">
        <v>27</v>
      </c>
      <c r="E1545" s="90" t="s">
        <v>23</v>
      </c>
      <c r="F1545" s="9" t="s">
        <v>7</v>
      </c>
      <c r="G1545" s="10"/>
      <c r="H1545" s="96">
        <v>260332</v>
      </c>
      <c r="I1545" s="109" t="s">
        <v>762</v>
      </c>
      <c r="J1545" s="115">
        <v>46172</v>
      </c>
      <c r="K1545" s="119">
        <v>46193</v>
      </c>
      <c r="L1545" s="116">
        <v>2400028</v>
      </c>
      <c r="M1545" s="116" t="s">
        <v>7154</v>
      </c>
      <c r="N1545" s="34" t="s">
        <v>29</v>
      </c>
      <c r="O1545" s="10"/>
      <c r="P1545" s="113">
        <v>46229</v>
      </c>
      <c r="Q1545" s="113">
        <v>46229</v>
      </c>
      <c r="R1545" s="113">
        <v>46229</v>
      </c>
      <c r="S1545" s="37">
        <f>IF(R1545="",0,L1545)</f>
        <v>2400028</v>
      </c>
      <c r="T1545" s="37">
        <f>L1545-S1545</f>
        <v>0</v>
      </c>
      <c r="U1545" s="10"/>
      <c r="V1545" s="10"/>
      <c r="W1545" s="10"/>
      <c r="X1545" s="10"/>
      <c r="Y1545" s="10"/>
      <c r="Z1545" s="10"/>
      <c r="AA1545" s="10"/>
      <c r="AB1545" s="10"/>
      <c r="AC1545" s="10"/>
      <c r="AD1545" s="10"/>
      <c r="AE1545" s="10"/>
    </row>
    <row r="1546" spans="1:31">
      <c r="A1546" s="277" t="s">
        <v>5849</v>
      </c>
      <c r="B1546" s="9" t="s">
        <v>21</v>
      </c>
      <c r="C1546" s="9">
        <v>2026</v>
      </c>
      <c r="D1546" s="9" t="s">
        <v>27</v>
      </c>
      <c r="E1546" s="90" t="s">
        <v>23</v>
      </c>
      <c r="F1546" s="9" t="s">
        <v>7</v>
      </c>
      <c r="G1546" s="10"/>
      <c r="H1546" s="96">
        <v>260332</v>
      </c>
      <c r="I1546" s="109" t="s">
        <v>762</v>
      </c>
      <c r="J1546" s="115">
        <v>46197</v>
      </c>
      <c r="K1546" s="119">
        <v>46220</v>
      </c>
      <c r="L1546" s="116">
        <v>3424905</v>
      </c>
      <c r="M1546" s="116" t="s">
        <v>7435</v>
      </c>
      <c r="N1546" s="34"/>
      <c r="O1546" s="10"/>
      <c r="P1546" s="113">
        <v>46229</v>
      </c>
      <c r="Q1546" s="113">
        <v>46229</v>
      </c>
      <c r="R1546" s="113">
        <v>46229</v>
      </c>
      <c r="S1546" s="37">
        <f>IF(R1546="",0,L1546)</f>
        <v>3424905</v>
      </c>
      <c r="T1546" s="37">
        <f>L1546-S1546</f>
        <v>0</v>
      </c>
      <c r="U1546" s="10"/>
      <c r="V1546" s="10"/>
      <c r="W1546" s="10"/>
      <c r="X1546" s="10"/>
      <c r="Y1546" s="10"/>
      <c r="Z1546" s="10"/>
      <c r="AA1546" s="10"/>
      <c r="AB1546" s="10"/>
      <c r="AC1546" s="10"/>
      <c r="AD1546" s="10"/>
      <c r="AE1546" s="10"/>
    </row>
    <row r="1547" spans="1:31">
      <c r="A1547" s="277" t="s">
        <v>5850</v>
      </c>
      <c r="B1547" s="9" t="s">
        <v>21</v>
      </c>
      <c r="C1547" s="9">
        <v>2026</v>
      </c>
      <c r="D1547" s="9" t="s">
        <v>27</v>
      </c>
      <c r="E1547" s="90" t="s">
        <v>23</v>
      </c>
      <c r="F1547" s="9" t="s">
        <v>7</v>
      </c>
      <c r="G1547" s="10"/>
      <c r="H1547" s="96">
        <v>260334</v>
      </c>
      <c r="I1547" s="109" t="s">
        <v>762</v>
      </c>
      <c r="J1547" s="115">
        <v>46172</v>
      </c>
      <c r="K1547" s="119">
        <v>46193</v>
      </c>
      <c r="L1547" s="116">
        <v>808825</v>
      </c>
      <c r="M1547" s="116" t="s">
        <v>7433</v>
      </c>
      <c r="N1547" s="34" t="s">
        <v>29</v>
      </c>
      <c r="O1547" s="10"/>
      <c r="P1547" s="113">
        <v>46229</v>
      </c>
      <c r="Q1547" s="113">
        <v>46229</v>
      </c>
      <c r="R1547" s="113">
        <v>46229</v>
      </c>
      <c r="S1547" s="37">
        <f t="shared" si="314"/>
        <v>808825</v>
      </c>
      <c r="T1547" s="37">
        <f t="shared" si="315"/>
        <v>0</v>
      </c>
      <c r="U1547" s="10"/>
      <c r="V1547" s="10"/>
      <c r="W1547" s="10"/>
      <c r="X1547" s="10"/>
      <c r="Y1547" s="10"/>
      <c r="Z1547" s="10"/>
      <c r="AA1547" s="10"/>
      <c r="AB1547" s="10"/>
      <c r="AC1547" s="10"/>
      <c r="AD1547" s="10"/>
      <c r="AE1547" s="10"/>
    </row>
    <row r="1548" spans="1:31">
      <c r="A1548" s="277" t="s">
        <v>5851</v>
      </c>
      <c r="B1548" s="9" t="s">
        <v>21</v>
      </c>
      <c r="C1548" s="9">
        <v>2026</v>
      </c>
      <c r="D1548" s="9" t="s">
        <v>77</v>
      </c>
      <c r="E1548" s="90" t="s">
        <v>23</v>
      </c>
      <c r="F1548" s="9" t="s">
        <v>7</v>
      </c>
      <c r="G1548" s="10"/>
      <c r="H1548" s="9">
        <v>260334</v>
      </c>
      <c r="I1548" s="11" t="s">
        <v>762</v>
      </c>
      <c r="J1548" s="12">
        <v>46172</v>
      </c>
      <c r="K1548" s="122">
        <v>46193</v>
      </c>
      <c r="L1548" s="27">
        <f>4233730-808825</f>
        <v>3424905</v>
      </c>
      <c r="M1548" s="27" t="s">
        <v>7434</v>
      </c>
      <c r="N1548" s="34" t="s">
        <v>29</v>
      </c>
      <c r="O1548" s="10"/>
      <c r="P1548" s="39"/>
      <c r="Q1548" s="39"/>
      <c r="R1548" s="39"/>
      <c r="S1548" s="37">
        <f t="shared" ref="S1548" si="316">IF(R1548="",0,L1548)</f>
        <v>0</v>
      </c>
      <c r="T1548" s="37">
        <f t="shared" ref="T1548" si="317">L1548-S1548</f>
        <v>3424905</v>
      </c>
      <c r="U1548" s="10"/>
      <c r="V1548" s="10"/>
      <c r="W1548" s="10"/>
      <c r="X1548" s="10"/>
      <c r="Y1548" s="10"/>
      <c r="Z1548" s="10"/>
      <c r="AA1548" s="10"/>
      <c r="AB1548" s="10"/>
      <c r="AC1548" s="10"/>
      <c r="AD1548" s="10"/>
      <c r="AE1548" s="10"/>
    </row>
    <row r="1549" spans="1:31" ht="14.25" customHeight="1">
      <c r="A1549" s="277" t="s">
        <v>5852</v>
      </c>
      <c r="B1549" s="9" t="s">
        <v>21</v>
      </c>
      <c r="C1549" s="9">
        <v>2026</v>
      </c>
      <c r="D1549" s="9" t="s">
        <v>77</v>
      </c>
      <c r="E1549" s="90" t="s">
        <v>23</v>
      </c>
      <c r="F1549" s="9" t="s">
        <v>7</v>
      </c>
      <c r="G1549" s="10"/>
      <c r="H1549" s="9">
        <v>260389</v>
      </c>
      <c r="I1549" s="11" t="s">
        <v>762</v>
      </c>
      <c r="J1549" s="12">
        <v>46196</v>
      </c>
      <c r="K1549" s="122">
        <v>46217</v>
      </c>
      <c r="L1549" s="27">
        <v>964320</v>
      </c>
      <c r="M1549" s="27" t="s">
        <v>7378</v>
      </c>
      <c r="N1549" s="34">
        <f t="shared" ref="N1549:N1555" ca="1" si="318">$J$3-J1549-1</f>
        <v>43.463776388889528</v>
      </c>
      <c r="O1549" s="10"/>
      <c r="P1549" s="39"/>
      <c r="Q1549" s="39"/>
      <c r="R1549" s="39"/>
      <c r="S1549" s="37">
        <f t="shared" si="314"/>
        <v>0</v>
      </c>
      <c r="T1549" s="37">
        <f t="shared" si="315"/>
        <v>964320</v>
      </c>
      <c r="U1549" s="10"/>
      <c r="V1549" s="10"/>
      <c r="W1549" s="10"/>
      <c r="X1549" s="10"/>
      <c r="Y1549" s="10"/>
      <c r="Z1549" s="10"/>
      <c r="AA1549" s="10"/>
      <c r="AB1549" s="10"/>
      <c r="AC1549" s="10"/>
      <c r="AD1549" s="10"/>
      <c r="AE1549" s="10"/>
    </row>
    <row r="1550" spans="1:31" ht="14.25" customHeight="1">
      <c r="A1550" s="277" t="s">
        <v>5853</v>
      </c>
      <c r="B1550" s="9" t="s">
        <v>21</v>
      </c>
      <c r="C1550" s="9">
        <v>2026</v>
      </c>
      <c r="D1550" s="9" t="s">
        <v>77</v>
      </c>
      <c r="E1550" s="90" t="s">
        <v>23</v>
      </c>
      <c r="F1550" s="9" t="s">
        <v>7</v>
      </c>
      <c r="G1550" s="10"/>
      <c r="H1550" s="9">
        <v>260392</v>
      </c>
      <c r="I1550" s="11" t="s">
        <v>762</v>
      </c>
      <c r="J1550" s="12">
        <v>46197</v>
      </c>
      <c r="K1550" s="122">
        <v>46217</v>
      </c>
      <c r="L1550" s="27">
        <v>1479288</v>
      </c>
      <c r="M1550" s="27" t="s">
        <v>7379</v>
      </c>
      <c r="N1550" s="34">
        <f t="shared" ca="1" si="318"/>
        <v>42.463776388889528</v>
      </c>
      <c r="O1550" s="10"/>
      <c r="P1550" s="39"/>
      <c r="Q1550" s="39"/>
      <c r="R1550" s="39"/>
      <c r="S1550" s="37">
        <f t="shared" si="314"/>
        <v>0</v>
      </c>
      <c r="T1550" s="37">
        <f t="shared" si="315"/>
        <v>1479288</v>
      </c>
      <c r="U1550" s="10"/>
      <c r="V1550" s="10"/>
      <c r="W1550" s="10"/>
      <c r="X1550" s="10"/>
      <c r="Y1550" s="10"/>
      <c r="Z1550" s="10"/>
      <c r="AA1550" s="10"/>
      <c r="AB1550" s="10"/>
      <c r="AC1550" s="10"/>
      <c r="AD1550" s="10"/>
      <c r="AE1550" s="10"/>
    </row>
    <row r="1551" spans="1:31" ht="14.25" customHeight="1">
      <c r="A1551" s="277" t="s">
        <v>5854</v>
      </c>
      <c r="B1551" s="9" t="s">
        <v>21</v>
      </c>
      <c r="C1551" s="9">
        <v>2026</v>
      </c>
      <c r="D1551" s="9" t="s">
        <v>77</v>
      </c>
      <c r="E1551" s="90" t="s">
        <v>23</v>
      </c>
      <c r="F1551" s="9" t="s">
        <v>7</v>
      </c>
      <c r="G1551" s="10"/>
      <c r="H1551" s="9">
        <v>260403</v>
      </c>
      <c r="I1551" s="11" t="s">
        <v>762</v>
      </c>
      <c r="J1551" s="12">
        <v>46199</v>
      </c>
      <c r="K1551" s="122">
        <v>46217</v>
      </c>
      <c r="L1551" s="27">
        <v>2384378</v>
      </c>
      <c r="M1551" s="27" t="s">
        <v>7380</v>
      </c>
      <c r="N1551" s="34">
        <f t="shared" ca="1" si="318"/>
        <v>40.463776388889528</v>
      </c>
      <c r="O1551" s="10"/>
      <c r="P1551" s="39"/>
      <c r="Q1551" s="39"/>
      <c r="R1551" s="39"/>
      <c r="S1551" s="37">
        <f t="shared" si="314"/>
        <v>0</v>
      </c>
      <c r="T1551" s="37">
        <f t="shared" si="315"/>
        <v>2384378</v>
      </c>
      <c r="U1551" s="10"/>
      <c r="V1551" s="10"/>
      <c r="W1551" s="10"/>
      <c r="X1551" s="10"/>
      <c r="Y1551" s="10"/>
      <c r="Z1551" s="10"/>
      <c r="AA1551" s="10"/>
      <c r="AB1551" s="10"/>
      <c r="AC1551" s="10"/>
      <c r="AD1551" s="10"/>
      <c r="AE1551" s="10"/>
    </row>
    <row r="1552" spans="1:31" ht="14.25" customHeight="1">
      <c r="A1552" s="277" t="s">
        <v>5855</v>
      </c>
      <c r="B1552" s="9" t="s">
        <v>21</v>
      </c>
      <c r="C1552" s="9">
        <v>2026</v>
      </c>
      <c r="D1552" s="9" t="s">
        <v>77</v>
      </c>
      <c r="E1552" s="90" t="s">
        <v>23</v>
      </c>
      <c r="F1552" s="9" t="s">
        <v>7</v>
      </c>
      <c r="G1552" s="10"/>
      <c r="H1552" s="9">
        <v>260402</v>
      </c>
      <c r="I1552" s="11" t="s">
        <v>762</v>
      </c>
      <c r="J1552" s="12">
        <v>46199</v>
      </c>
      <c r="K1552" s="122">
        <v>46217</v>
      </c>
      <c r="L1552" s="27">
        <v>599999</v>
      </c>
      <c r="M1552" s="27" t="s">
        <v>7381</v>
      </c>
      <c r="N1552" s="34">
        <f t="shared" ca="1" si="318"/>
        <v>40.463776388889528</v>
      </c>
      <c r="O1552" s="10"/>
      <c r="P1552" s="39"/>
      <c r="Q1552" s="39"/>
      <c r="R1552" s="39"/>
      <c r="S1552" s="37">
        <f t="shared" si="314"/>
        <v>0</v>
      </c>
      <c r="T1552" s="37">
        <f t="shared" si="315"/>
        <v>599999</v>
      </c>
      <c r="U1552" s="10"/>
      <c r="V1552" s="10"/>
      <c r="W1552" s="10"/>
      <c r="X1552" s="10"/>
      <c r="Y1552" s="10"/>
      <c r="Z1552" s="10"/>
      <c r="AA1552" s="10"/>
      <c r="AB1552" s="10"/>
      <c r="AC1552" s="10"/>
      <c r="AD1552" s="10"/>
      <c r="AE1552" s="10"/>
    </row>
    <row r="1553" spans="1:31" ht="14.25" customHeight="1">
      <c r="A1553" s="277" t="s">
        <v>5856</v>
      </c>
      <c r="B1553" s="9" t="s">
        <v>21</v>
      </c>
      <c r="C1553" s="9">
        <v>2026</v>
      </c>
      <c r="D1553" s="9" t="s">
        <v>77</v>
      </c>
      <c r="E1553" s="90" t="s">
        <v>23</v>
      </c>
      <c r="F1553" s="9" t="s">
        <v>7</v>
      </c>
      <c r="G1553" s="10"/>
      <c r="H1553" s="9">
        <v>260413</v>
      </c>
      <c r="I1553" s="11" t="s">
        <v>762</v>
      </c>
      <c r="J1553" s="12">
        <v>46202</v>
      </c>
      <c r="K1553" s="122">
        <v>46217</v>
      </c>
      <c r="L1553" s="27">
        <v>7346490</v>
      </c>
      <c r="M1553" s="27" t="s">
        <v>7382</v>
      </c>
      <c r="N1553" s="34">
        <f t="shared" ca="1" si="318"/>
        <v>37.463776388889528</v>
      </c>
      <c r="O1553" s="10"/>
      <c r="P1553" s="39"/>
      <c r="Q1553" s="39"/>
      <c r="R1553" s="39"/>
      <c r="S1553" s="37">
        <f t="shared" si="314"/>
        <v>0</v>
      </c>
      <c r="T1553" s="37">
        <f t="shared" si="315"/>
        <v>7346490</v>
      </c>
      <c r="U1553" s="10"/>
      <c r="V1553" s="10"/>
      <c r="W1553" s="10"/>
      <c r="X1553" s="10"/>
      <c r="Y1553" s="10"/>
      <c r="Z1553" s="10"/>
      <c r="AA1553" s="10"/>
      <c r="AB1553" s="10"/>
      <c r="AC1553" s="10"/>
      <c r="AD1553" s="10"/>
      <c r="AE1553" s="10"/>
    </row>
    <row r="1554" spans="1:31" ht="14.25" customHeight="1">
      <c r="A1554" s="277" t="s">
        <v>5857</v>
      </c>
      <c r="B1554" s="9" t="s">
        <v>21</v>
      </c>
      <c r="C1554" s="9">
        <v>2026</v>
      </c>
      <c r="D1554" s="9" t="s">
        <v>77</v>
      </c>
      <c r="E1554" s="90" t="s">
        <v>23</v>
      </c>
      <c r="F1554" s="9" t="s">
        <v>7</v>
      </c>
      <c r="G1554" s="10"/>
      <c r="H1554" s="9">
        <v>260422</v>
      </c>
      <c r="I1554" s="11" t="s">
        <v>762</v>
      </c>
      <c r="J1554" s="12">
        <v>46203</v>
      </c>
      <c r="K1554" s="122">
        <v>46217</v>
      </c>
      <c r="L1554" s="27">
        <v>6517830</v>
      </c>
      <c r="M1554" s="27" t="s">
        <v>7383</v>
      </c>
      <c r="N1554" s="34">
        <f t="shared" ca="1" si="318"/>
        <v>36.463776388889528</v>
      </c>
      <c r="O1554" s="10"/>
      <c r="P1554" s="39"/>
      <c r="Q1554" s="39"/>
      <c r="R1554" s="39"/>
      <c r="S1554" s="37">
        <f t="shared" si="314"/>
        <v>0</v>
      </c>
      <c r="T1554" s="37">
        <f t="shared" si="315"/>
        <v>6517830</v>
      </c>
      <c r="U1554" s="10"/>
      <c r="V1554" s="10"/>
      <c r="W1554" s="10"/>
      <c r="X1554" s="10"/>
      <c r="Y1554" s="10"/>
      <c r="Z1554" s="10"/>
      <c r="AA1554" s="10"/>
      <c r="AB1554" s="10"/>
      <c r="AC1554" s="10"/>
      <c r="AD1554" s="10"/>
      <c r="AE1554" s="10"/>
    </row>
    <row r="1555" spans="1:31" ht="14.25" customHeight="1">
      <c r="A1555" s="277" t="s">
        <v>5858</v>
      </c>
      <c r="B1555" s="9" t="s">
        <v>21</v>
      </c>
      <c r="C1555" s="9">
        <v>2026</v>
      </c>
      <c r="D1555" s="9" t="s">
        <v>77</v>
      </c>
      <c r="E1555" s="90" t="s">
        <v>23</v>
      </c>
      <c r="F1555" s="9" t="s">
        <v>7</v>
      </c>
      <c r="G1555" s="10"/>
      <c r="H1555" s="9">
        <v>260444</v>
      </c>
      <c r="I1555" s="11" t="s">
        <v>762</v>
      </c>
      <c r="J1555" s="12">
        <v>46210</v>
      </c>
      <c r="K1555" s="122">
        <v>46217</v>
      </c>
      <c r="L1555" s="27">
        <v>999277</v>
      </c>
      <c r="M1555" s="27" t="s">
        <v>7402</v>
      </c>
      <c r="N1555" s="34">
        <f t="shared" ca="1" si="318"/>
        <v>29.463776388889528</v>
      </c>
      <c r="O1555" s="10"/>
      <c r="P1555" s="39"/>
      <c r="Q1555" s="39"/>
      <c r="R1555" s="39"/>
      <c r="S1555" s="37">
        <f t="shared" si="314"/>
        <v>0</v>
      </c>
      <c r="T1555" s="37">
        <f t="shared" si="315"/>
        <v>999277</v>
      </c>
      <c r="U1555" s="10"/>
      <c r="V1555" s="10"/>
      <c r="W1555" s="10"/>
      <c r="X1555" s="10"/>
      <c r="Y1555" s="10"/>
      <c r="Z1555" s="10"/>
      <c r="AA1555" s="10"/>
      <c r="AB1555" s="10"/>
      <c r="AC1555" s="10"/>
      <c r="AD1555" s="10"/>
      <c r="AE1555" s="10"/>
    </row>
    <row r="1556" spans="1:31" ht="14.25" customHeight="1">
      <c r="A1556" s="277" t="s">
        <v>5859</v>
      </c>
      <c r="B1556" s="9" t="s">
        <v>21</v>
      </c>
      <c r="C1556" s="9"/>
      <c r="D1556" s="9"/>
      <c r="E1556" s="90"/>
      <c r="F1556" s="9"/>
      <c r="G1556" s="10"/>
      <c r="H1556" s="9"/>
      <c r="I1556" s="11"/>
      <c r="J1556" s="12"/>
      <c r="K1556" s="12"/>
      <c r="L1556" s="27"/>
      <c r="M1556" s="10"/>
      <c r="N1556" s="114">
        <f ca="1">$J$3-J1556</f>
        <v>46240.46377638889</v>
      </c>
      <c r="O1556" s="10"/>
      <c r="P1556" s="39"/>
      <c r="Q1556" s="39"/>
      <c r="R1556" s="39"/>
      <c r="S1556" s="37">
        <f>IF(R1556="",0,L1556)</f>
        <v>0</v>
      </c>
      <c r="T1556" s="37">
        <f>L1556-S1556</f>
        <v>0</v>
      </c>
      <c r="U1556" s="10"/>
      <c r="V1556" s="10"/>
      <c r="W1556" s="10"/>
      <c r="X1556" s="10">
        <v>1</v>
      </c>
      <c r="Y1556" s="10"/>
      <c r="Z1556" s="10"/>
      <c r="AA1556" s="10"/>
      <c r="AB1556" s="10"/>
      <c r="AC1556" s="10"/>
      <c r="AD1556" s="10"/>
      <c r="AE1556" s="10"/>
    </row>
    <row r="1557" spans="1:31" ht="14.25" customHeight="1">
      <c r="A1557" s="277" t="s">
        <v>5860</v>
      </c>
      <c r="B1557" s="9" t="s">
        <v>21</v>
      </c>
      <c r="C1557" s="9"/>
      <c r="D1557" s="9"/>
      <c r="E1557" s="90"/>
      <c r="F1557" s="9"/>
      <c r="G1557" s="10"/>
      <c r="H1557" s="9"/>
      <c r="I1557" s="11"/>
      <c r="J1557" s="12"/>
      <c r="K1557" s="12"/>
      <c r="L1557" s="27"/>
      <c r="M1557" s="10"/>
      <c r="N1557" s="34"/>
      <c r="O1557" s="10"/>
      <c r="P1557" s="39"/>
      <c r="Q1557" s="39"/>
      <c r="R1557" s="39"/>
      <c r="S1557" s="37"/>
      <c r="T1557" s="37"/>
      <c r="U1557" s="10"/>
      <c r="V1557" s="10"/>
      <c r="W1557" s="10"/>
      <c r="X1557" s="10"/>
      <c r="Y1557" s="10"/>
      <c r="Z1557" s="10"/>
      <c r="AA1557" s="10"/>
      <c r="AB1557" s="10"/>
      <c r="AC1557" s="10"/>
      <c r="AD1557" s="10"/>
      <c r="AE1557" s="10"/>
    </row>
    <row r="1558" spans="1:31">
      <c r="A1558" s="277" t="s">
        <v>5861</v>
      </c>
      <c r="B1558" s="9" t="s">
        <v>21</v>
      </c>
      <c r="C1558" s="9"/>
      <c r="D1558" s="9"/>
      <c r="E1558" s="90"/>
      <c r="F1558" s="9"/>
      <c r="G1558" s="94" t="s">
        <v>24</v>
      </c>
      <c r="H1558" s="95" t="s">
        <v>793</v>
      </c>
      <c r="I1558" s="104"/>
      <c r="J1558" s="105"/>
      <c r="K1558" s="105"/>
      <c r="L1558" s="106">
        <f>SUM(L1559:L1586)</f>
        <v>125912067</v>
      </c>
      <c r="M1558" s="107"/>
      <c r="N1558" s="108" t="s">
        <v>26</v>
      </c>
      <c r="O1558" s="108"/>
      <c r="P1558" s="108"/>
      <c r="Q1558" s="108"/>
      <c r="R1558" s="108"/>
      <c r="S1558" s="106">
        <f>SUM(S1559:S1586)</f>
        <v>115614855</v>
      </c>
      <c r="T1558" s="106">
        <f>SUM(T1559:T1586)</f>
        <v>10297212</v>
      </c>
      <c r="U1558" s="10"/>
      <c r="V1558" s="52">
        <f>L1558-S1558</f>
        <v>10297212</v>
      </c>
      <c r="W1558" s="52">
        <f>T1558-V1558</f>
        <v>0</v>
      </c>
      <c r="X1558" s="10"/>
      <c r="Y1558" s="10"/>
      <c r="Z1558" s="10"/>
      <c r="AA1558" s="10"/>
      <c r="AB1558" s="10"/>
      <c r="AC1558" s="10"/>
      <c r="AD1558" s="10"/>
      <c r="AE1558" s="10"/>
    </row>
    <row r="1559" spans="1:31" hidden="1">
      <c r="A1559" s="277" t="s">
        <v>7634</v>
      </c>
      <c r="B1559" s="9" t="s">
        <v>21</v>
      </c>
      <c r="C1559" s="9">
        <v>2025</v>
      </c>
      <c r="D1559" s="9" t="s">
        <v>27</v>
      </c>
      <c r="E1559" s="90" t="s">
        <v>23</v>
      </c>
      <c r="F1559" s="9" t="s">
        <v>7</v>
      </c>
      <c r="G1559" s="120"/>
      <c r="H1559" s="121">
        <v>250342</v>
      </c>
      <c r="I1559" s="121" t="s">
        <v>793</v>
      </c>
      <c r="J1559" s="110">
        <v>45727</v>
      </c>
      <c r="K1559" s="110">
        <v>45738</v>
      </c>
      <c r="L1559" s="111">
        <v>723606</v>
      </c>
      <c r="M1559" s="112" t="s">
        <v>794</v>
      </c>
      <c r="N1559" s="34" t="s">
        <v>29</v>
      </c>
      <c r="O1559" s="123">
        <f>SUM(L1559:L1569)</f>
        <v>39383796</v>
      </c>
      <c r="P1559" s="146">
        <v>45859</v>
      </c>
      <c r="Q1559" s="146">
        <v>45859</v>
      </c>
      <c r="R1559" s="146">
        <v>45859</v>
      </c>
      <c r="S1559" s="37">
        <f t="shared" ref="S1559:S1570" si="319">IF(R1559="",0,L1559)</f>
        <v>723606</v>
      </c>
      <c r="T1559" s="37">
        <f t="shared" ref="T1559:T1570" si="320">L1559-S1559</f>
        <v>0</v>
      </c>
      <c r="U1559" s="10"/>
      <c r="V1559" s="52"/>
      <c r="W1559" s="52"/>
      <c r="X1559" s="10"/>
      <c r="Y1559" s="10"/>
      <c r="Z1559" s="10"/>
      <c r="AA1559" s="10"/>
      <c r="AB1559" s="10"/>
      <c r="AC1559" s="10"/>
      <c r="AD1559" s="10"/>
      <c r="AE1559" s="10"/>
    </row>
    <row r="1560" spans="1:31" hidden="1">
      <c r="A1560" s="277" t="s">
        <v>7635</v>
      </c>
      <c r="B1560" s="9" t="s">
        <v>21</v>
      </c>
      <c r="C1560" s="9">
        <v>2025</v>
      </c>
      <c r="D1560" s="9" t="s">
        <v>27</v>
      </c>
      <c r="E1560" s="90" t="s">
        <v>23</v>
      </c>
      <c r="F1560" s="9" t="s">
        <v>7</v>
      </c>
      <c r="G1560" s="120"/>
      <c r="H1560" s="121">
        <v>250338</v>
      </c>
      <c r="I1560" s="121" t="s">
        <v>793</v>
      </c>
      <c r="J1560" s="110">
        <v>45728</v>
      </c>
      <c r="K1560" s="110">
        <v>45738</v>
      </c>
      <c r="L1560" s="111">
        <v>8323890</v>
      </c>
      <c r="M1560" s="112" t="s">
        <v>795</v>
      </c>
      <c r="N1560" s="34" t="s">
        <v>29</v>
      </c>
      <c r="O1560" s="120"/>
      <c r="P1560" s="146">
        <v>45859</v>
      </c>
      <c r="Q1560" s="146">
        <v>45859</v>
      </c>
      <c r="R1560" s="146">
        <v>45859</v>
      </c>
      <c r="S1560" s="37">
        <f t="shared" si="319"/>
        <v>8323890</v>
      </c>
      <c r="T1560" s="37">
        <f t="shared" si="320"/>
        <v>0</v>
      </c>
      <c r="U1560" s="10"/>
      <c r="V1560" s="52"/>
      <c r="W1560" s="52"/>
      <c r="X1560" s="10"/>
      <c r="Y1560" s="10"/>
      <c r="Z1560" s="10"/>
      <c r="AA1560" s="10"/>
      <c r="AB1560" s="10"/>
      <c r="AC1560" s="10"/>
      <c r="AD1560" s="10"/>
      <c r="AE1560" s="10"/>
    </row>
    <row r="1561" spans="1:31" hidden="1">
      <c r="A1561" s="277" t="s">
        <v>7636</v>
      </c>
      <c r="B1561" s="9" t="s">
        <v>21</v>
      </c>
      <c r="C1561" s="9">
        <v>2025</v>
      </c>
      <c r="D1561" s="9" t="s">
        <v>27</v>
      </c>
      <c r="E1561" s="90" t="s">
        <v>23</v>
      </c>
      <c r="F1561" s="9" t="s">
        <v>7</v>
      </c>
      <c r="G1561" s="120"/>
      <c r="H1561" s="121">
        <v>250404</v>
      </c>
      <c r="I1561" s="121" t="s">
        <v>793</v>
      </c>
      <c r="J1561" s="110">
        <v>45737</v>
      </c>
      <c r="K1561" s="110">
        <v>45752</v>
      </c>
      <c r="L1561" s="111">
        <v>757575</v>
      </c>
      <c r="M1561" s="112" t="s">
        <v>796</v>
      </c>
      <c r="N1561" s="34" t="s">
        <v>29</v>
      </c>
      <c r="O1561" s="120"/>
      <c r="P1561" s="146">
        <v>45859</v>
      </c>
      <c r="Q1561" s="146">
        <v>45859</v>
      </c>
      <c r="R1561" s="146">
        <v>45859</v>
      </c>
      <c r="S1561" s="37">
        <f t="shared" si="319"/>
        <v>757575</v>
      </c>
      <c r="T1561" s="37">
        <f t="shared" si="320"/>
        <v>0</v>
      </c>
      <c r="U1561" s="10"/>
      <c r="V1561" s="52"/>
      <c r="W1561" s="52"/>
      <c r="X1561" s="10"/>
      <c r="Y1561" s="10"/>
      <c r="Z1561" s="10"/>
      <c r="AA1561" s="10"/>
      <c r="AB1561" s="10"/>
      <c r="AC1561" s="10"/>
      <c r="AD1561" s="10"/>
      <c r="AE1561" s="10"/>
    </row>
    <row r="1562" spans="1:31" hidden="1">
      <c r="A1562" s="277" t="s">
        <v>7637</v>
      </c>
      <c r="B1562" s="9" t="s">
        <v>21</v>
      </c>
      <c r="C1562" s="9">
        <v>2025</v>
      </c>
      <c r="D1562" s="9" t="s">
        <v>27</v>
      </c>
      <c r="E1562" s="90" t="s">
        <v>23</v>
      </c>
      <c r="F1562" s="9" t="s">
        <v>7</v>
      </c>
      <c r="G1562" s="120"/>
      <c r="H1562" s="121">
        <v>250363</v>
      </c>
      <c r="I1562" s="121" t="s">
        <v>793</v>
      </c>
      <c r="J1562" s="110">
        <v>45742</v>
      </c>
      <c r="K1562" s="110">
        <v>45759</v>
      </c>
      <c r="L1562" s="111">
        <v>809190</v>
      </c>
      <c r="M1562" s="112" t="s">
        <v>797</v>
      </c>
      <c r="N1562" s="34" t="s">
        <v>29</v>
      </c>
      <c r="O1562" s="120"/>
      <c r="P1562" s="146">
        <v>45859</v>
      </c>
      <c r="Q1562" s="146">
        <v>45859</v>
      </c>
      <c r="R1562" s="146">
        <v>45859</v>
      </c>
      <c r="S1562" s="37">
        <f t="shared" si="319"/>
        <v>809190</v>
      </c>
      <c r="T1562" s="37">
        <f t="shared" si="320"/>
        <v>0</v>
      </c>
      <c r="U1562" s="10"/>
      <c r="V1562" s="52"/>
      <c r="W1562" s="52"/>
      <c r="X1562" s="10"/>
      <c r="Y1562" s="10"/>
      <c r="Z1562" s="10"/>
      <c r="AA1562" s="10"/>
      <c r="AB1562" s="10"/>
      <c r="AC1562" s="10"/>
      <c r="AD1562" s="10"/>
      <c r="AE1562" s="10"/>
    </row>
    <row r="1563" spans="1:31" hidden="1">
      <c r="A1563" s="277" t="s">
        <v>7638</v>
      </c>
      <c r="B1563" s="9" t="s">
        <v>21</v>
      </c>
      <c r="C1563" s="9">
        <v>2025</v>
      </c>
      <c r="D1563" s="9" t="s">
        <v>27</v>
      </c>
      <c r="E1563" s="90" t="s">
        <v>23</v>
      </c>
      <c r="F1563" s="9" t="s">
        <v>7</v>
      </c>
      <c r="G1563" s="120"/>
      <c r="H1563" s="121">
        <v>250364</v>
      </c>
      <c r="I1563" s="121" t="s">
        <v>793</v>
      </c>
      <c r="J1563" s="110">
        <v>45743</v>
      </c>
      <c r="K1563" s="110">
        <v>45759</v>
      </c>
      <c r="L1563" s="111">
        <v>1651125</v>
      </c>
      <c r="M1563" s="112" t="s">
        <v>798</v>
      </c>
      <c r="N1563" s="34" t="s">
        <v>29</v>
      </c>
      <c r="O1563" s="120"/>
      <c r="P1563" s="146">
        <v>45859</v>
      </c>
      <c r="Q1563" s="146">
        <v>45859</v>
      </c>
      <c r="R1563" s="146">
        <v>45859</v>
      </c>
      <c r="S1563" s="37">
        <f t="shared" si="319"/>
        <v>1651125</v>
      </c>
      <c r="T1563" s="37">
        <f t="shared" si="320"/>
        <v>0</v>
      </c>
      <c r="U1563" s="10"/>
      <c r="V1563" s="52"/>
      <c r="W1563" s="52"/>
      <c r="X1563" s="10"/>
      <c r="Y1563" s="10"/>
      <c r="Z1563" s="10"/>
      <c r="AA1563" s="10"/>
      <c r="AB1563" s="10"/>
      <c r="AC1563" s="10"/>
      <c r="AD1563" s="10"/>
      <c r="AE1563" s="10"/>
    </row>
    <row r="1564" spans="1:31" hidden="1">
      <c r="A1564" s="277" t="s">
        <v>7639</v>
      </c>
      <c r="B1564" s="9" t="s">
        <v>21</v>
      </c>
      <c r="C1564" s="9">
        <v>2025</v>
      </c>
      <c r="D1564" s="9" t="s">
        <v>27</v>
      </c>
      <c r="E1564" s="90" t="s">
        <v>23</v>
      </c>
      <c r="F1564" s="9" t="s">
        <v>7</v>
      </c>
      <c r="G1564" s="120"/>
      <c r="H1564" s="121">
        <v>250373</v>
      </c>
      <c r="I1564" s="121" t="s">
        <v>793</v>
      </c>
      <c r="J1564" s="110">
        <v>45743</v>
      </c>
      <c r="K1564" s="110">
        <v>45759</v>
      </c>
      <c r="L1564" s="111">
        <v>10854135</v>
      </c>
      <c r="M1564" s="112" t="s">
        <v>799</v>
      </c>
      <c r="N1564" s="34" t="s">
        <v>29</v>
      </c>
      <c r="O1564" s="120"/>
      <c r="P1564" s="146">
        <v>45859</v>
      </c>
      <c r="Q1564" s="146">
        <v>45859</v>
      </c>
      <c r="R1564" s="146">
        <v>45859</v>
      </c>
      <c r="S1564" s="37">
        <f t="shared" si="319"/>
        <v>10854135</v>
      </c>
      <c r="T1564" s="37">
        <f t="shared" si="320"/>
        <v>0</v>
      </c>
      <c r="U1564" s="10"/>
      <c r="V1564" s="52"/>
      <c r="W1564" s="52"/>
      <c r="X1564" s="10"/>
      <c r="Y1564" s="10"/>
      <c r="Z1564" s="10"/>
      <c r="AA1564" s="10"/>
      <c r="AB1564" s="10"/>
      <c r="AC1564" s="10"/>
      <c r="AD1564" s="10"/>
      <c r="AE1564" s="10"/>
    </row>
    <row r="1565" spans="1:31" hidden="1">
      <c r="A1565" s="277" t="s">
        <v>7640</v>
      </c>
      <c r="B1565" s="9" t="s">
        <v>21</v>
      </c>
      <c r="C1565" s="9">
        <v>2025</v>
      </c>
      <c r="D1565" s="9" t="s">
        <v>27</v>
      </c>
      <c r="E1565" s="90" t="s">
        <v>23</v>
      </c>
      <c r="F1565" s="9" t="s">
        <v>7</v>
      </c>
      <c r="G1565" s="120"/>
      <c r="H1565" s="121">
        <v>250374</v>
      </c>
      <c r="I1565" s="121" t="s">
        <v>793</v>
      </c>
      <c r="J1565" s="110">
        <v>45743</v>
      </c>
      <c r="K1565" s="110">
        <v>45759</v>
      </c>
      <c r="L1565" s="111">
        <v>509490</v>
      </c>
      <c r="M1565" s="112" t="s">
        <v>800</v>
      </c>
      <c r="N1565" s="34" t="s">
        <v>29</v>
      </c>
      <c r="O1565" s="120"/>
      <c r="P1565" s="146">
        <v>45859</v>
      </c>
      <c r="Q1565" s="146">
        <v>45859</v>
      </c>
      <c r="R1565" s="146">
        <v>45859</v>
      </c>
      <c r="S1565" s="37">
        <f t="shared" si="319"/>
        <v>509490</v>
      </c>
      <c r="T1565" s="37">
        <f t="shared" si="320"/>
        <v>0</v>
      </c>
      <c r="U1565" s="10"/>
      <c r="V1565" s="52"/>
      <c r="W1565" s="52"/>
      <c r="X1565" s="10"/>
      <c r="Y1565" s="10"/>
      <c r="Z1565" s="10"/>
      <c r="AA1565" s="10"/>
      <c r="AB1565" s="10"/>
      <c r="AC1565" s="10"/>
      <c r="AD1565" s="10"/>
      <c r="AE1565" s="10"/>
    </row>
    <row r="1566" spans="1:31" hidden="1">
      <c r="A1566" s="277" t="s">
        <v>7641</v>
      </c>
      <c r="B1566" s="9" t="s">
        <v>21</v>
      </c>
      <c r="C1566" s="9">
        <v>2025</v>
      </c>
      <c r="D1566" s="9" t="s">
        <v>27</v>
      </c>
      <c r="E1566" s="90" t="s">
        <v>23</v>
      </c>
      <c r="F1566" s="9" t="s">
        <v>7</v>
      </c>
      <c r="G1566" s="120"/>
      <c r="H1566" s="121">
        <v>250433</v>
      </c>
      <c r="I1566" s="121" t="s">
        <v>793</v>
      </c>
      <c r="J1566" s="110">
        <v>45763</v>
      </c>
      <c r="K1566" s="110">
        <v>45780</v>
      </c>
      <c r="L1566" s="111">
        <v>1990785</v>
      </c>
      <c r="M1566" s="112" t="s">
        <v>801</v>
      </c>
      <c r="N1566" s="34" t="s">
        <v>29</v>
      </c>
      <c r="O1566" s="120"/>
      <c r="P1566" s="146">
        <v>45859</v>
      </c>
      <c r="Q1566" s="146">
        <v>45859</v>
      </c>
      <c r="R1566" s="146">
        <v>45859</v>
      </c>
      <c r="S1566" s="37">
        <f t="shared" si="319"/>
        <v>1990785</v>
      </c>
      <c r="T1566" s="37">
        <f t="shared" si="320"/>
        <v>0</v>
      </c>
      <c r="U1566" s="10"/>
      <c r="V1566" s="52"/>
      <c r="W1566" s="52"/>
      <c r="X1566" s="10"/>
      <c r="Y1566" s="10"/>
      <c r="Z1566" s="10"/>
      <c r="AA1566" s="10"/>
      <c r="AB1566" s="10"/>
      <c r="AC1566" s="10"/>
      <c r="AD1566" s="10"/>
      <c r="AE1566" s="10"/>
    </row>
    <row r="1567" spans="1:31" hidden="1">
      <c r="A1567" s="277" t="s">
        <v>7642</v>
      </c>
      <c r="B1567" s="9" t="s">
        <v>21</v>
      </c>
      <c r="C1567" s="9">
        <v>2025</v>
      </c>
      <c r="D1567" s="9" t="s">
        <v>27</v>
      </c>
      <c r="E1567" s="90" t="s">
        <v>23</v>
      </c>
      <c r="F1567" s="9" t="s">
        <v>7</v>
      </c>
      <c r="G1567" s="120"/>
      <c r="H1567" s="121">
        <v>250443</v>
      </c>
      <c r="I1567" s="121" t="s">
        <v>793</v>
      </c>
      <c r="J1567" s="110">
        <v>45764</v>
      </c>
      <c r="K1567" s="110">
        <v>45780</v>
      </c>
      <c r="L1567" s="111">
        <v>266400</v>
      </c>
      <c r="M1567" s="112" t="s">
        <v>802</v>
      </c>
      <c r="N1567" s="34" t="s">
        <v>29</v>
      </c>
      <c r="O1567" s="120"/>
      <c r="P1567" s="146">
        <v>45859</v>
      </c>
      <c r="Q1567" s="146">
        <v>45859</v>
      </c>
      <c r="R1567" s="146">
        <v>45859</v>
      </c>
      <c r="S1567" s="37">
        <f t="shared" si="319"/>
        <v>266400</v>
      </c>
      <c r="T1567" s="37">
        <f t="shared" si="320"/>
        <v>0</v>
      </c>
      <c r="U1567" s="10"/>
      <c r="V1567" s="52"/>
      <c r="W1567" s="52"/>
      <c r="X1567" s="10"/>
      <c r="Y1567" s="10"/>
      <c r="Z1567" s="10"/>
      <c r="AA1567" s="10"/>
      <c r="AB1567" s="10"/>
      <c r="AC1567" s="10"/>
      <c r="AD1567" s="10"/>
      <c r="AE1567" s="10"/>
    </row>
    <row r="1568" spans="1:31" hidden="1">
      <c r="A1568" s="277" t="s">
        <v>7643</v>
      </c>
      <c r="B1568" s="9" t="s">
        <v>21</v>
      </c>
      <c r="C1568" s="9">
        <v>2025</v>
      </c>
      <c r="D1568" s="9" t="s">
        <v>27</v>
      </c>
      <c r="E1568" s="90" t="s">
        <v>23</v>
      </c>
      <c r="F1568" s="9" t="s">
        <v>7</v>
      </c>
      <c r="G1568" s="120"/>
      <c r="H1568" s="121">
        <v>250453</v>
      </c>
      <c r="I1568" s="121" t="s">
        <v>793</v>
      </c>
      <c r="J1568" s="110">
        <v>45768</v>
      </c>
      <c r="K1568" s="110">
        <v>45780</v>
      </c>
      <c r="L1568" s="111">
        <v>5399040</v>
      </c>
      <c r="M1568" s="112" t="s">
        <v>803</v>
      </c>
      <c r="N1568" s="34" t="s">
        <v>29</v>
      </c>
      <c r="O1568" s="120"/>
      <c r="P1568" s="146">
        <v>45859</v>
      </c>
      <c r="Q1568" s="146">
        <v>45859</v>
      </c>
      <c r="R1568" s="146">
        <v>45859</v>
      </c>
      <c r="S1568" s="37">
        <f t="shared" si="319"/>
        <v>5399040</v>
      </c>
      <c r="T1568" s="37">
        <f t="shared" si="320"/>
        <v>0</v>
      </c>
      <c r="U1568" s="10"/>
      <c r="V1568" s="52"/>
      <c r="W1568" s="52"/>
      <c r="X1568" s="10"/>
      <c r="Y1568" s="10"/>
      <c r="Z1568" s="10"/>
      <c r="AA1568" s="10"/>
      <c r="AB1568" s="10"/>
      <c r="AC1568" s="10"/>
      <c r="AD1568" s="10"/>
      <c r="AE1568" s="10"/>
    </row>
    <row r="1569" spans="1:31" hidden="1">
      <c r="A1569" s="277" t="s">
        <v>7644</v>
      </c>
      <c r="B1569" s="9" t="s">
        <v>21</v>
      </c>
      <c r="C1569" s="9">
        <v>2025</v>
      </c>
      <c r="D1569" s="9" t="s">
        <v>27</v>
      </c>
      <c r="E1569" s="90" t="s">
        <v>23</v>
      </c>
      <c r="F1569" s="9" t="s">
        <v>7</v>
      </c>
      <c r="G1569" s="120"/>
      <c r="H1569" s="121">
        <v>250454</v>
      </c>
      <c r="I1569" s="121" t="s">
        <v>793</v>
      </c>
      <c r="J1569" s="110">
        <v>45769</v>
      </c>
      <c r="K1569" s="110">
        <v>45780</v>
      </c>
      <c r="L1569" s="111">
        <v>8098560</v>
      </c>
      <c r="M1569" s="112" t="s">
        <v>804</v>
      </c>
      <c r="N1569" s="34" t="s">
        <v>29</v>
      </c>
      <c r="O1569" s="120"/>
      <c r="P1569" s="146">
        <v>45859</v>
      </c>
      <c r="Q1569" s="146">
        <v>45859</v>
      </c>
      <c r="R1569" s="146">
        <v>45859</v>
      </c>
      <c r="S1569" s="37">
        <f t="shared" si="319"/>
        <v>8098560</v>
      </c>
      <c r="T1569" s="37">
        <f t="shared" si="320"/>
        <v>0</v>
      </c>
      <c r="U1569" s="10"/>
      <c r="V1569" s="52"/>
      <c r="W1569" s="52"/>
      <c r="X1569" s="10"/>
      <c r="Y1569" s="10"/>
      <c r="Z1569" s="10"/>
      <c r="AA1569" s="10"/>
      <c r="AB1569" s="10"/>
      <c r="AC1569" s="10"/>
      <c r="AD1569" s="10"/>
      <c r="AE1569" s="10"/>
    </row>
    <row r="1570" spans="1:31" hidden="1">
      <c r="A1570" s="277" t="s">
        <v>7645</v>
      </c>
      <c r="B1570" s="9" t="s">
        <v>21</v>
      </c>
      <c r="C1570" s="9">
        <v>2025</v>
      </c>
      <c r="D1570" s="9" t="s">
        <v>27</v>
      </c>
      <c r="E1570" s="90" t="s">
        <v>23</v>
      </c>
      <c r="F1570" s="9" t="s">
        <v>7</v>
      </c>
      <c r="G1570" s="120"/>
      <c r="H1570" s="121">
        <v>250724</v>
      </c>
      <c r="I1570" s="121" t="s">
        <v>793</v>
      </c>
      <c r="J1570" s="110">
        <v>45861</v>
      </c>
      <c r="K1570" s="110">
        <v>45871</v>
      </c>
      <c r="L1570" s="111">
        <v>863733</v>
      </c>
      <c r="M1570" s="112" t="s">
        <v>805</v>
      </c>
      <c r="N1570" s="34" t="s">
        <v>29</v>
      </c>
      <c r="O1570" s="123">
        <f>SUM(L1570:L1573)</f>
        <v>14206932</v>
      </c>
      <c r="P1570" s="146">
        <v>45895</v>
      </c>
      <c r="Q1570" s="146">
        <v>45895</v>
      </c>
      <c r="R1570" s="146">
        <v>45895</v>
      </c>
      <c r="S1570" s="37">
        <f t="shared" si="319"/>
        <v>863733</v>
      </c>
      <c r="T1570" s="37">
        <f t="shared" si="320"/>
        <v>0</v>
      </c>
      <c r="U1570" s="10"/>
      <c r="V1570" s="52"/>
      <c r="W1570" s="52"/>
      <c r="X1570" s="10"/>
      <c r="Y1570" s="10"/>
      <c r="Z1570" s="10"/>
      <c r="AA1570" s="10"/>
      <c r="AB1570" s="10"/>
      <c r="AC1570" s="10"/>
      <c r="AD1570" s="10"/>
      <c r="AE1570" s="10"/>
    </row>
    <row r="1571" spans="1:31" hidden="1">
      <c r="A1571" s="277" t="s">
        <v>7646</v>
      </c>
      <c r="B1571" s="9" t="s">
        <v>21</v>
      </c>
      <c r="C1571" s="9">
        <v>2025</v>
      </c>
      <c r="D1571" s="9" t="s">
        <v>27</v>
      </c>
      <c r="E1571" s="90" t="s">
        <v>23</v>
      </c>
      <c r="F1571" s="9" t="s">
        <v>7</v>
      </c>
      <c r="G1571" s="120"/>
      <c r="H1571" s="121">
        <v>250730</v>
      </c>
      <c r="I1571" s="121" t="s">
        <v>793</v>
      </c>
      <c r="J1571" s="110">
        <v>45857</v>
      </c>
      <c r="K1571" s="110">
        <v>45878</v>
      </c>
      <c r="L1571" s="111">
        <v>390165</v>
      </c>
      <c r="M1571" s="112" t="s">
        <v>806</v>
      </c>
      <c r="N1571" s="34" t="s">
        <v>29</v>
      </c>
      <c r="O1571" s="120"/>
      <c r="P1571" s="146">
        <v>45895</v>
      </c>
      <c r="Q1571" s="146">
        <v>45895</v>
      </c>
      <c r="R1571" s="146">
        <v>45895</v>
      </c>
      <c r="S1571" s="37">
        <f t="shared" ref="S1571:S1585" si="321">IF(R1571="",0,L1571)</f>
        <v>390165</v>
      </c>
      <c r="T1571" s="37">
        <f t="shared" ref="T1571:T1585" si="322">L1571-S1571</f>
        <v>0</v>
      </c>
      <c r="U1571" s="10"/>
      <c r="V1571" s="52"/>
      <c r="W1571" s="52"/>
      <c r="X1571" s="10"/>
      <c r="Y1571" s="10"/>
      <c r="Z1571" s="10"/>
      <c r="AA1571" s="10"/>
      <c r="AB1571" s="10"/>
      <c r="AC1571" s="10"/>
      <c r="AD1571" s="10"/>
      <c r="AE1571" s="10"/>
    </row>
    <row r="1572" spans="1:31" hidden="1">
      <c r="A1572" s="277" t="s">
        <v>7647</v>
      </c>
      <c r="B1572" s="9" t="s">
        <v>21</v>
      </c>
      <c r="C1572" s="9">
        <v>2025</v>
      </c>
      <c r="D1572" s="9" t="s">
        <v>27</v>
      </c>
      <c r="E1572" s="90" t="s">
        <v>23</v>
      </c>
      <c r="F1572" s="9" t="s">
        <v>7</v>
      </c>
      <c r="G1572" s="120"/>
      <c r="H1572" s="121">
        <v>250760</v>
      </c>
      <c r="I1572" s="121" t="s">
        <v>793</v>
      </c>
      <c r="J1572" s="110">
        <v>45867</v>
      </c>
      <c r="K1572" s="110">
        <v>45878</v>
      </c>
      <c r="L1572" s="111">
        <v>2403594</v>
      </c>
      <c r="M1572" s="112" t="s">
        <v>807</v>
      </c>
      <c r="N1572" s="34" t="s">
        <v>29</v>
      </c>
      <c r="O1572" s="120"/>
      <c r="P1572" s="146">
        <v>45895</v>
      </c>
      <c r="Q1572" s="146">
        <v>45895</v>
      </c>
      <c r="R1572" s="146">
        <v>45895</v>
      </c>
      <c r="S1572" s="37">
        <f t="shared" si="321"/>
        <v>2403594</v>
      </c>
      <c r="T1572" s="37">
        <f t="shared" si="322"/>
        <v>0</v>
      </c>
      <c r="U1572" s="10"/>
      <c r="V1572" s="52"/>
      <c r="W1572" s="52"/>
      <c r="X1572" s="10"/>
      <c r="Y1572" s="10"/>
      <c r="Z1572" s="10"/>
      <c r="AA1572" s="10"/>
      <c r="AB1572" s="10"/>
      <c r="AC1572" s="10"/>
      <c r="AD1572" s="10"/>
      <c r="AE1572" s="10"/>
    </row>
    <row r="1573" spans="1:31" hidden="1">
      <c r="A1573" s="277" t="s">
        <v>7648</v>
      </c>
      <c r="B1573" s="9" t="s">
        <v>21</v>
      </c>
      <c r="C1573" s="9">
        <v>2025</v>
      </c>
      <c r="D1573" s="9" t="s">
        <v>27</v>
      </c>
      <c r="E1573" s="90" t="s">
        <v>23</v>
      </c>
      <c r="F1573" s="9" t="s">
        <v>7</v>
      </c>
      <c r="G1573" s="120"/>
      <c r="H1573" s="121">
        <v>250780</v>
      </c>
      <c r="I1573" s="121" t="s">
        <v>793</v>
      </c>
      <c r="J1573" s="110">
        <v>45870</v>
      </c>
      <c r="K1573" s="110">
        <v>45885</v>
      </c>
      <c r="L1573" s="111">
        <v>10549440</v>
      </c>
      <c r="M1573" s="112" t="s">
        <v>808</v>
      </c>
      <c r="N1573" s="34" t="s">
        <v>29</v>
      </c>
      <c r="O1573" s="120"/>
      <c r="P1573" s="124">
        <v>45895</v>
      </c>
      <c r="Q1573" s="124">
        <v>45895</v>
      </c>
      <c r="R1573" s="124">
        <v>45895</v>
      </c>
      <c r="S1573" s="37">
        <f t="shared" si="321"/>
        <v>10549440</v>
      </c>
      <c r="T1573" s="37">
        <f t="shared" si="322"/>
        <v>0</v>
      </c>
      <c r="U1573" s="10"/>
      <c r="V1573" s="52"/>
      <c r="W1573" s="52"/>
      <c r="X1573" s="10"/>
      <c r="Y1573" s="10"/>
      <c r="Z1573" s="10"/>
      <c r="AA1573" s="10"/>
      <c r="AB1573" s="10"/>
      <c r="AC1573" s="10"/>
      <c r="AD1573" s="10"/>
      <c r="AE1573" s="10"/>
    </row>
    <row r="1574" spans="1:31" hidden="1">
      <c r="A1574" s="277" t="s">
        <v>7649</v>
      </c>
      <c r="B1574" s="9" t="s">
        <v>21</v>
      </c>
      <c r="C1574" s="9">
        <v>2025</v>
      </c>
      <c r="D1574" s="9" t="s">
        <v>27</v>
      </c>
      <c r="E1574" s="90" t="s">
        <v>23</v>
      </c>
      <c r="F1574" s="9" t="s">
        <v>7</v>
      </c>
      <c r="G1574" s="120"/>
      <c r="H1574" s="121">
        <v>250850</v>
      </c>
      <c r="I1574" s="121" t="s">
        <v>793</v>
      </c>
      <c r="J1574" s="110">
        <v>45890</v>
      </c>
      <c r="K1574" s="110">
        <v>45899</v>
      </c>
      <c r="L1574" s="111">
        <v>1428669</v>
      </c>
      <c r="M1574" s="112" t="s">
        <v>809</v>
      </c>
      <c r="N1574" s="34" t="s">
        <v>29</v>
      </c>
      <c r="O1574" s="123">
        <f>SUM(L1574:L1578)</f>
        <v>33337284</v>
      </c>
      <c r="P1574" s="124">
        <v>46001</v>
      </c>
      <c r="Q1574" s="124">
        <v>46001</v>
      </c>
      <c r="R1574" s="124">
        <v>46001</v>
      </c>
      <c r="S1574" s="37">
        <f t="shared" si="321"/>
        <v>1428669</v>
      </c>
      <c r="T1574" s="37">
        <f t="shared" si="322"/>
        <v>0</v>
      </c>
      <c r="U1574" s="10"/>
      <c r="V1574" s="52"/>
      <c r="W1574" s="52"/>
      <c r="X1574" s="10"/>
      <c r="Y1574" s="10"/>
      <c r="Z1574" s="10"/>
      <c r="AA1574" s="10"/>
      <c r="AB1574" s="10"/>
      <c r="AC1574" s="10"/>
      <c r="AD1574" s="10"/>
      <c r="AE1574" s="10"/>
    </row>
    <row r="1575" spans="1:31" hidden="1">
      <c r="A1575" s="277" t="s">
        <v>7650</v>
      </c>
      <c r="B1575" s="9" t="s">
        <v>21</v>
      </c>
      <c r="C1575" s="9">
        <v>2025</v>
      </c>
      <c r="D1575" s="9" t="s">
        <v>27</v>
      </c>
      <c r="E1575" s="90" t="s">
        <v>23</v>
      </c>
      <c r="F1575" s="9" t="s">
        <v>7</v>
      </c>
      <c r="G1575" s="120"/>
      <c r="H1575" s="121">
        <v>250878</v>
      </c>
      <c r="I1575" s="121" t="s">
        <v>793</v>
      </c>
      <c r="J1575" s="110">
        <v>45899</v>
      </c>
      <c r="K1575" s="110">
        <v>45916</v>
      </c>
      <c r="L1575" s="111">
        <v>3656340</v>
      </c>
      <c r="M1575" s="112" t="s">
        <v>810</v>
      </c>
      <c r="N1575" s="34" t="s">
        <v>29</v>
      </c>
      <c r="O1575" s="120"/>
      <c r="P1575" s="124">
        <v>46001</v>
      </c>
      <c r="Q1575" s="124">
        <v>46001</v>
      </c>
      <c r="R1575" s="124">
        <v>46001</v>
      </c>
      <c r="S1575" s="37">
        <f t="shared" si="321"/>
        <v>3656340</v>
      </c>
      <c r="T1575" s="37">
        <f t="shared" si="322"/>
        <v>0</v>
      </c>
      <c r="U1575" s="10"/>
      <c r="V1575" s="52"/>
      <c r="W1575" s="52"/>
      <c r="X1575" s="10"/>
      <c r="Y1575" s="10"/>
      <c r="Z1575" s="10"/>
      <c r="AA1575" s="10"/>
      <c r="AB1575" s="10"/>
      <c r="AC1575" s="10"/>
      <c r="AD1575" s="10"/>
      <c r="AE1575" s="10"/>
    </row>
    <row r="1576" spans="1:31" hidden="1">
      <c r="A1576" s="277" t="s">
        <v>7651</v>
      </c>
      <c r="B1576" s="9" t="s">
        <v>21</v>
      </c>
      <c r="C1576" s="9">
        <v>2025</v>
      </c>
      <c r="D1576" s="9" t="s">
        <v>27</v>
      </c>
      <c r="E1576" s="90" t="s">
        <v>23</v>
      </c>
      <c r="F1576" s="9" t="s">
        <v>7</v>
      </c>
      <c r="G1576" s="120"/>
      <c r="H1576" s="121">
        <v>250941</v>
      </c>
      <c r="I1576" s="121" t="s">
        <v>793</v>
      </c>
      <c r="J1576" s="110">
        <v>45916</v>
      </c>
      <c r="K1576" s="110">
        <v>45927</v>
      </c>
      <c r="L1576" s="111">
        <v>3446550</v>
      </c>
      <c r="M1576" s="112" t="s">
        <v>3713</v>
      </c>
      <c r="N1576" s="34" t="s">
        <v>29</v>
      </c>
      <c r="O1576" s="120"/>
      <c r="P1576" s="124">
        <v>46001</v>
      </c>
      <c r="Q1576" s="124">
        <v>46001</v>
      </c>
      <c r="R1576" s="124">
        <v>46001</v>
      </c>
      <c r="S1576" s="37">
        <f t="shared" si="321"/>
        <v>3446550</v>
      </c>
      <c r="T1576" s="37">
        <f t="shared" si="322"/>
        <v>0</v>
      </c>
      <c r="U1576" s="10"/>
      <c r="V1576" s="52"/>
      <c r="W1576" s="52"/>
      <c r="X1576" s="10"/>
      <c r="Y1576" s="10"/>
      <c r="Z1576" s="10"/>
      <c r="AA1576" s="10"/>
      <c r="AB1576" s="10"/>
      <c r="AC1576" s="10"/>
      <c r="AD1576" s="10"/>
      <c r="AE1576" s="10"/>
    </row>
    <row r="1577" spans="1:31" hidden="1">
      <c r="A1577" s="277" t="s">
        <v>7652</v>
      </c>
      <c r="B1577" s="9" t="s">
        <v>21</v>
      </c>
      <c r="C1577" s="9">
        <v>2025</v>
      </c>
      <c r="D1577" s="9" t="s">
        <v>27</v>
      </c>
      <c r="E1577" s="90" t="s">
        <v>23</v>
      </c>
      <c r="F1577" s="9" t="s">
        <v>7</v>
      </c>
      <c r="G1577" s="120"/>
      <c r="H1577" s="121">
        <v>250954</v>
      </c>
      <c r="I1577" s="121" t="s">
        <v>793</v>
      </c>
      <c r="J1577" s="110">
        <v>45923</v>
      </c>
      <c r="K1577" s="110">
        <v>45934</v>
      </c>
      <c r="L1577" s="111">
        <v>12654000</v>
      </c>
      <c r="M1577" s="112" t="s">
        <v>3727</v>
      </c>
      <c r="N1577" s="34" t="s">
        <v>29</v>
      </c>
      <c r="O1577" s="120"/>
      <c r="P1577" s="124">
        <v>46001</v>
      </c>
      <c r="Q1577" s="124">
        <v>46001</v>
      </c>
      <c r="R1577" s="124">
        <v>46001</v>
      </c>
      <c r="S1577" s="37">
        <f t="shared" si="321"/>
        <v>12654000</v>
      </c>
      <c r="T1577" s="37">
        <f t="shared" si="322"/>
        <v>0</v>
      </c>
      <c r="U1577" s="10"/>
      <c r="V1577" s="52"/>
      <c r="W1577" s="52"/>
      <c r="X1577" s="10"/>
      <c r="Y1577" s="10"/>
      <c r="Z1577" s="10"/>
      <c r="AA1577" s="10"/>
      <c r="AB1577" s="10"/>
      <c r="AC1577" s="10"/>
      <c r="AD1577" s="10"/>
      <c r="AE1577" s="10"/>
    </row>
    <row r="1578" spans="1:31" hidden="1">
      <c r="A1578" s="277" t="s">
        <v>7653</v>
      </c>
      <c r="B1578" s="9" t="s">
        <v>21</v>
      </c>
      <c r="C1578" s="9">
        <v>2025</v>
      </c>
      <c r="D1578" s="9" t="s">
        <v>27</v>
      </c>
      <c r="E1578" s="90" t="s">
        <v>23</v>
      </c>
      <c r="F1578" s="9" t="s">
        <v>7</v>
      </c>
      <c r="G1578" s="120"/>
      <c r="H1578" s="121">
        <v>251033</v>
      </c>
      <c r="I1578" s="121" t="s">
        <v>793</v>
      </c>
      <c r="J1578" s="110">
        <v>45933</v>
      </c>
      <c r="K1578" s="110">
        <v>45948</v>
      </c>
      <c r="L1578" s="111">
        <v>12151725</v>
      </c>
      <c r="M1578" s="112" t="s">
        <v>3855</v>
      </c>
      <c r="N1578" s="34" t="s">
        <v>29</v>
      </c>
      <c r="O1578" s="120"/>
      <c r="P1578" s="124">
        <v>46001</v>
      </c>
      <c r="Q1578" s="124">
        <v>46001</v>
      </c>
      <c r="R1578" s="124">
        <v>46001</v>
      </c>
      <c r="S1578" s="37">
        <f t="shared" si="321"/>
        <v>12151725</v>
      </c>
      <c r="T1578" s="37">
        <f t="shared" si="322"/>
        <v>0</v>
      </c>
      <c r="U1578" s="10"/>
      <c r="V1578" s="52"/>
      <c r="W1578" s="52"/>
      <c r="X1578" s="10"/>
      <c r="Y1578" s="10"/>
      <c r="Z1578" s="10"/>
      <c r="AA1578" s="10"/>
      <c r="AB1578" s="10"/>
      <c r="AC1578" s="10"/>
      <c r="AD1578" s="10"/>
      <c r="AE1578" s="10"/>
    </row>
    <row r="1579" spans="1:31" hidden="1">
      <c r="A1579" s="277" t="s">
        <v>7654</v>
      </c>
      <c r="B1579" s="9" t="s">
        <v>21</v>
      </c>
      <c r="C1579" s="9">
        <v>2025</v>
      </c>
      <c r="D1579" s="9" t="s">
        <v>27</v>
      </c>
      <c r="E1579" s="90" t="s">
        <v>23</v>
      </c>
      <c r="F1579" s="9" t="s">
        <v>7</v>
      </c>
      <c r="G1579" s="120"/>
      <c r="H1579" s="121">
        <v>251270</v>
      </c>
      <c r="I1579" s="121" t="s">
        <v>793</v>
      </c>
      <c r="J1579" s="110">
        <v>46002</v>
      </c>
      <c r="K1579" s="110">
        <v>46011</v>
      </c>
      <c r="L1579" s="111">
        <v>949050</v>
      </c>
      <c r="M1579" s="112" t="s">
        <v>4116</v>
      </c>
      <c r="N1579" s="34" t="s">
        <v>29</v>
      </c>
      <c r="O1579" s="123">
        <f>SUM(L1579:L1582)</f>
        <v>28686843</v>
      </c>
      <c r="P1579" s="124">
        <v>46168</v>
      </c>
      <c r="Q1579" s="124">
        <v>46168</v>
      </c>
      <c r="R1579" s="124">
        <v>46168</v>
      </c>
      <c r="S1579" s="37">
        <f>IF(R1579="",0,L1579)</f>
        <v>949050</v>
      </c>
      <c r="T1579" s="37">
        <f>L1579-S1579</f>
        <v>0</v>
      </c>
      <c r="U1579" s="10"/>
      <c r="V1579" s="52"/>
      <c r="W1579" s="52"/>
      <c r="X1579" s="10"/>
      <c r="Y1579" s="10"/>
      <c r="Z1579" s="10"/>
      <c r="AA1579" s="10"/>
      <c r="AB1579" s="10"/>
      <c r="AC1579" s="10"/>
      <c r="AD1579" s="10"/>
      <c r="AE1579" s="10"/>
    </row>
    <row r="1580" spans="1:31" hidden="1">
      <c r="A1580" s="277" t="s">
        <v>7655</v>
      </c>
      <c r="B1580" s="9" t="s">
        <v>21</v>
      </c>
      <c r="C1580" s="9">
        <v>2025</v>
      </c>
      <c r="D1580" s="9" t="s">
        <v>27</v>
      </c>
      <c r="E1580" s="90" t="s">
        <v>23</v>
      </c>
      <c r="F1580" s="9" t="s">
        <v>7</v>
      </c>
      <c r="G1580" s="120"/>
      <c r="H1580" s="121">
        <v>251265</v>
      </c>
      <c r="I1580" s="121" t="s">
        <v>793</v>
      </c>
      <c r="J1580" s="110">
        <v>46003</v>
      </c>
      <c r="K1580" s="110">
        <v>46011</v>
      </c>
      <c r="L1580" s="111">
        <v>1146352</v>
      </c>
      <c r="M1580" s="112" t="s">
        <v>4117</v>
      </c>
      <c r="N1580" s="34" t="s">
        <v>29</v>
      </c>
      <c r="O1580" s="120"/>
      <c r="P1580" s="124">
        <v>46168</v>
      </c>
      <c r="Q1580" s="124">
        <v>46168</v>
      </c>
      <c r="R1580" s="124">
        <v>46168</v>
      </c>
      <c r="S1580" s="37">
        <f>IF(R1580="",0,L1580)</f>
        <v>1146352</v>
      </c>
      <c r="T1580" s="37">
        <f>L1580-S1580</f>
        <v>0</v>
      </c>
      <c r="U1580" s="10"/>
      <c r="V1580" s="52"/>
      <c r="W1580" s="52"/>
      <c r="X1580" s="10"/>
      <c r="Y1580" s="10"/>
      <c r="Z1580" s="10"/>
      <c r="AA1580" s="10"/>
      <c r="AB1580" s="10"/>
      <c r="AC1580" s="10"/>
      <c r="AD1580" s="10"/>
      <c r="AE1580" s="10"/>
    </row>
    <row r="1581" spans="1:31" hidden="1">
      <c r="A1581" s="277" t="s">
        <v>7656</v>
      </c>
      <c r="B1581" s="9" t="s">
        <v>21</v>
      </c>
      <c r="C1581" s="9">
        <v>2025</v>
      </c>
      <c r="D1581" s="9" t="s">
        <v>27</v>
      </c>
      <c r="E1581" s="90" t="s">
        <v>23</v>
      </c>
      <c r="F1581" s="9" t="s">
        <v>7</v>
      </c>
      <c r="G1581" s="120"/>
      <c r="H1581" s="121">
        <v>251285</v>
      </c>
      <c r="I1581" s="121" t="s">
        <v>793</v>
      </c>
      <c r="J1581" s="110">
        <v>46011</v>
      </c>
      <c r="K1581" s="110">
        <v>46025</v>
      </c>
      <c r="L1581" s="111">
        <v>857201</v>
      </c>
      <c r="M1581" s="112" t="s">
        <v>4184</v>
      </c>
      <c r="N1581" s="34" t="s">
        <v>29</v>
      </c>
      <c r="O1581" s="120"/>
      <c r="P1581" s="124">
        <v>46168</v>
      </c>
      <c r="Q1581" s="124">
        <v>46168</v>
      </c>
      <c r="R1581" s="124">
        <v>46168</v>
      </c>
      <c r="S1581" s="37">
        <f>IF(R1581="",0,L1581)</f>
        <v>857201</v>
      </c>
      <c r="T1581" s="37">
        <f>L1581-S1581</f>
        <v>0</v>
      </c>
      <c r="U1581" s="10"/>
      <c r="V1581" s="52"/>
      <c r="W1581" s="52"/>
      <c r="X1581" s="10"/>
      <c r="Y1581" s="10"/>
      <c r="Z1581" s="10"/>
      <c r="AA1581" s="10"/>
      <c r="AB1581" s="10"/>
      <c r="AC1581" s="10"/>
      <c r="AD1581" s="10"/>
      <c r="AE1581" s="10"/>
    </row>
    <row r="1582" spans="1:31">
      <c r="A1582" s="277" t="s">
        <v>7657</v>
      </c>
      <c r="B1582" s="9" t="s">
        <v>21</v>
      </c>
      <c r="C1582" s="9">
        <v>2025</v>
      </c>
      <c r="D1582" s="9" t="s">
        <v>27</v>
      </c>
      <c r="E1582" s="90" t="s">
        <v>23</v>
      </c>
      <c r="F1582" s="9" t="s">
        <v>7</v>
      </c>
      <c r="G1582" s="120"/>
      <c r="H1582" s="121">
        <v>251313</v>
      </c>
      <c r="I1582" s="121" t="s">
        <v>793</v>
      </c>
      <c r="J1582" s="110">
        <v>46020</v>
      </c>
      <c r="K1582" s="110">
        <v>46032</v>
      </c>
      <c r="L1582" s="111">
        <v>25734240</v>
      </c>
      <c r="M1582" s="112" t="s">
        <v>4420</v>
      </c>
      <c r="N1582" s="34" t="s">
        <v>29</v>
      </c>
      <c r="O1582" s="120"/>
      <c r="P1582" s="124">
        <v>46168</v>
      </c>
      <c r="Q1582" s="124">
        <v>46168</v>
      </c>
      <c r="R1582" s="124">
        <v>46168</v>
      </c>
      <c r="S1582" s="37">
        <f>IF(R1582="",0,L1582)</f>
        <v>25734240</v>
      </c>
      <c r="T1582" s="37">
        <f>L1582-S1582</f>
        <v>0</v>
      </c>
      <c r="U1582" s="10"/>
      <c r="V1582" s="52"/>
      <c r="W1582" s="52"/>
      <c r="X1582" s="10"/>
      <c r="Y1582" s="10"/>
      <c r="Z1582" s="10"/>
      <c r="AA1582" s="10"/>
      <c r="AB1582" s="10"/>
      <c r="AC1582" s="10"/>
      <c r="AD1582" s="10"/>
      <c r="AE1582" s="10"/>
    </row>
    <row r="1583" spans="1:31">
      <c r="A1583" s="277" t="s">
        <v>7658</v>
      </c>
      <c r="B1583" s="9" t="s">
        <v>21</v>
      </c>
      <c r="C1583" s="9">
        <v>2026</v>
      </c>
      <c r="D1583" s="9" t="s">
        <v>77</v>
      </c>
      <c r="E1583" s="90" t="s">
        <v>23</v>
      </c>
      <c r="F1583" s="9" t="s">
        <v>7</v>
      </c>
      <c r="G1583" s="120"/>
      <c r="H1583" s="126">
        <v>260314</v>
      </c>
      <c r="I1583" s="126" t="s">
        <v>793</v>
      </c>
      <c r="J1583" s="127">
        <v>46170</v>
      </c>
      <c r="K1583" s="127">
        <v>46182</v>
      </c>
      <c r="L1583" s="128">
        <v>10011479</v>
      </c>
      <c r="M1583" s="140" t="s">
        <v>7113</v>
      </c>
      <c r="N1583" s="34">
        <f t="shared" ref="N1583:N1584" ca="1" si="323">$J$3-J1583-1</f>
        <v>69.463776388889528</v>
      </c>
      <c r="O1583" s="10"/>
      <c r="P1583" s="39"/>
      <c r="Q1583" s="39"/>
      <c r="R1583" s="39"/>
      <c r="S1583" s="37">
        <f t="shared" ref="S1583:S1584" si="324">IF(R1583="",0,L1583)</f>
        <v>0</v>
      </c>
      <c r="T1583" s="37">
        <f t="shared" ref="T1583:T1584" si="325">L1583-S1583</f>
        <v>10011479</v>
      </c>
      <c r="U1583" s="10"/>
      <c r="V1583" s="52"/>
      <c r="W1583" s="52"/>
      <c r="X1583" s="10"/>
      <c r="Y1583" s="10"/>
      <c r="Z1583" s="10"/>
      <c r="AA1583" s="10"/>
      <c r="AB1583" s="10"/>
      <c r="AC1583" s="10"/>
      <c r="AD1583" s="10"/>
      <c r="AE1583" s="10"/>
    </row>
    <row r="1584" spans="1:31">
      <c r="A1584" s="277" t="s">
        <v>7659</v>
      </c>
      <c r="B1584" s="9" t="s">
        <v>21</v>
      </c>
      <c r="C1584" s="9">
        <v>2026</v>
      </c>
      <c r="D1584" s="9" t="s">
        <v>77</v>
      </c>
      <c r="E1584" s="90" t="s">
        <v>23</v>
      </c>
      <c r="F1584" s="9" t="s">
        <v>7</v>
      </c>
      <c r="G1584" s="120"/>
      <c r="H1584" s="126">
        <v>260319</v>
      </c>
      <c r="I1584" s="126" t="s">
        <v>793</v>
      </c>
      <c r="J1584" s="127">
        <v>46172</v>
      </c>
      <c r="K1584" s="127">
        <v>46182</v>
      </c>
      <c r="L1584" s="128">
        <v>285733</v>
      </c>
      <c r="M1584" s="140" t="s">
        <v>7114</v>
      </c>
      <c r="N1584" s="34">
        <f t="shared" ca="1" si="323"/>
        <v>67.463776388889528</v>
      </c>
      <c r="O1584" s="10"/>
      <c r="P1584" s="39"/>
      <c r="Q1584" s="39"/>
      <c r="R1584" s="39"/>
      <c r="S1584" s="37">
        <f t="shared" si="324"/>
        <v>0</v>
      </c>
      <c r="T1584" s="37">
        <f t="shared" si="325"/>
        <v>285733</v>
      </c>
      <c r="U1584" s="10"/>
      <c r="V1584" s="52"/>
      <c r="W1584" s="52"/>
      <c r="X1584" s="10"/>
      <c r="Y1584" s="10"/>
      <c r="Z1584" s="10"/>
      <c r="AA1584" s="10"/>
      <c r="AB1584" s="10"/>
      <c r="AC1584" s="10"/>
      <c r="AD1584" s="10"/>
      <c r="AE1584" s="10"/>
    </row>
    <row r="1585" spans="1:31" ht="14.25" customHeight="1">
      <c r="A1585" s="277" t="s">
        <v>7660</v>
      </c>
      <c r="B1585" s="9" t="s">
        <v>21</v>
      </c>
      <c r="C1585" s="9"/>
      <c r="D1585" s="9"/>
      <c r="E1585" s="90"/>
      <c r="F1585" s="9"/>
      <c r="G1585" s="10"/>
      <c r="H1585" s="9"/>
      <c r="I1585" s="11"/>
      <c r="J1585" s="12"/>
      <c r="K1585" s="12"/>
      <c r="L1585" s="52"/>
      <c r="M1585" s="10"/>
      <c r="N1585" s="114">
        <f ca="1">$J$3-J1585</f>
        <v>46240.46377638889</v>
      </c>
      <c r="O1585" s="11"/>
      <c r="P1585" s="39"/>
      <c r="Q1585" s="39"/>
      <c r="R1585" s="39"/>
      <c r="S1585" s="37">
        <f t="shared" si="321"/>
        <v>0</v>
      </c>
      <c r="T1585" s="37">
        <f t="shared" si="322"/>
        <v>0</v>
      </c>
      <c r="U1585" s="10"/>
      <c r="V1585" s="10"/>
      <c r="W1585" s="10"/>
      <c r="X1585" s="10"/>
      <c r="Y1585" s="10"/>
      <c r="Z1585" s="10"/>
      <c r="AA1585" s="10"/>
      <c r="AB1585" s="10"/>
      <c r="AC1585" s="10"/>
      <c r="AD1585" s="10"/>
      <c r="AE1585" s="10"/>
    </row>
    <row r="1586" spans="1:31" ht="14.25" customHeight="1">
      <c r="A1586" s="277" t="s">
        <v>7661</v>
      </c>
      <c r="B1586" s="9" t="s">
        <v>21</v>
      </c>
      <c r="C1586" s="9"/>
      <c r="D1586" s="9"/>
      <c r="E1586" s="90"/>
      <c r="F1586" s="9"/>
      <c r="G1586" s="10"/>
      <c r="H1586" s="9"/>
      <c r="I1586" s="11"/>
      <c r="J1586" s="12"/>
      <c r="K1586" s="12"/>
      <c r="L1586" s="52"/>
      <c r="M1586" s="10"/>
      <c r="N1586" s="9"/>
      <c r="O1586" s="11"/>
      <c r="P1586" s="39"/>
      <c r="Q1586" s="39"/>
      <c r="R1586" s="39"/>
      <c r="S1586" s="37"/>
      <c r="T1586" s="37"/>
      <c r="U1586" s="10"/>
      <c r="V1586" s="10"/>
      <c r="W1586" s="10"/>
      <c r="X1586" s="10"/>
      <c r="Y1586" s="10"/>
      <c r="Z1586" s="10"/>
      <c r="AA1586" s="10"/>
      <c r="AB1586" s="10"/>
      <c r="AC1586" s="10"/>
      <c r="AD1586" s="10"/>
      <c r="AE1586" s="10"/>
    </row>
    <row r="1587" spans="1:31">
      <c r="A1587" s="277" t="s">
        <v>7662</v>
      </c>
      <c r="B1587" s="9" t="s">
        <v>21</v>
      </c>
      <c r="C1587" s="9"/>
      <c r="D1587" s="9"/>
      <c r="E1587" s="90"/>
      <c r="F1587" s="9"/>
      <c r="G1587" s="94" t="s">
        <v>24</v>
      </c>
      <c r="H1587" s="95" t="s">
        <v>811</v>
      </c>
      <c r="I1587" s="104"/>
      <c r="J1587" s="105"/>
      <c r="K1587" s="105"/>
      <c r="L1587" s="106">
        <f>SUM(L1588:L1636)</f>
        <v>58997027</v>
      </c>
      <c r="M1587" s="107"/>
      <c r="N1587" s="108" t="s">
        <v>26</v>
      </c>
      <c r="O1587" s="108"/>
      <c r="P1587" s="108"/>
      <c r="Q1587" s="108"/>
      <c r="R1587" s="108"/>
      <c r="S1587" s="106">
        <f>SUM(S1588:S1636)</f>
        <v>57473863</v>
      </c>
      <c r="T1587" s="106">
        <f>SUM(T1588:T1636)</f>
        <v>1523164</v>
      </c>
      <c r="U1587" s="10"/>
      <c r="V1587" s="52">
        <f>L1587-S1587</f>
        <v>1523164</v>
      </c>
      <c r="W1587" s="52">
        <f>T1587-V1587</f>
        <v>0</v>
      </c>
      <c r="X1587" s="10"/>
      <c r="Y1587" s="10"/>
      <c r="Z1587" s="10"/>
      <c r="AA1587" s="10"/>
      <c r="AB1587" s="52"/>
      <c r="AC1587" s="10"/>
      <c r="AD1587" s="10"/>
      <c r="AE1587" s="10"/>
    </row>
    <row r="1588" spans="1:31" hidden="1">
      <c r="A1588" s="277" t="s">
        <v>7663</v>
      </c>
      <c r="B1588" s="9" t="s">
        <v>21</v>
      </c>
      <c r="C1588" s="9">
        <v>2025</v>
      </c>
      <c r="D1588" s="9" t="s">
        <v>27</v>
      </c>
      <c r="E1588" s="90" t="s">
        <v>23</v>
      </c>
      <c r="F1588" s="9" t="s">
        <v>7</v>
      </c>
      <c r="G1588" s="10"/>
      <c r="H1588" s="96">
        <v>250118</v>
      </c>
      <c r="I1588" s="109" t="s">
        <v>812</v>
      </c>
      <c r="J1588" s="115">
        <v>45691</v>
      </c>
      <c r="K1588" s="119">
        <v>45701</v>
      </c>
      <c r="L1588" s="116">
        <v>699300</v>
      </c>
      <c r="M1588" s="116" t="s">
        <v>813</v>
      </c>
      <c r="N1588" s="34" t="s">
        <v>29</v>
      </c>
      <c r="O1588" s="27">
        <f>SUM(L1588:L1592)</f>
        <v>13494782</v>
      </c>
      <c r="P1588" s="113">
        <v>45757</v>
      </c>
      <c r="Q1588" s="113">
        <v>45757</v>
      </c>
      <c r="R1588" s="113">
        <v>45757</v>
      </c>
      <c r="S1588" s="37">
        <f t="shared" ref="S1588:S1602" si="326">IF(R1588="",0,L1588)</f>
        <v>699300</v>
      </c>
      <c r="T1588" s="37">
        <f t="shared" ref="T1588:T1602" si="327">L1588-S1588</f>
        <v>0</v>
      </c>
      <c r="U1588" s="10"/>
      <c r="V1588" s="10"/>
      <c r="W1588" s="10"/>
      <c r="X1588" s="10"/>
      <c r="Y1588" s="10"/>
      <c r="Z1588" s="10"/>
      <c r="AA1588" s="10"/>
      <c r="AB1588" s="10"/>
      <c r="AC1588" s="10"/>
      <c r="AD1588" s="10"/>
      <c r="AE1588" s="10"/>
    </row>
    <row r="1589" spans="1:31" hidden="1">
      <c r="A1589" s="277" t="s">
        <v>7664</v>
      </c>
      <c r="B1589" s="9" t="s">
        <v>21</v>
      </c>
      <c r="C1589" s="9">
        <v>2025</v>
      </c>
      <c r="D1589" s="9" t="s">
        <v>27</v>
      </c>
      <c r="E1589" s="90" t="s">
        <v>23</v>
      </c>
      <c r="F1589" s="9" t="s">
        <v>7</v>
      </c>
      <c r="G1589" s="10"/>
      <c r="H1589" s="96">
        <v>250135</v>
      </c>
      <c r="I1589" s="109" t="s">
        <v>812</v>
      </c>
      <c r="J1589" s="115">
        <v>45694</v>
      </c>
      <c r="K1589" s="119">
        <v>45701</v>
      </c>
      <c r="L1589" s="116">
        <v>1174550</v>
      </c>
      <c r="M1589" s="116" t="s">
        <v>814</v>
      </c>
      <c r="N1589" s="34" t="s">
        <v>29</v>
      </c>
      <c r="O1589" s="10"/>
      <c r="P1589" s="113">
        <v>45757</v>
      </c>
      <c r="Q1589" s="113">
        <v>45757</v>
      </c>
      <c r="R1589" s="113">
        <v>45757</v>
      </c>
      <c r="S1589" s="37">
        <f t="shared" si="326"/>
        <v>1174550</v>
      </c>
      <c r="T1589" s="37">
        <f t="shared" si="327"/>
        <v>0</v>
      </c>
      <c r="U1589" s="10"/>
      <c r="V1589" s="10"/>
      <c r="W1589" s="10"/>
      <c r="X1589" s="10"/>
      <c r="Y1589" s="10"/>
      <c r="Z1589" s="10"/>
      <c r="AA1589" s="10"/>
      <c r="AB1589" s="10"/>
      <c r="AC1589" s="10"/>
      <c r="AD1589" s="10"/>
      <c r="AE1589" s="10"/>
    </row>
    <row r="1590" spans="1:31" hidden="1">
      <c r="A1590" s="277" t="s">
        <v>7665</v>
      </c>
      <c r="B1590" s="9" t="s">
        <v>21</v>
      </c>
      <c r="C1590" s="9">
        <v>2025</v>
      </c>
      <c r="D1590" s="9" t="s">
        <v>27</v>
      </c>
      <c r="E1590" s="90" t="s">
        <v>23</v>
      </c>
      <c r="F1590" s="9" t="s">
        <v>7</v>
      </c>
      <c r="G1590" s="10"/>
      <c r="H1590" s="96">
        <v>250136</v>
      </c>
      <c r="I1590" s="109" t="s">
        <v>812</v>
      </c>
      <c r="J1590" s="115">
        <v>45692</v>
      </c>
      <c r="K1590" s="119">
        <v>45706</v>
      </c>
      <c r="L1590" s="116">
        <v>5106000</v>
      </c>
      <c r="M1590" s="116" t="s">
        <v>815</v>
      </c>
      <c r="N1590" s="34" t="s">
        <v>29</v>
      </c>
      <c r="O1590" s="10"/>
      <c r="P1590" s="113">
        <v>45757</v>
      </c>
      <c r="Q1590" s="113">
        <v>45757</v>
      </c>
      <c r="R1590" s="113">
        <v>45757</v>
      </c>
      <c r="S1590" s="37">
        <f t="shared" si="326"/>
        <v>5106000</v>
      </c>
      <c r="T1590" s="37">
        <f t="shared" si="327"/>
        <v>0</v>
      </c>
      <c r="U1590" s="10"/>
      <c r="V1590" s="10"/>
      <c r="W1590" s="10"/>
      <c r="X1590" s="10"/>
      <c r="Y1590" s="10"/>
      <c r="Z1590" s="10"/>
      <c r="AA1590" s="10"/>
      <c r="AB1590" s="10"/>
      <c r="AC1590" s="10"/>
      <c r="AD1590" s="10"/>
      <c r="AE1590" s="10"/>
    </row>
    <row r="1591" spans="1:31" hidden="1">
      <c r="A1591" s="277" t="s">
        <v>7666</v>
      </c>
      <c r="B1591" s="9" t="s">
        <v>21</v>
      </c>
      <c r="C1591" s="9">
        <v>2025</v>
      </c>
      <c r="D1591" s="9" t="s">
        <v>27</v>
      </c>
      <c r="E1591" s="90" t="s">
        <v>23</v>
      </c>
      <c r="F1591" s="9" t="s">
        <v>7</v>
      </c>
      <c r="G1591" s="10"/>
      <c r="H1591" s="96">
        <v>250117</v>
      </c>
      <c r="I1591" s="109" t="s">
        <v>812</v>
      </c>
      <c r="J1591" s="115">
        <v>45692</v>
      </c>
      <c r="K1591" s="119">
        <v>45706</v>
      </c>
      <c r="L1591" s="116">
        <v>6293700</v>
      </c>
      <c r="M1591" s="116" t="s">
        <v>816</v>
      </c>
      <c r="N1591" s="34" t="s">
        <v>29</v>
      </c>
      <c r="O1591" s="10"/>
      <c r="P1591" s="113">
        <v>45757</v>
      </c>
      <c r="Q1591" s="113">
        <v>45757</v>
      </c>
      <c r="R1591" s="113">
        <v>45757</v>
      </c>
      <c r="S1591" s="37">
        <f t="shared" si="326"/>
        <v>6293700</v>
      </c>
      <c r="T1591" s="37">
        <f t="shared" si="327"/>
        <v>0</v>
      </c>
      <c r="U1591" s="10"/>
      <c r="V1591" s="10"/>
      <c r="W1591" s="10"/>
      <c r="X1591" s="10"/>
      <c r="Y1591" s="10"/>
      <c r="Z1591" s="10"/>
      <c r="AA1591" s="10"/>
      <c r="AB1591" s="10"/>
      <c r="AC1591" s="10"/>
      <c r="AD1591" s="10"/>
      <c r="AE1591" s="10"/>
    </row>
    <row r="1592" spans="1:31" hidden="1">
      <c r="A1592" s="277" t="s">
        <v>7667</v>
      </c>
      <c r="B1592" s="9" t="s">
        <v>21</v>
      </c>
      <c r="C1592" s="9">
        <v>2025</v>
      </c>
      <c r="D1592" s="9" t="s">
        <v>27</v>
      </c>
      <c r="E1592" s="90" t="s">
        <v>23</v>
      </c>
      <c r="F1592" s="9" t="s">
        <v>7</v>
      </c>
      <c r="G1592" s="10"/>
      <c r="H1592" s="96">
        <v>250219</v>
      </c>
      <c r="I1592" s="109" t="s">
        <v>812</v>
      </c>
      <c r="J1592" s="115">
        <v>45706</v>
      </c>
      <c r="K1592" s="119">
        <v>45713</v>
      </c>
      <c r="L1592" s="116">
        <v>221232</v>
      </c>
      <c r="M1592" s="116" t="s">
        <v>817</v>
      </c>
      <c r="N1592" s="34" t="s">
        <v>29</v>
      </c>
      <c r="O1592" s="10"/>
      <c r="P1592" s="113">
        <v>45757</v>
      </c>
      <c r="Q1592" s="113">
        <v>45757</v>
      </c>
      <c r="R1592" s="113">
        <v>45757</v>
      </c>
      <c r="S1592" s="37">
        <f t="shared" si="326"/>
        <v>221232</v>
      </c>
      <c r="T1592" s="37">
        <f t="shared" si="327"/>
        <v>0</v>
      </c>
      <c r="U1592" s="10"/>
      <c r="V1592" s="10"/>
      <c r="W1592" s="10"/>
      <c r="X1592" s="10"/>
      <c r="Y1592" s="10"/>
      <c r="Z1592" s="10"/>
      <c r="AA1592" s="10"/>
      <c r="AB1592" s="10"/>
      <c r="AC1592" s="10"/>
      <c r="AD1592" s="10"/>
      <c r="AE1592" s="10"/>
    </row>
    <row r="1593" spans="1:31" ht="14.25" hidden="1" customHeight="1">
      <c r="A1593" s="277" t="s">
        <v>7668</v>
      </c>
      <c r="B1593" s="9" t="s">
        <v>21</v>
      </c>
      <c r="C1593" s="9">
        <v>2025</v>
      </c>
      <c r="D1593" s="9" t="s">
        <v>27</v>
      </c>
      <c r="E1593" s="90" t="s">
        <v>23</v>
      </c>
      <c r="F1593" s="9" t="s">
        <v>7</v>
      </c>
      <c r="G1593" s="10"/>
      <c r="H1593" s="96">
        <v>250354</v>
      </c>
      <c r="I1593" s="109" t="s">
        <v>812</v>
      </c>
      <c r="J1593" s="115">
        <v>45735</v>
      </c>
      <c r="K1593" s="119">
        <v>45743</v>
      </c>
      <c r="L1593" s="116">
        <v>936659</v>
      </c>
      <c r="M1593" s="116" t="s">
        <v>818</v>
      </c>
      <c r="N1593" s="34" t="s">
        <v>29</v>
      </c>
      <c r="O1593" s="27">
        <f>SUM(L1593:L1597)</f>
        <v>6128167</v>
      </c>
      <c r="P1593" s="113">
        <v>45815</v>
      </c>
      <c r="Q1593" s="113">
        <v>45815</v>
      </c>
      <c r="R1593" s="113">
        <v>45815</v>
      </c>
      <c r="S1593" s="37">
        <f t="shared" si="326"/>
        <v>936659</v>
      </c>
      <c r="T1593" s="37">
        <f t="shared" si="327"/>
        <v>0</v>
      </c>
      <c r="U1593" s="10"/>
      <c r="V1593" s="10"/>
      <c r="W1593" s="10"/>
      <c r="X1593" s="10"/>
      <c r="Y1593" s="10"/>
      <c r="Z1593" s="10"/>
      <c r="AA1593" s="10"/>
      <c r="AB1593" s="10"/>
      <c r="AC1593" s="10"/>
      <c r="AD1593" s="10"/>
      <c r="AE1593" s="10"/>
    </row>
    <row r="1594" spans="1:31" ht="14.25" hidden="1" customHeight="1">
      <c r="A1594" s="277" t="s">
        <v>7669</v>
      </c>
      <c r="B1594" s="9" t="s">
        <v>21</v>
      </c>
      <c r="C1594" s="9">
        <v>2025</v>
      </c>
      <c r="D1594" s="9" t="s">
        <v>27</v>
      </c>
      <c r="E1594" s="90" t="s">
        <v>23</v>
      </c>
      <c r="F1594" s="9" t="s">
        <v>7</v>
      </c>
      <c r="G1594" s="10"/>
      <c r="H1594" s="96">
        <v>250378</v>
      </c>
      <c r="I1594" s="109" t="s">
        <v>812</v>
      </c>
      <c r="J1594" s="115">
        <v>45742</v>
      </c>
      <c r="K1594" s="119">
        <v>45762</v>
      </c>
      <c r="L1594" s="116">
        <v>3829500</v>
      </c>
      <c r="M1594" s="116" t="s">
        <v>819</v>
      </c>
      <c r="N1594" s="34" t="s">
        <v>29</v>
      </c>
      <c r="O1594" s="10"/>
      <c r="P1594" s="113">
        <v>45815</v>
      </c>
      <c r="Q1594" s="113">
        <v>45815</v>
      </c>
      <c r="R1594" s="113">
        <v>45815</v>
      </c>
      <c r="S1594" s="37">
        <f t="shared" si="326"/>
        <v>3829500</v>
      </c>
      <c r="T1594" s="37">
        <f t="shared" si="327"/>
        <v>0</v>
      </c>
      <c r="U1594" s="10"/>
      <c r="V1594" s="10"/>
      <c r="W1594" s="10"/>
      <c r="X1594" s="10"/>
      <c r="Y1594" s="10"/>
      <c r="Z1594" s="10"/>
      <c r="AA1594" s="10"/>
      <c r="AB1594" s="10"/>
      <c r="AC1594" s="10"/>
      <c r="AD1594" s="10"/>
      <c r="AE1594" s="10"/>
    </row>
    <row r="1595" spans="1:31" ht="14.25" hidden="1" customHeight="1">
      <c r="A1595" s="277" t="s">
        <v>7670</v>
      </c>
      <c r="B1595" s="9" t="s">
        <v>21</v>
      </c>
      <c r="C1595" s="9">
        <v>2025</v>
      </c>
      <c r="D1595" s="9" t="s">
        <v>27</v>
      </c>
      <c r="E1595" s="90" t="s">
        <v>23</v>
      </c>
      <c r="F1595" s="9" t="s">
        <v>7</v>
      </c>
      <c r="G1595" s="10"/>
      <c r="H1595" s="96">
        <v>250421</v>
      </c>
      <c r="I1595" s="109" t="s">
        <v>812</v>
      </c>
      <c r="J1595" s="115">
        <v>45758</v>
      </c>
      <c r="K1595" s="119">
        <v>45769</v>
      </c>
      <c r="L1595" s="116">
        <v>449999</v>
      </c>
      <c r="M1595" s="116" t="s">
        <v>820</v>
      </c>
      <c r="N1595" s="34" t="s">
        <v>29</v>
      </c>
      <c r="O1595" s="10"/>
      <c r="P1595" s="113">
        <v>45815</v>
      </c>
      <c r="Q1595" s="113">
        <v>45815</v>
      </c>
      <c r="R1595" s="113">
        <v>45815</v>
      </c>
      <c r="S1595" s="37">
        <f t="shared" si="326"/>
        <v>449999</v>
      </c>
      <c r="T1595" s="37">
        <f t="shared" si="327"/>
        <v>0</v>
      </c>
      <c r="U1595" s="10"/>
      <c r="V1595" s="10"/>
      <c r="W1595" s="10"/>
      <c r="X1595" s="10"/>
      <c r="Y1595" s="10"/>
      <c r="Z1595" s="10"/>
      <c r="AA1595" s="10"/>
      <c r="AB1595" s="10"/>
      <c r="AC1595" s="10"/>
      <c r="AD1595" s="10"/>
      <c r="AE1595" s="10"/>
    </row>
    <row r="1596" spans="1:31" ht="14.25" hidden="1" customHeight="1">
      <c r="A1596" s="277" t="s">
        <v>7671</v>
      </c>
      <c r="B1596" s="9" t="s">
        <v>21</v>
      </c>
      <c r="C1596" s="9">
        <v>2025</v>
      </c>
      <c r="D1596" s="9" t="s">
        <v>27</v>
      </c>
      <c r="E1596" s="90" t="s">
        <v>23</v>
      </c>
      <c r="F1596" s="9" t="s">
        <v>7</v>
      </c>
      <c r="G1596" s="10"/>
      <c r="H1596" s="96"/>
      <c r="I1596" s="109" t="s">
        <v>812</v>
      </c>
      <c r="J1596" s="115">
        <v>45758</v>
      </c>
      <c r="K1596" s="119">
        <v>45769</v>
      </c>
      <c r="L1596" s="116">
        <v>307289</v>
      </c>
      <c r="M1596" s="116" t="s">
        <v>821</v>
      </c>
      <c r="N1596" s="34" t="s">
        <v>29</v>
      </c>
      <c r="O1596" s="10"/>
      <c r="P1596" s="113">
        <v>45815</v>
      </c>
      <c r="Q1596" s="113">
        <v>45815</v>
      </c>
      <c r="R1596" s="113">
        <v>45815</v>
      </c>
      <c r="S1596" s="37">
        <f t="shared" si="326"/>
        <v>307289</v>
      </c>
      <c r="T1596" s="37">
        <f t="shared" si="327"/>
        <v>0</v>
      </c>
      <c r="U1596" s="10"/>
      <c r="V1596" s="10"/>
      <c r="W1596" s="10"/>
      <c r="X1596" s="10"/>
      <c r="Y1596" s="10"/>
      <c r="Z1596" s="10"/>
      <c r="AA1596" s="10"/>
      <c r="AB1596" s="10"/>
      <c r="AC1596" s="10"/>
      <c r="AD1596" s="10"/>
      <c r="AE1596" s="10"/>
    </row>
    <row r="1597" spans="1:31" ht="14.25" hidden="1" customHeight="1">
      <c r="A1597" s="277" t="s">
        <v>7672</v>
      </c>
      <c r="B1597" s="9" t="s">
        <v>21</v>
      </c>
      <c r="C1597" s="9">
        <v>2025</v>
      </c>
      <c r="D1597" s="9" t="s">
        <v>27</v>
      </c>
      <c r="E1597" s="90" t="s">
        <v>23</v>
      </c>
      <c r="F1597" s="9" t="s">
        <v>7</v>
      </c>
      <c r="G1597" s="10"/>
      <c r="H1597" s="96">
        <v>250480</v>
      </c>
      <c r="I1597" s="109" t="s">
        <v>812</v>
      </c>
      <c r="J1597" s="115">
        <v>45775</v>
      </c>
      <c r="K1597" s="119">
        <v>45785</v>
      </c>
      <c r="L1597" s="116">
        <v>604720</v>
      </c>
      <c r="M1597" s="116" t="s">
        <v>822</v>
      </c>
      <c r="N1597" s="34" t="s">
        <v>29</v>
      </c>
      <c r="O1597" s="10"/>
      <c r="P1597" s="113">
        <v>45815</v>
      </c>
      <c r="Q1597" s="113">
        <v>45815</v>
      </c>
      <c r="R1597" s="113">
        <v>45815</v>
      </c>
      <c r="S1597" s="37">
        <f t="shared" si="326"/>
        <v>604720</v>
      </c>
      <c r="T1597" s="37">
        <f t="shared" si="327"/>
        <v>0</v>
      </c>
      <c r="U1597" s="10"/>
      <c r="V1597" s="10"/>
      <c r="W1597" s="10"/>
      <c r="X1597" s="10"/>
      <c r="Y1597" s="10"/>
      <c r="Z1597" s="10"/>
      <c r="AA1597" s="10"/>
      <c r="AB1597" s="10"/>
      <c r="AC1597" s="10"/>
      <c r="AD1597" s="10"/>
      <c r="AE1597" s="10"/>
    </row>
    <row r="1598" spans="1:31" ht="14.25" hidden="1" customHeight="1">
      <c r="A1598" s="277" t="s">
        <v>7673</v>
      </c>
      <c r="B1598" s="9" t="s">
        <v>21</v>
      </c>
      <c r="C1598" s="9">
        <v>2025</v>
      </c>
      <c r="D1598" s="9" t="s">
        <v>27</v>
      </c>
      <c r="E1598" s="90" t="s">
        <v>23</v>
      </c>
      <c r="F1598" s="9" t="s">
        <v>7</v>
      </c>
      <c r="G1598" s="10"/>
      <c r="H1598" s="96">
        <v>250595</v>
      </c>
      <c r="I1598" s="109" t="s">
        <v>812</v>
      </c>
      <c r="J1598" s="115">
        <v>45818</v>
      </c>
      <c r="K1598" s="119">
        <v>45825</v>
      </c>
      <c r="L1598" s="116">
        <v>631012</v>
      </c>
      <c r="M1598" s="116" t="s">
        <v>823</v>
      </c>
      <c r="N1598" s="34" t="s">
        <v>29</v>
      </c>
      <c r="O1598" s="148">
        <f>SUM(L1598:L1601)</f>
        <v>3952917</v>
      </c>
      <c r="P1598" s="124">
        <v>45864</v>
      </c>
      <c r="Q1598" s="124">
        <v>45864</v>
      </c>
      <c r="R1598" s="124">
        <v>45864</v>
      </c>
      <c r="S1598" s="37">
        <f t="shared" si="326"/>
        <v>631012</v>
      </c>
      <c r="T1598" s="37">
        <f t="shared" si="327"/>
        <v>0</v>
      </c>
      <c r="U1598" s="10"/>
      <c r="V1598" s="10"/>
      <c r="W1598" s="10"/>
      <c r="X1598" s="10"/>
      <c r="Y1598" s="10"/>
      <c r="Z1598" s="10"/>
      <c r="AA1598" s="10"/>
      <c r="AB1598" s="10"/>
      <c r="AC1598" s="10"/>
      <c r="AD1598" s="10"/>
      <c r="AE1598" s="10"/>
    </row>
    <row r="1599" spans="1:31" ht="14.25" hidden="1" customHeight="1">
      <c r="A1599" s="277" t="s">
        <v>7674</v>
      </c>
      <c r="B1599" s="9" t="s">
        <v>21</v>
      </c>
      <c r="C1599" s="9">
        <v>2025</v>
      </c>
      <c r="D1599" s="9" t="s">
        <v>27</v>
      </c>
      <c r="E1599" s="90" t="s">
        <v>23</v>
      </c>
      <c r="F1599" s="9" t="s">
        <v>7</v>
      </c>
      <c r="G1599" s="10"/>
      <c r="H1599" s="96">
        <v>250596</v>
      </c>
      <c r="I1599" s="109" t="s">
        <v>812</v>
      </c>
      <c r="J1599" s="115">
        <v>45818</v>
      </c>
      <c r="K1599" s="119">
        <v>45825</v>
      </c>
      <c r="L1599" s="116">
        <v>1787100</v>
      </c>
      <c r="M1599" s="116" t="s">
        <v>824</v>
      </c>
      <c r="N1599" s="34" t="s">
        <v>29</v>
      </c>
      <c r="O1599" s="149"/>
      <c r="P1599" s="124">
        <v>45864</v>
      </c>
      <c r="Q1599" s="124">
        <v>45864</v>
      </c>
      <c r="R1599" s="124">
        <v>45864</v>
      </c>
      <c r="S1599" s="37">
        <f t="shared" si="326"/>
        <v>1787100</v>
      </c>
      <c r="T1599" s="37">
        <f t="shared" si="327"/>
        <v>0</v>
      </c>
      <c r="U1599" s="10"/>
      <c r="V1599" s="10"/>
      <c r="W1599" s="10"/>
      <c r="X1599" s="10"/>
      <c r="Y1599" s="10"/>
      <c r="Z1599" s="10"/>
      <c r="AA1599" s="10"/>
      <c r="AB1599" s="10"/>
      <c r="AC1599" s="10"/>
      <c r="AD1599" s="10"/>
      <c r="AE1599" s="10"/>
    </row>
    <row r="1600" spans="1:31" ht="14.25" hidden="1" customHeight="1">
      <c r="A1600" s="277" t="s">
        <v>7675</v>
      </c>
      <c r="B1600" s="9" t="s">
        <v>21</v>
      </c>
      <c r="C1600" s="9">
        <v>2025</v>
      </c>
      <c r="D1600" s="9" t="s">
        <v>27</v>
      </c>
      <c r="E1600" s="90" t="s">
        <v>23</v>
      </c>
      <c r="F1600" s="9" t="s">
        <v>7</v>
      </c>
      <c r="G1600" s="10"/>
      <c r="H1600" s="96">
        <v>250607</v>
      </c>
      <c r="I1600" s="109" t="s">
        <v>812</v>
      </c>
      <c r="J1600" s="115">
        <v>45825</v>
      </c>
      <c r="K1600" s="119">
        <v>45832</v>
      </c>
      <c r="L1600" s="116">
        <v>614579</v>
      </c>
      <c r="M1600" s="116" t="s">
        <v>825</v>
      </c>
      <c r="N1600" s="34" t="s">
        <v>29</v>
      </c>
      <c r="O1600" s="149"/>
      <c r="P1600" s="124">
        <v>45864</v>
      </c>
      <c r="Q1600" s="124">
        <v>45864</v>
      </c>
      <c r="R1600" s="124">
        <v>45864</v>
      </c>
      <c r="S1600" s="37">
        <f t="shared" si="326"/>
        <v>614579</v>
      </c>
      <c r="T1600" s="37">
        <f t="shared" si="327"/>
        <v>0</v>
      </c>
      <c r="U1600" s="10"/>
      <c r="V1600" s="10"/>
      <c r="W1600" s="10"/>
      <c r="X1600" s="10"/>
      <c r="Y1600" s="10"/>
      <c r="Z1600" s="10"/>
      <c r="AA1600" s="10"/>
      <c r="AB1600" s="10"/>
      <c r="AC1600" s="10"/>
      <c r="AD1600" s="10"/>
      <c r="AE1600" s="10"/>
    </row>
    <row r="1601" spans="1:31" hidden="1">
      <c r="A1601" s="277" t="s">
        <v>7676</v>
      </c>
      <c r="B1601" s="9" t="s">
        <v>21</v>
      </c>
      <c r="C1601" s="9">
        <v>2025</v>
      </c>
      <c r="D1601" s="9" t="s">
        <v>27</v>
      </c>
      <c r="E1601" s="90" t="s">
        <v>23</v>
      </c>
      <c r="F1601" s="9" t="s">
        <v>7</v>
      </c>
      <c r="G1601" s="10"/>
      <c r="H1601" s="96">
        <v>250609</v>
      </c>
      <c r="I1601" s="109" t="s">
        <v>812</v>
      </c>
      <c r="J1601" s="115">
        <v>45826</v>
      </c>
      <c r="K1601" s="119">
        <v>45839</v>
      </c>
      <c r="L1601" s="116">
        <v>920226</v>
      </c>
      <c r="M1601" s="116" t="s">
        <v>826</v>
      </c>
      <c r="N1601" s="34" t="s">
        <v>29</v>
      </c>
      <c r="O1601" s="149"/>
      <c r="P1601" s="124">
        <v>45864</v>
      </c>
      <c r="Q1601" s="124">
        <v>45864</v>
      </c>
      <c r="R1601" s="124">
        <v>45864</v>
      </c>
      <c r="S1601" s="37">
        <f t="shared" si="326"/>
        <v>920226</v>
      </c>
      <c r="T1601" s="37">
        <f t="shared" si="327"/>
        <v>0</v>
      </c>
      <c r="U1601" s="10"/>
      <c r="V1601" s="10"/>
      <c r="W1601" s="10"/>
      <c r="X1601" s="10"/>
      <c r="Y1601" s="10"/>
      <c r="Z1601" s="10"/>
      <c r="AA1601" s="10"/>
      <c r="AB1601" s="10"/>
      <c r="AC1601" s="10"/>
      <c r="AD1601" s="10"/>
      <c r="AE1601" s="10"/>
    </row>
    <row r="1602" spans="1:31" hidden="1">
      <c r="A1602" s="277" t="s">
        <v>7677</v>
      </c>
      <c r="B1602" s="9" t="s">
        <v>21</v>
      </c>
      <c r="C1602" s="9">
        <v>2025</v>
      </c>
      <c r="D1602" s="9" t="s">
        <v>27</v>
      </c>
      <c r="E1602" s="90" t="s">
        <v>23</v>
      </c>
      <c r="F1602" s="9" t="s">
        <v>7</v>
      </c>
      <c r="G1602" s="10"/>
      <c r="H1602" s="96">
        <v>250615</v>
      </c>
      <c r="I1602" s="109" t="s">
        <v>812</v>
      </c>
      <c r="J1602" s="115">
        <v>45832</v>
      </c>
      <c r="K1602" s="119">
        <v>45846</v>
      </c>
      <c r="L1602" s="116">
        <v>1694789</v>
      </c>
      <c r="M1602" s="116" t="s">
        <v>827</v>
      </c>
      <c r="N1602" s="34" t="s">
        <v>29</v>
      </c>
      <c r="O1602" s="148">
        <f>SUM(L1602:L1610)</f>
        <v>13863186</v>
      </c>
      <c r="P1602" s="124">
        <v>45902</v>
      </c>
      <c r="Q1602" s="124">
        <v>45902</v>
      </c>
      <c r="R1602" s="124">
        <v>45902</v>
      </c>
      <c r="S1602" s="37">
        <f t="shared" si="326"/>
        <v>1694789</v>
      </c>
      <c r="T1602" s="37">
        <f t="shared" si="327"/>
        <v>0</v>
      </c>
      <c r="U1602" s="10"/>
      <c r="V1602" s="10"/>
      <c r="W1602" s="10"/>
      <c r="X1602" s="10"/>
      <c r="Y1602" s="10"/>
      <c r="Z1602" s="10"/>
      <c r="AA1602" s="10"/>
      <c r="AB1602" s="10"/>
      <c r="AC1602" s="10"/>
      <c r="AD1602" s="10"/>
      <c r="AE1602" s="10"/>
    </row>
    <row r="1603" spans="1:31" hidden="1">
      <c r="A1603" s="277" t="s">
        <v>7678</v>
      </c>
      <c r="B1603" s="9" t="s">
        <v>21</v>
      </c>
      <c r="C1603" s="9">
        <v>2025</v>
      </c>
      <c r="D1603" s="9" t="s">
        <v>27</v>
      </c>
      <c r="E1603" s="90" t="s">
        <v>23</v>
      </c>
      <c r="F1603" s="9" t="s">
        <v>7</v>
      </c>
      <c r="G1603" s="10"/>
      <c r="H1603" s="96">
        <v>250660</v>
      </c>
      <c r="I1603" s="109" t="s">
        <v>812</v>
      </c>
      <c r="J1603" s="115">
        <v>45845</v>
      </c>
      <c r="K1603" s="119">
        <v>45848</v>
      </c>
      <c r="L1603" s="116">
        <v>631012</v>
      </c>
      <c r="M1603" s="116" t="s">
        <v>828</v>
      </c>
      <c r="N1603" s="34" t="s">
        <v>29</v>
      </c>
      <c r="O1603" s="149"/>
      <c r="P1603" s="124">
        <v>45902</v>
      </c>
      <c r="Q1603" s="124">
        <v>45902</v>
      </c>
      <c r="R1603" s="124">
        <v>45902</v>
      </c>
      <c r="S1603" s="37">
        <f t="shared" ref="S1603:S1617" si="328">IF(R1603="",0,L1603)</f>
        <v>631012</v>
      </c>
      <c r="T1603" s="37">
        <f t="shared" ref="T1603:T1617" si="329">L1603-S1603</f>
        <v>0</v>
      </c>
      <c r="U1603" s="10"/>
      <c r="V1603" s="10"/>
      <c r="W1603" s="10"/>
      <c r="X1603" s="10"/>
      <c r="Y1603" s="10"/>
      <c r="Z1603" s="10"/>
      <c r="AA1603" s="10"/>
      <c r="AB1603" s="10"/>
      <c r="AC1603" s="10"/>
      <c r="AD1603" s="10"/>
      <c r="AE1603" s="10"/>
    </row>
    <row r="1604" spans="1:31" hidden="1">
      <c r="A1604" s="277" t="s">
        <v>7679</v>
      </c>
      <c r="B1604" s="9" t="s">
        <v>21</v>
      </c>
      <c r="C1604" s="9">
        <v>2025</v>
      </c>
      <c r="D1604" s="9" t="s">
        <v>27</v>
      </c>
      <c r="E1604" s="90" t="s">
        <v>23</v>
      </c>
      <c r="F1604" s="9" t="s">
        <v>7</v>
      </c>
      <c r="G1604" s="10"/>
      <c r="H1604" s="96">
        <v>250659</v>
      </c>
      <c r="I1604" s="109" t="s">
        <v>812</v>
      </c>
      <c r="J1604" s="115">
        <v>45845</v>
      </c>
      <c r="K1604" s="119">
        <v>45848</v>
      </c>
      <c r="L1604" s="116">
        <v>738150</v>
      </c>
      <c r="M1604" s="116" t="s">
        <v>829</v>
      </c>
      <c r="N1604" s="34" t="s">
        <v>29</v>
      </c>
      <c r="O1604" s="149"/>
      <c r="P1604" s="124">
        <v>45902</v>
      </c>
      <c r="Q1604" s="124">
        <v>45902</v>
      </c>
      <c r="R1604" s="124">
        <v>45902</v>
      </c>
      <c r="S1604" s="37">
        <f t="shared" si="328"/>
        <v>738150</v>
      </c>
      <c r="T1604" s="37">
        <f t="shared" si="329"/>
        <v>0</v>
      </c>
      <c r="U1604" s="10"/>
      <c r="V1604" s="10"/>
      <c r="W1604" s="10"/>
      <c r="X1604" s="10"/>
      <c r="Y1604" s="10"/>
      <c r="Z1604" s="10"/>
      <c r="AA1604" s="10"/>
      <c r="AB1604" s="10"/>
      <c r="AC1604" s="10"/>
      <c r="AD1604" s="10"/>
      <c r="AE1604" s="10"/>
    </row>
    <row r="1605" spans="1:31" hidden="1">
      <c r="A1605" s="277" t="s">
        <v>7680</v>
      </c>
      <c r="B1605" s="9" t="s">
        <v>21</v>
      </c>
      <c r="C1605" s="9">
        <v>2025</v>
      </c>
      <c r="D1605" s="9" t="s">
        <v>27</v>
      </c>
      <c r="E1605" s="90" t="s">
        <v>23</v>
      </c>
      <c r="F1605" s="9" t="s">
        <v>7</v>
      </c>
      <c r="G1605" s="10"/>
      <c r="H1605" s="96">
        <v>250675</v>
      </c>
      <c r="I1605" s="109" t="s">
        <v>812</v>
      </c>
      <c r="J1605" s="115">
        <v>45849</v>
      </c>
      <c r="K1605" s="119">
        <v>45855</v>
      </c>
      <c r="L1605" s="116">
        <v>307289</v>
      </c>
      <c r="M1605" s="116" t="s">
        <v>830</v>
      </c>
      <c r="N1605" s="34" t="s">
        <v>29</v>
      </c>
      <c r="O1605" s="149"/>
      <c r="P1605" s="124">
        <v>45902</v>
      </c>
      <c r="Q1605" s="124">
        <v>45902</v>
      </c>
      <c r="R1605" s="124">
        <v>45902</v>
      </c>
      <c r="S1605" s="37">
        <f t="shared" si="328"/>
        <v>307289</v>
      </c>
      <c r="T1605" s="37">
        <f t="shared" si="329"/>
        <v>0</v>
      </c>
      <c r="U1605" s="10"/>
      <c r="V1605" s="10"/>
      <c r="W1605" s="10"/>
      <c r="X1605" s="10"/>
      <c r="Y1605" s="10"/>
      <c r="Z1605" s="10"/>
      <c r="AA1605" s="10"/>
      <c r="AB1605" s="10"/>
      <c r="AC1605" s="10"/>
      <c r="AD1605" s="10"/>
      <c r="AE1605" s="10"/>
    </row>
    <row r="1606" spans="1:31" hidden="1">
      <c r="A1606" s="277" t="s">
        <v>7681</v>
      </c>
      <c r="B1606" s="9" t="s">
        <v>21</v>
      </c>
      <c r="C1606" s="9">
        <v>2025</v>
      </c>
      <c r="D1606" s="9" t="s">
        <v>27</v>
      </c>
      <c r="E1606" s="90" t="s">
        <v>23</v>
      </c>
      <c r="F1606" s="9" t="s">
        <v>7</v>
      </c>
      <c r="G1606" s="10"/>
      <c r="H1606" s="96">
        <v>250685</v>
      </c>
      <c r="I1606" s="109" t="s">
        <v>812</v>
      </c>
      <c r="J1606" s="115">
        <v>45852</v>
      </c>
      <c r="K1606" s="119">
        <v>45869</v>
      </c>
      <c r="L1606" s="116">
        <v>155400</v>
      </c>
      <c r="M1606" s="116" t="s">
        <v>831</v>
      </c>
      <c r="N1606" s="34" t="s">
        <v>29</v>
      </c>
      <c r="O1606" s="149"/>
      <c r="P1606" s="124">
        <v>45902</v>
      </c>
      <c r="Q1606" s="124">
        <v>45902</v>
      </c>
      <c r="R1606" s="124">
        <v>45902</v>
      </c>
      <c r="S1606" s="37">
        <f t="shared" si="328"/>
        <v>155400</v>
      </c>
      <c r="T1606" s="37">
        <f t="shared" si="329"/>
        <v>0</v>
      </c>
      <c r="U1606" s="10"/>
      <c r="V1606" s="10"/>
      <c r="W1606" s="10"/>
      <c r="X1606" s="10"/>
      <c r="Y1606" s="10"/>
      <c r="Z1606" s="10"/>
      <c r="AA1606" s="10"/>
      <c r="AB1606" s="10"/>
      <c r="AC1606" s="10"/>
      <c r="AD1606" s="10"/>
      <c r="AE1606" s="10"/>
    </row>
    <row r="1607" spans="1:31" hidden="1">
      <c r="A1607" s="277" t="s">
        <v>7682</v>
      </c>
      <c r="B1607" s="9" t="s">
        <v>21</v>
      </c>
      <c r="C1607" s="9">
        <v>2025</v>
      </c>
      <c r="D1607" s="9" t="s">
        <v>27</v>
      </c>
      <c r="E1607" s="90" t="s">
        <v>23</v>
      </c>
      <c r="F1607" s="9" t="s">
        <v>7</v>
      </c>
      <c r="G1607" s="10"/>
      <c r="H1607" s="96">
        <v>250751</v>
      </c>
      <c r="I1607" s="109" t="s">
        <v>812</v>
      </c>
      <c r="J1607" s="115">
        <v>45860</v>
      </c>
      <c r="K1607" s="119">
        <v>45874</v>
      </c>
      <c r="L1607" s="116">
        <v>5594400</v>
      </c>
      <c r="M1607" s="116" t="s">
        <v>832</v>
      </c>
      <c r="N1607" s="34" t="s">
        <v>29</v>
      </c>
      <c r="O1607" s="149"/>
      <c r="P1607" s="124">
        <v>45902</v>
      </c>
      <c r="Q1607" s="124">
        <v>45902</v>
      </c>
      <c r="R1607" s="124">
        <v>45902</v>
      </c>
      <c r="S1607" s="37">
        <f t="shared" si="328"/>
        <v>5594400</v>
      </c>
      <c r="T1607" s="37">
        <f t="shared" si="329"/>
        <v>0</v>
      </c>
      <c r="U1607" s="10"/>
      <c r="V1607" s="10"/>
      <c r="W1607" s="10"/>
      <c r="X1607" s="10"/>
      <c r="Y1607" s="10"/>
      <c r="Z1607" s="10"/>
      <c r="AA1607" s="10"/>
      <c r="AB1607" s="10"/>
      <c r="AC1607" s="10"/>
      <c r="AD1607" s="10"/>
      <c r="AE1607" s="10"/>
    </row>
    <row r="1608" spans="1:31" hidden="1">
      <c r="A1608" s="277" t="s">
        <v>7683</v>
      </c>
      <c r="B1608" s="9" t="s">
        <v>21</v>
      </c>
      <c r="C1608" s="9">
        <v>2025</v>
      </c>
      <c r="D1608" s="9" t="s">
        <v>27</v>
      </c>
      <c r="E1608" s="90" t="s">
        <v>23</v>
      </c>
      <c r="F1608" s="9" t="s">
        <v>7</v>
      </c>
      <c r="G1608" s="10"/>
      <c r="H1608" s="96">
        <v>250750</v>
      </c>
      <c r="I1608" s="109" t="s">
        <v>812</v>
      </c>
      <c r="J1608" s="115">
        <v>45860</v>
      </c>
      <c r="K1608" s="119">
        <v>45874</v>
      </c>
      <c r="L1608" s="116">
        <v>4195800</v>
      </c>
      <c r="M1608" s="116" t="s">
        <v>833</v>
      </c>
      <c r="N1608" s="34" t="s">
        <v>29</v>
      </c>
      <c r="O1608" s="149"/>
      <c r="P1608" s="124">
        <v>45902</v>
      </c>
      <c r="Q1608" s="124">
        <v>45902</v>
      </c>
      <c r="R1608" s="124">
        <v>45902</v>
      </c>
      <c r="S1608" s="37">
        <f t="shared" si="328"/>
        <v>4195800</v>
      </c>
      <c r="T1608" s="37">
        <f t="shared" si="329"/>
        <v>0</v>
      </c>
      <c r="U1608" s="10"/>
      <c r="V1608" s="10"/>
      <c r="W1608" s="10"/>
      <c r="X1608" s="10"/>
      <c r="Y1608" s="10"/>
      <c r="Z1608" s="10"/>
      <c r="AA1608" s="10"/>
      <c r="AB1608" s="10"/>
      <c r="AC1608" s="10"/>
      <c r="AD1608" s="10"/>
      <c r="AE1608" s="10"/>
    </row>
    <row r="1609" spans="1:31" hidden="1">
      <c r="A1609" s="277" t="s">
        <v>7684</v>
      </c>
      <c r="B1609" s="9" t="s">
        <v>21</v>
      </c>
      <c r="C1609" s="9">
        <v>2025</v>
      </c>
      <c r="D1609" s="9" t="s">
        <v>27</v>
      </c>
      <c r="E1609" s="90" t="s">
        <v>23</v>
      </c>
      <c r="F1609" s="9" t="s">
        <v>7</v>
      </c>
      <c r="G1609" s="10"/>
      <c r="H1609" s="96">
        <v>250785</v>
      </c>
      <c r="I1609" s="109" t="s">
        <v>812</v>
      </c>
      <c r="J1609" s="115">
        <v>45875</v>
      </c>
      <c r="K1609" s="119">
        <v>45881</v>
      </c>
      <c r="L1609" s="116">
        <v>247274</v>
      </c>
      <c r="M1609" s="116" t="s">
        <v>834</v>
      </c>
      <c r="N1609" s="34" t="s">
        <v>29</v>
      </c>
      <c r="O1609" s="149"/>
      <c r="P1609" s="124">
        <v>45902</v>
      </c>
      <c r="Q1609" s="124">
        <v>45902</v>
      </c>
      <c r="R1609" s="124">
        <v>45902</v>
      </c>
      <c r="S1609" s="37">
        <f t="shared" si="328"/>
        <v>247274</v>
      </c>
      <c r="T1609" s="37">
        <f t="shared" si="329"/>
        <v>0</v>
      </c>
      <c r="U1609" s="10"/>
      <c r="V1609" s="10"/>
      <c r="W1609" s="10"/>
      <c r="X1609" s="10"/>
      <c r="Y1609" s="10"/>
      <c r="Z1609" s="10"/>
      <c r="AA1609" s="10"/>
      <c r="AB1609" s="10"/>
      <c r="AC1609" s="10"/>
      <c r="AD1609" s="10"/>
      <c r="AE1609" s="10"/>
    </row>
    <row r="1610" spans="1:31" ht="14.25" hidden="1" customHeight="1">
      <c r="A1610" s="277" t="s">
        <v>7685</v>
      </c>
      <c r="B1610" s="9" t="s">
        <v>21</v>
      </c>
      <c r="C1610" s="9">
        <v>2025</v>
      </c>
      <c r="D1610" s="9" t="s">
        <v>27</v>
      </c>
      <c r="E1610" s="90" t="s">
        <v>23</v>
      </c>
      <c r="F1610" s="9" t="s">
        <v>7</v>
      </c>
      <c r="G1610" s="10"/>
      <c r="H1610" s="96">
        <v>250792</v>
      </c>
      <c r="I1610" s="109" t="s">
        <v>812</v>
      </c>
      <c r="J1610" s="115">
        <v>45876</v>
      </c>
      <c r="K1610" s="119">
        <v>45881</v>
      </c>
      <c r="L1610" s="116">
        <v>299072</v>
      </c>
      <c r="M1610" s="116" t="s">
        <v>835</v>
      </c>
      <c r="N1610" s="34" t="s">
        <v>29</v>
      </c>
      <c r="O1610" s="149"/>
      <c r="P1610" s="124">
        <v>45902</v>
      </c>
      <c r="Q1610" s="124">
        <v>45902</v>
      </c>
      <c r="R1610" s="124">
        <v>45902</v>
      </c>
      <c r="S1610" s="37">
        <f t="shared" si="328"/>
        <v>299072</v>
      </c>
      <c r="T1610" s="37">
        <f t="shared" si="329"/>
        <v>0</v>
      </c>
      <c r="U1610" s="10"/>
      <c r="V1610" s="10"/>
      <c r="W1610" s="10"/>
      <c r="X1610" s="10"/>
      <c r="Y1610" s="10"/>
      <c r="Z1610" s="10"/>
      <c r="AA1610" s="10"/>
      <c r="AB1610" s="10"/>
      <c r="AC1610" s="10"/>
      <c r="AD1610" s="10"/>
      <c r="AE1610" s="10"/>
    </row>
    <row r="1611" spans="1:31" ht="14.25" hidden="1" customHeight="1">
      <c r="A1611" s="277" t="s">
        <v>7686</v>
      </c>
      <c r="B1611" s="9" t="s">
        <v>21</v>
      </c>
      <c r="C1611" s="9">
        <v>2025</v>
      </c>
      <c r="D1611" s="9" t="s">
        <v>27</v>
      </c>
      <c r="E1611" s="90" t="s">
        <v>23</v>
      </c>
      <c r="F1611" s="9" t="s">
        <v>7</v>
      </c>
      <c r="G1611" s="10"/>
      <c r="H1611" s="96">
        <v>250811</v>
      </c>
      <c r="I1611" s="109" t="s">
        <v>812</v>
      </c>
      <c r="J1611" s="115">
        <v>45882</v>
      </c>
      <c r="K1611" s="119">
        <v>45890</v>
      </c>
      <c r="L1611" s="116">
        <v>194250</v>
      </c>
      <c r="M1611" s="116" t="s">
        <v>836</v>
      </c>
      <c r="N1611" s="34" t="s">
        <v>29</v>
      </c>
      <c r="O1611" s="259">
        <f>SUM(L1611:L1615)</f>
        <v>3493074</v>
      </c>
      <c r="P1611" s="124">
        <v>45945</v>
      </c>
      <c r="Q1611" s="124">
        <v>45945</v>
      </c>
      <c r="R1611" s="124">
        <v>45945</v>
      </c>
      <c r="S1611" s="37">
        <f t="shared" si="328"/>
        <v>194250</v>
      </c>
      <c r="T1611" s="37">
        <f t="shared" si="329"/>
        <v>0</v>
      </c>
      <c r="U1611" s="10"/>
      <c r="V1611" s="10"/>
      <c r="W1611" s="10"/>
      <c r="X1611" s="10"/>
      <c r="Y1611" s="10"/>
      <c r="Z1611" s="10"/>
      <c r="AA1611" s="10"/>
      <c r="AB1611" s="10"/>
      <c r="AC1611" s="10"/>
      <c r="AD1611" s="10"/>
      <c r="AE1611" s="10"/>
    </row>
    <row r="1612" spans="1:31" ht="14.25" hidden="1" customHeight="1">
      <c r="A1612" s="277" t="s">
        <v>7687</v>
      </c>
      <c r="B1612" s="9" t="s">
        <v>21</v>
      </c>
      <c r="C1612" s="9">
        <v>2025</v>
      </c>
      <c r="D1612" s="9" t="s">
        <v>27</v>
      </c>
      <c r="E1612" s="90" t="s">
        <v>23</v>
      </c>
      <c r="F1612" s="9" t="s">
        <v>7</v>
      </c>
      <c r="G1612" s="10"/>
      <c r="H1612" s="96">
        <v>250792</v>
      </c>
      <c r="I1612" s="109" t="s">
        <v>812</v>
      </c>
      <c r="J1612" s="115">
        <v>45883</v>
      </c>
      <c r="K1612" s="119">
        <v>45890</v>
      </c>
      <c r="L1612" s="116">
        <v>1739999</v>
      </c>
      <c r="M1612" s="116" t="s">
        <v>837</v>
      </c>
      <c r="N1612" s="34" t="s">
        <v>29</v>
      </c>
      <c r="O1612" s="149"/>
      <c r="P1612" s="124">
        <v>45945</v>
      </c>
      <c r="Q1612" s="124">
        <v>45945</v>
      </c>
      <c r="R1612" s="124">
        <v>45945</v>
      </c>
      <c r="S1612" s="37">
        <f t="shared" si="328"/>
        <v>1739999</v>
      </c>
      <c r="T1612" s="37">
        <f t="shared" si="329"/>
        <v>0</v>
      </c>
      <c r="U1612" s="10"/>
      <c r="V1612" s="10"/>
      <c r="W1612" s="10"/>
      <c r="X1612" s="10"/>
      <c r="Y1612" s="10"/>
      <c r="Z1612" s="10"/>
      <c r="AA1612" s="10"/>
      <c r="AB1612" s="10"/>
      <c r="AC1612" s="10"/>
      <c r="AD1612" s="10"/>
      <c r="AE1612" s="10"/>
    </row>
    <row r="1613" spans="1:31" ht="14.25" hidden="1" customHeight="1">
      <c r="A1613" s="277" t="s">
        <v>7688</v>
      </c>
      <c r="B1613" s="9" t="s">
        <v>21</v>
      </c>
      <c r="C1613" s="9">
        <v>2025</v>
      </c>
      <c r="D1613" s="9" t="s">
        <v>27</v>
      </c>
      <c r="E1613" s="90" t="s">
        <v>23</v>
      </c>
      <c r="F1613" s="9" t="s">
        <v>7</v>
      </c>
      <c r="G1613" s="10"/>
      <c r="H1613" s="96">
        <v>250824</v>
      </c>
      <c r="I1613" s="109" t="s">
        <v>812</v>
      </c>
      <c r="J1613" s="115">
        <v>45888</v>
      </c>
      <c r="K1613" s="119">
        <v>45895</v>
      </c>
      <c r="L1613" s="116">
        <v>614579</v>
      </c>
      <c r="M1613" s="116" t="s">
        <v>838</v>
      </c>
      <c r="N1613" s="34" t="s">
        <v>29</v>
      </c>
      <c r="O1613" s="149"/>
      <c r="P1613" s="124">
        <v>45945</v>
      </c>
      <c r="Q1613" s="124">
        <v>45945</v>
      </c>
      <c r="R1613" s="124">
        <v>45945</v>
      </c>
      <c r="S1613" s="37">
        <f t="shared" si="328"/>
        <v>614579</v>
      </c>
      <c r="T1613" s="37">
        <f t="shared" si="329"/>
        <v>0</v>
      </c>
      <c r="U1613" s="10"/>
      <c r="V1613" s="10"/>
      <c r="W1613" s="10"/>
      <c r="X1613" s="10"/>
      <c r="Y1613" s="10"/>
      <c r="Z1613" s="10"/>
      <c r="AA1613" s="10"/>
      <c r="AB1613" s="10"/>
      <c r="AC1613" s="10"/>
      <c r="AD1613" s="10"/>
      <c r="AE1613" s="10"/>
    </row>
    <row r="1614" spans="1:31" hidden="1">
      <c r="A1614" s="277" t="s">
        <v>7689</v>
      </c>
      <c r="B1614" s="9" t="s">
        <v>21</v>
      </c>
      <c r="C1614" s="9">
        <v>2025</v>
      </c>
      <c r="D1614" s="9" t="s">
        <v>27</v>
      </c>
      <c r="E1614" s="90" t="s">
        <v>23</v>
      </c>
      <c r="F1614" s="9" t="s">
        <v>7</v>
      </c>
      <c r="G1614" s="10"/>
      <c r="H1614" s="96">
        <v>250828</v>
      </c>
      <c r="I1614" s="109" t="s">
        <v>812</v>
      </c>
      <c r="J1614" s="115">
        <v>45888</v>
      </c>
      <c r="K1614" s="119">
        <v>45895</v>
      </c>
      <c r="L1614" s="116">
        <v>611293</v>
      </c>
      <c r="M1614" s="116" t="s">
        <v>839</v>
      </c>
      <c r="N1614" s="34" t="s">
        <v>29</v>
      </c>
      <c r="O1614" s="149"/>
      <c r="P1614" s="124">
        <v>45945</v>
      </c>
      <c r="Q1614" s="124">
        <v>45945</v>
      </c>
      <c r="R1614" s="124">
        <v>45945</v>
      </c>
      <c r="S1614" s="37">
        <f t="shared" si="328"/>
        <v>611293</v>
      </c>
      <c r="T1614" s="37">
        <f t="shared" si="329"/>
        <v>0</v>
      </c>
      <c r="U1614" s="10"/>
      <c r="V1614" s="10"/>
      <c r="W1614" s="10"/>
      <c r="X1614" s="10"/>
      <c r="Y1614" s="10"/>
      <c r="Z1614" s="10"/>
      <c r="AA1614" s="10"/>
      <c r="AB1614" s="10"/>
      <c r="AC1614" s="10"/>
      <c r="AD1614" s="10"/>
      <c r="AE1614" s="10"/>
    </row>
    <row r="1615" spans="1:31" hidden="1">
      <c r="A1615" s="277" t="s">
        <v>7690</v>
      </c>
      <c r="B1615" s="9" t="s">
        <v>21</v>
      </c>
      <c r="C1615" s="9">
        <v>2025</v>
      </c>
      <c r="D1615" s="9" t="s">
        <v>27</v>
      </c>
      <c r="E1615" s="90" t="s">
        <v>23</v>
      </c>
      <c r="F1615" s="9" t="s">
        <v>7</v>
      </c>
      <c r="G1615" s="10"/>
      <c r="H1615" s="96">
        <v>250889</v>
      </c>
      <c r="I1615" s="109" t="s">
        <v>812</v>
      </c>
      <c r="J1615" s="115">
        <v>45902</v>
      </c>
      <c r="K1615" s="119">
        <v>45909</v>
      </c>
      <c r="L1615" s="116">
        <v>332953</v>
      </c>
      <c r="M1615" s="116" t="s">
        <v>840</v>
      </c>
      <c r="N1615" s="34" t="s">
        <v>29</v>
      </c>
      <c r="O1615" s="149"/>
      <c r="P1615" s="124">
        <v>45945</v>
      </c>
      <c r="Q1615" s="124">
        <v>45945</v>
      </c>
      <c r="R1615" s="124">
        <v>45945</v>
      </c>
      <c r="S1615" s="37">
        <f t="shared" si="328"/>
        <v>332953</v>
      </c>
      <c r="T1615" s="37">
        <f t="shared" si="329"/>
        <v>0</v>
      </c>
      <c r="U1615" s="10"/>
      <c r="V1615" s="10"/>
      <c r="W1615" s="10"/>
      <c r="X1615" s="10"/>
      <c r="Y1615" s="10"/>
      <c r="Z1615" s="10"/>
      <c r="AA1615" s="10"/>
      <c r="AB1615" s="10"/>
      <c r="AC1615" s="10"/>
      <c r="AD1615" s="10"/>
      <c r="AE1615" s="10"/>
    </row>
    <row r="1616" spans="1:31" hidden="1">
      <c r="A1616" s="277" t="s">
        <v>7691</v>
      </c>
      <c r="B1616" s="9" t="s">
        <v>21</v>
      </c>
      <c r="C1616" s="9">
        <v>2025</v>
      </c>
      <c r="D1616" s="9" t="s">
        <v>27</v>
      </c>
      <c r="E1616" s="90" t="s">
        <v>23</v>
      </c>
      <c r="F1616" s="9" t="s">
        <v>7</v>
      </c>
      <c r="G1616" s="10"/>
      <c r="H1616" s="96">
        <v>250937</v>
      </c>
      <c r="I1616" s="109" t="s">
        <v>812</v>
      </c>
      <c r="J1616" s="115">
        <v>45916</v>
      </c>
      <c r="K1616" s="119">
        <v>45925</v>
      </c>
      <c r="L1616" s="116">
        <v>666592</v>
      </c>
      <c r="M1616" s="116" t="s">
        <v>3702</v>
      </c>
      <c r="N1616" s="34" t="s">
        <v>29</v>
      </c>
      <c r="O1616" s="259">
        <f>SUM(L1616:L1619)</f>
        <v>7781876</v>
      </c>
      <c r="P1616" s="124">
        <v>45993</v>
      </c>
      <c r="Q1616" s="124">
        <v>45993</v>
      </c>
      <c r="R1616" s="124">
        <v>45993</v>
      </c>
      <c r="S1616" s="37">
        <f t="shared" si="328"/>
        <v>666592</v>
      </c>
      <c r="T1616" s="37">
        <f t="shared" si="329"/>
        <v>0</v>
      </c>
      <c r="U1616" s="10"/>
      <c r="V1616" s="10"/>
      <c r="W1616" s="10"/>
      <c r="X1616" s="10"/>
      <c r="Y1616" s="10"/>
      <c r="Z1616" s="10"/>
      <c r="AA1616" s="10"/>
      <c r="AB1616" s="10"/>
      <c r="AC1616" s="10"/>
      <c r="AD1616" s="10"/>
      <c r="AE1616" s="10"/>
    </row>
    <row r="1617" spans="1:31" hidden="1">
      <c r="A1617" s="277" t="s">
        <v>7692</v>
      </c>
      <c r="B1617" s="9" t="s">
        <v>21</v>
      </c>
      <c r="C1617" s="9">
        <v>2025</v>
      </c>
      <c r="D1617" s="9" t="s">
        <v>27</v>
      </c>
      <c r="E1617" s="90" t="s">
        <v>23</v>
      </c>
      <c r="F1617" s="9" t="s">
        <v>7</v>
      </c>
      <c r="G1617" s="10"/>
      <c r="H1617" s="96">
        <v>250979</v>
      </c>
      <c r="I1617" s="109" t="s">
        <v>811</v>
      </c>
      <c r="J1617" s="115">
        <v>45930</v>
      </c>
      <c r="K1617" s="119">
        <v>45945</v>
      </c>
      <c r="L1617" s="116">
        <v>64053</v>
      </c>
      <c r="M1617" s="116" t="s">
        <v>3715</v>
      </c>
      <c r="N1617" s="34" t="s">
        <v>29</v>
      </c>
      <c r="O1617" s="149"/>
      <c r="P1617" s="124">
        <v>45993</v>
      </c>
      <c r="Q1617" s="124">
        <v>45993</v>
      </c>
      <c r="R1617" s="124">
        <v>45993</v>
      </c>
      <c r="S1617" s="37">
        <f t="shared" si="328"/>
        <v>64053</v>
      </c>
      <c r="T1617" s="37">
        <f t="shared" si="329"/>
        <v>0</v>
      </c>
      <c r="U1617" s="10"/>
      <c r="V1617" s="10"/>
      <c r="W1617" s="10"/>
      <c r="X1617" s="10"/>
      <c r="Y1617" s="10"/>
      <c r="Z1617" s="10"/>
      <c r="AA1617" s="10"/>
      <c r="AB1617" s="10"/>
      <c r="AC1617" s="10"/>
      <c r="AD1617" s="10"/>
      <c r="AE1617" s="10"/>
    </row>
    <row r="1618" spans="1:31" hidden="1">
      <c r="A1618" s="277" t="s">
        <v>7693</v>
      </c>
      <c r="B1618" s="9" t="s">
        <v>21</v>
      </c>
      <c r="C1618" s="9">
        <v>2025</v>
      </c>
      <c r="D1618" s="9" t="s">
        <v>27</v>
      </c>
      <c r="E1618" s="90" t="s">
        <v>23</v>
      </c>
      <c r="F1618" s="9" t="s">
        <v>7</v>
      </c>
      <c r="G1618" s="10"/>
      <c r="H1618" s="96">
        <v>251015</v>
      </c>
      <c r="I1618" s="109" t="s">
        <v>811</v>
      </c>
      <c r="J1618" s="115">
        <v>45936</v>
      </c>
      <c r="K1618" s="119">
        <v>45945</v>
      </c>
      <c r="L1618" s="116">
        <v>6993000</v>
      </c>
      <c r="M1618" s="116" t="s">
        <v>3815</v>
      </c>
      <c r="N1618" s="34" t="s">
        <v>29</v>
      </c>
      <c r="O1618" s="149"/>
      <c r="P1618" s="124">
        <v>45993</v>
      </c>
      <c r="Q1618" s="124">
        <v>45993</v>
      </c>
      <c r="R1618" s="124">
        <v>45993</v>
      </c>
      <c r="S1618" s="37">
        <f>IF(R1618="",0,L1618)</f>
        <v>6993000</v>
      </c>
      <c r="T1618" s="37">
        <f>L1618-S1618</f>
        <v>0</v>
      </c>
      <c r="U1618" s="10"/>
      <c r="V1618" s="10"/>
      <c r="W1618" s="10"/>
      <c r="X1618" s="10"/>
      <c r="Y1618" s="10"/>
      <c r="Z1618" s="10"/>
      <c r="AA1618" s="10"/>
      <c r="AB1618" s="10"/>
      <c r="AC1618" s="10"/>
      <c r="AD1618" s="10"/>
      <c r="AE1618" s="10"/>
    </row>
    <row r="1619" spans="1:31" hidden="1">
      <c r="A1619" s="277" t="s">
        <v>7694</v>
      </c>
      <c r="B1619" s="9" t="s">
        <v>21</v>
      </c>
      <c r="C1619" s="9">
        <v>2025</v>
      </c>
      <c r="D1619" s="9" t="s">
        <v>27</v>
      </c>
      <c r="E1619" s="90" t="s">
        <v>23</v>
      </c>
      <c r="F1619" s="9" t="s">
        <v>7</v>
      </c>
      <c r="G1619" s="10"/>
      <c r="H1619" s="96">
        <v>251023</v>
      </c>
      <c r="I1619" s="109" t="s">
        <v>811</v>
      </c>
      <c r="J1619" s="115">
        <v>45937</v>
      </c>
      <c r="K1619" s="119">
        <v>45945</v>
      </c>
      <c r="L1619" s="116">
        <v>58231</v>
      </c>
      <c r="M1619" s="116" t="s">
        <v>3816</v>
      </c>
      <c r="N1619" s="34" t="s">
        <v>29</v>
      </c>
      <c r="O1619" s="149"/>
      <c r="P1619" s="124">
        <v>45993</v>
      </c>
      <c r="Q1619" s="124">
        <v>45993</v>
      </c>
      <c r="R1619" s="124">
        <v>45993</v>
      </c>
      <c r="S1619" s="37">
        <f>IF(R1619="",0,L1619)</f>
        <v>58231</v>
      </c>
      <c r="T1619" s="37">
        <f>L1619-S1619</f>
        <v>0</v>
      </c>
      <c r="U1619" s="10"/>
      <c r="V1619" s="10"/>
      <c r="W1619" s="10"/>
      <c r="X1619" s="10"/>
      <c r="Y1619" s="10"/>
      <c r="Z1619" s="10"/>
      <c r="AA1619" s="10"/>
      <c r="AB1619" s="10"/>
      <c r="AC1619" s="10"/>
      <c r="AD1619" s="10"/>
      <c r="AE1619" s="10"/>
    </row>
    <row r="1620" spans="1:31" hidden="1">
      <c r="A1620" s="277" t="s">
        <v>7695</v>
      </c>
      <c r="B1620" s="9" t="s">
        <v>21</v>
      </c>
      <c r="C1620" s="9">
        <v>2025</v>
      </c>
      <c r="D1620" s="9" t="s">
        <v>27</v>
      </c>
      <c r="E1620" s="90" t="s">
        <v>23</v>
      </c>
      <c r="F1620" s="9" t="s">
        <v>7</v>
      </c>
      <c r="G1620" s="10"/>
      <c r="H1620" s="96">
        <v>251168</v>
      </c>
      <c r="I1620" s="109" t="s">
        <v>811</v>
      </c>
      <c r="J1620" s="115">
        <v>45967</v>
      </c>
      <c r="K1620" s="119">
        <v>45979</v>
      </c>
      <c r="L1620" s="116">
        <v>1461991</v>
      </c>
      <c r="M1620" s="116" t="s">
        <v>4004</v>
      </c>
      <c r="N1620" s="34" t="s">
        <v>29</v>
      </c>
      <c r="O1620" s="149"/>
      <c r="P1620" s="124">
        <v>46014</v>
      </c>
      <c r="Q1620" s="124">
        <v>46014</v>
      </c>
      <c r="R1620" s="124">
        <v>46014</v>
      </c>
      <c r="S1620" s="37">
        <f>IF(R1620="",0,L1620)</f>
        <v>1461991</v>
      </c>
      <c r="T1620" s="37">
        <f>L1620-S1620</f>
        <v>0</v>
      </c>
      <c r="U1620" s="10"/>
      <c r="V1620" s="10"/>
      <c r="W1620" s="10"/>
      <c r="X1620" s="10"/>
      <c r="Y1620" s="10"/>
      <c r="Z1620" s="10"/>
      <c r="AA1620" s="10"/>
      <c r="AB1620" s="10"/>
      <c r="AC1620" s="10"/>
      <c r="AD1620" s="10"/>
      <c r="AE1620" s="10"/>
    </row>
    <row r="1621" spans="1:31" hidden="1">
      <c r="A1621" s="277" t="s">
        <v>7696</v>
      </c>
      <c r="B1621" s="9" t="s">
        <v>21</v>
      </c>
      <c r="C1621" s="9">
        <v>2025</v>
      </c>
      <c r="D1621" s="9" t="s">
        <v>27</v>
      </c>
      <c r="E1621" s="90" t="s">
        <v>23</v>
      </c>
      <c r="F1621" s="9" t="s">
        <v>7</v>
      </c>
      <c r="G1621" s="10"/>
      <c r="H1621" s="96">
        <v>251258</v>
      </c>
      <c r="I1621" s="109" t="s">
        <v>811</v>
      </c>
      <c r="J1621" s="115">
        <v>46002</v>
      </c>
      <c r="K1621" s="119">
        <v>46014</v>
      </c>
      <c r="L1621" s="116">
        <v>266399</v>
      </c>
      <c r="M1621" s="116" t="s">
        <v>4169</v>
      </c>
      <c r="N1621" s="34" t="s">
        <v>29</v>
      </c>
      <c r="O1621" s="148">
        <f>SUM(L1621:L1632)</f>
        <v>7297870</v>
      </c>
      <c r="P1621" s="124">
        <v>46158</v>
      </c>
      <c r="Q1621" s="124">
        <v>46158</v>
      </c>
      <c r="R1621" s="124">
        <v>46158</v>
      </c>
      <c r="S1621" s="37">
        <f>IF(R1621="",0,L1621)</f>
        <v>266399</v>
      </c>
      <c r="T1621" s="37">
        <f>L1621-S1621</f>
        <v>0</v>
      </c>
      <c r="U1621" s="10"/>
      <c r="V1621" s="10"/>
      <c r="W1621" s="10"/>
      <c r="X1621" s="10"/>
      <c r="Y1621" s="10"/>
      <c r="Z1621" s="10"/>
      <c r="AA1621" s="10"/>
      <c r="AB1621" s="10"/>
      <c r="AC1621" s="10"/>
      <c r="AD1621" s="10"/>
      <c r="AE1621" s="10"/>
    </row>
    <row r="1622" spans="1:31" hidden="1">
      <c r="A1622" s="277" t="s">
        <v>7697</v>
      </c>
      <c r="B1622" s="9" t="s">
        <v>21</v>
      </c>
      <c r="C1622" s="9">
        <v>2025</v>
      </c>
      <c r="D1622" s="9" t="s">
        <v>27</v>
      </c>
      <c r="E1622" s="90" t="s">
        <v>23</v>
      </c>
      <c r="F1622" s="9" t="s">
        <v>7</v>
      </c>
      <c r="G1622" s="10"/>
      <c r="H1622" s="96">
        <v>251303</v>
      </c>
      <c r="I1622" s="109" t="s">
        <v>811</v>
      </c>
      <c r="J1622" s="115">
        <v>46020</v>
      </c>
      <c r="K1622" s="119">
        <v>46028</v>
      </c>
      <c r="L1622" s="116">
        <v>146198</v>
      </c>
      <c r="M1622" s="116" t="s">
        <v>4194</v>
      </c>
      <c r="N1622" s="34" t="s">
        <v>29</v>
      </c>
      <c r="O1622" s="149"/>
      <c r="P1622" s="124">
        <v>46158</v>
      </c>
      <c r="Q1622" s="124">
        <v>46158</v>
      </c>
      <c r="R1622" s="124">
        <v>46158</v>
      </c>
      <c r="S1622" s="37">
        <f t="shared" ref="S1622:S1629" si="330">IF(R1622="",0,L1622)</f>
        <v>146198</v>
      </c>
      <c r="T1622" s="37">
        <f t="shared" ref="T1622:T1629" si="331">L1622-S1622</f>
        <v>0</v>
      </c>
      <c r="U1622" s="10"/>
      <c r="V1622" s="10"/>
      <c r="W1622" s="10"/>
      <c r="X1622" s="10"/>
      <c r="Y1622" s="10"/>
      <c r="Z1622" s="10"/>
      <c r="AA1622" s="10"/>
      <c r="AB1622" s="10"/>
      <c r="AC1622" s="10"/>
      <c r="AD1622" s="10"/>
      <c r="AE1622" s="10"/>
    </row>
    <row r="1623" spans="1:31" hidden="1">
      <c r="A1623" s="277" t="s">
        <v>7698</v>
      </c>
      <c r="B1623" s="9" t="s">
        <v>21</v>
      </c>
      <c r="C1623" s="9">
        <v>2025</v>
      </c>
      <c r="D1623" s="9" t="s">
        <v>27</v>
      </c>
      <c r="E1623" s="90" t="s">
        <v>23</v>
      </c>
      <c r="F1623" s="9" t="s">
        <v>7</v>
      </c>
      <c r="G1623" s="10"/>
      <c r="H1623" s="96">
        <v>251301</v>
      </c>
      <c r="I1623" s="109" t="s">
        <v>811</v>
      </c>
      <c r="J1623" s="115">
        <v>46020</v>
      </c>
      <c r="K1623" s="119">
        <v>46028</v>
      </c>
      <c r="L1623" s="116">
        <v>388500</v>
      </c>
      <c r="M1623" s="116" t="s">
        <v>4195</v>
      </c>
      <c r="N1623" s="34" t="s">
        <v>29</v>
      </c>
      <c r="O1623" s="149"/>
      <c r="P1623" s="124">
        <v>46158</v>
      </c>
      <c r="Q1623" s="124">
        <v>46158</v>
      </c>
      <c r="R1623" s="124">
        <v>46158</v>
      </c>
      <c r="S1623" s="37">
        <f t="shared" si="330"/>
        <v>388500</v>
      </c>
      <c r="T1623" s="37">
        <f t="shared" si="331"/>
        <v>0</v>
      </c>
      <c r="U1623" s="10"/>
      <c r="V1623" s="10"/>
      <c r="W1623" s="10"/>
      <c r="X1623" s="10"/>
      <c r="Y1623" s="10"/>
      <c r="Z1623" s="10"/>
      <c r="AA1623" s="10"/>
      <c r="AB1623" s="10"/>
      <c r="AC1623" s="10"/>
      <c r="AD1623" s="10"/>
      <c r="AE1623" s="10"/>
    </row>
    <row r="1624" spans="1:31" hidden="1">
      <c r="A1624" s="277" t="s">
        <v>7699</v>
      </c>
      <c r="B1624" s="9" t="s">
        <v>21</v>
      </c>
      <c r="C1624" s="9">
        <v>2025</v>
      </c>
      <c r="D1624" s="9" t="s">
        <v>27</v>
      </c>
      <c r="E1624" s="90" t="s">
        <v>23</v>
      </c>
      <c r="F1624" s="9" t="s">
        <v>7</v>
      </c>
      <c r="G1624" s="10"/>
      <c r="H1624" s="96">
        <v>251302</v>
      </c>
      <c r="I1624" s="109" t="s">
        <v>811</v>
      </c>
      <c r="J1624" s="115">
        <v>46021</v>
      </c>
      <c r="K1624" s="119">
        <v>46028</v>
      </c>
      <c r="L1624" s="116">
        <v>11100</v>
      </c>
      <c r="M1624" s="116" t="s">
        <v>4196</v>
      </c>
      <c r="N1624" s="34" t="s">
        <v>29</v>
      </c>
      <c r="O1624" s="149"/>
      <c r="P1624" s="124">
        <v>46158</v>
      </c>
      <c r="Q1624" s="124">
        <v>46158</v>
      </c>
      <c r="R1624" s="124">
        <v>46158</v>
      </c>
      <c r="S1624" s="37">
        <f t="shared" si="330"/>
        <v>11100</v>
      </c>
      <c r="T1624" s="37">
        <f t="shared" si="331"/>
        <v>0</v>
      </c>
      <c r="U1624" s="10"/>
      <c r="V1624" s="10"/>
      <c r="W1624" s="10"/>
      <c r="X1624" s="10"/>
      <c r="Y1624" s="10"/>
      <c r="Z1624" s="10"/>
      <c r="AA1624" s="10"/>
      <c r="AB1624" s="10"/>
      <c r="AC1624" s="10"/>
      <c r="AD1624" s="10"/>
      <c r="AE1624" s="10"/>
    </row>
    <row r="1625" spans="1:31" hidden="1">
      <c r="A1625" s="277" t="s">
        <v>7700</v>
      </c>
      <c r="B1625" s="9" t="s">
        <v>21</v>
      </c>
      <c r="C1625" s="9">
        <v>2025</v>
      </c>
      <c r="D1625" s="9" t="s">
        <v>27</v>
      </c>
      <c r="E1625" s="90" t="s">
        <v>23</v>
      </c>
      <c r="F1625" s="9" t="s">
        <v>7</v>
      </c>
      <c r="G1625" s="10"/>
      <c r="H1625" s="96">
        <v>260001</v>
      </c>
      <c r="I1625" s="109" t="s">
        <v>811</v>
      </c>
      <c r="J1625" s="115">
        <v>46022</v>
      </c>
      <c r="K1625" s="119">
        <v>46028</v>
      </c>
      <c r="L1625" s="116">
        <v>1546999</v>
      </c>
      <c r="M1625" s="116" t="s">
        <v>4197</v>
      </c>
      <c r="N1625" s="34" t="s">
        <v>29</v>
      </c>
      <c r="O1625" s="149"/>
      <c r="P1625" s="124">
        <v>46158</v>
      </c>
      <c r="Q1625" s="124">
        <v>46158</v>
      </c>
      <c r="R1625" s="124">
        <v>46158</v>
      </c>
      <c r="S1625" s="37">
        <f t="shared" si="330"/>
        <v>1546999</v>
      </c>
      <c r="T1625" s="37">
        <f t="shared" si="331"/>
        <v>0</v>
      </c>
      <c r="U1625" s="10"/>
      <c r="V1625" s="10"/>
      <c r="W1625" s="10"/>
      <c r="X1625" s="10"/>
      <c r="Y1625" s="10"/>
      <c r="Z1625" s="10"/>
      <c r="AA1625" s="10"/>
      <c r="AB1625" s="10"/>
      <c r="AC1625" s="10"/>
      <c r="AD1625" s="10"/>
      <c r="AE1625" s="10"/>
    </row>
    <row r="1626" spans="1:31" hidden="1">
      <c r="A1626" s="277" t="s">
        <v>7701</v>
      </c>
      <c r="B1626" s="9" t="s">
        <v>21</v>
      </c>
      <c r="C1626" s="9">
        <v>2026</v>
      </c>
      <c r="D1626" s="9" t="s">
        <v>27</v>
      </c>
      <c r="E1626" s="90" t="s">
        <v>23</v>
      </c>
      <c r="F1626" s="9" t="s">
        <v>7</v>
      </c>
      <c r="G1626" s="10"/>
      <c r="H1626" s="96">
        <v>260009</v>
      </c>
      <c r="I1626" s="109" t="s">
        <v>811</v>
      </c>
      <c r="J1626" s="115">
        <v>46029</v>
      </c>
      <c r="K1626" s="119">
        <v>46044</v>
      </c>
      <c r="L1626" s="116">
        <v>130536</v>
      </c>
      <c r="M1626" s="116" t="s">
        <v>4266</v>
      </c>
      <c r="N1626" s="34" t="s">
        <v>29</v>
      </c>
      <c r="O1626" s="149"/>
      <c r="P1626" s="124">
        <v>46158</v>
      </c>
      <c r="Q1626" s="124">
        <v>46158</v>
      </c>
      <c r="R1626" s="124">
        <v>46158</v>
      </c>
      <c r="S1626" s="37">
        <f t="shared" si="330"/>
        <v>130536</v>
      </c>
      <c r="T1626" s="37">
        <f t="shared" si="331"/>
        <v>0</v>
      </c>
      <c r="U1626" s="10"/>
      <c r="V1626" s="10"/>
      <c r="W1626" s="10"/>
      <c r="X1626" s="10"/>
      <c r="Y1626" s="10"/>
      <c r="Z1626" s="10"/>
      <c r="AA1626" s="10"/>
      <c r="AB1626" s="10"/>
      <c r="AC1626" s="10"/>
      <c r="AD1626" s="10"/>
      <c r="AE1626" s="10"/>
    </row>
    <row r="1627" spans="1:31" hidden="1">
      <c r="A1627" s="277" t="s">
        <v>7702</v>
      </c>
      <c r="B1627" s="9" t="s">
        <v>21</v>
      </c>
      <c r="C1627" s="9">
        <v>2026</v>
      </c>
      <c r="D1627" s="9" t="s">
        <v>27</v>
      </c>
      <c r="E1627" s="90" t="s">
        <v>23</v>
      </c>
      <c r="F1627" s="9" t="s">
        <v>7</v>
      </c>
      <c r="G1627" s="10"/>
      <c r="H1627" s="96">
        <v>260014</v>
      </c>
      <c r="I1627" s="109" t="s">
        <v>811</v>
      </c>
      <c r="J1627" s="115">
        <v>46036</v>
      </c>
      <c r="K1627" s="119">
        <v>46044</v>
      </c>
      <c r="L1627" s="116">
        <v>869999</v>
      </c>
      <c r="M1627" s="116" t="s">
        <v>4267</v>
      </c>
      <c r="N1627" s="34" t="s">
        <v>29</v>
      </c>
      <c r="O1627" s="149"/>
      <c r="P1627" s="124">
        <v>46158</v>
      </c>
      <c r="Q1627" s="124">
        <v>46158</v>
      </c>
      <c r="R1627" s="124">
        <v>46158</v>
      </c>
      <c r="S1627" s="37">
        <f t="shared" si="330"/>
        <v>869999</v>
      </c>
      <c r="T1627" s="37">
        <f t="shared" si="331"/>
        <v>0</v>
      </c>
      <c r="U1627" s="10"/>
      <c r="V1627" s="10"/>
      <c r="W1627" s="10"/>
      <c r="X1627" s="10"/>
      <c r="Y1627" s="10"/>
      <c r="Z1627" s="10"/>
      <c r="AA1627" s="10"/>
      <c r="AB1627" s="10"/>
      <c r="AC1627" s="10"/>
      <c r="AD1627" s="10"/>
      <c r="AE1627" s="10"/>
    </row>
    <row r="1628" spans="1:31" hidden="1">
      <c r="A1628" s="277" t="s">
        <v>7703</v>
      </c>
      <c r="B1628" s="9" t="s">
        <v>21</v>
      </c>
      <c r="C1628" s="9">
        <v>2026</v>
      </c>
      <c r="D1628" s="9" t="s">
        <v>27</v>
      </c>
      <c r="E1628" s="90" t="s">
        <v>23</v>
      </c>
      <c r="F1628" s="9" t="s">
        <v>7</v>
      </c>
      <c r="G1628" s="10"/>
      <c r="H1628" s="96">
        <v>260019</v>
      </c>
      <c r="I1628" s="109" t="s">
        <v>811</v>
      </c>
      <c r="J1628" s="115">
        <v>46036</v>
      </c>
      <c r="K1628" s="119">
        <v>46044</v>
      </c>
      <c r="L1628" s="116">
        <v>155980</v>
      </c>
      <c r="M1628" s="116" t="s">
        <v>4268</v>
      </c>
      <c r="N1628" s="34" t="s">
        <v>29</v>
      </c>
      <c r="O1628" s="149"/>
      <c r="P1628" s="124">
        <v>46158</v>
      </c>
      <c r="Q1628" s="124">
        <v>46158</v>
      </c>
      <c r="R1628" s="124">
        <v>46158</v>
      </c>
      <c r="S1628" s="37">
        <f t="shared" si="330"/>
        <v>155980</v>
      </c>
      <c r="T1628" s="37">
        <f t="shared" si="331"/>
        <v>0</v>
      </c>
      <c r="U1628" s="10"/>
      <c r="V1628" s="10"/>
      <c r="W1628" s="10"/>
      <c r="X1628" s="10"/>
      <c r="Y1628" s="10"/>
      <c r="Z1628" s="10"/>
      <c r="AA1628" s="10"/>
      <c r="AB1628" s="10"/>
      <c r="AC1628" s="10"/>
      <c r="AD1628" s="10"/>
      <c r="AE1628" s="10"/>
    </row>
    <row r="1629" spans="1:31" hidden="1">
      <c r="A1629" s="277" t="s">
        <v>7704</v>
      </c>
      <c r="B1629" s="9" t="s">
        <v>21</v>
      </c>
      <c r="C1629" s="9">
        <v>2026</v>
      </c>
      <c r="D1629" s="9" t="s">
        <v>27</v>
      </c>
      <c r="E1629" s="90" t="s">
        <v>23</v>
      </c>
      <c r="F1629" s="9" t="s">
        <v>7</v>
      </c>
      <c r="G1629" s="10"/>
      <c r="H1629" s="96">
        <v>260042</v>
      </c>
      <c r="I1629" s="109" t="s">
        <v>811</v>
      </c>
      <c r="J1629" s="115">
        <v>46044</v>
      </c>
      <c r="K1629" s="119">
        <v>46051</v>
      </c>
      <c r="L1629" s="116">
        <v>730995</v>
      </c>
      <c r="M1629" s="116" t="s">
        <v>4282</v>
      </c>
      <c r="N1629" s="34" t="s">
        <v>29</v>
      </c>
      <c r="O1629" s="149"/>
      <c r="P1629" s="124">
        <v>46158</v>
      </c>
      <c r="Q1629" s="124">
        <v>46158</v>
      </c>
      <c r="R1629" s="124">
        <v>46158</v>
      </c>
      <c r="S1629" s="37">
        <f t="shared" si="330"/>
        <v>730995</v>
      </c>
      <c r="T1629" s="37">
        <f t="shared" si="331"/>
        <v>0</v>
      </c>
      <c r="U1629" s="10"/>
      <c r="V1629" s="10"/>
      <c r="W1629" s="10"/>
      <c r="X1629" s="10"/>
      <c r="Y1629" s="10"/>
      <c r="Z1629" s="10"/>
      <c r="AA1629" s="10"/>
      <c r="AB1629" s="10"/>
      <c r="AC1629" s="10"/>
      <c r="AD1629" s="10"/>
      <c r="AE1629" s="10"/>
    </row>
    <row r="1630" spans="1:31" hidden="1">
      <c r="A1630" s="277" t="s">
        <v>7705</v>
      </c>
      <c r="B1630" s="9" t="s">
        <v>21</v>
      </c>
      <c r="C1630" s="9">
        <v>2026</v>
      </c>
      <c r="D1630" s="9" t="s">
        <v>27</v>
      </c>
      <c r="E1630" s="90" t="s">
        <v>23</v>
      </c>
      <c r="F1630" s="9" t="s">
        <v>7</v>
      </c>
      <c r="G1630" s="10"/>
      <c r="H1630" s="96"/>
      <c r="I1630" s="109" t="s">
        <v>811</v>
      </c>
      <c r="J1630" s="115">
        <v>46043</v>
      </c>
      <c r="K1630" s="119">
        <v>46051</v>
      </c>
      <c r="L1630" s="116">
        <v>2528202</v>
      </c>
      <c r="M1630" s="116" t="s">
        <v>4289</v>
      </c>
      <c r="N1630" s="34" t="s">
        <v>29</v>
      </c>
      <c r="O1630" s="149"/>
      <c r="P1630" s="124">
        <v>46158</v>
      </c>
      <c r="Q1630" s="124">
        <v>46158</v>
      </c>
      <c r="R1630" s="124">
        <v>46158</v>
      </c>
      <c r="S1630" s="37">
        <f>IF(R1630="",0,L1630)</f>
        <v>2528202</v>
      </c>
      <c r="T1630" s="37">
        <f>L1630-S1630</f>
        <v>0</v>
      </c>
      <c r="U1630" s="10"/>
      <c r="V1630" s="10"/>
      <c r="W1630" s="10"/>
      <c r="X1630" s="10"/>
      <c r="Y1630" s="10"/>
      <c r="Z1630" s="10"/>
      <c r="AA1630" s="10"/>
      <c r="AB1630" s="10"/>
      <c r="AC1630" s="10"/>
      <c r="AD1630" s="10"/>
      <c r="AE1630" s="10"/>
    </row>
    <row r="1631" spans="1:31" hidden="1">
      <c r="A1631" s="277" t="s">
        <v>7706</v>
      </c>
      <c r="B1631" s="9" t="s">
        <v>21</v>
      </c>
      <c r="C1631" s="9">
        <v>2026</v>
      </c>
      <c r="D1631" s="9" t="s">
        <v>27</v>
      </c>
      <c r="E1631" s="90" t="s">
        <v>23</v>
      </c>
      <c r="F1631" s="9" t="s">
        <v>7</v>
      </c>
      <c r="G1631" s="10"/>
      <c r="H1631" s="96">
        <v>260041</v>
      </c>
      <c r="I1631" s="109" t="s">
        <v>811</v>
      </c>
      <c r="J1631" s="115">
        <v>46049</v>
      </c>
      <c r="K1631" s="119">
        <v>46056</v>
      </c>
      <c r="L1631" s="116">
        <v>332953</v>
      </c>
      <c r="M1631" s="116" t="s">
        <v>4300</v>
      </c>
      <c r="N1631" s="34" t="s">
        <v>29</v>
      </c>
      <c r="O1631" s="149"/>
      <c r="P1631" s="124">
        <v>46158</v>
      </c>
      <c r="Q1631" s="124">
        <v>46158</v>
      </c>
      <c r="R1631" s="124">
        <v>46158</v>
      </c>
      <c r="S1631" s="37">
        <f>IF(R1631="",0,L1631)</f>
        <v>332953</v>
      </c>
      <c r="T1631" s="37">
        <f>L1631-S1631</f>
        <v>0</v>
      </c>
      <c r="U1631" s="10"/>
      <c r="V1631" s="10"/>
      <c r="W1631" s="10"/>
      <c r="X1631" s="10"/>
      <c r="Y1631" s="10"/>
      <c r="Z1631" s="10"/>
      <c r="AA1631" s="10"/>
      <c r="AB1631" s="10"/>
      <c r="AC1631" s="10"/>
      <c r="AD1631" s="10"/>
      <c r="AE1631" s="10"/>
    </row>
    <row r="1632" spans="1:31" ht="14.25" customHeight="1">
      <c r="A1632" s="277" t="s">
        <v>7707</v>
      </c>
      <c r="B1632" s="9" t="s">
        <v>21</v>
      </c>
      <c r="C1632" s="9">
        <v>2026</v>
      </c>
      <c r="D1632" s="9" t="s">
        <v>27</v>
      </c>
      <c r="E1632" s="90" t="s">
        <v>23</v>
      </c>
      <c r="F1632" s="9" t="s">
        <v>7</v>
      </c>
      <c r="G1632" s="10"/>
      <c r="H1632" s="96">
        <v>260061</v>
      </c>
      <c r="I1632" s="109" t="s">
        <v>811</v>
      </c>
      <c r="J1632" s="115">
        <v>46051</v>
      </c>
      <c r="K1632" s="119">
        <v>46056</v>
      </c>
      <c r="L1632" s="116">
        <v>190009</v>
      </c>
      <c r="M1632" s="116" t="s">
        <v>4301</v>
      </c>
      <c r="N1632" s="34" t="s">
        <v>29</v>
      </c>
      <c r="O1632" s="149"/>
      <c r="P1632" s="124">
        <v>46158</v>
      </c>
      <c r="Q1632" s="124">
        <v>46158</v>
      </c>
      <c r="R1632" s="124">
        <v>46158</v>
      </c>
      <c r="S1632" s="37">
        <f>IF(R1632="",0,L1632)</f>
        <v>190009</v>
      </c>
      <c r="T1632" s="37">
        <f>L1632-S1632</f>
        <v>0</v>
      </c>
      <c r="U1632" s="10"/>
      <c r="V1632" s="10"/>
      <c r="W1632" s="10"/>
      <c r="X1632" s="10"/>
      <c r="Y1632" s="10"/>
      <c r="Z1632" s="10"/>
      <c r="AA1632" s="10"/>
      <c r="AB1632" s="10"/>
      <c r="AC1632" s="10"/>
      <c r="AD1632" s="10"/>
      <c r="AE1632" s="10"/>
    </row>
    <row r="1633" spans="1:31" ht="14.25" customHeight="1">
      <c r="A1633" s="277" t="s">
        <v>7708</v>
      </c>
      <c r="B1633" s="9" t="s">
        <v>21</v>
      </c>
      <c r="C1633" s="9">
        <v>2026</v>
      </c>
      <c r="D1633" s="9" t="s">
        <v>77</v>
      </c>
      <c r="E1633" s="90" t="s">
        <v>23</v>
      </c>
      <c r="F1633" s="9" t="s">
        <v>7</v>
      </c>
      <c r="G1633" s="10"/>
      <c r="H1633" s="9">
        <v>260294</v>
      </c>
      <c r="I1633" s="11" t="s">
        <v>811</v>
      </c>
      <c r="J1633" s="12">
        <v>46160</v>
      </c>
      <c r="K1633" s="122">
        <v>46168</v>
      </c>
      <c r="L1633" s="27">
        <v>658230</v>
      </c>
      <c r="M1633" s="27" t="s">
        <v>7081</v>
      </c>
      <c r="N1633" s="34">
        <f t="shared" ref="N1633:N1634" ca="1" si="332">$J$3-J1633-1</f>
        <v>79.463776388889528</v>
      </c>
      <c r="O1633" s="10"/>
      <c r="P1633" s="39"/>
      <c r="Q1633" s="39"/>
      <c r="R1633" s="39"/>
      <c r="S1633" s="37">
        <f t="shared" ref="S1633:S1634" si="333">IF(R1633="",0,L1633)</f>
        <v>0</v>
      </c>
      <c r="T1633" s="37">
        <f t="shared" ref="T1633:T1634" si="334">L1633-S1633</f>
        <v>658230</v>
      </c>
      <c r="U1633" s="10"/>
      <c r="V1633" s="10"/>
      <c r="W1633" s="10"/>
      <c r="X1633" s="10"/>
      <c r="Y1633" s="10"/>
      <c r="Z1633" s="10"/>
      <c r="AA1633" s="10"/>
      <c r="AB1633" s="10"/>
      <c r="AC1633" s="10"/>
      <c r="AD1633" s="10"/>
      <c r="AE1633" s="10"/>
    </row>
    <row r="1634" spans="1:31" ht="14.25" customHeight="1">
      <c r="A1634" s="277" t="s">
        <v>7709</v>
      </c>
      <c r="B1634" s="9" t="s">
        <v>21</v>
      </c>
      <c r="C1634" s="9">
        <v>2026</v>
      </c>
      <c r="D1634" s="9" t="s">
        <v>77</v>
      </c>
      <c r="E1634" s="90" t="s">
        <v>23</v>
      </c>
      <c r="F1634" s="9" t="s">
        <v>7</v>
      </c>
      <c r="G1634" s="10"/>
      <c r="H1634" s="9">
        <v>260993</v>
      </c>
      <c r="I1634" s="11" t="s">
        <v>811</v>
      </c>
      <c r="J1634" s="12">
        <v>46161</v>
      </c>
      <c r="K1634" s="122">
        <v>46168</v>
      </c>
      <c r="L1634" s="27">
        <v>864934</v>
      </c>
      <c r="M1634" s="27" t="s">
        <v>7082</v>
      </c>
      <c r="N1634" s="34">
        <f t="shared" ca="1" si="332"/>
        <v>78.463776388889528</v>
      </c>
      <c r="O1634" s="10"/>
      <c r="P1634" s="39"/>
      <c r="Q1634" s="39"/>
      <c r="R1634" s="39"/>
      <c r="S1634" s="37">
        <f t="shared" si="333"/>
        <v>0</v>
      </c>
      <c r="T1634" s="37">
        <f t="shared" si="334"/>
        <v>864934</v>
      </c>
      <c r="U1634" s="10"/>
      <c r="V1634" s="10"/>
      <c r="W1634" s="10"/>
      <c r="X1634" s="10"/>
      <c r="Y1634" s="10"/>
      <c r="Z1634" s="10"/>
      <c r="AA1634" s="10"/>
      <c r="AB1634" s="10"/>
      <c r="AC1634" s="10"/>
      <c r="AD1634" s="10"/>
      <c r="AE1634" s="10"/>
    </row>
    <row r="1635" spans="1:31" ht="14.25" customHeight="1">
      <c r="A1635" s="277" t="s">
        <v>7710</v>
      </c>
      <c r="B1635" s="9" t="s">
        <v>21</v>
      </c>
      <c r="C1635" s="9"/>
      <c r="D1635" s="9"/>
      <c r="E1635" s="90"/>
      <c r="F1635" s="9"/>
      <c r="G1635" s="10"/>
      <c r="H1635" s="9"/>
      <c r="I1635" s="11"/>
      <c r="J1635" s="12"/>
      <c r="K1635" s="12"/>
      <c r="L1635" s="27"/>
      <c r="M1635" s="10"/>
      <c r="N1635" s="114">
        <f ca="1">$J$3-J1635</f>
        <v>46240.46377638889</v>
      </c>
      <c r="O1635" s="10"/>
      <c r="P1635" s="39"/>
      <c r="Q1635" s="49"/>
      <c r="R1635" s="49"/>
      <c r="S1635" s="37">
        <f>IF(R1635="",0,L1635)</f>
        <v>0</v>
      </c>
      <c r="T1635" s="37">
        <f>L1635-S1635</f>
        <v>0</v>
      </c>
      <c r="U1635" s="10"/>
      <c r="V1635" s="10"/>
      <c r="W1635" s="10"/>
      <c r="X1635" s="10"/>
      <c r="Y1635" s="10"/>
      <c r="Z1635" s="10"/>
      <c r="AA1635" s="10"/>
      <c r="AB1635" s="10"/>
      <c r="AC1635" s="10"/>
      <c r="AD1635" s="10"/>
      <c r="AE1635" s="10"/>
    </row>
    <row r="1636" spans="1:31" ht="14.25" customHeight="1">
      <c r="A1636" s="277" t="s">
        <v>7711</v>
      </c>
      <c r="B1636" s="9" t="s">
        <v>21</v>
      </c>
      <c r="C1636" s="9"/>
      <c r="D1636" s="9"/>
      <c r="E1636" s="90"/>
      <c r="F1636" s="9"/>
      <c r="G1636" s="10"/>
      <c r="H1636" s="9"/>
      <c r="I1636" s="11"/>
      <c r="J1636" s="12"/>
      <c r="K1636" s="12"/>
      <c r="L1636" s="52"/>
      <c r="M1636" s="10"/>
      <c r="N1636" s="9"/>
      <c r="O1636" s="11"/>
      <c r="P1636" s="39"/>
      <c r="Q1636" s="39"/>
      <c r="R1636" s="39"/>
      <c r="S1636" s="37"/>
      <c r="T1636" s="37"/>
      <c r="U1636" s="10"/>
      <c r="V1636" s="10"/>
      <c r="W1636" s="10"/>
      <c r="X1636" s="10"/>
      <c r="Y1636" s="10"/>
      <c r="Z1636" s="10"/>
      <c r="AA1636" s="10"/>
      <c r="AB1636" s="52"/>
      <c r="AC1636" s="10"/>
      <c r="AD1636" s="10"/>
      <c r="AE1636" s="10"/>
    </row>
    <row r="1637" spans="1:31">
      <c r="A1637" s="277" t="s">
        <v>7712</v>
      </c>
      <c r="B1637" s="9" t="s">
        <v>21</v>
      </c>
      <c r="C1637" s="9"/>
      <c r="D1637" s="9"/>
      <c r="E1637" s="90"/>
      <c r="F1637" s="9"/>
      <c r="G1637" s="94" t="s">
        <v>24</v>
      </c>
      <c r="H1637" s="95" t="s">
        <v>841</v>
      </c>
      <c r="I1637" s="104"/>
      <c r="J1637" s="105"/>
      <c r="K1637" s="105"/>
      <c r="L1637" s="106">
        <f>SUM(L1638:L1648)</f>
        <v>25450481</v>
      </c>
      <c r="M1637" s="107"/>
      <c r="N1637" s="108" t="s">
        <v>26</v>
      </c>
      <c r="O1637" s="108"/>
      <c r="P1637" s="108"/>
      <c r="Q1637" s="108"/>
      <c r="R1637" s="108"/>
      <c r="S1637" s="106">
        <f>SUM(S1638:S1648)</f>
        <v>25450481</v>
      </c>
      <c r="T1637" s="106">
        <f>SUM(T1638:T1648)</f>
        <v>0</v>
      </c>
      <c r="U1637" s="10"/>
      <c r="V1637" s="52">
        <f>L1637-S1637</f>
        <v>0</v>
      </c>
      <c r="W1637" s="52">
        <f>T1637-V1637</f>
        <v>0</v>
      </c>
      <c r="X1637" s="10"/>
      <c r="Y1637" s="10"/>
      <c r="Z1637" s="10"/>
      <c r="AA1637" s="10"/>
      <c r="AB1637" s="52"/>
      <c r="AC1637" s="10"/>
      <c r="AD1637" s="10"/>
      <c r="AE1637" s="10"/>
    </row>
    <row r="1638" spans="1:31" ht="14.25" hidden="1" customHeight="1">
      <c r="A1638" s="277" t="s">
        <v>7713</v>
      </c>
      <c r="B1638" s="9" t="s">
        <v>21</v>
      </c>
      <c r="C1638" s="9">
        <v>2025</v>
      </c>
      <c r="D1638" s="9" t="s">
        <v>27</v>
      </c>
      <c r="E1638" s="90" t="s">
        <v>23</v>
      </c>
      <c r="F1638" s="9" t="s">
        <v>7</v>
      </c>
      <c r="G1638" s="10"/>
      <c r="H1638" s="96">
        <v>250052</v>
      </c>
      <c r="I1638" s="109" t="s">
        <v>841</v>
      </c>
      <c r="J1638" s="115">
        <v>45670</v>
      </c>
      <c r="K1638" s="115">
        <v>45685</v>
      </c>
      <c r="L1638" s="116">
        <v>992975</v>
      </c>
      <c r="M1638" s="117" t="s">
        <v>842</v>
      </c>
      <c r="N1638" s="34" t="s">
        <v>29</v>
      </c>
      <c r="O1638" s="27">
        <f>SUM(L1638:L1639)</f>
        <v>1112855</v>
      </c>
      <c r="P1638" s="113">
        <v>45787</v>
      </c>
      <c r="Q1638" s="113">
        <v>45787</v>
      </c>
      <c r="R1638" s="113">
        <v>45787</v>
      </c>
      <c r="S1638" s="37">
        <f t="shared" ref="S1638:S1644" si="335">IF(R1638="",0,L1638)</f>
        <v>992975</v>
      </c>
      <c r="T1638" s="37">
        <f t="shared" ref="T1638:T1644" si="336">L1638-S1638</f>
        <v>0</v>
      </c>
      <c r="U1638" s="10"/>
      <c r="V1638" s="10"/>
      <c r="W1638" s="10"/>
      <c r="X1638" s="10"/>
      <c r="Y1638" s="10"/>
      <c r="Z1638" s="10"/>
      <c r="AA1638" s="10"/>
      <c r="AB1638" s="52"/>
      <c r="AC1638" s="10"/>
      <c r="AD1638" s="10"/>
      <c r="AE1638" s="10"/>
    </row>
    <row r="1639" spans="1:31" ht="14.25" hidden="1" customHeight="1">
      <c r="A1639" s="277" t="s">
        <v>7714</v>
      </c>
      <c r="B1639" s="9" t="s">
        <v>21</v>
      </c>
      <c r="C1639" s="9">
        <v>2025</v>
      </c>
      <c r="D1639" s="9" t="s">
        <v>27</v>
      </c>
      <c r="E1639" s="90" t="s">
        <v>23</v>
      </c>
      <c r="F1639" s="9" t="s">
        <v>7</v>
      </c>
      <c r="G1639" s="10"/>
      <c r="H1639" s="96">
        <v>250090</v>
      </c>
      <c r="I1639" s="109" t="s">
        <v>841</v>
      </c>
      <c r="J1639" s="115">
        <v>45679</v>
      </c>
      <c r="K1639" s="115">
        <v>45699</v>
      </c>
      <c r="L1639" s="116">
        <v>119880</v>
      </c>
      <c r="M1639" s="117" t="s">
        <v>843</v>
      </c>
      <c r="N1639" s="34" t="s">
        <v>29</v>
      </c>
      <c r="O1639" s="10"/>
      <c r="P1639" s="113">
        <v>45787</v>
      </c>
      <c r="Q1639" s="113">
        <v>45787</v>
      </c>
      <c r="R1639" s="113">
        <v>45787</v>
      </c>
      <c r="S1639" s="37">
        <f t="shared" si="335"/>
        <v>119880</v>
      </c>
      <c r="T1639" s="37">
        <f t="shared" si="336"/>
        <v>0</v>
      </c>
      <c r="U1639" s="10"/>
      <c r="V1639" s="10"/>
      <c r="W1639" s="10"/>
      <c r="X1639" s="10"/>
      <c r="Y1639" s="10"/>
      <c r="Z1639" s="10"/>
      <c r="AA1639" s="10"/>
      <c r="AB1639" s="52"/>
      <c r="AC1639" s="10"/>
      <c r="AD1639" s="10"/>
      <c r="AE1639" s="10"/>
    </row>
    <row r="1640" spans="1:31" ht="14.25" hidden="1" customHeight="1">
      <c r="A1640" s="277" t="s">
        <v>7715</v>
      </c>
      <c r="B1640" s="9" t="s">
        <v>21</v>
      </c>
      <c r="C1640" s="9">
        <v>2025</v>
      </c>
      <c r="D1640" s="9" t="s">
        <v>27</v>
      </c>
      <c r="E1640" s="90" t="s">
        <v>23</v>
      </c>
      <c r="F1640" s="9" t="s">
        <v>7</v>
      </c>
      <c r="G1640" s="10"/>
      <c r="H1640" s="96">
        <v>250537</v>
      </c>
      <c r="I1640" s="109" t="s">
        <v>841</v>
      </c>
      <c r="J1640" s="115">
        <v>45796</v>
      </c>
      <c r="K1640" s="115">
        <v>45813</v>
      </c>
      <c r="L1640" s="131">
        <v>888999</v>
      </c>
      <c r="M1640" s="117" t="s">
        <v>844</v>
      </c>
      <c r="N1640" s="34" t="s">
        <v>29</v>
      </c>
      <c r="O1640" s="125">
        <f>SUM(L1640:L1641)</f>
        <v>1627149</v>
      </c>
      <c r="P1640" s="113">
        <v>45867</v>
      </c>
      <c r="Q1640" s="113">
        <v>45867</v>
      </c>
      <c r="R1640" s="113">
        <v>45867</v>
      </c>
      <c r="S1640" s="37">
        <f t="shared" si="335"/>
        <v>888999</v>
      </c>
      <c r="T1640" s="37">
        <f t="shared" si="336"/>
        <v>0</v>
      </c>
      <c r="U1640" s="10"/>
      <c r="V1640" s="10"/>
      <c r="W1640" s="10"/>
      <c r="X1640" s="10"/>
      <c r="Y1640" s="10"/>
      <c r="Z1640" s="10"/>
      <c r="AA1640" s="10"/>
      <c r="AB1640" s="52"/>
      <c r="AC1640" s="10"/>
      <c r="AD1640" s="10"/>
      <c r="AE1640" s="10"/>
    </row>
    <row r="1641" spans="1:31" ht="14.25" hidden="1" customHeight="1">
      <c r="A1641" s="277" t="s">
        <v>7716</v>
      </c>
      <c r="B1641" s="9" t="s">
        <v>21</v>
      </c>
      <c r="C1641" s="9">
        <v>2025</v>
      </c>
      <c r="D1641" s="9" t="s">
        <v>27</v>
      </c>
      <c r="E1641" s="90" t="s">
        <v>23</v>
      </c>
      <c r="F1641" s="9" t="s">
        <v>7</v>
      </c>
      <c r="G1641" s="10"/>
      <c r="H1641" s="96">
        <v>250556</v>
      </c>
      <c r="I1641" s="109" t="s">
        <v>841</v>
      </c>
      <c r="J1641" s="115">
        <v>45799</v>
      </c>
      <c r="K1641" s="115">
        <v>45818</v>
      </c>
      <c r="L1641" s="131">
        <v>738150</v>
      </c>
      <c r="M1641" s="117" t="s">
        <v>845</v>
      </c>
      <c r="N1641" s="34" t="s">
        <v>29</v>
      </c>
      <c r="O1641" s="11"/>
      <c r="P1641" s="113">
        <v>45867</v>
      </c>
      <c r="Q1641" s="113">
        <v>45867</v>
      </c>
      <c r="R1641" s="113">
        <v>45867</v>
      </c>
      <c r="S1641" s="37">
        <f t="shared" si="335"/>
        <v>738150</v>
      </c>
      <c r="T1641" s="37">
        <f t="shared" si="336"/>
        <v>0</v>
      </c>
      <c r="U1641" s="10"/>
      <c r="V1641" s="10"/>
      <c r="W1641" s="10"/>
      <c r="X1641" s="10"/>
      <c r="Y1641" s="10"/>
      <c r="Z1641" s="10"/>
      <c r="AA1641" s="10"/>
      <c r="AB1641" s="52"/>
      <c r="AC1641" s="10"/>
      <c r="AD1641" s="10"/>
      <c r="AE1641" s="10"/>
    </row>
    <row r="1642" spans="1:31" ht="14.25" hidden="1" customHeight="1">
      <c r="A1642" s="277" t="s">
        <v>7717</v>
      </c>
      <c r="B1642" s="9" t="s">
        <v>21</v>
      </c>
      <c r="C1642" s="9">
        <v>2025</v>
      </c>
      <c r="D1642" s="9" t="s">
        <v>27</v>
      </c>
      <c r="E1642" s="90" t="s">
        <v>23</v>
      </c>
      <c r="F1642" s="9" t="s">
        <v>7</v>
      </c>
      <c r="G1642" s="10"/>
      <c r="H1642" s="96">
        <v>250817</v>
      </c>
      <c r="I1642" s="109" t="s">
        <v>841</v>
      </c>
      <c r="J1642" s="115">
        <v>45883</v>
      </c>
      <c r="K1642" s="115">
        <v>45895</v>
      </c>
      <c r="L1642" s="131">
        <v>11795470</v>
      </c>
      <c r="M1642" s="117" t="s">
        <v>846</v>
      </c>
      <c r="N1642" s="34" t="s">
        <v>29</v>
      </c>
      <c r="O1642" s="11"/>
      <c r="P1642" s="113">
        <v>45978</v>
      </c>
      <c r="Q1642" s="113">
        <v>45978</v>
      </c>
      <c r="R1642" s="113">
        <v>45978</v>
      </c>
      <c r="S1642" s="37">
        <f t="shared" si="335"/>
        <v>11795470</v>
      </c>
      <c r="T1642" s="37">
        <f t="shared" si="336"/>
        <v>0</v>
      </c>
      <c r="U1642" s="10"/>
      <c r="V1642" s="10"/>
      <c r="W1642" s="10"/>
      <c r="X1642" s="10"/>
      <c r="Y1642" s="10"/>
      <c r="Z1642" s="10"/>
      <c r="AA1642" s="10"/>
      <c r="AB1642" s="52"/>
      <c r="AC1642" s="10"/>
      <c r="AD1642" s="10"/>
      <c r="AE1642" s="10"/>
    </row>
    <row r="1643" spans="1:31" ht="14.25" hidden="1" customHeight="1">
      <c r="A1643" s="277" t="s">
        <v>7718</v>
      </c>
      <c r="B1643" s="9" t="s">
        <v>21</v>
      </c>
      <c r="C1643" s="9">
        <v>2025</v>
      </c>
      <c r="D1643" s="9" t="s">
        <v>27</v>
      </c>
      <c r="E1643" s="90" t="s">
        <v>23</v>
      </c>
      <c r="F1643" s="9" t="s">
        <v>7</v>
      </c>
      <c r="G1643" s="10"/>
      <c r="H1643" s="96">
        <v>251204</v>
      </c>
      <c r="I1643" s="109" t="s">
        <v>841</v>
      </c>
      <c r="J1643" s="115">
        <v>45985</v>
      </c>
      <c r="K1643" s="115">
        <v>46000</v>
      </c>
      <c r="L1643" s="131">
        <v>3170160</v>
      </c>
      <c r="M1643" s="117" t="s">
        <v>4075</v>
      </c>
      <c r="N1643" s="34" t="s">
        <v>29</v>
      </c>
      <c r="O1643" s="125">
        <f>SUM(L1643:L1644)</f>
        <v>5192441</v>
      </c>
      <c r="P1643" s="113">
        <v>46107</v>
      </c>
      <c r="Q1643" s="113">
        <v>46107</v>
      </c>
      <c r="R1643" s="113">
        <v>46107</v>
      </c>
      <c r="S1643" s="37">
        <f t="shared" si="335"/>
        <v>3170160</v>
      </c>
      <c r="T1643" s="37">
        <f t="shared" si="336"/>
        <v>0</v>
      </c>
      <c r="U1643" s="10"/>
      <c r="V1643" s="10"/>
      <c r="W1643" s="10"/>
      <c r="X1643" s="10"/>
      <c r="Y1643" s="10"/>
      <c r="Z1643" s="10"/>
      <c r="AA1643" s="10"/>
      <c r="AB1643" s="52"/>
      <c r="AC1643" s="10"/>
      <c r="AD1643" s="10"/>
      <c r="AE1643" s="10"/>
    </row>
    <row r="1644" spans="1:31" ht="14.25" hidden="1" customHeight="1">
      <c r="A1644" s="277" t="s">
        <v>7719</v>
      </c>
      <c r="B1644" s="9" t="s">
        <v>21</v>
      </c>
      <c r="C1644" s="9">
        <v>2025</v>
      </c>
      <c r="D1644" s="9" t="s">
        <v>27</v>
      </c>
      <c r="E1644" s="90" t="s">
        <v>23</v>
      </c>
      <c r="F1644" s="9" t="s">
        <v>7</v>
      </c>
      <c r="G1644" s="10"/>
      <c r="H1644" s="96">
        <v>251215</v>
      </c>
      <c r="I1644" s="109" t="s">
        <v>841</v>
      </c>
      <c r="J1644" s="115">
        <v>45990</v>
      </c>
      <c r="K1644" s="115">
        <v>46009</v>
      </c>
      <c r="L1644" s="131">
        <v>2022281</v>
      </c>
      <c r="M1644" s="117" t="s">
        <v>4109</v>
      </c>
      <c r="N1644" s="34" t="s">
        <v>29</v>
      </c>
      <c r="O1644" s="11"/>
      <c r="P1644" s="113">
        <v>46107</v>
      </c>
      <c r="Q1644" s="113">
        <v>46107</v>
      </c>
      <c r="R1644" s="113">
        <v>46107</v>
      </c>
      <c r="S1644" s="37">
        <f t="shared" si="335"/>
        <v>2022281</v>
      </c>
      <c r="T1644" s="37">
        <f t="shared" si="336"/>
        <v>0</v>
      </c>
      <c r="U1644" s="10"/>
      <c r="V1644" s="10"/>
      <c r="W1644" s="10"/>
      <c r="X1644" s="10"/>
      <c r="Y1644" s="10"/>
      <c r="Z1644" s="10"/>
      <c r="AA1644" s="10"/>
      <c r="AB1644" s="52"/>
      <c r="AC1644" s="10"/>
      <c r="AD1644" s="10"/>
      <c r="AE1644" s="10"/>
    </row>
    <row r="1645" spans="1:31" ht="14.25" hidden="1" customHeight="1">
      <c r="A1645" s="277" t="s">
        <v>5862</v>
      </c>
      <c r="B1645" s="9" t="s">
        <v>21</v>
      </c>
      <c r="C1645" s="9">
        <v>2026</v>
      </c>
      <c r="D1645" s="9" t="s">
        <v>27</v>
      </c>
      <c r="E1645" s="90" t="s">
        <v>23</v>
      </c>
      <c r="F1645" s="9" t="s">
        <v>7</v>
      </c>
      <c r="G1645" s="10"/>
      <c r="H1645" s="96">
        <v>260207</v>
      </c>
      <c r="I1645" s="109" t="s">
        <v>841</v>
      </c>
      <c r="J1645" s="115">
        <v>46118</v>
      </c>
      <c r="K1645" s="115">
        <v>46156</v>
      </c>
      <c r="L1645" s="131">
        <v>1698300</v>
      </c>
      <c r="M1645" s="117" t="s">
        <v>7027</v>
      </c>
      <c r="N1645" s="34" t="s">
        <v>29</v>
      </c>
      <c r="O1645" s="11"/>
      <c r="P1645" s="113">
        <v>46177</v>
      </c>
      <c r="Q1645" s="113">
        <v>46177</v>
      </c>
      <c r="R1645" s="113">
        <v>46177</v>
      </c>
      <c r="S1645" s="37">
        <f t="shared" ref="S1645:S1648" si="337">IF(R1645="",0,L1645)</f>
        <v>1698300</v>
      </c>
      <c r="T1645" s="37">
        <f t="shared" ref="T1645:T1648" si="338">L1645-S1645</f>
        <v>0</v>
      </c>
      <c r="U1645" s="10"/>
      <c r="V1645" s="10"/>
      <c r="W1645" s="10"/>
      <c r="X1645" s="10"/>
      <c r="Y1645" s="10"/>
      <c r="Z1645" s="10"/>
      <c r="AA1645" s="10"/>
      <c r="AB1645" s="52"/>
      <c r="AC1645" s="10"/>
      <c r="AD1645" s="10"/>
      <c r="AE1645" s="10"/>
    </row>
    <row r="1646" spans="1:31" ht="14.25" customHeight="1">
      <c r="A1646" s="277" t="s">
        <v>5863</v>
      </c>
      <c r="B1646" s="9" t="s">
        <v>21</v>
      </c>
      <c r="C1646" s="9">
        <v>2026</v>
      </c>
      <c r="D1646" s="9" t="s">
        <v>27</v>
      </c>
      <c r="E1646" s="90" t="s">
        <v>23</v>
      </c>
      <c r="F1646" s="9" t="s">
        <v>7</v>
      </c>
      <c r="G1646" s="10"/>
      <c r="H1646" s="96">
        <v>260208</v>
      </c>
      <c r="I1646" s="109" t="s">
        <v>841</v>
      </c>
      <c r="J1646" s="115">
        <v>46120</v>
      </c>
      <c r="K1646" s="115">
        <v>46156</v>
      </c>
      <c r="L1646" s="131">
        <v>379620</v>
      </c>
      <c r="M1646" s="117" t="s">
        <v>7028</v>
      </c>
      <c r="N1646" s="34" t="s">
        <v>29</v>
      </c>
      <c r="O1646" s="11"/>
      <c r="P1646" s="113">
        <v>46177</v>
      </c>
      <c r="Q1646" s="113">
        <v>46177</v>
      </c>
      <c r="R1646" s="113">
        <v>46177</v>
      </c>
      <c r="S1646" s="37">
        <f t="shared" si="337"/>
        <v>379620</v>
      </c>
      <c r="T1646" s="37">
        <f t="shared" si="338"/>
        <v>0</v>
      </c>
      <c r="U1646" s="10"/>
      <c r="V1646" s="10"/>
      <c r="W1646" s="10"/>
      <c r="X1646" s="10"/>
      <c r="Y1646" s="10"/>
      <c r="Z1646" s="10"/>
      <c r="AA1646" s="10"/>
      <c r="AB1646" s="52"/>
      <c r="AC1646" s="10"/>
      <c r="AD1646" s="10"/>
      <c r="AE1646" s="10"/>
    </row>
    <row r="1647" spans="1:31" ht="14.25" customHeight="1">
      <c r="A1647" s="277" t="s">
        <v>5864</v>
      </c>
      <c r="B1647" s="9" t="s">
        <v>21</v>
      </c>
      <c r="C1647" s="9">
        <v>2026</v>
      </c>
      <c r="D1647" s="9" t="s">
        <v>27</v>
      </c>
      <c r="E1647" s="90" t="s">
        <v>23</v>
      </c>
      <c r="F1647" s="9" t="s">
        <v>7</v>
      </c>
      <c r="G1647" s="10"/>
      <c r="H1647" s="96">
        <v>260338</v>
      </c>
      <c r="I1647" s="109" t="s">
        <v>841</v>
      </c>
      <c r="J1647" s="115">
        <v>46181</v>
      </c>
      <c r="K1647" s="115">
        <v>46214</v>
      </c>
      <c r="L1647" s="131">
        <v>3644646</v>
      </c>
      <c r="M1647" s="117" t="s">
        <v>7393</v>
      </c>
      <c r="N1647" s="34" t="s">
        <v>29</v>
      </c>
      <c r="O1647" s="11"/>
      <c r="P1647" s="113">
        <v>46226</v>
      </c>
      <c r="Q1647" s="113">
        <v>46226</v>
      </c>
      <c r="R1647" s="113">
        <v>46226</v>
      </c>
      <c r="S1647" s="37">
        <f t="shared" si="337"/>
        <v>3644646</v>
      </c>
      <c r="T1647" s="37">
        <f t="shared" si="338"/>
        <v>0</v>
      </c>
      <c r="U1647" s="10"/>
      <c r="V1647" s="10"/>
      <c r="W1647" s="10"/>
      <c r="X1647" s="10"/>
      <c r="Y1647" s="10"/>
      <c r="Z1647" s="10"/>
      <c r="AA1647" s="10"/>
      <c r="AB1647" s="52"/>
      <c r="AC1647" s="10"/>
      <c r="AD1647" s="10"/>
      <c r="AE1647" s="10"/>
    </row>
    <row r="1648" spans="1:31" ht="14.25" customHeight="1">
      <c r="A1648" s="277" t="s">
        <v>5865</v>
      </c>
      <c r="B1648" s="9" t="s">
        <v>21</v>
      </c>
      <c r="C1648" s="9"/>
      <c r="D1648" s="9"/>
      <c r="E1648" s="90"/>
      <c r="F1648" s="9"/>
      <c r="G1648" s="10"/>
      <c r="H1648" s="9"/>
      <c r="I1648" s="11"/>
      <c r="J1648" s="12"/>
      <c r="K1648" s="12"/>
      <c r="L1648" s="52"/>
      <c r="M1648" s="10"/>
      <c r="N1648" s="114"/>
      <c r="O1648" s="11"/>
      <c r="P1648" s="39"/>
      <c r="Q1648" s="49"/>
      <c r="R1648" s="39"/>
      <c r="S1648" s="37">
        <f t="shared" si="337"/>
        <v>0</v>
      </c>
      <c r="T1648" s="37">
        <f t="shared" si="338"/>
        <v>0</v>
      </c>
      <c r="U1648" s="10"/>
      <c r="V1648" s="10"/>
      <c r="W1648" s="10"/>
      <c r="X1648" s="10"/>
      <c r="Y1648" s="10"/>
      <c r="Z1648" s="10"/>
      <c r="AA1648" s="10"/>
      <c r="AB1648" s="52"/>
      <c r="AC1648" s="10"/>
      <c r="AD1648" s="10"/>
      <c r="AE1648" s="10"/>
    </row>
    <row r="1649" spans="1:31" ht="14.25" customHeight="1">
      <c r="A1649" s="277" t="s">
        <v>5866</v>
      </c>
      <c r="B1649" s="9"/>
      <c r="C1649" s="9"/>
      <c r="D1649" s="9"/>
      <c r="E1649" s="90"/>
      <c r="F1649" s="9"/>
      <c r="G1649" s="10"/>
      <c r="H1649" s="9"/>
      <c r="I1649" s="11"/>
      <c r="J1649" s="12"/>
      <c r="K1649" s="12"/>
      <c r="L1649" s="52"/>
      <c r="M1649" s="10"/>
      <c r="N1649" s="34"/>
      <c r="O1649" s="11"/>
      <c r="P1649" s="39"/>
      <c r="Q1649" s="49"/>
      <c r="R1649" s="39"/>
      <c r="S1649" s="37"/>
      <c r="T1649" s="37"/>
      <c r="U1649" s="10"/>
      <c r="V1649" s="10"/>
      <c r="W1649" s="10"/>
      <c r="X1649" s="10"/>
      <c r="Y1649" s="10"/>
      <c r="Z1649" s="10"/>
      <c r="AA1649" s="10"/>
      <c r="AB1649" s="52"/>
      <c r="AC1649" s="10"/>
      <c r="AD1649" s="10"/>
      <c r="AE1649" s="10"/>
    </row>
    <row r="1650" spans="1:31">
      <c r="A1650" s="277" t="s">
        <v>5867</v>
      </c>
      <c r="B1650" s="9" t="s">
        <v>21</v>
      </c>
      <c r="C1650" s="9"/>
      <c r="D1650" s="9"/>
      <c r="E1650" s="90"/>
      <c r="F1650" s="9"/>
      <c r="G1650" s="94" t="s">
        <v>24</v>
      </c>
      <c r="H1650" s="95" t="s">
        <v>847</v>
      </c>
      <c r="I1650" s="104"/>
      <c r="J1650" s="105"/>
      <c r="K1650" s="105"/>
      <c r="L1650" s="106">
        <f>SUM(L1651:L1653)</f>
        <v>769104</v>
      </c>
      <c r="M1650" s="107"/>
      <c r="N1650" s="108" t="s">
        <v>26</v>
      </c>
      <c r="O1650" s="108"/>
      <c r="P1650" s="108"/>
      <c r="Q1650" s="108"/>
      <c r="R1650" s="108"/>
      <c r="S1650" s="106">
        <f>SUM(S1651:S1653)</f>
        <v>769104</v>
      </c>
      <c r="T1650" s="106">
        <f>SUM(T1651:T1653)</f>
        <v>0</v>
      </c>
      <c r="U1650" s="10"/>
      <c r="V1650" s="52">
        <f>L1650-S1650</f>
        <v>0</v>
      </c>
      <c r="W1650" s="52">
        <f>T1650-V1650</f>
        <v>0</v>
      </c>
      <c r="X1650" s="10"/>
      <c r="Y1650" s="10"/>
      <c r="Z1650" s="10"/>
      <c r="AA1650" s="10"/>
      <c r="AB1650" s="10"/>
      <c r="AC1650" s="10"/>
      <c r="AD1650" s="10"/>
      <c r="AE1650" s="10"/>
    </row>
    <row r="1651" spans="1:31">
      <c r="A1651" s="277" t="s">
        <v>5868</v>
      </c>
      <c r="B1651" s="9" t="s">
        <v>21</v>
      </c>
      <c r="C1651" s="9">
        <v>2025</v>
      </c>
      <c r="D1651" s="9" t="s">
        <v>27</v>
      </c>
      <c r="E1651" s="90" t="s">
        <v>23</v>
      </c>
      <c r="F1651" s="9" t="s">
        <v>7</v>
      </c>
      <c r="G1651" s="10"/>
      <c r="H1651" s="96">
        <v>250066</v>
      </c>
      <c r="I1651" s="109" t="s">
        <v>847</v>
      </c>
      <c r="J1651" s="115">
        <v>45670</v>
      </c>
      <c r="K1651" s="115">
        <v>45713</v>
      </c>
      <c r="L1651" s="131">
        <v>769104</v>
      </c>
      <c r="M1651" s="117" t="s">
        <v>848</v>
      </c>
      <c r="N1651" s="34" t="s">
        <v>29</v>
      </c>
      <c r="O1651" s="11"/>
      <c r="P1651" s="113">
        <v>45783</v>
      </c>
      <c r="Q1651" s="113">
        <v>45783</v>
      </c>
      <c r="R1651" s="113">
        <v>45783</v>
      </c>
      <c r="S1651" s="37">
        <f t="shared" ref="S1651:S1652" si="339">IF(R1651="",0,L1651)</f>
        <v>769104</v>
      </c>
      <c r="T1651" s="37">
        <f t="shared" ref="T1651:T1652" si="340">L1651-S1651</f>
        <v>0</v>
      </c>
      <c r="U1651" s="10"/>
      <c r="V1651" s="10"/>
      <c r="W1651" s="10"/>
      <c r="X1651" s="10"/>
      <c r="Y1651" s="10"/>
      <c r="Z1651" s="10"/>
      <c r="AA1651" s="10"/>
      <c r="AB1651" s="52"/>
      <c r="AC1651" s="10"/>
      <c r="AD1651" s="10"/>
      <c r="AE1651" s="10"/>
    </row>
    <row r="1652" spans="1:31" ht="14.25" customHeight="1">
      <c r="A1652" s="277" t="s">
        <v>5869</v>
      </c>
      <c r="B1652" s="9" t="s">
        <v>21</v>
      </c>
      <c r="C1652" s="9"/>
      <c r="D1652" s="9"/>
      <c r="E1652" s="90"/>
      <c r="F1652" s="9"/>
      <c r="G1652" s="10"/>
      <c r="H1652" s="9"/>
      <c r="I1652" s="11"/>
      <c r="J1652" s="12"/>
      <c r="K1652" s="12"/>
      <c r="L1652" s="52"/>
      <c r="M1652" s="10"/>
      <c r="N1652" s="114"/>
      <c r="O1652" s="11"/>
      <c r="P1652" s="39"/>
      <c r="Q1652" s="49"/>
      <c r="R1652" s="39"/>
      <c r="S1652" s="37">
        <f t="shared" si="339"/>
        <v>0</v>
      </c>
      <c r="T1652" s="37">
        <f t="shared" si="340"/>
        <v>0</v>
      </c>
      <c r="U1652" s="10"/>
      <c r="V1652" s="10"/>
      <c r="W1652" s="10"/>
      <c r="X1652" s="10"/>
      <c r="Y1652" s="10"/>
      <c r="Z1652" s="10"/>
      <c r="AA1652" s="10"/>
      <c r="AB1652" s="52"/>
      <c r="AC1652" s="10"/>
      <c r="AD1652" s="10"/>
      <c r="AE1652" s="10"/>
    </row>
    <row r="1653" spans="1:31" ht="14.25" customHeight="1">
      <c r="A1653" s="277" t="s">
        <v>5870</v>
      </c>
      <c r="B1653" s="9" t="s">
        <v>21</v>
      </c>
      <c r="C1653" s="9"/>
      <c r="D1653" s="9"/>
      <c r="E1653" s="90"/>
      <c r="F1653" s="9"/>
      <c r="G1653" s="10"/>
      <c r="H1653" s="9"/>
      <c r="I1653" s="11"/>
      <c r="J1653" s="12"/>
      <c r="K1653" s="12"/>
      <c r="L1653" s="52"/>
      <c r="M1653" s="10"/>
      <c r="N1653" s="9"/>
      <c r="O1653" s="11"/>
      <c r="P1653" s="39"/>
      <c r="Q1653" s="39"/>
      <c r="R1653" s="39"/>
      <c r="S1653" s="37"/>
      <c r="T1653" s="37"/>
      <c r="U1653" s="10"/>
      <c r="V1653" s="10"/>
      <c r="W1653" s="10"/>
      <c r="X1653" s="10"/>
      <c r="Y1653" s="10"/>
      <c r="Z1653" s="10"/>
      <c r="AA1653" s="10"/>
      <c r="AB1653" s="52"/>
      <c r="AC1653" s="10"/>
      <c r="AD1653" s="10"/>
      <c r="AE1653" s="10"/>
    </row>
    <row r="1654" spans="1:31" ht="14.25" customHeight="1">
      <c r="A1654" s="277" t="s">
        <v>5871</v>
      </c>
      <c r="B1654" s="9" t="s">
        <v>21</v>
      </c>
      <c r="C1654" s="9"/>
      <c r="D1654" s="9"/>
      <c r="E1654" s="90"/>
      <c r="F1654" s="9"/>
      <c r="G1654" s="94" t="s">
        <v>24</v>
      </c>
      <c r="H1654" s="95" t="s">
        <v>849</v>
      </c>
      <c r="I1654" s="104"/>
      <c r="J1654" s="105"/>
      <c r="K1654" s="105"/>
      <c r="L1654" s="106">
        <f>SUM(L1655:L1656)</f>
        <v>3696300</v>
      </c>
      <c r="M1654" s="107"/>
      <c r="N1654" s="108" t="s">
        <v>26</v>
      </c>
      <c r="O1654" s="108"/>
      <c r="P1654" s="108"/>
      <c r="Q1654" s="108"/>
      <c r="R1654" s="108"/>
      <c r="S1654" s="106">
        <f>SUM(S1655:S1656)</f>
        <v>3696300</v>
      </c>
      <c r="T1654" s="106">
        <f>SUM(T1655:T1656)</f>
        <v>0</v>
      </c>
      <c r="U1654" s="10"/>
      <c r="V1654" s="52">
        <f>L1654-S1654</f>
        <v>0</v>
      </c>
      <c r="W1654" s="52">
        <f>T1654-V1654</f>
        <v>0</v>
      </c>
      <c r="X1654" s="10"/>
      <c r="Y1654" s="10"/>
      <c r="Z1654" s="10"/>
      <c r="AA1654" s="10"/>
      <c r="AB1654" s="10"/>
      <c r="AC1654" s="10"/>
      <c r="AD1654" s="10"/>
      <c r="AE1654" s="10"/>
    </row>
    <row r="1655" spans="1:31" ht="14.25" customHeight="1">
      <c r="A1655" s="277" t="s">
        <v>5872</v>
      </c>
      <c r="B1655" s="9" t="s">
        <v>21</v>
      </c>
      <c r="C1655" s="9">
        <v>2025</v>
      </c>
      <c r="D1655" s="9" t="s">
        <v>27</v>
      </c>
      <c r="E1655" s="90" t="s">
        <v>23</v>
      </c>
      <c r="F1655" s="9" t="s">
        <v>7</v>
      </c>
      <c r="G1655" s="10"/>
      <c r="H1655" s="96">
        <v>250175</v>
      </c>
      <c r="I1655" s="121" t="s">
        <v>849</v>
      </c>
      <c r="J1655" s="115">
        <v>45701</v>
      </c>
      <c r="K1655" s="115">
        <v>45720</v>
      </c>
      <c r="L1655" s="131">
        <v>3696300</v>
      </c>
      <c r="M1655" s="150" t="s">
        <v>850</v>
      </c>
      <c r="N1655" s="34" t="s">
        <v>29</v>
      </c>
      <c r="O1655" s="11"/>
      <c r="P1655" s="113">
        <v>45797</v>
      </c>
      <c r="Q1655" s="113">
        <v>45797</v>
      </c>
      <c r="R1655" s="113">
        <v>45797</v>
      </c>
      <c r="S1655" s="37">
        <f>IF(R1655="",0,L1655)</f>
        <v>3696300</v>
      </c>
      <c r="T1655" s="37">
        <f>L1655-S1655</f>
        <v>0</v>
      </c>
      <c r="U1655" s="10"/>
      <c r="V1655" s="10"/>
      <c r="W1655" s="10"/>
      <c r="X1655" s="10"/>
      <c r="Y1655" s="10"/>
      <c r="Z1655" s="10"/>
      <c r="AA1655" s="10"/>
      <c r="AB1655" s="10"/>
      <c r="AC1655" s="10"/>
      <c r="AD1655" s="10"/>
      <c r="AE1655" s="10"/>
    </row>
    <row r="1656" spans="1:31" ht="14.25" customHeight="1">
      <c r="A1656" s="277" t="s">
        <v>5873</v>
      </c>
      <c r="B1656" s="9" t="s">
        <v>21</v>
      </c>
      <c r="C1656" s="9"/>
      <c r="D1656" s="9"/>
      <c r="E1656" s="90"/>
      <c r="F1656" s="9"/>
      <c r="G1656" s="10"/>
      <c r="H1656" s="9"/>
      <c r="I1656" s="11"/>
      <c r="J1656" s="12"/>
      <c r="K1656" s="12"/>
      <c r="L1656" s="52"/>
      <c r="M1656" s="10"/>
      <c r="N1656" s="114">
        <f ca="1">$J$3-J1656</f>
        <v>46240.46377638889</v>
      </c>
      <c r="O1656" s="10"/>
      <c r="P1656" s="39"/>
      <c r="Q1656" s="39"/>
      <c r="R1656" s="39"/>
      <c r="S1656" s="37">
        <f>IF(R1656="",0,L1656)</f>
        <v>0</v>
      </c>
      <c r="T1656" s="37">
        <f>L1656-S1656</f>
        <v>0</v>
      </c>
      <c r="U1656" s="10"/>
      <c r="V1656" s="10"/>
      <c r="W1656" s="10"/>
      <c r="X1656" s="10"/>
      <c r="Y1656" s="10"/>
      <c r="Z1656" s="10"/>
      <c r="AA1656" s="10"/>
      <c r="AB1656" s="10"/>
      <c r="AC1656" s="10"/>
      <c r="AD1656" s="10"/>
      <c r="AE1656" s="10"/>
    </row>
    <row r="1657" spans="1:31" ht="14.25" customHeight="1">
      <c r="A1657" s="277" t="s">
        <v>5874</v>
      </c>
      <c r="B1657" s="9" t="s">
        <v>21</v>
      </c>
      <c r="C1657" s="9"/>
      <c r="D1657" s="9"/>
      <c r="E1657" s="90"/>
      <c r="F1657" s="9"/>
      <c r="G1657" s="10"/>
      <c r="H1657" s="9"/>
      <c r="I1657" s="11"/>
      <c r="J1657" s="12"/>
      <c r="K1657" s="12"/>
      <c r="L1657" s="52"/>
      <c r="M1657" s="10"/>
      <c r="N1657" s="9"/>
      <c r="O1657" s="10"/>
      <c r="P1657" s="39"/>
      <c r="Q1657" s="39"/>
      <c r="R1657" s="39"/>
      <c r="S1657" s="37"/>
      <c r="T1657" s="37"/>
      <c r="U1657" s="10"/>
      <c r="V1657" s="10"/>
      <c r="W1657" s="10"/>
      <c r="X1657" s="10"/>
      <c r="Y1657" s="10"/>
      <c r="Z1657" s="10"/>
      <c r="AA1657" s="10"/>
      <c r="AB1657" s="10"/>
      <c r="AC1657" s="10"/>
      <c r="AD1657" s="10"/>
      <c r="AE1657" s="10"/>
    </row>
    <row r="1658" spans="1:31">
      <c r="A1658" s="277" t="s">
        <v>5875</v>
      </c>
      <c r="B1658" s="9" t="s">
        <v>21</v>
      </c>
      <c r="C1658" s="9"/>
      <c r="D1658" s="9"/>
      <c r="E1658" s="90"/>
      <c r="F1658" s="9"/>
      <c r="G1658" s="94" t="s">
        <v>24</v>
      </c>
      <c r="H1658" s="95" t="s">
        <v>851</v>
      </c>
      <c r="I1658" s="104"/>
      <c r="J1658" s="105"/>
      <c r="K1658" s="105"/>
      <c r="L1658" s="106">
        <f>SUM(L1659:L1699)</f>
        <v>100792160</v>
      </c>
      <c r="M1658" s="107"/>
      <c r="N1658" s="108" t="s">
        <v>26</v>
      </c>
      <c r="O1658" s="108"/>
      <c r="P1658" s="108"/>
      <c r="Q1658" s="108"/>
      <c r="R1658" s="108"/>
      <c r="S1658" s="106">
        <f>SUM(S1659:S1699)</f>
        <v>54855920</v>
      </c>
      <c r="T1658" s="106">
        <f>SUM(T1659:T1699)</f>
        <v>45936240</v>
      </c>
      <c r="U1658" s="10"/>
      <c r="V1658" s="52">
        <f>L1658-S1658</f>
        <v>45936240</v>
      </c>
      <c r="W1658" s="52">
        <f>T1658-V1658</f>
        <v>0</v>
      </c>
      <c r="X1658" s="10"/>
      <c r="Y1658" s="10"/>
      <c r="Z1658" s="10"/>
      <c r="AA1658" s="10"/>
      <c r="AB1658" s="10"/>
      <c r="AC1658" s="10"/>
      <c r="AD1658" s="10"/>
      <c r="AE1658" s="10"/>
    </row>
    <row r="1659" spans="1:31" ht="14.25" hidden="1" customHeight="1">
      <c r="A1659" s="277" t="s">
        <v>5876</v>
      </c>
      <c r="B1659" s="9" t="s">
        <v>21</v>
      </c>
      <c r="C1659" s="9">
        <v>2025</v>
      </c>
      <c r="D1659" s="9" t="s">
        <v>27</v>
      </c>
      <c r="E1659" s="90" t="s">
        <v>23</v>
      </c>
      <c r="F1659" s="9" t="s">
        <v>7</v>
      </c>
      <c r="G1659" s="10"/>
      <c r="H1659" s="96">
        <v>250119</v>
      </c>
      <c r="I1659" s="109" t="s">
        <v>852</v>
      </c>
      <c r="J1659" s="115">
        <v>45693</v>
      </c>
      <c r="K1659" s="115">
        <v>45731</v>
      </c>
      <c r="L1659" s="116">
        <v>210900</v>
      </c>
      <c r="M1659" s="117" t="s">
        <v>853</v>
      </c>
      <c r="N1659" s="34" t="s">
        <v>29</v>
      </c>
      <c r="O1659" s="11"/>
      <c r="P1659" s="113">
        <v>45917</v>
      </c>
      <c r="Q1659" s="113">
        <v>45917</v>
      </c>
      <c r="R1659" s="113">
        <v>45917</v>
      </c>
      <c r="S1659" s="37">
        <f t="shared" ref="S1659:S1685" si="341">IF(R1659="",0,L1659)</f>
        <v>210900</v>
      </c>
      <c r="T1659" s="37">
        <f t="shared" ref="T1659:T1685" si="342">L1659-S1659</f>
        <v>0</v>
      </c>
      <c r="U1659" s="10"/>
      <c r="V1659" s="10"/>
      <c r="W1659" s="10"/>
      <c r="X1659" s="10"/>
      <c r="Y1659" s="10"/>
      <c r="Z1659" s="10"/>
      <c r="AA1659" s="10"/>
      <c r="AB1659" s="10"/>
      <c r="AC1659" s="10"/>
      <c r="AD1659" s="10"/>
      <c r="AE1659" s="10"/>
    </row>
    <row r="1660" spans="1:31" ht="14.25" hidden="1" customHeight="1">
      <c r="A1660" s="277" t="s">
        <v>5877</v>
      </c>
      <c r="B1660" s="9" t="s">
        <v>21</v>
      </c>
      <c r="C1660" s="9">
        <v>2025</v>
      </c>
      <c r="D1660" s="9" t="s">
        <v>27</v>
      </c>
      <c r="E1660" s="90" t="s">
        <v>23</v>
      </c>
      <c r="F1660" s="9" t="s">
        <v>7</v>
      </c>
      <c r="G1660" s="10"/>
      <c r="H1660" s="96">
        <v>250140</v>
      </c>
      <c r="I1660" s="109" t="s">
        <v>852</v>
      </c>
      <c r="J1660" s="115">
        <v>45695</v>
      </c>
      <c r="K1660" s="115">
        <v>45731</v>
      </c>
      <c r="L1660" s="116">
        <v>1831500</v>
      </c>
      <c r="M1660" s="117" t="s">
        <v>854</v>
      </c>
      <c r="N1660" s="34" t="s">
        <v>29</v>
      </c>
      <c r="O1660" s="11"/>
      <c r="P1660" s="113">
        <v>45917</v>
      </c>
      <c r="Q1660" s="113">
        <v>45917</v>
      </c>
      <c r="R1660" s="113">
        <v>45917</v>
      </c>
      <c r="S1660" s="37">
        <f t="shared" si="341"/>
        <v>1831500</v>
      </c>
      <c r="T1660" s="37">
        <f t="shared" si="342"/>
        <v>0</v>
      </c>
      <c r="U1660" s="10"/>
      <c r="V1660" s="10"/>
      <c r="W1660" s="10"/>
      <c r="X1660" s="10"/>
      <c r="Y1660" s="10"/>
      <c r="Z1660" s="10"/>
      <c r="AA1660" s="10"/>
      <c r="AB1660" s="10"/>
      <c r="AC1660" s="10"/>
      <c r="AD1660" s="10"/>
      <c r="AE1660" s="10"/>
    </row>
    <row r="1661" spans="1:31" ht="14.25" hidden="1" customHeight="1">
      <c r="A1661" s="277" t="s">
        <v>5878</v>
      </c>
      <c r="B1661" s="9" t="s">
        <v>21</v>
      </c>
      <c r="C1661" s="9">
        <v>2025</v>
      </c>
      <c r="D1661" s="9" t="s">
        <v>27</v>
      </c>
      <c r="E1661" s="90" t="s">
        <v>23</v>
      </c>
      <c r="F1661" s="9" t="s">
        <v>7</v>
      </c>
      <c r="G1661" s="10"/>
      <c r="H1661" s="96">
        <v>250148</v>
      </c>
      <c r="I1661" s="109" t="s">
        <v>852</v>
      </c>
      <c r="J1661" s="115">
        <v>45696</v>
      </c>
      <c r="K1661" s="115">
        <v>45731</v>
      </c>
      <c r="L1661" s="116">
        <v>1040070</v>
      </c>
      <c r="M1661" s="117" t="s">
        <v>855</v>
      </c>
      <c r="N1661" s="34" t="s">
        <v>29</v>
      </c>
      <c r="O1661" s="11"/>
      <c r="P1661" s="113">
        <v>45917</v>
      </c>
      <c r="Q1661" s="113">
        <v>45917</v>
      </c>
      <c r="R1661" s="113">
        <v>45917</v>
      </c>
      <c r="S1661" s="37">
        <f t="shared" si="341"/>
        <v>1040070</v>
      </c>
      <c r="T1661" s="37">
        <f t="shared" si="342"/>
        <v>0</v>
      </c>
      <c r="U1661" s="10"/>
      <c r="V1661" s="10"/>
      <c r="W1661" s="10"/>
      <c r="X1661" s="10"/>
      <c r="Y1661" s="10"/>
      <c r="Z1661" s="10"/>
      <c r="AA1661" s="10"/>
      <c r="AB1661" s="10"/>
      <c r="AC1661" s="10"/>
      <c r="AD1661" s="10"/>
      <c r="AE1661" s="10"/>
    </row>
    <row r="1662" spans="1:31" ht="14.25" hidden="1" customHeight="1">
      <c r="A1662" s="277" t="s">
        <v>5879</v>
      </c>
      <c r="B1662" s="9" t="s">
        <v>21</v>
      </c>
      <c r="C1662" s="9">
        <v>2025</v>
      </c>
      <c r="D1662" s="9" t="s">
        <v>27</v>
      </c>
      <c r="E1662" s="90" t="s">
        <v>23</v>
      </c>
      <c r="F1662" s="9" t="s">
        <v>7</v>
      </c>
      <c r="G1662" s="10"/>
      <c r="H1662" s="96">
        <v>250151</v>
      </c>
      <c r="I1662" s="109" t="s">
        <v>852</v>
      </c>
      <c r="J1662" s="115">
        <v>45698</v>
      </c>
      <c r="K1662" s="115">
        <v>45731</v>
      </c>
      <c r="L1662" s="116">
        <f>5683200-1700000</f>
        <v>3983200</v>
      </c>
      <c r="M1662" s="117" t="s">
        <v>856</v>
      </c>
      <c r="N1662" s="34" t="s">
        <v>29</v>
      </c>
      <c r="O1662" s="11"/>
      <c r="P1662" s="113">
        <v>45917</v>
      </c>
      <c r="Q1662" s="113">
        <v>45917</v>
      </c>
      <c r="R1662" s="113">
        <v>45917</v>
      </c>
      <c r="S1662" s="37">
        <f t="shared" si="341"/>
        <v>3983200</v>
      </c>
      <c r="T1662" s="37">
        <f t="shared" si="342"/>
        <v>0</v>
      </c>
      <c r="U1662" s="10"/>
      <c r="V1662" s="10"/>
      <c r="W1662" s="10"/>
      <c r="X1662" s="10"/>
      <c r="Y1662" s="10"/>
      <c r="Z1662" s="10"/>
      <c r="AA1662" s="10"/>
      <c r="AB1662" s="10"/>
      <c r="AC1662" s="10"/>
      <c r="AD1662" s="10"/>
      <c r="AE1662" s="10"/>
    </row>
    <row r="1663" spans="1:31" ht="14.25" hidden="1" customHeight="1">
      <c r="A1663" s="277" t="s">
        <v>5880</v>
      </c>
      <c r="B1663" s="9" t="s">
        <v>21</v>
      </c>
      <c r="C1663" s="9">
        <v>2025</v>
      </c>
      <c r="D1663" s="9" t="s">
        <v>27</v>
      </c>
      <c r="E1663" s="90" t="s">
        <v>23</v>
      </c>
      <c r="F1663" s="9" t="s">
        <v>7</v>
      </c>
      <c r="G1663" s="10"/>
      <c r="H1663" s="96">
        <v>250151</v>
      </c>
      <c r="I1663" s="109" t="s">
        <v>852</v>
      </c>
      <c r="J1663" s="115">
        <v>45698</v>
      </c>
      <c r="K1663" s="115">
        <v>45731</v>
      </c>
      <c r="L1663" s="116">
        <v>1700000</v>
      </c>
      <c r="M1663" s="117" t="s">
        <v>857</v>
      </c>
      <c r="N1663" s="34" t="s">
        <v>29</v>
      </c>
      <c r="O1663" s="31">
        <f>SUM(L1663:L1667)</f>
        <v>10523660</v>
      </c>
      <c r="P1663" s="113">
        <v>46107</v>
      </c>
      <c r="Q1663" s="113">
        <v>46107</v>
      </c>
      <c r="R1663" s="113">
        <v>46107</v>
      </c>
      <c r="S1663" s="37">
        <f t="shared" si="341"/>
        <v>1700000</v>
      </c>
      <c r="T1663" s="37">
        <f t="shared" si="342"/>
        <v>0</v>
      </c>
      <c r="U1663" s="10"/>
      <c r="V1663" s="10"/>
      <c r="W1663" s="10"/>
      <c r="X1663" s="10"/>
      <c r="Y1663" s="10"/>
      <c r="Z1663" s="10"/>
      <c r="AA1663" s="10"/>
      <c r="AB1663" s="10"/>
      <c r="AC1663" s="10"/>
      <c r="AD1663" s="10"/>
      <c r="AE1663" s="10"/>
    </row>
    <row r="1664" spans="1:31" ht="14.25" hidden="1" customHeight="1">
      <c r="A1664" s="277" t="s">
        <v>5881</v>
      </c>
      <c r="B1664" s="9" t="s">
        <v>21</v>
      </c>
      <c r="C1664" s="9">
        <v>2025</v>
      </c>
      <c r="D1664" s="9" t="s">
        <v>27</v>
      </c>
      <c r="E1664" s="90" t="s">
        <v>23</v>
      </c>
      <c r="F1664" s="9" t="s">
        <v>7</v>
      </c>
      <c r="G1664" s="10"/>
      <c r="H1664" s="96">
        <v>250217</v>
      </c>
      <c r="I1664" s="109" t="s">
        <v>852</v>
      </c>
      <c r="J1664" s="115">
        <v>45702</v>
      </c>
      <c r="K1664" s="115">
        <v>45731</v>
      </c>
      <c r="L1664" s="116">
        <v>421800</v>
      </c>
      <c r="M1664" s="117" t="s">
        <v>858</v>
      </c>
      <c r="N1664" s="34" t="s">
        <v>29</v>
      </c>
      <c r="O1664" s="11"/>
      <c r="P1664" s="113">
        <v>46107</v>
      </c>
      <c r="Q1664" s="113">
        <v>46107</v>
      </c>
      <c r="R1664" s="113">
        <v>46107</v>
      </c>
      <c r="S1664" s="37">
        <f t="shared" si="341"/>
        <v>421800</v>
      </c>
      <c r="T1664" s="37">
        <f t="shared" si="342"/>
        <v>0</v>
      </c>
      <c r="U1664" s="10"/>
      <c r="V1664" s="10"/>
      <c r="W1664" s="10"/>
      <c r="X1664" s="10"/>
      <c r="Y1664" s="10"/>
      <c r="Z1664" s="10"/>
      <c r="AA1664" s="10"/>
      <c r="AB1664" s="10"/>
      <c r="AC1664" s="10"/>
      <c r="AD1664" s="10"/>
      <c r="AE1664" s="10"/>
    </row>
    <row r="1665" spans="1:31" ht="14.25" hidden="1" customHeight="1">
      <c r="A1665" s="277" t="s">
        <v>5882</v>
      </c>
      <c r="B1665" s="9" t="s">
        <v>21</v>
      </c>
      <c r="C1665" s="9">
        <v>2025</v>
      </c>
      <c r="D1665" s="9" t="s">
        <v>27</v>
      </c>
      <c r="E1665" s="90" t="s">
        <v>23</v>
      </c>
      <c r="F1665" s="9" t="s">
        <v>7</v>
      </c>
      <c r="G1665" s="10"/>
      <c r="H1665" s="96">
        <v>250218</v>
      </c>
      <c r="I1665" s="109" t="s">
        <v>852</v>
      </c>
      <c r="J1665" s="115">
        <v>45709</v>
      </c>
      <c r="K1665" s="115">
        <v>45731</v>
      </c>
      <c r="L1665" s="116">
        <v>7548000</v>
      </c>
      <c r="M1665" s="117" t="s">
        <v>859</v>
      </c>
      <c r="N1665" s="34" t="s">
        <v>29</v>
      </c>
      <c r="O1665" s="11"/>
      <c r="P1665" s="113">
        <v>46107</v>
      </c>
      <c r="Q1665" s="113">
        <v>46107</v>
      </c>
      <c r="R1665" s="113">
        <v>46107</v>
      </c>
      <c r="S1665" s="37">
        <f t="shared" si="341"/>
        <v>7548000</v>
      </c>
      <c r="T1665" s="37">
        <f t="shared" si="342"/>
        <v>0</v>
      </c>
      <c r="U1665" s="10"/>
      <c r="V1665" s="10"/>
      <c r="W1665" s="10"/>
      <c r="X1665" s="10"/>
      <c r="Y1665" s="10"/>
      <c r="Z1665" s="10"/>
      <c r="AA1665" s="10"/>
      <c r="AB1665" s="10"/>
      <c r="AC1665" s="10"/>
      <c r="AD1665" s="10"/>
      <c r="AE1665" s="10"/>
    </row>
    <row r="1666" spans="1:31" ht="14.25" hidden="1" customHeight="1">
      <c r="A1666" s="277" t="s">
        <v>5883</v>
      </c>
      <c r="B1666" s="9" t="s">
        <v>21</v>
      </c>
      <c r="C1666" s="9">
        <v>2025</v>
      </c>
      <c r="D1666" s="9" t="s">
        <v>27</v>
      </c>
      <c r="E1666" s="90" t="s">
        <v>23</v>
      </c>
      <c r="F1666" s="9" t="s">
        <v>7</v>
      </c>
      <c r="G1666" s="10"/>
      <c r="H1666" s="96">
        <v>250316</v>
      </c>
      <c r="I1666" s="109" t="s">
        <v>852</v>
      </c>
      <c r="J1666" s="115">
        <v>45714</v>
      </c>
      <c r="K1666" s="115">
        <v>45731</v>
      </c>
      <c r="L1666" s="116">
        <v>583860</v>
      </c>
      <c r="M1666" s="117" t="s">
        <v>860</v>
      </c>
      <c r="N1666" s="34" t="s">
        <v>29</v>
      </c>
      <c r="O1666" s="11"/>
      <c r="P1666" s="113">
        <v>46107</v>
      </c>
      <c r="Q1666" s="113">
        <v>46107</v>
      </c>
      <c r="R1666" s="113">
        <v>46107</v>
      </c>
      <c r="S1666" s="37">
        <f t="shared" si="341"/>
        <v>583860</v>
      </c>
      <c r="T1666" s="37">
        <f t="shared" si="342"/>
        <v>0</v>
      </c>
      <c r="U1666" s="10"/>
      <c r="V1666" s="10"/>
      <c r="W1666" s="10"/>
      <c r="X1666" s="10"/>
      <c r="Y1666" s="10"/>
      <c r="Z1666" s="10"/>
      <c r="AA1666" s="10"/>
      <c r="AB1666" s="10"/>
      <c r="AC1666" s="10"/>
      <c r="AD1666" s="10"/>
      <c r="AE1666" s="10"/>
    </row>
    <row r="1667" spans="1:31" ht="14.25" hidden="1" customHeight="1">
      <c r="A1667" s="277" t="s">
        <v>5884</v>
      </c>
      <c r="B1667" s="9" t="s">
        <v>21</v>
      </c>
      <c r="C1667" s="9">
        <v>2025</v>
      </c>
      <c r="D1667" s="9" t="s">
        <v>27</v>
      </c>
      <c r="E1667" s="90" t="s">
        <v>23</v>
      </c>
      <c r="F1667" s="9" t="s">
        <v>7</v>
      </c>
      <c r="G1667" s="10"/>
      <c r="H1667" s="96">
        <v>250315</v>
      </c>
      <c r="I1667" s="109" t="s">
        <v>852</v>
      </c>
      <c r="J1667" s="115">
        <v>45722</v>
      </c>
      <c r="K1667" s="115">
        <v>45764</v>
      </c>
      <c r="L1667" s="116">
        <v>270000</v>
      </c>
      <c r="M1667" s="117" t="s">
        <v>4475</v>
      </c>
      <c r="N1667" s="34" t="s">
        <v>29</v>
      </c>
      <c r="O1667" s="11"/>
      <c r="P1667" s="113">
        <v>46107</v>
      </c>
      <c r="Q1667" s="113">
        <v>46107</v>
      </c>
      <c r="R1667" s="113">
        <v>46107</v>
      </c>
      <c r="S1667" s="37">
        <f t="shared" si="341"/>
        <v>270000</v>
      </c>
      <c r="T1667" s="37">
        <f t="shared" si="342"/>
        <v>0</v>
      </c>
      <c r="U1667" s="10"/>
      <c r="V1667" s="10"/>
      <c r="W1667" s="10"/>
      <c r="X1667" s="10"/>
      <c r="Y1667" s="10"/>
      <c r="Z1667" s="10"/>
      <c r="AA1667" s="10"/>
      <c r="AB1667" s="10"/>
      <c r="AC1667" s="10"/>
      <c r="AD1667" s="10"/>
      <c r="AE1667" s="10"/>
    </row>
    <row r="1668" spans="1:31" ht="14.25" hidden="1" customHeight="1">
      <c r="A1668" s="277" t="s">
        <v>5885</v>
      </c>
      <c r="B1668" s="9" t="s">
        <v>21</v>
      </c>
      <c r="C1668" s="9">
        <v>2025</v>
      </c>
      <c r="D1668" s="9" t="s">
        <v>27</v>
      </c>
      <c r="E1668" s="90" t="s">
        <v>23</v>
      </c>
      <c r="F1668" s="9" t="s">
        <v>7</v>
      </c>
      <c r="G1668" s="10"/>
      <c r="H1668" s="96">
        <v>250315</v>
      </c>
      <c r="I1668" s="109" t="s">
        <v>852</v>
      </c>
      <c r="J1668" s="115">
        <v>45722</v>
      </c>
      <c r="K1668" s="115">
        <v>45764</v>
      </c>
      <c r="L1668" s="116">
        <f>5844150-272500</f>
        <v>5571650</v>
      </c>
      <c r="M1668" s="117" t="s">
        <v>4474</v>
      </c>
      <c r="N1668" s="34" t="s">
        <v>29</v>
      </c>
      <c r="O1668" s="31">
        <f>SUM(L1668:L1674)</f>
        <v>22841585</v>
      </c>
      <c r="P1668" s="113">
        <v>46160</v>
      </c>
      <c r="Q1668" s="113">
        <v>46160</v>
      </c>
      <c r="R1668" s="113">
        <v>46160</v>
      </c>
      <c r="S1668" s="37">
        <f t="shared" si="341"/>
        <v>5571650</v>
      </c>
      <c r="T1668" s="37">
        <f t="shared" si="342"/>
        <v>0</v>
      </c>
      <c r="U1668" s="10"/>
      <c r="V1668" s="10"/>
      <c r="W1668" s="10"/>
      <c r="X1668" s="10"/>
      <c r="Y1668" s="10"/>
      <c r="Z1668" s="10"/>
      <c r="AA1668" s="10"/>
      <c r="AB1668" s="10"/>
      <c r="AC1668" s="10"/>
      <c r="AD1668" s="10"/>
      <c r="AE1668" s="10"/>
    </row>
    <row r="1669" spans="1:31" ht="14.25" hidden="1" customHeight="1">
      <c r="A1669" s="277" t="s">
        <v>5886</v>
      </c>
      <c r="B1669" s="9" t="s">
        <v>21</v>
      </c>
      <c r="C1669" s="9">
        <v>2025</v>
      </c>
      <c r="D1669" s="9" t="s">
        <v>27</v>
      </c>
      <c r="E1669" s="90" t="s">
        <v>23</v>
      </c>
      <c r="F1669" s="9" t="s">
        <v>7</v>
      </c>
      <c r="G1669" s="10"/>
      <c r="H1669" s="96">
        <v>250619</v>
      </c>
      <c r="I1669" s="109" t="s">
        <v>852</v>
      </c>
      <c r="J1669" s="115">
        <v>45832</v>
      </c>
      <c r="K1669" s="115">
        <v>45841</v>
      </c>
      <c r="L1669" s="116">
        <v>7179480</v>
      </c>
      <c r="M1669" s="117" t="s">
        <v>861</v>
      </c>
      <c r="N1669" s="34" t="s">
        <v>29</v>
      </c>
      <c r="O1669" s="11"/>
      <c r="P1669" s="113">
        <v>46160</v>
      </c>
      <c r="Q1669" s="113">
        <v>46160</v>
      </c>
      <c r="R1669" s="113">
        <v>46160</v>
      </c>
      <c r="S1669" s="37">
        <f t="shared" si="341"/>
        <v>7179480</v>
      </c>
      <c r="T1669" s="37">
        <f t="shared" si="342"/>
        <v>0</v>
      </c>
      <c r="U1669" s="10"/>
      <c r="V1669" s="10"/>
      <c r="W1669" s="10"/>
      <c r="X1669" s="10"/>
      <c r="Y1669" s="10"/>
      <c r="Z1669" s="10"/>
      <c r="AA1669" s="10"/>
      <c r="AB1669" s="10"/>
      <c r="AC1669" s="10"/>
      <c r="AD1669" s="10"/>
      <c r="AE1669" s="10"/>
    </row>
    <row r="1670" spans="1:31" ht="14.25" hidden="1" customHeight="1">
      <c r="A1670" s="277" t="s">
        <v>5887</v>
      </c>
      <c r="B1670" s="9" t="s">
        <v>21</v>
      </c>
      <c r="C1670" s="9">
        <v>2025</v>
      </c>
      <c r="D1670" s="9" t="s">
        <v>27</v>
      </c>
      <c r="E1670" s="90" t="s">
        <v>23</v>
      </c>
      <c r="F1670" s="9" t="s">
        <v>7</v>
      </c>
      <c r="G1670" s="10"/>
      <c r="H1670" s="96">
        <v>250969</v>
      </c>
      <c r="I1670" s="109" t="s">
        <v>852</v>
      </c>
      <c r="J1670" s="115">
        <v>45925</v>
      </c>
      <c r="K1670" s="115">
        <v>45944</v>
      </c>
      <c r="L1670" s="116">
        <v>510600</v>
      </c>
      <c r="M1670" s="117" t="s">
        <v>3811</v>
      </c>
      <c r="N1670" s="34" t="s">
        <v>29</v>
      </c>
      <c r="O1670" s="11"/>
      <c r="P1670" s="113">
        <v>46160</v>
      </c>
      <c r="Q1670" s="113">
        <v>46160</v>
      </c>
      <c r="R1670" s="113">
        <v>46160</v>
      </c>
      <c r="S1670" s="37">
        <f t="shared" si="341"/>
        <v>510600</v>
      </c>
      <c r="T1670" s="37">
        <f t="shared" si="342"/>
        <v>0</v>
      </c>
      <c r="U1670" s="10"/>
      <c r="V1670" s="10"/>
      <c r="W1670" s="10"/>
      <c r="X1670" s="10"/>
      <c r="Y1670" s="10"/>
      <c r="Z1670" s="10"/>
      <c r="AA1670" s="10"/>
      <c r="AB1670" s="10"/>
      <c r="AC1670" s="10"/>
      <c r="AD1670" s="10"/>
      <c r="AE1670" s="10"/>
    </row>
    <row r="1671" spans="1:31" ht="14.25" hidden="1" customHeight="1">
      <c r="A1671" s="277" t="s">
        <v>5888</v>
      </c>
      <c r="B1671" s="9" t="s">
        <v>21</v>
      </c>
      <c r="C1671" s="9">
        <v>2025</v>
      </c>
      <c r="D1671" s="9" t="s">
        <v>27</v>
      </c>
      <c r="E1671" s="90" t="s">
        <v>23</v>
      </c>
      <c r="F1671" s="9" t="s">
        <v>7</v>
      </c>
      <c r="G1671" s="10"/>
      <c r="H1671" s="96">
        <v>251006</v>
      </c>
      <c r="I1671" s="109" t="s">
        <v>852</v>
      </c>
      <c r="J1671" s="115">
        <v>45932</v>
      </c>
      <c r="K1671" s="115">
        <v>45944</v>
      </c>
      <c r="L1671" s="116">
        <v>502830</v>
      </c>
      <c r="M1671" s="117" t="s">
        <v>3812</v>
      </c>
      <c r="N1671" s="34" t="s">
        <v>29</v>
      </c>
      <c r="O1671" s="11"/>
      <c r="P1671" s="113">
        <v>46160</v>
      </c>
      <c r="Q1671" s="113">
        <v>46160</v>
      </c>
      <c r="R1671" s="113">
        <v>46160</v>
      </c>
      <c r="S1671" s="37">
        <f t="shared" si="341"/>
        <v>502830</v>
      </c>
      <c r="T1671" s="37">
        <f t="shared" si="342"/>
        <v>0</v>
      </c>
      <c r="U1671" s="10"/>
      <c r="V1671" s="10"/>
      <c r="W1671" s="10"/>
      <c r="X1671" s="10"/>
      <c r="Y1671" s="10"/>
      <c r="Z1671" s="10"/>
      <c r="AA1671" s="10"/>
      <c r="AB1671" s="10"/>
      <c r="AC1671" s="10"/>
      <c r="AD1671" s="10"/>
      <c r="AE1671" s="10"/>
    </row>
    <row r="1672" spans="1:31" ht="14.25" hidden="1" customHeight="1">
      <c r="A1672" s="277" t="s">
        <v>5889</v>
      </c>
      <c r="B1672" s="9" t="s">
        <v>21</v>
      </c>
      <c r="C1672" s="9">
        <v>2025</v>
      </c>
      <c r="D1672" s="9" t="s">
        <v>27</v>
      </c>
      <c r="E1672" s="90" t="s">
        <v>23</v>
      </c>
      <c r="F1672" s="9" t="s">
        <v>7</v>
      </c>
      <c r="G1672" s="10"/>
      <c r="H1672" s="96">
        <v>250946</v>
      </c>
      <c r="I1672" s="109" t="s">
        <v>852</v>
      </c>
      <c r="J1672" s="115">
        <v>45918</v>
      </c>
      <c r="K1672" s="115">
        <v>45944</v>
      </c>
      <c r="L1672" s="116">
        <v>6723825</v>
      </c>
      <c r="M1672" s="117" t="s">
        <v>3813</v>
      </c>
      <c r="N1672" s="34" t="s">
        <v>29</v>
      </c>
      <c r="O1672" s="11"/>
      <c r="P1672" s="113">
        <v>46160</v>
      </c>
      <c r="Q1672" s="113">
        <v>46160</v>
      </c>
      <c r="R1672" s="113">
        <v>46160</v>
      </c>
      <c r="S1672" s="37">
        <f t="shared" si="341"/>
        <v>6723825</v>
      </c>
      <c r="T1672" s="37">
        <f t="shared" si="342"/>
        <v>0</v>
      </c>
      <c r="U1672" s="10"/>
      <c r="V1672" s="10"/>
      <c r="W1672" s="10"/>
      <c r="X1672" s="10"/>
      <c r="Y1672" s="10"/>
      <c r="Z1672" s="10"/>
      <c r="AA1672" s="10"/>
      <c r="AB1672" s="10"/>
      <c r="AC1672" s="10"/>
      <c r="AD1672" s="10"/>
      <c r="AE1672" s="10"/>
    </row>
    <row r="1673" spans="1:31" ht="14.25" hidden="1" customHeight="1">
      <c r="A1673" s="277" t="s">
        <v>5890</v>
      </c>
      <c r="B1673" s="9" t="s">
        <v>21</v>
      </c>
      <c r="C1673" s="9">
        <v>2025</v>
      </c>
      <c r="D1673" s="9" t="s">
        <v>27</v>
      </c>
      <c r="E1673" s="90" t="s">
        <v>23</v>
      </c>
      <c r="F1673" s="9" t="s">
        <v>7</v>
      </c>
      <c r="G1673" s="10"/>
      <c r="H1673" s="96">
        <v>250956</v>
      </c>
      <c r="I1673" s="109" t="s">
        <v>852</v>
      </c>
      <c r="J1673" s="115">
        <v>45923</v>
      </c>
      <c r="K1673" s="115">
        <v>45944</v>
      </c>
      <c r="L1673" s="116">
        <v>1803750</v>
      </c>
      <c r="M1673" s="117" t="s">
        <v>3814</v>
      </c>
      <c r="N1673" s="34" t="s">
        <v>29</v>
      </c>
      <c r="O1673" s="11"/>
      <c r="P1673" s="113">
        <v>46160</v>
      </c>
      <c r="Q1673" s="113">
        <v>46160</v>
      </c>
      <c r="R1673" s="113">
        <v>46160</v>
      </c>
      <c r="S1673" s="37">
        <f t="shared" si="341"/>
        <v>1803750</v>
      </c>
      <c r="T1673" s="37">
        <f t="shared" si="342"/>
        <v>0</v>
      </c>
      <c r="U1673" s="10"/>
      <c r="V1673" s="10"/>
      <c r="W1673" s="10"/>
      <c r="X1673" s="10"/>
      <c r="Y1673" s="10"/>
      <c r="Z1673" s="10"/>
      <c r="AA1673" s="10"/>
      <c r="AB1673" s="10"/>
      <c r="AC1673" s="10"/>
      <c r="AD1673" s="10"/>
      <c r="AE1673" s="10"/>
    </row>
    <row r="1674" spans="1:31" ht="14.25" hidden="1" customHeight="1">
      <c r="A1674" s="277" t="s">
        <v>5891</v>
      </c>
      <c r="B1674" s="9" t="s">
        <v>21</v>
      </c>
      <c r="C1674" s="9">
        <v>2025</v>
      </c>
      <c r="D1674" s="9" t="s">
        <v>27</v>
      </c>
      <c r="E1674" s="90" t="s">
        <v>23</v>
      </c>
      <c r="F1674" s="9" t="s">
        <v>7</v>
      </c>
      <c r="G1674" s="10"/>
      <c r="H1674" s="96">
        <v>251012</v>
      </c>
      <c r="I1674" s="109" t="s">
        <v>852</v>
      </c>
      <c r="J1674" s="115">
        <v>45934</v>
      </c>
      <c r="K1674" s="115">
        <v>45951</v>
      </c>
      <c r="L1674" s="116">
        <v>549450</v>
      </c>
      <c r="M1674" s="117" t="s">
        <v>3864</v>
      </c>
      <c r="N1674" s="34" t="s">
        <v>29</v>
      </c>
      <c r="O1674" s="11"/>
      <c r="P1674" s="113">
        <v>46160</v>
      </c>
      <c r="Q1674" s="113">
        <v>46160</v>
      </c>
      <c r="R1674" s="113">
        <v>46160</v>
      </c>
      <c r="S1674" s="37">
        <f t="shared" si="341"/>
        <v>549450</v>
      </c>
      <c r="T1674" s="37">
        <f t="shared" si="342"/>
        <v>0</v>
      </c>
      <c r="U1674" s="10"/>
      <c r="V1674" s="10"/>
      <c r="W1674" s="10"/>
      <c r="X1674" s="10"/>
      <c r="Y1674" s="10"/>
      <c r="Z1674" s="10"/>
      <c r="AA1674" s="10"/>
      <c r="AB1674" s="10"/>
      <c r="AC1674" s="10"/>
      <c r="AD1674" s="10"/>
      <c r="AE1674" s="10"/>
    </row>
    <row r="1675" spans="1:31" ht="14.25" hidden="1" customHeight="1">
      <c r="A1675" s="277" t="s">
        <v>5892</v>
      </c>
      <c r="B1675" s="9" t="s">
        <v>21</v>
      </c>
      <c r="C1675" s="9">
        <v>2025</v>
      </c>
      <c r="D1675" s="9" t="s">
        <v>27</v>
      </c>
      <c r="E1675" s="90" t="s">
        <v>23</v>
      </c>
      <c r="F1675" s="9" t="s">
        <v>7</v>
      </c>
      <c r="G1675" s="10"/>
      <c r="H1675" s="96">
        <v>251051</v>
      </c>
      <c r="I1675" s="109" t="s">
        <v>852</v>
      </c>
      <c r="J1675" s="115">
        <v>45941</v>
      </c>
      <c r="K1675" s="115">
        <v>45951</v>
      </c>
      <c r="L1675" s="116">
        <v>1526250</v>
      </c>
      <c r="M1675" s="117" t="s">
        <v>3865</v>
      </c>
      <c r="N1675" s="34" t="s">
        <v>29</v>
      </c>
      <c r="O1675" s="31">
        <f>SUM(L1675:L1682)</f>
        <v>14425005</v>
      </c>
      <c r="P1675" s="113">
        <v>46231</v>
      </c>
      <c r="Q1675" s="113">
        <v>46231</v>
      </c>
      <c r="R1675" s="113">
        <v>46231</v>
      </c>
      <c r="S1675" s="37">
        <f t="shared" si="341"/>
        <v>1526250</v>
      </c>
      <c r="T1675" s="37">
        <f t="shared" si="342"/>
        <v>0</v>
      </c>
      <c r="U1675" s="10"/>
      <c r="V1675" s="10"/>
      <c r="W1675" s="10"/>
      <c r="X1675" s="10"/>
      <c r="Y1675" s="10"/>
      <c r="Z1675" s="10"/>
      <c r="AA1675" s="10"/>
      <c r="AB1675" s="10"/>
      <c r="AC1675" s="10"/>
      <c r="AD1675" s="10"/>
      <c r="AE1675" s="10"/>
    </row>
    <row r="1676" spans="1:31" ht="14.25" hidden="1" customHeight="1">
      <c r="A1676" s="277" t="s">
        <v>5893</v>
      </c>
      <c r="B1676" s="9" t="s">
        <v>21</v>
      </c>
      <c r="C1676" s="9">
        <v>2025</v>
      </c>
      <c r="D1676" s="9" t="s">
        <v>27</v>
      </c>
      <c r="E1676" s="90" t="s">
        <v>23</v>
      </c>
      <c r="F1676" s="9" t="s">
        <v>7</v>
      </c>
      <c r="G1676" s="10"/>
      <c r="H1676" s="96">
        <v>251072</v>
      </c>
      <c r="I1676" s="109" t="s">
        <v>852</v>
      </c>
      <c r="J1676" s="115">
        <v>45951</v>
      </c>
      <c r="K1676" s="115">
        <v>45986</v>
      </c>
      <c r="L1676" s="116">
        <v>1612275</v>
      </c>
      <c r="M1676" s="117" t="s">
        <v>4025</v>
      </c>
      <c r="N1676" s="34" t="s">
        <v>29</v>
      </c>
      <c r="O1676" s="11"/>
      <c r="P1676" s="113">
        <v>46231</v>
      </c>
      <c r="Q1676" s="113">
        <v>46231</v>
      </c>
      <c r="R1676" s="113">
        <v>46231</v>
      </c>
      <c r="S1676" s="37">
        <f t="shared" si="341"/>
        <v>1612275</v>
      </c>
      <c r="T1676" s="37">
        <f t="shared" si="342"/>
        <v>0</v>
      </c>
      <c r="U1676" s="10"/>
      <c r="V1676" s="10"/>
      <c r="W1676" s="10"/>
      <c r="X1676" s="10"/>
      <c r="Y1676" s="10"/>
      <c r="Z1676" s="10"/>
      <c r="AA1676" s="10"/>
      <c r="AB1676" s="10"/>
      <c r="AC1676" s="10"/>
      <c r="AD1676" s="10"/>
      <c r="AE1676" s="10"/>
    </row>
    <row r="1677" spans="1:31" ht="14.25" hidden="1" customHeight="1">
      <c r="A1677" s="277" t="s">
        <v>5894</v>
      </c>
      <c r="B1677" s="9" t="s">
        <v>21</v>
      </c>
      <c r="C1677" s="9">
        <v>2025</v>
      </c>
      <c r="D1677" s="9" t="s">
        <v>27</v>
      </c>
      <c r="E1677" s="90" t="s">
        <v>23</v>
      </c>
      <c r="F1677" s="9" t="s">
        <v>7</v>
      </c>
      <c r="G1677" s="10"/>
      <c r="H1677" s="96">
        <v>251112</v>
      </c>
      <c r="I1677" s="109" t="s">
        <v>852</v>
      </c>
      <c r="J1677" s="115">
        <v>45958</v>
      </c>
      <c r="K1677" s="115">
        <v>45986</v>
      </c>
      <c r="L1677" s="116">
        <v>1282050</v>
      </c>
      <c r="M1677" s="117" t="s">
        <v>4026</v>
      </c>
      <c r="N1677" s="34" t="s">
        <v>29</v>
      </c>
      <c r="O1677" s="11"/>
      <c r="P1677" s="113">
        <v>46231</v>
      </c>
      <c r="Q1677" s="113">
        <v>46231</v>
      </c>
      <c r="R1677" s="113">
        <v>46231</v>
      </c>
      <c r="S1677" s="37">
        <f t="shared" si="341"/>
        <v>1282050</v>
      </c>
      <c r="T1677" s="37">
        <f t="shared" si="342"/>
        <v>0</v>
      </c>
      <c r="U1677" s="10"/>
      <c r="V1677" s="10"/>
      <c r="W1677" s="10"/>
      <c r="X1677" s="10"/>
      <c r="Y1677" s="10"/>
      <c r="Z1677" s="10"/>
      <c r="AA1677" s="10"/>
      <c r="AB1677" s="10"/>
      <c r="AC1677" s="10"/>
      <c r="AD1677" s="10"/>
      <c r="AE1677" s="10"/>
    </row>
    <row r="1678" spans="1:31" ht="14.25" hidden="1" customHeight="1">
      <c r="A1678" s="277" t="s">
        <v>5895</v>
      </c>
      <c r="B1678" s="9" t="s">
        <v>21</v>
      </c>
      <c r="C1678" s="9">
        <v>2025</v>
      </c>
      <c r="D1678" s="9" t="s">
        <v>27</v>
      </c>
      <c r="E1678" s="90" t="s">
        <v>23</v>
      </c>
      <c r="F1678" s="9" t="s">
        <v>7</v>
      </c>
      <c r="G1678" s="10"/>
      <c r="H1678" s="96">
        <v>251117</v>
      </c>
      <c r="I1678" s="109" t="s">
        <v>852</v>
      </c>
      <c r="J1678" s="115">
        <v>45959</v>
      </c>
      <c r="K1678" s="115">
        <v>45986</v>
      </c>
      <c r="L1678" s="116">
        <v>1694415</v>
      </c>
      <c r="M1678" s="117" t="s">
        <v>4027</v>
      </c>
      <c r="N1678" s="34" t="s">
        <v>29</v>
      </c>
      <c r="O1678" s="11"/>
      <c r="P1678" s="113">
        <v>46231</v>
      </c>
      <c r="Q1678" s="113">
        <v>46231</v>
      </c>
      <c r="R1678" s="113">
        <v>46231</v>
      </c>
      <c r="S1678" s="37">
        <f t="shared" si="341"/>
        <v>1694415</v>
      </c>
      <c r="T1678" s="37">
        <f t="shared" si="342"/>
        <v>0</v>
      </c>
      <c r="U1678" s="10"/>
      <c r="V1678" s="10"/>
      <c r="W1678" s="10"/>
      <c r="X1678" s="10"/>
      <c r="Y1678" s="10"/>
      <c r="Z1678" s="10"/>
      <c r="AA1678" s="10"/>
      <c r="AB1678" s="10"/>
      <c r="AC1678" s="10"/>
      <c r="AD1678" s="10"/>
      <c r="AE1678" s="10"/>
    </row>
    <row r="1679" spans="1:31" ht="14.25" hidden="1" customHeight="1">
      <c r="A1679" s="277" t="s">
        <v>5896</v>
      </c>
      <c r="B1679" s="9" t="s">
        <v>21</v>
      </c>
      <c r="C1679" s="9">
        <v>2025</v>
      </c>
      <c r="D1679" s="9" t="s">
        <v>27</v>
      </c>
      <c r="E1679" s="90" t="s">
        <v>23</v>
      </c>
      <c r="F1679" s="9" t="s">
        <v>7</v>
      </c>
      <c r="G1679" s="10"/>
      <c r="H1679" s="96">
        <v>251255</v>
      </c>
      <c r="I1679" s="109" t="s">
        <v>852</v>
      </c>
      <c r="J1679" s="115">
        <v>46001</v>
      </c>
      <c r="K1679" s="115">
        <v>46014</v>
      </c>
      <c r="L1679" s="116">
        <v>3002550</v>
      </c>
      <c r="M1679" s="117" t="s">
        <v>4170</v>
      </c>
      <c r="N1679" s="34" t="s">
        <v>29</v>
      </c>
      <c r="O1679" s="11"/>
      <c r="P1679" s="113">
        <v>46231</v>
      </c>
      <c r="Q1679" s="113">
        <v>46231</v>
      </c>
      <c r="R1679" s="113">
        <v>46231</v>
      </c>
      <c r="S1679" s="37">
        <f t="shared" si="341"/>
        <v>3002550</v>
      </c>
      <c r="T1679" s="37">
        <f t="shared" si="342"/>
        <v>0</v>
      </c>
      <c r="U1679" s="10"/>
      <c r="V1679" s="10"/>
      <c r="W1679" s="10"/>
      <c r="X1679" s="10"/>
      <c r="Y1679" s="10"/>
      <c r="Z1679" s="10"/>
      <c r="AA1679" s="10"/>
      <c r="AB1679" s="10"/>
      <c r="AC1679" s="10"/>
      <c r="AD1679" s="10"/>
      <c r="AE1679" s="10"/>
    </row>
    <row r="1680" spans="1:31" ht="14.25" hidden="1" customHeight="1">
      <c r="A1680" s="277" t="s">
        <v>5897</v>
      </c>
      <c r="B1680" s="9" t="s">
        <v>21</v>
      </c>
      <c r="C1680" s="9">
        <v>2025</v>
      </c>
      <c r="D1680" s="9" t="s">
        <v>27</v>
      </c>
      <c r="E1680" s="90" t="s">
        <v>23</v>
      </c>
      <c r="F1680" s="9" t="s">
        <v>7</v>
      </c>
      <c r="G1680" s="10"/>
      <c r="H1680" s="96">
        <v>251264</v>
      </c>
      <c r="I1680" s="109" t="s">
        <v>852</v>
      </c>
      <c r="J1680" s="115">
        <v>46003</v>
      </c>
      <c r="K1680" s="115">
        <v>46014</v>
      </c>
      <c r="L1680" s="116">
        <v>540015</v>
      </c>
      <c r="M1680" s="117" t="s">
        <v>4171</v>
      </c>
      <c r="N1680" s="34" t="s">
        <v>29</v>
      </c>
      <c r="O1680" s="11"/>
      <c r="P1680" s="113">
        <v>46231</v>
      </c>
      <c r="Q1680" s="113">
        <v>46231</v>
      </c>
      <c r="R1680" s="113">
        <v>46231</v>
      </c>
      <c r="S1680" s="37">
        <f t="shared" si="341"/>
        <v>540015</v>
      </c>
      <c r="T1680" s="37">
        <f t="shared" si="342"/>
        <v>0</v>
      </c>
      <c r="U1680" s="10"/>
      <c r="V1680" s="10"/>
      <c r="W1680" s="10"/>
      <c r="X1680" s="10"/>
      <c r="Y1680" s="10"/>
      <c r="Z1680" s="10"/>
      <c r="AA1680" s="10"/>
      <c r="AB1680" s="10"/>
      <c r="AC1680" s="10"/>
      <c r="AD1680" s="10"/>
      <c r="AE1680" s="10"/>
    </row>
    <row r="1681" spans="1:31" ht="14.25" hidden="1" customHeight="1">
      <c r="A1681" s="277" t="s">
        <v>5898</v>
      </c>
      <c r="B1681" s="9" t="s">
        <v>21</v>
      </c>
      <c r="C1681" s="9">
        <v>2025</v>
      </c>
      <c r="D1681" s="9" t="s">
        <v>27</v>
      </c>
      <c r="E1681" s="90" t="s">
        <v>23</v>
      </c>
      <c r="F1681" s="9" t="s">
        <v>7</v>
      </c>
      <c r="G1681" s="10"/>
      <c r="H1681" s="96">
        <v>251183</v>
      </c>
      <c r="I1681" s="109" t="s">
        <v>852</v>
      </c>
      <c r="J1681" s="115">
        <v>45973</v>
      </c>
      <c r="K1681" s="115">
        <v>46014</v>
      </c>
      <c r="L1681" s="116">
        <v>2269950</v>
      </c>
      <c r="M1681" s="117" t="s">
        <v>4172</v>
      </c>
      <c r="N1681" s="34" t="s">
        <v>29</v>
      </c>
      <c r="O1681" s="11"/>
      <c r="P1681" s="113">
        <v>46231</v>
      </c>
      <c r="Q1681" s="113">
        <v>46231</v>
      </c>
      <c r="R1681" s="113">
        <v>46231</v>
      </c>
      <c r="S1681" s="37">
        <f t="shared" si="341"/>
        <v>2269950</v>
      </c>
      <c r="T1681" s="37">
        <f t="shared" si="342"/>
        <v>0</v>
      </c>
      <c r="U1681" s="10"/>
      <c r="V1681" s="10"/>
      <c r="W1681" s="10"/>
      <c r="X1681" s="10"/>
      <c r="Y1681" s="10"/>
      <c r="Z1681" s="10"/>
      <c r="AA1681" s="10"/>
      <c r="AB1681" s="10"/>
      <c r="AC1681" s="10"/>
      <c r="AD1681" s="10"/>
      <c r="AE1681" s="10"/>
    </row>
    <row r="1682" spans="1:31" ht="14.25" customHeight="1">
      <c r="A1682" s="277" t="s">
        <v>5899</v>
      </c>
      <c r="B1682" s="9" t="s">
        <v>21</v>
      </c>
      <c r="C1682" s="9">
        <v>2025</v>
      </c>
      <c r="D1682" s="9" t="s">
        <v>27</v>
      </c>
      <c r="E1682" s="90" t="s">
        <v>23</v>
      </c>
      <c r="F1682" s="9" t="s">
        <v>7</v>
      </c>
      <c r="G1682" s="10"/>
      <c r="H1682" s="96">
        <v>251201</v>
      </c>
      <c r="I1682" s="109" t="s">
        <v>852</v>
      </c>
      <c r="J1682" s="115">
        <v>45986</v>
      </c>
      <c r="K1682" s="115">
        <v>46014</v>
      </c>
      <c r="L1682" s="116">
        <v>2497500</v>
      </c>
      <c r="M1682" s="117" t="s">
        <v>4173</v>
      </c>
      <c r="N1682" s="34" t="s">
        <v>29</v>
      </c>
      <c r="O1682" s="11"/>
      <c r="P1682" s="113">
        <v>46231</v>
      </c>
      <c r="Q1682" s="113">
        <v>46231</v>
      </c>
      <c r="R1682" s="113">
        <v>46231</v>
      </c>
      <c r="S1682" s="37">
        <f t="shared" si="341"/>
        <v>2497500</v>
      </c>
      <c r="T1682" s="37">
        <f t="shared" si="342"/>
        <v>0</v>
      </c>
      <c r="U1682" s="10"/>
      <c r="V1682" s="10"/>
      <c r="W1682" s="10"/>
      <c r="X1682" s="10"/>
      <c r="Y1682" s="10"/>
      <c r="Z1682" s="10"/>
      <c r="AA1682" s="10"/>
      <c r="AB1682" s="10"/>
      <c r="AC1682" s="10"/>
      <c r="AD1682" s="10"/>
      <c r="AE1682" s="10"/>
    </row>
    <row r="1683" spans="1:31" ht="14.25" customHeight="1">
      <c r="A1683" s="277" t="s">
        <v>5900</v>
      </c>
      <c r="B1683" s="9" t="s">
        <v>21</v>
      </c>
      <c r="C1683" s="9">
        <v>2026</v>
      </c>
      <c r="D1683" s="9" t="s">
        <v>77</v>
      </c>
      <c r="E1683" s="90" t="s">
        <v>23</v>
      </c>
      <c r="F1683" s="9" t="s">
        <v>7</v>
      </c>
      <c r="G1683" s="10"/>
      <c r="H1683" s="9">
        <v>260015</v>
      </c>
      <c r="I1683" s="11" t="s">
        <v>852</v>
      </c>
      <c r="J1683" s="12">
        <v>46041</v>
      </c>
      <c r="K1683" s="12">
        <v>46063</v>
      </c>
      <c r="L1683" s="27">
        <v>3947160</v>
      </c>
      <c r="M1683" s="10" t="s">
        <v>4322</v>
      </c>
      <c r="N1683" s="34">
        <f t="shared" ref="N1683:N1685" ca="1" si="343">$J$3-J1683</f>
        <v>199.46377638888953</v>
      </c>
      <c r="O1683" s="11"/>
      <c r="P1683" s="39"/>
      <c r="Q1683" s="39"/>
      <c r="R1683" s="39"/>
      <c r="S1683" s="37">
        <f t="shared" si="341"/>
        <v>0</v>
      </c>
      <c r="T1683" s="37">
        <f t="shared" si="342"/>
        <v>3947160</v>
      </c>
      <c r="U1683" s="10"/>
      <c r="V1683" s="10"/>
      <c r="W1683" s="10"/>
      <c r="X1683" s="10"/>
      <c r="Y1683" s="10"/>
      <c r="Z1683" s="10"/>
      <c r="AA1683" s="10"/>
      <c r="AB1683" s="10"/>
      <c r="AC1683" s="10"/>
      <c r="AD1683" s="10"/>
      <c r="AE1683" s="10"/>
    </row>
    <row r="1684" spans="1:31" ht="14.25" customHeight="1">
      <c r="A1684" s="277" t="s">
        <v>5901</v>
      </c>
      <c r="B1684" s="9" t="s">
        <v>21</v>
      </c>
      <c r="C1684" s="9">
        <v>2026</v>
      </c>
      <c r="D1684" s="9" t="s">
        <v>77</v>
      </c>
      <c r="E1684" s="90" t="s">
        <v>23</v>
      </c>
      <c r="F1684" s="9" t="s">
        <v>7</v>
      </c>
      <c r="G1684" s="10"/>
      <c r="H1684" s="9">
        <v>260035</v>
      </c>
      <c r="I1684" s="11" t="s">
        <v>852</v>
      </c>
      <c r="J1684" s="12">
        <v>46043</v>
      </c>
      <c r="K1684" s="12">
        <v>46063</v>
      </c>
      <c r="L1684" s="27">
        <v>4431675</v>
      </c>
      <c r="M1684" s="10" t="s">
        <v>4323</v>
      </c>
      <c r="N1684" s="34">
        <f t="shared" ca="1" si="343"/>
        <v>197.46377638888953</v>
      </c>
      <c r="O1684" s="11"/>
      <c r="P1684" s="39"/>
      <c r="Q1684" s="39"/>
      <c r="R1684" s="39"/>
      <c r="S1684" s="37">
        <f t="shared" si="341"/>
        <v>0</v>
      </c>
      <c r="T1684" s="37">
        <f t="shared" si="342"/>
        <v>4431675</v>
      </c>
      <c r="U1684" s="10"/>
      <c r="V1684" s="10"/>
      <c r="W1684" s="10"/>
      <c r="X1684" s="10"/>
      <c r="Y1684" s="10"/>
      <c r="Z1684" s="10"/>
      <c r="AA1684" s="10"/>
      <c r="AB1684" s="10"/>
      <c r="AC1684" s="10"/>
      <c r="AD1684" s="10"/>
      <c r="AE1684" s="10"/>
    </row>
    <row r="1685" spans="1:31" ht="14.25" customHeight="1">
      <c r="A1685" s="277" t="s">
        <v>5902</v>
      </c>
      <c r="B1685" s="9" t="s">
        <v>21</v>
      </c>
      <c r="C1685" s="9">
        <v>2026</v>
      </c>
      <c r="D1685" s="9" t="s">
        <v>77</v>
      </c>
      <c r="E1685" s="90" t="s">
        <v>23</v>
      </c>
      <c r="F1685" s="9" t="s">
        <v>7</v>
      </c>
      <c r="G1685" s="10"/>
      <c r="H1685" s="9">
        <v>260034</v>
      </c>
      <c r="I1685" s="11" t="s">
        <v>852</v>
      </c>
      <c r="J1685" s="12">
        <v>46048</v>
      </c>
      <c r="K1685" s="12">
        <v>46063</v>
      </c>
      <c r="L1685" s="27">
        <v>3330000</v>
      </c>
      <c r="M1685" s="10" t="s">
        <v>4324</v>
      </c>
      <c r="N1685" s="34">
        <f t="shared" ca="1" si="343"/>
        <v>192.46377638888953</v>
      </c>
      <c r="O1685" s="11"/>
      <c r="P1685" s="39"/>
      <c r="Q1685" s="39"/>
      <c r="R1685" s="39"/>
      <c r="S1685" s="37">
        <f t="shared" si="341"/>
        <v>0</v>
      </c>
      <c r="T1685" s="37">
        <f t="shared" si="342"/>
        <v>3330000</v>
      </c>
      <c r="U1685" s="10"/>
      <c r="V1685" s="10"/>
      <c r="W1685" s="10"/>
      <c r="X1685" s="10"/>
      <c r="Y1685" s="10"/>
      <c r="Z1685" s="10"/>
      <c r="AA1685" s="10"/>
      <c r="AB1685" s="10"/>
      <c r="AC1685" s="10"/>
      <c r="AD1685" s="10"/>
      <c r="AE1685" s="10"/>
    </row>
    <row r="1686" spans="1:31" ht="14.25" customHeight="1">
      <c r="A1686" s="277" t="s">
        <v>5903</v>
      </c>
      <c r="B1686" s="9" t="s">
        <v>21</v>
      </c>
      <c r="C1686" s="9">
        <v>2026</v>
      </c>
      <c r="D1686" s="9" t="s">
        <v>77</v>
      </c>
      <c r="E1686" s="90" t="s">
        <v>23</v>
      </c>
      <c r="F1686" s="9" t="s">
        <v>7</v>
      </c>
      <c r="G1686" s="10"/>
      <c r="H1686" s="9">
        <v>260068</v>
      </c>
      <c r="I1686" s="11" t="s">
        <v>852</v>
      </c>
      <c r="J1686" s="12">
        <v>46052</v>
      </c>
      <c r="K1686" s="12">
        <v>46079</v>
      </c>
      <c r="L1686" s="27">
        <v>193140</v>
      </c>
      <c r="M1686" s="10" t="s">
        <v>4404</v>
      </c>
      <c r="N1686" s="34">
        <f t="shared" ref="N1686:N1692" ca="1" si="344">$J$3-J1686</f>
        <v>188.46377638888953</v>
      </c>
      <c r="O1686" s="11"/>
      <c r="P1686" s="39"/>
      <c r="Q1686" s="39"/>
      <c r="R1686" s="39"/>
      <c r="S1686" s="37">
        <f t="shared" ref="S1686:S1692" si="345">IF(R1686="",0,L1686)</f>
        <v>0</v>
      </c>
      <c r="T1686" s="37">
        <f t="shared" ref="T1686:T1692" si="346">L1686-S1686</f>
        <v>193140</v>
      </c>
      <c r="U1686" s="10"/>
      <c r="V1686" s="10"/>
      <c r="W1686" s="10"/>
      <c r="X1686" s="10"/>
      <c r="Y1686" s="10"/>
      <c r="Z1686" s="10"/>
      <c r="AA1686" s="10"/>
      <c r="AB1686" s="10"/>
      <c r="AC1686" s="10"/>
      <c r="AD1686" s="10"/>
      <c r="AE1686" s="10"/>
    </row>
    <row r="1687" spans="1:31" ht="14.25" customHeight="1">
      <c r="A1687" s="277" t="s">
        <v>5904</v>
      </c>
      <c r="B1687" s="9" t="s">
        <v>21</v>
      </c>
      <c r="C1687" s="9">
        <v>2026</v>
      </c>
      <c r="D1687" s="9" t="s">
        <v>77</v>
      </c>
      <c r="E1687" s="90" t="s">
        <v>23</v>
      </c>
      <c r="F1687" s="9" t="s">
        <v>7</v>
      </c>
      <c r="G1687" s="10"/>
      <c r="H1687" s="9">
        <v>260069</v>
      </c>
      <c r="I1687" s="11" t="s">
        <v>852</v>
      </c>
      <c r="J1687" s="12">
        <v>46053</v>
      </c>
      <c r="K1687" s="12">
        <v>46079</v>
      </c>
      <c r="L1687" s="27">
        <v>4442220</v>
      </c>
      <c r="M1687" s="10" t="s">
        <v>4405</v>
      </c>
      <c r="N1687" s="34">
        <f t="shared" ca="1" si="344"/>
        <v>187.46377638888953</v>
      </c>
      <c r="O1687" s="11"/>
      <c r="P1687" s="39"/>
      <c r="Q1687" s="39"/>
      <c r="R1687" s="39"/>
      <c r="S1687" s="37">
        <f t="shared" si="345"/>
        <v>0</v>
      </c>
      <c r="T1687" s="37">
        <f t="shared" si="346"/>
        <v>4442220</v>
      </c>
      <c r="U1687" s="10"/>
      <c r="V1687" s="10"/>
      <c r="W1687" s="10"/>
      <c r="X1687" s="10"/>
      <c r="Y1687" s="10"/>
      <c r="Z1687" s="10"/>
      <c r="AA1687" s="10"/>
      <c r="AB1687" s="10"/>
      <c r="AC1687" s="10"/>
      <c r="AD1687" s="10"/>
      <c r="AE1687" s="10"/>
    </row>
    <row r="1688" spans="1:31" ht="14.25" customHeight="1">
      <c r="A1688" s="277" t="s">
        <v>5905</v>
      </c>
      <c r="B1688" s="9" t="s">
        <v>21</v>
      </c>
      <c r="C1688" s="9">
        <v>2026</v>
      </c>
      <c r="D1688" s="9" t="s">
        <v>77</v>
      </c>
      <c r="E1688" s="90" t="s">
        <v>23</v>
      </c>
      <c r="F1688" s="9" t="s">
        <v>7</v>
      </c>
      <c r="G1688" s="10"/>
      <c r="H1688" s="9">
        <v>260119</v>
      </c>
      <c r="I1688" s="11" t="s">
        <v>852</v>
      </c>
      <c r="J1688" s="12">
        <v>46069</v>
      </c>
      <c r="K1688" s="12">
        <v>46079</v>
      </c>
      <c r="L1688" s="27">
        <v>1465200</v>
      </c>
      <c r="M1688" s="10" t="s">
        <v>4406</v>
      </c>
      <c r="N1688" s="34">
        <f t="shared" ca="1" si="344"/>
        <v>171.46377638888953</v>
      </c>
      <c r="O1688" s="11"/>
      <c r="P1688" s="39"/>
      <c r="Q1688" s="39"/>
      <c r="R1688" s="39"/>
      <c r="S1688" s="37">
        <f t="shared" si="345"/>
        <v>0</v>
      </c>
      <c r="T1688" s="37">
        <f t="shared" si="346"/>
        <v>1465200</v>
      </c>
      <c r="U1688" s="10"/>
      <c r="V1688" s="10"/>
      <c r="W1688" s="10"/>
      <c r="X1688" s="10"/>
      <c r="Y1688" s="10"/>
      <c r="Z1688" s="10"/>
      <c r="AA1688" s="10"/>
      <c r="AB1688" s="10"/>
      <c r="AC1688" s="10"/>
      <c r="AD1688" s="10"/>
      <c r="AE1688" s="10"/>
    </row>
    <row r="1689" spans="1:31" ht="14.25" customHeight="1">
      <c r="A1689" s="277" t="s">
        <v>5906</v>
      </c>
      <c r="B1689" s="9" t="s">
        <v>21</v>
      </c>
      <c r="C1689" s="9">
        <v>2026</v>
      </c>
      <c r="D1689" s="9" t="s">
        <v>77</v>
      </c>
      <c r="E1689" s="90" t="s">
        <v>23</v>
      </c>
      <c r="F1689" s="9" t="s">
        <v>7</v>
      </c>
      <c r="G1689" s="10"/>
      <c r="H1689" s="9">
        <v>260104</v>
      </c>
      <c r="I1689" s="11" t="s">
        <v>852</v>
      </c>
      <c r="J1689" s="12">
        <v>46062</v>
      </c>
      <c r="K1689" s="12">
        <v>46079</v>
      </c>
      <c r="L1689" s="27">
        <v>6046170</v>
      </c>
      <c r="M1689" s="10" t="s">
        <v>4407</v>
      </c>
      <c r="N1689" s="34">
        <f t="shared" ca="1" si="344"/>
        <v>178.46377638888953</v>
      </c>
      <c r="O1689" s="11"/>
      <c r="P1689" s="39"/>
      <c r="Q1689" s="39"/>
      <c r="R1689" s="39"/>
      <c r="S1689" s="37">
        <f t="shared" si="345"/>
        <v>0</v>
      </c>
      <c r="T1689" s="37">
        <f t="shared" si="346"/>
        <v>6046170</v>
      </c>
      <c r="U1689" s="10"/>
      <c r="V1689" s="10"/>
      <c r="W1689" s="10"/>
      <c r="X1689" s="10"/>
      <c r="Y1689" s="10"/>
      <c r="Z1689" s="10"/>
      <c r="AA1689" s="10"/>
      <c r="AB1689" s="10"/>
      <c r="AC1689" s="10"/>
      <c r="AD1689" s="10"/>
      <c r="AE1689" s="10"/>
    </row>
    <row r="1690" spans="1:31" ht="14.25" customHeight="1">
      <c r="A1690" s="277" t="s">
        <v>5907</v>
      </c>
      <c r="B1690" s="9" t="s">
        <v>21</v>
      </c>
      <c r="C1690" s="9">
        <v>2026</v>
      </c>
      <c r="D1690" s="9" t="s">
        <v>77</v>
      </c>
      <c r="E1690" s="90" t="s">
        <v>23</v>
      </c>
      <c r="F1690" s="9" t="s">
        <v>7</v>
      </c>
      <c r="G1690" s="10"/>
      <c r="H1690" s="9">
        <v>260158</v>
      </c>
      <c r="I1690" s="11" t="s">
        <v>852</v>
      </c>
      <c r="J1690" s="12">
        <v>46085</v>
      </c>
      <c r="K1690" s="12">
        <v>46119</v>
      </c>
      <c r="L1690" s="27">
        <v>1761015</v>
      </c>
      <c r="M1690" s="10" t="s">
        <v>4499</v>
      </c>
      <c r="N1690" s="34">
        <f t="shared" ca="1" si="344"/>
        <v>155.46377638888953</v>
      </c>
      <c r="O1690" s="11"/>
      <c r="P1690" s="39"/>
      <c r="Q1690" s="39"/>
      <c r="R1690" s="39"/>
      <c r="S1690" s="37">
        <f t="shared" si="345"/>
        <v>0</v>
      </c>
      <c r="T1690" s="37">
        <f t="shared" si="346"/>
        <v>1761015</v>
      </c>
      <c r="U1690" s="10"/>
      <c r="V1690" s="10"/>
      <c r="W1690" s="10"/>
      <c r="X1690" s="10"/>
      <c r="Y1690" s="10"/>
      <c r="Z1690" s="10"/>
      <c r="AA1690" s="10"/>
      <c r="AB1690" s="10"/>
      <c r="AC1690" s="10"/>
      <c r="AD1690" s="10"/>
      <c r="AE1690" s="10"/>
    </row>
    <row r="1691" spans="1:31" ht="14.25" customHeight="1">
      <c r="A1691" s="277" t="s">
        <v>5908</v>
      </c>
      <c r="B1691" s="9" t="s">
        <v>21</v>
      </c>
      <c r="C1691" s="9">
        <v>2026</v>
      </c>
      <c r="D1691" s="9" t="s">
        <v>77</v>
      </c>
      <c r="E1691" s="90" t="s">
        <v>23</v>
      </c>
      <c r="F1691" s="9" t="s">
        <v>7</v>
      </c>
      <c r="G1691" s="10"/>
      <c r="H1691" s="9">
        <v>260187</v>
      </c>
      <c r="I1691" s="11" t="s">
        <v>852</v>
      </c>
      <c r="J1691" s="12">
        <v>46108</v>
      </c>
      <c r="K1691" s="12">
        <v>46121</v>
      </c>
      <c r="L1691" s="27">
        <v>4850700</v>
      </c>
      <c r="M1691" s="10" t="s">
        <v>4502</v>
      </c>
      <c r="N1691" s="34">
        <f t="shared" ca="1" si="344"/>
        <v>132.46377638888953</v>
      </c>
      <c r="O1691" s="11"/>
      <c r="P1691" s="39"/>
      <c r="Q1691" s="39"/>
      <c r="R1691" s="39"/>
      <c r="S1691" s="37">
        <f t="shared" si="345"/>
        <v>0</v>
      </c>
      <c r="T1691" s="37">
        <f t="shared" si="346"/>
        <v>4850700</v>
      </c>
      <c r="U1691" s="10"/>
      <c r="V1691" s="10"/>
      <c r="W1691" s="10"/>
      <c r="X1691" s="10"/>
      <c r="Y1691" s="10"/>
      <c r="Z1691" s="10"/>
      <c r="AA1691" s="10"/>
      <c r="AB1691" s="10"/>
      <c r="AC1691" s="10"/>
      <c r="AD1691" s="10"/>
      <c r="AE1691" s="10"/>
    </row>
    <row r="1692" spans="1:31" ht="14.25" customHeight="1">
      <c r="A1692" s="277" t="s">
        <v>5909</v>
      </c>
      <c r="B1692" s="9" t="s">
        <v>21</v>
      </c>
      <c r="C1692" s="9">
        <v>2026</v>
      </c>
      <c r="D1692" s="9" t="s">
        <v>77</v>
      </c>
      <c r="E1692" s="90" t="s">
        <v>23</v>
      </c>
      <c r="F1692" s="9" t="s">
        <v>7</v>
      </c>
      <c r="G1692" s="10"/>
      <c r="H1692" s="9">
        <v>260201</v>
      </c>
      <c r="I1692" s="11" t="s">
        <v>852</v>
      </c>
      <c r="J1692" s="12">
        <v>46118</v>
      </c>
      <c r="K1692" s="12">
        <v>46126</v>
      </c>
      <c r="L1692" s="27">
        <v>326340</v>
      </c>
      <c r="M1692" s="10" t="s">
        <v>4525</v>
      </c>
      <c r="N1692" s="34">
        <f t="shared" ca="1" si="344"/>
        <v>122.46377638888953</v>
      </c>
      <c r="O1692" s="11"/>
      <c r="P1692" s="39"/>
      <c r="Q1692" s="39"/>
      <c r="R1692" s="39"/>
      <c r="S1692" s="37">
        <f t="shared" si="345"/>
        <v>0</v>
      </c>
      <c r="T1692" s="37">
        <f t="shared" si="346"/>
        <v>326340</v>
      </c>
      <c r="U1692" s="10"/>
      <c r="V1692" s="10"/>
      <c r="W1692" s="10"/>
      <c r="X1692" s="10"/>
      <c r="Y1692" s="10"/>
      <c r="Z1692" s="10"/>
      <c r="AA1692" s="10"/>
      <c r="AB1692" s="10"/>
      <c r="AC1692" s="10"/>
      <c r="AD1692" s="10"/>
      <c r="AE1692" s="10"/>
    </row>
    <row r="1693" spans="1:31" ht="14.25" customHeight="1">
      <c r="A1693" s="277" t="s">
        <v>5910</v>
      </c>
      <c r="B1693" s="9" t="s">
        <v>21</v>
      </c>
      <c r="C1693" s="9">
        <v>2026</v>
      </c>
      <c r="D1693" s="9" t="s">
        <v>77</v>
      </c>
      <c r="E1693" s="90" t="s">
        <v>23</v>
      </c>
      <c r="F1693" s="9" t="s">
        <v>7</v>
      </c>
      <c r="G1693" s="10"/>
      <c r="H1693" s="9">
        <v>260256</v>
      </c>
      <c r="I1693" s="11" t="s">
        <v>852</v>
      </c>
      <c r="J1693" s="12">
        <v>46141</v>
      </c>
      <c r="K1693" s="12">
        <v>46154</v>
      </c>
      <c r="L1693" s="27">
        <v>11138850</v>
      </c>
      <c r="M1693" s="10" t="s">
        <v>7041</v>
      </c>
      <c r="N1693" s="34">
        <f t="shared" ref="N1693:N1697" ca="1" si="347">$J$3-J1693</f>
        <v>99.463776388889528</v>
      </c>
      <c r="O1693" s="11"/>
      <c r="P1693" s="39"/>
      <c r="Q1693" s="39"/>
      <c r="R1693" s="39"/>
      <c r="S1693" s="37">
        <f t="shared" ref="S1693:S1697" si="348">IF(R1693="",0,L1693)</f>
        <v>0</v>
      </c>
      <c r="T1693" s="37">
        <f t="shared" ref="T1693:T1697" si="349">L1693-S1693</f>
        <v>11138850</v>
      </c>
      <c r="U1693" s="10"/>
      <c r="V1693" s="10"/>
      <c r="W1693" s="10"/>
      <c r="X1693" s="10"/>
      <c r="Y1693" s="10"/>
      <c r="Z1693" s="10"/>
      <c r="AA1693" s="10"/>
      <c r="AB1693" s="10"/>
      <c r="AC1693" s="10"/>
      <c r="AD1693" s="10"/>
      <c r="AE1693" s="10"/>
    </row>
    <row r="1694" spans="1:31" ht="14.25" customHeight="1">
      <c r="A1694" s="277" t="s">
        <v>5911</v>
      </c>
      <c r="B1694" s="9" t="s">
        <v>21</v>
      </c>
      <c r="C1694" s="9">
        <v>2026</v>
      </c>
      <c r="D1694" s="9" t="s">
        <v>77</v>
      </c>
      <c r="E1694" s="90" t="s">
        <v>23</v>
      </c>
      <c r="F1694" s="9" t="s">
        <v>7</v>
      </c>
      <c r="G1694" s="10"/>
      <c r="H1694" s="9">
        <v>260255</v>
      </c>
      <c r="I1694" s="11" t="s">
        <v>852</v>
      </c>
      <c r="J1694" s="12">
        <v>46142</v>
      </c>
      <c r="K1694" s="12">
        <v>46154</v>
      </c>
      <c r="L1694" s="27">
        <v>175380</v>
      </c>
      <c r="M1694" s="10" t="s">
        <v>7042</v>
      </c>
      <c r="N1694" s="34">
        <f t="shared" ca="1" si="347"/>
        <v>98.463776388889528</v>
      </c>
      <c r="O1694" s="11"/>
      <c r="P1694" s="39"/>
      <c r="Q1694" s="39"/>
      <c r="R1694" s="39"/>
      <c r="S1694" s="37">
        <f t="shared" si="348"/>
        <v>0</v>
      </c>
      <c r="T1694" s="37">
        <f t="shared" si="349"/>
        <v>175380</v>
      </c>
      <c r="U1694" s="10"/>
      <c r="V1694" s="10"/>
      <c r="W1694" s="10"/>
      <c r="X1694" s="10"/>
      <c r="Y1694" s="10"/>
      <c r="Z1694" s="10"/>
      <c r="AA1694" s="10"/>
      <c r="AB1694" s="10"/>
      <c r="AC1694" s="10"/>
      <c r="AD1694" s="10"/>
      <c r="AE1694" s="10"/>
    </row>
    <row r="1695" spans="1:31" ht="14.25" customHeight="1">
      <c r="A1695" s="277" t="s">
        <v>5912</v>
      </c>
      <c r="B1695" s="9" t="s">
        <v>21</v>
      </c>
      <c r="C1695" s="9">
        <v>2026</v>
      </c>
      <c r="D1695" s="9" t="s">
        <v>77</v>
      </c>
      <c r="E1695" s="90" t="s">
        <v>23</v>
      </c>
      <c r="F1695" s="9" t="s">
        <v>7</v>
      </c>
      <c r="G1695" s="10"/>
      <c r="H1695" s="9">
        <v>260298</v>
      </c>
      <c r="I1695" s="11" t="s">
        <v>852</v>
      </c>
      <c r="J1695" s="12">
        <v>46161</v>
      </c>
      <c r="K1695" s="12">
        <v>46172</v>
      </c>
      <c r="L1695" s="27">
        <v>1691640</v>
      </c>
      <c r="M1695" s="10" t="s">
        <v>7091</v>
      </c>
      <c r="N1695" s="34">
        <f t="shared" ca="1" si="347"/>
        <v>79.463776388889528</v>
      </c>
      <c r="O1695" s="11"/>
      <c r="P1695" s="39"/>
      <c r="Q1695" s="39"/>
      <c r="R1695" s="39"/>
      <c r="S1695" s="37">
        <f t="shared" si="348"/>
        <v>0</v>
      </c>
      <c r="T1695" s="37">
        <f t="shared" si="349"/>
        <v>1691640</v>
      </c>
      <c r="U1695" s="10"/>
      <c r="V1695" s="10"/>
      <c r="W1695" s="10"/>
      <c r="X1695" s="10"/>
      <c r="Y1695" s="10"/>
      <c r="Z1695" s="10"/>
      <c r="AA1695" s="10"/>
      <c r="AB1695" s="10"/>
      <c r="AC1695" s="10"/>
      <c r="AD1695" s="10"/>
      <c r="AE1695" s="10"/>
    </row>
    <row r="1696" spans="1:31" ht="14.25" customHeight="1">
      <c r="A1696" s="277" t="s">
        <v>5913</v>
      </c>
      <c r="B1696" s="9" t="s">
        <v>21</v>
      </c>
      <c r="C1696" s="9">
        <v>2026</v>
      </c>
      <c r="D1696" s="9" t="s">
        <v>77</v>
      </c>
      <c r="E1696" s="90" t="s">
        <v>23</v>
      </c>
      <c r="F1696" s="9" t="s">
        <v>7</v>
      </c>
      <c r="G1696" s="10"/>
      <c r="H1696" s="9">
        <v>260323</v>
      </c>
      <c r="I1696" s="11" t="s">
        <v>852</v>
      </c>
      <c r="J1696" s="12">
        <v>46171</v>
      </c>
      <c r="K1696" s="12">
        <v>46184</v>
      </c>
      <c r="L1696" s="27">
        <v>804750</v>
      </c>
      <c r="M1696" s="10" t="s">
        <v>7145</v>
      </c>
      <c r="N1696" s="34">
        <f t="shared" ca="1" si="347"/>
        <v>69.463776388889528</v>
      </c>
      <c r="O1696" s="11"/>
      <c r="P1696" s="39"/>
      <c r="Q1696" s="39"/>
      <c r="R1696" s="39"/>
      <c r="S1696" s="37">
        <f t="shared" si="348"/>
        <v>0</v>
      </c>
      <c r="T1696" s="37">
        <f t="shared" si="349"/>
        <v>804750</v>
      </c>
      <c r="U1696" s="10"/>
      <c r="V1696" s="10"/>
      <c r="W1696" s="10"/>
      <c r="X1696" s="10"/>
      <c r="Y1696" s="10"/>
      <c r="Z1696" s="10"/>
      <c r="AA1696" s="10"/>
      <c r="AB1696" s="10"/>
      <c r="AC1696" s="10"/>
      <c r="AD1696" s="10"/>
      <c r="AE1696" s="10"/>
    </row>
    <row r="1697" spans="1:31" ht="14.25" customHeight="1">
      <c r="A1697" s="277" t="s">
        <v>5914</v>
      </c>
      <c r="B1697" s="9" t="s">
        <v>21</v>
      </c>
      <c r="C1697" s="9">
        <v>2026</v>
      </c>
      <c r="D1697" s="9" t="s">
        <v>77</v>
      </c>
      <c r="E1697" s="90" t="s">
        <v>23</v>
      </c>
      <c r="F1697" s="9" t="s">
        <v>7</v>
      </c>
      <c r="G1697" s="10"/>
      <c r="H1697" s="9">
        <v>260328</v>
      </c>
      <c r="I1697" s="11" t="s">
        <v>852</v>
      </c>
      <c r="J1697" s="12">
        <v>46178</v>
      </c>
      <c r="K1697" s="12">
        <v>46184</v>
      </c>
      <c r="L1697" s="27">
        <v>1332000</v>
      </c>
      <c r="M1697" s="10" t="s">
        <v>7146</v>
      </c>
      <c r="N1697" s="34">
        <f t="shared" ca="1" si="347"/>
        <v>62.463776388889528</v>
      </c>
      <c r="O1697" s="11"/>
      <c r="P1697" s="39"/>
      <c r="Q1697" s="39"/>
      <c r="R1697" s="39"/>
      <c r="S1697" s="37">
        <f t="shared" si="348"/>
        <v>0</v>
      </c>
      <c r="T1697" s="37">
        <f t="shared" si="349"/>
        <v>1332000</v>
      </c>
      <c r="U1697" s="10"/>
      <c r="V1697" s="10"/>
      <c r="W1697" s="10"/>
      <c r="X1697" s="10"/>
      <c r="Y1697" s="10"/>
      <c r="Z1697" s="10"/>
      <c r="AA1697" s="10"/>
      <c r="AB1697" s="10"/>
      <c r="AC1697" s="10"/>
      <c r="AD1697" s="10"/>
      <c r="AE1697" s="10"/>
    </row>
    <row r="1698" spans="1:31" ht="14.25" customHeight="1">
      <c r="A1698" s="277" t="s">
        <v>5915</v>
      </c>
      <c r="B1698" s="9" t="s">
        <v>21</v>
      </c>
      <c r="C1698" s="9"/>
      <c r="D1698" s="9"/>
      <c r="E1698" s="90"/>
      <c r="F1698" s="9"/>
      <c r="G1698" s="10"/>
      <c r="H1698" s="9"/>
      <c r="I1698" s="11"/>
      <c r="J1698" s="12"/>
      <c r="K1698" s="12"/>
      <c r="L1698" s="52"/>
      <c r="M1698" s="10"/>
      <c r="N1698" s="114">
        <f ca="1">$J$3-J1698</f>
        <v>46240.46377638889</v>
      </c>
      <c r="O1698" s="11"/>
      <c r="P1698" s="39"/>
      <c r="Q1698" s="39"/>
      <c r="R1698" s="39"/>
      <c r="S1698" s="37">
        <f>IF(R1698="",0,L1698)</f>
        <v>0</v>
      </c>
      <c r="T1698" s="37">
        <f>L1698-S1698</f>
        <v>0</v>
      </c>
      <c r="U1698" s="10"/>
      <c r="V1698" s="10"/>
      <c r="W1698" s="10"/>
      <c r="X1698" s="10"/>
      <c r="Y1698" s="10"/>
      <c r="Z1698" s="10"/>
      <c r="AA1698" s="10"/>
      <c r="AB1698" s="10"/>
      <c r="AC1698" s="10"/>
      <c r="AD1698" s="10"/>
      <c r="AE1698" s="10"/>
    </row>
    <row r="1699" spans="1:31" ht="14.25" customHeight="1">
      <c r="A1699" s="277" t="s">
        <v>5916</v>
      </c>
      <c r="B1699" s="9" t="s">
        <v>21</v>
      </c>
      <c r="C1699" s="9"/>
      <c r="D1699" s="9"/>
      <c r="E1699" s="90"/>
      <c r="F1699" s="9"/>
      <c r="G1699" s="10"/>
      <c r="H1699" s="9"/>
      <c r="I1699" s="11"/>
      <c r="J1699" s="12"/>
      <c r="K1699" s="12"/>
      <c r="L1699" s="52"/>
      <c r="M1699" s="10"/>
      <c r="N1699" s="9"/>
      <c r="O1699" s="11"/>
      <c r="P1699" s="39"/>
      <c r="Q1699" s="39"/>
      <c r="R1699" s="39"/>
      <c r="S1699" s="37"/>
      <c r="T1699" s="37"/>
      <c r="U1699" s="10"/>
      <c r="V1699" s="10"/>
      <c r="W1699" s="10"/>
      <c r="X1699" s="10"/>
      <c r="Y1699" s="10"/>
      <c r="Z1699" s="10"/>
      <c r="AA1699" s="10"/>
      <c r="AB1699" s="10"/>
      <c r="AC1699" s="10"/>
      <c r="AD1699" s="10"/>
      <c r="AE1699" s="10"/>
    </row>
    <row r="1700" spans="1:31">
      <c r="A1700" s="277" t="s">
        <v>5917</v>
      </c>
      <c r="B1700" s="9" t="s">
        <v>21</v>
      </c>
      <c r="C1700" s="9"/>
      <c r="D1700" s="9"/>
      <c r="E1700" s="90"/>
      <c r="F1700" s="9"/>
      <c r="G1700" s="94" t="s">
        <v>24</v>
      </c>
      <c r="H1700" s="95" t="s">
        <v>862</v>
      </c>
      <c r="I1700" s="104"/>
      <c r="J1700" s="105"/>
      <c r="K1700" s="105"/>
      <c r="L1700" s="106">
        <f>SUM(L1701:L1802)</f>
        <v>265179481</v>
      </c>
      <c r="M1700" s="107"/>
      <c r="N1700" s="108" t="s">
        <v>26</v>
      </c>
      <c r="O1700" s="108"/>
      <c r="P1700" s="108"/>
      <c r="Q1700" s="108"/>
      <c r="R1700" s="108"/>
      <c r="S1700" s="106">
        <f>SUM(S1701:S1802)</f>
        <v>117970404</v>
      </c>
      <c r="T1700" s="106">
        <f>SUM(T1701:T1802)</f>
        <v>147209077</v>
      </c>
      <c r="U1700" s="10"/>
      <c r="V1700" s="52">
        <f>L1700-S1700</f>
        <v>147209077</v>
      </c>
      <c r="W1700" s="52">
        <f>T1700-V1700</f>
        <v>0</v>
      </c>
      <c r="X1700" s="10"/>
      <c r="Y1700" s="10"/>
      <c r="Z1700" s="10"/>
      <c r="AA1700" s="10"/>
      <c r="AB1700" s="10"/>
      <c r="AC1700" s="10"/>
      <c r="AD1700" s="10"/>
      <c r="AE1700" s="10"/>
    </row>
    <row r="1701" spans="1:31" hidden="1">
      <c r="A1701" s="277" t="s">
        <v>5918</v>
      </c>
      <c r="B1701" s="9" t="s">
        <v>21</v>
      </c>
      <c r="C1701" s="9">
        <v>2024</v>
      </c>
      <c r="D1701" s="9" t="s">
        <v>27</v>
      </c>
      <c r="E1701" s="90" t="s">
        <v>23</v>
      </c>
      <c r="F1701" s="9" t="s">
        <v>7</v>
      </c>
      <c r="G1701" s="10"/>
      <c r="H1701" s="96">
        <v>242274</v>
      </c>
      <c r="I1701" s="109" t="s">
        <v>862</v>
      </c>
      <c r="J1701" s="115">
        <v>45552</v>
      </c>
      <c r="K1701" s="115">
        <v>45577</v>
      </c>
      <c r="L1701" s="116">
        <v>2931544</v>
      </c>
      <c r="M1701" s="117" t="s">
        <v>863</v>
      </c>
      <c r="N1701" s="34" t="s">
        <v>29</v>
      </c>
      <c r="O1701" s="27">
        <f>SUM(L1701:L1709)</f>
        <v>21764491</v>
      </c>
      <c r="P1701" s="113">
        <v>46137</v>
      </c>
      <c r="Q1701" s="113">
        <v>46137</v>
      </c>
      <c r="R1701" s="113">
        <v>46137</v>
      </c>
      <c r="S1701" s="37">
        <f t="shared" ref="S1701:S1724" si="350">IF(R1701="",0,L1701)</f>
        <v>2931544</v>
      </c>
      <c r="T1701" s="37">
        <f t="shared" ref="T1701:T1724" si="351">L1701-S1701</f>
        <v>0</v>
      </c>
      <c r="U1701" s="10"/>
      <c r="V1701" s="10"/>
      <c r="W1701" s="10"/>
      <c r="X1701" s="10"/>
      <c r="Y1701" s="10"/>
      <c r="Z1701" s="10"/>
      <c r="AA1701" s="10"/>
      <c r="AB1701" s="10"/>
      <c r="AC1701" s="10"/>
      <c r="AD1701" s="10"/>
      <c r="AE1701" s="10"/>
    </row>
    <row r="1702" spans="1:31" hidden="1">
      <c r="A1702" s="277" t="s">
        <v>5919</v>
      </c>
      <c r="B1702" s="9" t="s">
        <v>21</v>
      </c>
      <c r="C1702" s="9">
        <v>2024</v>
      </c>
      <c r="D1702" s="9" t="s">
        <v>27</v>
      </c>
      <c r="E1702" s="90" t="s">
        <v>23</v>
      </c>
      <c r="F1702" s="9" t="s">
        <v>7</v>
      </c>
      <c r="G1702" s="10"/>
      <c r="H1702" s="96">
        <v>242037</v>
      </c>
      <c r="I1702" s="109" t="s">
        <v>862</v>
      </c>
      <c r="J1702" s="115">
        <v>45558</v>
      </c>
      <c r="K1702" s="115">
        <v>45577</v>
      </c>
      <c r="L1702" s="116">
        <v>600088</v>
      </c>
      <c r="M1702" s="117" t="s">
        <v>864</v>
      </c>
      <c r="N1702" s="34" t="s">
        <v>29</v>
      </c>
      <c r="O1702" s="27"/>
      <c r="P1702" s="113">
        <v>46137</v>
      </c>
      <c r="Q1702" s="113">
        <v>46137</v>
      </c>
      <c r="R1702" s="113">
        <v>46137</v>
      </c>
      <c r="S1702" s="37">
        <f t="shared" si="350"/>
        <v>600088</v>
      </c>
      <c r="T1702" s="37">
        <f t="shared" si="351"/>
        <v>0</v>
      </c>
      <c r="U1702" s="10"/>
      <c r="V1702" s="10"/>
      <c r="W1702" s="10"/>
      <c r="X1702" s="10"/>
      <c r="Y1702" s="10"/>
      <c r="Z1702" s="10"/>
      <c r="AA1702" s="10"/>
      <c r="AB1702" s="10"/>
      <c r="AC1702" s="10"/>
      <c r="AD1702" s="10"/>
      <c r="AE1702" s="10"/>
    </row>
    <row r="1703" spans="1:31" hidden="1">
      <c r="A1703" s="277" t="s">
        <v>5920</v>
      </c>
      <c r="B1703" s="9" t="s">
        <v>21</v>
      </c>
      <c r="C1703" s="9">
        <v>2024</v>
      </c>
      <c r="D1703" s="9" t="s">
        <v>27</v>
      </c>
      <c r="E1703" s="90" t="s">
        <v>23</v>
      </c>
      <c r="F1703" s="9" t="s">
        <v>7</v>
      </c>
      <c r="G1703" s="10"/>
      <c r="H1703" s="96">
        <v>242106</v>
      </c>
      <c r="I1703" s="109" t="s">
        <v>862</v>
      </c>
      <c r="J1703" s="115">
        <v>45572</v>
      </c>
      <c r="K1703" s="115">
        <v>45608</v>
      </c>
      <c r="L1703" s="116">
        <v>3597981</v>
      </c>
      <c r="M1703" s="117" t="s">
        <v>865</v>
      </c>
      <c r="N1703" s="34" t="s">
        <v>29</v>
      </c>
      <c r="O1703" s="27"/>
      <c r="P1703" s="113">
        <v>46137</v>
      </c>
      <c r="Q1703" s="113">
        <v>46137</v>
      </c>
      <c r="R1703" s="113">
        <v>46137</v>
      </c>
      <c r="S1703" s="37">
        <f t="shared" si="350"/>
        <v>3597981</v>
      </c>
      <c r="T1703" s="37">
        <f t="shared" si="351"/>
        <v>0</v>
      </c>
      <c r="U1703" s="10"/>
      <c r="V1703" s="10"/>
      <c r="W1703" s="10"/>
      <c r="X1703" s="10"/>
      <c r="Y1703" s="10"/>
      <c r="Z1703" s="10"/>
      <c r="AA1703" s="10"/>
      <c r="AB1703" s="10"/>
      <c r="AC1703" s="10"/>
      <c r="AD1703" s="10"/>
      <c r="AE1703" s="10"/>
    </row>
    <row r="1704" spans="1:31" hidden="1">
      <c r="A1704" s="277" t="s">
        <v>5921</v>
      </c>
      <c r="B1704" s="9" t="s">
        <v>21</v>
      </c>
      <c r="C1704" s="9">
        <v>2024</v>
      </c>
      <c r="D1704" s="9" t="s">
        <v>27</v>
      </c>
      <c r="E1704" s="90" t="s">
        <v>23</v>
      </c>
      <c r="F1704" s="9" t="s">
        <v>7</v>
      </c>
      <c r="G1704" s="10"/>
      <c r="H1704" s="96">
        <v>242124</v>
      </c>
      <c r="I1704" s="109" t="s">
        <v>862</v>
      </c>
      <c r="J1704" s="115">
        <v>45574</v>
      </c>
      <c r="K1704" s="115">
        <v>45608</v>
      </c>
      <c r="L1704" s="116">
        <v>151404</v>
      </c>
      <c r="M1704" s="117" t="s">
        <v>866</v>
      </c>
      <c r="N1704" s="34" t="s">
        <v>29</v>
      </c>
      <c r="O1704" s="27"/>
      <c r="P1704" s="113">
        <v>46137</v>
      </c>
      <c r="Q1704" s="113">
        <v>46137</v>
      </c>
      <c r="R1704" s="113">
        <v>46137</v>
      </c>
      <c r="S1704" s="37">
        <f t="shared" si="350"/>
        <v>151404</v>
      </c>
      <c r="T1704" s="37">
        <f t="shared" si="351"/>
        <v>0</v>
      </c>
      <c r="U1704" s="10"/>
      <c r="V1704" s="10"/>
      <c r="W1704" s="10"/>
      <c r="X1704" s="10"/>
      <c r="Y1704" s="10"/>
      <c r="Z1704" s="10"/>
      <c r="AA1704" s="10"/>
      <c r="AB1704" s="10"/>
      <c r="AC1704" s="10"/>
      <c r="AD1704" s="10"/>
      <c r="AE1704" s="10"/>
    </row>
    <row r="1705" spans="1:31" hidden="1">
      <c r="A1705" s="277" t="s">
        <v>5922</v>
      </c>
      <c r="B1705" s="9" t="s">
        <v>21</v>
      </c>
      <c r="C1705" s="9">
        <v>2024</v>
      </c>
      <c r="D1705" s="9" t="s">
        <v>27</v>
      </c>
      <c r="E1705" s="90" t="s">
        <v>23</v>
      </c>
      <c r="F1705" s="9" t="s">
        <v>7</v>
      </c>
      <c r="G1705" s="10"/>
      <c r="H1705" s="96">
        <v>242137</v>
      </c>
      <c r="I1705" s="109" t="s">
        <v>862</v>
      </c>
      <c r="J1705" s="115">
        <v>45577</v>
      </c>
      <c r="K1705" s="115">
        <v>45608</v>
      </c>
      <c r="L1705" s="116">
        <v>6131862</v>
      </c>
      <c r="M1705" s="117" t="s">
        <v>867</v>
      </c>
      <c r="N1705" s="34" t="s">
        <v>29</v>
      </c>
      <c r="O1705" s="27"/>
      <c r="P1705" s="113">
        <v>46137</v>
      </c>
      <c r="Q1705" s="113">
        <v>46137</v>
      </c>
      <c r="R1705" s="113">
        <v>46137</v>
      </c>
      <c r="S1705" s="37">
        <f t="shared" si="350"/>
        <v>6131862</v>
      </c>
      <c r="T1705" s="37">
        <f t="shared" si="351"/>
        <v>0</v>
      </c>
      <c r="U1705" s="10"/>
      <c r="V1705" s="10"/>
      <c r="W1705" s="10"/>
      <c r="X1705" s="10"/>
      <c r="Y1705" s="10"/>
      <c r="Z1705" s="10"/>
      <c r="AA1705" s="10"/>
      <c r="AB1705" s="10"/>
      <c r="AC1705" s="10"/>
      <c r="AD1705" s="10"/>
      <c r="AE1705" s="10"/>
    </row>
    <row r="1706" spans="1:31" hidden="1">
      <c r="A1706" s="277" t="s">
        <v>5923</v>
      </c>
      <c r="B1706" s="9" t="s">
        <v>21</v>
      </c>
      <c r="C1706" s="9">
        <v>2024</v>
      </c>
      <c r="D1706" s="9" t="s">
        <v>27</v>
      </c>
      <c r="E1706" s="90" t="s">
        <v>23</v>
      </c>
      <c r="F1706" s="9" t="s">
        <v>7</v>
      </c>
      <c r="G1706" s="10"/>
      <c r="H1706" s="96">
        <v>242152</v>
      </c>
      <c r="I1706" s="109" t="s">
        <v>862</v>
      </c>
      <c r="J1706" s="115">
        <v>45579</v>
      </c>
      <c r="K1706" s="115">
        <v>45608</v>
      </c>
      <c r="L1706" s="116">
        <v>1879119</v>
      </c>
      <c r="M1706" s="117" t="s">
        <v>868</v>
      </c>
      <c r="N1706" s="34" t="s">
        <v>29</v>
      </c>
      <c r="O1706" s="27"/>
      <c r="P1706" s="113">
        <v>46137</v>
      </c>
      <c r="Q1706" s="113">
        <v>46137</v>
      </c>
      <c r="R1706" s="113">
        <v>46137</v>
      </c>
      <c r="S1706" s="37">
        <f t="shared" si="350"/>
        <v>1879119</v>
      </c>
      <c r="T1706" s="37">
        <f t="shared" si="351"/>
        <v>0</v>
      </c>
      <c r="U1706" s="10"/>
      <c r="V1706" s="10"/>
      <c r="W1706" s="10"/>
      <c r="X1706" s="10"/>
      <c r="Y1706" s="10"/>
      <c r="Z1706" s="10"/>
      <c r="AA1706" s="10"/>
      <c r="AB1706" s="10"/>
      <c r="AC1706" s="10"/>
      <c r="AD1706" s="10"/>
      <c r="AE1706" s="10"/>
    </row>
    <row r="1707" spans="1:31" hidden="1">
      <c r="A1707" s="277" t="s">
        <v>5924</v>
      </c>
      <c r="B1707" s="9" t="s">
        <v>21</v>
      </c>
      <c r="C1707" s="9">
        <v>2024</v>
      </c>
      <c r="D1707" s="9" t="s">
        <v>27</v>
      </c>
      <c r="E1707" s="90" t="s">
        <v>23</v>
      </c>
      <c r="F1707" s="9" t="s">
        <v>7</v>
      </c>
      <c r="G1707" s="10"/>
      <c r="H1707" s="96">
        <v>242181</v>
      </c>
      <c r="I1707" s="109" t="s">
        <v>862</v>
      </c>
      <c r="J1707" s="115">
        <v>45582</v>
      </c>
      <c r="K1707" s="115">
        <v>45608</v>
      </c>
      <c r="L1707" s="116">
        <v>760350</v>
      </c>
      <c r="M1707" s="117" t="s">
        <v>869</v>
      </c>
      <c r="N1707" s="34" t="s">
        <v>29</v>
      </c>
      <c r="O1707" s="27"/>
      <c r="P1707" s="113">
        <v>46137</v>
      </c>
      <c r="Q1707" s="113">
        <v>46137</v>
      </c>
      <c r="R1707" s="113">
        <v>46137</v>
      </c>
      <c r="S1707" s="37">
        <f t="shared" si="350"/>
        <v>760350</v>
      </c>
      <c r="T1707" s="37">
        <f t="shared" si="351"/>
        <v>0</v>
      </c>
      <c r="U1707" s="10"/>
      <c r="V1707" s="10"/>
      <c r="W1707" s="10"/>
      <c r="X1707" s="10"/>
      <c r="Y1707" s="10"/>
      <c r="Z1707" s="10"/>
      <c r="AA1707" s="10"/>
      <c r="AB1707" s="10"/>
      <c r="AC1707" s="10"/>
      <c r="AD1707" s="10"/>
      <c r="AE1707" s="10"/>
    </row>
    <row r="1708" spans="1:31" hidden="1">
      <c r="A1708" s="277" t="s">
        <v>5925</v>
      </c>
      <c r="B1708" s="9" t="s">
        <v>21</v>
      </c>
      <c r="C1708" s="9">
        <v>2024</v>
      </c>
      <c r="D1708" s="9" t="s">
        <v>27</v>
      </c>
      <c r="E1708" s="90" t="s">
        <v>23</v>
      </c>
      <c r="F1708" s="9" t="s">
        <v>7</v>
      </c>
      <c r="G1708" s="10"/>
      <c r="H1708" s="96">
        <v>242180</v>
      </c>
      <c r="I1708" s="109" t="s">
        <v>862</v>
      </c>
      <c r="J1708" s="115">
        <v>45582</v>
      </c>
      <c r="K1708" s="115">
        <v>45608</v>
      </c>
      <c r="L1708" s="116">
        <v>2442000</v>
      </c>
      <c r="M1708" s="117" t="s">
        <v>870</v>
      </c>
      <c r="N1708" s="34" t="s">
        <v>29</v>
      </c>
      <c r="O1708" s="27"/>
      <c r="P1708" s="113">
        <v>46137</v>
      </c>
      <c r="Q1708" s="113">
        <v>46137</v>
      </c>
      <c r="R1708" s="113">
        <v>46137</v>
      </c>
      <c r="S1708" s="37">
        <f t="shared" si="350"/>
        <v>2442000</v>
      </c>
      <c r="T1708" s="37">
        <f t="shared" si="351"/>
        <v>0</v>
      </c>
      <c r="U1708" s="10"/>
      <c r="V1708" s="10"/>
      <c r="W1708" s="10"/>
      <c r="X1708" s="10"/>
      <c r="Y1708" s="10"/>
      <c r="Z1708" s="10"/>
      <c r="AA1708" s="10"/>
      <c r="AB1708" s="10"/>
      <c r="AC1708" s="10"/>
      <c r="AD1708" s="10"/>
      <c r="AE1708" s="10"/>
    </row>
    <row r="1709" spans="1:31" hidden="1">
      <c r="A1709" s="277" t="s">
        <v>5926</v>
      </c>
      <c r="B1709" s="9" t="s">
        <v>21</v>
      </c>
      <c r="C1709" s="9">
        <v>2024</v>
      </c>
      <c r="D1709" s="9" t="s">
        <v>27</v>
      </c>
      <c r="E1709" s="90" t="s">
        <v>23</v>
      </c>
      <c r="F1709" s="9" t="s">
        <v>7</v>
      </c>
      <c r="G1709" s="10"/>
      <c r="H1709" s="96">
        <v>242188</v>
      </c>
      <c r="I1709" s="109" t="s">
        <v>862</v>
      </c>
      <c r="J1709" s="115">
        <v>45583</v>
      </c>
      <c r="K1709" s="115">
        <v>45608</v>
      </c>
      <c r="L1709" s="116">
        <v>3270143</v>
      </c>
      <c r="M1709" s="117" t="s">
        <v>871</v>
      </c>
      <c r="N1709" s="34" t="s">
        <v>29</v>
      </c>
      <c r="O1709" s="27"/>
      <c r="P1709" s="113">
        <v>46137</v>
      </c>
      <c r="Q1709" s="113">
        <v>46137</v>
      </c>
      <c r="R1709" s="113">
        <v>46137</v>
      </c>
      <c r="S1709" s="37">
        <f t="shared" si="350"/>
        <v>3270143</v>
      </c>
      <c r="T1709" s="37">
        <f t="shared" si="351"/>
        <v>0</v>
      </c>
      <c r="U1709" s="10"/>
      <c r="V1709" s="10"/>
      <c r="W1709" s="10"/>
      <c r="X1709" s="10"/>
      <c r="Y1709" s="10"/>
      <c r="Z1709" s="10"/>
      <c r="AA1709" s="10"/>
      <c r="AB1709" s="10"/>
      <c r="AC1709" s="10"/>
      <c r="AD1709" s="10"/>
      <c r="AE1709" s="10"/>
    </row>
    <row r="1710" spans="1:31" hidden="1">
      <c r="A1710" s="277" t="s">
        <v>5927</v>
      </c>
      <c r="B1710" s="9" t="s">
        <v>21</v>
      </c>
      <c r="C1710" s="9">
        <v>2024</v>
      </c>
      <c r="D1710" s="9" t="s">
        <v>27</v>
      </c>
      <c r="E1710" s="90" t="s">
        <v>23</v>
      </c>
      <c r="F1710" s="9" t="s">
        <v>7</v>
      </c>
      <c r="G1710" s="10"/>
      <c r="H1710" s="96">
        <v>242196</v>
      </c>
      <c r="I1710" s="109" t="s">
        <v>862</v>
      </c>
      <c r="J1710" s="115">
        <v>45584</v>
      </c>
      <c r="K1710" s="115">
        <v>45608</v>
      </c>
      <c r="L1710" s="116">
        <v>917326</v>
      </c>
      <c r="M1710" s="117" t="s">
        <v>872</v>
      </c>
      <c r="N1710" s="34" t="s">
        <v>29</v>
      </c>
      <c r="O1710" s="27">
        <f>SUM(L1710:L1724)</f>
        <v>31597899</v>
      </c>
      <c r="P1710" s="113">
        <v>46168</v>
      </c>
      <c r="Q1710" s="113">
        <v>46168</v>
      </c>
      <c r="R1710" s="113">
        <v>46168</v>
      </c>
      <c r="S1710" s="37">
        <f t="shared" si="350"/>
        <v>917326</v>
      </c>
      <c r="T1710" s="37">
        <f t="shared" si="351"/>
        <v>0</v>
      </c>
      <c r="U1710" s="10"/>
      <c r="V1710" s="10"/>
      <c r="W1710" s="10"/>
      <c r="X1710" s="10"/>
      <c r="Y1710" s="10"/>
      <c r="Z1710" s="10"/>
      <c r="AA1710" s="10"/>
      <c r="AB1710" s="10"/>
      <c r="AC1710" s="10"/>
      <c r="AD1710" s="10"/>
      <c r="AE1710" s="10"/>
    </row>
    <row r="1711" spans="1:31" hidden="1">
      <c r="A1711" s="277" t="s">
        <v>5928</v>
      </c>
      <c r="B1711" s="9" t="s">
        <v>21</v>
      </c>
      <c r="C1711" s="9">
        <v>2024</v>
      </c>
      <c r="D1711" s="9" t="s">
        <v>27</v>
      </c>
      <c r="E1711" s="90" t="s">
        <v>23</v>
      </c>
      <c r="F1711" s="9" t="s">
        <v>7</v>
      </c>
      <c r="G1711" s="10"/>
      <c r="H1711" s="96">
        <v>242195</v>
      </c>
      <c r="I1711" s="109" t="s">
        <v>862</v>
      </c>
      <c r="J1711" s="115">
        <v>45587</v>
      </c>
      <c r="K1711" s="115">
        <v>45608</v>
      </c>
      <c r="L1711" s="116">
        <v>6105000</v>
      </c>
      <c r="M1711" s="117" t="s">
        <v>873</v>
      </c>
      <c r="N1711" s="34" t="s">
        <v>29</v>
      </c>
      <c r="O1711" s="27"/>
      <c r="P1711" s="113">
        <v>46168</v>
      </c>
      <c r="Q1711" s="113">
        <v>46168</v>
      </c>
      <c r="R1711" s="113">
        <v>46168</v>
      </c>
      <c r="S1711" s="37">
        <f t="shared" si="350"/>
        <v>6105000</v>
      </c>
      <c r="T1711" s="37">
        <f t="shared" si="351"/>
        <v>0</v>
      </c>
      <c r="U1711" s="10"/>
      <c r="V1711" s="10"/>
      <c r="W1711" s="10"/>
      <c r="X1711" s="10"/>
      <c r="Y1711" s="10"/>
      <c r="Z1711" s="10"/>
      <c r="AA1711" s="10"/>
      <c r="AB1711" s="10"/>
      <c r="AC1711" s="10"/>
      <c r="AD1711" s="10"/>
      <c r="AE1711" s="10"/>
    </row>
    <row r="1712" spans="1:31" hidden="1">
      <c r="A1712" s="277" t="s">
        <v>5929</v>
      </c>
      <c r="B1712" s="9" t="s">
        <v>21</v>
      </c>
      <c r="C1712" s="9">
        <v>2024</v>
      </c>
      <c r="D1712" s="9" t="s">
        <v>27</v>
      </c>
      <c r="E1712" s="90" t="s">
        <v>23</v>
      </c>
      <c r="F1712" s="9" t="s">
        <v>7</v>
      </c>
      <c r="G1712" s="10"/>
      <c r="H1712" s="96">
        <v>242228</v>
      </c>
      <c r="I1712" s="109" t="s">
        <v>862</v>
      </c>
      <c r="J1712" s="115">
        <v>45589</v>
      </c>
      <c r="K1712" s="115">
        <v>45608</v>
      </c>
      <c r="L1712" s="116">
        <v>366300</v>
      </c>
      <c r="M1712" s="117" t="s">
        <v>874</v>
      </c>
      <c r="N1712" s="34" t="s">
        <v>29</v>
      </c>
      <c r="O1712" s="27"/>
      <c r="P1712" s="113">
        <v>46168</v>
      </c>
      <c r="Q1712" s="113">
        <v>46168</v>
      </c>
      <c r="R1712" s="113">
        <v>46168</v>
      </c>
      <c r="S1712" s="37">
        <f t="shared" si="350"/>
        <v>366300</v>
      </c>
      <c r="T1712" s="37">
        <f t="shared" si="351"/>
        <v>0</v>
      </c>
      <c r="U1712" s="10"/>
      <c r="V1712" s="10"/>
      <c r="W1712" s="10"/>
      <c r="X1712" s="10"/>
      <c r="Y1712" s="10"/>
      <c r="Z1712" s="10"/>
      <c r="AA1712" s="10"/>
      <c r="AB1712" s="10"/>
      <c r="AC1712" s="10"/>
      <c r="AD1712" s="10"/>
      <c r="AE1712" s="10"/>
    </row>
    <row r="1713" spans="1:31" hidden="1">
      <c r="A1713" s="277" t="s">
        <v>5930</v>
      </c>
      <c r="B1713" s="9" t="s">
        <v>21</v>
      </c>
      <c r="C1713" s="9">
        <v>2024</v>
      </c>
      <c r="D1713" s="9" t="s">
        <v>27</v>
      </c>
      <c r="E1713" s="90" t="s">
        <v>23</v>
      </c>
      <c r="F1713" s="9" t="s">
        <v>7</v>
      </c>
      <c r="G1713" s="10"/>
      <c r="H1713" s="96">
        <v>242241</v>
      </c>
      <c r="I1713" s="109" t="s">
        <v>862</v>
      </c>
      <c r="J1713" s="115">
        <v>45593</v>
      </c>
      <c r="K1713" s="115">
        <v>45608</v>
      </c>
      <c r="L1713" s="116">
        <v>620556</v>
      </c>
      <c r="M1713" s="117" t="s">
        <v>875</v>
      </c>
      <c r="N1713" s="34" t="s">
        <v>29</v>
      </c>
      <c r="O1713" s="27"/>
      <c r="P1713" s="113">
        <v>46168</v>
      </c>
      <c r="Q1713" s="113">
        <v>46168</v>
      </c>
      <c r="R1713" s="113">
        <v>46168</v>
      </c>
      <c r="S1713" s="37">
        <f t="shared" si="350"/>
        <v>620556</v>
      </c>
      <c r="T1713" s="37">
        <f t="shared" si="351"/>
        <v>0</v>
      </c>
      <c r="U1713" s="10"/>
      <c r="V1713" s="10"/>
      <c r="W1713" s="10"/>
      <c r="X1713" s="10"/>
      <c r="Y1713" s="10"/>
      <c r="Z1713" s="10"/>
      <c r="AA1713" s="10"/>
      <c r="AB1713" s="10"/>
      <c r="AC1713" s="10"/>
      <c r="AD1713" s="10"/>
      <c r="AE1713" s="10"/>
    </row>
    <row r="1714" spans="1:31" hidden="1">
      <c r="A1714" s="277" t="s">
        <v>5931</v>
      </c>
      <c r="B1714" s="9" t="s">
        <v>21</v>
      </c>
      <c r="C1714" s="9">
        <v>2024</v>
      </c>
      <c r="D1714" s="9" t="s">
        <v>27</v>
      </c>
      <c r="E1714" s="90" t="s">
        <v>23</v>
      </c>
      <c r="F1714" s="9" t="s">
        <v>7</v>
      </c>
      <c r="G1714" s="10"/>
      <c r="H1714" s="96">
        <v>242242</v>
      </c>
      <c r="I1714" s="109" t="s">
        <v>862</v>
      </c>
      <c r="J1714" s="115">
        <v>45593</v>
      </c>
      <c r="K1714" s="115">
        <v>45608</v>
      </c>
      <c r="L1714" s="116">
        <v>288600</v>
      </c>
      <c r="M1714" s="117" t="s">
        <v>876</v>
      </c>
      <c r="N1714" s="34" t="s">
        <v>29</v>
      </c>
      <c r="O1714" s="27"/>
      <c r="P1714" s="113">
        <v>46168</v>
      </c>
      <c r="Q1714" s="113">
        <v>46168</v>
      </c>
      <c r="R1714" s="113">
        <v>46168</v>
      </c>
      <c r="S1714" s="37">
        <f t="shared" si="350"/>
        <v>288600</v>
      </c>
      <c r="T1714" s="37">
        <f t="shared" si="351"/>
        <v>0</v>
      </c>
      <c r="U1714" s="10"/>
      <c r="V1714" s="10"/>
      <c r="W1714" s="10"/>
      <c r="X1714" s="10"/>
      <c r="Y1714" s="10"/>
      <c r="Z1714" s="10"/>
      <c r="AA1714" s="10"/>
      <c r="AB1714" s="10"/>
      <c r="AC1714" s="10"/>
      <c r="AD1714" s="10"/>
      <c r="AE1714" s="10"/>
    </row>
    <row r="1715" spans="1:31" hidden="1">
      <c r="A1715" s="277" t="s">
        <v>5932</v>
      </c>
      <c r="B1715" s="9" t="s">
        <v>21</v>
      </c>
      <c r="C1715" s="9">
        <v>2024</v>
      </c>
      <c r="D1715" s="9" t="s">
        <v>27</v>
      </c>
      <c r="E1715" s="90" t="s">
        <v>23</v>
      </c>
      <c r="F1715" s="9" t="s">
        <v>7</v>
      </c>
      <c r="G1715" s="10"/>
      <c r="H1715" s="96">
        <v>242324</v>
      </c>
      <c r="I1715" s="109" t="s">
        <v>862</v>
      </c>
      <c r="J1715" s="115">
        <v>45601</v>
      </c>
      <c r="K1715" s="115">
        <v>45638</v>
      </c>
      <c r="L1715" s="116">
        <v>662403</v>
      </c>
      <c r="M1715" s="117" t="s">
        <v>877</v>
      </c>
      <c r="N1715" s="34" t="s">
        <v>29</v>
      </c>
      <c r="O1715" s="27"/>
      <c r="P1715" s="113">
        <v>46168</v>
      </c>
      <c r="Q1715" s="113">
        <v>46168</v>
      </c>
      <c r="R1715" s="113">
        <v>46168</v>
      </c>
      <c r="S1715" s="37">
        <f t="shared" si="350"/>
        <v>662403</v>
      </c>
      <c r="T1715" s="37">
        <f t="shared" si="351"/>
        <v>0</v>
      </c>
      <c r="U1715" s="10"/>
      <c r="V1715" s="10"/>
      <c r="W1715" s="10"/>
      <c r="X1715" s="10"/>
      <c r="Y1715" s="10"/>
      <c r="Z1715" s="10"/>
      <c r="AA1715" s="10"/>
      <c r="AB1715" s="10"/>
      <c r="AC1715" s="10"/>
      <c r="AD1715" s="10"/>
      <c r="AE1715" s="10"/>
    </row>
    <row r="1716" spans="1:31" hidden="1">
      <c r="A1716" s="277" t="s">
        <v>5933</v>
      </c>
      <c r="B1716" s="9" t="s">
        <v>21</v>
      </c>
      <c r="C1716" s="9">
        <v>2024</v>
      </c>
      <c r="D1716" s="9" t="s">
        <v>27</v>
      </c>
      <c r="E1716" s="90" t="s">
        <v>23</v>
      </c>
      <c r="F1716" s="9" t="s">
        <v>7</v>
      </c>
      <c r="G1716" s="10"/>
      <c r="H1716" s="96">
        <v>242356</v>
      </c>
      <c r="I1716" s="109" t="s">
        <v>862</v>
      </c>
      <c r="J1716" s="115">
        <v>45612</v>
      </c>
      <c r="K1716" s="115">
        <v>45638</v>
      </c>
      <c r="L1716" s="116">
        <v>1498789</v>
      </c>
      <c r="M1716" s="117" t="s">
        <v>878</v>
      </c>
      <c r="N1716" s="34" t="s">
        <v>29</v>
      </c>
      <c r="O1716" s="27"/>
      <c r="P1716" s="113">
        <v>46168</v>
      </c>
      <c r="Q1716" s="113">
        <v>46168</v>
      </c>
      <c r="R1716" s="113">
        <v>46168</v>
      </c>
      <c r="S1716" s="37">
        <f t="shared" si="350"/>
        <v>1498789</v>
      </c>
      <c r="T1716" s="37">
        <f t="shared" si="351"/>
        <v>0</v>
      </c>
      <c r="U1716" s="10"/>
      <c r="V1716" s="10"/>
      <c r="W1716" s="10"/>
      <c r="X1716" s="10"/>
      <c r="Y1716" s="10"/>
      <c r="Z1716" s="10"/>
      <c r="AA1716" s="10"/>
      <c r="AB1716" s="10"/>
      <c r="AC1716" s="10"/>
      <c r="AD1716" s="10"/>
      <c r="AE1716" s="10"/>
    </row>
    <row r="1717" spans="1:31" hidden="1">
      <c r="A1717" s="277" t="s">
        <v>5934</v>
      </c>
      <c r="B1717" s="9" t="s">
        <v>21</v>
      </c>
      <c r="C1717" s="9">
        <v>2024</v>
      </c>
      <c r="D1717" s="9" t="s">
        <v>27</v>
      </c>
      <c r="E1717" s="90" t="s">
        <v>23</v>
      </c>
      <c r="F1717" s="9" t="s">
        <v>7</v>
      </c>
      <c r="G1717" s="10"/>
      <c r="H1717" s="96">
        <v>242548</v>
      </c>
      <c r="I1717" s="109" t="s">
        <v>862</v>
      </c>
      <c r="J1717" s="115">
        <v>45615</v>
      </c>
      <c r="K1717" s="115">
        <v>45638</v>
      </c>
      <c r="L1717" s="116">
        <v>245643</v>
      </c>
      <c r="M1717" s="117" t="s">
        <v>879</v>
      </c>
      <c r="N1717" s="34" t="s">
        <v>29</v>
      </c>
      <c r="O1717" s="27"/>
      <c r="P1717" s="113">
        <v>46168</v>
      </c>
      <c r="Q1717" s="113">
        <v>46168</v>
      </c>
      <c r="R1717" s="113">
        <v>46168</v>
      </c>
      <c r="S1717" s="37">
        <f t="shared" si="350"/>
        <v>245643</v>
      </c>
      <c r="T1717" s="37">
        <f t="shared" si="351"/>
        <v>0</v>
      </c>
      <c r="U1717" s="10"/>
      <c r="V1717" s="10"/>
      <c r="W1717" s="10"/>
      <c r="X1717" s="10"/>
      <c r="Y1717" s="10"/>
      <c r="Z1717" s="10"/>
      <c r="AA1717" s="10"/>
      <c r="AB1717" s="10"/>
      <c r="AC1717" s="10"/>
      <c r="AD1717" s="10"/>
      <c r="AE1717" s="10"/>
    </row>
    <row r="1718" spans="1:31" hidden="1">
      <c r="A1718" s="277" t="s">
        <v>5935</v>
      </c>
      <c r="B1718" s="9" t="s">
        <v>21</v>
      </c>
      <c r="C1718" s="9">
        <v>2024</v>
      </c>
      <c r="D1718" s="9" t="s">
        <v>27</v>
      </c>
      <c r="E1718" s="90" t="s">
        <v>23</v>
      </c>
      <c r="F1718" s="9" t="s">
        <v>7</v>
      </c>
      <c r="G1718" s="10"/>
      <c r="H1718" s="96">
        <v>242406</v>
      </c>
      <c r="I1718" s="109" t="s">
        <v>862</v>
      </c>
      <c r="J1718" s="115">
        <v>45618</v>
      </c>
      <c r="K1718" s="115">
        <v>45638</v>
      </c>
      <c r="L1718" s="116">
        <v>417360</v>
      </c>
      <c r="M1718" s="117" t="s">
        <v>880</v>
      </c>
      <c r="N1718" s="34" t="s">
        <v>29</v>
      </c>
      <c r="O1718" s="27"/>
      <c r="P1718" s="113">
        <v>46168</v>
      </c>
      <c r="Q1718" s="113">
        <v>46168</v>
      </c>
      <c r="R1718" s="113">
        <v>46168</v>
      </c>
      <c r="S1718" s="37">
        <f t="shared" si="350"/>
        <v>417360</v>
      </c>
      <c r="T1718" s="37">
        <f t="shared" si="351"/>
        <v>0</v>
      </c>
      <c r="U1718" s="10"/>
      <c r="V1718" s="10"/>
      <c r="W1718" s="10"/>
      <c r="X1718" s="10"/>
      <c r="Y1718" s="10"/>
      <c r="Z1718" s="10"/>
      <c r="AA1718" s="10"/>
      <c r="AB1718" s="10"/>
      <c r="AC1718" s="10"/>
      <c r="AD1718" s="10"/>
      <c r="AE1718" s="10"/>
    </row>
    <row r="1719" spans="1:31" hidden="1">
      <c r="A1719" s="277" t="s">
        <v>5936</v>
      </c>
      <c r="B1719" s="9" t="s">
        <v>21</v>
      </c>
      <c r="C1719" s="9">
        <v>2024</v>
      </c>
      <c r="D1719" s="9" t="s">
        <v>27</v>
      </c>
      <c r="E1719" s="90" t="s">
        <v>23</v>
      </c>
      <c r="F1719" s="9" t="s">
        <v>7</v>
      </c>
      <c r="G1719" s="10"/>
      <c r="H1719" s="96">
        <v>242405</v>
      </c>
      <c r="I1719" s="109" t="s">
        <v>862</v>
      </c>
      <c r="J1719" s="115">
        <v>45618</v>
      </c>
      <c r="K1719" s="115">
        <v>45638</v>
      </c>
      <c r="L1719" s="116">
        <v>743739</v>
      </c>
      <c r="M1719" s="117" t="s">
        <v>881</v>
      </c>
      <c r="N1719" s="34" t="s">
        <v>29</v>
      </c>
      <c r="O1719" s="27"/>
      <c r="P1719" s="113">
        <v>46168</v>
      </c>
      <c r="Q1719" s="113">
        <v>46168</v>
      </c>
      <c r="R1719" s="113">
        <v>46168</v>
      </c>
      <c r="S1719" s="37">
        <f t="shared" si="350"/>
        <v>743739</v>
      </c>
      <c r="T1719" s="37">
        <f t="shared" si="351"/>
        <v>0</v>
      </c>
      <c r="U1719" s="10"/>
      <c r="V1719" s="10"/>
      <c r="W1719" s="10"/>
      <c r="X1719" s="10"/>
      <c r="Y1719" s="10"/>
      <c r="Z1719" s="10"/>
      <c r="AA1719" s="10"/>
      <c r="AB1719" s="10"/>
      <c r="AC1719" s="10"/>
      <c r="AD1719" s="10"/>
      <c r="AE1719" s="10"/>
    </row>
    <row r="1720" spans="1:31" hidden="1">
      <c r="A1720" s="277" t="s">
        <v>5937</v>
      </c>
      <c r="B1720" s="9" t="s">
        <v>21</v>
      </c>
      <c r="C1720" s="9">
        <v>2024</v>
      </c>
      <c r="D1720" s="9" t="s">
        <v>27</v>
      </c>
      <c r="E1720" s="90" t="s">
        <v>23</v>
      </c>
      <c r="F1720" s="9" t="s">
        <v>7</v>
      </c>
      <c r="G1720" s="10"/>
      <c r="H1720" s="96">
        <v>242407</v>
      </c>
      <c r="I1720" s="109" t="s">
        <v>862</v>
      </c>
      <c r="J1720" s="115">
        <v>45619</v>
      </c>
      <c r="K1720" s="115">
        <v>45638</v>
      </c>
      <c r="L1720" s="116">
        <v>1779680</v>
      </c>
      <c r="M1720" s="117" t="s">
        <v>882</v>
      </c>
      <c r="N1720" s="34" t="s">
        <v>29</v>
      </c>
      <c r="O1720" s="27"/>
      <c r="P1720" s="113">
        <v>46168</v>
      </c>
      <c r="Q1720" s="113">
        <v>46168</v>
      </c>
      <c r="R1720" s="113">
        <v>46168</v>
      </c>
      <c r="S1720" s="37">
        <f t="shared" si="350"/>
        <v>1779680</v>
      </c>
      <c r="T1720" s="37">
        <f t="shared" si="351"/>
        <v>0</v>
      </c>
      <c r="U1720" s="10"/>
      <c r="V1720" s="10"/>
      <c r="W1720" s="10"/>
      <c r="X1720" s="10"/>
      <c r="Y1720" s="10"/>
      <c r="Z1720" s="10"/>
      <c r="AA1720" s="10"/>
      <c r="AB1720" s="10"/>
      <c r="AC1720" s="10"/>
      <c r="AD1720" s="10"/>
      <c r="AE1720" s="10"/>
    </row>
    <row r="1721" spans="1:31" hidden="1">
      <c r="A1721" s="277" t="s">
        <v>5938</v>
      </c>
      <c r="B1721" s="9" t="s">
        <v>21</v>
      </c>
      <c r="C1721" s="9">
        <v>2024</v>
      </c>
      <c r="D1721" s="9" t="s">
        <v>27</v>
      </c>
      <c r="E1721" s="90" t="s">
        <v>23</v>
      </c>
      <c r="F1721" s="9" t="s">
        <v>7</v>
      </c>
      <c r="G1721" s="10"/>
      <c r="H1721" s="96">
        <v>242420</v>
      </c>
      <c r="I1721" s="109" t="s">
        <v>862</v>
      </c>
      <c r="J1721" s="115">
        <v>45624</v>
      </c>
      <c r="K1721" s="115">
        <v>45638</v>
      </c>
      <c r="L1721" s="116">
        <v>1266954</v>
      </c>
      <c r="M1721" s="117" t="s">
        <v>883</v>
      </c>
      <c r="N1721" s="34" t="s">
        <v>29</v>
      </c>
      <c r="O1721" s="27"/>
      <c r="P1721" s="113">
        <v>46168</v>
      </c>
      <c r="Q1721" s="113">
        <v>46168</v>
      </c>
      <c r="R1721" s="113">
        <v>46168</v>
      </c>
      <c r="S1721" s="37">
        <f t="shared" si="350"/>
        <v>1266954</v>
      </c>
      <c r="T1721" s="37">
        <f t="shared" si="351"/>
        <v>0</v>
      </c>
      <c r="U1721" s="10"/>
      <c r="V1721" s="10"/>
      <c r="W1721" s="10"/>
      <c r="X1721" s="10"/>
      <c r="Y1721" s="10"/>
      <c r="Z1721" s="10"/>
      <c r="AA1721" s="10"/>
      <c r="AB1721" s="10"/>
      <c r="AC1721" s="10"/>
      <c r="AD1721" s="10"/>
      <c r="AE1721" s="10"/>
    </row>
    <row r="1722" spans="1:31" hidden="1">
      <c r="A1722" s="277" t="s">
        <v>5939</v>
      </c>
      <c r="B1722" s="9" t="s">
        <v>21</v>
      </c>
      <c r="C1722" s="9">
        <v>2024</v>
      </c>
      <c r="D1722" s="9" t="s">
        <v>27</v>
      </c>
      <c r="E1722" s="90" t="s">
        <v>23</v>
      </c>
      <c r="F1722" s="9" t="s">
        <v>7</v>
      </c>
      <c r="G1722" s="10"/>
      <c r="H1722" s="96">
        <v>242430</v>
      </c>
      <c r="I1722" s="109" t="s">
        <v>862</v>
      </c>
      <c r="J1722" s="115">
        <v>45626</v>
      </c>
      <c r="K1722" s="115">
        <v>45638</v>
      </c>
      <c r="L1722" s="116">
        <v>8547000</v>
      </c>
      <c r="M1722" s="117" t="s">
        <v>884</v>
      </c>
      <c r="N1722" s="34" t="s">
        <v>29</v>
      </c>
      <c r="O1722" s="27"/>
      <c r="P1722" s="113">
        <v>46168</v>
      </c>
      <c r="Q1722" s="113">
        <v>46168</v>
      </c>
      <c r="R1722" s="113">
        <v>46168</v>
      </c>
      <c r="S1722" s="37">
        <f t="shared" si="350"/>
        <v>8547000</v>
      </c>
      <c r="T1722" s="37">
        <f t="shared" si="351"/>
        <v>0</v>
      </c>
      <c r="U1722" s="10"/>
      <c r="V1722" s="10"/>
      <c r="W1722" s="10"/>
      <c r="X1722" s="10"/>
      <c r="Y1722" s="10"/>
      <c r="Z1722" s="10"/>
      <c r="AA1722" s="10"/>
      <c r="AB1722" s="10"/>
      <c r="AC1722" s="10"/>
      <c r="AD1722" s="10"/>
      <c r="AE1722" s="10"/>
    </row>
    <row r="1723" spans="1:31" hidden="1">
      <c r="A1723" s="277" t="s">
        <v>5940</v>
      </c>
      <c r="B1723" s="9" t="s">
        <v>21</v>
      </c>
      <c r="C1723" s="9">
        <v>2024</v>
      </c>
      <c r="D1723" s="9" t="s">
        <v>27</v>
      </c>
      <c r="E1723" s="90" t="s">
        <v>23</v>
      </c>
      <c r="F1723" s="9" t="s">
        <v>7</v>
      </c>
      <c r="G1723" s="10"/>
      <c r="H1723" s="96">
        <v>242546</v>
      </c>
      <c r="I1723" s="109" t="s">
        <v>862</v>
      </c>
      <c r="J1723" s="115">
        <v>45647</v>
      </c>
      <c r="K1723" s="115">
        <v>45671</v>
      </c>
      <c r="L1723" s="116">
        <v>4916051</v>
      </c>
      <c r="M1723" s="117" t="s">
        <v>885</v>
      </c>
      <c r="N1723" s="34" t="s">
        <v>29</v>
      </c>
      <c r="O1723" s="27"/>
      <c r="P1723" s="113">
        <v>46168</v>
      </c>
      <c r="Q1723" s="113">
        <v>46168</v>
      </c>
      <c r="R1723" s="113">
        <v>46168</v>
      </c>
      <c r="S1723" s="37">
        <f t="shared" si="350"/>
        <v>4916051</v>
      </c>
      <c r="T1723" s="37">
        <f t="shared" si="351"/>
        <v>0</v>
      </c>
      <c r="U1723" s="10"/>
      <c r="V1723" s="10"/>
      <c r="W1723" s="10"/>
      <c r="X1723" s="10"/>
      <c r="Y1723" s="10"/>
      <c r="Z1723" s="10"/>
      <c r="AA1723" s="10"/>
      <c r="AB1723" s="10"/>
      <c r="AC1723" s="10"/>
      <c r="AD1723" s="10"/>
      <c r="AE1723" s="10"/>
    </row>
    <row r="1724" spans="1:31" hidden="1">
      <c r="A1724" s="277" t="s">
        <v>5941</v>
      </c>
      <c r="B1724" s="9" t="s">
        <v>21</v>
      </c>
      <c r="C1724" s="9">
        <v>2024</v>
      </c>
      <c r="D1724" s="9" t="s">
        <v>27</v>
      </c>
      <c r="E1724" s="90" t="s">
        <v>23</v>
      </c>
      <c r="F1724" s="9" t="s">
        <v>7</v>
      </c>
      <c r="G1724" s="10"/>
      <c r="H1724" s="96">
        <v>242560</v>
      </c>
      <c r="I1724" s="109" t="s">
        <v>862</v>
      </c>
      <c r="J1724" s="115">
        <v>45650</v>
      </c>
      <c r="K1724" s="115">
        <v>45671</v>
      </c>
      <c r="L1724" s="116">
        <v>3222498</v>
      </c>
      <c r="M1724" s="117" t="s">
        <v>886</v>
      </c>
      <c r="N1724" s="34" t="s">
        <v>29</v>
      </c>
      <c r="O1724" s="27"/>
      <c r="P1724" s="113">
        <v>46168</v>
      </c>
      <c r="Q1724" s="113">
        <v>46168</v>
      </c>
      <c r="R1724" s="113">
        <v>46168</v>
      </c>
      <c r="S1724" s="37">
        <f t="shared" si="350"/>
        <v>3222498</v>
      </c>
      <c r="T1724" s="37">
        <f t="shared" si="351"/>
        <v>0</v>
      </c>
      <c r="U1724" s="10"/>
      <c r="V1724" s="10"/>
      <c r="W1724" s="10"/>
      <c r="X1724" s="10"/>
      <c r="Y1724" s="10"/>
      <c r="Z1724" s="10"/>
      <c r="AA1724" s="10"/>
      <c r="AB1724" s="10"/>
      <c r="AC1724" s="10"/>
      <c r="AD1724" s="10"/>
      <c r="AE1724" s="10"/>
    </row>
    <row r="1725" spans="1:31" hidden="1">
      <c r="A1725" s="277" t="s">
        <v>5942</v>
      </c>
      <c r="B1725" s="9" t="s">
        <v>21</v>
      </c>
      <c r="C1725" s="9">
        <v>2024</v>
      </c>
      <c r="D1725" s="9" t="s">
        <v>27</v>
      </c>
      <c r="E1725" s="90" t="s">
        <v>23</v>
      </c>
      <c r="F1725" s="9" t="s">
        <v>7</v>
      </c>
      <c r="G1725" s="10"/>
      <c r="H1725" s="96">
        <v>242462</v>
      </c>
      <c r="I1725" s="109" t="s">
        <v>862</v>
      </c>
      <c r="J1725" s="115">
        <v>45632</v>
      </c>
      <c r="K1725" s="115">
        <v>45678</v>
      </c>
      <c r="L1725" s="116">
        <v>3036917</v>
      </c>
      <c r="M1725" s="117" t="s">
        <v>887</v>
      </c>
      <c r="N1725" s="34" t="s">
        <v>29</v>
      </c>
      <c r="O1725" s="27">
        <f>SUM(L1725:L1737)</f>
        <v>31811806</v>
      </c>
      <c r="P1725" s="113">
        <v>46181</v>
      </c>
      <c r="Q1725" s="113">
        <v>46181</v>
      </c>
      <c r="R1725" s="113">
        <v>46181</v>
      </c>
      <c r="S1725" s="37">
        <f t="shared" ref="S1725:S1732" si="352">IF(R1725="",0,L1725)</f>
        <v>3036917</v>
      </c>
      <c r="T1725" s="37">
        <f t="shared" ref="T1725:T1732" si="353">L1725-S1725</f>
        <v>0</v>
      </c>
      <c r="U1725" s="10"/>
      <c r="V1725" s="10"/>
      <c r="W1725" s="10"/>
      <c r="X1725" s="10"/>
      <c r="Y1725" s="10"/>
      <c r="Z1725" s="10"/>
      <c r="AA1725" s="10"/>
      <c r="AB1725" s="10"/>
      <c r="AC1725" s="10"/>
      <c r="AD1725" s="10"/>
      <c r="AE1725" s="10"/>
    </row>
    <row r="1726" spans="1:31" hidden="1">
      <c r="A1726" s="277" t="s">
        <v>7720</v>
      </c>
      <c r="B1726" s="9" t="s">
        <v>21</v>
      </c>
      <c r="C1726" s="9">
        <v>2024</v>
      </c>
      <c r="D1726" s="9" t="s">
        <v>27</v>
      </c>
      <c r="E1726" s="90" t="s">
        <v>23</v>
      </c>
      <c r="F1726" s="9" t="s">
        <v>7</v>
      </c>
      <c r="G1726" s="10"/>
      <c r="H1726" s="96">
        <v>242519</v>
      </c>
      <c r="I1726" s="109" t="s">
        <v>862</v>
      </c>
      <c r="J1726" s="115">
        <v>45635</v>
      </c>
      <c r="K1726" s="115">
        <v>45678</v>
      </c>
      <c r="L1726" s="116">
        <v>158175</v>
      </c>
      <c r="M1726" s="117" t="s">
        <v>888</v>
      </c>
      <c r="N1726" s="34" t="s">
        <v>29</v>
      </c>
      <c r="O1726" s="27"/>
      <c r="P1726" s="113">
        <v>46181</v>
      </c>
      <c r="Q1726" s="113">
        <v>46181</v>
      </c>
      <c r="R1726" s="113">
        <v>46181</v>
      </c>
      <c r="S1726" s="37">
        <f t="shared" si="352"/>
        <v>158175</v>
      </c>
      <c r="T1726" s="37">
        <f t="shared" si="353"/>
        <v>0</v>
      </c>
      <c r="U1726" s="10"/>
      <c r="V1726" s="10"/>
      <c r="W1726" s="10"/>
      <c r="X1726" s="10"/>
      <c r="Y1726" s="10"/>
      <c r="Z1726" s="10"/>
      <c r="AA1726" s="10"/>
      <c r="AB1726" s="10"/>
      <c r="AC1726" s="10"/>
      <c r="AD1726" s="10"/>
      <c r="AE1726" s="10"/>
    </row>
    <row r="1727" spans="1:31" hidden="1">
      <c r="A1727" s="277" t="s">
        <v>7721</v>
      </c>
      <c r="B1727" s="9" t="s">
        <v>21</v>
      </c>
      <c r="C1727" s="9">
        <v>2024</v>
      </c>
      <c r="D1727" s="9" t="s">
        <v>27</v>
      </c>
      <c r="E1727" s="90" t="s">
        <v>23</v>
      </c>
      <c r="F1727" s="9" t="s">
        <v>7</v>
      </c>
      <c r="G1727" s="10"/>
      <c r="H1727" s="96">
        <v>242512</v>
      </c>
      <c r="I1727" s="109" t="s">
        <v>862</v>
      </c>
      <c r="J1727" s="115">
        <v>45636</v>
      </c>
      <c r="K1727" s="115">
        <v>45678</v>
      </c>
      <c r="L1727" s="116">
        <v>781865</v>
      </c>
      <c r="M1727" s="117" t="s">
        <v>889</v>
      </c>
      <c r="N1727" s="34" t="s">
        <v>29</v>
      </c>
      <c r="O1727" s="27"/>
      <c r="P1727" s="113">
        <v>46181</v>
      </c>
      <c r="Q1727" s="113">
        <v>46181</v>
      </c>
      <c r="R1727" s="113">
        <v>46181</v>
      </c>
      <c r="S1727" s="37">
        <f t="shared" si="352"/>
        <v>781865</v>
      </c>
      <c r="T1727" s="37">
        <f t="shared" si="353"/>
        <v>0</v>
      </c>
      <c r="U1727" s="10"/>
      <c r="V1727" s="10"/>
      <c r="W1727" s="10"/>
      <c r="X1727" s="10"/>
      <c r="Y1727" s="10"/>
      <c r="Z1727" s="10"/>
      <c r="AA1727" s="10"/>
      <c r="AB1727" s="10"/>
      <c r="AC1727" s="10"/>
      <c r="AD1727" s="10"/>
      <c r="AE1727" s="10"/>
    </row>
    <row r="1728" spans="1:31" hidden="1">
      <c r="A1728" s="277" t="s">
        <v>7722</v>
      </c>
      <c r="B1728" s="9" t="s">
        <v>21</v>
      </c>
      <c r="C1728" s="9">
        <v>2024</v>
      </c>
      <c r="D1728" s="9" t="s">
        <v>27</v>
      </c>
      <c r="E1728" s="90" t="s">
        <v>23</v>
      </c>
      <c r="F1728" s="9" t="s">
        <v>7</v>
      </c>
      <c r="G1728" s="10"/>
      <c r="H1728" s="96">
        <v>242511</v>
      </c>
      <c r="I1728" s="109" t="s">
        <v>862</v>
      </c>
      <c r="J1728" s="115">
        <v>45636</v>
      </c>
      <c r="K1728" s="115">
        <v>45678</v>
      </c>
      <c r="L1728" s="116">
        <v>973192</v>
      </c>
      <c r="M1728" s="117" t="s">
        <v>890</v>
      </c>
      <c r="N1728" s="34" t="s">
        <v>29</v>
      </c>
      <c r="O1728" s="27"/>
      <c r="P1728" s="113">
        <v>46181</v>
      </c>
      <c r="Q1728" s="113">
        <v>46181</v>
      </c>
      <c r="R1728" s="113">
        <v>46181</v>
      </c>
      <c r="S1728" s="37">
        <f t="shared" si="352"/>
        <v>973192</v>
      </c>
      <c r="T1728" s="37">
        <f t="shared" si="353"/>
        <v>0</v>
      </c>
      <c r="U1728" s="10"/>
      <c r="V1728" s="10"/>
      <c r="W1728" s="10"/>
      <c r="X1728" s="10"/>
      <c r="Y1728" s="10"/>
      <c r="Z1728" s="10"/>
      <c r="AA1728" s="10"/>
      <c r="AB1728" s="10"/>
      <c r="AC1728" s="10"/>
      <c r="AD1728" s="10"/>
      <c r="AE1728" s="10"/>
    </row>
    <row r="1729" spans="1:31" hidden="1">
      <c r="A1729" s="277" t="s">
        <v>7723</v>
      </c>
      <c r="B1729" s="9" t="s">
        <v>21</v>
      </c>
      <c r="C1729" s="9">
        <v>2024</v>
      </c>
      <c r="D1729" s="9" t="s">
        <v>27</v>
      </c>
      <c r="E1729" s="90" t="s">
        <v>23</v>
      </c>
      <c r="F1729" s="9" t="s">
        <v>7</v>
      </c>
      <c r="G1729" s="10"/>
      <c r="H1729" s="96">
        <v>242514</v>
      </c>
      <c r="I1729" s="109" t="s">
        <v>862</v>
      </c>
      <c r="J1729" s="115">
        <v>45637</v>
      </c>
      <c r="K1729" s="115">
        <v>45678</v>
      </c>
      <c r="L1729" s="116">
        <v>1152457</v>
      </c>
      <c r="M1729" s="117" t="s">
        <v>891</v>
      </c>
      <c r="N1729" s="34" t="s">
        <v>29</v>
      </c>
      <c r="O1729" s="27"/>
      <c r="P1729" s="113">
        <v>46181</v>
      </c>
      <c r="Q1729" s="113">
        <v>46181</v>
      </c>
      <c r="R1729" s="113">
        <v>46181</v>
      </c>
      <c r="S1729" s="37">
        <f t="shared" si="352"/>
        <v>1152457</v>
      </c>
      <c r="T1729" s="37">
        <f t="shared" si="353"/>
        <v>0</v>
      </c>
      <c r="U1729" s="10"/>
      <c r="V1729" s="10"/>
      <c r="W1729" s="10"/>
      <c r="X1729" s="10"/>
      <c r="Y1729" s="10"/>
      <c r="Z1729" s="10"/>
      <c r="AA1729" s="10"/>
      <c r="AB1729" s="10"/>
      <c r="AC1729" s="10"/>
      <c r="AD1729" s="10"/>
      <c r="AE1729" s="10"/>
    </row>
    <row r="1730" spans="1:31" hidden="1">
      <c r="A1730" s="277" t="s">
        <v>7724</v>
      </c>
      <c r="B1730" s="9" t="s">
        <v>21</v>
      </c>
      <c r="C1730" s="9">
        <v>2024</v>
      </c>
      <c r="D1730" s="9" t="s">
        <v>27</v>
      </c>
      <c r="E1730" s="90" t="s">
        <v>23</v>
      </c>
      <c r="F1730" s="9" t="s">
        <v>7</v>
      </c>
      <c r="G1730" s="10"/>
      <c r="H1730" s="96">
        <v>242559</v>
      </c>
      <c r="I1730" s="109" t="s">
        <v>862</v>
      </c>
      <c r="J1730" s="115">
        <v>45650</v>
      </c>
      <c r="K1730" s="115">
        <v>45678</v>
      </c>
      <c r="L1730" s="116">
        <v>278005</v>
      </c>
      <c r="M1730" s="117" t="s">
        <v>892</v>
      </c>
      <c r="N1730" s="34" t="s">
        <v>29</v>
      </c>
      <c r="O1730" s="27"/>
      <c r="P1730" s="113">
        <v>46181</v>
      </c>
      <c r="Q1730" s="113">
        <v>46181</v>
      </c>
      <c r="R1730" s="113">
        <v>46181</v>
      </c>
      <c r="S1730" s="37">
        <f t="shared" si="352"/>
        <v>278005</v>
      </c>
      <c r="T1730" s="37">
        <f t="shared" si="353"/>
        <v>0</v>
      </c>
      <c r="U1730" s="10"/>
      <c r="V1730" s="10"/>
      <c r="W1730" s="10"/>
      <c r="X1730" s="10"/>
      <c r="Y1730" s="10"/>
      <c r="Z1730" s="10"/>
      <c r="AA1730" s="10"/>
      <c r="AB1730" s="10"/>
      <c r="AC1730" s="10"/>
      <c r="AD1730" s="10"/>
      <c r="AE1730" s="10"/>
    </row>
    <row r="1731" spans="1:31" hidden="1">
      <c r="A1731" s="277" t="s">
        <v>5943</v>
      </c>
      <c r="B1731" s="9" t="s">
        <v>21</v>
      </c>
      <c r="C1731" s="9">
        <v>2024</v>
      </c>
      <c r="D1731" s="9" t="s">
        <v>27</v>
      </c>
      <c r="E1731" s="90" t="s">
        <v>23</v>
      </c>
      <c r="F1731" s="9" t="s">
        <v>7</v>
      </c>
      <c r="G1731" s="10"/>
      <c r="H1731" s="96">
        <v>242572</v>
      </c>
      <c r="I1731" s="109" t="s">
        <v>862</v>
      </c>
      <c r="J1731" s="115">
        <v>45654</v>
      </c>
      <c r="K1731" s="115">
        <v>45678</v>
      </c>
      <c r="L1731" s="116">
        <v>222823</v>
      </c>
      <c r="M1731" s="117" t="s">
        <v>893</v>
      </c>
      <c r="N1731" s="34" t="s">
        <v>29</v>
      </c>
      <c r="O1731" s="27"/>
      <c r="P1731" s="113">
        <v>46181</v>
      </c>
      <c r="Q1731" s="113">
        <v>46181</v>
      </c>
      <c r="R1731" s="113">
        <v>46181</v>
      </c>
      <c r="S1731" s="37">
        <f t="shared" si="352"/>
        <v>222823</v>
      </c>
      <c r="T1731" s="37">
        <f t="shared" si="353"/>
        <v>0</v>
      </c>
      <c r="U1731" s="10"/>
      <c r="V1731" s="10"/>
      <c r="W1731" s="10"/>
      <c r="X1731" s="10"/>
      <c r="Y1731" s="10"/>
      <c r="Z1731" s="10"/>
      <c r="AA1731" s="10"/>
      <c r="AB1731" s="10"/>
      <c r="AC1731" s="10"/>
      <c r="AD1731" s="10"/>
      <c r="AE1731" s="10"/>
    </row>
    <row r="1732" spans="1:31" hidden="1">
      <c r="A1732" s="277" t="s">
        <v>5944</v>
      </c>
      <c r="B1732" s="9" t="s">
        <v>21</v>
      </c>
      <c r="C1732" s="9">
        <v>2024</v>
      </c>
      <c r="D1732" s="9" t="s">
        <v>27</v>
      </c>
      <c r="E1732" s="90" t="s">
        <v>23</v>
      </c>
      <c r="F1732" s="9" t="s">
        <v>7</v>
      </c>
      <c r="G1732" s="10"/>
      <c r="H1732" s="96">
        <v>250009</v>
      </c>
      <c r="I1732" s="109" t="s">
        <v>862</v>
      </c>
      <c r="J1732" s="115">
        <v>45657</v>
      </c>
      <c r="K1732" s="115">
        <v>45678</v>
      </c>
      <c r="L1732" s="116">
        <v>3738657</v>
      </c>
      <c r="M1732" s="117" t="s">
        <v>894</v>
      </c>
      <c r="N1732" s="34" t="s">
        <v>29</v>
      </c>
      <c r="O1732" s="27"/>
      <c r="P1732" s="113">
        <v>46181</v>
      </c>
      <c r="Q1732" s="113">
        <v>46181</v>
      </c>
      <c r="R1732" s="113">
        <v>46181</v>
      </c>
      <c r="S1732" s="37">
        <f t="shared" si="352"/>
        <v>3738657</v>
      </c>
      <c r="T1732" s="37">
        <f t="shared" si="353"/>
        <v>0</v>
      </c>
      <c r="U1732" s="10"/>
      <c r="V1732" s="10"/>
      <c r="W1732" s="10"/>
      <c r="X1732" s="10"/>
      <c r="Y1732" s="10"/>
      <c r="Z1732" s="10"/>
      <c r="AA1732" s="10"/>
      <c r="AB1732" s="10"/>
      <c r="AC1732" s="10"/>
      <c r="AD1732" s="10"/>
      <c r="AE1732" s="10"/>
    </row>
    <row r="1733" spans="1:31" hidden="1">
      <c r="A1733" s="277" t="s">
        <v>5945</v>
      </c>
      <c r="B1733" s="9" t="s">
        <v>21</v>
      </c>
      <c r="C1733" s="9">
        <v>2025</v>
      </c>
      <c r="D1733" s="9" t="s">
        <v>27</v>
      </c>
      <c r="E1733" s="90" t="s">
        <v>23</v>
      </c>
      <c r="F1733" s="9" t="s">
        <v>7</v>
      </c>
      <c r="G1733" s="10"/>
      <c r="H1733" s="96">
        <v>250045</v>
      </c>
      <c r="I1733" s="109" t="s">
        <v>862</v>
      </c>
      <c r="J1733" s="115">
        <v>45665</v>
      </c>
      <c r="K1733" s="115">
        <v>45692</v>
      </c>
      <c r="L1733" s="116">
        <v>6109091</v>
      </c>
      <c r="M1733" s="117" t="s">
        <v>895</v>
      </c>
      <c r="N1733" s="34" t="s">
        <v>29</v>
      </c>
      <c r="O1733" s="27"/>
      <c r="P1733" s="113">
        <v>46181</v>
      </c>
      <c r="Q1733" s="113">
        <v>46181</v>
      </c>
      <c r="R1733" s="113">
        <v>46181</v>
      </c>
      <c r="S1733" s="37">
        <f t="shared" ref="S1733:S1737" si="354">IF(R1733="",0,L1733)</f>
        <v>6109091</v>
      </c>
      <c r="T1733" s="37">
        <f t="shared" ref="T1733:T1737" si="355">L1733-S1733</f>
        <v>0</v>
      </c>
      <c r="U1733" s="10"/>
      <c r="V1733" s="10"/>
      <c r="W1733" s="10"/>
      <c r="X1733" s="10"/>
      <c r="Y1733" s="10"/>
      <c r="Z1733" s="10"/>
      <c r="AA1733" s="10"/>
      <c r="AB1733" s="10"/>
      <c r="AC1733" s="10"/>
      <c r="AD1733" s="10"/>
      <c r="AE1733" s="10"/>
    </row>
    <row r="1734" spans="1:31" hidden="1">
      <c r="A1734" s="277" t="s">
        <v>5946</v>
      </c>
      <c r="B1734" s="9" t="s">
        <v>21</v>
      </c>
      <c r="C1734" s="9">
        <v>2025</v>
      </c>
      <c r="D1734" s="9" t="s">
        <v>27</v>
      </c>
      <c r="E1734" s="90" t="s">
        <v>23</v>
      </c>
      <c r="F1734" s="9" t="s">
        <v>7</v>
      </c>
      <c r="G1734" s="10"/>
      <c r="H1734" s="96">
        <v>250043</v>
      </c>
      <c r="I1734" s="109" t="s">
        <v>862</v>
      </c>
      <c r="J1734" s="115">
        <v>45666</v>
      </c>
      <c r="K1734" s="115">
        <v>45692</v>
      </c>
      <c r="L1734" s="116">
        <v>7326000</v>
      </c>
      <c r="M1734" s="117" t="s">
        <v>896</v>
      </c>
      <c r="N1734" s="34" t="s">
        <v>29</v>
      </c>
      <c r="O1734" s="27"/>
      <c r="P1734" s="113">
        <v>46181</v>
      </c>
      <c r="Q1734" s="113">
        <v>46181</v>
      </c>
      <c r="R1734" s="113">
        <v>46181</v>
      </c>
      <c r="S1734" s="37">
        <f t="shared" si="354"/>
        <v>7326000</v>
      </c>
      <c r="T1734" s="37">
        <f t="shared" si="355"/>
        <v>0</v>
      </c>
      <c r="U1734" s="10"/>
      <c r="V1734" s="10"/>
      <c r="W1734" s="10"/>
      <c r="X1734" s="10"/>
      <c r="Y1734" s="10"/>
      <c r="Z1734" s="10"/>
      <c r="AA1734" s="10"/>
      <c r="AB1734" s="10"/>
      <c r="AC1734" s="10"/>
      <c r="AD1734" s="10"/>
      <c r="AE1734" s="10"/>
    </row>
    <row r="1735" spans="1:31" hidden="1">
      <c r="A1735" s="277" t="s">
        <v>5947</v>
      </c>
      <c r="B1735" s="9" t="s">
        <v>21</v>
      </c>
      <c r="C1735" s="9">
        <v>2025</v>
      </c>
      <c r="D1735" s="9" t="s">
        <v>27</v>
      </c>
      <c r="E1735" s="90" t="s">
        <v>23</v>
      </c>
      <c r="F1735" s="9" t="s">
        <v>7</v>
      </c>
      <c r="G1735" s="10"/>
      <c r="H1735" s="96">
        <v>250044</v>
      </c>
      <c r="I1735" s="109" t="s">
        <v>862</v>
      </c>
      <c r="J1735" s="115">
        <v>45666</v>
      </c>
      <c r="K1735" s="115">
        <v>45692</v>
      </c>
      <c r="L1735" s="116">
        <v>349650</v>
      </c>
      <c r="M1735" s="117" t="s">
        <v>897</v>
      </c>
      <c r="N1735" s="34" t="s">
        <v>29</v>
      </c>
      <c r="O1735" s="27"/>
      <c r="P1735" s="113">
        <v>46181</v>
      </c>
      <c r="Q1735" s="113">
        <v>46181</v>
      </c>
      <c r="R1735" s="113">
        <v>46181</v>
      </c>
      <c r="S1735" s="37">
        <f t="shared" si="354"/>
        <v>349650</v>
      </c>
      <c r="T1735" s="37">
        <f t="shared" si="355"/>
        <v>0</v>
      </c>
      <c r="U1735" s="10"/>
      <c r="V1735" s="10"/>
      <c r="W1735" s="10"/>
      <c r="X1735" s="10"/>
      <c r="Y1735" s="10"/>
      <c r="Z1735" s="10"/>
      <c r="AA1735" s="10"/>
      <c r="AB1735" s="10"/>
      <c r="AC1735" s="10"/>
      <c r="AD1735" s="10"/>
      <c r="AE1735" s="10"/>
    </row>
    <row r="1736" spans="1:31" hidden="1">
      <c r="A1736" s="277" t="s">
        <v>5948</v>
      </c>
      <c r="B1736" s="9" t="s">
        <v>21</v>
      </c>
      <c r="C1736" s="9">
        <v>2025</v>
      </c>
      <c r="D1736" s="9" t="s">
        <v>27</v>
      </c>
      <c r="E1736" s="90" t="s">
        <v>23</v>
      </c>
      <c r="F1736" s="9" t="s">
        <v>7</v>
      </c>
      <c r="G1736" s="10"/>
      <c r="H1736" s="96">
        <v>250158</v>
      </c>
      <c r="I1736" s="109" t="s">
        <v>862</v>
      </c>
      <c r="J1736" s="115">
        <v>45700</v>
      </c>
      <c r="K1736" s="115">
        <v>45729</v>
      </c>
      <c r="L1736" s="116">
        <v>3057855</v>
      </c>
      <c r="M1736" s="117" t="s">
        <v>898</v>
      </c>
      <c r="N1736" s="34" t="s">
        <v>29</v>
      </c>
      <c r="O1736" s="27"/>
      <c r="P1736" s="113">
        <v>46181</v>
      </c>
      <c r="Q1736" s="113">
        <v>46181</v>
      </c>
      <c r="R1736" s="113">
        <v>46181</v>
      </c>
      <c r="S1736" s="37">
        <f t="shared" si="354"/>
        <v>3057855</v>
      </c>
      <c r="T1736" s="37">
        <f t="shared" si="355"/>
        <v>0</v>
      </c>
      <c r="U1736" s="10"/>
      <c r="V1736" s="10"/>
      <c r="W1736" s="10"/>
      <c r="X1736" s="10"/>
      <c r="Y1736" s="10"/>
      <c r="Z1736" s="10"/>
      <c r="AA1736" s="10"/>
      <c r="AB1736" s="10"/>
      <c r="AC1736" s="10"/>
      <c r="AD1736" s="10"/>
      <c r="AE1736" s="10"/>
    </row>
    <row r="1737" spans="1:31" ht="14.25" hidden="1" customHeight="1">
      <c r="A1737" s="277" t="s">
        <v>5949</v>
      </c>
      <c r="B1737" s="9" t="s">
        <v>21</v>
      </c>
      <c r="C1737" s="9">
        <v>2025</v>
      </c>
      <c r="D1737" s="9" t="s">
        <v>27</v>
      </c>
      <c r="E1737" s="90" t="s">
        <v>23</v>
      </c>
      <c r="F1737" s="9" t="s">
        <v>7</v>
      </c>
      <c r="G1737" s="10"/>
      <c r="H1737" s="96">
        <v>250169</v>
      </c>
      <c r="I1737" s="109" t="s">
        <v>862</v>
      </c>
      <c r="J1737" s="115">
        <v>45700</v>
      </c>
      <c r="K1737" s="115">
        <v>45729</v>
      </c>
      <c r="L1737" s="116">
        <v>4627119</v>
      </c>
      <c r="M1737" s="117" t="s">
        <v>899</v>
      </c>
      <c r="N1737" s="34" t="s">
        <v>29</v>
      </c>
      <c r="O1737" s="27"/>
      <c r="P1737" s="113">
        <v>46181</v>
      </c>
      <c r="Q1737" s="113">
        <v>46181</v>
      </c>
      <c r="R1737" s="113">
        <v>46181</v>
      </c>
      <c r="S1737" s="37">
        <f t="shared" si="354"/>
        <v>4627119</v>
      </c>
      <c r="T1737" s="37">
        <f t="shared" si="355"/>
        <v>0</v>
      </c>
      <c r="U1737" s="10"/>
      <c r="V1737" s="10"/>
      <c r="W1737" s="10"/>
      <c r="X1737" s="10"/>
      <c r="Y1737" s="10"/>
      <c r="Z1737" s="10"/>
      <c r="AA1737" s="10"/>
      <c r="AB1737" s="10"/>
      <c r="AC1737" s="10"/>
      <c r="AD1737" s="10"/>
      <c r="AE1737" s="10"/>
    </row>
    <row r="1738" spans="1:31" ht="14.25" hidden="1" customHeight="1">
      <c r="A1738" s="277" t="s">
        <v>5950</v>
      </c>
      <c r="B1738" s="9" t="s">
        <v>21</v>
      </c>
      <c r="C1738" s="9">
        <v>2025</v>
      </c>
      <c r="D1738" s="9" t="s">
        <v>27</v>
      </c>
      <c r="E1738" s="90" t="s">
        <v>23</v>
      </c>
      <c r="F1738" s="9" t="s">
        <v>7</v>
      </c>
      <c r="G1738" s="10"/>
      <c r="H1738" s="96">
        <v>250156</v>
      </c>
      <c r="I1738" s="109" t="s">
        <v>862</v>
      </c>
      <c r="J1738" s="115">
        <v>45701</v>
      </c>
      <c r="K1738" s="115">
        <v>45729</v>
      </c>
      <c r="L1738" s="116">
        <v>829253</v>
      </c>
      <c r="M1738" s="117" t="s">
        <v>900</v>
      </c>
      <c r="N1738" s="34" t="s">
        <v>29</v>
      </c>
      <c r="O1738" s="27">
        <f>SUM(L1738:L1748)</f>
        <v>32796208</v>
      </c>
      <c r="P1738" s="113">
        <v>46211</v>
      </c>
      <c r="Q1738" s="113">
        <v>46211</v>
      </c>
      <c r="R1738" s="113">
        <v>46211</v>
      </c>
      <c r="S1738" s="37">
        <f t="shared" ref="S1738:S1769" si="356">IF(R1738="",0,L1738)</f>
        <v>829253</v>
      </c>
      <c r="T1738" s="37">
        <f t="shared" ref="T1738:T1769" si="357">L1738-S1738</f>
        <v>0</v>
      </c>
      <c r="U1738" s="10"/>
      <c r="V1738" s="10"/>
      <c r="W1738" s="10"/>
      <c r="X1738" s="10"/>
      <c r="Y1738" s="10"/>
      <c r="Z1738" s="10"/>
      <c r="AA1738" s="10"/>
      <c r="AB1738" s="10"/>
      <c r="AC1738" s="10"/>
      <c r="AD1738" s="10"/>
      <c r="AE1738" s="10"/>
    </row>
    <row r="1739" spans="1:31" ht="14.25" hidden="1" customHeight="1">
      <c r="A1739" s="277" t="s">
        <v>5951</v>
      </c>
      <c r="B1739" s="9" t="s">
        <v>21</v>
      </c>
      <c r="C1739" s="9">
        <v>2025</v>
      </c>
      <c r="D1739" s="9" t="s">
        <v>27</v>
      </c>
      <c r="E1739" s="90" t="s">
        <v>23</v>
      </c>
      <c r="F1739" s="9" t="s">
        <v>7</v>
      </c>
      <c r="G1739" s="10"/>
      <c r="H1739" s="96">
        <v>250155</v>
      </c>
      <c r="I1739" s="109" t="s">
        <v>862</v>
      </c>
      <c r="J1739" s="115">
        <v>45701</v>
      </c>
      <c r="K1739" s="115">
        <v>45729</v>
      </c>
      <c r="L1739" s="116">
        <v>2442000</v>
      </c>
      <c r="M1739" s="117" t="s">
        <v>901</v>
      </c>
      <c r="N1739" s="34" t="s">
        <v>29</v>
      </c>
      <c r="O1739" s="27"/>
      <c r="P1739" s="113">
        <v>46211</v>
      </c>
      <c r="Q1739" s="113">
        <v>46211</v>
      </c>
      <c r="R1739" s="113">
        <v>46211</v>
      </c>
      <c r="S1739" s="37">
        <f t="shared" si="356"/>
        <v>2442000</v>
      </c>
      <c r="T1739" s="37">
        <f t="shared" si="357"/>
        <v>0</v>
      </c>
      <c r="U1739" s="10"/>
      <c r="V1739" s="10"/>
      <c r="W1739" s="10"/>
      <c r="X1739" s="10"/>
      <c r="Y1739" s="10"/>
      <c r="Z1739" s="10"/>
      <c r="AA1739" s="10"/>
      <c r="AB1739" s="10"/>
      <c r="AC1739" s="10"/>
      <c r="AD1739" s="10"/>
      <c r="AE1739" s="10"/>
    </row>
    <row r="1740" spans="1:31" ht="14.25" hidden="1" customHeight="1">
      <c r="A1740" s="277" t="s">
        <v>5952</v>
      </c>
      <c r="B1740" s="9" t="s">
        <v>21</v>
      </c>
      <c r="C1740" s="9">
        <v>2025</v>
      </c>
      <c r="D1740" s="9" t="s">
        <v>27</v>
      </c>
      <c r="E1740" s="90" t="s">
        <v>23</v>
      </c>
      <c r="F1740" s="9" t="s">
        <v>7</v>
      </c>
      <c r="G1740" s="10"/>
      <c r="H1740" s="96">
        <v>250222</v>
      </c>
      <c r="I1740" s="109" t="s">
        <v>862</v>
      </c>
      <c r="J1740" s="115">
        <v>45710</v>
      </c>
      <c r="K1740" s="115">
        <v>45729</v>
      </c>
      <c r="L1740" s="116">
        <v>2479185</v>
      </c>
      <c r="M1740" s="117" t="s">
        <v>902</v>
      </c>
      <c r="N1740" s="34" t="s">
        <v>29</v>
      </c>
      <c r="O1740" s="27"/>
      <c r="P1740" s="113">
        <v>46211</v>
      </c>
      <c r="Q1740" s="113">
        <v>46211</v>
      </c>
      <c r="R1740" s="113">
        <v>46211</v>
      </c>
      <c r="S1740" s="37">
        <f t="shared" si="356"/>
        <v>2479185</v>
      </c>
      <c r="T1740" s="37">
        <f t="shared" si="357"/>
        <v>0</v>
      </c>
      <c r="U1740" s="10"/>
      <c r="V1740" s="10"/>
      <c r="W1740" s="10"/>
      <c r="X1740" s="10"/>
      <c r="Y1740" s="10"/>
      <c r="Z1740" s="10"/>
      <c r="AA1740" s="10"/>
      <c r="AB1740" s="10"/>
      <c r="AC1740" s="10"/>
      <c r="AD1740" s="10"/>
      <c r="AE1740" s="10"/>
    </row>
    <row r="1741" spans="1:31" ht="14.25" hidden="1" customHeight="1">
      <c r="A1741" s="277" t="s">
        <v>5953</v>
      </c>
      <c r="B1741" s="9" t="s">
        <v>21</v>
      </c>
      <c r="C1741" s="9">
        <v>2025</v>
      </c>
      <c r="D1741" s="9" t="s">
        <v>27</v>
      </c>
      <c r="E1741" s="90" t="s">
        <v>23</v>
      </c>
      <c r="F1741" s="9" t="s">
        <v>7</v>
      </c>
      <c r="G1741" s="10"/>
      <c r="H1741" s="96">
        <v>250333</v>
      </c>
      <c r="I1741" s="109" t="s">
        <v>862</v>
      </c>
      <c r="J1741" s="115">
        <v>45713</v>
      </c>
      <c r="K1741" s="115">
        <v>45729</v>
      </c>
      <c r="L1741" s="116">
        <v>3270143</v>
      </c>
      <c r="M1741" s="117" t="s">
        <v>903</v>
      </c>
      <c r="N1741" s="34" t="s">
        <v>29</v>
      </c>
      <c r="O1741" s="27"/>
      <c r="P1741" s="113">
        <v>46211</v>
      </c>
      <c r="Q1741" s="113">
        <v>46211</v>
      </c>
      <c r="R1741" s="113">
        <v>46211</v>
      </c>
      <c r="S1741" s="37">
        <f t="shared" si="356"/>
        <v>3270143</v>
      </c>
      <c r="T1741" s="37">
        <f t="shared" si="357"/>
        <v>0</v>
      </c>
      <c r="U1741" s="10"/>
      <c r="V1741" s="10"/>
      <c r="W1741" s="10"/>
      <c r="X1741" s="10"/>
      <c r="Y1741" s="10"/>
      <c r="Z1741" s="10"/>
      <c r="AA1741" s="10"/>
      <c r="AB1741" s="10"/>
      <c r="AC1741" s="10"/>
      <c r="AD1741" s="10"/>
      <c r="AE1741" s="10"/>
    </row>
    <row r="1742" spans="1:31" ht="14.25" hidden="1" customHeight="1">
      <c r="A1742" s="277" t="s">
        <v>5954</v>
      </c>
      <c r="B1742" s="9" t="s">
        <v>21</v>
      </c>
      <c r="C1742" s="9">
        <v>2025</v>
      </c>
      <c r="D1742" s="9" t="s">
        <v>27</v>
      </c>
      <c r="E1742" s="90" t="s">
        <v>23</v>
      </c>
      <c r="F1742" s="9" t="s">
        <v>7</v>
      </c>
      <c r="G1742" s="10"/>
      <c r="H1742" s="96">
        <v>250318</v>
      </c>
      <c r="I1742" s="109" t="s">
        <v>862</v>
      </c>
      <c r="J1742" s="115">
        <v>45714</v>
      </c>
      <c r="K1742" s="115">
        <v>45729</v>
      </c>
      <c r="L1742" s="116">
        <v>253468</v>
      </c>
      <c r="M1742" s="117" t="s">
        <v>904</v>
      </c>
      <c r="N1742" s="34" t="s">
        <v>29</v>
      </c>
      <c r="O1742" s="27"/>
      <c r="P1742" s="113">
        <v>46211</v>
      </c>
      <c r="Q1742" s="113">
        <v>46211</v>
      </c>
      <c r="R1742" s="113">
        <v>46211</v>
      </c>
      <c r="S1742" s="37">
        <f t="shared" si="356"/>
        <v>253468</v>
      </c>
      <c r="T1742" s="37">
        <f t="shared" si="357"/>
        <v>0</v>
      </c>
      <c r="U1742" s="10"/>
      <c r="V1742" s="10"/>
      <c r="W1742" s="10"/>
      <c r="X1742" s="10"/>
      <c r="Y1742" s="10"/>
      <c r="Z1742" s="10"/>
      <c r="AA1742" s="10"/>
      <c r="AB1742" s="10"/>
      <c r="AC1742" s="10"/>
      <c r="AD1742" s="10"/>
      <c r="AE1742" s="10"/>
    </row>
    <row r="1743" spans="1:31" ht="14.25" hidden="1" customHeight="1">
      <c r="A1743" s="277" t="s">
        <v>5955</v>
      </c>
      <c r="B1743" s="9" t="s">
        <v>21</v>
      </c>
      <c r="C1743" s="9">
        <v>2025</v>
      </c>
      <c r="D1743" s="9" t="s">
        <v>27</v>
      </c>
      <c r="E1743" s="90" t="s">
        <v>23</v>
      </c>
      <c r="F1743" s="9" t="s">
        <v>7</v>
      </c>
      <c r="G1743" s="10"/>
      <c r="H1743" s="96">
        <v>250317</v>
      </c>
      <c r="I1743" s="109" t="s">
        <v>862</v>
      </c>
      <c r="J1743" s="115">
        <v>45714</v>
      </c>
      <c r="K1743" s="115">
        <v>45729</v>
      </c>
      <c r="L1743" s="116">
        <v>7919084</v>
      </c>
      <c r="M1743" s="117" t="s">
        <v>905</v>
      </c>
      <c r="N1743" s="34" t="s">
        <v>29</v>
      </c>
      <c r="O1743" s="27"/>
      <c r="P1743" s="113">
        <v>46211</v>
      </c>
      <c r="Q1743" s="113">
        <v>46211</v>
      </c>
      <c r="R1743" s="113">
        <v>46211</v>
      </c>
      <c r="S1743" s="37">
        <f t="shared" si="356"/>
        <v>7919084</v>
      </c>
      <c r="T1743" s="37">
        <f t="shared" si="357"/>
        <v>0</v>
      </c>
      <c r="U1743" s="10"/>
      <c r="V1743" s="10"/>
      <c r="W1743" s="10"/>
      <c r="X1743" s="10"/>
      <c r="Y1743" s="10"/>
      <c r="Z1743" s="10"/>
      <c r="AA1743" s="10"/>
      <c r="AB1743" s="10"/>
      <c r="AC1743" s="10"/>
      <c r="AD1743" s="10"/>
      <c r="AE1743" s="10"/>
    </row>
    <row r="1744" spans="1:31" ht="14.25" hidden="1" customHeight="1">
      <c r="A1744" s="277" t="s">
        <v>5956</v>
      </c>
      <c r="B1744" s="9" t="s">
        <v>21</v>
      </c>
      <c r="C1744" s="9">
        <v>2025</v>
      </c>
      <c r="D1744" s="9" t="s">
        <v>27</v>
      </c>
      <c r="E1744" s="90" t="s">
        <v>23</v>
      </c>
      <c r="F1744" s="9" t="s">
        <v>7</v>
      </c>
      <c r="G1744" s="10"/>
      <c r="H1744" s="96">
        <v>250238</v>
      </c>
      <c r="I1744" s="109" t="s">
        <v>862</v>
      </c>
      <c r="J1744" s="115">
        <v>45716</v>
      </c>
      <c r="K1744" s="115">
        <v>45729</v>
      </c>
      <c r="L1744" s="116">
        <v>421800</v>
      </c>
      <c r="M1744" s="117" t="s">
        <v>906</v>
      </c>
      <c r="N1744" s="34" t="s">
        <v>29</v>
      </c>
      <c r="O1744" s="27"/>
      <c r="P1744" s="113">
        <v>46211</v>
      </c>
      <c r="Q1744" s="113">
        <v>46211</v>
      </c>
      <c r="R1744" s="113">
        <v>46211</v>
      </c>
      <c r="S1744" s="37">
        <f t="shared" si="356"/>
        <v>421800</v>
      </c>
      <c r="T1744" s="37">
        <f t="shared" si="357"/>
        <v>0</v>
      </c>
      <c r="U1744" s="10"/>
      <c r="V1744" s="10"/>
      <c r="W1744" s="10"/>
      <c r="X1744" s="10"/>
      <c r="Y1744" s="10"/>
      <c r="Z1744" s="10"/>
      <c r="AA1744" s="10"/>
      <c r="AB1744" s="10"/>
      <c r="AC1744" s="10"/>
      <c r="AD1744" s="10"/>
      <c r="AE1744" s="10"/>
    </row>
    <row r="1745" spans="1:31" ht="14.25" hidden="1" customHeight="1">
      <c r="A1745" s="277" t="s">
        <v>5957</v>
      </c>
      <c r="B1745" s="9" t="s">
        <v>21</v>
      </c>
      <c r="C1745" s="9">
        <v>2025</v>
      </c>
      <c r="D1745" s="9" t="s">
        <v>27</v>
      </c>
      <c r="E1745" s="90" t="s">
        <v>23</v>
      </c>
      <c r="F1745" s="9" t="s">
        <v>7</v>
      </c>
      <c r="G1745" s="10"/>
      <c r="H1745" s="96">
        <v>250319</v>
      </c>
      <c r="I1745" s="109" t="s">
        <v>862</v>
      </c>
      <c r="J1745" s="115">
        <v>45720</v>
      </c>
      <c r="K1745" s="115">
        <v>45764</v>
      </c>
      <c r="L1745" s="116">
        <v>187284</v>
      </c>
      <c r="M1745" s="117" t="s">
        <v>907</v>
      </c>
      <c r="N1745" s="34" t="s">
        <v>29</v>
      </c>
      <c r="O1745" s="27"/>
      <c r="P1745" s="113">
        <v>46211</v>
      </c>
      <c r="Q1745" s="113">
        <v>46211</v>
      </c>
      <c r="R1745" s="113">
        <v>46211</v>
      </c>
      <c r="S1745" s="37">
        <f t="shared" si="356"/>
        <v>187284</v>
      </c>
      <c r="T1745" s="37">
        <f t="shared" si="357"/>
        <v>0</v>
      </c>
      <c r="U1745" s="10"/>
      <c r="V1745" s="10"/>
      <c r="W1745" s="10"/>
      <c r="X1745" s="10"/>
      <c r="Y1745" s="10"/>
      <c r="Z1745" s="10"/>
      <c r="AA1745" s="10"/>
      <c r="AB1745" s="10"/>
      <c r="AC1745" s="10"/>
      <c r="AD1745" s="10"/>
      <c r="AE1745" s="10"/>
    </row>
    <row r="1746" spans="1:31" ht="14.25" hidden="1" customHeight="1">
      <c r="A1746" s="277" t="s">
        <v>5958</v>
      </c>
      <c r="B1746" s="9" t="s">
        <v>21</v>
      </c>
      <c r="C1746" s="9">
        <v>2025</v>
      </c>
      <c r="D1746" s="9" t="s">
        <v>27</v>
      </c>
      <c r="E1746" s="90" t="s">
        <v>23</v>
      </c>
      <c r="F1746" s="9" t="s">
        <v>7</v>
      </c>
      <c r="G1746" s="10"/>
      <c r="H1746" s="96">
        <v>250331</v>
      </c>
      <c r="I1746" s="109" t="s">
        <v>862</v>
      </c>
      <c r="J1746" s="115">
        <v>45724</v>
      </c>
      <c r="K1746" s="115">
        <v>45764</v>
      </c>
      <c r="L1746" s="116">
        <v>2129091</v>
      </c>
      <c r="M1746" s="117" t="s">
        <v>908</v>
      </c>
      <c r="N1746" s="34" t="s">
        <v>29</v>
      </c>
      <c r="O1746" s="27"/>
      <c r="P1746" s="113">
        <v>46211</v>
      </c>
      <c r="Q1746" s="113">
        <v>46211</v>
      </c>
      <c r="R1746" s="113">
        <v>46211</v>
      </c>
      <c r="S1746" s="37">
        <f t="shared" si="356"/>
        <v>2129091</v>
      </c>
      <c r="T1746" s="37">
        <f t="shared" si="357"/>
        <v>0</v>
      </c>
      <c r="U1746" s="10"/>
      <c r="V1746" s="10"/>
      <c r="W1746" s="10"/>
      <c r="X1746" s="10"/>
      <c r="Y1746" s="10"/>
      <c r="Z1746" s="10"/>
      <c r="AA1746" s="10"/>
      <c r="AB1746" s="10"/>
      <c r="AC1746" s="10"/>
      <c r="AD1746" s="10"/>
      <c r="AE1746" s="10"/>
    </row>
    <row r="1747" spans="1:31" ht="14.25" hidden="1" customHeight="1">
      <c r="A1747" s="277" t="s">
        <v>5959</v>
      </c>
      <c r="B1747" s="9" t="s">
        <v>21</v>
      </c>
      <c r="C1747" s="9">
        <v>2025</v>
      </c>
      <c r="D1747" s="9" t="s">
        <v>27</v>
      </c>
      <c r="E1747" s="90" t="s">
        <v>23</v>
      </c>
      <c r="F1747" s="9" t="s">
        <v>7</v>
      </c>
      <c r="G1747" s="10"/>
      <c r="H1747" s="96">
        <v>250337</v>
      </c>
      <c r="I1747" s="109" t="s">
        <v>862</v>
      </c>
      <c r="J1747" s="115">
        <v>45729</v>
      </c>
      <c r="K1747" s="115">
        <v>45764</v>
      </c>
      <c r="L1747" s="116">
        <v>266400</v>
      </c>
      <c r="M1747" s="117" t="s">
        <v>910</v>
      </c>
      <c r="N1747" s="34" t="s">
        <v>29</v>
      </c>
      <c r="O1747" s="27"/>
      <c r="P1747" s="113">
        <v>46211</v>
      </c>
      <c r="Q1747" s="113">
        <v>46211</v>
      </c>
      <c r="R1747" s="113">
        <v>46211</v>
      </c>
      <c r="S1747" s="37">
        <f t="shared" si="356"/>
        <v>266400</v>
      </c>
      <c r="T1747" s="37">
        <f t="shared" si="357"/>
        <v>0</v>
      </c>
      <c r="U1747" s="10"/>
      <c r="V1747" s="10"/>
      <c r="W1747" s="10"/>
      <c r="X1747" s="10"/>
      <c r="Y1747" s="10"/>
      <c r="Z1747" s="10"/>
      <c r="AA1747" s="10"/>
      <c r="AB1747" s="10"/>
      <c r="AC1747" s="10"/>
      <c r="AD1747" s="10"/>
      <c r="AE1747" s="10"/>
    </row>
    <row r="1748" spans="1:31" ht="14.25" customHeight="1">
      <c r="A1748" s="277" t="s">
        <v>5960</v>
      </c>
      <c r="B1748" s="9" t="s">
        <v>21</v>
      </c>
      <c r="C1748" s="9">
        <v>2025</v>
      </c>
      <c r="D1748" s="9" t="s">
        <v>27</v>
      </c>
      <c r="E1748" s="90" t="s">
        <v>23</v>
      </c>
      <c r="F1748" s="9" t="s">
        <v>7</v>
      </c>
      <c r="G1748" s="10"/>
      <c r="H1748" s="96">
        <v>250405</v>
      </c>
      <c r="I1748" s="109" t="s">
        <v>862</v>
      </c>
      <c r="J1748" s="115">
        <v>45737</v>
      </c>
      <c r="K1748" s="115">
        <v>45764</v>
      </c>
      <c r="L1748" s="116">
        <v>12598500</v>
      </c>
      <c r="M1748" s="117" t="s">
        <v>909</v>
      </c>
      <c r="N1748" s="34" t="s">
        <v>29</v>
      </c>
      <c r="O1748" s="27"/>
      <c r="P1748" s="113">
        <v>46211</v>
      </c>
      <c r="Q1748" s="113">
        <v>46211</v>
      </c>
      <c r="R1748" s="113">
        <v>46211</v>
      </c>
      <c r="S1748" s="37">
        <f t="shared" si="356"/>
        <v>12598500</v>
      </c>
      <c r="T1748" s="37">
        <f t="shared" si="357"/>
        <v>0</v>
      </c>
      <c r="U1748" s="10"/>
      <c r="V1748" s="10"/>
      <c r="W1748" s="10"/>
      <c r="X1748" s="10"/>
      <c r="Y1748" s="10"/>
      <c r="Z1748" s="10"/>
      <c r="AA1748" s="10"/>
      <c r="AB1748" s="10"/>
      <c r="AC1748" s="10"/>
      <c r="AD1748" s="10"/>
      <c r="AE1748" s="10"/>
    </row>
    <row r="1749" spans="1:31" ht="14.25" customHeight="1">
      <c r="A1749" s="277" t="s">
        <v>5961</v>
      </c>
      <c r="B1749" s="9" t="s">
        <v>21</v>
      </c>
      <c r="C1749" s="9">
        <v>2025</v>
      </c>
      <c r="D1749" s="9" t="s">
        <v>77</v>
      </c>
      <c r="E1749" s="90" t="s">
        <v>23</v>
      </c>
      <c r="F1749" s="9" t="s">
        <v>7</v>
      </c>
      <c r="G1749" s="10"/>
      <c r="H1749" s="9">
        <v>250449</v>
      </c>
      <c r="I1749" s="11" t="s">
        <v>862</v>
      </c>
      <c r="J1749" s="12">
        <v>45766</v>
      </c>
      <c r="K1749" s="12">
        <v>45790</v>
      </c>
      <c r="L1749" s="27">
        <v>10502043</v>
      </c>
      <c r="M1749" s="10" t="s">
        <v>911</v>
      </c>
      <c r="N1749" s="34">
        <f t="shared" ref="N1749:N1769" ca="1" si="358">$J$3-J1749</f>
        <v>474.46377638888953</v>
      </c>
      <c r="O1749" s="27">
        <f>SUM(L1749:L1760)</f>
        <v>31050544</v>
      </c>
      <c r="P1749" s="39"/>
      <c r="Q1749" s="39"/>
      <c r="R1749" s="39"/>
      <c r="S1749" s="37">
        <f t="shared" si="356"/>
        <v>0</v>
      </c>
      <c r="T1749" s="37">
        <f t="shared" si="357"/>
        <v>10502043</v>
      </c>
      <c r="U1749" s="10"/>
      <c r="V1749" s="10"/>
      <c r="W1749" s="10"/>
      <c r="X1749" s="10"/>
      <c r="Y1749" s="10"/>
      <c r="Z1749" s="10"/>
      <c r="AA1749" s="10"/>
      <c r="AB1749" s="10"/>
      <c r="AC1749" s="10"/>
      <c r="AD1749" s="10"/>
      <c r="AE1749" s="10"/>
    </row>
    <row r="1750" spans="1:31" ht="14.25" customHeight="1">
      <c r="A1750" s="277" t="s">
        <v>5962</v>
      </c>
      <c r="B1750" s="9" t="s">
        <v>21</v>
      </c>
      <c r="C1750" s="9">
        <v>2025</v>
      </c>
      <c r="D1750" s="9" t="s">
        <v>77</v>
      </c>
      <c r="E1750" s="90" t="s">
        <v>23</v>
      </c>
      <c r="F1750" s="9" t="s">
        <v>7</v>
      </c>
      <c r="G1750" s="10"/>
      <c r="H1750" s="9">
        <v>250447</v>
      </c>
      <c r="I1750" s="11" t="s">
        <v>862</v>
      </c>
      <c r="J1750" s="12">
        <v>45766</v>
      </c>
      <c r="K1750" s="12">
        <v>45790</v>
      </c>
      <c r="L1750" s="27">
        <v>3492683</v>
      </c>
      <c r="M1750" s="10" t="s">
        <v>912</v>
      </c>
      <c r="N1750" s="34">
        <f t="shared" ca="1" si="358"/>
        <v>474.46377638888953</v>
      </c>
      <c r="O1750" s="27"/>
      <c r="P1750" s="39"/>
      <c r="Q1750" s="39"/>
      <c r="R1750" s="39"/>
      <c r="S1750" s="37">
        <f t="shared" si="356"/>
        <v>0</v>
      </c>
      <c r="T1750" s="37">
        <f t="shared" si="357"/>
        <v>3492683</v>
      </c>
      <c r="U1750" s="10"/>
      <c r="V1750" s="10"/>
      <c r="W1750" s="10"/>
      <c r="X1750" s="10"/>
      <c r="Y1750" s="10"/>
      <c r="Z1750" s="10"/>
      <c r="AA1750" s="10"/>
      <c r="AB1750" s="10"/>
      <c r="AC1750" s="10"/>
      <c r="AD1750" s="10"/>
      <c r="AE1750" s="10"/>
    </row>
    <row r="1751" spans="1:31" ht="14.25" customHeight="1">
      <c r="A1751" s="277" t="s">
        <v>5963</v>
      </c>
      <c r="B1751" s="9" t="s">
        <v>21</v>
      </c>
      <c r="C1751" s="9">
        <v>2025</v>
      </c>
      <c r="D1751" s="9" t="s">
        <v>77</v>
      </c>
      <c r="E1751" s="90" t="s">
        <v>23</v>
      </c>
      <c r="F1751" s="9" t="s">
        <v>7</v>
      </c>
      <c r="G1751" s="10"/>
      <c r="H1751" s="9">
        <v>250448</v>
      </c>
      <c r="I1751" s="11" t="s">
        <v>862</v>
      </c>
      <c r="J1751" s="12">
        <v>45766</v>
      </c>
      <c r="K1751" s="12">
        <v>45790</v>
      </c>
      <c r="L1751" s="27">
        <v>2044637</v>
      </c>
      <c r="M1751" s="10" t="s">
        <v>913</v>
      </c>
      <c r="N1751" s="34">
        <f t="shared" ca="1" si="358"/>
        <v>474.46377638888953</v>
      </c>
      <c r="O1751" s="27"/>
      <c r="P1751" s="39"/>
      <c r="Q1751" s="39"/>
      <c r="R1751" s="39"/>
      <c r="S1751" s="37">
        <f t="shared" si="356"/>
        <v>0</v>
      </c>
      <c r="T1751" s="37">
        <f t="shared" si="357"/>
        <v>2044637</v>
      </c>
      <c r="U1751" s="10"/>
      <c r="V1751" s="10"/>
      <c r="W1751" s="10"/>
      <c r="X1751" s="10"/>
      <c r="Y1751" s="10"/>
      <c r="Z1751" s="10"/>
      <c r="AA1751" s="10"/>
      <c r="AB1751" s="10"/>
      <c r="AC1751" s="10"/>
      <c r="AD1751" s="10"/>
      <c r="AE1751" s="10"/>
    </row>
    <row r="1752" spans="1:31" ht="14.25" customHeight="1">
      <c r="A1752" s="277" t="s">
        <v>5964</v>
      </c>
      <c r="B1752" s="9" t="s">
        <v>21</v>
      </c>
      <c r="C1752" s="9">
        <v>2025</v>
      </c>
      <c r="D1752" s="9" t="s">
        <v>77</v>
      </c>
      <c r="E1752" s="90" t="s">
        <v>23</v>
      </c>
      <c r="F1752" s="9" t="s">
        <v>7</v>
      </c>
      <c r="G1752" s="10"/>
      <c r="H1752" s="9">
        <v>250510</v>
      </c>
      <c r="I1752" s="11" t="s">
        <v>862</v>
      </c>
      <c r="J1752" s="12">
        <v>45785</v>
      </c>
      <c r="K1752" s="12">
        <v>45825</v>
      </c>
      <c r="L1752" s="27">
        <v>3174600</v>
      </c>
      <c r="M1752" s="10" t="s">
        <v>915</v>
      </c>
      <c r="N1752" s="34">
        <f t="shared" ca="1" si="358"/>
        <v>455.46377638888953</v>
      </c>
      <c r="O1752" s="27"/>
      <c r="P1752" s="39"/>
      <c r="Q1752" s="39"/>
      <c r="R1752" s="39"/>
      <c r="S1752" s="37">
        <f t="shared" si="356"/>
        <v>0</v>
      </c>
      <c r="T1752" s="37">
        <f t="shared" si="357"/>
        <v>3174600</v>
      </c>
      <c r="U1752" s="10"/>
      <c r="V1752" s="10"/>
      <c r="W1752" s="10"/>
      <c r="X1752" s="10"/>
      <c r="Y1752" s="10"/>
      <c r="Z1752" s="10"/>
      <c r="AA1752" s="10"/>
      <c r="AB1752" s="10"/>
      <c r="AC1752" s="10"/>
      <c r="AD1752" s="10"/>
      <c r="AE1752" s="10"/>
    </row>
    <row r="1753" spans="1:31" ht="14.25" customHeight="1">
      <c r="A1753" s="277" t="s">
        <v>5965</v>
      </c>
      <c r="B1753" s="9" t="s">
        <v>21</v>
      </c>
      <c r="C1753" s="9">
        <v>2025</v>
      </c>
      <c r="D1753" s="9" t="s">
        <v>77</v>
      </c>
      <c r="E1753" s="90" t="s">
        <v>23</v>
      </c>
      <c r="F1753" s="9" t="s">
        <v>7</v>
      </c>
      <c r="G1753" s="10"/>
      <c r="H1753" s="9">
        <v>250509</v>
      </c>
      <c r="I1753" s="11" t="s">
        <v>862</v>
      </c>
      <c r="J1753" s="12">
        <v>45786</v>
      </c>
      <c r="K1753" s="12">
        <v>45825</v>
      </c>
      <c r="L1753" s="27">
        <v>2501884</v>
      </c>
      <c r="M1753" s="10" t="s">
        <v>914</v>
      </c>
      <c r="N1753" s="34">
        <f t="shared" ca="1" si="358"/>
        <v>454.46377638888953</v>
      </c>
      <c r="O1753" s="27"/>
      <c r="P1753" s="39"/>
      <c r="Q1753" s="39"/>
      <c r="R1753" s="39"/>
      <c r="S1753" s="37">
        <f t="shared" si="356"/>
        <v>0</v>
      </c>
      <c r="T1753" s="37">
        <f t="shared" si="357"/>
        <v>2501884</v>
      </c>
      <c r="U1753" s="10"/>
      <c r="V1753" s="10"/>
      <c r="W1753" s="10"/>
      <c r="X1753" s="10"/>
      <c r="Y1753" s="10"/>
      <c r="Z1753" s="10"/>
      <c r="AA1753" s="10"/>
      <c r="AB1753" s="10"/>
      <c r="AC1753" s="10"/>
      <c r="AD1753" s="10"/>
      <c r="AE1753" s="10"/>
    </row>
    <row r="1754" spans="1:31" ht="14.25" customHeight="1">
      <c r="A1754" s="277" t="s">
        <v>5966</v>
      </c>
      <c r="B1754" s="9" t="s">
        <v>21</v>
      </c>
      <c r="C1754" s="9">
        <v>2025</v>
      </c>
      <c r="D1754" s="9" t="s">
        <v>77</v>
      </c>
      <c r="E1754" s="90" t="s">
        <v>23</v>
      </c>
      <c r="F1754" s="9" t="s">
        <v>7</v>
      </c>
      <c r="G1754" s="10"/>
      <c r="H1754" s="9">
        <v>250511</v>
      </c>
      <c r="I1754" s="11" t="s">
        <v>862</v>
      </c>
      <c r="J1754" s="12">
        <v>45786</v>
      </c>
      <c r="K1754" s="12">
        <v>45825</v>
      </c>
      <c r="L1754" s="27">
        <v>488400</v>
      </c>
      <c r="M1754" s="10" t="s">
        <v>916</v>
      </c>
      <c r="N1754" s="34">
        <f t="shared" ca="1" si="358"/>
        <v>454.46377638888953</v>
      </c>
      <c r="O1754" s="27"/>
      <c r="P1754" s="39"/>
      <c r="Q1754" s="39"/>
      <c r="R1754" s="39"/>
      <c r="S1754" s="37">
        <f t="shared" si="356"/>
        <v>0</v>
      </c>
      <c r="T1754" s="37">
        <f t="shared" si="357"/>
        <v>488400</v>
      </c>
      <c r="U1754" s="10"/>
      <c r="V1754" s="10"/>
      <c r="W1754" s="10"/>
      <c r="X1754" s="10"/>
      <c r="Y1754" s="10"/>
      <c r="Z1754" s="10"/>
      <c r="AA1754" s="10"/>
      <c r="AB1754" s="10"/>
      <c r="AC1754" s="10"/>
      <c r="AD1754" s="10"/>
      <c r="AE1754" s="10"/>
    </row>
    <row r="1755" spans="1:31" ht="14.25" customHeight="1">
      <c r="A1755" s="277" t="s">
        <v>5967</v>
      </c>
      <c r="B1755" s="9" t="s">
        <v>21</v>
      </c>
      <c r="C1755" s="9">
        <v>2025</v>
      </c>
      <c r="D1755" s="9" t="s">
        <v>77</v>
      </c>
      <c r="E1755" s="90" t="s">
        <v>23</v>
      </c>
      <c r="F1755" s="9" t="s">
        <v>7</v>
      </c>
      <c r="G1755" s="10"/>
      <c r="H1755" s="9">
        <v>250649</v>
      </c>
      <c r="I1755" s="11" t="s">
        <v>862</v>
      </c>
      <c r="J1755" s="12">
        <v>45838</v>
      </c>
      <c r="K1755" s="12">
        <v>45853</v>
      </c>
      <c r="L1755" s="27">
        <v>2741307</v>
      </c>
      <c r="M1755" s="10" t="s">
        <v>917</v>
      </c>
      <c r="N1755" s="34">
        <f t="shared" ca="1" si="358"/>
        <v>402.46377638888953</v>
      </c>
      <c r="O1755" s="27"/>
      <c r="P1755" s="39"/>
      <c r="Q1755" s="39"/>
      <c r="R1755" s="39"/>
      <c r="S1755" s="37">
        <f t="shared" si="356"/>
        <v>0</v>
      </c>
      <c r="T1755" s="37">
        <f t="shared" si="357"/>
        <v>2741307</v>
      </c>
      <c r="U1755" s="10"/>
      <c r="V1755" s="10"/>
      <c r="W1755" s="10"/>
      <c r="X1755" s="10"/>
      <c r="Y1755" s="10"/>
      <c r="Z1755" s="10"/>
      <c r="AA1755" s="10"/>
      <c r="AB1755" s="10"/>
      <c r="AC1755" s="10"/>
      <c r="AD1755" s="10"/>
      <c r="AE1755" s="10"/>
    </row>
    <row r="1756" spans="1:31" ht="14.25" customHeight="1">
      <c r="A1756" s="277" t="s">
        <v>5968</v>
      </c>
      <c r="B1756" s="9" t="s">
        <v>21</v>
      </c>
      <c r="C1756" s="9">
        <v>2025</v>
      </c>
      <c r="D1756" s="9" t="s">
        <v>77</v>
      </c>
      <c r="E1756" s="90" t="s">
        <v>23</v>
      </c>
      <c r="F1756" s="9" t="s">
        <v>7</v>
      </c>
      <c r="G1756" s="10"/>
      <c r="H1756" s="9">
        <v>250650</v>
      </c>
      <c r="I1756" s="11" t="s">
        <v>862</v>
      </c>
      <c r="J1756" s="12">
        <v>45838</v>
      </c>
      <c r="K1756" s="12">
        <v>45853</v>
      </c>
      <c r="L1756" s="27">
        <v>1320857</v>
      </c>
      <c r="M1756" s="10" t="s">
        <v>918</v>
      </c>
      <c r="N1756" s="34">
        <f t="shared" ca="1" si="358"/>
        <v>402.46377638888953</v>
      </c>
      <c r="O1756" s="27"/>
      <c r="P1756" s="39"/>
      <c r="Q1756" s="39"/>
      <c r="R1756" s="39"/>
      <c r="S1756" s="37">
        <f t="shared" si="356"/>
        <v>0</v>
      </c>
      <c r="T1756" s="37">
        <f t="shared" si="357"/>
        <v>1320857</v>
      </c>
      <c r="U1756" s="10"/>
      <c r="V1756" s="10"/>
      <c r="W1756" s="10"/>
      <c r="X1756" s="10"/>
      <c r="Y1756" s="10"/>
      <c r="Z1756" s="10"/>
      <c r="AA1756" s="10"/>
      <c r="AB1756" s="10"/>
      <c r="AC1756" s="10"/>
      <c r="AD1756" s="10"/>
      <c r="AE1756" s="10"/>
    </row>
    <row r="1757" spans="1:31" ht="14.25" customHeight="1">
      <c r="A1757" s="277" t="s">
        <v>5972</v>
      </c>
      <c r="B1757" s="9" t="s">
        <v>21</v>
      </c>
      <c r="C1757" s="9">
        <v>2025</v>
      </c>
      <c r="D1757" s="9" t="s">
        <v>77</v>
      </c>
      <c r="E1757" s="90" t="s">
        <v>23</v>
      </c>
      <c r="F1757" s="9" t="s">
        <v>7</v>
      </c>
      <c r="G1757" s="10"/>
      <c r="H1757" s="9">
        <v>250820</v>
      </c>
      <c r="I1757" s="11" t="s">
        <v>862</v>
      </c>
      <c r="J1757" s="12">
        <v>45884</v>
      </c>
      <c r="K1757" s="12">
        <v>45909</v>
      </c>
      <c r="L1757" s="27">
        <v>1221000</v>
      </c>
      <c r="M1757" s="10" t="s">
        <v>922</v>
      </c>
      <c r="N1757" s="34">
        <f ca="1">$J$3-J1757</f>
        <v>356.46377638888953</v>
      </c>
      <c r="O1757" s="27"/>
      <c r="P1757" s="39"/>
      <c r="Q1757" s="39"/>
      <c r="R1757" s="39"/>
      <c r="S1757" s="37">
        <f>IF(R1757="",0,L1757)</f>
        <v>0</v>
      </c>
      <c r="T1757" s="37">
        <f>L1757-S1757</f>
        <v>1221000</v>
      </c>
      <c r="U1757" s="10"/>
      <c r="V1757" s="10"/>
      <c r="W1757" s="10"/>
      <c r="X1757" s="10"/>
      <c r="Y1757" s="10"/>
      <c r="Z1757" s="10"/>
      <c r="AA1757" s="10"/>
      <c r="AB1757" s="10"/>
      <c r="AC1757" s="10"/>
      <c r="AD1757" s="10"/>
      <c r="AE1757" s="10"/>
    </row>
    <row r="1758" spans="1:31" ht="14.25" customHeight="1">
      <c r="A1758" s="277" t="s">
        <v>5970</v>
      </c>
      <c r="B1758" s="9" t="s">
        <v>21</v>
      </c>
      <c r="C1758" s="9">
        <v>2025</v>
      </c>
      <c r="D1758" s="9" t="s">
        <v>77</v>
      </c>
      <c r="E1758" s="90" t="s">
        <v>23</v>
      </c>
      <c r="F1758" s="9" t="s">
        <v>7</v>
      </c>
      <c r="G1758" s="10"/>
      <c r="H1758" s="9">
        <v>250789</v>
      </c>
      <c r="I1758" s="11" t="s">
        <v>862</v>
      </c>
      <c r="J1758" s="12">
        <v>45876</v>
      </c>
      <c r="K1758" s="12">
        <v>45909</v>
      </c>
      <c r="L1758" s="27">
        <v>2629052</v>
      </c>
      <c r="M1758" s="10" t="s">
        <v>919</v>
      </c>
      <c r="N1758" s="34">
        <f ca="1">$J$3-J1758</f>
        <v>364.46377638888953</v>
      </c>
      <c r="O1758" s="27"/>
      <c r="P1758" s="39"/>
      <c r="Q1758" s="39"/>
      <c r="R1758" s="39"/>
      <c r="S1758" s="37">
        <f>IF(R1758="",0,L1758)</f>
        <v>0</v>
      </c>
      <c r="T1758" s="37">
        <f>L1758-S1758</f>
        <v>2629052</v>
      </c>
      <c r="U1758" s="10"/>
      <c r="V1758" s="10"/>
      <c r="W1758" s="10"/>
      <c r="X1758" s="10"/>
      <c r="Y1758" s="10"/>
      <c r="Z1758" s="10"/>
      <c r="AA1758" s="10"/>
      <c r="AB1758" s="10"/>
      <c r="AC1758" s="10"/>
      <c r="AD1758" s="10"/>
      <c r="AE1758" s="10"/>
    </row>
    <row r="1759" spans="1:31" ht="14.25" customHeight="1">
      <c r="A1759" s="277" t="s">
        <v>5973</v>
      </c>
      <c r="B1759" s="9" t="s">
        <v>21</v>
      </c>
      <c r="C1759" s="9">
        <v>2025</v>
      </c>
      <c r="D1759" s="9" t="s">
        <v>77</v>
      </c>
      <c r="E1759" s="90" t="s">
        <v>23</v>
      </c>
      <c r="F1759" s="9" t="s">
        <v>7</v>
      </c>
      <c r="G1759" s="10"/>
      <c r="H1759" s="9">
        <v>250845</v>
      </c>
      <c r="I1759" s="11" t="s">
        <v>862</v>
      </c>
      <c r="J1759" s="12">
        <v>45891</v>
      </c>
      <c r="K1759" s="12">
        <v>45909</v>
      </c>
      <c r="L1759" s="27">
        <v>721466</v>
      </c>
      <c r="M1759" s="10" t="s">
        <v>920</v>
      </c>
      <c r="N1759" s="34">
        <f ca="1">$J$3-J1759</f>
        <v>349.46377638888953</v>
      </c>
      <c r="O1759" s="27"/>
      <c r="P1759" s="39"/>
      <c r="Q1759" s="39"/>
      <c r="R1759" s="39"/>
      <c r="S1759" s="37">
        <f>IF(R1759="",0,L1759)</f>
        <v>0</v>
      </c>
      <c r="T1759" s="37">
        <f>L1759-S1759</f>
        <v>721466</v>
      </c>
      <c r="U1759" s="10"/>
      <c r="V1759" s="10"/>
      <c r="W1759" s="10"/>
      <c r="X1759" s="10"/>
      <c r="Y1759" s="10"/>
      <c r="Z1759" s="10"/>
      <c r="AA1759" s="10"/>
      <c r="AB1759" s="10"/>
      <c r="AC1759" s="10"/>
      <c r="AD1759" s="10"/>
      <c r="AE1759" s="10"/>
    </row>
    <row r="1760" spans="1:31" ht="14.25" customHeight="1">
      <c r="A1760" s="277" t="s">
        <v>5971</v>
      </c>
      <c r="B1760" s="9" t="s">
        <v>21</v>
      </c>
      <c r="C1760" s="9">
        <v>2025</v>
      </c>
      <c r="D1760" s="9" t="s">
        <v>77</v>
      </c>
      <c r="E1760" s="90" t="s">
        <v>23</v>
      </c>
      <c r="F1760" s="9" t="s">
        <v>7</v>
      </c>
      <c r="G1760" s="10"/>
      <c r="H1760" s="9">
        <v>250805</v>
      </c>
      <c r="I1760" s="11" t="s">
        <v>862</v>
      </c>
      <c r="J1760" s="12">
        <v>45881</v>
      </c>
      <c r="K1760" s="12">
        <v>45909</v>
      </c>
      <c r="L1760" s="27">
        <v>212615</v>
      </c>
      <c r="M1760" s="10" t="s">
        <v>7932</v>
      </c>
      <c r="N1760" s="34">
        <f ca="1">$J$3-J1760</f>
        <v>359.46377638888953</v>
      </c>
      <c r="O1760" s="27"/>
      <c r="P1760" s="39"/>
      <c r="Q1760" s="39"/>
      <c r="R1760" s="39"/>
      <c r="S1760" s="37">
        <f>IF(R1760="",0,L1760)</f>
        <v>0</v>
      </c>
      <c r="T1760" s="37">
        <f>L1760-S1760</f>
        <v>212615</v>
      </c>
      <c r="U1760" s="10"/>
      <c r="V1760" s="10"/>
      <c r="W1760" s="10"/>
      <c r="X1760" s="10"/>
      <c r="Y1760" s="10"/>
      <c r="Z1760" s="10"/>
      <c r="AA1760" s="10"/>
      <c r="AB1760" s="10"/>
      <c r="AC1760" s="10"/>
      <c r="AD1760" s="10"/>
      <c r="AE1760" s="10"/>
    </row>
    <row r="1761" spans="1:31" ht="14.25" customHeight="1">
      <c r="A1761" s="277" t="s">
        <v>5971</v>
      </c>
      <c r="B1761" s="9" t="s">
        <v>21</v>
      </c>
      <c r="C1761" s="9">
        <v>2025</v>
      </c>
      <c r="D1761" s="9" t="s">
        <v>77</v>
      </c>
      <c r="E1761" s="90" t="s">
        <v>23</v>
      </c>
      <c r="F1761" s="9" t="s">
        <v>7</v>
      </c>
      <c r="G1761" s="10"/>
      <c r="H1761" s="9">
        <v>250805</v>
      </c>
      <c r="I1761" s="11" t="s">
        <v>862</v>
      </c>
      <c r="J1761" s="12">
        <v>45881</v>
      </c>
      <c r="K1761" s="12">
        <v>45909</v>
      </c>
      <c r="L1761" s="27">
        <f>3270143-212615</f>
        <v>3057528</v>
      </c>
      <c r="M1761" s="10" t="s">
        <v>7933</v>
      </c>
      <c r="N1761" s="34">
        <f ca="1">$J$3-J1761</f>
        <v>359.46377638888953</v>
      </c>
      <c r="O1761" s="27"/>
      <c r="P1761" s="39"/>
      <c r="Q1761" s="39"/>
      <c r="R1761" s="39"/>
      <c r="S1761" s="37">
        <f>IF(R1761="",0,L1761)</f>
        <v>0</v>
      </c>
      <c r="T1761" s="37">
        <f>L1761-S1761</f>
        <v>3057528</v>
      </c>
      <c r="U1761" s="10"/>
      <c r="V1761" s="10"/>
      <c r="W1761" s="10"/>
      <c r="X1761" s="10"/>
      <c r="Y1761" s="10"/>
      <c r="Z1761" s="10"/>
      <c r="AA1761" s="10"/>
      <c r="AB1761" s="10"/>
      <c r="AC1761" s="10"/>
      <c r="AD1761" s="10"/>
      <c r="AE1761" s="10"/>
    </row>
    <row r="1762" spans="1:31" ht="14.25" customHeight="1">
      <c r="A1762" s="277" t="s">
        <v>5969</v>
      </c>
      <c r="B1762" s="9" t="s">
        <v>21</v>
      </c>
      <c r="C1762" s="9">
        <v>2025</v>
      </c>
      <c r="D1762" s="9" t="s">
        <v>77</v>
      </c>
      <c r="E1762" s="90" t="s">
        <v>23</v>
      </c>
      <c r="F1762" s="9" t="s">
        <v>7</v>
      </c>
      <c r="G1762" s="10"/>
      <c r="H1762" s="9">
        <v>250778</v>
      </c>
      <c r="I1762" s="11" t="s">
        <v>862</v>
      </c>
      <c r="J1762" s="12">
        <v>45871</v>
      </c>
      <c r="K1762" s="12">
        <v>45909</v>
      </c>
      <c r="L1762" s="27">
        <v>7815544</v>
      </c>
      <c r="M1762" s="10" t="s">
        <v>921</v>
      </c>
      <c r="N1762" s="34">
        <f t="shared" ca="1" si="358"/>
        <v>369.46377638888953</v>
      </c>
      <c r="O1762" s="27"/>
      <c r="P1762" s="39"/>
      <c r="Q1762" s="39"/>
      <c r="R1762" s="39"/>
      <c r="S1762" s="37">
        <f t="shared" si="356"/>
        <v>0</v>
      </c>
      <c r="T1762" s="37">
        <f t="shared" si="357"/>
        <v>7815544</v>
      </c>
      <c r="U1762" s="10"/>
      <c r="V1762" s="10"/>
      <c r="W1762" s="10"/>
      <c r="X1762" s="10"/>
      <c r="Y1762" s="10"/>
      <c r="Z1762" s="10"/>
      <c r="AA1762" s="10"/>
      <c r="AB1762" s="10"/>
      <c r="AC1762" s="10"/>
      <c r="AD1762" s="10"/>
      <c r="AE1762" s="10"/>
    </row>
    <row r="1763" spans="1:31" ht="14.25" customHeight="1">
      <c r="A1763" s="277" t="s">
        <v>5974</v>
      </c>
      <c r="B1763" s="9" t="s">
        <v>21</v>
      </c>
      <c r="C1763" s="9">
        <v>2025</v>
      </c>
      <c r="D1763" s="9" t="s">
        <v>77</v>
      </c>
      <c r="E1763" s="90" t="s">
        <v>23</v>
      </c>
      <c r="F1763" s="9" t="s">
        <v>7</v>
      </c>
      <c r="G1763" s="10"/>
      <c r="H1763" s="9">
        <v>250844</v>
      </c>
      <c r="I1763" s="11" t="s">
        <v>862</v>
      </c>
      <c r="J1763" s="12">
        <v>45891</v>
      </c>
      <c r="K1763" s="12">
        <v>45909</v>
      </c>
      <c r="L1763" s="27">
        <v>4884000</v>
      </c>
      <c r="M1763" s="10" t="s">
        <v>923</v>
      </c>
      <c r="N1763" s="34">
        <f t="shared" ca="1" si="358"/>
        <v>349.46377638888953</v>
      </c>
      <c r="O1763" s="27"/>
      <c r="P1763" s="39"/>
      <c r="Q1763" s="39"/>
      <c r="R1763" s="39"/>
      <c r="S1763" s="37">
        <f t="shared" si="356"/>
        <v>0</v>
      </c>
      <c r="T1763" s="37">
        <f t="shared" si="357"/>
        <v>4884000</v>
      </c>
      <c r="U1763" s="10"/>
      <c r="V1763" s="10"/>
      <c r="W1763" s="10"/>
      <c r="X1763" s="10"/>
      <c r="Y1763" s="10"/>
      <c r="Z1763" s="10"/>
      <c r="AA1763" s="10"/>
      <c r="AB1763" s="10"/>
      <c r="AC1763" s="10"/>
      <c r="AD1763" s="10"/>
      <c r="AE1763" s="10"/>
    </row>
    <row r="1764" spans="1:31" ht="14.25" customHeight="1">
      <c r="A1764" s="277" t="s">
        <v>5975</v>
      </c>
      <c r="B1764" s="9" t="s">
        <v>21</v>
      </c>
      <c r="C1764" s="9">
        <v>2025</v>
      </c>
      <c r="D1764" s="9" t="s">
        <v>77</v>
      </c>
      <c r="E1764" s="90" t="s">
        <v>23</v>
      </c>
      <c r="F1764" s="9" t="s">
        <v>7</v>
      </c>
      <c r="G1764" s="10"/>
      <c r="H1764" s="9">
        <v>250887</v>
      </c>
      <c r="I1764" s="11" t="s">
        <v>862</v>
      </c>
      <c r="J1764" s="12">
        <v>45901</v>
      </c>
      <c r="K1764" s="12">
        <v>45937</v>
      </c>
      <c r="L1764" s="27">
        <v>138639</v>
      </c>
      <c r="M1764" s="10" t="s">
        <v>3748</v>
      </c>
      <c r="N1764" s="34">
        <f t="shared" ca="1" si="358"/>
        <v>339.46377638888953</v>
      </c>
      <c r="O1764" s="27"/>
      <c r="P1764" s="39"/>
      <c r="Q1764" s="39"/>
      <c r="R1764" s="39"/>
      <c r="S1764" s="37">
        <f t="shared" si="356"/>
        <v>0</v>
      </c>
      <c r="T1764" s="37">
        <f t="shared" si="357"/>
        <v>138639</v>
      </c>
      <c r="U1764" s="10"/>
      <c r="V1764" s="10"/>
      <c r="W1764" s="10"/>
      <c r="X1764" s="10"/>
      <c r="Y1764" s="10"/>
      <c r="Z1764" s="10"/>
      <c r="AA1764" s="10"/>
      <c r="AB1764" s="10"/>
      <c r="AC1764" s="10"/>
      <c r="AD1764" s="10"/>
      <c r="AE1764" s="10"/>
    </row>
    <row r="1765" spans="1:31" ht="14.25" customHeight="1">
      <c r="A1765" s="277" t="s">
        <v>5976</v>
      </c>
      <c r="B1765" s="9" t="s">
        <v>21</v>
      </c>
      <c r="C1765" s="9">
        <v>2025</v>
      </c>
      <c r="D1765" s="9" t="s">
        <v>77</v>
      </c>
      <c r="E1765" s="90" t="s">
        <v>23</v>
      </c>
      <c r="F1765" s="9" t="s">
        <v>7</v>
      </c>
      <c r="G1765" s="10"/>
      <c r="H1765" s="9">
        <v>250908</v>
      </c>
      <c r="I1765" s="11" t="s">
        <v>862</v>
      </c>
      <c r="J1765" s="12">
        <v>45906</v>
      </c>
      <c r="K1765" s="12">
        <v>45937</v>
      </c>
      <c r="L1765" s="27">
        <v>12210000</v>
      </c>
      <c r="M1765" s="10" t="s">
        <v>3750</v>
      </c>
      <c r="N1765" s="34">
        <f t="shared" ca="1" si="358"/>
        <v>334.46377638888953</v>
      </c>
      <c r="O1765" s="27"/>
      <c r="P1765" s="39"/>
      <c r="Q1765" s="39"/>
      <c r="R1765" s="39"/>
      <c r="S1765" s="37">
        <f t="shared" si="356"/>
        <v>0</v>
      </c>
      <c r="T1765" s="37">
        <f t="shared" si="357"/>
        <v>12210000</v>
      </c>
      <c r="U1765" s="10"/>
      <c r="V1765" s="10"/>
      <c r="W1765" s="10"/>
      <c r="X1765" s="10"/>
      <c r="Y1765" s="10"/>
      <c r="Z1765" s="10"/>
      <c r="AA1765" s="10"/>
      <c r="AB1765" s="10"/>
      <c r="AC1765" s="10"/>
      <c r="AD1765" s="10"/>
      <c r="AE1765" s="10"/>
    </row>
    <row r="1766" spans="1:31" ht="14.25" customHeight="1">
      <c r="A1766" s="277" t="s">
        <v>5977</v>
      </c>
      <c r="B1766" s="9" t="s">
        <v>21</v>
      </c>
      <c r="C1766" s="9">
        <v>2025</v>
      </c>
      <c r="D1766" s="9" t="s">
        <v>77</v>
      </c>
      <c r="E1766" s="90" t="s">
        <v>23</v>
      </c>
      <c r="F1766" s="9" t="s">
        <v>7</v>
      </c>
      <c r="G1766" s="10"/>
      <c r="H1766" s="9">
        <v>250952</v>
      </c>
      <c r="I1766" s="11" t="s">
        <v>862</v>
      </c>
      <c r="J1766" s="12">
        <v>45923</v>
      </c>
      <c r="K1766" s="12">
        <v>45937</v>
      </c>
      <c r="L1766" s="27">
        <v>2240315</v>
      </c>
      <c r="M1766" s="10" t="s">
        <v>3749</v>
      </c>
      <c r="N1766" s="34">
        <f t="shared" ca="1" si="358"/>
        <v>317.46377638888953</v>
      </c>
      <c r="O1766" s="27"/>
      <c r="P1766" s="39"/>
      <c r="Q1766" s="39"/>
      <c r="R1766" s="39"/>
      <c r="S1766" s="37">
        <f t="shared" si="356"/>
        <v>0</v>
      </c>
      <c r="T1766" s="37">
        <f t="shared" si="357"/>
        <v>2240315</v>
      </c>
      <c r="U1766" s="10"/>
      <c r="V1766" s="10"/>
      <c r="W1766" s="10"/>
      <c r="X1766" s="10"/>
      <c r="Y1766" s="10"/>
      <c r="Z1766" s="10"/>
      <c r="AA1766" s="10"/>
      <c r="AB1766" s="10"/>
      <c r="AC1766" s="10"/>
      <c r="AD1766" s="10"/>
      <c r="AE1766" s="10"/>
    </row>
    <row r="1767" spans="1:31" ht="14.25" customHeight="1">
      <c r="A1767" s="277" t="s">
        <v>5978</v>
      </c>
      <c r="B1767" s="9" t="s">
        <v>21</v>
      </c>
      <c r="C1767" s="9">
        <v>2025</v>
      </c>
      <c r="D1767" s="9" t="s">
        <v>77</v>
      </c>
      <c r="E1767" s="90" t="s">
        <v>23</v>
      </c>
      <c r="F1767" s="9" t="s">
        <v>7</v>
      </c>
      <c r="G1767" s="10"/>
      <c r="H1767" s="9">
        <v>250993</v>
      </c>
      <c r="I1767" s="11" t="s">
        <v>862</v>
      </c>
      <c r="J1767" s="12">
        <v>45930</v>
      </c>
      <c r="K1767" s="12">
        <v>45937</v>
      </c>
      <c r="L1767" s="27">
        <v>1786838</v>
      </c>
      <c r="M1767" s="10" t="s">
        <v>3751</v>
      </c>
      <c r="N1767" s="34">
        <f t="shared" ca="1" si="358"/>
        <v>310.46377638888953</v>
      </c>
      <c r="O1767" s="27"/>
      <c r="P1767" s="39"/>
      <c r="Q1767" s="39"/>
      <c r="R1767" s="39"/>
      <c r="S1767" s="37">
        <f t="shared" si="356"/>
        <v>0</v>
      </c>
      <c r="T1767" s="37">
        <f t="shared" si="357"/>
        <v>1786838</v>
      </c>
      <c r="U1767" s="10"/>
      <c r="V1767" s="10"/>
      <c r="W1767" s="10"/>
      <c r="X1767" s="10"/>
      <c r="Y1767" s="10"/>
      <c r="Z1767" s="10"/>
      <c r="AA1767" s="10"/>
      <c r="AB1767" s="10"/>
      <c r="AC1767" s="10"/>
      <c r="AD1767" s="10"/>
      <c r="AE1767" s="10"/>
    </row>
    <row r="1768" spans="1:31" ht="14.25" customHeight="1">
      <c r="A1768" s="277" t="s">
        <v>5979</v>
      </c>
      <c r="B1768" s="9" t="s">
        <v>21</v>
      </c>
      <c r="C1768" s="9">
        <v>2025</v>
      </c>
      <c r="D1768" s="9" t="s">
        <v>77</v>
      </c>
      <c r="E1768" s="90" t="s">
        <v>23</v>
      </c>
      <c r="F1768" s="9" t="s">
        <v>7</v>
      </c>
      <c r="G1768" s="10"/>
      <c r="H1768" s="9">
        <v>251025</v>
      </c>
      <c r="I1768" s="11" t="s">
        <v>862</v>
      </c>
      <c r="J1768" s="12">
        <v>45938</v>
      </c>
      <c r="K1768" s="12">
        <v>45965</v>
      </c>
      <c r="L1768" s="27">
        <v>3663000</v>
      </c>
      <c r="M1768" s="10" t="s">
        <v>3923</v>
      </c>
      <c r="N1768" s="34">
        <f t="shared" ca="1" si="358"/>
        <v>302.46377638888953</v>
      </c>
      <c r="O1768" s="27"/>
      <c r="P1768" s="39"/>
      <c r="Q1768" s="39"/>
      <c r="R1768" s="39"/>
      <c r="S1768" s="37">
        <f t="shared" si="356"/>
        <v>0</v>
      </c>
      <c r="T1768" s="37">
        <f t="shared" si="357"/>
        <v>3663000</v>
      </c>
      <c r="U1768" s="10"/>
      <c r="V1768" s="10"/>
      <c r="W1768" s="10"/>
      <c r="X1768" s="10"/>
      <c r="Y1768" s="10"/>
      <c r="Z1768" s="10"/>
      <c r="AA1768" s="10"/>
      <c r="AB1768" s="10"/>
      <c r="AC1768" s="10"/>
      <c r="AD1768" s="10"/>
      <c r="AE1768" s="10"/>
    </row>
    <row r="1769" spans="1:31" ht="14.25" customHeight="1">
      <c r="A1769" s="277" t="s">
        <v>5980</v>
      </c>
      <c r="B1769" s="9" t="s">
        <v>21</v>
      </c>
      <c r="C1769" s="9">
        <v>2025</v>
      </c>
      <c r="D1769" s="9" t="s">
        <v>77</v>
      </c>
      <c r="E1769" s="90" t="s">
        <v>23</v>
      </c>
      <c r="F1769" s="9" t="s">
        <v>7</v>
      </c>
      <c r="G1769" s="10"/>
      <c r="H1769" s="9">
        <v>251026</v>
      </c>
      <c r="I1769" s="11" t="s">
        <v>862</v>
      </c>
      <c r="J1769" s="12">
        <v>45938</v>
      </c>
      <c r="K1769" s="12">
        <v>45965</v>
      </c>
      <c r="L1769" s="27">
        <v>527766</v>
      </c>
      <c r="M1769" s="10" t="s">
        <v>3928</v>
      </c>
      <c r="N1769" s="34">
        <f t="shared" ca="1" si="358"/>
        <v>302.46377638888953</v>
      </c>
      <c r="O1769" s="27"/>
      <c r="P1769" s="39"/>
      <c r="Q1769" s="39"/>
      <c r="R1769" s="39"/>
      <c r="S1769" s="37">
        <f t="shared" si="356"/>
        <v>0</v>
      </c>
      <c r="T1769" s="37">
        <f t="shared" si="357"/>
        <v>527766</v>
      </c>
      <c r="U1769" s="10"/>
      <c r="V1769" s="10"/>
      <c r="W1769" s="10"/>
      <c r="X1769" s="10"/>
      <c r="Y1769" s="10"/>
      <c r="Z1769" s="10"/>
      <c r="AA1769" s="10"/>
      <c r="AB1769" s="10"/>
      <c r="AC1769" s="10"/>
      <c r="AD1769" s="10"/>
      <c r="AE1769" s="10"/>
    </row>
    <row r="1770" spans="1:31" ht="14.25" customHeight="1">
      <c r="A1770" s="277" t="s">
        <v>5981</v>
      </c>
      <c r="B1770" s="9" t="s">
        <v>21</v>
      </c>
      <c r="C1770" s="9">
        <v>2025</v>
      </c>
      <c r="D1770" s="9" t="s">
        <v>77</v>
      </c>
      <c r="E1770" s="90" t="s">
        <v>23</v>
      </c>
      <c r="F1770" s="9" t="s">
        <v>7</v>
      </c>
      <c r="G1770" s="10"/>
      <c r="H1770" s="9">
        <v>251050</v>
      </c>
      <c r="I1770" s="11" t="s">
        <v>862</v>
      </c>
      <c r="J1770" s="12">
        <v>45940</v>
      </c>
      <c r="K1770" s="12">
        <v>45965</v>
      </c>
      <c r="L1770" s="27">
        <v>209545</v>
      </c>
      <c r="M1770" s="10" t="s">
        <v>3924</v>
      </c>
      <c r="N1770" s="34">
        <f t="shared" ref="N1770:N1800" ca="1" si="359">$J$3-J1770</f>
        <v>300.46377638888953</v>
      </c>
      <c r="O1770" s="27"/>
      <c r="P1770" s="39"/>
      <c r="Q1770" s="39"/>
      <c r="R1770" s="39"/>
      <c r="S1770" s="37">
        <f t="shared" ref="S1770:S1795" si="360">IF(R1770="",0,L1770)</f>
        <v>0</v>
      </c>
      <c r="T1770" s="37">
        <f t="shared" ref="T1770:T1795" si="361">L1770-S1770</f>
        <v>209545</v>
      </c>
      <c r="U1770" s="10"/>
      <c r="V1770" s="10"/>
      <c r="W1770" s="10"/>
      <c r="X1770" s="10"/>
      <c r="Y1770" s="10"/>
      <c r="Z1770" s="10"/>
      <c r="AA1770" s="10"/>
      <c r="AB1770" s="10"/>
      <c r="AC1770" s="10"/>
      <c r="AD1770" s="10"/>
      <c r="AE1770" s="10"/>
    </row>
    <row r="1771" spans="1:31" ht="14.25" customHeight="1">
      <c r="A1771" s="277" t="s">
        <v>5982</v>
      </c>
      <c r="B1771" s="9" t="s">
        <v>21</v>
      </c>
      <c r="C1771" s="9">
        <v>2025</v>
      </c>
      <c r="D1771" s="9" t="s">
        <v>77</v>
      </c>
      <c r="E1771" s="90" t="s">
        <v>23</v>
      </c>
      <c r="F1771" s="9" t="s">
        <v>7</v>
      </c>
      <c r="G1771" s="10"/>
      <c r="H1771" s="9">
        <v>251048</v>
      </c>
      <c r="I1771" s="11" t="s">
        <v>862</v>
      </c>
      <c r="J1771" s="12">
        <v>45940</v>
      </c>
      <c r="K1771" s="12">
        <v>45965</v>
      </c>
      <c r="L1771" s="27">
        <v>284576</v>
      </c>
      <c r="M1771" s="10" t="s">
        <v>3929</v>
      </c>
      <c r="N1771" s="34">
        <f t="shared" ca="1" si="359"/>
        <v>300.46377638888953</v>
      </c>
      <c r="O1771" s="27" t="s">
        <v>1238</v>
      </c>
      <c r="P1771" s="39"/>
      <c r="Q1771" s="39"/>
      <c r="R1771" s="39"/>
      <c r="S1771" s="37">
        <f t="shared" si="360"/>
        <v>0</v>
      </c>
      <c r="T1771" s="37">
        <f t="shared" si="361"/>
        <v>284576</v>
      </c>
      <c r="U1771" s="10"/>
      <c r="V1771" s="10"/>
      <c r="W1771" s="10"/>
      <c r="X1771" s="10"/>
      <c r="Y1771" s="10"/>
      <c r="Z1771" s="10"/>
      <c r="AA1771" s="10"/>
      <c r="AB1771" s="10"/>
      <c r="AC1771" s="10"/>
      <c r="AD1771" s="10"/>
      <c r="AE1771" s="10"/>
    </row>
    <row r="1772" spans="1:31" ht="14.25" customHeight="1">
      <c r="A1772" s="277" t="s">
        <v>5983</v>
      </c>
      <c r="B1772" s="9" t="s">
        <v>21</v>
      </c>
      <c r="C1772" s="9">
        <v>2025</v>
      </c>
      <c r="D1772" s="9" t="s">
        <v>77</v>
      </c>
      <c r="E1772" s="90" t="s">
        <v>23</v>
      </c>
      <c r="F1772" s="9" t="s">
        <v>7</v>
      </c>
      <c r="G1772" s="10"/>
      <c r="H1772" s="9">
        <v>251049</v>
      </c>
      <c r="I1772" s="11" t="s">
        <v>862</v>
      </c>
      <c r="J1772" s="12">
        <v>45945</v>
      </c>
      <c r="K1772" s="12">
        <v>45965</v>
      </c>
      <c r="L1772" s="27">
        <v>3663000</v>
      </c>
      <c r="M1772" s="10" t="s">
        <v>3925</v>
      </c>
      <c r="N1772" s="34">
        <f t="shared" ca="1" si="359"/>
        <v>295.46377638888953</v>
      </c>
      <c r="O1772" s="27"/>
      <c r="P1772" s="39"/>
      <c r="Q1772" s="39"/>
      <c r="R1772" s="39"/>
      <c r="S1772" s="37">
        <f t="shared" si="360"/>
        <v>0</v>
      </c>
      <c r="T1772" s="37">
        <f t="shared" si="361"/>
        <v>3663000</v>
      </c>
      <c r="U1772" s="10"/>
      <c r="V1772" s="10"/>
      <c r="W1772" s="10"/>
      <c r="X1772" s="10"/>
      <c r="Y1772" s="10"/>
      <c r="Z1772" s="10"/>
      <c r="AA1772" s="10"/>
      <c r="AB1772" s="10"/>
      <c r="AC1772" s="10"/>
      <c r="AD1772" s="10"/>
      <c r="AE1772" s="10"/>
    </row>
    <row r="1773" spans="1:31" ht="14.25" customHeight="1">
      <c r="A1773" s="277" t="s">
        <v>5984</v>
      </c>
      <c r="B1773" s="9" t="s">
        <v>21</v>
      </c>
      <c r="C1773" s="9">
        <v>2025</v>
      </c>
      <c r="D1773" s="9" t="s">
        <v>77</v>
      </c>
      <c r="E1773" s="90" t="s">
        <v>23</v>
      </c>
      <c r="F1773" s="9" t="s">
        <v>7</v>
      </c>
      <c r="G1773" s="10"/>
      <c r="H1773" s="9">
        <v>251047</v>
      </c>
      <c r="I1773" s="11" t="s">
        <v>862</v>
      </c>
      <c r="J1773" s="12">
        <v>45948</v>
      </c>
      <c r="K1773" s="12">
        <v>45965</v>
      </c>
      <c r="L1773" s="27">
        <v>586080</v>
      </c>
      <c r="M1773" s="10" t="s">
        <v>3926</v>
      </c>
      <c r="N1773" s="34">
        <f t="shared" ca="1" si="359"/>
        <v>292.46377638888953</v>
      </c>
      <c r="O1773" s="27"/>
      <c r="P1773" s="39"/>
      <c r="Q1773" s="39"/>
      <c r="R1773" s="39"/>
      <c r="S1773" s="37">
        <f t="shared" si="360"/>
        <v>0</v>
      </c>
      <c r="T1773" s="37">
        <f t="shared" si="361"/>
        <v>586080</v>
      </c>
      <c r="U1773" s="10"/>
      <c r="V1773" s="10"/>
      <c r="W1773" s="10"/>
      <c r="X1773" s="10"/>
      <c r="Y1773" s="10"/>
      <c r="Z1773" s="10"/>
      <c r="AA1773" s="10"/>
      <c r="AB1773" s="10"/>
      <c r="AC1773" s="10"/>
      <c r="AD1773" s="10"/>
      <c r="AE1773" s="10"/>
    </row>
    <row r="1774" spans="1:31" ht="14.25" customHeight="1">
      <c r="A1774" s="277" t="s">
        <v>5985</v>
      </c>
      <c r="B1774" s="9" t="s">
        <v>21</v>
      </c>
      <c r="C1774" s="9">
        <v>2025</v>
      </c>
      <c r="D1774" s="9" t="s">
        <v>77</v>
      </c>
      <c r="E1774" s="90" t="s">
        <v>23</v>
      </c>
      <c r="F1774" s="9" t="s">
        <v>7</v>
      </c>
      <c r="G1774" s="10"/>
      <c r="H1774" s="9">
        <v>251097</v>
      </c>
      <c r="I1774" s="11" t="s">
        <v>862</v>
      </c>
      <c r="J1774" s="12">
        <v>45957</v>
      </c>
      <c r="K1774" s="12">
        <v>45965</v>
      </c>
      <c r="L1774" s="27">
        <v>1367520</v>
      </c>
      <c r="M1774" s="10" t="s">
        <v>3927</v>
      </c>
      <c r="N1774" s="34">
        <f t="shared" ca="1" si="359"/>
        <v>283.46377638888953</v>
      </c>
      <c r="O1774" s="27"/>
      <c r="P1774" s="39"/>
      <c r="Q1774" s="39"/>
      <c r="R1774" s="39"/>
      <c r="S1774" s="37">
        <f t="shared" si="360"/>
        <v>0</v>
      </c>
      <c r="T1774" s="37">
        <f t="shared" si="361"/>
        <v>1367520</v>
      </c>
      <c r="U1774" s="10"/>
      <c r="V1774" s="10"/>
      <c r="W1774" s="10"/>
      <c r="X1774" s="10"/>
      <c r="Y1774" s="10"/>
      <c r="Z1774" s="10"/>
      <c r="AA1774" s="10"/>
      <c r="AB1774" s="10"/>
      <c r="AC1774" s="10"/>
      <c r="AD1774" s="10"/>
      <c r="AE1774" s="10"/>
    </row>
    <row r="1775" spans="1:31" ht="14.25" customHeight="1">
      <c r="A1775" s="277" t="s">
        <v>5986</v>
      </c>
      <c r="B1775" s="9" t="s">
        <v>21</v>
      </c>
      <c r="C1775" s="9">
        <v>2025</v>
      </c>
      <c r="D1775" s="9" t="s">
        <v>77</v>
      </c>
      <c r="E1775" s="90" t="s">
        <v>23</v>
      </c>
      <c r="F1775" s="9" t="s">
        <v>7</v>
      </c>
      <c r="G1775" s="10"/>
      <c r="H1775" s="9">
        <v>251193</v>
      </c>
      <c r="I1775" s="11" t="s">
        <v>862</v>
      </c>
      <c r="J1775" s="12">
        <v>45985</v>
      </c>
      <c r="K1775" s="12">
        <v>46002</v>
      </c>
      <c r="L1775" s="27">
        <v>9458393</v>
      </c>
      <c r="M1775" s="10" t="s">
        <v>4089</v>
      </c>
      <c r="N1775" s="34">
        <f t="shared" ca="1" si="359"/>
        <v>255.46377638888953</v>
      </c>
      <c r="O1775" s="27"/>
      <c r="P1775" s="39"/>
      <c r="Q1775" s="39"/>
      <c r="R1775" s="39"/>
      <c r="S1775" s="37">
        <f t="shared" si="360"/>
        <v>0</v>
      </c>
      <c r="T1775" s="37">
        <f t="shared" si="361"/>
        <v>9458393</v>
      </c>
      <c r="U1775" s="10"/>
      <c r="V1775" s="10"/>
      <c r="W1775" s="10"/>
      <c r="X1775" s="10"/>
      <c r="Y1775" s="10"/>
      <c r="Z1775" s="10"/>
      <c r="AA1775" s="10"/>
      <c r="AB1775" s="10"/>
      <c r="AC1775" s="10"/>
      <c r="AD1775" s="10"/>
      <c r="AE1775" s="10"/>
    </row>
    <row r="1776" spans="1:31" ht="14.25" customHeight="1">
      <c r="A1776" s="277" t="s">
        <v>5987</v>
      </c>
      <c r="B1776" s="9" t="s">
        <v>21</v>
      </c>
      <c r="C1776" s="9">
        <v>2025</v>
      </c>
      <c r="D1776" s="9" t="s">
        <v>77</v>
      </c>
      <c r="E1776" s="90" t="s">
        <v>23</v>
      </c>
      <c r="F1776" s="9" t="s">
        <v>7</v>
      </c>
      <c r="G1776" s="10"/>
      <c r="H1776" s="9">
        <v>251199</v>
      </c>
      <c r="I1776" s="11" t="s">
        <v>862</v>
      </c>
      <c r="J1776" s="12">
        <v>45986</v>
      </c>
      <c r="K1776" s="12">
        <v>46002</v>
      </c>
      <c r="L1776" s="27">
        <v>696138</v>
      </c>
      <c r="M1776" s="10" t="s">
        <v>4088</v>
      </c>
      <c r="N1776" s="34">
        <f t="shared" ca="1" si="359"/>
        <v>254.46377638888953</v>
      </c>
      <c r="O1776" s="27"/>
      <c r="P1776" s="39"/>
      <c r="Q1776" s="39"/>
      <c r="R1776" s="39"/>
      <c r="S1776" s="37">
        <f t="shared" si="360"/>
        <v>0</v>
      </c>
      <c r="T1776" s="37">
        <f t="shared" si="361"/>
        <v>696138</v>
      </c>
      <c r="U1776" s="10"/>
      <c r="V1776" s="10"/>
      <c r="W1776" s="10"/>
      <c r="X1776" s="10"/>
      <c r="Y1776" s="10"/>
      <c r="Z1776" s="10"/>
      <c r="AA1776" s="10"/>
      <c r="AB1776" s="10"/>
      <c r="AC1776" s="10"/>
      <c r="AD1776" s="10"/>
      <c r="AE1776" s="10"/>
    </row>
    <row r="1777" spans="1:31" ht="14.25" customHeight="1">
      <c r="A1777" s="277" t="s">
        <v>5988</v>
      </c>
      <c r="B1777" s="9" t="s">
        <v>21</v>
      </c>
      <c r="C1777" s="9">
        <v>2025</v>
      </c>
      <c r="D1777" s="9" t="s">
        <v>77</v>
      </c>
      <c r="E1777" s="90" t="s">
        <v>23</v>
      </c>
      <c r="F1777" s="9" t="s">
        <v>7</v>
      </c>
      <c r="G1777" s="10"/>
      <c r="H1777" s="9">
        <v>251235</v>
      </c>
      <c r="I1777" s="11" t="s">
        <v>862</v>
      </c>
      <c r="J1777" s="12">
        <v>45995</v>
      </c>
      <c r="K1777" s="12">
        <v>46035</v>
      </c>
      <c r="L1777" s="27">
        <v>1672738</v>
      </c>
      <c r="M1777" s="10" t="s">
        <v>4220</v>
      </c>
      <c r="N1777" s="34">
        <f t="shared" ca="1" si="359"/>
        <v>245.46377638888953</v>
      </c>
      <c r="O1777" s="27"/>
      <c r="P1777" s="39"/>
      <c r="Q1777" s="39"/>
      <c r="R1777" s="39"/>
      <c r="S1777" s="37">
        <f t="shared" si="360"/>
        <v>0</v>
      </c>
      <c r="T1777" s="37">
        <f t="shared" si="361"/>
        <v>1672738</v>
      </c>
      <c r="U1777" s="10"/>
      <c r="V1777" s="10"/>
      <c r="W1777" s="10"/>
      <c r="X1777" s="10"/>
      <c r="Y1777" s="10"/>
      <c r="Z1777" s="10"/>
      <c r="AA1777" s="10"/>
      <c r="AB1777" s="10"/>
      <c r="AC1777" s="10"/>
      <c r="AD1777" s="10"/>
      <c r="AE1777" s="10"/>
    </row>
    <row r="1778" spans="1:31" ht="14.25" customHeight="1">
      <c r="A1778" s="277" t="s">
        <v>5989</v>
      </c>
      <c r="B1778" s="9" t="s">
        <v>21</v>
      </c>
      <c r="C1778" s="9">
        <v>2025</v>
      </c>
      <c r="D1778" s="9" t="s">
        <v>77</v>
      </c>
      <c r="E1778" s="90" t="s">
        <v>23</v>
      </c>
      <c r="F1778" s="9" t="s">
        <v>7</v>
      </c>
      <c r="G1778" s="10"/>
      <c r="H1778" s="9">
        <v>251238</v>
      </c>
      <c r="I1778" s="11" t="s">
        <v>862</v>
      </c>
      <c r="J1778" s="12">
        <v>45996</v>
      </c>
      <c r="K1778" s="12">
        <v>46035</v>
      </c>
      <c r="L1778" s="27">
        <v>3663000</v>
      </c>
      <c r="M1778" s="10" t="s">
        <v>4218</v>
      </c>
      <c r="N1778" s="34">
        <f t="shared" ca="1" si="359"/>
        <v>244.46377638888953</v>
      </c>
      <c r="O1778" s="27"/>
      <c r="P1778" s="39"/>
      <c r="Q1778" s="39"/>
      <c r="R1778" s="39"/>
      <c r="S1778" s="37">
        <f t="shared" si="360"/>
        <v>0</v>
      </c>
      <c r="T1778" s="37">
        <f t="shared" si="361"/>
        <v>3663000</v>
      </c>
      <c r="U1778" s="10"/>
      <c r="V1778" s="10"/>
      <c r="W1778" s="10"/>
      <c r="X1778" s="10"/>
      <c r="Y1778" s="10"/>
      <c r="Z1778" s="10"/>
      <c r="AA1778" s="10"/>
      <c r="AB1778" s="10"/>
      <c r="AC1778" s="10"/>
      <c r="AD1778" s="10"/>
      <c r="AE1778" s="10"/>
    </row>
    <row r="1779" spans="1:31" ht="14.25" customHeight="1">
      <c r="A1779" s="277" t="s">
        <v>7725</v>
      </c>
      <c r="B1779" s="9" t="s">
        <v>21</v>
      </c>
      <c r="C1779" s="9">
        <v>2025</v>
      </c>
      <c r="D1779" s="9" t="s">
        <v>77</v>
      </c>
      <c r="E1779" s="90" t="s">
        <v>23</v>
      </c>
      <c r="F1779" s="9" t="s">
        <v>7</v>
      </c>
      <c r="G1779" s="10"/>
      <c r="H1779" s="9">
        <v>251283</v>
      </c>
      <c r="I1779" s="11" t="s">
        <v>862</v>
      </c>
      <c r="J1779" s="12">
        <v>46007</v>
      </c>
      <c r="K1779" s="12">
        <v>46035</v>
      </c>
      <c r="L1779" s="27">
        <v>3663000</v>
      </c>
      <c r="M1779" s="10" t="s">
        <v>4219</v>
      </c>
      <c r="N1779" s="34">
        <f t="shared" ca="1" si="359"/>
        <v>233.46377638888953</v>
      </c>
      <c r="O1779" s="27"/>
      <c r="P1779" s="39"/>
      <c r="Q1779" s="39"/>
      <c r="R1779" s="39"/>
      <c r="S1779" s="37">
        <f t="shared" si="360"/>
        <v>0</v>
      </c>
      <c r="T1779" s="37">
        <f t="shared" si="361"/>
        <v>3663000</v>
      </c>
      <c r="U1779" s="10"/>
      <c r="V1779" s="10"/>
      <c r="W1779" s="10"/>
      <c r="X1779" s="10"/>
      <c r="Y1779" s="10"/>
      <c r="Z1779" s="10"/>
      <c r="AA1779" s="10"/>
      <c r="AB1779" s="10"/>
      <c r="AC1779" s="10"/>
      <c r="AD1779" s="10"/>
      <c r="AE1779" s="10"/>
    </row>
    <row r="1780" spans="1:31" ht="14.25" customHeight="1">
      <c r="A1780" s="277" t="s">
        <v>7726</v>
      </c>
      <c r="B1780" s="9" t="s">
        <v>21</v>
      </c>
      <c r="C1780" s="9">
        <v>2025</v>
      </c>
      <c r="D1780" s="9" t="s">
        <v>77</v>
      </c>
      <c r="E1780" s="90" t="s">
        <v>23</v>
      </c>
      <c r="F1780" s="9" t="s">
        <v>7</v>
      </c>
      <c r="G1780" s="10"/>
      <c r="H1780" s="9">
        <v>251279</v>
      </c>
      <c r="I1780" s="11" t="s">
        <v>862</v>
      </c>
      <c r="J1780" s="12">
        <v>46007</v>
      </c>
      <c r="K1780" s="12">
        <v>46035</v>
      </c>
      <c r="L1780" s="27">
        <v>1723814</v>
      </c>
      <c r="M1780" s="10" t="s">
        <v>4221</v>
      </c>
      <c r="N1780" s="34">
        <f t="shared" ca="1" si="359"/>
        <v>233.46377638888953</v>
      </c>
      <c r="O1780" s="27"/>
      <c r="P1780" s="39"/>
      <c r="Q1780" s="39"/>
      <c r="R1780" s="39"/>
      <c r="S1780" s="37">
        <f t="shared" si="360"/>
        <v>0</v>
      </c>
      <c r="T1780" s="37">
        <f t="shared" si="361"/>
        <v>1723814</v>
      </c>
      <c r="U1780" s="10"/>
      <c r="V1780" s="10"/>
      <c r="W1780" s="10"/>
      <c r="X1780" s="10"/>
      <c r="Y1780" s="10"/>
      <c r="Z1780" s="10"/>
      <c r="AA1780" s="10"/>
      <c r="AB1780" s="10"/>
      <c r="AC1780" s="10"/>
      <c r="AD1780" s="10"/>
      <c r="AE1780" s="10"/>
    </row>
    <row r="1781" spans="1:31" ht="14.25" customHeight="1">
      <c r="A1781" s="277" t="s">
        <v>5990</v>
      </c>
      <c r="B1781" s="9" t="s">
        <v>21</v>
      </c>
      <c r="C1781" s="9">
        <v>2026</v>
      </c>
      <c r="D1781" s="9" t="s">
        <v>77</v>
      </c>
      <c r="E1781" s="90" t="s">
        <v>23</v>
      </c>
      <c r="F1781" s="9" t="s">
        <v>7</v>
      </c>
      <c r="G1781" s="10"/>
      <c r="H1781" s="9">
        <v>260005</v>
      </c>
      <c r="I1781" s="11" t="s">
        <v>862</v>
      </c>
      <c r="J1781" s="12">
        <v>46028</v>
      </c>
      <c r="K1781" s="12">
        <v>46063</v>
      </c>
      <c r="L1781" s="27">
        <v>1314759</v>
      </c>
      <c r="M1781" s="10" t="s">
        <v>4312</v>
      </c>
      <c r="N1781" s="34">
        <f t="shared" ca="1" si="359"/>
        <v>212.46377638888953</v>
      </c>
      <c r="O1781" s="27"/>
      <c r="P1781" s="39"/>
      <c r="Q1781" s="39"/>
      <c r="R1781" s="39"/>
      <c r="S1781" s="37">
        <f t="shared" si="360"/>
        <v>0</v>
      </c>
      <c r="T1781" s="37">
        <f t="shared" si="361"/>
        <v>1314759</v>
      </c>
      <c r="U1781" s="10"/>
      <c r="V1781" s="10"/>
      <c r="W1781" s="10"/>
      <c r="X1781" s="10"/>
      <c r="Y1781" s="10"/>
      <c r="Z1781" s="10"/>
      <c r="AA1781" s="10"/>
      <c r="AB1781" s="10"/>
      <c r="AC1781" s="10"/>
      <c r="AD1781" s="10"/>
      <c r="AE1781" s="10"/>
    </row>
    <row r="1782" spans="1:31" ht="14.25" customHeight="1">
      <c r="A1782" s="277" t="s">
        <v>5991</v>
      </c>
      <c r="B1782" s="9" t="s">
        <v>21</v>
      </c>
      <c r="C1782" s="9">
        <v>2026</v>
      </c>
      <c r="D1782" s="9" t="s">
        <v>77</v>
      </c>
      <c r="E1782" s="90" t="s">
        <v>23</v>
      </c>
      <c r="F1782" s="9" t="s">
        <v>7</v>
      </c>
      <c r="G1782" s="10"/>
      <c r="H1782" s="9">
        <v>260006</v>
      </c>
      <c r="I1782" s="11" t="s">
        <v>862</v>
      </c>
      <c r="J1782" s="12">
        <v>46028</v>
      </c>
      <c r="K1782" s="12">
        <v>46063</v>
      </c>
      <c r="L1782" s="27">
        <v>4396693</v>
      </c>
      <c r="M1782" s="10" t="s">
        <v>4313</v>
      </c>
      <c r="N1782" s="34">
        <f t="shared" ca="1" si="359"/>
        <v>212.46377638888953</v>
      </c>
      <c r="O1782" s="27"/>
      <c r="P1782" s="39"/>
      <c r="Q1782" s="39"/>
      <c r="R1782" s="39"/>
      <c r="S1782" s="37">
        <f t="shared" si="360"/>
        <v>0</v>
      </c>
      <c r="T1782" s="37">
        <f t="shared" si="361"/>
        <v>4396693</v>
      </c>
      <c r="U1782" s="10"/>
      <c r="V1782" s="10"/>
      <c r="W1782" s="10"/>
      <c r="X1782" s="10"/>
      <c r="Y1782" s="10"/>
      <c r="Z1782" s="10"/>
      <c r="AA1782" s="10"/>
      <c r="AB1782" s="10"/>
      <c r="AC1782" s="10"/>
      <c r="AD1782" s="10"/>
      <c r="AE1782" s="10"/>
    </row>
    <row r="1783" spans="1:31" ht="14.25" customHeight="1">
      <c r="A1783" s="277" t="s">
        <v>5992</v>
      </c>
      <c r="B1783" s="9" t="s">
        <v>21</v>
      </c>
      <c r="C1783" s="9">
        <v>2026</v>
      </c>
      <c r="D1783" s="9" t="s">
        <v>77</v>
      </c>
      <c r="E1783" s="90" t="s">
        <v>23</v>
      </c>
      <c r="F1783" s="9" t="s">
        <v>7</v>
      </c>
      <c r="G1783" s="10"/>
      <c r="H1783" s="9">
        <v>260016</v>
      </c>
      <c r="I1783" s="11" t="s">
        <v>862</v>
      </c>
      <c r="J1783" s="12">
        <v>46041</v>
      </c>
      <c r="K1783" s="12">
        <v>46063</v>
      </c>
      <c r="L1783" s="27">
        <v>5373544</v>
      </c>
      <c r="M1783" s="10" t="s">
        <v>4314</v>
      </c>
      <c r="N1783" s="34">
        <f t="shared" ca="1" si="359"/>
        <v>199.46377638888953</v>
      </c>
      <c r="O1783" s="27"/>
      <c r="P1783" s="39"/>
      <c r="Q1783" s="39"/>
      <c r="R1783" s="39"/>
      <c r="S1783" s="37">
        <f t="shared" si="360"/>
        <v>0</v>
      </c>
      <c r="T1783" s="37">
        <f t="shared" si="361"/>
        <v>5373544</v>
      </c>
      <c r="U1783" s="10"/>
      <c r="V1783" s="10"/>
      <c r="W1783" s="10"/>
      <c r="X1783" s="10"/>
      <c r="Y1783" s="10"/>
      <c r="Z1783" s="10"/>
      <c r="AA1783" s="10"/>
      <c r="AB1783" s="10"/>
      <c r="AC1783" s="10"/>
      <c r="AD1783" s="10"/>
      <c r="AE1783" s="10"/>
    </row>
    <row r="1784" spans="1:31" ht="14.25" customHeight="1">
      <c r="A1784" s="277" t="s">
        <v>5993</v>
      </c>
      <c r="B1784" s="9" t="s">
        <v>21</v>
      </c>
      <c r="C1784" s="9">
        <v>2026</v>
      </c>
      <c r="D1784" s="9" t="s">
        <v>77</v>
      </c>
      <c r="E1784" s="90" t="s">
        <v>23</v>
      </c>
      <c r="F1784" s="9" t="s">
        <v>7</v>
      </c>
      <c r="G1784" s="10"/>
      <c r="H1784" s="9">
        <v>260087</v>
      </c>
      <c r="I1784" s="11" t="s">
        <v>862</v>
      </c>
      <c r="J1784" s="12">
        <v>46056</v>
      </c>
      <c r="K1784" s="12">
        <v>46091</v>
      </c>
      <c r="L1784" s="27">
        <v>2543280</v>
      </c>
      <c r="M1784" s="10" t="s">
        <v>4445</v>
      </c>
      <c r="N1784" s="34">
        <f t="shared" ca="1" si="359"/>
        <v>184.46377638888953</v>
      </c>
      <c r="O1784" s="27"/>
      <c r="P1784" s="39"/>
      <c r="Q1784" s="39"/>
      <c r="R1784" s="39"/>
      <c r="S1784" s="37">
        <f t="shared" si="360"/>
        <v>0</v>
      </c>
      <c r="T1784" s="37">
        <f t="shared" si="361"/>
        <v>2543280</v>
      </c>
      <c r="U1784" s="10"/>
      <c r="V1784" s="10"/>
      <c r="W1784" s="10"/>
      <c r="X1784" s="10"/>
      <c r="Y1784" s="10"/>
      <c r="Z1784" s="10"/>
      <c r="AA1784" s="10"/>
      <c r="AB1784" s="10"/>
      <c r="AC1784" s="10"/>
      <c r="AD1784" s="10"/>
      <c r="AE1784" s="10"/>
    </row>
    <row r="1785" spans="1:31" ht="14.25" customHeight="1">
      <c r="A1785" s="277" t="s">
        <v>5994</v>
      </c>
      <c r="B1785" s="9" t="s">
        <v>21</v>
      </c>
      <c r="C1785" s="9">
        <v>2026</v>
      </c>
      <c r="D1785" s="9" t="s">
        <v>77</v>
      </c>
      <c r="E1785" s="90" t="s">
        <v>23</v>
      </c>
      <c r="F1785" s="9" t="s">
        <v>7</v>
      </c>
      <c r="G1785" s="10"/>
      <c r="H1785" s="9">
        <v>260088</v>
      </c>
      <c r="I1785" s="11" t="s">
        <v>862</v>
      </c>
      <c r="J1785" s="12">
        <v>46056</v>
      </c>
      <c r="K1785" s="12">
        <v>46091</v>
      </c>
      <c r="L1785" s="27">
        <v>1963792</v>
      </c>
      <c r="M1785" s="10" t="s">
        <v>4448</v>
      </c>
      <c r="N1785" s="34">
        <f t="shared" ca="1" si="359"/>
        <v>184.46377638888953</v>
      </c>
      <c r="O1785" s="27"/>
      <c r="P1785" s="39"/>
      <c r="Q1785" s="39"/>
      <c r="R1785" s="39"/>
      <c r="S1785" s="37">
        <f t="shared" si="360"/>
        <v>0</v>
      </c>
      <c r="T1785" s="37">
        <f t="shared" si="361"/>
        <v>1963792</v>
      </c>
      <c r="U1785" s="10"/>
      <c r="V1785" s="10"/>
      <c r="W1785" s="10"/>
      <c r="X1785" s="10"/>
      <c r="Y1785" s="10"/>
      <c r="Z1785" s="10"/>
      <c r="AA1785" s="10"/>
      <c r="AB1785" s="10"/>
      <c r="AC1785" s="10"/>
      <c r="AD1785" s="10"/>
      <c r="AE1785" s="10"/>
    </row>
    <row r="1786" spans="1:31" ht="14.25" customHeight="1">
      <c r="A1786" s="277" t="s">
        <v>5995</v>
      </c>
      <c r="B1786" s="9" t="s">
        <v>21</v>
      </c>
      <c r="C1786" s="9">
        <v>2026</v>
      </c>
      <c r="D1786" s="9" t="s">
        <v>77</v>
      </c>
      <c r="E1786" s="90" t="s">
        <v>23</v>
      </c>
      <c r="F1786" s="9" t="s">
        <v>7</v>
      </c>
      <c r="G1786" s="10"/>
      <c r="H1786" s="9">
        <v>260138</v>
      </c>
      <c r="I1786" s="11" t="s">
        <v>862</v>
      </c>
      <c r="J1786" s="12">
        <v>46077</v>
      </c>
      <c r="K1786" s="12">
        <v>46091</v>
      </c>
      <c r="L1786" s="27">
        <v>234321</v>
      </c>
      <c r="M1786" s="10" t="s">
        <v>4449</v>
      </c>
      <c r="N1786" s="34">
        <f t="shared" ca="1" si="359"/>
        <v>163.46377638888953</v>
      </c>
      <c r="O1786" s="27"/>
      <c r="P1786" s="39"/>
      <c r="Q1786" s="39"/>
      <c r="R1786" s="39"/>
      <c r="S1786" s="37">
        <f t="shared" si="360"/>
        <v>0</v>
      </c>
      <c r="T1786" s="37">
        <f t="shared" si="361"/>
        <v>234321</v>
      </c>
      <c r="U1786" s="10"/>
      <c r="V1786" s="10"/>
      <c r="W1786" s="10"/>
      <c r="X1786" s="10"/>
      <c r="Y1786" s="10"/>
      <c r="Z1786" s="10"/>
      <c r="AA1786" s="10"/>
      <c r="AB1786" s="10"/>
      <c r="AC1786" s="10"/>
      <c r="AD1786" s="10"/>
      <c r="AE1786" s="10"/>
    </row>
    <row r="1787" spans="1:31" ht="14.25" customHeight="1">
      <c r="A1787" s="277" t="s">
        <v>5996</v>
      </c>
      <c r="B1787" s="9" t="s">
        <v>21</v>
      </c>
      <c r="C1787" s="9">
        <v>2026</v>
      </c>
      <c r="D1787" s="9" t="s">
        <v>77</v>
      </c>
      <c r="E1787" s="90" t="s">
        <v>23</v>
      </c>
      <c r="F1787" s="9" t="s">
        <v>7</v>
      </c>
      <c r="G1787" s="10"/>
      <c r="H1787" s="9">
        <v>260143</v>
      </c>
      <c r="I1787" s="11" t="s">
        <v>862</v>
      </c>
      <c r="J1787" s="12">
        <v>46080</v>
      </c>
      <c r="K1787" s="12">
        <v>46091</v>
      </c>
      <c r="L1787" s="27">
        <v>5720166</v>
      </c>
      <c r="M1787" s="10" t="s">
        <v>4446</v>
      </c>
      <c r="N1787" s="34">
        <f t="shared" ca="1" si="359"/>
        <v>160.46377638888953</v>
      </c>
      <c r="O1787" s="27"/>
      <c r="P1787" s="39"/>
      <c r="Q1787" s="39"/>
      <c r="R1787" s="39"/>
      <c r="S1787" s="37">
        <f t="shared" si="360"/>
        <v>0</v>
      </c>
      <c r="T1787" s="37">
        <f t="shared" si="361"/>
        <v>5720166</v>
      </c>
      <c r="U1787" s="10"/>
      <c r="V1787" s="10"/>
      <c r="W1787" s="10"/>
      <c r="X1787" s="10"/>
      <c r="Y1787" s="10"/>
      <c r="Z1787" s="10"/>
      <c r="AA1787" s="10"/>
      <c r="AB1787" s="10"/>
      <c r="AC1787" s="10"/>
      <c r="AD1787" s="10"/>
      <c r="AE1787" s="10"/>
    </row>
    <row r="1788" spans="1:31" ht="14.25" customHeight="1">
      <c r="A1788" s="277" t="s">
        <v>5997</v>
      </c>
      <c r="B1788" s="9" t="s">
        <v>21</v>
      </c>
      <c r="C1788" s="9">
        <v>2026</v>
      </c>
      <c r="D1788" s="9" t="s">
        <v>77</v>
      </c>
      <c r="E1788" s="90" t="s">
        <v>23</v>
      </c>
      <c r="F1788" s="9" t="s">
        <v>7</v>
      </c>
      <c r="G1788" s="10"/>
      <c r="H1788" s="9">
        <v>260144</v>
      </c>
      <c r="I1788" s="11" t="s">
        <v>862</v>
      </c>
      <c r="J1788" s="12">
        <v>46081</v>
      </c>
      <c r="K1788" s="12">
        <v>46091</v>
      </c>
      <c r="L1788" s="27">
        <v>374829</v>
      </c>
      <c r="M1788" s="10" t="s">
        <v>4447</v>
      </c>
      <c r="N1788" s="34">
        <f t="shared" ca="1" si="359"/>
        <v>159.46377638888953</v>
      </c>
      <c r="O1788" s="27"/>
      <c r="P1788" s="39"/>
      <c r="Q1788" s="39"/>
      <c r="R1788" s="39"/>
      <c r="S1788" s="37">
        <f t="shared" si="360"/>
        <v>0</v>
      </c>
      <c r="T1788" s="37">
        <f t="shared" si="361"/>
        <v>374829</v>
      </c>
      <c r="U1788" s="10"/>
      <c r="V1788" s="10"/>
      <c r="W1788" s="10"/>
      <c r="X1788" s="10"/>
      <c r="Y1788" s="10"/>
      <c r="Z1788" s="10"/>
      <c r="AA1788" s="10"/>
      <c r="AB1788" s="10"/>
      <c r="AC1788" s="10"/>
      <c r="AD1788" s="10"/>
      <c r="AE1788" s="10"/>
    </row>
    <row r="1789" spans="1:31" ht="14.25" customHeight="1">
      <c r="A1789" s="277" t="s">
        <v>5998</v>
      </c>
      <c r="B1789" s="9" t="s">
        <v>21</v>
      </c>
      <c r="C1789" s="9">
        <v>2026</v>
      </c>
      <c r="D1789" s="9" t="s">
        <v>77</v>
      </c>
      <c r="E1789" s="90" t="s">
        <v>23</v>
      </c>
      <c r="F1789" s="9" t="s">
        <v>7</v>
      </c>
      <c r="G1789" s="10"/>
      <c r="H1789" s="9">
        <v>260147</v>
      </c>
      <c r="I1789" s="11" t="s">
        <v>862</v>
      </c>
      <c r="J1789" s="12">
        <v>46083</v>
      </c>
      <c r="K1789" s="12">
        <v>46119</v>
      </c>
      <c r="L1789" s="27">
        <v>643800</v>
      </c>
      <c r="M1789" s="10" t="s">
        <v>4490</v>
      </c>
      <c r="N1789" s="34">
        <f t="shared" ca="1" si="359"/>
        <v>157.46377638888953</v>
      </c>
      <c r="O1789" s="27"/>
      <c r="P1789" s="39"/>
      <c r="Q1789" s="39"/>
      <c r="R1789" s="39"/>
      <c r="S1789" s="37">
        <f t="shared" si="360"/>
        <v>0</v>
      </c>
      <c r="T1789" s="37">
        <f t="shared" si="361"/>
        <v>643800</v>
      </c>
      <c r="U1789" s="10"/>
      <c r="V1789" s="10"/>
      <c r="W1789" s="10"/>
      <c r="X1789" s="10"/>
      <c r="Y1789" s="10"/>
      <c r="Z1789" s="10"/>
      <c r="AA1789" s="10"/>
      <c r="AB1789" s="10"/>
      <c r="AC1789" s="10"/>
      <c r="AD1789" s="10"/>
      <c r="AE1789" s="10"/>
    </row>
    <row r="1790" spans="1:31" ht="14.25" customHeight="1">
      <c r="A1790" s="277" t="s">
        <v>5999</v>
      </c>
      <c r="B1790" s="9" t="s">
        <v>21</v>
      </c>
      <c r="C1790" s="9">
        <v>2026</v>
      </c>
      <c r="D1790" s="9" t="s">
        <v>77</v>
      </c>
      <c r="E1790" s="90" t="s">
        <v>23</v>
      </c>
      <c r="F1790" s="9" t="s">
        <v>7</v>
      </c>
      <c r="G1790" s="10"/>
      <c r="H1790" s="9">
        <v>260191</v>
      </c>
      <c r="I1790" s="11" t="s">
        <v>862</v>
      </c>
      <c r="J1790" s="12">
        <v>46112</v>
      </c>
      <c r="K1790" s="12">
        <v>46119</v>
      </c>
      <c r="L1790" s="27">
        <v>2266270</v>
      </c>
      <c r="M1790" s="10" t="s">
        <v>4491</v>
      </c>
      <c r="N1790" s="34">
        <f t="shared" ca="1" si="359"/>
        <v>128.46377638888953</v>
      </c>
      <c r="O1790" s="27"/>
      <c r="P1790" s="39"/>
      <c r="Q1790" s="39"/>
      <c r="R1790" s="39"/>
      <c r="S1790" s="37">
        <f t="shared" si="360"/>
        <v>0</v>
      </c>
      <c r="T1790" s="37">
        <f t="shared" si="361"/>
        <v>2266270</v>
      </c>
      <c r="U1790" s="10"/>
      <c r="V1790" s="10"/>
      <c r="W1790" s="10"/>
      <c r="X1790" s="10"/>
      <c r="Y1790" s="10"/>
      <c r="Z1790" s="10"/>
      <c r="AA1790" s="10"/>
      <c r="AB1790" s="10"/>
      <c r="AC1790" s="10"/>
      <c r="AD1790" s="10"/>
      <c r="AE1790" s="10"/>
    </row>
    <row r="1791" spans="1:31" ht="14.25" customHeight="1">
      <c r="A1791" s="277" t="s">
        <v>6000</v>
      </c>
      <c r="B1791" s="9" t="s">
        <v>21</v>
      </c>
      <c r="C1791" s="9">
        <v>2026</v>
      </c>
      <c r="D1791" s="9" t="s">
        <v>77</v>
      </c>
      <c r="E1791" s="90" t="s">
        <v>23</v>
      </c>
      <c r="F1791" s="9" t="s">
        <v>7</v>
      </c>
      <c r="G1791" s="10"/>
      <c r="H1791" s="9">
        <v>260192</v>
      </c>
      <c r="I1791" s="11" t="s">
        <v>862</v>
      </c>
      <c r="J1791" s="12">
        <v>46112</v>
      </c>
      <c r="K1791" s="12">
        <v>46119</v>
      </c>
      <c r="L1791" s="27">
        <v>3785100</v>
      </c>
      <c r="M1791" s="10" t="s">
        <v>4492</v>
      </c>
      <c r="N1791" s="34">
        <f t="shared" ca="1" si="359"/>
        <v>128.46377638888953</v>
      </c>
      <c r="O1791" s="27"/>
      <c r="P1791" s="39"/>
      <c r="Q1791" s="39"/>
      <c r="R1791" s="39"/>
      <c r="S1791" s="37">
        <f t="shared" si="360"/>
        <v>0</v>
      </c>
      <c r="T1791" s="37">
        <f t="shared" si="361"/>
        <v>3785100</v>
      </c>
      <c r="U1791" s="10"/>
      <c r="V1791" s="10"/>
      <c r="W1791" s="10"/>
      <c r="X1791" s="10"/>
      <c r="Y1791" s="10"/>
      <c r="Z1791" s="10"/>
      <c r="AA1791" s="10"/>
      <c r="AB1791" s="10"/>
      <c r="AC1791" s="10"/>
      <c r="AD1791" s="10"/>
      <c r="AE1791" s="10"/>
    </row>
    <row r="1792" spans="1:31" ht="14.25" customHeight="1">
      <c r="A1792" s="277" t="s">
        <v>6001</v>
      </c>
      <c r="B1792" s="9" t="s">
        <v>21</v>
      </c>
      <c r="C1792" s="9">
        <v>2026</v>
      </c>
      <c r="D1792" s="9" t="s">
        <v>77</v>
      </c>
      <c r="E1792" s="90" t="s">
        <v>23</v>
      </c>
      <c r="F1792" s="9" t="s">
        <v>7</v>
      </c>
      <c r="G1792" s="10"/>
      <c r="H1792" s="9">
        <v>260193</v>
      </c>
      <c r="I1792" s="11" t="s">
        <v>862</v>
      </c>
      <c r="J1792" s="12">
        <v>46113</v>
      </c>
      <c r="K1792" s="12">
        <v>46154</v>
      </c>
      <c r="L1792" s="27">
        <v>293040</v>
      </c>
      <c r="M1792" s="10" t="s">
        <v>7031</v>
      </c>
      <c r="N1792" s="34">
        <f t="shared" ca="1" si="359"/>
        <v>127.46377638888953</v>
      </c>
      <c r="O1792" s="27"/>
      <c r="P1792" s="39"/>
      <c r="Q1792" s="39"/>
      <c r="R1792" s="39"/>
      <c r="S1792" s="37">
        <f t="shared" si="360"/>
        <v>0</v>
      </c>
      <c r="T1792" s="37">
        <f t="shared" si="361"/>
        <v>293040</v>
      </c>
      <c r="U1792" s="10"/>
      <c r="V1792" s="10"/>
      <c r="W1792" s="10"/>
      <c r="X1792" s="10"/>
      <c r="Y1792" s="10"/>
      <c r="Z1792" s="10"/>
      <c r="AA1792" s="10"/>
      <c r="AB1792" s="10"/>
      <c r="AC1792" s="10"/>
      <c r="AD1792" s="10"/>
      <c r="AE1792" s="10"/>
    </row>
    <row r="1793" spans="1:31" ht="14.25" customHeight="1">
      <c r="A1793" s="277" t="s">
        <v>7727</v>
      </c>
      <c r="B1793" s="9" t="s">
        <v>21</v>
      </c>
      <c r="C1793" s="9">
        <v>2026</v>
      </c>
      <c r="D1793" s="9" t="s">
        <v>77</v>
      </c>
      <c r="E1793" s="90" t="s">
        <v>23</v>
      </c>
      <c r="F1793" s="9" t="s">
        <v>7</v>
      </c>
      <c r="G1793" s="10"/>
      <c r="H1793" s="9">
        <v>260198</v>
      </c>
      <c r="I1793" s="11" t="s">
        <v>862</v>
      </c>
      <c r="J1793" s="12">
        <v>46114</v>
      </c>
      <c r="K1793" s="12">
        <v>46154</v>
      </c>
      <c r="L1793" s="27">
        <v>171952</v>
      </c>
      <c r="M1793" s="10" t="s">
        <v>7032</v>
      </c>
      <c r="N1793" s="34">
        <f t="shared" ca="1" si="359"/>
        <v>126.46377638888953</v>
      </c>
      <c r="O1793" s="27"/>
      <c r="P1793" s="39"/>
      <c r="Q1793" s="39"/>
      <c r="R1793" s="39"/>
      <c r="S1793" s="37">
        <f t="shared" si="360"/>
        <v>0</v>
      </c>
      <c r="T1793" s="37">
        <f t="shared" si="361"/>
        <v>171952</v>
      </c>
      <c r="U1793" s="10"/>
      <c r="V1793" s="10"/>
      <c r="W1793" s="10"/>
      <c r="X1793" s="10"/>
      <c r="Y1793" s="10"/>
      <c r="Z1793" s="10"/>
      <c r="AA1793" s="10"/>
      <c r="AB1793" s="10"/>
      <c r="AC1793" s="10"/>
      <c r="AD1793" s="10"/>
      <c r="AE1793" s="10"/>
    </row>
    <row r="1794" spans="1:31" ht="14.25" customHeight="1">
      <c r="A1794" s="277" t="s">
        <v>7728</v>
      </c>
      <c r="B1794" s="9" t="s">
        <v>21</v>
      </c>
      <c r="C1794" s="9">
        <v>2026</v>
      </c>
      <c r="D1794" s="9" t="s">
        <v>77</v>
      </c>
      <c r="E1794" s="90" t="s">
        <v>23</v>
      </c>
      <c r="F1794" s="9" t="s">
        <v>7</v>
      </c>
      <c r="G1794" s="10"/>
      <c r="H1794" s="9">
        <v>260247</v>
      </c>
      <c r="I1794" s="11" t="s">
        <v>862</v>
      </c>
      <c r="J1794" s="12">
        <v>46140</v>
      </c>
      <c r="K1794" s="12">
        <v>46154</v>
      </c>
      <c r="L1794" s="27">
        <v>8936727</v>
      </c>
      <c r="M1794" s="10" t="s">
        <v>7033</v>
      </c>
      <c r="N1794" s="34">
        <f t="shared" ca="1" si="359"/>
        <v>100.46377638888953</v>
      </c>
      <c r="O1794" s="27"/>
      <c r="P1794" s="39"/>
      <c r="Q1794" s="39"/>
      <c r="R1794" s="39"/>
      <c r="S1794" s="37">
        <f t="shared" si="360"/>
        <v>0</v>
      </c>
      <c r="T1794" s="37">
        <f t="shared" si="361"/>
        <v>8936727</v>
      </c>
      <c r="U1794" s="10"/>
      <c r="V1794" s="10"/>
      <c r="W1794" s="10"/>
      <c r="X1794" s="10"/>
      <c r="Y1794" s="10"/>
      <c r="Z1794" s="10"/>
      <c r="AA1794" s="10"/>
      <c r="AB1794" s="10"/>
      <c r="AC1794" s="10"/>
      <c r="AD1794" s="10"/>
      <c r="AE1794" s="10"/>
    </row>
    <row r="1795" spans="1:31" ht="14.25" customHeight="1">
      <c r="A1795" s="277" t="s">
        <v>7729</v>
      </c>
      <c r="B1795" s="9" t="s">
        <v>21</v>
      </c>
      <c r="C1795" s="9">
        <v>2026</v>
      </c>
      <c r="D1795" s="9" t="s">
        <v>77</v>
      </c>
      <c r="E1795" s="90" t="s">
        <v>23</v>
      </c>
      <c r="F1795" s="9" t="s">
        <v>7</v>
      </c>
      <c r="G1795" s="10"/>
      <c r="H1795" s="9">
        <v>260240</v>
      </c>
      <c r="I1795" s="11" t="s">
        <v>862</v>
      </c>
      <c r="J1795" s="12">
        <v>46154</v>
      </c>
      <c r="K1795" s="12">
        <v>46154</v>
      </c>
      <c r="L1795" s="27">
        <v>499500</v>
      </c>
      <c r="M1795" s="10" t="s">
        <v>7034</v>
      </c>
      <c r="N1795" s="34">
        <f t="shared" ca="1" si="359"/>
        <v>86.463776388889528</v>
      </c>
      <c r="O1795" s="27"/>
      <c r="P1795" s="39"/>
      <c r="Q1795" s="39"/>
      <c r="R1795" s="39"/>
      <c r="S1795" s="37">
        <f t="shared" si="360"/>
        <v>0</v>
      </c>
      <c r="T1795" s="37">
        <f t="shared" si="361"/>
        <v>499500</v>
      </c>
      <c r="U1795" s="10"/>
      <c r="V1795" s="10"/>
      <c r="W1795" s="10"/>
      <c r="X1795" s="10"/>
      <c r="Y1795" s="10"/>
      <c r="Z1795" s="10"/>
      <c r="AA1795" s="10"/>
      <c r="AB1795" s="10"/>
      <c r="AC1795" s="10"/>
      <c r="AD1795" s="10"/>
      <c r="AE1795" s="10"/>
    </row>
    <row r="1796" spans="1:31" ht="14.25" customHeight="1">
      <c r="A1796" s="277" t="s">
        <v>7730</v>
      </c>
      <c r="B1796" s="9" t="s">
        <v>21</v>
      </c>
      <c r="C1796" s="9">
        <v>2026</v>
      </c>
      <c r="D1796" s="9" t="s">
        <v>77</v>
      </c>
      <c r="E1796" s="90" t="s">
        <v>23</v>
      </c>
      <c r="F1796" s="9" t="s">
        <v>7</v>
      </c>
      <c r="G1796" s="10"/>
      <c r="H1796" s="9">
        <v>260325</v>
      </c>
      <c r="I1796" s="11" t="s">
        <v>862</v>
      </c>
      <c r="J1796" s="12">
        <v>46178</v>
      </c>
      <c r="K1796" s="12">
        <v>46210</v>
      </c>
      <c r="L1796" s="27">
        <v>1530458</v>
      </c>
      <c r="M1796" s="10" t="s">
        <v>7330</v>
      </c>
      <c r="N1796" s="34">
        <f t="shared" ca="1" si="359"/>
        <v>62.463776388889528</v>
      </c>
      <c r="O1796" s="27"/>
      <c r="P1796" s="39"/>
      <c r="Q1796" s="39"/>
      <c r="R1796" s="39"/>
      <c r="S1796" s="37">
        <f t="shared" ref="S1796:S1801" si="362">IF(R1796="",0,L1796)</f>
        <v>0</v>
      </c>
      <c r="T1796" s="37">
        <f t="shared" ref="T1796:T1801" si="363">L1796-S1796</f>
        <v>1530458</v>
      </c>
      <c r="U1796" s="10"/>
      <c r="V1796" s="10"/>
      <c r="W1796" s="10"/>
      <c r="X1796" s="10"/>
      <c r="Y1796" s="10"/>
      <c r="Z1796" s="10"/>
      <c r="AA1796" s="10"/>
      <c r="AB1796" s="10"/>
      <c r="AC1796" s="10"/>
      <c r="AD1796" s="10"/>
      <c r="AE1796" s="10"/>
    </row>
    <row r="1797" spans="1:31" ht="14.25" customHeight="1">
      <c r="A1797" s="277" t="s">
        <v>7731</v>
      </c>
      <c r="B1797" s="9" t="s">
        <v>21</v>
      </c>
      <c r="C1797" s="9">
        <v>2026</v>
      </c>
      <c r="D1797" s="9" t="s">
        <v>77</v>
      </c>
      <c r="E1797" s="90" t="s">
        <v>23</v>
      </c>
      <c r="F1797" s="9" t="s">
        <v>7</v>
      </c>
      <c r="G1797" s="10"/>
      <c r="H1797" s="9">
        <v>260348</v>
      </c>
      <c r="I1797" s="11" t="s">
        <v>862</v>
      </c>
      <c r="J1797" s="12">
        <v>46183</v>
      </c>
      <c r="K1797" s="12">
        <v>46210</v>
      </c>
      <c r="L1797" s="27">
        <v>3663000</v>
      </c>
      <c r="M1797" s="10" t="s">
        <v>7331</v>
      </c>
      <c r="N1797" s="34">
        <f t="shared" ca="1" si="359"/>
        <v>57.463776388889528</v>
      </c>
      <c r="O1797" s="27"/>
      <c r="P1797" s="39"/>
      <c r="Q1797" s="39"/>
      <c r="R1797" s="39"/>
      <c r="S1797" s="37">
        <f t="shared" si="362"/>
        <v>0</v>
      </c>
      <c r="T1797" s="37">
        <f t="shared" si="363"/>
        <v>3663000</v>
      </c>
      <c r="U1797" s="10"/>
      <c r="V1797" s="10"/>
      <c r="W1797" s="10"/>
      <c r="X1797" s="10"/>
      <c r="Y1797" s="10"/>
      <c r="Z1797" s="10"/>
      <c r="AA1797" s="10"/>
      <c r="AB1797" s="10"/>
      <c r="AC1797" s="10"/>
      <c r="AD1797" s="10"/>
      <c r="AE1797" s="10"/>
    </row>
    <row r="1798" spans="1:31" ht="14.25" customHeight="1">
      <c r="A1798" s="277" t="s">
        <v>7732</v>
      </c>
      <c r="B1798" s="9" t="s">
        <v>21</v>
      </c>
      <c r="C1798" s="9">
        <v>2026</v>
      </c>
      <c r="D1798" s="9" t="s">
        <v>77</v>
      </c>
      <c r="E1798" s="90" t="s">
        <v>23</v>
      </c>
      <c r="F1798" s="9" t="s">
        <v>7</v>
      </c>
      <c r="G1798" s="10"/>
      <c r="H1798" s="9">
        <v>260366</v>
      </c>
      <c r="I1798" s="11" t="s">
        <v>862</v>
      </c>
      <c r="J1798" s="12">
        <v>46188</v>
      </c>
      <c r="K1798" s="12">
        <v>46210</v>
      </c>
      <c r="L1798" s="27">
        <v>7300575</v>
      </c>
      <c r="M1798" s="10" t="s">
        <v>7332</v>
      </c>
      <c r="N1798" s="34">
        <f t="shared" ca="1" si="359"/>
        <v>52.463776388889528</v>
      </c>
      <c r="O1798" s="27"/>
      <c r="P1798" s="39"/>
      <c r="Q1798" s="39"/>
      <c r="R1798" s="39"/>
      <c r="S1798" s="37">
        <f t="shared" si="362"/>
        <v>0</v>
      </c>
      <c r="T1798" s="37">
        <f t="shared" si="363"/>
        <v>7300575</v>
      </c>
      <c r="U1798" s="10"/>
      <c r="V1798" s="10"/>
      <c r="W1798" s="10"/>
      <c r="X1798" s="10"/>
      <c r="Y1798" s="10"/>
      <c r="Z1798" s="10"/>
      <c r="AA1798" s="10"/>
      <c r="AB1798" s="10"/>
      <c r="AC1798" s="10"/>
      <c r="AD1798" s="10"/>
      <c r="AE1798" s="10"/>
    </row>
    <row r="1799" spans="1:31" ht="14.25" customHeight="1">
      <c r="A1799" s="277" t="s">
        <v>7733</v>
      </c>
      <c r="B1799" s="9" t="s">
        <v>21</v>
      </c>
      <c r="C1799" s="9">
        <v>2026</v>
      </c>
      <c r="D1799" s="9" t="s">
        <v>77</v>
      </c>
      <c r="E1799" s="90" t="s">
        <v>23</v>
      </c>
      <c r="F1799" s="9" t="s">
        <v>7</v>
      </c>
      <c r="G1799" s="10"/>
      <c r="H1799" s="9">
        <v>260349</v>
      </c>
      <c r="I1799" s="11" t="s">
        <v>862</v>
      </c>
      <c r="J1799" s="12">
        <v>46183</v>
      </c>
      <c r="K1799" s="12">
        <v>46210</v>
      </c>
      <c r="L1799" s="27">
        <v>549561</v>
      </c>
      <c r="M1799" s="10" t="s">
        <v>7333</v>
      </c>
      <c r="N1799" s="34">
        <f t="shared" ca="1" si="359"/>
        <v>57.463776388889528</v>
      </c>
      <c r="O1799" s="27"/>
      <c r="P1799" s="39"/>
      <c r="Q1799" s="39"/>
      <c r="R1799" s="39"/>
      <c r="S1799" s="37">
        <f t="shared" si="362"/>
        <v>0</v>
      </c>
      <c r="T1799" s="37">
        <f t="shared" si="363"/>
        <v>549561</v>
      </c>
      <c r="U1799" s="10"/>
      <c r="V1799" s="10"/>
      <c r="W1799" s="10"/>
      <c r="X1799" s="10"/>
      <c r="Y1799" s="10"/>
      <c r="Z1799" s="10"/>
      <c r="AA1799" s="10"/>
      <c r="AB1799" s="10"/>
      <c r="AC1799" s="10"/>
      <c r="AD1799" s="10"/>
      <c r="AE1799" s="10"/>
    </row>
    <row r="1800" spans="1:31" ht="14.25" customHeight="1">
      <c r="A1800" s="277" t="s">
        <v>7734</v>
      </c>
      <c r="B1800" s="9" t="s">
        <v>21</v>
      </c>
      <c r="C1800" s="9">
        <v>2026</v>
      </c>
      <c r="D1800" s="9" t="s">
        <v>77</v>
      </c>
      <c r="E1800" s="90" t="s">
        <v>23</v>
      </c>
      <c r="F1800" s="9" t="s">
        <v>7</v>
      </c>
      <c r="G1800" s="10"/>
      <c r="H1800" s="9">
        <v>260365</v>
      </c>
      <c r="I1800" s="11" t="s">
        <v>862</v>
      </c>
      <c r="J1800" s="12">
        <v>46188</v>
      </c>
      <c r="K1800" s="12">
        <v>46210</v>
      </c>
      <c r="L1800" s="27">
        <v>1285732</v>
      </c>
      <c r="M1800" s="10" t="s">
        <v>7334</v>
      </c>
      <c r="N1800" s="34">
        <f t="shared" ca="1" si="359"/>
        <v>52.463776388889528</v>
      </c>
      <c r="O1800" s="27"/>
      <c r="P1800" s="39"/>
      <c r="Q1800" s="39"/>
      <c r="R1800" s="39"/>
      <c r="S1800" s="37">
        <f t="shared" si="362"/>
        <v>0</v>
      </c>
      <c r="T1800" s="37">
        <f t="shared" si="363"/>
        <v>1285732</v>
      </c>
      <c r="U1800" s="10"/>
      <c r="V1800" s="10"/>
      <c r="W1800" s="10"/>
      <c r="X1800" s="10"/>
      <c r="Y1800" s="10"/>
      <c r="Z1800" s="10"/>
      <c r="AA1800" s="10"/>
      <c r="AB1800" s="10"/>
      <c r="AC1800" s="10"/>
      <c r="AD1800" s="10"/>
      <c r="AE1800" s="10"/>
    </row>
    <row r="1801" spans="1:31" ht="14.25" customHeight="1">
      <c r="A1801" s="277" t="s">
        <v>7735</v>
      </c>
      <c r="B1801" s="9" t="s">
        <v>21</v>
      </c>
      <c r="C1801" s="9"/>
      <c r="D1801" s="9"/>
      <c r="E1801" s="90"/>
      <c r="F1801" s="9"/>
      <c r="G1801" s="10"/>
      <c r="H1801" s="9"/>
      <c r="I1801" s="11"/>
      <c r="J1801" s="12"/>
      <c r="K1801" s="12"/>
      <c r="L1801" s="27"/>
      <c r="M1801" s="10"/>
      <c r="N1801" s="151">
        <f t="shared" ref="N1801" ca="1" si="364">$J$3-J1801</f>
        <v>46240.46377638889</v>
      </c>
      <c r="O1801" s="27"/>
      <c r="P1801" s="39"/>
      <c r="Q1801" s="39"/>
      <c r="R1801" s="39"/>
      <c r="S1801" s="37">
        <f t="shared" si="362"/>
        <v>0</v>
      </c>
      <c r="T1801" s="37">
        <f t="shared" si="363"/>
        <v>0</v>
      </c>
      <c r="U1801" s="10"/>
      <c r="V1801" s="10"/>
      <c r="W1801" s="10"/>
      <c r="X1801" s="10"/>
      <c r="Y1801" s="10"/>
      <c r="Z1801" s="10"/>
      <c r="AA1801" s="10"/>
      <c r="AB1801" s="10"/>
      <c r="AC1801" s="10"/>
      <c r="AD1801" s="10"/>
      <c r="AE1801" s="10"/>
    </row>
    <row r="1802" spans="1:31" ht="14.25" customHeight="1">
      <c r="A1802" s="277" t="s">
        <v>6002</v>
      </c>
      <c r="B1802" s="9"/>
      <c r="C1802" s="9"/>
      <c r="D1802" s="9"/>
      <c r="E1802" s="90"/>
      <c r="F1802" s="9"/>
      <c r="G1802" s="10"/>
      <c r="H1802" s="9"/>
      <c r="I1802" s="11"/>
      <c r="J1802" s="12"/>
      <c r="K1802" s="12"/>
      <c r="L1802" s="27"/>
      <c r="M1802" s="10"/>
      <c r="N1802" s="34"/>
      <c r="O1802" s="27"/>
      <c r="P1802" s="39"/>
      <c r="Q1802" s="39"/>
      <c r="R1802" s="39"/>
      <c r="S1802" s="37"/>
      <c r="T1802" s="37"/>
      <c r="U1802" s="10"/>
      <c r="V1802" s="10"/>
      <c r="W1802" s="10"/>
      <c r="X1802" s="10"/>
      <c r="Y1802" s="10"/>
      <c r="Z1802" s="10"/>
      <c r="AA1802" s="10"/>
      <c r="AB1802" s="10"/>
      <c r="AC1802" s="10"/>
      <c r="AD1802" s="10"/>
      <c r="AE1802" s="10"/>
    </row>
    <row r="1803" spans="1:31" ht="14.25" customHeight="1">
      <c r="A1803" s="277" t="s">
        <v>6003</v>
      </c>
      <c r="B1803" s="9" t="s">
        <v>21</v>
      </c>
      <c r="C1803" s="9"/>
      <c r="D1803" s="9"/>
      <c r="E1803" s="90"/>
      <c r="F1803" s="9"/>
      <c r="G1803" s="94" t="s">
        <v>24</v>
      </c>
      <c r="H1803" s="95" t="s">
        <v>924</v>
      </c>
      <c r="I1803" s="104"/>
      <c r="J1803" s="105"/>
      <c r="K1803" s="105"/>
      <c r="L1803" s="106">
        <f>SUM(L1804:L1824)</f>
        <v>62208672</v>
      </c>
      <c r="M1803" s="107"/>
      <c r="N1803" s="108" t="s">
        <v>26</v>
      </c>
      <c r="O1803" s="108"/>
      <c r="P1803" s="108"/>
      <c r="Q1803" s="108"/>
      <c r="R1803" s="108"/>
      <c r="S1803" s="106">
        <f>SUM(S1804:S1824)</f>
        <v>44772311</v>
      </c>
      <c r="T1803" s="106">
        <f>SUM(T1804:T1824)</f>
        <v>17436361</v>
      </c>
      <c r="U1803" s="10"/>
      <c r="V1803" s="52">
        <f>L1803-S1803</f>
        <v>17436361</v>
      </c>
      <c r="W1803" s="52">
        <f>T1803-V1803</f>
        <v>0</v>
      </c>
      <c r="X1803" s="10"/>
      <c r="Y1803" s="10"/>
      <c r="Z1803" s="10"/>
      <c r="AA1803" s="10"/>
      <c r="AB1803" s="10"/>
      <c r="AC1803" s="10"/>
      <c r="AD1803" s="10"/>
      <c r="AE1803" s="10"/>
    </row>
    <row r="1804" spans="1:31" ht="14.25" hidden="1" customHeight="1">
      <c r="A1804" s="277" t="s">
        <v>6004</v>
      </c>
      <c r="B1804" s="9" t="s">
        <v>21</v>
      </c>
      <c r="C1804" s="9">
        <v>2025</v>
      </c>
      <c r="D1804" s="9" t="s">
        <v>27</v>
      </c>
      <c r="E1804" s="90" t="s">
        <v>23</v>
      </c>
      <c r="F1804" s="9" t="s">
        <v>7</v>
      </c>
      <c r="G1804" s="10"/>
      <c r="H1804" s="96">
        <v>250032</v>
      </c>
      <c r="I1804" s="109" t="s">
        <v>924</v>
      </c>
      <c r="J1804" s="115">
        <v>45665</v>
      </c>
      <c r="K1804" s="115">
        <v>45680</v>
      </c>
      <c r="L1804" s="116">
        <v>1783972</v>
      </c>
      <c r="M1804" s="117" t="s">
        <v>925</v>
      </c>
      <c r="N1804" s="34" t="s">
        <v>29</v>
      </c>
      <c r="O1804" s="27"/>
      <c r="P1804" s="113">
        <v>45770</v>
      </c>
      <c r="Q1804" s="113">
        <v>45770</v>
      </c>
      <c r="R1804" s="113">
        <v>45770</v>
      </c>
      <c r="S1804" s="37">
        <f t="shared" ref="S1804:S1811" si="365">IF(R1804="",0,L1804)</f>
        <v>1783972</v>
      </c>
      <c r="T1804" s="37">
        <f t="shared" ref="T1804:T1811" si="366">L1804-S1804</f>
        <v>0</v>
      </c>
      <c r="U1804" s="10"/>
      <c r="V1804" s="10"/>
      <c r="W1804" s="10"/>
      <c r="X1804" s="10"/>
      <c r="Y1804" s="10"/>
      <c r="Z1804" s="10"/>
      <c r="AA1804" s="10"/>
      <c r="AB1804" s="10"/>
      <c r="AC1804" s="10"/>
      <c r="AD1804" s="10"/>
      <c r="AE1804" s="10"/>
    </row>
    <row r="1805" spans="1:31" ht="14.25" hidden="1" customHeight="1">
      <c r="A1805" s="277" t="s">
        <v>6005</v>
      </c>
      <c r="B1805" s="9" t="s">
        <v>21</v>
      </c>
      <c r="C1805" s="9">
        <v>2025</v>
      </c>
      <c r="D1805" s="9" t="s">
        <v>27</v>
      </c>
      <c r="E1805" s="90" t="s">
        <v>23</v>
      </c>
      <c r="F1805" s="9" t="s">
        <v>7</v>
      </c>
      <c r="G1805" s="10"/>
      <c r="H1805" s="96">
        <v>250053</v>
      </c>
      <c r="I1805" s="109" t="s">
        <v>924</v>
      </c>
      <c r="J1805" s="115">
        <v>45671</v>
      </c>
      <c r="K1805" s="115">
        <v>45687</v>
      </c>
      <c r="L1805" s="116">
        <v>3245162</v>
      </c>
      <c r="M1805" s="117" t="s">
        <v>926</v>
      </c>
      <c r="N1805" s="34" t="s">
        <v>29</v>
      </c>
      <c r="O1805" s="27"/>
      <c r="P1805" s="113">
        <v>45770</v>
      </c>
      <c r="Q1805" s="113">
        <v>45770</v>
      </c>
      <c r="R1805" s="113">
        <v>45770</v>
      </c>
      <c r="S1805" s="37">
        <f t="shared" si="365"/>
        <v>3245162</v>
      </c>
      <c r="T1805" s="37">
        <f t="shared" si="366"/>
        <v>0</v>
      </c>
      <c r="U1805" s="10"/>
      <c r="V1805" s="10"/>
      <c r="W1805" s="10"/>
      <c r="X1805" s="10"/>
      <c r="Y1805" s="10"/>
      <c r="Z1805" s="10"/>
      <c r="AA1805" s="10"/>
      <c r="AB1805" s="10"/>
      <c r="AC1805" s="10"/>
      <c r="AD1805" s="10"/>
      <c r="AE1805" s="10"/>
    </row>
    <row r="1806" spans="1:31" ht="14.25" hidden="1" customHeight="1">
      <c r="A1806" s="277" t="s">
        <v>7736</v>
      </c>
      <c r="B1806" s="9" t="s">
        <v>21</v>
      </c>
      <c r="C1806" s="9">
        <v>2025</v>
      </c>
      <c r="D1806" s="9" t="s">
        <v>27</v>
      </c>
      <c r="E1806" s="90" t="s">
        <v>23</v>
      </c>
      <c r="F1806" s="9" t="s">
        <v>7</v>
      </c>
      <c r="G1806" s="10"/>
      <c r="H1806" s="96">
        <v>250054</v>
      </c>
      <c r="I1806" s="109" t="s">
        <v>924</v>
      </c>
      <c r="J1806" s="115">
        <v>45671</v>
      </c>
      <c r="K1806" s="115">
        <v>45687</v>
      </c>
      <c r="L1806" s="116">
        <v>5700942</v>
      </c>
      <c r="M1806" s="117" t="s">
        <v>927</v>
      </c>
      <c r="N1806" s="34" t="s">
        <v>29</v>
      </c>
      <c r="O1806" s="27"/>
      <c r="P1806" s="113">
        <v>45770</v>
      </c>
      <c r="Q1806" s="113">
        <v>45770</v>
      </c>
      <c r="R1806" s="113">
        <v>45770</v>
      </c>
      <c r="S1806" s="37">
        <f t="shared" si="365"/>
        <v>5700942</v>
      </c>
      <c r="T1806" s="37">
        <f t="shared" si="366"/>
        <v>0</v>
      </c>
      <c r="U1806" s="10"/>
      <c r="V1806" s="10"/>
      <c r="W1806" s="10"/>
      <c r="X1806" s="10"/>
      <c r="Y1806" s="10"/>
      <c r="Z1806" s="10"/>
      <c r="AA1806" s="10"/>
      <c r="AB1806" s="10"/>
      <c r="AC1806" s="10"/>
      <c r="AD1806" s="10"/>
      <c r="AE1806" s="10"/>
    </row>
    <row r="1807" spans="1:31" ht="14.25" hidden="1" customHeight="1">
      <c r="A1807" s="277" t="s">
        <v>6006</v>
      </c>
      <c r="B1807" s="9" t="s">
        <v>21</v>
      </c>
      <c r="C1807" s="9">
        <v>2025</v>
      </c>
      <c r="D1807" s="9" t="s">
        <v>27</v>
      </c>
      <c r="E1807" s="90" t="s">
        <v>23</v>
      </c>
      <c r="F1807" s="9" t="s">
        <v>7</v>
      </c>
      <c r="G1807" s="10"/>
      <c r="H1807" s="96">
        <v>250499</v>
      </c>
      <c r="I1807" s="109" t="s">
        <v>924</v>
      </c>
      <c r="J1807" s="115">
        <v>45777</v>
      </c>
      <c r="K1807" s="115">
        <v>45799</v>
      </c>
      <c r="L1807" s="116">
        <v>1360205</v>
      </c>
      <c r="M1807" s="117" t="s">
        <v>928</v>
      </c>
      <c r="N1807" s="34" t="s">
        <v>29</v>
      </c>
      <c r="O1807" s="27">
        <f>SUM(L1807:L1809)</f>
        <v>3912483</v>
      </c>
      <c r="P1807" s="113">
        <v>45864</v>
      </c>
      <c r="Q1807" s="113">
        <v>45864</v>
      </c>
      <c r="R1807" s="113">
        <v>45864</v>
      </c>
      <c r="S1807" s="37">
        <f t="shared" si="365"/>
        <v>1360205</v>
      </c>
      <c r="T1807" s="37">
        <f t="shared" si="366"/>
        <v>0</v>
      </c>
      <c r="U1807" s="10"/>
      <c r="V1807" s="10"/>
      <c r="W1807" s="10"/>
      <c r="X1807" s="10"/>
      <c r="Y1807" s="10"/>
      <c r="Z1807" s="10"/>
      <c r="AA1807" s="10"/>
      <c r="AB1807" s="10"/>
      <c r="AC1807" s="10"/>
      <c r="AD1807" s="10"/>
      <c r="AE1807" s="10"/>
    </row>
    <row r="1808" spans="1:31" ht="14.25" hidden="1" customHeight="1">
      <c r="A1808" s="277" t="s">
        <v>6007</v>
      </c>
      <c r="B1808" s="9" t="s">
        <v>21</v>
      </c>
      <c r="C1808" s="9">
        <v>2025</v>
      </c>
      <c r="D1808" s="9" t="s">
        <v>27</v>
      </c>
      <c r="E1808" s="90" t="s">
        <v>23</v>
      </c>
      <c r="F1808" s="9" t="s">
        <v>7</v>
      </c>
      <c r="G1808" s="10"/>
      <c r="H1808" s="96">
        <v>250498</v>
      </c>
      <c r="I1808" s="109" t="s">
        <v>924</v>
      </c>
      <c r="J1808" s="115">
        <v>45777</v>
      </c>
      <c r="K1808" s="115">
        <v>45799</v>
      </c>
      <c r="L1808" s="116">
        <v>1783972</v>
      </c>
      <c r="M1808" s="117" t="s">
        <v>929</v>
      </c>
      <c r="N1808" s="34" t="s">
        <v>29</v>
      </c>
      <c r="O1808" s="27"/>
      <c r="P1808" s="113">
        <v>45864</v>
      </c>
      <c r="Q1808" s="113">
        <v>45864</v>
      </c>
      <c r="R1808" s="113">
        <v>45864</v>
      </c>
      <c r="S1808" s="37">
        <f t="shared" si="365"/>
        <v>1783972</v>
      </c>
      <c r="T1808" s="37">
        <f t="shared" si="366"/>
        <v>0</v>
      </c>
      <c r="U1808" s="10"/>
      <c r="V1808" s="10"/>
      <c r="W1808" s="10"/>
      <c r="X1808" s="10"/>
      <c r="Y1808" s="10"/>
      <c r="Z1808" s="10"/>
      <c r="AA1808" s="10"/>
      <c r="AB1808" s="10"/>
      <c r="AC1808" s="10"/>
      <c r="AD1808" s="10"/>
      <c r="AE1808" s="10"/>
    </row>
    <row r="1809" spans="1:31" ht="14.25" hidden="1" customHeight="1">
      <c r="A1809" s="277" t="s">
        <v>6008</v>
      </c>
      <c r="B1809" s="9" t="s">
        <v>21</v>
      </c>
      <c r="C1809" s="9">
        <v>2025</v>
      </c>
      <c r="D1809" s="9" t="s">
        <v>27</v>
      </c>
      <c r="E1809" s="90" t="s">
        <v>23</v>
      </c>
      <c r="F1809" s="9" t="s">
        <v>7</v>
      </c>
      <c r="G1809" s="10"/>
      <c r="H1809" s="96">
        <v>250582</v>
      </c>
      <c r="I1809" s="109" t="s">
        <v>924</v>
      </c>
      <c r="J1809" s="115">
        <v>45808</v>
      </c>
      <c r="K1809" s="115">
        <v>45827</v>
      </c>
      <c r="L1809" s="116">
        <v>768306</v>
      </c>
      <c r="M1809" s="117" t="s">
        <v>930</v>
      </c>
      <c r="N1809" s="34" t="s">
        <v>29</v>
      </c>
      <c r="O1809" s="27"/>
      <c r="P1809" s="113">
        <v>45864</v>
      </c>
      <c r="Q1809" s="113">
        <v>45864</v>
      </c>
      <c r="R1809" s="113">
        <v>45864</v>
      </c>
      <c r="S1809" s="37">
        <f t="shared" si="365"/>
        <v>768306</v>
      </c>
      <c r="T1809" s="37">
        <f t="shared" si="366"/>
        <v>0</v>
      </c>
      <c r="U1809" s="10"/>
      <c r="V1809" s="10"/>
      <c r="W1809" s="10"/>
      <c r="X1809" s="10"/>
      <c r="Y1809" s="10"/>
      <c r="Z1809" s="10"/>
      <c r="AA1809" s="10"/>
      <c r="AB1809" s="10"/>
      <c r="AC1809" s="10"/>
      <c r="AD1809" s="10"/>
      <c r="AE1809" s="10"/>
    </row>
    <row r="1810" spans="1:31" ht="14.25" hidden="1" customHeight="1">
      <c r="A1810" s="277" t="s">
        <v>6009</v>
      </c>
      <c r="B1810" s="9" t="s">
        <v>21</v>
      </c>
      <c r="C1810" s="9">
        <v>2025</v>
      </c>
      <c r="D1810" s="9" t="s">
        <v>27</v>
      </c>
      <c r="E1810" s="90" t="s">
        <v>23</v>
      </c>
      <c r="F1810" s="9" t="s">
        <v>7</v>
      </c>
      <c r="G1810" s="10"/>
      <c r="H1810" s="96">
        <v>250676</v>
      </c>
      <c r="I1810" s="109" t="s">
        <v>924</v>
      </c>
      <c r="J1810" s="115">
        <v>45846</v>
      </c>
      <c r="K1810" s="115">
        <v>45862</v>
      </c>
      <c r="L1810" s="116">
        <v>5159164</v>
      </c>
      <c r="M1810" s="117" t="s">
        <v>931</v>
      </c>
      <c r="N1810" s="34" t="s">
        <v>29</v>
      </c>
      <c r="O1810" s="27">
        <f>SUM(L1810:L1815)</f>
        <v>18281646</v>
      </c>
      <c r="P1810" s="113">
        <v>45952</v>
      </c>
      <c r="Q1810" s="113">
        <v>45952</v>
      </c>
      <c r="R1810" s="113">
        <v>45952</v>
      </c>
      <c r="S1810" s="37">
        <f t="shared" si="365"/>
        <v>5159164</v>
      </c>
      <c r="T1810" s="37">
        <f t="shared" si="366"/>
        <v>0</v>
      </c>
      <c r="U1810" s="10"/>
      <c r="V1810" s="10"/>
      <c r="W1810" s="10"/>
      <c r="X1810" s="10"/>
      <c r="Y1810" s="10"/>
      <c r="Z1810" s="10"/>
      <c r="AA1810" s="10"/>
      <c r="AB1810" s="10"/>
      <c r="AC1810" s="10"/>
      <c r="AD1810" s="10"/>
      <c r="AE1810" s="10"/>
    </row>
    <row r="1811" spans="1:31" ht="14.25" hidden="1" customHeight="1">
      <c r="A1811" s="277" t="s">
        <v>7737</v>
      </c>
      <c r="B1811" s="9" t="s">
        <v>21</v>
      </c>
      <c r="C1811" s="9">
        <v>2025</v>
      </c>
      <c r="D1811" s="9" t="s">
        <v>27</v>
      </c>
      <c r="E1811" s="90" t="s">
        <v>23</v>
      </c>
      <c r="F1811" s="9" t="s">
        <v>7</v>
      </c>
      <c r="G1811" s="10"/>
      <c r="H1811" s="96">
        <v>250793</v>
      </c>
      <c r="I1811" s="109" t="s">
        <v>924</v>
      </c>
      <c r="J1811" s="115">
        <v>45876</v>
      </c>
      <c r="K1811" s="115">
        <v>45899</v>
      </c>
      <c r="L1811" s="116">
        <v>9833114</v>
      </c>
      <c r="M1811" s="117" t="s">
        <v>932</v>
      </c>
      <c r="N1811" s="34" t="s">
        <v>29</v>
      </c>
      <c r="O1811" s="27"/>
      <c r="P1811" s="113">
        <v>45952</v>
      </c>
      <c r="Q1811" s="113">
        <v>45952</v>
      </c>
      <c r="R1811" s="113">
        <v>45952</v>
      </c>
      <c r="S1811" s="37">
        <f t="shared" si="365"/>
        <v>9833114</v>
      </c>
      <c r="T1811" s="37">
        <f t="shared" si="366"/>
        <v>0</v>
      </c>
      <c r="U1811" s="10"/>
      <c r="V1811" s="10"/>
      <c r="W1811" s="10"/>
      <c r="X1811" s="10"/>
      <c r="Y1811" s="10"/>
      <c r="Z1811" s="10"/>
      <c r="AA1811" s="10"/>
      <c r="AB1811" s="10"/>
      <c r="AC1811" s="10"/>
      <c r="AD1811" s="10"/>
      <c r="AE1811" s="10"/>
    </row>
    <row r="1812" spans="1:31" ht="14.25" hidden="1" customHeight="1">
      <c r="A1812" s="277" t="s">
        <v>7738</v>
      </c>
      <c r="B1812" s="9" t="s">
        <v>21</v>
      </c>
      <c r="C1812" s="9">
        <v>2025</v>
      </c>
      <c r="D1812" s="9" t="s">
        <v>27</v>
      </c>
      <c r="E1812" s="90" t="s">
        <v>23</v>
      </c>
      <c r="F1812" s="9" t="s">
        <v>7</v>
      </c>
      <c r="G1812" s="10"/>
      <c r="H1812" s="96">
        <v>250812</v>
      </c>
      <c r="I1812" s="109" t="s">
        <v>924</v>
      </c>
      <c r="J1812" s="115">
        <v>45882</v>
      </c>
      <c r="K1812" s="115">
        <v>45904</v>
      </c>
      <c r="L1812" s="116">
        <v>169290</v>
      </c>
      <c r="M1812" s="117" t="s">
        <v>933</v>
      </c>
      <c r="N1812" s="34" t="s">
        <v>29</v>
      </c>
      <c r="O1812" s="27"/>
      <c r="P1812" s="113">
        <v>45952</v>
      </c>
      <c r="Q1812" s="113">
        <v>45952</v>
      </c>
      <c r="R1812" s="113">
        <v>45952</v>
      </c>
      <c r="S1812" s="37">
        <f t="shared" ref="S1812:S1818" si="367">IF(R1812="",0,L1812)</f>
        <v>169290</v>
      </c>
      <c r="T1812" s="37">
        <f t="shared" ref="T1812:T1818" si="368">L1812-S1812</f>
        <v>0</v>
      </c>
      <c r="U1812" s="10"/>
      <c r="V1812" s="10"/>
      <c r="W1812" s="10"/>
      <c r="X1812" s="10"/>
      <c r="Y1812" s="10"/>
      <c r="Z1812" s="10"/>
      <c r="AA1812" s="10"/>
      <c r="AB1812" s="10"/>
      <c r="AC1812" s="10"/>
      <c r="AD1812" s="10"/>
      <c r="AE1812" s="10"/>
    </row>
    <row r="1813" spans="1:31" ht="14.25" hidden="1" customHeight="1">
      <c r="A1813" s="277" t="s">
        <v>7739</v>
      </c>
      <c r="B1813" s="9" t="s">
        <v>21</v>
      </c>
      <c r="C1813" s="9">
        <v>2025</v>
      </c>
      <c r="D1813" s="9" t="s">
        <v>27</v>
      </c>
      <c r="E1813" s="90" t="s">
        <v>23</v>
      </c>
      <c r="F1813" s="9" t="s">
        <v>7</v>
      </c>
      <c r="G1813" s="10"/>
      <c r="H1813" s="96">
        <v>250815</v>
      </c>
      <c r="I1813" s="109" t="s">
        <v>924</v>
      </c>
      <c r="J1813" s="115">
        <v>45883</v>
      </c>
      <c r="K1813" s="115">
        <v>45904</v>
      </c>
      <c r="L1813" s="116">
        <v>1089000</v>
      </c>
      <c r="M1813" s="117" t="s">
        <v>934</v>
      </c>
      <c r="N1813" s="34" t="s">
        <v>29</v>
      </c>
      <c r="O1813" s="27"/>
      <c r="P1813" s="113">
        <v>45952</v>
      </c>
      <c r="Q1813" s="113">
        <v>45952</v>
      </c>
      <c r="R1813" s="113">
        <v>45952</v>
      </c>
      <c r="S1813" s="37">
        <f t="shared" si="367"/>
        <v>1089000</v>
      </c>
      <c r="T1813" s="37">
        <f t="shared" si="368"/>
        <v>0</v>
      </c>
      <c r="U1813" s="10"/>
      <c r="V1813" s="10"/>
      <c r="W1813" s="10"/>
      <c r="X1813" s="10"/>
      <c r="Y1813" s="10"/>
      <c r="Z1813" s="10"/>
      <c r="AA1813" s="10"/>
      <c r="AB1813" s="10"/>
      <c r="AC1813" s="10"/>
      <c r="AD1813" s="10"/>
      <c r="AE1813" s="10"/>
    </row>
    <row r="1814" spans="1:31" ht="14.25" hidden="1" customHeight="1">
      <c r="A1814" s="277" t="s">
        <v>7740</v>
      </c>
      <c r="B1814" s="9" t="s">
        <v>21</v>
      </c>
      <c r="C1814" s="9">
        <v>2025</v>
      </c>
      <c r="D1814" s="9" t="s">
        <v>27</v>
      </c>
      <c r="E1814" s="90" t="s">
        <v>23</v>
      </c>
      <c r="F1814" s="9" t="s">
        <v>7</v>
      </c>
      <c r="G1814" s="10"/>
      <c r="H1814" s="96">
        <v>250860</v>
      </c>
      <c r="I1814" s="109" t="s">
        <v>924</v>
      </c>
      <c r="J1814" s="115">
        <v>45895</v>
      </c>
      <c r="K1814" s="115">
        <v>45911</v>
      </c>
      <c r="L1814" s="116">
        <v>1783974</v>
      </c>
      <c r="M1814" s="117" t="s">
        <v>935</v>
      </c>
      <c r="N1814" s="34" t="s">
        <v>29</v>
      </c>
      <c r="O1814" s="27"/>
      <c r="P1814" s="113">
        <v>45952</v>
      </c>
      <c r="Q1814" s="113">
        <v>45952</v>
      </c>
      <c r="R1814" s="113">
        <v>45952</v>
      </c>
      <c r="S1814" s="37">
        <f t="shared" si="367"/>
        <v>1783974</v>
      </c>
      <c r="T1814" s="37">
        <f t="shared" si="368"/>
        <v>0</v>
      </c>
      <c r="U1814" s="10"/>
      <c r="V1814" s="10"/>
      <c r="W1814" s="10"/>
      <c r="X1814" s="10"/>
      <c r="Y1814" s="10"/>
      <c r="Z1814" s="10"/>
      <c r="AA1814" s="10"/>
      <c r="AB1814" s="10"/>
      <c r="AC1814" s="10"/>
      <c r="AD1814" s="10"/>
      <c r="AE1814" s="10"/>
    </row>
    <row r="1815" spans="1:31" ht="14.25" hidden="1" customHeight="1">
      <c r="A1815" s="277" t="s">
        <v>7741</v>
      </c>
      <c r="B1815" s="9" t="s">
        <v>21</v>
      </c>
      <c r="C1815" s="9">
        <v>2025</v>
      </c>
      <c r="D1815" s="9" t="s">
        <v>27</v>
      </c>
      <c r="E1815" s="90" t="s">
        <v>23</v>
      </c>
      <c r="F1815" s="9" t="s">
        <v>7</v>
      </c>
      <c r="G1815" s="10"/>
      <c r="H1815" s="96">
        <v>250951</v>
      </c>
      <c r="I1815" s="109" t="s">
        <v>924</v>
      </c>
      <c r="J1815" s="115">
        <v>45919</v>
      </c>
      <c r="K1815" s="115">
        <v>45939</v>
      </c>
      <c r="L1815" s="116">
        <v>247104</v>
      </c>
      <c r="M1815" s="117" t="s">
        <v>3788</v>
      </c>
      <c r="N1815" s="34" t="s">
        <v>29</v>
      </c>
      <c r="O1815" s="27"/>
      <c r="P1815" s="113">
        <v>45952</v>
      </c>
      <c r="Q1815" s="113">
        <v>45952</v>
      </c>
      <c r="R1815" s="113">
        <v>45952</v>
      </c>
      <c r="S1815" s="37">
        <f t="shared" si="367"/>
        <v>247104</v>
      </c>
      <c r="T1815" s="37">
        <f t="shared" si="368"/>
        <v>0</v>
      </c>
      <c r="U1815" s="10"/>
      <c r="V1815" s="10"/>
      <c r="W1815" s="10"/>
      <c r="X1815" s="10"/>
      <c r="Y1815" s="10"/>
      <c r="Z1815" s="10"/>
      <c r="AA1815" s="10"/>
      <c r="AB1815" s="10"/>
      <c r="AC1815" s="10"/>
      <c r="AD1815" s="10"/>
      <c r="AE1815" s="10"/>
    </row>
    <row r="1816" spans="1:31" ht="14.25" hidden="1" customHeight="1">
      <c r="A1816" s="277" t="s">
        <v>7742</v>
      </c>
      <c r="B1816" s="9" t="s">
        <v>21</v>
      </c>
      <c r="C1816" s="9">
        <v>2025</v>
      </c>
      <c r="D1816" s="9" t="s">
        <v>27</v>
      </c>
      <c r="E1816" s="90" t="s">
        <v>23</v>
      </c>
      <c r="F1816" s="9" t="s">
        <v>7</v>
      </c>
      <c r="G1816" s="10"/>
      <c r="H1816" s="96">
        <v>251105</v>
      </c>
      <c r="I1816" s="109" t="s">
        <v>924</v>
      </c>
      <c r="J1816" s="115">
        <v>45957</v>
      </c>
      <c r="K1816" s="115">
        <v>45974</v>
      </c>
      <c r="L1816" s="116">
        <v>10235567</v>
      </c>
      <c r="M1816" s="117" t="s">
        <v>3979</v>
      </c>
      <c r="N1816" s="34"/>
      <c r="O1816" s="27">
        <f>SUM(L1816:L1818)</f>
        <v>11848106</v>
      </c>
      <c r="P1816" s="113">
        <v>46072</v>
      </c>
      <c r="Q1816" s="113">
        <v>46072</v>
      </c>
      <c r="R1816" s="113">
        <v>46072</v>
      </c>
      <c r="S1816" s="37">
        <f t="shared" si="367"/>
        <v>10235567</v>
      </c>
      <c r="T1816" s="37">
        <f t="shared" si="368"/>
        <v>0</v>
      </c>
      <c r="U1816" s="10"/>
      <c r="V1816" s="10"/>
      <c r="W1816" s="10"/>
      <c r="X1816" s="10"/>
      <c r="Y1816" s="10"/>
      <c r="Z1816" s="10"/>
      <c r="AA1816" s="10"/>
      <c r="AB1816" s="10"/>
      <c r="AC1816" s="10"/>
      <c r="AD1816" s="10"/>
      <c r="AE1816" s="10"/>
    </row>
    <row r="1817" spans="1:31" ht="14.25" hidden="1" customHeight="1">
      <c r="A1817" s="277" t="s">
        <v>7743</v>
      </c>
      <c r="B1817" s="9" t="s">
        <v>21</v>
      </c>
      <c r="C1817" s="9">
        <v>2025</v>
      </c>
      <c r="D1817" s="9" t="s">
        <v>27</v>
      </c>
      <c r="E1817" s="90" t="s">
        <v>23</v>
      </c>
      <c r="F1817" s="9" t="s">
        <v>7</v>
      </c>
      <c r="G1817" s="10"/>
      <c r="H1817" s="96">
        <v>251106</v>
      </c>
      <c r="I1817" s="109" t="s">
        <v>924</v>
      </c>
      <c r="J1817" s="115">
        <v>45959</v>
      </c>
      <c r="K1817" s="115">
        <v>45974</v>
      </c>
      <c r="L1817" s="116">
        <v>423225</v>
      </c>
      <c r="M1817" s="117" t="s">
        <v>3980</v>
      </c>
      <c r="N1817" s="34"/>
      <c r="O1817" s="27"/>
      <c r="P1817" s="113">
        <v>46072</v>
      </c>
      <c r="Q1817" s="113">
        <v>46072</v>
      </c>
      <c r="R1817" s="113">
        <v>46072</v>
      </c>
      <c r="S1817" s="37">
        <f t="shared" si="367"/>
        <v>423225</v>
      </c>
      <c r="T1817" s="37">
        <f t="shared" si="368"/>
        <v>0</v>
      </c>
      <c r="U1817" s="10"/>
      <c r="V1817" s="10"/>
      <c r="W1817" s="10"/>
      <c r="X1817" s="10"/>
      <c r="Y1817" s="10"/>
      <c r="Z1817" s="10"/>
      <c r="AA1817" s="10"/>
      <c r="AB1817" s="10"/>
      <c r="AC1817" s="10"/>
      <c r="AD1817" s="10"/>
      <c r="AE1817" s="10"/>
    </row>
    <row r="1818" spans="1:31" ht="14.25" customHeight="1">
      <c r="A1818" s="277" t="s">
        <v>7744</v>
      </c>
      <c r="B1818" s="9" t="s">
        <v>21</v>
      </c>
      <c r="C1818" s="9">
        <v>2025</v>
      </c>
      <c r="D1818" s="9" t="s">
        <v>27</v>
      </c>
      <c r="E1818" s="90" t="s">
        <v>23</v>
      </c>
      <c r="F1818" s="9" t="s">
        <v>7</v>
      </c>
      <c r="G1818" s="10"/>
      <c r="H1818" s="96">
        <v>251177</v>
      </c>
      <c r="I1818" s="109" t="s">
        <v>924</v>
      </c>
      <c r="J1818" s="115">
        <v>45961</v>
      </c>
      <c r="K1818" s="115">
        <v>45981</v>
      </c>
      <c r="L1818" s="116">
        <v>1189314</v>
      </c>
      <c r="M1818" s="117" t="s">
        <v>4018</v>
      </c>
      <c r="N1818" s="34"/>
      <c r="O1818" s="27"/>
      <c r="P1818" s="113">
        <v>46072</v>
      </c>
      <c r="Q1818" s="113">
        <v>46072</v>
      </c>
      <c r="R1818" s="113">
        <v>46072</v>
      </c>
      <c r="S1818" s="37">
        <f t="shared" si="367"/>
        <v>1189314</v>
      </c>
      <c r="T1818" s="37">
        <f t="shared" si="368"/>
        <v>0</v>
      </c>
      <c r="U1818" s="10"/>
      <c r="V1818" s="10"/>
      <c r="W1818" s="10"/>
      <c r="X1818" s="10"/>
      <c r="Y1818" s="10"/>
      <c r="Z1818" s="10"/>
      <c r="AA1818" s="10"/>
      <c r="AB1818" s="10"/>
      <c r="AC1818" s="10"/>
      <c r="AD1818" s="10"/>
      <c r="AE1818" s="10"/>
    </row>
    <row r="1819" spans="1:31" ht="14.25" customHeight="1">
      <c r="A1819" s="277" t="s">
        <v>7745</v>
      </c>
      <c r="B1819" s="9" t="s">
        <v>21</v>
      </c>
      <c r="C1819" s="9">
        <v>2026</v>
      </c>
      <c r="D1819" s="9" t="s">
        <v>77</v>
      </c>
      <c r="E1819" s="90" t="s">
        <v>23</v>
      </c>
      <c r="F1819" s="9" t="s">
        <v>7</v>
      </c>
      <c r="G1819" s="10"/>
      <c r="H1819" s="9">
        <v>260128</v>
      </c>
      <c r="I1819" s="11" t="s">
        <v>924</v>
      </c>
      <c r="J1819" s="12">
        <v>46076</v>
      </c>
      <c r="K1819" s="12">
        <v>46086</v>
      </c>
      <c r="L1819" s="27">
        <v>8053082</v>
      </c>
      <c r="M1819" s="10" t="s">
        <v>4434</v>
      </c>
      <c r="N1819" s="34">
        <f ca="1">$J$3-J1819</f>
        <v>164.46377638888953</v>
      </c>
      <c r="O1819" s="27">
        <f>SUM(L1819:L1823)</f>
        <v>17436361</v>
      </c>
      <c r="P1819" s="39"/>
      <c r="Q1819" s="39"/>
      <c r="R1819" s="39"/>
      <c r="S1819" s="37">
        <f>IF(R1819="",0,L1819)</f>
        <v>0</v>
      </c>
      <c r="T1819" s="37">
        <f>L1819-S1819</f>
        <v>8053082</v>
      </c>
      <c r="U1819" s="10"/>
      <c r="V1819" s="10"/>
      <c r="W1819" s="10"/>
      <c r="X1819" s="10"/>
      <c r="Y1819" s="10"/>
      <c r="Z1819" s="10"/>
      <c r="AA1819" s="10"/>
      <c r="AB1819" s="10"/>
      <c r="AC1819" s="10"/>
      <c r="AD1819" s="10"/>
      <c r="AE1819" s="10"/>
    </row>
    <row r="1820" spans="1:31" ht="14.25" customHeight="1">
      <c r="A1820" s="277" t="s">
        <v>7746</v>
      </c>
      <c r="B1820" s="9" t="s">
        <v>21</v>
      </c>
      <c r="C1820" s="9">
        <v>2026</v>
      </c>
      <c r="D1820" s="9" t="s">
        <v>77</v>
      </c>
      <c r="E1820" s="90" t="s">
        <v>23</v>
      </c>
      <c r="F1820" s="9" t="s">
        <v>7</v>
      </c>
      <c r="G1820" s="10"/>
      <c r="H1820" s="9">
        <v>260199</v>
      </c>
      <c r="I1820" s="11" t="s">
        <v>924</v>
      </c>
      <c r="J1820" s="12">
        <v>46112</v>
      </c>
      <c r="K1820" s="12">
        <v>46135</v>
      </c>
      <c r="L1820" s="27">
        <v>2235780</v>
      </c>
      <c r="M1820" s="10" t="s">
        <v>6977</v>
      </c>
      <c r="N1820" s="34">
        <f ca="1">$J$3-J1820</f>
        <v>128.46377638888953</v>
      </c>
      <c r="O1820" s="27"/>
      <c r="P1820" s="39"/>
      <c r="Q1820" s="39"/>
      <c r="R1820" s="39"/>
      <c r="S1820" s="37">
        <f>IF(R1820="",0,L1820)</f>
        <v>0</v>
      </c>
      <c r="T1820" s="37">
        <f>L1820-S1820</f>
        <v>2235780</v>
      </c>
      <c r="U1820" s="10"/>
      <c r="V1820" s="10"/>
      <c r="W1820" s="10"/>
      <c r="X1820" s="10"/>
      <c r="Y1820" s="10"/>
      <c r="Z1820" s="10"/>
      <c r="AA1820" s="10"/>
      <c r="AB1820" s="10"/>
      <c r="AC1820" s="10"/>
      <c r="AD1820" s="10"/>
      <c r="AE1820" s="10"/>
    </row>
    <row r="1821" spans="1:31" ht="14.25" customHeight="1">
      <c r="A1821" s="277" t="s">
        <v>7747</v>
      </c>
      <c r="B1821" s="9" t="s">
        <v>21</v>
      </c>
      <c r="C1821" s="9">
        <v>2026</v>
      </c>
      <c r="D1821" s="9" t="s">
        <v>77</v>
      </c>
      <c r="E1821" s="90" t="s">
        <v>23</v>
      </c>
      <c r="F1821" s="9" t="s">
        <v>7</v>
      </c>
      <c r="G1821" s="10"/>
      <c r="H1821" s="9">
        <v>260219</v>
      </c>
      <c r="I1821" s="11" t="s">
        <v>924</v>
      </c>
      <c r="J1821" s="12">
        <v>46129</v>
      </c>
      <c r="K1821" s="12">
        <v>46149</v>
      </c>
      <c r="L1821" s="27">
        <v>1310333</v>
      </c>
      <c r="M1821" s="10" t="s">
        <v>7014</v>
      </c>
      <c r="N1821" s="34">
        <f ca="1">$J$3-J1821</f>
        <v>111.46377638888953</v>
      </c>
      <c r="O1821" s="27"/>
      <c r="P1821" s="39"/>
      <c r="Q1821" s="39"/>
      <c r="R1821" s="39"/>
      <c r="S1821" s="37">
        <f>IF(R1821="",0,L1821)</f>
        <v>0</v>
      </c>
      <c r="T1821" s="37">
        <f>L1821-S1821</f>
        <v>1310333</v>
      </c>
      <c r="U1821" s="10"/>
      <c r="V1821" s="10"/>
      <c r="W1821" s="10"/>
      <c r="X1821" s="10"/>
      <c r="Y1821" s="10"/>
      <c r="Z1821" s="10"/>
      <c r="AA1821" s="10"/>
      <c r="AB1821" s="10"/>
      <c r="AC1821" s="10"/>
      <c r="AD1821" s="10"/>
      <c r="AE1821" s="10"/>
    </row>
    <row r="1822" spans="1:31" ht="14.25" customHeight="1">
      <c r="A1822" s="277" t="s">
        <v>7748</v>
      </c>
      <c r="B1822" s="9" t="s">
        <v>21</v>
      </c>
      <c r="C1822" s="9">
        <v>2026</v>
      </c>
      <c r="D1822" s="9" t="s">
        <v>77</v>
      </c>
      <c r="E1822" s="90" t="s">
        <v>23</v>
      </c>
      <c r="F1822" s="9" t="s">
        <v>7</v>
      </c>
      <c r="G1822" s="10"/>
      <c r="H1822" s="9">
        <v>260246</v>
      </c>
      <c r="I1822" s="11" t="s">
        <v>924</v>
      </c>
      <c r="J1822" s="12">
        <v>46136</v>
      </c>
      <c r="K1822" s="12">
        <v>46161</v>
      </c>
      <c r="L1822" s="27">
        <v>4647850</v>
      </c>
      <c r="M1822" s="10" t="s">
        <v>7046</v>
      </c>
      <c r="N1822" s="34">
        <f t="shared" ref="N1822:N1823" ca="1" si="369">$J$3-J1822</f>
        <v>104.46377638888953</v>
      </c>
      <c r="O1822" s="27"/>
      <c r="P1822" s="39"/>
      <c r="Q1822" s="39"/>
      <c r="R1822" s="39"/>
      <c r="S1822" s="37">
        <f t="shared" ref="S1822:S1823" si="370">IF(R1822="",0,L1822)</f>
        <v>0</v>
      </c>
      <c r="T1822" s="37">
        <f t="shared" ref="T1822:T1823" si="371">L1822-S1822</f>
        <v>4647850</v>
      </c>
      <c r="U1822" s="10"/>
      <c r="V1822" s="10"/>
      <c r="W1822" s="10"/>
      <c r="X1822" s="10"/>
      <c r="Y1822" s="10"/>
      <c r="Z1822" s="10"/>
      <c r="AA1822" s="10"/>
      <c r="AB1822" s="10"/>
      <c r="AC1822" s="10"/>
      <c r="AD1822" s="10"/>
      <c r="AE1822" s="10"/>
    </row>
    <row r="1823" spans="1:31" ht="14.25" customHeight="1">
      <c r="A1823" s="277" t="s">
        <v>7749</v>
      </c>
      <c r="B1823" s="9" t="s">
        <v>21</v>
      </c>
      <c r="C1823" s="9">
        <v>2026</v>
      </c>
      <c r="D1823" s="9" t="s">
        <v>77</v>
      </c>
      <c r="E1823" s="90" t="s">
        <v>23</v>
      </c>
      <c r="F1823" s="9" t="s">
        <v>7</v>
      </c>
      <c r="G1823" s="10"/>
      <c r="H1823" s="9">
        <v>260264</v>
      </c>
      <c r="I1823" s="11" t="s">
        <v>924</v>
      </c>
      <c r="J1823" s="12">
        <v>46142</v>
      </c>
      <c r="K1823" s="12">
        <v>46161</v>
      </c>
      <c r="L1823" s="27">
        <v>1189316</v>
      </c>
      <c r="M1823" s="10" t="s">
        <v>7047</v>
      </c>
      <c r="N1823" s="34">
        <f t="shared" ca="1" si="369"/>
        <v>98.463776388889528</v>
      </c>
      <c r="O1823" s="27"/>
      <c r="P1823" s="39"/>
      <c r="Q1823" s="39"/>
      <c r="R1823" s="39"/>
      <c r="S1823" s="37">
        <f t="shared" si="370"/>
        <v>0</v>
      </c>
      <c r="T1823" s="37">
        <f t="shared" si="371"/>
        <v>1189316</v>
      </c>
      <c r="U1823" s="10"/>
      <c r="V1823" s="10"/>
      <c r="W1823" s="10"/>
      <c r="X1823" s="10"/>
      <c r="Y1823" s="10"/>
      <c r="Z1823" s="10"/>
      <c r="AA1823" s="10"/>
      <c r="AB1823" s="10"/>
      <c r="AC1823" s="10"/>
      <c r="AD1823" s="10"/>
      <c r="AE1823" s="10"/>
    </row>
    <row r="1824" spans="1:31" ht="14.25" customHeight="1">
      <c r="A1824" s="277" t="s">
        <v>7750</v>
      </c>
      <c r="B1824" s="9" t="s">
        <v>21</v>
      </c>
      <c r="C1824" s="9"/>
      <c r="D1824" s="9"/>
      <c r="E1824" s="90"/>
      <c r="F1824" s="9"/>
      <c r="G1824" s="10"/>
      <c r="H1824" s="9"/>
      <c r="I1824" s="11"/>
      <c r="J1824" s="12"/>
      <c r="K1824" s="12"/>
      <c r="L1824" s="52"/>
      <c r="M1824" s="10"/>
      <c r="N1824" s="152">
        <f ca="1">$J$3-K1824</f>
        <v>46240.46377638889</v>
      </c>
      <c r="O1824" s="11"/>
      <c r="P1824" s="39"/>
      <c r="Q1824" s="39"/>
      <c r="R1824" s="39"/>
      <c r="S1824" s="37">
        <f>IF(R1824="",0,L1824)</f>
        <v>0</v>
      </c>
      <c r="T1824" s="37">
        <f>L1824-S1824</f>
        <v>0</v>
      </c>
      <c r="U1824" s="10"/>
      <c r="V1824" s="10"/>
      <c r="W1824" s="10"/>
      <c r="X1824" s="10"/>
      <c r="Y1824" s="10"/>
      <c r="Z1824" s="10"/>
      <c r="AA1824" s="10"/>
      <c r="AB1824" s="10"/>
      <c r="AC1824" s="10"/>
      <c r="AD1824" s="10"/>
      <c r="AE1824" s="10"/>
    </row>
    <row r="1825" spans="1:31" ht="14.25" customHeight="1">
      <c r="A1825" s="277" t="s">
        <v>7751</v>
      </c>
      <c r="B1825" s="9" t="s">
        <v>21</v>
      </c>
      <c r="C1825" s="9"/>
      <c r="D1825" s="9"/>
      <c r="E1825" s="90"/>
      <c r="F1825" s="9"/>
      <c r="G1825" s="10"/>
      <c r="H1825" s="9"/>
      <c r="I1825" s="11"/>
      <c r="J1825" s="12"/>
      <c r="K1825" s="12"/>
      <c r="L1825" s="52"/>
      <c r="M1825" s="10"/>
      <c r="N1825" s="34"/>
      <c r="O1825" s="11"/>
      <c r="P1825" s="39"/>
      <c r="Q1825" s="39"/>
      <c r="R1825" s="39"/>
      <c r="S1825" s="37"/>
      <c r="T1825" s="37"/>
      <c r="U1825" s="10"/>
      <c r="V1825" s="10"/>
      <c r="W1825" s="10"/>
      <c r="X1825" s="10"/>
      <c r="Y1825" s="10"/>
      <c r="Z1825" s="10"/>
      <c r="AA1825" s="10"/>
      <c r="AB1825" s="10"/>
      <c r="AC1825" s="10"/>
      <c r="AD1825" s="10"/>
      <c r="AE1825" s="10"/>
    </row>
    <row r="1826" spans="1:31" ht="14.25" customHeight="1">
      <c r="A1826" s="277" t="s">
        <v>7752</v>
      </c>
      <c r="B1826" s="9" t="s">
        <v>21</v>
      </c>
      <c r="C1826" s="9"/>
      <c r="D1826" s="9"/>
      <c r="E1826" s="90"/>
      <c r="F1826" s="9"/>
      <c r="G1826" s="94" t="s">
        <v>24</v>
      </c>
      <c r="H1826" s="95" t="s">
        <v>936</v>
      </c>
      <c r="I1826" s="104"/>
      <c r="J1826" s="105"/>
      <c r="K1826" s="105"/>
      <c r="L1826" s="106">
        <f>SUM(L1827:L1828)</f>
        <v>318004</v>
      </c>
      <c r="M1826" s="107"/>
      <c r="N1826" s="108" t="s">
        <v>26</v>
      </c>
      <c r="O1826" s="108"/>
      <c r="P1826" s="108"/>
      <c r="Q1826" s="108"/>
      <c r="R1826" s="108"/>
      <c r="S1826" s="106">
        <f>SUM(S1827:S1828)</f>
        <v>318004</v>
      </c>
      <c r="T1826" s="106">
        <f>SUM(T1827:T1828)</f>
        <v>0</v>
      </c>
      <c r="U1826" s="10"/>
      <c r="V1826" s="52">
        <f>L1826-S1826</f>
        <v>0</v>
      </c>
      <c r="W1826" s="52">
        <f>T1826-V1826</f>
        <v>0</v>
      </c>
      <c r="X1826" s="10"/>
      <c r="Y1826" s="10"/>
      <c r="Z1826" s="10"/>
      <c r="AA1826" s="10"/>
      <c r="AB1826" s="10"/>
      <c r="AC1826" s="10"/>
      <c r="AD1826" s="10"/>
      <c r="AE1826" s="10"/>
    </row>
    <row r="1827" spans="1:31" ht="14.25" customHeight="1">
      <c r="A1827" s="277" t="s">
        <v>7753</v>
      </c>
      <c r="B1827" s="9" t="s">
        <v>21</v>
      </c>
      <c r="C1827" s="9">
        <v>2025</v>
      </c>
      <c r="D1827" s="9" t="s">
        <v>27</v>
      </c>
      <c r="E1827" s="90" t="s">
        <v>23</v>
      </c>
      <c r="F1827" s="9" t="s">
        <v>7</v>
      </c>
      <c r="G1827" s="120"/>
      <c r="H1827" s="121">
        <v>250505</v>
      </c>
      <c r="I1827" s="121" t="s">
        <v>936</v>
      </c>
      <c r="J1827" s="110">
        <v>45783</v>
      </c>
      <c r="K1827" s="110">
        <v>45827</v>
      </c>
      <c r="L1827" s="111">
        <v>318004</v>
      </c>
      <c r="M1827" s="112" t="s">
        <v>937</v>
      </c>
      <c r="N1827" s="34" t="s">
        <v>29</v>
      </c>
      <c r="O1827" s="27"/>
      <c r="P1827" s="113">
        <v>45893</v>
      </c>
      <c r="Q1827" s="113">
        <v>45893</v>
      </c>
      <c r="R1827" s="113">
        <v>45893</v>
      </c>
      <c r="S1827" s="37">
        <f>IF(R1827="",0,L1827)</f>
        <v>318004</v>
      </c>
      <c r="T1827" s="37">
        <f>L1827-S1827</f>
        <v>0</v>
      </c>
      <c r="U1827" s="10"/>
      <c r="V1827" s="52"/>
      <c r="W1827" s="52"/>
      <c r="X1827" s="10"/>
      <c r="Y1827" s="10"/>
      <c r="Z1827" s="10"/>
      <c r="AA1827" s="10"/>
      <c r="AB1827" s="10"/>
      <c r="AC1827" s="10"/>
      <c r="AD1827" s="10"/>
      <c r="AE1827" s="10"/>
    </row>
    <row r="1828" spans="1:31" ht="14.25" customHeight="1">
      <c r="A1828" s="277" t="s">
        <v>7754</v>
      </c>
      <c r="B1828" s="9" t="s">
        <v>21</v>
      </c>
      <c r="C1828" s="9"/>
      <c r="D1828" s="9"/>
      <c r="E1828" s="90"/>
      <c r="F1828" s="9"/>
      <c r="G1828" s="10"/>
      <c r="H1828" s="9"/>
      <c r="I1828" s="93"/>
      <c r="J1828" s="12"/>
      <c r="K1828" s="12"/>
      <c r="L1828" s="52"/>
      <c r="M1828" s="10"/>
      <c r="N1828" s="114">
        <f ca="1">$J$3-J1828</f>
        <v>46240.46377638889</v>
      </c>
      <c r="O1828" s="11"/>
      <c r="P1828" s="39"/>
      <c r="Q1828" s="39"/>
      <c r="R1828" s="39"/>
      <c r="S1828" s="37">
        <f>IF(R1828="",0,L1828)</f>
        <v>0</v>
      </c>
      <c r="T1828" s="37">
        <f>L1828-S1828</f>
        <v>0</v>
      </c>
      <c r="U1828" s="10"/>
      <c r="V1828" s="10"/>
      <c r="W1828" s="10"/>
      <c r="X1828" s="10"/>
      <c r="Y1828" s="10"/>
      <c r="Z1828" s="10"/>
      <c r="AA1828" s="10"/>
      <c r="AB1828" s="10"/>
      <c r="AC1828" s="10"/>
      <c r="AD1828" s="10"/>
      <c r="AE1828" s="10"/>
    </row>
    <row r="1829" spans="1:31" ht="14.25" customHeight="1">
      <c r="A1829" s="277" t="s">
        <v>7755</v>
      </c>
      <c r="B1829" s="9" t="s">
        <v>21</v>
      </c>
      <c r="C1829" s="9"/>
      <c r="D1829" s="9"/>
      <c r="E1829" s="90"/>
      <c r="F1829" s="9"/>
      <c r="G1829" s="10"/>
      <c r="H1829" s="9"/>
      <c r="I1829" s="11"/>
      <c r="J1829" s="12"/>
      <c r="K1829" s="12"/>
      <c r="L1829" s="52"/>
      <c r="M1829" s="10"/>
      <c r="N1829" s="9"/>
      <c r="O1829" s="11"/>
      <c r="P1829" s="39"/>
      <c r="Q1829" s="39"/>
      <c r="R1829" s="39"/>
      <c r="S1829" s="37"/>
      <c r="T1829" s="37"/>
      <c r="U1829" s="10"/>
      <c r="V1829" s="10"/>
      <c r="W1829" s="10"/>
      <c r="X1829" s="10"/>
      <c r="Y1829" s="10"/>
      <c r="Z1829" s="10"/>
      <c r="AA1829" s="10"/>
      <c r="AB1829" s="10"/>
      <c r="AC1829" s="10"/>
      <c r="AD1829" s="10"/>
      <c r="AE1829" s="10"/>
    </row>
    <row r="1830" spans="1:31" ht="14.25" customHeight="1">
      <c r="A1830" s="277" t="s">
        <v>7756</v>
      </c>
      <c r="B1830" s="9" t="s">
        <v>21</v>
      </c>
      <c r="C1830" s="9"/>
      <c r="D1830" s="9"/>
      <c r="E1830" s="90"/>
      <c r="F1830" s="9"/>
      <c r="G1830" s="94" t="s">
        <v>24</v>
      </c>
      <c r="H1830" s="95" t="s">
        <v>4528</v>
      </c>
      <c r="I1830" s="104"/>
      <c r="J1830" s="105"/>
      <c r="K1830" s="105"/>
      <c r="L1830" s="106">
        <f>SUM(L1831:L1832)</f>
        <v>163950</v>
      </c>
      <c r="M1830" s="107"/>
      <c r="N1830" s="108" t="s">
        <v>26</v>
      </c>
      <c r="O1830" s="108"/>
      <c r="P1830" s="108"/>
      <c r="Q1830" s="108"/>
      <c r="R1830" s="108"/>
      <c r="S1830" s="106">
        <f>SUM(S1831:S1832)</f>
        <v>163950</v>
      </c>
      <c r="T1830" s="106">
        <f>SUM(T1831:T1832)</f>
        <v>0</v>
      </c>
      <c r="U1830" s="10"/>
      <c r="V1830" s="52">
        <f>L1830-S1830</f>
        <v>0</v>
      </c>
      <c r="W1830" s="52">
        <f>T1830-V1830</f>
        <v>0</v>
      </c>
      <c r="X1830" s="10"/>
      <c r="Y1830" s="10"/>
      <c r="Z1830" s="10"/>
      <c r="AA1830" s="10"/>
      <c r="AB1830" s="10"/>
      <c r="AC1830" s="10"/>
      <c r="AD1830" s="10"/>
      <c r="AE1830" s="10"/>
    </row>
    <row r="1831" spans="1:31" ht="14.25" customHeight="1">
      <c r="A1831" s="277" t="s">
        <v>7757</v>
      </c>
      <c r="B1831" s="9" t="s">
        <v>21</v>
      </c>
      <c r="C1831" s="9">
        <v>2026</v>
      </c>
      <c r="D1831" s="9" t="s">
        <v>27</v>
      </c>
      <c r="E1831" s="90" t="s">
        <v>23</v>
      </c>
      <c r="F1831" s="9" t="s">
        <v>7</v>
      </c>
      <c r="G1831" s="10"/>
      <c r="H1831" s="96">
        <v>260203</v>
      </c>
      <c r="I1831" s="109" t="s">
        <v>4528</v>
      </c>
      <c r="J1831" s="115">
        <v>46119</v>
      </c>
      <c r="K1831" s="115">
        <v>46128</v>
      </c>
      <c r="L1831" s="131">
        <v>163950</v>
      </c>
      <c r="M1831" s="117" t="s">
        <v>4529</v>
      </c>
      <c r="N1831" s="34" t="s">
        <v>29</v>
      </c>
      <c r="O1831" s="11"/>
      <c r="P1831" s="113">
        <v>46209</v>
      </c>
      <c r="Q1831" s="113">
        <v>46209</v>
      </c>
      <c r="R1831" s="113">
        <v>46209</v>
      </c>
      <c r="S1831" s="37">
        <f>IF(R1831="",0,L1831)</f>
        <v>163950</v>
      </c>
      <c r="T1831" s="37">
        <f>L1831-S1831</f>
        <v>0</v>
      </c>
      <c r="U1831" s="10"/>
      <c r="V1831" s="10"/>
      <c r="W1831" s="10"/>
      <c r="X1831" s="10"/>
      <c r="Y1831" s="10"/>
      <c r="Z1831" s="10"/>
      <c r="AA1831" s="10"/>
      <c r="AB1831" s="10"/>
      <c r="AC1831" s="10"/>
      <c r="AD1831" s="10"/>
      <c r="AE1831" s="10"/>
    </row>
    <row r="1832" spans="1:31" ht="14.25" customHeight="1">
      <c r="A1832" s="277" t="s">
        <v>7758</v>
      </c>
      <c r="B1832" s="9" t="s">
        <v>21</v>
      </c>
      <c r="C1832" s="9"/>
      <c r="D1832" s="9"/>
      <c r="E1832" s="90"/>
      <c r="F1832" s="9"/>
      <c r="G1832" s="10"/>
      <c r="H1832" s="9"/>
      <c r="I1832" s="11"/>
      <c r="J1832" s="12"/>
      <c r="K1832" s="12"/>
      <c r="L1832" s="52"/>
      <c r="M1832" s="10"/>
      <c r="N1832" s="114">
        <f ca="1">$J$3-J1832</f>
        <v>46240.46377638889</v>
      </c>
      <c r="O1832" s="11"/>
      <c r="P1832" s="39"/>
      <c r="Q1832" s="39"/>
      <c r="R1832" s="39"/>
      <c r="S1832" s="37"/>
      <c r="T1832" s="37"/>
      <c r="U1832" s="10"/>
      <c r="V1832" s="10"/>
      <c r="W1832" s="10"/>
      <c r="X1832" s="10"/>
      <c r="Y1832" s="10"/>
      <c r="Z1832" s="10"/>
      <c r="AA1832" s="10"/>
      <c r="AB1832" s="10"/>
      <c r="AC1832" s="10"/>
      <c r="AD1832" s="10"/>
      <c r="AE1832" s="10"/>
    </row>
    <row r="1833" spans="1:31" ht="14.25" customHeight="1">
      <c r="A1833" s="277" t="s">
        <v>7759</v>
      </c>
      <c r="B1833" s="9" t="s">
        <v>21</v>
      </c>
      <c r="C1833" s="9"/>
      <c r="D1833" s="9"/>
      <c r="E1833" s="90"/>
      <c r="F1833" s="9"/>
      <c r="G1833" s="10"/>
      <c r="H1833" s="9"/>
      <c r="I1833" s="11"/>
      <c r="J1833" s="12"/>
      <c r="K1833" s="12"/>
      <c r="L1833" s="52"/>
      <c r="M1833" s="10"/>
      <c r="N1833" s="9"/>
      <c r="O1833" s="11"/>
      <c r="P1833" s="39"/>
      <c r="Q1833" s="39"/>
      <c r="R1833" s="39"/>
      <c r="S1833" s="37"/>
      <c r="T1833" s="37"/>
      <c r="U1833" s="10"/>
      <c r="V1833" s="10"/>
      <c r="W1833" s="10"/>
      <c r="X1833" s="10"/>
      <c r="Y1833" s="10"/>
      <c r="Z1833" s="10"/>
      <c r="AA1833" s="10"/>
      <c r="AB1833" s="10"/>
      <c r="AC1833" s="10"/>
      <c r="AD1833" s="10"/>
      <c r="AE1833" s="10"/>
    </row>
    <row r="1834" spans="1:31" ht="14.25" customHeight="1">
      <c r="A1834" s="277" t="s">
        <v>7760</v>
      </c>
      <c r="B1834" s="9" t="s">
        <v>21</v>
      </c>
      <c r="C1834" s="9"/>
      <c r="D1834" s="9"/>
      <c r="E1834" s="90"/>
      <c r="F1834" s="9"/>
      <c r="G1834" s="94" t="s">
        <v>24</v>
      </c>
      <c r="H1834" s="95" t="s">
        <v>938</v>
      </c>
      <c r="I1834" s="104"/>
      <c r="J1834" s="105"/>
      <c r="K1834" s="105"/>
      <c r="L1834" s="106">
        <f>SUM(L1835:L1852)</f>
        <v>39448732</v>
      </c>
      <c r="M1834" s="107"/>
      <c r="N1834" s="108" t="s">
        <v>26</v>
      </c>
      <c r="O1834" s="108"/>
      <c r="P1834" s="108"/>
      <c r="Q1834" s="108"/>
      <c r="R1834" s="108"/>
      <c r="S1834" s="106">
        <f>SUM(S1835:S1852)</f>
        <v>39448732</v>
      </c>
      <c r="T1834" s="106">
        <f>SUM(T1835:T1852)</f>
        <v>0</v>
      </c>
      <c r="U1834" s="10"/>
      <c r="V1834" s="52">
        <f>L1834-S1834</f>
        <v>0</v>
      </c>
      <c r="W1834" s="52">
        <f>T1834-V1834</f>
        <v>0</v>
      </c>
      <c r="X1834" s="10"/>
      <c r="Y1834" s="10"/>
      <c r="Z1834" s="10"/>
      <c r="AA1834" s="10"/>
      <c r="AB1834" s="10"/>
      <c r="AC1834" s="10"/>
      <c r="AD1834" s="10"/>
      <c r="AE1834" s="10"/>
    </row>
    <row r="1835" spans="1:31" ht="14.25" hidden="1" customHeight="1">
      <c r="A1835" s="277" t="s">
        <v>7761</v>
      </c>
      <c r="B1835" s="9" t="s">
        <v>21</v>
      </c>
      <c r="C1835" s="9">
        <v>2025</v>
      </c>
      <c r="D1835" s="9" t="s">
        <v>27</v>
      </c>
      <c r="E1835" s="90" t="s">
        <v>23</v>
      </c>
      <c r="F1835" s="9" t="s">
        <v>7</v>
      </c>
      <c r="G1835" s="10"/>
      <c r="H1835" s="96">
        <v>250058</v>
      </c>
      <c r="I1835" s="109" t="s">
        <v>938</v>
      </c>
      <c r="J1835" s="115">
        <v>45673</v>
      </c>
      <c r="K1835" s="119">
        <v>45687</v>
      </c>
      <c r="L1835" s="116">
        <v>719918</v>
      </c>
      <c r="M1835" s="116" t="s">
        <v>939</v>
      </c>
      <c r="N1835" s="34" t="s">
        <v>29</v>
      </c>
      <c r="O1835" s="27">
        <f>SUM(L1835:L1837)</f>
        <v>3647881</v>
      </c>
      <c r="P1835" s="113">
        <v>45721</v>
      </c>
      <c r="Q1835" s="113">
        <v>45721</v>
      </c>
      <c r="R1835" s="113">
        <v>45721</v>
      </c>
      <c r="S1835" s="37">
        <f t="shared" ref="S1835:S1844" si="372">IF(R1835="",0,L1835)</f>
        <v>719918</v>
      </c>
      <c r="T1835" s="37">
        <f t="shared" ref="T1835:T1844" si="373">L1835-S1835</f>
        <v>0</v>
      </c>
      <c r="U1835" s="10"/>
      <c r="V1835" s="10"/>
      <c r="W1835" s="10"/>
      <c r="X1835" s="10"/>
      <c r="Y1835" s="10"/>
      <c r="Z1835" s="10"/>
      <c r="AA1835" s="10"/>
      <c r="AB1835" s="10"/>
      <c r="AC1835" s="10"/>
      <c r="AD1835" s="10"/>
      <c r="AE1835" s="10"/>
    </row>
    <row r="1836" spans="1:31" hidden="1">
      <c r="A1836" s="277" t="s">
        <v>7762</v>
      </c>
      <c r="B1836" s="9" t="s">
        <v>21</v>
      </c>
      <c r="C1836" s="9">
        <v>2025</v>
      </c>
      <c r="D1836" s="9" t="s">
        <v>27</v>
      </c>
      <c r="E1836" s="90" t="s">
        <v>23</v>
      </c>
      <c r="F1836" s="9" t="s">
        <v>7</v>
      </c>
      <c r="G1836" s="10"/>
      <c r="H1836" s="96">
        <v>250137</v>
      </c>
      <c r="I1836" s="109" t="s">
        <v>938</v>
      </c>
      <c r="J1836" s="115">
        <v>45688</v>
      </c>
      <c r="K1836" s="119">
        <v>45699</v>
      </c>
      <c r="L1836" s="116">
        <v>485963</v>
      </c>
      <c r="M1836" s="116" t="s">
        <v>940</v>
      </c>
      <c r="N1836" s="34" t="s">
        <v>29</v>
      </c>
      <c r="O1836" s="27"/>
      <c r="P1836" s="113">
        <v>45721</v>
      </c>
      <c r="Q1836" s="113">
        <v>45721</v>
      </c>
      <c r="R1836" s="113">
        <v>45721</v>
      </c>
      <c r="S1836" s="37">
        <f t="shared" si="372"/>
        <v>485963</v>
      </c>
      <c r="T1836" s="37">
        <f t="shared" si="373"/>
        <v>0</v>
      </c>
      <c r="U1836" s="10"/>
      <c r="V1836" s="10"/>
      <c r="W1836" s="10"/>
      <c r="X1836" s="10"/>
      <c r="Y1836" s="10"/>
      <c r="Z1836" s="10"/>
      <c r="AA1836" s="10"/>
      <c r="AB1836" s="10"/>
      <c r="AC1836" s="10"/>
      <c r="AD1836" s="10"/>
      <c r="AE1836" s="10"/>
    </row>
    <row r="1837" spans="1:31" hidden="1">
      <c r="A1837" s="277" t="s">
        <v>7763</v>
      </c>
      <c r="B1837" s="9" t="s">
        <v>21</v>
      </c>
      <c r="C1837" s="9">
        <v>2025</v>
      </c>
      <c r="D1837" s="9" t="s">
        <v>27</v>
      </c>
      <c r="E1837" s="90" t="s">
        <v>23</v>
      </c>
      <c r="F1837" s="9" t="s">
        <v>7</v>
      </c>
      <c r="G1837" s="10"/>
      <c r="H1837" s="96">
        <v>250164</v>
      </c>
      <c r="I1837" s="109" t="s">
        <v>938</v>
      </c>
      <c r="J1837" s="115">
        <v>45702</v>
      </c>
      <c r="K1837" s="119">
        <v>45713</v>
      </c>
      <c r="L1837" s="116">
        <v>2442000</v>
      </c>
      <c r="M1837" s="116" t="s">
        <v>941</v>
      </c>
      <c r="N1837" s="34" t="s">
        <v>29</v>
      </c>
      <c r="O1837" s="27"/>
      <c r="P1837" s="113">
        <v>45721</v>
      </c>
      <c r="Q1837" s="113">
        <v>45721</v>
      </c>
      <c r="R1837" s="113">
        <v>45721</v>
      </c>
      <c r="S1837" s="37">
        <f t="shared" si="372"/>
        <v>2442000</v>
      </c>
      <c r="T1837" s="37">
        <f t="shared" si="373"/>
        <v>0</v>
      </c>
      <c r="U1837" s="10"/>
      <c r="V1837" s="10"/>
      <c r="W1837" s="10"/>
      <c r="X1837" s="10"/>
      <c r="Y1837" s="10"/>
      <c r="Z1837" s="10"/>
      <c r="AA1837" s="10"/>
      <c r="AB1837" s="10"/>
      <c r="AC1837" s="10"/>
      <c r="AD1837" s="10"/>
      <c r="AE1837" s="10"/>
    </row>
    <row r="1838" spans="1:31" hidden="1">
      <c r="A1838" s="277" t="s">
        <v>7764</v>
      </c>
      <c r="B1838" s="9" t="s">
        <v>21</v>
      </c>
      <c r="C1838" s="9">
        <v>2025</v>
      </c>
      <c r="D1838" s="9" t="s">
        <v>27</v>
      </c>
      <c r="E1838" s="90" t="s">
        <v>23</v>
      </c>
      <c r="F1838" s="9" t="s">
        <v>7</v>
      </c>
      <c r="G1838" s="10"/>
      <c r="H1838" s="96">
        <v>250210</v>
      </c>
      <c r="I1838" s="109" t="s">
        <v>938</v>
      </c>
      <c r="J1838" s="115">
        <v>45712</v>
      </c>
      <c r="K1838" s="119">
        <v>45727</v>
      </c>
      <c r="L1838" s="116">
        <v>719918</v>
      </c>
      <c r="M1838" s="116" t="s">
        <v>942</v>
      </c>
      <c r="N1838" s="34" t="s">
        <v>29</v>
      </c>
      <c r="O1838" s="27">
        <f>SUM(L1838:L1839)</f>
        <v>1869918</v>
      </c>
      <c r="P1838" s="113">
        <v>45815</v>
      </c>
      <c r="Q1838" s="113">
        <v>45815</v>
      </c>
      <c r="R1838" s="113">
        <v>45815</v>
      </c>
      <c r="S1838" s="37">
        <f t="shared" si="372"/>
        <v>719918</v>
      </c>
      <c r="T1838" s="37">
        <f t="shared" si="373"/>
        <v>0</v>
      </c>
      <c r="U1838" s="10"/>
      <c r="V1838" s="10"/>
      <c r="W1838" s="10"/>
      <c r="X1838" s="10"/>
      <c r="Y1838" s="10"/>
      <c r="Z1838" s="10"/>
      <c r="AA1838" s="10"/>
      <c r="AB1838" s="10"/>
      <c r="AC1838" s="10"/>
      <c r="AD1838" s="10"/>
      <c r="AE1838" s="10"/>
    </row>
    <row r="1839" spans="1:31" ht="14.25" hidden="1" customHeight="1">
      <c r="A1839" s="277" t="s">
        <v>7765</v>
      </c>
      <c r="B1839" s="9" t="s">
        <v>21</v>
      </c>
      <c r="C1839" s="9">
        <v>2025</v>
      </c>
      <c r="D1839" s="9" t="s">
        <v>27</v>
      </c>
      <c r="E1839" s="90" t="s">
        <v>23</v>
      </c>
      <c r="F1839" s="9" t="s">
        <v>7</v>
      </c>
      <c r="G1839" s="10"/>
      <c r="H1839" s="96">
        <v>250313</v>
      </c>
      <c r="I1839" s="109" t="s">
        <v>938</v>
      </c>
      <c r="J1839" s="115">
        <v>45714</v>
      </c>
      <c r="K1839" s="119">
        <v>45727</v>
      </c>
      <c r="L1839" s="116">
        <v>1150000</v>
      </c>
      <c r="M1839" s="116" t="s">
        <v>943</v>
      </c>
      <c r="N1839" s="34" t="s">
        <v>29</v>
      </c>
      <c r="O1839" s="27"/>
      <c r="P1839" s="113">
        <v>45815</v>
      </c>
      <c r="Q1839" s="113">
        <v>45815</v>
      </c>
      <c r="R1839" s="113">
        <v>45815</v>
      </c>
      <c r="S1839" s="37">
        <f t="shared" si="372"/>
        <v>1150000</v>
      </c>
      <c r="T1839" s="37">
        <f t="shared" si="373"/>
        <v>0</v>
      </c>
      <c r="U1839" s="10"/>
      <c r="V1839" s="10"/>
      <c r="W1839" s="10"/>
      <c r="X1839" s="10"/>
      <c r="Y1839" s="10"/>
      <c r="Z1839" s="10"/>
      <c r="AA1839" s="10"/>
      <c r="AB1839" s="10"/>
      <c r="AC1839" s="10"/>
      <c r="AD1839" s="10"/>
      <c r="AE1839" s="10"/>
    </row>
    <row r="1840" spans="1:31" ht="14.25" hidden="1" customHeight="1">
      <c r="A1840" s="277" t="s">
        <v>7766</v>
      </c>
      <c r="B1840" s="9" t="s">
        <v>21</v>
      </c>
      <c r="C1840" s="9">
        <v>2025</v>
      </c>
      <c r="D1840" s="9" t="s">
        <v>27</v>
      </c>
      <c r="E1840" s="90" t="s">
        <v>23</v>
      </c>
      <c r="F1840" s="9" t="s">
        <v>7</v>
      </c>
      <c r="G1840" s="10"/>
      <c r="H1840" s="96">
        <v>250613</v>
      </c>
      <c r="I1840" s="109" t="s">
        <v>938</v>
      </c>
      <c r="J1840" s="115">
        <v>45831</v>
      </c>
      <c r="K1840" s="119">
        <v>45843</v>
      </c>
      <c r="L1840" s="116">
        <v>7673430</v>
      </c>
      <c r="M1840" s="116" t="s">
        <v>944</v>
      </c>
      <c r="N1840" s="34" t="s">
        <v>29</v>
      </c>
      <c r="O1840" s="27">
        <f>SUM(L1840:L1844)</f>
        <v>19435611</v>
      </c>
      <c r="P1840" s="113">
        <v>45910</v>
      </c>
      <c r="Q1840" s="113">
        <v>45910</v>
      </c>
      <c r="R1840" s="113">
        <v>45910</v>
      </c>
      <c r="S1840" s="37">
        <f t="shared" si="372"/>
        <v>7673430</v>
      </c>
      <c r="T1840" s="37">
        <f t="shared" si="373"/>
        <v>0</v>
      </c>
      <c r="U1840" s="10"/>
      <c r="V1840" s="10"/>
      <c r="W1840" s="10"/>
      <c r="X1840" s="10"/>
      <c r="Y1840" s="10"/>
      <c r="Z1840" s="10"/>
      <c r="AA1840" s="10"/>
      <c r="AB1840" s="10"/>
      <c r="AC1840" s="10"/>
      <c r="AD1840" s="10"/>
      <c r="AE1840" s="10"/>
    </row>
    <row r="1841" spans="1:31" ht="14.25" hidden="1" customHeight="1">
      <c r="A1841" s="277" t="s">
        <v>7767</v>
      </c>
      <c r="B1841" s="9" t="s">
        <v>21</v>
      </c>
      <c r="C1841" s="9">
        <v>2025</v>
      </c>
      <c r="D1841" s="9" t="s">
        <v>27</v>
      </c>
      <c r="E1841" s="90" t="s">
        <v>23</v>
      </c>
      <c r="F1841" s="9" t="s">
        <v>7</v>
      </c>
      <c r="G1841" s="10"/>
      <c r="H1841" s="96">
        <v>250643</v>
      </c>
      <c r="I1841" s="109" t="s">
        <v>938</v>
      </c>
      <c r="J1841" s="115">
        <v>45834</v>
      </c>
      <c r="K1841" s="119">
        <v>45843</v>
      </c>
      <c r="L1841" s="116">
        <v>8498160</v>
      </c>
      <c r="M1841" s="116" t="s">
        <v>945</v>
      </c>
      <c r="N1841" s="34" t="s">
        <v>29</v>
      </c>
      <c r="O1841" s="27"/>
      <c r="P1841" s="113">
        <v>45910</v>
      </c>
      <c r="Q1841" s="113">
        <v>45910</v>
      </c>
      <c r="R1841" s="113">
        <v>45910</v>
      </c>
      <c r="S1841" s="37">
        <f t="shared" si="372"/>
        <v>8498160</v>
      </c>
      <c r="T1841" s="37">
        <f t="shared" si="373"/>
        <v>0</v>
      </c>
      <c r="U1841" s="10"/>
      <c r="V1841" s="10"/>
      <c r="W1841" s="10"/>
      <c r="X1841" s="10"/>
      <c r="Y1841" s="10"/>
      <c r="Z1841" s="10"/>
      <c r="AA1841" s="10"/>
      <c r="AB1841" s="10"/>
      <c r="AC1841" s="10"/>
      <c r="AD1841" s="10"/>
      <c r="AE1841" s="10"/>
    </row>
    <row r="1842" spans="1:31" ht="14.25" hidden="1" customHeight="1">
      <c r="A1842" s="277" t="s">
        <v>7768</v>
      </c>
      <c r="B1842" s="9" t="s">
        <v>21</v>
      </c>
      <c r="C1842" s="9">
        <v>2025</v>
      </c>
      <c r="D1842" s="9" t="s">
        <v>27</v>
      </c>
      <c r="E1842" s="90" t="s">
        <v>23</v>
      </c>
      <c r="F1842" s="9" t="s">
        <v>7</v>
      </c>
      <c r="G1842" s="10"/>
      <c r="H1842" s="96">
        <v>250749</v>
      </c>
      <c r="I1842" s="109" t="s">
        <v>938</v>
      </c>
      <c r="J1842" s="115">
        <v>45860</v>
      </c>
      <c r="K1842" s="119">
        <v>45881</v>
      </c>
      <c r="L1842" s="116">
        <v>1021200</v>
      </c>
      <c r="M1842" s="116" t="s">
        <v>946</v>
      </c>
      <c r="N1842" s="34" t="s">
        <v>29</v>
      </c>
      <c r="O1842" s="27"/>
      <c r="P1842" s="113">
        <v>45910</v>
      </c>
      <c r="Q1842" s="113">
        <v>45910</v>
      </c>
      <c r="R1842" s="113">
        <v>45910</v>
      </c>
      <c r="S1842" s="37">
        <f t="shared" si="372"/>
        <v>1021200</v>
      </c>
      <c r="T1842" s="37">
        <f t="shared" si="373"/>
        <v>0</v>
      </c>
      <c r="U1842" s="10"/>
      <c r="V1842" s="10"/>
      <c r="W1842" s="10"/>
      <c r="X1842" s="10"/>
      <c r="Y1842" s="10"/>
      <c r="Z1842" s="10"/>
      <c r="AA1842" s="10"/>
      <c r="AB1842" s="10"/>
      <c r="AC1842" s="10"/>
      <c r="AD1842" s="10"/>
      <c r="AE1842" s="10"/>
    </row>
    <row r="1843" spans="1:31" ht="14.25" hidden="1" customHeight="1">
      <c r="A1843" s="277" t="s">
        <v>7769</v>
      </c>
      <c r="B1843" s="9" t="s">
        <v>21</v>
      </c>
      <c r="C1843" s="9">
        <v>2025</v>
      </c>
      <c r="D1843" s="9" t="s">
        <v>27</v>
      </c>
      <c r="E1843" s="90" t="s">
        <v>23</v>
      </c>
      <c r="F1843" s="9" t="s">
        <v>7</v>
      </c>
      <c r="G1843" s="10"/>
      <c r="H1843" s="96">
        <v>250729</v>
      </c>
      <c r="I1843" s="109" t="s">
        <v>938</v>
      </c>
      <c r="J1843" s="115">
        <v>45867</v>
      </c>
      <c r="K1843" s="119">
        <v>45881</v>
      </c>
      <c r="L1843" s="116">
        <v>532800</v>
      </c>
      <c r="M1843" s="116" t="s">
        <v>947</v>
      </c>
      <c r="N1843" s="34" t="s">
        <v>29</v>
      </c>
      <c r="O1843" s="27"/>
      <c r="P1843" s="113">
        <v>45910</v>
      </c>
      <c r="Q1843" s="113">
        <v>45910</v>
      </c>
      <c r="R1843" s="113">
        <v>45910</v>
      </c>
      <c r="S1843" s="37">
        <f t="shared" si="372"/>
        <v>532800</v>
      </c>
      <c r="T1843" s="37">
        <f t="shared" si="373"/>
        <v>0</v>
      </c>
      <c r="U1843" s="10"/>
      <c r="V1843" s="10"/>
      <c r="W1843" s="10"/>
      <c r="X1843" s="10"/>
      <c r="Y1843" s="10"/>
      <c r="Z1843" s="10"/>
      <c r="AA1843" s="10"/>
      <c r="AB1843" s="10"/>
      <c r="AC1843" s="10"/>
      <c r="AD1843" s="10"/>
      <c r="AE1843" s="10"/>
    </row>
    <row r="1844" spans="1:31" ht="14.25" hidden="1" customHeight="1">
      <c r="A1844" s="277" t="s">
        <v>7770</v>
      </c>
      <c r="B1844" s="9" t="s">
        <v>21</v>
      </c>
      <c r="C1844" s="9">
        <v>2025</v>
      </c>
      <c r="D1844" s="9" t="s">
        <v>27</v>
      </c>
      <c r="E1844" s="90" t="s">
        <v>23</v>
      </c>
      <c r="F1844" s="9" t="s">
        <v>7</v>
      </c>
      <c r="G1844" s="10"/>
      <c r="H1844" s="96">
        <v>250788</v>
      </c>
      <c r="I1844" s="109" t="s">
        <v>938</v>
      </c>
      <c r="J1844" s="115">
        <v>45874</v>
      </c>
      <c r="K1844" s="119">
        <v>45881</v>
      </c>
      <c r="L1844" s="116">
        <v>1710021</v>
      </c>
      <c r="M1844" s="116" t="s">
        <v>948</v>
      </c>
      <c r="N1844" s="34" t="s">
        <v>29</v>
      </c>
      <c r="O1844" s="27"/>
      <c r="P1844" s="113">
        <v>45910</v>
      </c>
      <c r="Q1844" s="113">
        <v>45910</v>
      </c>
      <c r="R1844" s="113">
        <v>45910</v>
      </c>
      <c r="S1844" s="37">
        <f t="shared" si="372"/>
        <v>1710021</v>
      </c>
      <c r="T1844" s="37">
        <f t="shared" si="373"/>
        <v>0</v>
      </c>
      <c r="U1844" s="10"/>
      <c r="V1844" s="10"/>
      <c r="W1844" s="10"/>
      <c r="X1844" s="10"/>
      <c r="Y1844" s="10"/>
      <c r="Z1844" s="10"/>
      <c r="AA1844" s="10"/>
      <c r="AB1844" s="10"/>
      <c r="AC1844" s="10"/>
      <c r="AD1844" s="10"/>
      <c r="AE1844" s="10"/>
    </row>
    <row r="1845" spans="1:31" ht="14.25" hidden="1" customHeight="1">
      <c r="A1845" s="277" t="s">
        <v>7771</v>
      </c>
      <c r="B1845" s="9" t="s">
        <v>21</v>
      </c>
      <c r="C1845" s="9">
        <v>2025</v>
      </c>
      <c r="D1845" s="9" t="s">
        <v>27</v>
      </c>
      <c r="E1845" s="90" t="s">
        <v>23</v>
      </c>
      <c r="F1845" s="9" t="s">
        <v>7</v>
      </c>
      <c r="G1845" s="10"/>
      <c r="H1845" s="96">
        <v>250926</v>
      </c>
      <c r="I1845" s="109" t="s">
        <v>938</v>
      </c>
      <c r="J1845" s="115">
        <v>45913</v>
      </c>
      <c r="K1845" s="119">
        <v>45932</v>
      </c>
      <c r="L1845" s="116">
        <v>874968</v>
      </c>
      <c r="M1845" s="116" t="s">
        <v>3720</v>
      </c>
      <c r="N1845" s="34" t="s">
        <v>29</v>
      </c>
      <c r="O1845" s="27">
        <f>SUM(L1845:L1851)</f>
        <v>14495322</v>
      </c>
      <c r="P1845" s="113">
        <v>46211</v>
      </c>
      <c r="Q1845" s="113">
        <v>46211</v>
      </c>
      <c r="R1845" s="113">
        <v>46211</v>
      </c>
      <c r="S1845" s="37">
        <f t="shared" ref="S1845:S1852" si="374">IF(R1845="",0,L1845)</f>
        <v>874968</v>
      </c>
      <c r="T1845" s="37">
        <f t="shared" ref="T1845:T1852" si="375">L1845-S1845</f>
        <v>0</v>
      </c>
      <c r="U1845" s="10"/>
      <c r="V1845" s="10"/>
      <c r="W1845" s="10"/>
      <c r="X1845" s="10"/>
      <c r="Y1845" s="10"/>
      <c r="Z1845" s="10"/>
      <c r="AA1845" s="10"/>
      <c r="AB1845" s="10"/>
      <c r="AC1845" s="10"/>
      <c r="AD1845" s="10"/>
      <c r="AE1845" s="10"/>
    </row>
    <row r="1846" spans="1:31" ht="14.25" hidden="1" customHeight="1">
      <c r="A1846" s="277" t="s">
        <v>7772</v>
      </c>
      <c r="B1846" s="9" t="s">
        <v>21</v>
      </c>
      <c r="C1846" s="9">
        <v>2025</v>
      </c>
      <c r="D1846" s="9" t="s">
        <v>27</v>
      </c>
      <c r="E1846" s="90" t="s">
        <v>23</v>
      </c>
      <c r="F1846" s="9" t="s">
        <v>7</v>
      </c>
      <c r="G1846" s="10"/>
      <c r="H1846" s="96">
        <v>250971</v>
      </c>
      <c r="I1846" s="109" t="s">
        <v>938</v>
      </c>
      <c r="J1846" s="115">
        <v>45923</v>
      </c>
      <c r="K1846" s="119">
        <v>45932</v>
      </c>
      <c r="L1846" s="116">
        <v>6138744</v>
      </c>
      <c r="M1846" s="116" t="s">
        <v>3721</v>
      </c>
      <c r="N1846" s="34" t="s">
        <v>29</v>
      </c>
      <c r="O1846" s="27"/>
      <c r="P1846" s="113">
        <v>46211</v>
      </c>
      <c r="Q1846" s="113">
        <v>46211</v>
      </c>
      <c r="R1846" s="113">
        <v>46211</v>
      </c>
      <c r="S1846" s="37">
        <f t="shared" si="374"/>
        <v>6138744</v>
      </c>
      <c r="T1846" s="37">
        <f t="shared" si="375"/>
        <v>0</v>
      </c>
      <c r="U1846" s="10"/>
      <c r="V1846" s="10"/>
      <c r="W1846" s="10"/>
      <c r="X1846" s="10"/>
      <c r="Y1846" s="10"/>
      <c r="Z1846" s="10"/>
      <c r="AA1846" s="10"/>
      <c r="AB1846" s="10"/>
      <c r="AC1846" s="10"/>
      <c r="AD1846" s="10"/>
      <c r="AE1846" s="10"/>
    </row>
    <row r="1847" spans="1:31" ht="14.25" hidden="1" customHeight="1">
      <c r="A1847" s="277" t="s">
        <v>7773</v>
      </c>
      <c r="B1847" s="9" t="s">
        <v>21</v>
      </c>
      <c r="C1847" s="9">
        <v>2025</v>
      </c>
      <c r="D1847" s="9" t="s">
        <v>27</v>
      </c>
      <c r="E1847" s="90" t="s">
        <v>23</v>
      </c>
      <c r="F1847" s="9" t="s">
        <v>7</v>
      </c>
      <c r="G1847" s="10"/>
      <c r="H1847" s="96">
        <v>250970</v>
      </c>
      <c r="I1847" s="109" t="s">
        <v>938</v>
      </c>
      <c r="J1847" s="115">
        <v>45924</v>
      </c>
      <c r="K1847" s="119">
        <v>45932</v>
      </c>
      <c r="L1847" s="116">
        <v>2624905</v>
      </c>
      <c r="M1847" s="116" t="s">
        <v>3722</v>
      </c>
      <c r="N1847" s="34" t="s">
        <v>29</v>
      </c>
      <c r="O1847" s="27"/>
      <c r="P1847" s="113">
        <v>46211</v>
      </c>
      <c r="Q1847" s="113">
        <v>46211</v>
      </c>
      <c r="R1847" s="113">
        <v>46211</v>
      </c>
      <c r="S1847" s="37">
        <f t="shared" si="374"/>
        <v>2624905</v>
      </c>
      <c r="T1847" s="37">
        <f t="shared" si="375"/>
        <v>0</v>
      </c>
      <c r="U1847" s="10"/>
      <c r="V1847" s="10"/>
      <c r="W1847" s="10"/>
      <c r="X1847" s="10"/>
      <c r="Y1847" s="10"/>
      <c r="Z1847" s="10"/>
      <c r="AA1847" s="10"/>
      <c r="AB1847" s="10"/>
      <c r="AC1847" s="10"/>
      <c r="AD1847" s="10"/>
      <c r="AE1847" s="10"/>
    </row>
    <row r="1848" spans="1:31" ht="14.25" hidden="1" customHeight="1">
      <c r="A1848" s="277" t="s">
        <v>7774</v>
      </c>
      <c r="B1848" s="9" t="s">
        <v>21</v>
      </c>
      <c r="C1848" s="9">
        <v>2025</v>
      </c>
      <c r="D1848" s="9" t="s">
        <v>27</v>
      </c>
      <c r="E1848" s="90" t="s">
        <v>23</v>
      </c>
      <c r="F1848" s="9" t="s">
        <v>7</v>
      </c>
      <c r="G1848" s="10"/>
      <c r="H1848" s="96">
        <v>251011</v>
      </c>
      <c r="I1848" s="109" t="s">
        <v>938</v>
      </c>
      <c r="J1848" s="115">
        <v>45933</v>
      </c>
      <c r="K1848" s="119">
        <v>45958</v>
      </c>
      <c r="L1848" s="116">
        <v>545787</v>
      </c>
      <c r="M1848" s="116" t="s">
        <v>3887</v>
      </c>
      <c r="N1848" s="34" t="s">
        <v>29</v>
      </c>
      <c r="O1848" s="27"/>
      <c r="P1848" s="113">
        <v>46211</v>
      </c>
      <c r="Q1848" s="113">
        <v>46211</v>
      </c>
      <c r="R1848" s="113">
        <v>46211</v>
      </c>
      <c r="S1848" s="37">
        <f t="shared" si="374"/>
        <v>545787</v>
      </c>
      <c r="T1848" s="37">
        <f t="shared" si="375"/>
        <v>0</v>
      </c>
      <c r="U1848" s="10"/>
      <c r="V1848" s="10"/>
      <c r="W1848" s="10"/>
      <c r="X1848" s="10"/>
      <c r="Y1848" s="10"/>
      <c r="Z1848" s="10"/>
      <c r="AA1848" s="10"/>
      <c r="AB1848" s="10"/>
      <c r="AC1848" s="10"/>
      <c r="AD1848" s="10"/>
      <c r="AE1848" s="10"/>
    </row>
    <row r="1849" spans="1:31" ht="14.25" hidden="1" customHeight="1">
      <c r="A1849" s="277" t="s">
        <v>7775</v>
      </c>
      <c r="B1849" s="9" t="s">
        <v>21</v>
      </c>
      <c r="C1849" s="9">
        <v>2025</v>
      </c>
      <c r="D1849" s="9" t="s">
        <v>27</v>
      </c>
      <c r="E1849" s="90" t="s">
        <v>23</v>
      </c>
      <c r="F1849" s="9" t="s">
        <v>7</v>
      </c>
      <c r="G1849" s="10"/>
      <c r="H1849" s="96">
        <v>251110</v>
      </c>
      <c r="I1849" s="109" t="s">
        <v>938</v>
      </c>
      <c r="J1849" s="115">
        <v>45959</v>
      </c>
      <c r="K1849" s="119">
        <v>45974</v>
      </c>
      <c r="L1849" s="116">
        <v>2627110</v>
      </c>
      <c r="M1849" s="116" t="s">
        <v>3987</v>
      </c>
      <c r="N1849" s="34" t="s">
        <v>29</v>
      </c>
      <c r="O1849" s="27"/>
      <c r="P1849" s="113">
        <v>46211</v>
      </c>
      <c r="Q1849" s="113">
        <v>46211</v>
      </c>
      <c r="R1849" s="113">
        <v>46211</v>
      </c>
      <c r="S1849" s="37">
        <f>IF(R1849="",0,L1849)</f>
        <v>2627110</v>
      </c>
      <c r="T1849" s="37">
        <f>L1849-S1849</f>
        <v>0</v>
      </c>
      <c r="U1849" s="10"/>
      <c r="V1849" s="10"/>
      <c r="W1849" s="10"/>
      <c r="X1849" s="10"/>
      <c r="Y1849" s="10"/>
      <c r="Z1849" s="10"/>
      <c r="AA1849" s="10"/>
      <c r="AB1849" s="10"/>
      <c r="AC1849" s="10"/>
      <c r="AD1849" s="10"/>
      <c r="AE1849" s="10"/>
    </row>
    <row r="1850" spans="1:31" ht="14.25" hidden="1" customHeight="1">
      <c r="A1850" s="277" t="s">
        <v>7776</v>
      </c>
      <c r="B1850" s="9" t="s">
        <v>21</v>
      </c>
      <c r="C1850" s="9">
        <v>2025</v>
      </c>
      <c r="D1850" s="9" t="s">
        <v>27</v>
      </c>
      <c r="E1850" s="90" t="s">
        <v>23</v>
      </c>
      <c r="F1850" s="9" t="s">
        <v>7</v>
      </c>
      <c r="G1850" s="10"/>
      <c r="H1850" s="96">
        <v>251109</v>
      </c>
      <c r="I1850" s="109" t="s">
        <v>938</v>
      </c>
      <c r="J1850" s="115">
        <v>45959</v>
      </c>
      <c r="K1850" s="119">
        <v>45974</v>
      </c>
      <c r="L1850" s="116">
        <v>549894</v>
      </c>
      <c r="M1850" s="116" t="s">
        <v>3988</v>
      </c>
      <c r="N1850" s="34" t="s">
        <v>29</v>
      </c>
      <c r="O1850" s="27"/>
      <c r="P1850" s="113">
        <v>46211</v>
      </c>
      <c r="Q1850" s="113">
        <v>46211</v>
      </c>
      <c r="R1850" s="113">
        <v>46211</v>
      </c>
      <c r="S1850" s="37">
        <f>IF(R1850="",0,L1850)</f>
        <v>549894</v>
      </c>
      <c r="T1850" s="37">
        <f>L1850-S1850</f>
        <v>0</v>
      </c>
      <c r="U1850" s="10"/>
      <c r="V1850" s="10"/>
      <c r="W1850" s="10"/>
      <c r="X1850" s="10"/>
      <c r="Y1850" s="10"/>
      <c r="Z1850" s="10"/>
      <c r="AA1850" s="10"/>
      <c r="AB1850" s="10"/>
      <c r="AC1850" s="10"/>
      <c r="AD1850" s="10"/>
      <c r="AE1850" s="10"/>
    </row>
    <row r="1851" spans="1:31" ht="14.25" customHeight="1">
      <c r="A1851" s="277" t="s">
        <v>7777</v>
      </c>
      <c r="B1851" s="9" t="s">
        <v>21</v>
      </c>
      <c r="C1851" s="9">
        <v>2025</v>
      </c>
      <c r="D1851" s="9" t="s">
        <v>27</v>
      </c>
      <c r="E1851" s="90" t="s">
        <v>23</v>
      </c>
      <c r="F1851" s="9" t="s">
        <v>7</v>
      </c>
      <c r="G1851" s="10"/>
      <c r="H1851" s="96">
        <v>251175</v>
      </c>
      <c r="I1851" s="109" t="s">
        <v>938</v>
      </c>
      <c r="J1851" s="115">
        <v>45968</v>
      </c>
      <c r="K1851" s="119">
        <v>45974</v>
      </c>
      <c r="L1851" s="116">
        <v>1133914</v>
      </c>
      <c r="M1851" s="116" t="s">
        <v>3989</v>
      </c>
      <c r="N1851" s="34" t="s">
        <v>29</v>
      </c>
      <c r="O1851" s="27"/>
      <c r="P1851" s="113">
        <v>46211</v>
      </c>
      <c r="Q1851" s="113">
        <v>46211</v>
      </c>
      <c r="R1851" s="113">
        <v>46211</v>
      </c>
      <c r="S1851" s="37">
        <f>IF(R1851="",0,L1851)</f>
        <v>1133914</v>
      </c>
      <c r="T1851" s="37">
        <f>L1851-S1851</f>
        <v>0</v>
      </c>
      <c r="U1851" s="10"/>
      <c r="V1851" s="10"/>
      <c r="W1851" s="10"/>
      <c r="X1851" s="10"/>
      <c r="Y1851" s="10"/>
      <c r="Z1851" s="10"/>
      <c r="AA1851" s="10"/>
      <c r="AB1851" s="10"/>
      <c r="AC1851" s="10"/>
      <c r="AD1851" s="10"/>
      <c r="AE1851" s="10"/>
    </row>
    <row r="1852" spans="1:31" ht="14.25" customHeight="1">
      <c r="A1852" s="277" t="s">
        <v>7778</v>
      </c>
      <c r="B1852" s="9" t="s">
        <v>21</v>
      </c>
      <c r="C1852" s="9"/>
      <c r="D1852" s="9"/>
      <c r="E1852" s="90"/>
      <c r="F1852" s="9"/>
      <c r="G1852" s="10"/>
      <c r="H1852" s="9"/>
      <c r="I1852" s="11"/>
      <c r="J1852" s="12"/>
      <c r="K1852" s="12"/>
      <c r="L1852" s="27"/>
      <c r="M1852" s="10"/>
      <c r="N1852" s="114">
        <f t="shared" ref="N1852" ca="1" si="376">$J$3-J1852</f>
        <v>46240.46377638889</v>
      </c>
      <c r="O1852" s="27"/>
      <c r="P1852" s="49"/>
      <c r="Q1852" s="49"/>
      <c r="R1852" s="49"/>
      <c r="S1852" s="37">
        <f t="shared" si="374"/>
        <v>0</v>
      </c>
      <c r="T1852" s="37">
        <f t="shared" si="375"/>
        <v>0</v>
      </c>
      <c r="U1852" s="10"/>
      <c r="V1852" s="10"/>
      <c r="W1852" s="10"/>
      <c r="X1852" s="10"/>
      <c r="Y1852" s="10"/>
      <c r="Z1852" s="10"/>
      <c r="AA1852" s="10"/>
      <c r="AB1852" s="10"/>
      <c r="AC1852" s="10"/>
      <c r="AD1852" s="10"/>
      <c r="AE1852" s="10"/>
    </row>
    <row r="1853" spans="1:31" ht="14.25" customHeight="1">
      <c r="A1853" s="277" t="s">
        <v>7779</v>
      </c>
      <c r="B1853" s="9" t="s">
        <v>21</v>
      </c>
      <c r="C1853" s="9"/>
      <c r="D1853" s="9"/>
      <c r="E1853" s="90"/>
      <c r="F1853" s="9"/>
      <c r="G1853" s="9"/>
      <c r="H1853" s="93"/>
      <c r="I1853" s="11"/>
      <c r="J1853" s="12"/>
      <c r="K1853" s="12"/>
      <c r="L1853" s="118"/>
      <c r="M1853" s="103"/>
      <c r="N1853" s="33"/>
      <c r="O1853" s="33"/>
      <c r="P1853" s="33"/>
      <c r="Q1853" s="33"/>
      <c r="R1853" s="33"/>
      <c r="S1853" s="118"/>
      <c r="T1853" s="118"/>
      <c r="U1853" s="10"/>
      <c r="V1853" s="10"/>
      <c r="W1853" s="10"/>
      <c r="X1853" s="10"/>
      <c r="Y1853" s="10"/>
      <c r="Z1853" s="10"/>
      <c r="AA1853" s="10"/>
      <c r="AB1853" s="10"/>
      <c r="AC1853" s="10"/>
      <c r="AD1853" s="10"/>
      <c r="AE1853" s="10"/>
    </row>
    <row r="1854" spans="1:31" ht="14.25" customHeight="1">
      <c r="A1854" s="277" t="s">
        <v>7780</v>
      </c>
      <c r="B1854" s="9" t="s">
        <v>21</v>
      </c>
      <c r="C1854" s="9"/>
      <c r="D1854" s="9"/>
      <c r="E1854" s="90"/>
      <c r="F1854" s="9"/>
      <c r="G1854" s="94" t="s">
        <v>24</v>
      </c>
      <c r="H1854" s="95" t="s">
        <v>949</v>
      </c>
      <c r="I1854" s="104"/>
      <c r="J1854" s="105"/>
      <c r="K1854" s="105"/>
      <c r="L1854" s="106">
        <f>SUM(L1855:L1862)</f>
        <v>10704784</v>
      </c>
      <c r="M1854" s="107"/>
      <c r="N1854" s="108" t="s">
        <v>26</v>
      </c>
      <c r="O1854" s="108"/>
      <c r="P1854" s="108"/>
      <c r="Q1854" s="108"/>
      <c r="R1854" s="108"/>
      <c r="S1854" s="106">
        <f>SUM(S1855:S1862)</f>
        <v>6816989</v>
      </c>
      <c r="T1854" s="106">
        <f>SUM(T1855:T1862)</f>
        <v>3887795</v>
      </c>
      <c r="U1854" s="10"/>
      <c r="V1854" s="52">
        <f>L1854-S1854</f>
        <v>3887795</v>
      </c>
      <c r="W1854" s="52">
        <f>T1854-V1854</f>
        <v>0</v>
      </c>
      <c r="X1854" s="10"/>
      <c r="Y1854" s="10"/>
      <c r="Z1854" s="10"/>
      <c r="AA1854" s="10"/>
      <c r="AB1854" s="10"/>
      <c r="AC1854" s="10"/>
      <c r="AD1854" s="10"/>
      <c r="AE1854" s="10"/>
    </row>
    <row r="1855" spans="1:31" ht="14.25" hidden="1" customHeight="1">
      <c r="A1855" s="277" t="s">
        <v>7781</v>
      </c>
      <c r="B1855" s="9" t="s">
        <v>21</v>
      </c>
      <c r="C1855" s="9">
        <v>2025</v>
      </c>
      <c r="D1855" s="9" t="s">
        <v>27</v>
      </c>
      <c r="E1855" s="90" t="s">
        <v>23</v>
      </c>
      <c r="F1855" s="9" t="s">
        <v>7</v>
      </c>
      <c r="G1855" s="120"/>
      <c r="H1855" s="121">
        <v>250575</v>
      </c>
      <c r="I1855" s="121" t="s">
        <v>949</v>
      </c>
      <c r="J1855" s="110">
        <v>45810</v>
      </c>
      <c r="K1855" s="110">
        <v>45834</v>
      </c>
      <c r="L1855" s="111">
        <v>943500</v>
      </c>
      <c r="M1855" s="111" t="s">
        <v>950</v>
      </c>
      <c r="N1855" s="34" t="s">
        <v>29</v>
      </c>
      <c r="O1855" s="27">
        <f>SUM(L1855:L1857)</f>
        <v>2830500</v>
      </c>
      <c r="P1855" s="113">
        <v>45898</v>
      </c>
      <c r="Q1855" s="113">
        <v>45898</v>
      </c>
      <c r="R1855" s="113">
        <v>45898</v>
      </c>
      <c r="S1855" s="37">
        <f t="shared" ref="S1855:S1862" si="377">IF(R1855="",0,L1855)</f>
        <v>943500</v>
      </c>
      <c r="T1855" s="37">
        <f t="shared" ref="T1855:T1862" si="378">L1855-S1855</f>
        <v>0</v>
      </c>
      <c r="U1855" s="10"/>
      <c r="V1855" s="52"/>
      <c r="W1855" s="52"/>
      <c r="X1855" s="10"/>
      <c r="Y1855" s="10"/>
      <c r="Z1855" s="10"/>
      <c r="AA1855" s="10"/>
      <c r="AB1855" s="10"/>
      <c r="AC1855" s="10"/>
      <c r="AD1855" s="10"/>
      <c r="AE1855" s="10"/>
    </row>
    <row r="1856" spans="1:31" ht="14.25" hidden="1" customHeight="1">
      <c r="A1856" s="277" t="s">
        <v>7782</v>
      </c>
      <c r="B1856" s="9" t="s">
        <v>21</v>
      </c>
      <c r="C1856" s="9">
        <v>2025</v>
      </c>
      <c r="D1856" s="9" t="s">
        <v>27</v>
      </c>
      <c r="E1856" s="90" t="s">
        <v>23</v>
      </c>
      <c r="F1856" s="9" t="s">
        <v>7</v>
      </c>
      <c r="G1856" s="120"/>
      <c r="H1856" s="121">
        <v>250574</v>
      </c>
      <c r="I1856" s="121" t="s">
        <v>949</v>
      </c>
      <c r="J1856" s="110">
        <v>45810</v>
      </c>
      <c r="K1856" s="110">
        <v>45834</v>
      </c>
      <c r="L1856" s="111">
        <v>943500</v>
      </c>
      <c r="M1856" s="131" t="s">
        <v>951</v>
      </c>
      <c r="N1856" s="34" t="s">
        <v>29</v>
      </c>
      <c r="O1856" s="33"/>
      <c r="P1856" s="113">
        <v>45898</v>
      </c>
      <c r="Q1856" s="113">
        <v>45898</v>
      </c>
      <c r="R1856" s="113">
        <v>45898</v>
      </c>
      <c r="S1856" s="37">
        <f t="shared" si="377"/>
        <v>943500</v>
      </c>
      <c r="T1856" s="37">
        <f t="shared" si="378"/>
        <v>0</v>
      </c>
      <c r="U1856" s="10"/>
      <c r="V1856" s="10"/>
      <c r="W1856" s="10"/>
      <c r="X1856" s="10"/>
      <c r="Y1856" s="10"/>
      <c r="Z1856" s="10"/>
      <c r="AA1856" s="10"/>
      <c r="AB1856" s="10"/>
      <c r="AC1856" s="10"/>
      <c r="AD1856" s="10"/>
      <c r="AE1856" s="10"/>
    </row>
    <row r="1857" spans="1:31" ht="14.25" hidden="1" customHeight="1">
      <c r="A1857" s="277" t="s">
        <v>7783</v>
      </c>
      <c r="B1857" s="9" t="s">
        <v>21</v>
      </c>
      <c r="C1857" s="9">
        <v>2025</v>
      </c>
      <c r="D1857" s="9" t="s">
        <v>27</v>
      </c>
      <c r="E1857" s="90" t="s">
        <v>23</v>
      </c>
      <c r="F1857" s="9" t="s">
        <v>7</v>
      </c>
      <c r="G1857" s="120"/>
      <c r="H1857" s="121">
        <v>250573</v>
      </c>
      <c r="I1857" s="121" t="s">
        <v>949</v>
      </c>
      <c r="J1857" s="115">
        <v>45784</v>
      </c>
      <c r="K1857" s="110">
        <v>45834</v>
      </c>
      <c r="L1857" s="111">
        <v>943500</v>
      </c>
      <c r="M1857" s="131" t="s">
        <v>952</v>
      </c>
      <c r="N1857" s="34" t="s">
        <v>29</v>
      </c>
      <c r="O1857" s="33"/>
      <c r="P1857" s="113">
        <v>45898</v>
      </c>
      <c r="Q1857" s="113">
        <v>45898</v>
      </c>
      <c r="R1857" s="113">
        <v>45898</v>
      </c>
      <c r="S1857" s="37">
        <f t="shared" si="377"/>
        <v>943500</v>
      </c>
      <c r="T1857" s="37">
        <f t="shared" si="378"/>
        <v>0</v>
      </c>
      <c r="U1857" s="10"/>
      <c r="V1857" s="10"/>
      <c r="W1857" s="10"/>
      <c r="X1857" s="10"/>
      <c r="Y1857" s="10"/>
      <c r="Z1857" s="10"/>
      <c r="AA1857" s="10"/>
      <c r="AB1857" s="10"/>
      <c r="AC1857" s="10"/>
      <c r="AD1857" s="10"/>
      <c r="AE1857" s="10"/>
    </row>
    <row r="1858" spans="1:31" ht="14.25" hidden="1" customHeight="1">
      <c r="A1858" s="277" t="s">
        <v>6010</v>
      </c>
      <c r="B1858" s="9" t="s">
        <v>21</v>
      </c>
      <c r="C1858" s="9">
        <v>2025</v>
      </c>
      <c r="D1858" s="9" t="s">
        <v>27</v>
      </c>
      <c r="E1858" s="90" t="s">
        <v>23</v>
      </c>
      <c r="F1858" s="9" t="s">
        <v>7</v>
      </c>
      <c r="G1858" s="120"/>
      <c r="H1858" s="121">
        <v>250840</v>
      </c>
      <c r="I1858" s="121" t="s">
        <v>949</v>
      </c>
      <c r="J1858" s="115">
        <v>45889</v>
      </c>
      <c r="K1858" s="110">
        <v>45902</v>
      </c>
      <c r="L1858" s="111">
        <v>1155989</v>
      </c>
      <c r="M1858" s="131" t="s">
        <v>953</v>
      </c>
      <c r="N1858" s="34" t="s">
        <v>29</v>
      </c>
      <c r="O1858" s="103">
        <f>SUM(L1858:L1859)</f>
        <v>3986489</v>
      </c>
      <c r="P1858" s="113">
        <v>46002</v>
      </c>
      <c r="Q1858" s="113">
        <v>46002</v>
      </c>
      <c r="R1858" s="113">
        <v>46002</v>
      </c>
      <c r="S1858" s="37">
        <f t="shared" si="377"/>
        <v>1155989</v>
      </c>
      <c r="T1858" s="37">
        <f t="shared" si="378"/>
        <v>0</v>
      </c>
      <c r="U1858" s="10"/>
      <c r="V1858" s="10"/>
      <c r="W1858" s="10"/>
      <c r="X1858" s="10"/>
      <c r="Y1858" s="10"/>
      <c r="Z1858" s="10"/>
      <c r="AA1858" s="10"/>
      <c r="AB1858" s="10"/>
      <c r="AC1858" s="10"/>
      <c r="AD1858" s="10"/>
      <c r="AE1858" s="10"/>
    </row>
    <row r="1859" spans="1:31" ht="14.25" customHeight="1">
      <c r="A1859" s="277" t="s">
        <v>6011</v>
      </c>
      <c r="B1859" s="9" t="s">
        <v>21</v>
      </c>
      <c r="C1859" s="9">
        <v>2025</v>
      </c>
      <c r="D1859" s="9" t="s">
        <v>27</v>
      </c>
      <c r="E1859" s="90" t="s">
        <v>23</v>
      </c>
      <c r="F1859" s="9" t="s">
        <v>7</v>
      </c>
      <c r="G1859" s="120"/>
      <c r="H1859" s="121">
        <v>250976</v>
      </c>
      <c r="I1859" s="121" t="s">
        <v>949</v>
      </c>
      <c r="J1859" s="115">
        <v>45926</v>
      </c>
      <c r="K1859" s="110">
        <v>45953</v>
      </c>
      <c r="L1859" s="111">
        <v>2830500</v>
      </c>
      <c r="M1859" s="131" t="s">
        <v>3867</v>
      </c>
      <c r="N1859" s="34" t="s">
        <v>29</v>
      </c>
      <c r="O1859" s="33"/>
      <c r="P1859" s="113">
        <v>46002</v>
      </c>
      <c r="Q1859" s="113">
        <v>46002</v>
      </c>
      <c r="R1859" s="113">
        <v>46002</v>
      </c>
      <c r="S1859" s="37">
        <f t="shared" si="377"/>
        <v>2830500</v>
      </c>
      <c r="T1859" s="37">
        <f t="shared" si="378"/>
        <v>0</v>
      </c>
      <c r="U1859" s="10"/>
      <c r="V1859" s="10"/>
      <c r="W1859" s="10"/>
      <c r="X1859" s="10"/>
      <c r="Y1859" s="10"/>
      <c r="Z1859" s="10"/>
      <c r="AA1859" s="10"/>
      <c r="AB1859" s="10"/>
      <c r="AC1859" s="10"/>
      <c r="AD1859" s="10"/>
      <c r="AE1859" s="10"/>
    </row>
    <row r="1860" spans="1:31" ht="14.25" customHeight="1">
      <c r="A1860" s="277" t="s">
        <v>6012</v>
      </c>
      <c r="B1860" s="9" t="s">
        <v>21</v>
      </c>
      <c r="C1860" s="9">
        <v>2026</v>
      </c>
      <c r="D1860" s="9" t="s">
        <v>77</v>
      </c>
      <c r="E1860" s="90" t="s">
        <v>23</v>
      </c>
      <c r="F1860" s="9" t="s">
        <v>7</v>
      </c>
      <c r="G1860" s="120"/>
      <c r="H1860" s="126">
        <v>260209</v>
      </c>
      <c r="I1860" s="126" t="s">
        <v>949</v>
      </c>
      <c r="J1860" s="12">
        <v>46120</v>
      </c>
      <c r="K1860" s="127">
        <v>46165</v>
      </c>
      <c r="L1860" s="128">
        <v>1623462</v>
      </c>
      <c r="M1860" s="52" t="s">
        <v>7080</v>
      </c>
      <c r="N1860" s="34">
        <f t="shared" ref="N1860:N1861" ca="1" si="379">$J$3-J1860</f>
        <v>120.46377638888953</v>
      </c>
      <c r="O1860" s="33"/>
      <c r="P1860" s="39"/>
      <c r="Q1860" s="39"/>
      <c r="R1860" s="39"/>
      <c r="S1860" s="37">
        <f t="shared" ref="S1860:S1861" si="380">IF(R1860="",0,L1860)</f>
        <v>0</v>
      </c>
      <c r="T1860" s="37">
        <f t="shared" ref="T1860:T1861" si="381">L1860-S1860</f>
        <v>1623462</v>
      </c>
      <c r="U1860" s="10"/>
      <c r="V1860" s="10"/>
      <c r="W1860" s="10"/>
      <c r="X1860" s="10"/>
      <c r="Y1860" s="10"/>
      <c r="Z1860" s="10"/>
      <c r="AA1860" s="10"/>
      <c r="AB1860" s="10"/>
      <c r="AC1860" s="10"/>
      <c r="AD1860" s="10"/>
      <c r="AE1860" s="10"/>
    </row>
    <row r="1861" spans="1:31" ht="14.25" customHeight="1">
      <c r="A1861" s="277" t="s">
        <v>6013</v>
      </c>
      <c r="B1861" s="9" t="s">
        <v>21</v>
      </c>
      <c r="C1861" s="9">
        <v>2026</v>
      </c>
      <c r="D1861" s="9" t="s">
        <v>77</v>
      </c>
      <c r="E1861" s="90" t="s">
        <v>23</v>
      </c>
      <c r="F1861" s="9" t="s">
        <v>7</v>
      </c>
      <c r="G1861" s="120"/>
      <c r="H1861" s="126">
        <v>260486</v>
      </c>
      <c r="I1861" s="126" t="s">
        <v>949</v>
      </c>
      <c r="J1861" s="12">
        <v>46216</v>
      </c>
      <c r="K1861" s="127">
        <v>46233</v>
      </c>
      <c r="L1861" s="128">
        <v>2264333</v>
      </c>
      <c r="M1861" s="52" t="s">
        <v>7454</v>
      </c>
      <c r="N1861" s="34">
        <f t="shared" ca="1" si="379"/>
        <v>24.463776388889528</v>
      </c>
      <c r="O1861" s="33"/>
      <c r="P1861" s="39"/>
      <c r="Q1861" s="39"/>
      <c r="R1861" s="39"/>
      <c r="S1861" s="37">
        <f t="shared" si="380"/>
        <v>0</v>
      </c>
      <c r="T1861" s="37">
        <f t="shared" si="381"/>
        <v>2264333</v>
      </c>
      <c r="U1861" s="10"/>
      <c r="V1861" s="10"/>
      <c r="W1861" s="10"/>
      <c r="X1861" s="10"/>
      <c r="Y1861" s="10"/>
      <c r="Z1861" s="10"/>
      <c r="AA1861" s="10"/>
      <c r="AB1861" s="10"/>
      <c r="AC1861" s="10"/>
      <c r="AD1861" s="10"/>
      <c r="AE1861" s="10"/>
    </row>
    <row r="1862" spans="1:31" ht="14.25" customHeight="1">
      <c r="A1862" s="277" t="s">
        <v>6014</v>
      </c>
      <c r="B1862" s="9" t="s">
        <v>21</v>
      </c>
      <c r="C1862" s="9"/>
      <c r="D1862" s="9"/>
      <c r="E1862" s="90"/>
      <c r="F1862" s="9"/>
      <c r="G1862" s="10"/>
      <c r="H1862" s="9"/>
      <c r="I1862" s="11"/>
      <c r="J1862" s="12"/>
      <c r="K1862" s="12"/>
      <c r="L1862" s="27"/>
      <c r="M1862" s="10"/>
      <c r="N1862" s="114">
        <f ca="1">$J$3-J1862</f>
        <v>46240.46377638889</v>
      </c>
      <c r="O1862" s="27"/>
      <c r="P1862" s="49"/>
      <c r="Q1862" s="49"/>
      <c r="R1862" s="49"/>
      <c r="S1862" s="37">
        <f t="shared" si="377"/>
        <v>0</v>
      </c>
      <c r="T1862" s="37">
        <f t="shared" si="378"/>
        <v>0</v>
      </c>
      <c r="U1862" s="10"/>
      <c r="V1862" s="10"/>
      <c r="W1862" s="10"/>
      <c r="X1862" s="10"/>
      <c r="Y1862" s="10"/>
      <c r="Z1862" s="10"/>
      <c r="AA1862" s="10"/>
      <c r="AB1862" s="10"/>
      <c r="AC1862" s="10"/>
      <c r="AD1862" s="10"/>
      <c r="AE1862" s="10"/>
    </row>
    <row r="1863" spans="1:31" ht="14.25" customHeight="1">
      <c r="A1863" s="277" t="s">
        <v>6015</v>
      </c>
      <c r="B1863" s="9"/>
      <c r="C1863" s="9"/>
      <c r="D1863" s="9"/>
      <c r="E1863" s="90"/>
      <c r="F1863" s="9"/>
      <c r="G1863" s="10"/>
      <c r="H1863" s="9"/>
      <c r="I1863" s="11"/>
      <c r="J1863" s="12"/>
      <c r="K1863" s="12"/>
      <c r="L1863" s="27"/>
      <c r="M1863" s="10"/>
      <c r="N1863" s="34"/>
      <c r="O1863" s="27"/>
      <c r="P1863" s="49"/>
      <c r="Q1863" s="49"/>
      <c r="R1863" s="49"/>
      <c r="S1863" s="37"/>
      <c r="T1863" s="37"/>
      <c r="U1863" s="10"/>
      <c r="V1863" s="10"/>
      <c r="W1863" s="10"/>
      <c r="X1863" s="10"/>
      <c r="Y1863" s="10"/>
      <c r="Z1863" s="10"/>
      <c r="AA1863" s="10"/>
      <c r="AB1863" s="10"/>
      <c r="AC1863" s="10"/>
      <c r="AD1863" s="10"/>
      <c r="AE1863" s="10"/>
    </row>
    <row r="1864" spans="1:31">
      <c r="A1864" s="277" t="s">
        <v>6016</v>
      </c>
      <c r="B1864" s="9" t="s">
        <v>21</v>
      </c>
      <c r="C1864" s="9"/>
      <c r="D1864" s="9"/>
      <c r="E1864" s="90"/>
      <c r="F1864" s="9"/>
      <c r="G1864" s="94" t="s">
        <v>24</v>
      </c>
      <c r="H1864" s="95" t="s">
        <v>954</v>
      </c>
      <c r="I1864" s="104"/>
      <c r="J1864" s="105"/>
      <c r="K1864" s="105"/>
      <c r="L1864" s="106">
        <f>SUM(L1865:L1884)</f>
        <v>21874215</v>
      </c>
      <c r="M1864" s="107"/>
      <c r="N1864" s="108" t="s">
        <v>26</v>
      </c>
      <c r="O1864" s="108"/>
      <c r="P1864" s="108"/>
      <c r="Q1864" s="108"/>
      <c r="R1864" s="108"/>
      <c r="S1864" s="106">
        <f>SUM(S1865:S1884)</f>
        <v>14121975</v>
      </c>
      <c r="T1864" s="106">
        <f>SUM(T1865:T1884)</f>
        <v>7752240</v>
      </c>
      <c r="U1864" s="10"/>
      <c r="V1864" s="52">
        <f>L1864-S1864</f>
        <v>7752240</v>
      </c>
      <c r="W1864" s="52">
        <f>T1864-V1864</f>
        <v>0</v>
      </c>
      <c r="X1864" s="10"/>
      <c r="Y1864" s="10"/>
      <c r="Z1864" s="10"/>
      <c r="AA1864" s="10"/>
      <c r="AB1864" s="10"/>
      <c r="AC1864" s="10"/>
      <c r="AD1864" s="10"/>
      <c r="AE1864" s="10"/>
    </row>
    <row r="1865" spans="1:31" ht="14.25" hidden="1" customHeight="1">
      <c r="A1865" s="277" t="s">
        <v>6017</v>
      </c>
      <c r="B1865" s="9" t="s">
        <v>21</v>
      </c>
      <c r="C1865" s="9">
        <v>2024</v>
      </c>
      <c r="D1865" s="9" t="s">
        <v>27</v>
      </c>
      <c r="E1865" s="90" t="s">
        <v>23</v>
      </c>
      <c r="F1865" s="9" t="s">
        <v>7</v>
      </c>
      <c r="G1865" s="10"/>
      <c r="H1865" s="96">
        <v>242309</v>
      </c>
      <c r="I1865" s="109" t="s">
        <v>954</v>
      </c>
      <c r="J1865" s="115">
        <v>45602</v>
      </c>
      <c r="K1865" s="119">
        <v>45652</v>
      </c>
      <c r="L1865" s="116">
        <v>266400</v>
      </c>
      <c r="M1865" s="116" t="s">
        <v>955</v>
      </c>
      <c r="N1865" s="34" t="s">
        <v>29</v>
      </c>
      <c r="O1865" s="27">
        <f>SUM(L1865:L1868)</f>
        <v>4054830</v>
      </c>
      <c r="P1865" s="113">
        <v>46051</v>
      </c>
      <c r="Q1865" s="113">
        <v>46051</v>
      </c>
      <c r="R1865" s="113">
        <v>46051</v>
      </c>
      <c r="S1865" s="37">
        <f t="shared" ref="S1865:S1872" si="382">IF(R1865="",0,L1865)</f>
        <v>266400</v>
      </c>
      <c r="T1865" s="37">
        <f t="shared" ref="T1865:T1872" si="383">L1865-S1865</f>
        <v>0</v>
      </c>
      <c r="U1865" s="10"/>
      <c r="V1865" s="10"/>
      <c r="W1865" s="10"/>
      <c r="X1865" s="10"/>
      <c r="Y1865" s="10"/>
      <c r="Z1865" s="10"/>
      <c r="AA1865" s="10"/>
      <c r="AB1865" s="10"/>
      <c r="AC1865" s="10"/>
      <c r="AD1865" s="10"/>
      <c r="AE1865" s="10"/>
    </row>
    <row r="1866" spans="1:31" ht="14.25" hidden="1" customHeight="1">
      <c r="A1866" s="277" t="s">
        <v>6018</v>
      </c>
      <c r="B1866" s="9" t="s">
        <v>21</v>
      </c>
      <c r="C1866" s="9">
        <v>2024</v>
      </c>
      <c r="D1866" s="9" t="s">
        <v>27</v>
      </c>
      <c r="E1866" s="90" t="s">
        <v>23</v>
      </c>
      <c r="F1866" s="9" t="s">
        <v>7</v>
      </c>
      <c r="G1866" s="10"/>
      <c r="H1866" s="96">
        <v>242275</v>
      </c>
      <c r="I1866" s="109" t="s">
        <v>954</v>
      </c>
      <c r="J1866" s="115">
        <v>45603</v>
      </c>
      <c r="K1866" s="119">
        <v>45652</v>
      </c>
      <c r="L1866" s="116">
        <v>991230</v>
      </c>
      <c r="M1866" s="116" t="s">
        <v>956</v>
      </c>
      <c r="N1866" s="34" t="s">
        <v>29</v>
      </c>
      <c r="O1866" s="10"/>
      <c r="P1866" s="113">
        <v>46051</v>
      </c>
      <c r="Q1866" s="113">
        <v>46051</v>
      </c>
      <c r="R1866" s="113">
        <v>46051</v>
      </c>
      <c r="S1866" s="37">
        <f t="shared" si="382"/>
        <v>991230</v>
      </c>
      <c r="T1866" s="37">
        <f t="shared" si="383"/>
        <v>0</v>
      </c>
      <c r="U1866" s="10"/>
      <c r="V1866" s="10"/>
      <c r="W1866" s="10"/>
      <c r="X1866" s="10"/>
      <c r="Y1866" s="10"/>
      <c r="Z1866" s="10"/>
      <c r="AA1866" s="10"/>
      <c r="AB1866" s="10"/>
      <c r="AC1866" s="10"/>
      <c r="AD1866" s="10"/>
      <c r="AE1866" s="10"/>
    </row>
    <row r="1867" spans="1:31" ht="14.25" hidden="1" customHeight="1">
      <c r="A1867" s="277" t="s">
        <v>6019</v>
      </c>
      <c r="B1867" s="9" t="s">
        <v>21</v>
      </c>
      <c r="C1867" s="9">
        <v>2024</v>
      </c>
      <c r="D1867" s="9" t="s">
        <v>27</v>
      </c>
      <c r="E1867" s="90" t="s">
        <v>23</v>
      </c>
      <c r="F1867" s="9" t="s">
        <v>7</v>
      </c>
      <c r="G1867" s="10"/>
      <c r="H1867" s="96">
        <v>242381</v>
      </c>
      <c r="I1867" s="109" t="s">
        <v>954</v>
      </c>
      <c r="J1867" s="115">
        <v>45616</v>
      </c>
      <c r="K1867" s="119">
        <v>45652</v>
      </c>
      <c r="L1867" s="116">
        <v>2364300</v>
      </c>
      <c r="M1867" s="116" t="s">
        <v>957</v>
      </c>
      <c r="N1867" s="34" t="s">
        <v>29</v>
      </c>
      <c r="O1867" s="10"/>
      <c r="P1867" s="113">
        <v>46051</v>
      </c>
      <c r="Q1867" s="113">
        <v>46051</v>
      </c>
      <c r="R1867" s="113">
        <v>46051</v>
      </c>
      <c r="S1867" s="37">
        <f t="shared" si="382"/>
        <v>2364300</v>
      </c>
      <c r="T1867" s="37">
        <f t="shared" si="383"/>
        <v>0</v>
      </c>
      <c r="U1867" s="10"/>
      <c r="V1867" s="10"/>
      <c r="W1867" s="10"/>
      <c r="X1867" s="10"/>
      <c r="Y1867" s="10"/>
      <c r="Z1867" s="10"/>
      <c r="AA1867" s="10"/>
      <c r="AB1867" s="10"/>
      <c r="AC1867" s="10"/>
      <c r="AD1867" s="10"/>
      <c r="AE1867" s="10"/>
    </row>
    <row r="1868" spans="1:31" ht="14.25" hidden="1" customHeight="1">
      <c r="A1868" s="277" t="s">
        <v>6020</v>
      </c>
      <c r="B1868" s="9" t="s">
        <v>21</v>
      </c>
      <c r="C1868" s="9">
        <v>2025</v>
      </c>
      <c r="D1868" s="9" t="s">
        <v>27</v>
      </c>
      <c r="E1868" s="90" t="s">
        <v>23</v>
      </c>
      <c r="F1868" s="9" t="s">
        <v>7</v>
      </c>
      <c r="G1868" s="10"/>
      <c r="H1868" s="96">
        <v>250010</v>
      </c>
      <c r="I1868" s="109" t="s">
        <v>954</v>
      </c>
      <c r="J1868" s="115">
        <v>45661</v>
      </c>
      <c r="K1868" s="119">
        <v>45701</v>
      </c>
      <c r="L1868" s="116">
        <v>432900</v>
      </c>
      <c r="M1868" s="116" t="s">
        <v>958</v>
      </c>
      <c r="N1868" s="34" t="s">
        <v>29</v>
      </c>
      <c r="O1868" s="10"/>
      <c r="P1868" s="113">
        <v>46051</v>
      </c>
      <c r="Q1868" s="113">
        <v>46051</v>
      </c>
      <c r="R1868" s="113">
        <v>46051</v>
      </c>
      <c r="S1868" s="37">
        <f t="shared" si="382"/>
        <v>432900</v>
      </c>
      <c r="T1868" s="37">
        <f t="shared" si="383"/>
        <v>0</v>
      </c>
      <c r="U1868" s="10"/>
      <c r="V1868" s="10"/>
      <c r="W1868" s="10"/>
      <c r="X1868" s="10"/>
      <c r="Y1868" s="10"/>
      <c r="Z1868" s="10"/>
      <c r="AA1868" s="10"/>
      <c r="AB1868" s="10"/>
      <c r="AC1868" s="10"/>
      <c r="AD1868" s="10"/>
      <c r="AE1868" s="10"/>
    </row>
    <row r="1869" spans="1:31" ht="14.25" hidden="1" customHeight="1">
      <c r="A1869" s="277" t="s">
        <v>6021</v>
      </c>
      <c r="B1869" s="9" t="s">
        <v>21</v>
      </c>
      <c r="C1869" s="9">
        <v>2025</v>
      </c>
      <c r="D1869" s="9" t="s">
        <v>27</v>
      </c>
      <c r="E1869" s="90" t="s">
        <v>23</v>
      </c>
      <c r="F1869" s="9" t="s">
        <v>7</v>
      </c>
      <c r="G1869" s="10"/>
      <c r="H1869" s="96">
        <v>250020</v>
      </c>
      <c r="I1869" s="109" t="s">
        <v>954</v>
      </c>
      <c r="J1869" s="115">
        <v>45664</v>
      </c>
      <c r="K1869" s="119">
        <v>45701</v>
      </c>
      <c r="L1869" s="116">
        <v>1665000</v>
      </c>
      <c r="M1869" s="116" t="s">
        <v>959</v>
      </c>
      <c r="N1869" s="34" t="s">
        <v>29</v>
      </c>
      <c r="O1869" s="27">
        <f>SUM(L1869:L1878)</f>
        <v>10067145</v>
      </c>
      <c r="P1869" s="113">
        <v>46209</v>
      </c>
      <c r="Q1869" s="113">
        <v>46209</v>
      </c>
      <c r="R1869" s="113">
        <v>46209</v>
      </c>
      <c r="S1869" s="37">
        <f t="shared" si="382"/>
        <v>1665000</v>
      </c>
      <c r="T1869" s="37">
        <f t="shared" si="383"/>
        <v>0</v>
      </c>
      <c r="U1869" s="10"/>
      <c r="V1869" s="10"/>
      <c r="W1869" s="10"/>
      <c r="X1869" s="10"/>
      <c r="Y1869" s="10"/>
      <c r="Z1869" s="10"/>
      <c r="AA1869" s="10"/>
      <c r="AB1869" s="10"/>
      <c r="AC1869" s="10"/>
      <c r="AD1869" s="10"/>
      <c r="AE1869" s="10"/>
    </row>
    <row r="1870" spans="1:31" ht="14.25" hidden="1" customHeight="1">
      <c r="A1870" s="277" t="s">
        <v>6022</v>
      </c>
      <c r="B1870" s="9" t="s">
        <v>21</v>
      </c>
      <c r="C1870" s="9">
        <v>2025</v>
      </c>
      <c r="D1870" s="9" t="s">
        <v>27</v>
      </c>
      <c r="E1870" s="90" t="s">
        <v>23</v>
      </c>
      <c r="F1870" s="9" t="s">
        <v>7</v>
      </c>
      <c r="G1870" s="10"/>
      <c r="H1870" s="96">
        <v>250089</v>
      </c>
      <c r="I1870" s="109" t="s">
        <v>954</v>
      </c>
      <c r="J1870" s="115">
        <v>45679</v>
      </c>
      <c r="K1870" s="119">
        <v>45701</v>
      </c>
      <c r="L1870" s="116">
        <v>432900</v>
      </c>
      <c r="M1870" s="116" t="s">
        <v>960</v>
      </c>
      <c r="N1870" s="34" t="s">
        <v>29</v>
      </c>
      <c r="O1870" s="10"/>
      <c r="P1870" s="113">
        <v>46209</v>
      </c>
      <c r="Q1870" s="113">
        <v>46209</v>
      </c>
      <c r="R1870" s="113">
        <v>46209</v>
      </c>
      <c r="S1870" s="37">
        <f t="shared" si="382"/>
        <v>432900</v>
      </c>
      <c r="T1870" s="37">
        <f t="shared" si="383"/>
        <v>0</v>
      </c>
      <c r="U1870" s="10"/>
      <c r="V1870" s="10"/>
      <c r="W1870" s="10"/>
      <c r="X1870" s="10"/>
      <c r="Y1870" s="10"/>
      <c r="Z1870" s="10"/>
      <c r="AA1870" s="10"/>
      <c r="AB1870" s="10"/>
      <c r="AC1870" s="10"/>
      <c r="AD1870" s="10"/>
      <c r="AE1870" s="10"/>
    </row>
    <row r="1871" spans="1:31" ht="14.25" hidden="1" customHeight="1">
      <c r="A1871" s="277" t="s">
        <v>6023</v>
      </c>
      <c r="B1871" s="9" t="s">
        <v>21</v>
      </c>
      <c r="C1871" s="9">
        <v>2025</v>
      </c>
      <c r="D1871" s="9" t="s">
        <v>27</v>
      </c>
      <c r="E1871" s="90" t="s">
        <v>23</v>
      </c>
      <c r="F1871" s="9" t="s">
        <v>7</v>
      </c>
      <c r="G1871" s="10"/>
      <c r="H1871" s="96">
        <v>250106</v>
      </c>
      <c r="I1871" s="109" t="s">
        <v>954</v>
      </c>
      <c r="J1871" s="115">
        <v>45682</v>
      </c>
      <c r="K1871" s="119">
        <v>45701</v>
      </c>
      <c r="L1871" s="116">
        <v>288600</v>
      </c>
      <c r="M1871" s="116" t="s">
        <v>961</v>
      </c>
      <c r="N1871" s="34" t="s">
        <v>29</v>
      </c>
      <c r="O1871" s="10"/>
      <c r="P1871" s="113">
        <v>46209</v>
      </c>
      <c r="Q1871" s="113">
        <v>46209</v>
      </c>
      <c r="R1871" s="113">
        <v>46209</v>
      </c>
      <c r="S1871" s="37">
        <f t="shared" si="382"/>
        <v>288600</v>
      </c>
      <c r="T1871" s="37">
        <f t="shared" si="383"/>
        <v>0</v>
      </c>
      <c r="U1871" s="10"/>
      <c r="V1871" s="10"/>
      <c r="W1871" s="10"/>
      <c r="X1871" s="10"/>
      <c r="Y1871" s="10"/>
      <c r="Z1871" s="10"/>
      <c r="AA1871" s="10"/>
      <c r="AB1871" s="10"/>
      <c r="AC1871" s="10"/>
      <c r="AD1871" s="10"/>
      <c r="AE1871" s="10"/>
    </row>
    <row r="1872" spans="1:31" ht="14.25" hidden="1" customHeight="1">
      <c r="A1872" s="277" t="s">
        <v>6024</v>
      </c>
      <c r="B1872" s="9" t="s">
        <v>21</v>
      </c>
      <c r="C1872" s="9">
        <v>2025</v>
      </c>
      <c r="D1872" s="9" t="s">
        <v>27</v>
      </c>
      <c r="E1872" s="90" t="s">
        <v>23</v>
      </c>
      <c r="F1872" s="9" t="s">
        <v>7</v>
      </c>
      <c r="G1872" s="10"/>
      <c r="H1872" s="96">
        <v>250102</v>
      </c>
      <c r="I1872" s="109" t="s">
        <v>954</v>
      </c>
      <c r="J1872" s="115">
        <v>45687</v>
      </c>
      <c r="K1872" s="119">
        <v>45701</v>
      </c>
      <c r="L1872" s="116">
        <v>2358750</v>
      </c>
      <c r="M1872" s="116" t="s">
        <v>962</v>
      </c>
      <c r="N1872" s="34" t="s">
        <v>29</v>
      </c>
      <c r="O1872" s="10"/>
      <c r="P1872" s="113">
        <v>46209</v>
      </c>
      <c r="Q1872" s="113">
        <v>46209</v>
      </c>
      <c r="R1872" s="113">
        <v>46209</v>
      </c>
      <c r="S1872" s="37">
        <f t="shared" si="382"/>
        <v>2358750</v>
      </c>
      <c r="T1872" s="37">
        <f t="shared" si="383"/>
        <v>0</v>
      </c>
      <c r="U1872" s="10"/>
      <c r="V1872" s="10"/>
      <c r="W1872" s="10"/>
      <c r="X1872" s="10"/>
      <c r="Y1872" s="10"/>
      <c r="Z1872" s="10"/>
      <c r="AA1872" s="10"/>
      <c r="AB1872" s="10"/>
      <c r="AC1872" s="10"/>
      <c r="AD1872" s="10"/>
      <c r="AE1872" s="10"/>
    </row>
    <row r="1873" spans="1:31" ht="14.25" hidden="1" customHeight="1">
      <c r="A1873" s="277" t="s">
        <v>6025</v>
      </c>
      <c r="B1873" s="9" t="s">
        <v>21</v>
      </c>
      <c r="C1873" s="9">
        <v>2025</v>
      </c>
      <c r="D1873" s="9" t="s">
        <v>27</v>
      </c>
      <c r="E1873" s="90" t="s">
        <v>23</v>
      </c>
      <c r="F1873" s="9" t="s">
        <v>7</v>
      </c>
      <c r="G1873" s="10"/>
      <c r="H1873" s="96">
        <v>250428</v>
      </c>
      <c r="I1873" s="109" t="s">
        <v>954</v>
      </c>
      <c r="J1873" s="115">
        <v>45761</v>
      </c>
      <c r="K1873" s="119">
        <v>45811</v>
      </c>
      <c r="L1873" s="116">
        <v>266400</v>
      </c>
      <c r="M1873" s="116" t="s">
        <v>963</v>
      </c>
      <c r="N1873" s="34" t="s">
        <v>29</v>
      </c>
      <c r="O1873" s="10"/>
      <c r="P1873" s="113">
        <v>46209</v>
      </c>
      <c r="Q1873" s="113">
        <v>46209</v>
      </c>
      <c r="R1873" s="113">
        <v>46209</v>
      </c>
      <c r="S1873" s="37">
        <f t="shared" ref="S1873:S1878" si="384">IF(R1873="",0,L1873)</f>
        <v>266400</v>
      </c>
      <c r="T1873" s="37">
        <f t="shared" ref="T1873:T1878" si="385">L1873-S1873</f>
        <v>0</v>
      </c>
      <c r="U1873" s="10"/>
      <c r="V1873" s="10"/>
      <c r="W1873" s="10"/>
      <c r="X1873" s="10"/>
      <c r="Y1873" s="10"/>
      <c r="Z1873" s="10"/>
      <c r="AA1873" s="10"/>
      <c r="AB1873" s="10"/>
      <c r="AC1873" s="10"/>
      <c r="AD1873" s="10"/>
      <c r="AE1873" s="10"/>
    </row>
    <row r="1874" spans="1:31" ht="14.25" hidden="1" customHeight="1">
      <c r="A1874" s="277" t="s">
        <v>6026</v>
      </c>
      <c r="B1874" s="9" t="s">
        <v>21</v>
      </c>
      <c r="C1874" s="9">
        <v>2025</v>
      </c>
      <c r="D1874" s="9" t="s">
        <v>27</v>
      </c>
      <c r="E1874" s="90" t="s">
        <v>23</v>
      </c>
      <c r="F1874" s="9" t="s">
        <v>7</v>
      </c>
      <c r="G1874" s="10"/>
      <c r="H1874" s="96">
        <v>250442</v>
      </c>
      <c r="I1874" s="109" t="s">
        <v>954</v>
      </c>
      <c r="J1874" s="115">
        <v>45764</v>
      </c>
      <c r="K1874" s="119">
        <v>45811</v>
      </c>
      <c r="L1874" s="116">
        <v>408480</v>
      </c>
      <c r="M1874" s="116" t="s">
        <v>964</v>
      </c>
      <c r="N1874" s="34" t="s">
        <v>29</v>
      </c>
      <c r="O1874" s="10"/>
      <c r="P1874" s="113">
        <v>46209</v>
      </c>
      <c r="Q1874" s="113">
        <v>46209</v>
      </c>
      <c r="R1874" s="113">
        <v>46209</v>
      </c>
      <c r="S1874" s="37">
        <f t="shared" si="384"/>
        <v>408480</v>
      </c>
      <c r="T1874" s="37">
        <f t="shared" si="385"/>
        <v>0</v>
      </c>
      <c r="U1874" s="10"/>
      <c r="V1874" s="10"/>
      <c r="W1874" s="10"/>
      <c r="X1874" s="10"/>
      <c r="Y1874" s="10"/>
      <c r="Z1874" s="10"/>
      <c r="AA1874" s="10"/>
      <c r="AB1874" s="10"/>
      <c r="AC1874" s="10"/>
      <c r="AD1874" s="10"/>
      <c r="AE1874" s="10"/>
    </row>
    <row r="1875" spans="1:31" ht="14.25" hidden="1" customHeight="1">
      <c r="A1875" s="277" t="s">
        <v>6027</v>
      </c>
      <c r="B1875" s="9" t="s">
        <v>21</v>
      </c>
      <c r="C1875" s="9">
        <v>2025</v>
      </c>
      <c r="D1875" s="9" t="s">
        <v>27</v>
      </c>
      <c r="E1875" s="90" t="s">
        <v>23</v>
      </c>
      <c r="F1875" s="9" t="s">
        <v>7</v>
      </c>
      <c r="G1875" s="10"/>
      <c r="H1875" s="96">
        <v>250484</v>
      </c>
      <c r="I1875" s="109" t="s">
        <v>954</v>
      </c>
      <c r="J1875" s="115">
        <v>45779</v>
      </c>
      <c r="K1875" s="119">
        <v>45848</v>
      </c>
      <c r="L1875" s="116">
        <v>2501940</v>
      </c>
      <c r="M1875" s="116" t="s">
        <v>965</v>
      </c>
      <c r="N1875" s="34" t="s">
        <v>29</v>
      </c>
      <c r="O1875" s="10"/>
      <c r="P1875" s="113">
        <v>46209</v>
      </c>
      <c r="Q1875" s="113">
        <v>46209</v>
      </c>
      <c r="R1875" s="113">
        <v>46209</v>
      </c>
      <c r="S1875" s="37">
        <f t="shared" si="384"/>
        <v>2501940</v>
      </c>
      <c r="T1875" s="37">
        <f t="shared" si="385"/>
        <v>0</v>
      </c>
      <c r="U1875" s="10"/>
      <c r="V1875" s="10"/>
      <c r="W1875" s="10"/>
      <c r="X1875" s="10"/>
      <c r="Y1875" s="10"/>
      <c r="Z1875" s="10"/>
      <c r="AA1875" s="10"/>
      <c r="AB1875" s="10"/>
      <c r="AC1875" s="10"/>
      <c r="AD1875" s="10"/>
      <c r="AE1875" s="10"/>
    </row>
    <row r="1876" spans="1:31" ht="14.25" hidden="1" customHeight="1">
      <c r="A1876" s="277" t="s">
        <v>6028</v>
      </c>
      <c r="B1876" s="9" t="s">
        <v>21</v>
      </c>
      <c r="C1876" s="9">
        <v>2025</v>
      </c>
      <c r="D1876" s="9" t="s">
        <v>27</v>
      </c>
      <c r="E1876" s="90" t="s">
        <v>23</v>
      </c>
      <c r="F1876" s="9" t="s">
        <v>7</v>
      </c>
      <c r="G1876" s="10"/>
      <c r="H1876" s="96">
        <v>250689</v>
      </c>
      <c r="I1876" s="109" t="s">
        <v>954</v>
      </c>
      <c r="J1876" s="115">
        <v>45853</v>
      </c>
      <c r="K1876" s="119">
        <v>45876</v>
      </c>
      <c r="L1876" s="116">
        <v>1046175</v>
      </c>
      <c r="M1876" s="116" t="s">
        <v>966</v>
      </c>
      <c r="N1876" s="34" t="s">
        <v>29</v>
      </c>
      <c r="O1876" s="10"/>
      <c r="P1876" s="113">
        <v>46209</v>
      </c>
      <c r="Q1876" s="113">
        <v>46209</v>
      </c>
      <c r="R1876" s="113">
        <v>46209</v>
      </c>
      <c r="S1876" s="37">
        <f t="shared" si="384"/>
        <v>1046175</v>
      </c>
      <c r="T1876" s="37">
        <f t="shared" si="385"/>
        <v>0</v>
      </c>
      <c r="U1876" s="10"/>
      <c r="V1876" s="10"/>
      <c r="W1876" s="10"/>
      <c r="X1876" s="10"/>
      <c r="Y1876" s="10"/>
      <c r="Z1876" s="10"/>
      <c r="AA1876" s="10"/>
      <c r="AB1876" s="10"/>
      <c r="AC1876" s="10"/>
      <c r="AD1876" s="10"/>
      <c r="AE1876" s="10"/>
    </row>
    <row r="1877" spans="1:31" ht="14.25" hidden="1" customHeight="1">
      <c r="A1877" s="277" t="s">
        <v>6029</v>
      </c>
      <c r="B1877" s="9" t="s">
        <v>21</v>
      </c>
      <c r="C1877" s="9">
        <v>2025</v>
      </c>
      <c r="D1877" s="9" t="s">
        <v>27</v>
      </c>
      <c r="E1877" s="90" t="s">
        <v>23</v>
      </c>
      <c r="F1877" s="9" t="s">
        <v>7</v>
      </c>
      <c r="G1877" s="10"/>
      <c r="H1877" s="96">
        <v>250839</v>
      </c>
      <c r="I1877" s="109" t="s">
        <v>954</v>
      </c>
      <c r="J1877" s="115">
        <v>45890</v>
      </c>
      <c r="K1877" s="119">
        <v>45946</v>
      </c>
      <c r="L1877" s="116">
        <v>233100</v>
      </c>
      <c r="M1877" s="116" t="s">
        <v>3817</v>
      </c>
      <c r="N1877" s="34" t="s">
        <v>29</v>
      </c>
      <c r="O1877" s="10"/>
      <c r="P1877" s="113">
        <v>46209</v>
      </c>
      <c r="Q1877" s="113">
        <v>46209</v>
      </c>
      <c r="R1877" s="113">
        <v>46209</v>
      </c>
      <c r="S1877" s="37">
        <f t="shared" si="384"/>
        <v>233100</v>
      </c>
      <c r="T1877" s="37">
        <f t="shared" si="385"/>
        <v>0</v>
      </c>
      <c r="U1877" s="10"/>
      <c r="V1877" s="10"/>
      <c r="W1877" s="10"/>
      <c r="X1877" s="10"/>
      <c r="Y1877" s="10"/>
      <c r="Z1877" s="10"/>
      <c r="AA1877" s="10"/>
      <c r="AB1877" s="10"/>
      <c r="AC1877" s="10"/>
      <c r="AD1877" s="10"/>
      <c r="AE1877" s="10"/>
    </row>
    <row r="1878" spans="1:31" ht="14.25" customHeight="1">
      <c r="A1878" s="277" t="s">
        <v>6030</v>
      </c>
      <c r="B1878" s="9" t="s">
        <v>21</v>
      </c>
      <c r="C1878" s="9">
        <v>2025</v>
      </c>
      <c r="D1878" s="9" t="s">
        <v>27</v>
      </c>
      <c r="E1878" s="90" t="s">
        <v>23</v>
      </c>
      <c r="F1878" s="9" t="s">
        <v>7</v>
      </c>
      <c r="G1878" s="10"/>
      <c r="H1878" s="96">
        <v>251198</v>
      </c>
      <c r="I1878" s="109" t="s">
        <v>954</v>
      </c>
      <c r="J1878" s="115">
        <v>45986</v>
      </c>
      <c r="K1878" s="119">
        <v>46014</v>
      </c>
      <c r="L1878" s="116">
        <v>865800</v>
      </c>
      <c r="M1878" s="116" t="s">
        <v>4175</v>
      </c>
      <c r="N1878" s="34" t="s">
        <v>29</v>
      </c>
      <c r="O1878" s="10"/>
      <c r="P1878" s="113">
        <v>46209</v>
      </c>
      <c r="Q1878" s="113">
        <v>46209</v>
      </c>
      <c r="R1878" s="113">
        <v>46209</v>
      </c>
      <c r="S1878" s="37">
        <f t="shared" si="384"/>
        <v>865800</v>
      </c>
      <c r="T1878" s="37">
        <f t="shared" si="385"/>
        <v>0</v>
      </c>
      <c r="U1878" s="10"/>
      <c r="V1878" s="10"/>
      <c r="W1878" s="10"/>
      <c r="X1878" s="10"/>
      <c r="Y1878" s="10"/>
      <c r="Z1878" s="10"/>
      <c r="AA1878" s="10"/>
      <c r="AB1878" s="10"/>
      <c r="AC1878" s="10"/>
      <c r="AD1878" s="10"/>
      <c r="AE1878" s="10"/>
    </row>
    <row r="1879" spans="1:31" ht="14.25" customHeight="1">
      <c r="A1879" s="277" t="s">
        <v>6031</v>
      </c>
      <c r="B1879" s="9" t="s">
        <v>21</v>
      </c>
      <c r="C1879" s="9">
        <v>2025</v>
      </c>
      <c r="D1879" s="9" t="s">
        <v>77</v>
      </c>
      <c r="E1879" s="90" t="s">
        <v>23</v>
      </c>
      <c r="F1879" s="9" t="s">
        <v>7</v>
      </c>
      <c r="G1879" s="10"/>
      <c r="H1879" s="9">
        <v>260160</v>
      </c>
      <c r="I1879" s="11" t="s">
        <v>954</v>
      </c>
      <c r="J1879" s="12">
        <v>46087</v>
      </c>
      <c r="K1879" s="122">
        <v>46133</v>
      </c>
      <c r="L1879" s="27">
        <v>3913860</v>
      </c>
      <c r="M1879" s="27" t="s">
        <v>6975</v>
      </c>
      <c r="N1879" s="34">
        <f t="shared" ref="N1879" ca="1" si="386">$J$3-J1879</f>
        <v>153.46377638888953</v>
      </c>
      <c r="O1879" s="10"/>
      <c r="P1879" s="39"/>
      <c r="Q1879" s="39"/>
      <c r="R1879" s="39"/>
      <c r="S1879" s="37">
        <f>IF(R1879="",0,L1879)</f>
        <v>0</v>
      </c>
      <c r="T1879" s="37">
        <f>L1879-S1879</f>
        <v>3913860</v>
      </c>
      <c r="U1879" s="10"/>
      <c r="V1879" s="10"/>
      <c r="W1879" s="10"/>
      <c r="X1879" s="10"/>
      <c r="Y1879" s="10"/>
      <c r="Z1879" s="10"/>
      <c r="AA1879" s="10"/>
      <c r="AB1879" s="10"/>
      <c r="AC1879" s="10"/>
      <c r="AD1879" s="10"/>
      <c r="AE1879" s="10"/>
    </row>
    <row r="1880" spans="1:31" ht="14.25" customHeight="1">
      <c r="A1880" s="277" t="s">
        <v>6032</v>
      </c>
      <c r="B1880" s="9" t="s">
        <v>21</v>
      </c>
      <c r="C1880" s="9">
        <v>2025</v>
      </c>
      <c r="D1880" s="9" t="s">
        <v>77</v>
      </c>
      <c r="E1880" s="90" t="s">
        <v>23</v>
      </c>
      <c r="F1880" s="9" t="s">
        <v>7</v>
      </c>
      <c r="G1880" s="10"/>
      <c r="H1880" s="9">
        <v>260179</v>
      </c>
      <c r="I1880" s="11" t="s">
        <v>954</v>
      </c>
      <c r="J1880" s="12">
        <v>46099</v>
      </c>
      <c r="K1880" s="122">
        <v>46154</v>
      </c>
      <c r="L1880" s="27">
        <v>638250</v>
      </c>
      <c r="M1880" s="27" t="s">
        <v>7038</v>
      </c>
      <c r="N1880" s="34">
        <f t="shared" ref="N1880:N1882" ca="1" si="387">$J$3-J1880</f>
        <v>141.46377638888953</v>
      </c>
      <c r="O1880" s="10"/>
      <c r="P1880" s="39"/>
      <c r="Q1880" s="39"/>
      <c r="R1880" s="39"/>
      <c r="S1880" s="37">
        <f t="shared" ref="S1880:S1882" si="388">IF(R1880="",0,L1880)</f>
        <v>0</v>
      </c>
      <c r="T1880" s="37">
        <f t="shared" ref="T1880:T1882" si="389">L1880-S1880</f>
        <v>638250</v>
      </c>
      <c r="U1880" s="10"/>
      <c r="V1880" s="10"/>
      <c r="W1880" s="10"/>
      <c r="X1880" s="10"/>
      <c r="Y1880" s="10"/>
      <c r="Z1880" s="10"/>
      <c r="AA1880" s="10"/>
      <c r="AB1880" s="10"/>
      <c r="AC1880" s="10"/>
      <c r="AD1880" s="10"/>
      <c r="AE1880" s="10"/>
    </row>
    <row r="1881" spans="1:31" ht="14.25" customHeight="1">
      <c r="A1881" s="277" t="s">
        <v>6033</v>
      </c>
      <c r="B1881" s="9" t="s">
        <v>21</v>
      </c>
      <c r="C1881" s="9">
        <v>2025</v>
      </c>
      <c r="D1881" s="9" t="s">
        <v>77</v>
      </c>
      <c r="E1881" s="90" t="s">
        <v>23</v>
      </c>
      <c r="F1881" s="9" t="s">
        <v>7</v>
      </c>
      <c r="G1881" s="10"/>
      <c r="H1881" s="9">
        <v>260216</v>
      </c>
      <c r="I1881" s="11" t="s">
        <v>954</v>
      </c>
      <c r="J1881" s="12">
        <v>46128</v>
      </c>
      <c r="K1881" s="122">
        <v>46154</v>
      </c>
      <c r="L1881" s="27">
        <v>2367630</v>
      </c>
      <c r="M1881" s="27" t="s">
        <v>7039</v>
      </c>
      <c r="N1881" s="34">
        <f t="shared" ca="1" si="387"/>
        <v>112.46377638888953</v>
      </c>
      <c r="O1881" s="10"/>
      <c r="P1881" s="39"/>
      <c r="Q1881" s="39"/>
      <c r="R1881" s="39"/>
      <c r="S1881" s="37">
        <f t="shared" si="388"/>
        <v>0</v>
      </c>
      <c r="T1881" s="37">
        <f t="shared" si="389"/>
        <v>2367630</v>
      </c>
      <c r="U1881" s="10"/>
      <c r="V1881" s="10"/>
      <c r="W1881" s="10"/>
      <c r="X1881" s="10"/>
      <c r="Y1881" s="10"/>
      <c r="Z1881" s="10"/>
      <c r="AA1881" s="10"/>
      <c r="AB1881" s="10"/>
      <c r="AC1881" s="10"/>
      <c r="AD1881" s="10"/>
      <c r="AE1881" s="10"/>
    </row>
    <row r="1882" spans="1:31" ht="14.25" customHeight="1">
      <c r="A1882" s="277" t="s">
        <v>6034</v>
      </c>
      <c r="B1882" s="9" t="s">
        <v>21</v>
      </c>
      <c r="C1882" s="9">
        <v>2025</v>
      </c>
      <c r="D1882" s="9" t="s">
        <v>77</v>
      </c>
      <c r="E1882" s="90" t="s">
        <v>23</v>
      </c>
      <c r="F1882" s="9" t="s">
        <v>7</v>
      </c>
      <c r="G1882" s="10"/>
      <c r="H1882" s="9">
        <v>260223</v>
      </c>
      <c r="I1882" s="11" t="s">
        <v>954</v>
      </c>
      <c r="J1882" s="12">
        <v>46133</v>
      </c>
      <c r="K1882" s="122">
        <v>46154</v>
      </c>
      <c r="L1882" s="27">
        <v>832500</v>
      </c>
      <c r="M1882" s="27" t="s">
        <v>7040</v>
      </c>
      <c r="N1882" s="34">
        <f t="shared" ca="1" si="387"/>
        <v>107.46377638888953</v>
      </c>
      <c r="O1882" s="10"/>
      <c r="P1882" s="39"/>
      <c r="Q1882" s="39"/>
      <c r="R1882" s="39"/>
      <c r="S1882" s="37">
        <f t="shared" si="388"/>
        <v>0</v>
      </c>
      <c r="T1882" s="37">
        <f t="shared" si="389"/>
        <v>832500</v>
      </c>
      <c r="U1882" s="10"/>
      <c r="V1882" s="10"/>
      <c r="W1882" s="10"/>
      <c r="X1882" s="10"/>
      <c r="Y1882" s="10"/>
      <c r="Z1882" s="10"/>
      <c r="AA1882" s="10"/>
      <c r="AB1882" s="10"/>
      <c r="AC1882" s="10"/>
      <c r="AD1882" s="10"/>
      <c r="AE1882" s="10"/>
    </row>
    <row r="1883" spans="1:31" ht="14.25" customHeight="1">
      <c r="A1883" s="277" t="s">
        <v>6035</v>
      </c>
      <c r="B1883" s="9" t="s">
        <v>21</v>
      </c>
      <c r="C1883" s="9"/>
      <c r="D1883" s="9"/>
      <c r="E1883" s="90"/>
      <c r="F1883" s="9"/>
      <c r="G1883" s="10"/>
      <c r="H1883" s="9"/>
      <c r="I1883" s="11"/>
      <c r="J1883" s="12"/>
      <c r="K1883" s="122"/>
      <c r="L1883" s="27"/>
      <c r="M1883" s="10"/>
      <c r="N1883" s="114">
        <f ca="1">$J$3-J1883</f>
        <v>46240.46377638889</v>
      </c>
      <c r="O1883" s="10"/>
      <c r="P1883" s="39"/>
      <c r="Q1883" s="39"/>
      <c r="R1883" s="39"/>
      <c r="S1883" s="37">
        <f>IF(R1883="",0,L1883)</f>
        <v>0</v>
      </c>
      <c r="T1883" s="37">
        <f>L1883-S1883</f>
        <v>0</v>
      </c>
      <c r="U1883" s="10"/>
      <c r="V1883" s="10"/>
      <c r="W1883" s="10"/>
      <c r="X1883" s="10"/>
      <c r="Y1883" s="10"/>
      <c r="Z1883" s="10"/>
      <c r="AA1883" s="10"/>
      <c r="AB1883" s="10"/>
      <c r="AC1883" s="10"/>
      <c r="AD1883" s="10"/>
      <c r="AE1883" s="10"/>
    </row>
    <row r="1884" spans="1:31" ht="14.25" customHeight="1">
      <c r="A1884" s="277" t="s">
        <v>6036</v>
      </c>
      <c r="B1884" s="9" t="s">
        <v>21</v>
      </c>
      <c r="C1884" s="9"/>
      <c r="D1884" s="9"/>
      <c r="E1884" s="90"/>
      <c r="F1884" s="9"/>
      <c r="G1884" s="9"/>
      <c r="H1884" s="93"/>
      <c r="I1884" s="154"/>
      <c r="J1884" s="155"/>
      <c r="K1884" s="155"/>
      <c r="L1884" s="156"/>
      <c r="M1884" s="157"/>
      <c r="N1884" s="158"/>
      <c r="O1884" s="154"/>
      <c r="P1884" s="39"/>
      <c r="Q1884" s="39"/>
      <c r="R1884" s="39"/>
      <c r="S1884" s="156"/>
      <c r="T1884" s="156"/>
      <c r="U1884" s="157"/>
      <c r="V1884" s="157"/>
      <c r="W1884" s="157"/>
      <c r="X1884" s="157"/>
      <c r="Y1884" s="157"/>
      <c r="Z1884" s="157"/>
      <c r="AA1884" s="157"/>
      <c r="AB1884" s="157"/>
      <c r="AC1884" s="157"/>
      <c r="AD1884" s="157"/>
      <c r="AE1884" s="157"/>
    </row>
    <row r="1885" spans="1:31" ht="14.25" customHeight="1">
      <c r="A1885" s="277" t="s">
        <v>6037</v>
      </c>
      <c r="B1885" s="9" t="s">
        <v>21</v>
      </c>
      <c r="C1885" s="9"/>
      <c r="D1885" s="9"/>
      <c r="E1885" s="90"/>
      <c r="F1885" s="9"/>
      <c r="G1885" s="94" t="s">
        <v>24</v>
      </c>
      <c r="H1885" s="95" t="s">
        <v>967</v>
      </c>
      <c r="I1885" s="104"/>
      <c r="J1885" s="105"/>
      <c r="K1885" s="105"/>
      <c r="L1885" s="106">
        <f>SUM(L1886:L1886)</f>
        <v>0</v>
      </c>
      <c r="M1885" s="107"/>
      <c r="N1885" s="108" t="s">
        <v>26</v>
      </c>
      <c r="O1885" s="108"/>
      <c r="P1885" s="108"/>
      <c r="Q1885" s="108"/>
      <c r="R1885" s="108"/>
      <c r="S1885" s="106">
        <f>SUM(S1886:S1886)</f>
        <v>0</v>
      </c>
      <c r="T1885" s="106">
        <f>SUM(T1886:T1886)</f>
        <v>0</v>
      </c>
      <c r="U1885" s="10"/>
      <c r="V1885" s="52">
        <f>L1885-S1885</f>
        <v>0</v>
      </c>
      <c r="W1885" s="52">
        <f>T1885-V1885</f>
        <v>0</v>
      </c>
      <c r="X1885" s="10"/>
      <c r="Y1885" s="10"/>
      <c r="Z1885" s="10"/>
      <c r="AA1885" s="10"/>
      <c r="AB1885" s="10"/>
      <c r="AC1885" s="10"/>
      <c r="AD1885" s="10"/>
      <c r="AE1885" s="10"/>
    </row>
    <row r="1886" spans="1:31" ht="14.25" customHeight="1">
      <c r="A1886" s="277" t="s">
        <v>6038</v>
      </c>
      <c r="B1886" s="9" t="s">
        <v>21</v>
      </c>
      <c r="C1886" s="9"/>
      <c r="D1886" s="9"/>
      <c r="E1886" s="90"/>
      <c r="F1886" s="9"/>
      <c r="G1886" s="9"/>
      <c r="H1886" s="93"/>
      <c r="I1886" s="154"/>
      <c r="J1886" s="155"/>
      <c r="K1886" s="155"/>
      <c r="L1886" s="156"/>
      <c r="M1886" s="157"/>
      <c r="N1886" s="114">
        <f ca="1">$J$3-J1886</f>
        <v>46240.46377638889</v>
      </c>
      <c r="O1886" s="154"/>
      <c r="P1886" s="39"/>
      <c r="Q1886" s="39"/>
      <c r="R1886" s="39"/>
      <c r="S1886" s="156"/>
      <c r="T1886" s="156"/>
      <c r="U1886" s="157"/>
      <c r="V1886" s="157"/>
      <c r="W1886" s="157"/>
      <c r="X1886" s="157"/>
      <c r="Y1886" s="157"/>
      <c r="Z1886" s="157"/>
      <c r="AA1886" s="157"/>
      <c r="AB1886" s="157"/>
      <c r="AC1886" s="157"/>
      <c r="AD1886" s="157"/>
      <c r="AE1886" s="157"/>
    </row>
    <row r="1887" spans="1:31" ht="14.25" customHeight="1">
      <c r="A1887" s="277" t="s">
        <v>6039</v>
      </c>
      <c r="B1887" s="9" t="s">
        <v>21</v>
      </c>
      <c r="C1887" s="9"/>
      <c r="D1887" s="9"/>
      <c r="E1887" s="90"/>
      <c r="F1887" s="9"/>
      <c r="G1887" s="9"/>
      <c r="H1887" s="93"/>
      <c r="I1887" s="154"/>
      <c r="J1887" s="155"/>
      <c r="K1887" s="155"/>
      <c r="L1887" s="156"/>
      <c r="M1887" s="157"/>
      <c r="N1887" s="158"/>
      <c r="O1887" s="154"/>
      <c r="P1887" s="39"/>
      <c r="Q1887" s="39"/>
      <c r="R1887" s="39"/>
      <c r="S1887" s="156"/>
      <c r="T1887" s="156"/>
      <c r="U1887" s="157"/>
      <c r="V1887" s="157"/>
      <c r="W1887" s="157"/>
      <c r="X1887" s="157"/>
      <c r="Y1887" s="157"/>
      <c r="Z1887" s="157"/>
      <c r="AA1887" s="157"/>
      <c r="AB1887" s="157"/>
      <c r="AC1887" s="157"/>
      <c r="AD1887" s="157"/>
      <c r="AE1887" s="157"/>
    </row>
    <row r="1888" spans="1:31" ht="14.25" customHeight="1">
      <c r="A1888" s="277" t="s">
        <v>6040</v>
      </c>
      <c r="B1888" s="9" t="s">
        <v>21</v>
      </c>
      <c r="C1888" s="9"/>
      <c r="D1888" s="9"/>
      <c r="E1888" s="90"/>
      <c r="F1888" s="9"/>
      <c r="G1888" s="91" t="s">
        <v>22</v>
      </c>
      <c r="H1888" s="92" t="s">
        <v>968</v>
      </c>
      <c r="I1888" s="159"/>
      <c r="J1888" s="160"/>
      <c r="K1888" s="160"/>
      <c r="L1888" s="161">
        <f>+L1894+L1907+L1962+L1942+L1898+L1951+L1890</f>
        <v>1039828867</v>
      </c>
      <c r="M1888" s="162"/>
      <c r="N1888" s="163"/>
      <c r="O1888" s="159"/>
      <c r="P1888" s="164"/>
      <c r="Q1888" s="164"/>
      <c r="R1888" s="164"/>
      <c r="S1888" s="161">
        <f>+S1894+S1907+S1962+S1942+S1898+S1951+S1890</f>
        <v>707092952</v>
      </c>
      <c r="T1888" s="161">
        <f>+T1894+T1907+T1962+T1942+T1898+T1951+T1890</f>
        <v>332735915</v>
      </c>
      <c r="U1888" s="171"/>
      <c r="V1888" s="52">
        <f>L1888-S1888</f>
        <v>332735915</v>
      </c>
      <c r="W1888" s="52">
        <f>T1888-V1888</f>
        <v>0</v>
      </c>
      <c r="X1888" s="171"/>
      <c r="Y1888" s="171"/>
      <c r="Z1888" s="171"/>
      <c r="AA1888" s="171"/>
      <c r="AB1888" s="171"/>
      <c r="AC1888" s="171"/>
      <c r="AD1888" s="171"/>
      <c r="AE1888" s="171"/>
    </row>
    <row r="1889" spans="1:42" ht="14.25" customHeight="1">
      <c r="A1889" s="277" t="s">
        <v>6041</v>
      </c>
      <c r="B1889" s="9" t="s">
        <v>21</v>
      </c>
      <c r="C1889" s="9"/>
      <c r="D1889" s="9"/>
      <c r="E1889" s="90"/>
      <c r="F1889" s="9"/>
      <c r="G1889" s="9"/>
      <c r="H1889" s="93"/>
      <c r="I1889" s="125"/>
      <c r="J1889" s="12"/>
      <c r="K1889" s="12"/>
      <c r="L1889" s="118"/>
      <c r="M1889" s="103"/>
      <c r="N1889" s="33"/>
      <c r="O1889" s="33"/>
      <c r="P1889" s="33"/>
      <c r="Q1889" s="33"/>
      <c r="R1889" s="33"/>
      <c r="S1889" s="118"/>
      <c r="T1889" s="118"/>
      <c r="U1889" s="10"/>
      <c r="V1889" s="10"/>
      <c r="W1889" s="10"/>
      <c r="X1889" s="10"/>
      <c r="Y1889" s="10"/>
      <c r="Z1889" s="10"/>
      <c r="AA1889" s="10"/>
      <c r="AB1889" s="10"/>
      <c r="AC1889" s="10"/>
      <c r="AD1889" s="10"/>
      <c r="AE1889" s="10"/>
    </row>
    <row r="1890" spans="1:42">
      <c r="A1890" s="277" t="s">
        <v>6042</v>
      </c>
      <c r="B1890" s="9" t="s">
        <v>21</v>
      </c>
      <c r="C1890" s="9"/>
      <c r="D1890" s="9"/>
      <c r="E1890" s="90"/>
      <c r="F1890" s="9"/>
      <c r="G1890" s="94" t="s">
        <v>24</v>
      </c>
      <c r="H1890" s="95" t="s">
        <v>4296</v>
      </c>
      <c r="I1890" s="104"/>
      <c r="J1890" s="105"/>
      <c r="K1890" s="105"/>
      <c r="L1890" s="106">
        <f>SUM(L1891:L1892)</f>
        <v>160000000</v>
      </c>
      <c r="M1890" s="107"/>
      <c r="N1890" s="108" t="s">
        <v>26</v>
      </c>
      <c r="O1890" s="108"/>
      <c r="P1890" s="108"/>
      <c r="Q1890" s="108"/>
      <c r="R1890" s="108"/>
      <c r="S1890" s="106">
        <f>SUM(S1891:S1892)</f>
        <v>0</v>
      </c>
      <c r="T1890" s="106">
        <f>SUM(T1891:T1892)</f>
        <v>160000000</v>
      </c>
      <c r="U1890" s="10"/>
      <c r="V1890" s="52">
        <f>L1890-S1890</f>
        <v>160000000</v>
      </c>
      <c r="W1890" s="52">
        <f>T1890-V1890</f>
        <v>0</v>
      </c>
      <c r="X1890" s="10"/>
      <c r="Y1890" s="10"/>
      <c r="Z1890" s="10"/>
      <c r="AA1890" s="10"/>
      <c r="AB1890" s="10"/>
      <c r="AC1890" s="10"/>
      <c r="AD1890" s="10"/>
      <c r="AE1890" s="10"/>
    </row>
    <row r="1891" spans="1:42" s="3" customFormat="1" ht="14.25" customHeight="1">
      <c r="A1891" s="277" t="s">
        <v>6043</v>
      </c>
      <c r="B1891" s="9" t="s">
        <v>21</v>
      </c>
      <c r="C1891" s="9">
        <v>2023</v>
      </c>
      <c r="D1891" s="9" t="s">
        <v>77</v>
      </c>
      <c r="E1891" s="90" t="s">
        <v>23</v>
      </c>
      <c r="F1891" s="9"/>
      <c r="G1891" s="9"/>
      <c r="H1891" s="11"/>
      <c r="I1891" s="125" t="s">
        <v>4296</v>
      </c>
      <c r="J1891" s="12">
        <v>45291</v>
      </c>
      <c r="K1891" s="12">
        <v>45291</v>
      </c>
      <c r="L1891" s="37">
        <v>160000000</v>
      </c>
      <c r="M1891" s="130" t="s">
        <v>4297</v>
      </c>
      <c r="N1891" s="34">
        <f ca="1">$J$3-J1891</f>
        <v>949.46377638888953</v>
      </c>
      <c r="O1891" s="9"/>
      <c r="P1891" s="9"/>
      <c r="Q1891" s="9"/>
      <c r="R1891" s="9"/>
      <c r="S1891" s="37">
        <f>IF(R1891="",0,L1891)</f>
        <v>0</v>
      </c>
      <c r="T1891" s="37">
        <f>L1891-S1891</f>
        <v>160000000</v>
      </c>
      <c r="U1891" s="10"/>
      <c r="V1891" s="10"/>
      <c r="W1891" s="10"/>
      <c r="X1891" s="10"/>
      <c r="Y1891" s="10"/>
      <c r="Z1891" s="10"/>
      <c r="AA1891" s="10"/>
      <c r="AB1891" s="10"/>
      <c r="AC1891" s="10"/>
      <c r="AD1891" s="10"/>
      <c r="AE1891" s="10"/>
    </row>
    <row r="1892" spans="1:42" ht="14.25" customHeight="1">
      <c r="A1892" s="277" t="s">
        <v>6044</v>
      </c>
      <c r="B1892" s="9" t="s">
        <v>21</v>
      </c>
      <c r="C1892" s="9"/>
      <c r="D1892" s="9"/>
      <c r="E1892" s="90"/>
      <c r="F1892" s="9"/>
      <c r="G1892" s="9"/>
      <c r="H1892" s="93"/>
      <c r="I1892" s="125"/>
      <c r="J1892" s="12"/>
      <c r="K1892" s="12"/>
      <c r="L1892" s="118"/>
      <c r="M1892" s="103"/>
      <c r="N1892" s="114">
        <f ca="1">$J$3-J1892</f>
        <v>46240.46377638889</v>
      </c>
      <c r="O1892" s="33"/>
      <c r="P1892" s="33"/>
      <c r="Q1892" s="33"/>
      <c r="R1892" s="33"/>
      <c r="S1892" s="118"/>
      <c r="T1892" s="118"/>
      <c r="U1892" s="10"/>
      <c r="V1892" s="10"/>
      <c r="W1892" s="10"/>
      <c r="X1892" s="10"/>
      <c r="Y1892" s="10"/>
      <c r="Z1892" s="10"/>
      <c r="AA1892" s="10"/>
      <c r="AB1892" s="10"/>
      <c r="AC1892" s="10"/>
      <c r="AD1892" s="10"/>
      <c r="AE1892" s="10"/>
    </row>
    <row r="1893" spans="1:42" ht="14.25" customHeight="1">
      <c r="A1893" s="277" t="s">
        <v>6045</v>
      </c>
      <c r="B1893" s="9" t="s">
        <v>21</v>
      </c>
      <c r="C1893" s="9"/>
      <c r="D1893" s="9"/>
      <c r="E1893" s="90"/>
      <c r="F1893" s="9"/>
      <c r="G1893" s="9"/>
      <c r="H1893" s="93"/>
      <c r="I1893" s="125"/>
      <c r="J1893" s="12"/>
      <c r="K1893" s="12"/>
      <c r="L1893" s="118"/>
      <c r="M1893" s="103"/>
      <c r="N1893" s="33"/>
      <c r="O1893" s="33"/>
      <c r="P1893" s="33"/>
      <c r="Q1893" s="33"/>
      <c r="R1893" s="33"/>
      <c r="S1893" s="118"/>
      <c r="T1893" s="118"/>
      <c r="U1893" s="10"/>
      <c r="V1893" s="10"/>
      <c r="W1893" s="10"/>
      <c r="X1893" s="10"/>
      <c r="Y1893" s="10"/>
      <c r="Z1893" s="10"/>
      <c r="AA1893" s="10"/>
      <c r="AB1893" s="10"/>
      <c r="AC1893" s="10"/>
      <c r="AD1893" s="10"/>
      <c r="AE1893" s="10"/>
    </row>
    <row r="1894" spans="1:42">
      <c r="A1894" s="277" t="s">
        <v>6046</v>
      </c>
      <c r="B1894" s="9" t="s">
        <v>21</v>
      </c>
      <c r="C1894" s="9"/>
      <c r="D1894" s="9"/>
      <c r="E1894" s="90"/>
      <c r="F1894" s="9"/>
      <c r="G1894" s="94" t="s">
        <v>24</v>
      </c>
      <c r="H1894" s="95" t="s">
        <v>969</v>
      </c>
      <c r="I1894" s="104"/>
      <c r="J1894" s="105"/>
      <c r="K1894" s="105"/>
      <c r="L1894" s="106">
        <f>SUM(L1895:L1896)</f>
        <v>45500000</v>
      </c>
      <c r="M1894" s="107"/>
      <c r="N1894" s="108" t="s">
        <v>26</v>
      </c>
      <c r="O1894" s="108"/>
      <c r="P1894" s="108"/>
      <c r="Q1894" s="108"/>
      <c r="R1894" s="108"/>
      <c r="S1894" s="106">
        <f>SUM(S1895:S1896)</f>
        <v>0</v>
      </c>
      <c r="T1894" s="106">
        <f>SUM(T1895:T1896)</f>
        <v>45500000</v>
      </c>
      <c r="U1894" s="10"/>
      <c r="V1894" s="52">
        <f>L1894-S1894</f>
        <v>45500000</v>
      </c>
      <c r="W1894" s="52">
        <f>T1894-V1894</f>
        <v>0</v>
      </c>
      <c r="X1894" s="10"/>
      <c r="Y1894" s="10"/>
      <c r="Z1894" s="10"/>
      <c r="AA1894" s="10"/>
      <c r="AB1894" s="10"/>
      <c r="AC1894" s="10"/>
      <c r="AD1894" s="10"/>
      <c r="AE1894" s="10"/>
    </row>
    <row r="1895" spans="1:42">
      <c r="A1895" s="277" t="s">
        <v>6047</v>
      </c>
      <c r="B1895" s="9" t="s">
        <v>21</v>
      </c>
      <c r="C1895" s="9">
        <v>2024</v>
      </c>
      <c r="D1895" s="9" t="s">
        <v>77</v>
      </c>
      <c r="E1895" s="90" t="s">
        <v>968</v>
      </c>
      <c r="F1895" s="9" t="s">
        <v>8</v>
      </c>
      <c r="G1895" s="10"/>
      <c r="H1895" s="9">
        <v>1</v>
      </c>
      <c r="I1895" s="11" t="s">
        <v>969</v>
      </c>
      <c r="J1895" s="12">
        <v>44382</v>
      </c>
      <c r="K1895" s="12">
        <v>44420</v>
      </c>
      <c r="L1895" s="52">
        <f>90500000-15000000-30000000</f>
        <v>45500000</v>
      </c>
      <c r="M1895" s="10" t="s">
        <v>970</v>
      </c>
      <c r="N1895" s="34">
        <f ca="1">$J$3-J1895</f>
        <v>1858.4637763888895</v>
      </c>
      <c r="O1895" s="11"/>
      <c r="P1895" s="39"/>
      <c r="Q1895" s="39"/>
      <c r="R1895" s="39"/>
      <c r="S1895" s="37">
        <f>IF(R1895="",0,L1895)</f>
        <v>0</v>
      </c>
      <c r="T1895" s="37">
        <f>L1895-S1895</f>
        <v>45500000</v>
      </c>
      <c r="U1895" s="10"/>
      <c r="V1895" s="10"/>
      <c r="W1895" s="10"/>
      <c r="X1895" s="10"/>
      <c r="Y1895" s="10"/>
      <c r="Z1895" s="10"/>
      <c r="AA1895" s="10"/>
      <c r="AB1895" s="10"/>
      <c r="AC1895" s="10"/>
      <c r="AD1895" s="10"/>
      <c r="AE1895" s="10"/>
    </row>
    <row r="1896" spans="1:42">
      <c r="A1896" s="277" t="s">
        <v>6048</v>
      </c>
      <c r="B1896" s="9" t="s">
        <v>21</v>
      </c>
      <c r="C1896" s="9"/>
      <c r="D1896" s="9"/>
      <c r="E1896" s="90"/>
      <c r="F1896" s="9"/>
      <c r="G1896" s="10"/>
      <c r="H1896" s="9"/>
      <c r="I1896" s="11"/>
      <c r="J1896" s="12"/>
      <c r="K1896" s="12"/>
      <c r="L1896" s="52"/>
      <c r="M1896" s="10"/>
      <c r="N1896" s="114">
        <f ca="1">$J$3-J1896</f>
        <v>46240.46377638889</v>
      </c>
      <c r="O1896" s="11"/>
      <c r="P1896" s="10"/>
      <c r="Q1896" s="10"/>
      <c r="R1896" s="10"/>
      <c r="S1896" s="10"/>
      <c r="T1896" s="10"/>
      <c r="U1896" s="10"/>
      <c r="V1896" s="10"/>
      <c r="W1896" s="10"/>
      <c r="X1896" s="10"/>
      <c r="Y1896" s="10"/>
      <c r="Z1896" s="10"/>
      <c r="AA1896" s="10"/>
      <c r="AB1896" s="10"/>
      <c r="AC1896" s="10"/>
      <c r="AD1896" s="10"/>
      <c r="AE1896" s="10"/>
    </row>
    <row r="1897" spans="1:42">
      <c r="A1897" s="277" t="s">
        <v>7784</v>
      </c>
      <c r="B1897" s="9" t="s">
        <v>21</v>
      </c>
      <c r="C1897" s="9"/>
      <c r="D1897" s="9"/>
      <c r="E1897" s="90"/>
      <c r="F1897" s="9"/>
      <c r="G1897" s="10"/>
      <c r="H1897" s="9"/>
      <c r="I1897" s="11"/>
      <c r="J1897" s="12"/>
      <c r="K1897" s="12"/>
      <c r="L1897" s="52"/>
      <c r="M1897" s="10"/>
      <c r="N1897" s="34"/>
      <c r="O1897" s="11"/>
      <c r="P1897" s="10"/>
      <c r="Q1897" s="10"/>
      <c r="R1897" s="10"/>
      <c r="S1897" s="10"/>
      <c r="T1897" s="10"/>
      <c r="U1897" s="10"/>
      <c r="V1897" s="10"/>
      <c r="W1897" s="10"/>
      <c r="X1897" s="10"/>
      <c r="Y1897" s="10"/>
      <c r="Z1897" s="10"/>
      <c r="AA1897" s="10"/>
      <c r="AB1897" s="10"/>
      <c r="AC1897" s="10"/>
      <c r="AD1897" s="10"/>
      <c r="AE1897" s="10"/>
    </row>
    <row r="1898" spans="1:42">
      <c r="A1898" s="277" t="s">
        <v>7785</v>
      </c>
      <c r="B1898" s="9" t="s">
        <v>21</v>
      </c>
      <c r="C1898" s="9"/>
      <c r="D1898" s="9"/>
      <c r="E1898" s="90"/>
      <c r="F1898" s="9"/>
      <c r="G1898" s="94" t="s">
        <v>24</v>
      </c>
      <c r="H1898" s="95" t="s">
        <v>971</v>
      </c>
      <c r="I1898" s="104"/>
      <c r="J1898" s="105"/>
      <c r="K1898" s="105"/>
      <c r="L1898" s="106">
        <f>SUM(L1899:L1905)</f>
        <v>16899267</v>
      </c>
      <c r="M1898" s="107"/>
      <c r="N1898" s="108" t="s">
        <v>26</v>
      </c>
      <c r="O1898" s="108"/>
      <c r="P1898" s="108"/>
      <c r="Q1898" s="108"/>
      <c r="R1898" s="108"/>
      <c r="S1898" s="106">
        <f>SUM(S1899:S1905)</f>
        <v>16899267</v>
      </c>
      <c r="T1898" s="106">
        <f>SUM(T1899:T1905)</f>
        <v>0</v>
      </c>
      <c r="U1898" s="10"/>
      <c r="V1898" s="52">
        <f>L1898-S1898</f>
        <v>0</v>
      </c>
      <c r="W1898" s="52">
        <f>T1898-V1898</f>
        <v>0</v>
      </c>
      <c r="X1898" s="10"/>
      <c r="Y1898" s="10"/>
      <c r="Z1898" s="10"/>
      <c r="AA1898" s="10"/>
      <c r="AB1898" s="10"/>
      <c r="AC1898" s="10"/>
      <c r="AD1898" s="10"/>
      <c r="AE1898" s="10"/>
    </row>
    <row r="1899" spans="1:42">
      <c r="A1899" s="277" t="s">
        <v>7786</v>
      </c>
      <c r="B1899" s="9" t="s">
        <v>21</v>
      </c>
      <c r="C1899" s="9">
        <v>2024</v>
      </c>
      <c r="D1899" s="9" t="s">
        <v>27</v>
      </c>
      <c r="E1899" s="90" t="s">
        <v>968</v>
      </c>
      <c r="F1899" s="9"/>
      <c r="G1899" s="10"/>
      <c r="H1899" s="96"/>
      <c r="I1899" s="109" t="s">
        <v>971</v>
      </c>
      <c r="J1899" s="115">
        <v>45593</v>
      </c>
      <c r="K1899" s="115">
        <v>45593</v>
      </c>
      <c r="L1899" s="165">
        <v>3401187</v>
      </c>
      <c r="M1899" s="166" t="s">
        <v>972</v>
      </c>
      <c r="N1899" s="9" t="s">
        <v>29</v>
      </c>
      <c r="O1899" s="9"/>
      <c r="P1899" s="167" t="s">
        <v>973</v>
      </c>
      <c r="Q1899" s="167" t="s">
        <v>973</v>
      </c>
      <c r="R1899" s="167" t="s">
        <v>973</v>
      </c>
      <c r="S1899" s="37">
        <f t="shared" ref="S1899:S1904" si="390">IF(R1899="",0,L1899)</f>
        <v>3401187</v>
      </c>
      <c r="T1899" s="37">
        <f t="shared" ref="T1899:T1904" si="391">L1899-S1899</f>
        <v>0</v>
      </c>
      <c r="U1899" s="127"/>
      <c r="V1899" s="127"/>
      <c r="W1899" s="172"/>
      <c r="X1899" s="173"/>
      <c r="Y1899" s="149"/>
      <c r="Z1899" s="149"/>
      <c r="AA1899" s="149"/>
      <c r="AB1899" s="149"/>
      <c r="AC1899" s="149"/>
      <c r="AD1899" s="172"/>
      <c r="AE1899" s="172"/>
      <c r="AF1899" s="10"/>
      <c r="AG1899" s="52"/>
      <c r="AH1899" s="52"/>
      <c r="AI1899" s="10"/>
      <c r="AJ1899" s="10"/>
      <c r="AK1899" s="10"/>
      <c r="AL1899" s="10"/>
      <c r="AM1899" s="10"/>
      <c r="AN1899" s="10"/>
      <c r="AO1899" s="10"/>
      <c r="AP1899" s="10"/>
    </row>
    <row r="1900" spans="1:42">
      <c r="A1900" s="277" t="s">
        <v>7787</v>
      </c>
      <c r="B1900" s="9" t="s">
        <v>21</v>
      </c>
      <c r="C1900" s="9">
        <v>2024</v>
      </c>
      <c r="D1900" s="9" t="s">
        <v>27</v>
      </c>
      <c r="E1900" s="90" t="s">
        <v>968</v>
      </c>
      <c r="F1900" s="9"/>
      <c r="G1900" s="10"/>
      <c r="H1900" s="96"/>
      <c r="I1900" s="109" t="s">
        <v>971</v>
      </c>
      <c r="J1900" s="115">
        <v>45593</v>
      </c>
      <c r="K1900" s="115">
        <v>45593</v>
      </c>
      <c r="L1900" s="165">
        <v>3401187</v>
      </c>
      <c r="M1900" s="166" t="s">
        <v>974</v>
      </c>
      <c r="N1900" s="9" t="s">
        <v>29</v>
      </c>
      <c r="O1900" s="9"/>
      <c r="P1900" s="167" t="s">
        <v>975</v>
      </c>
      <c r="Q1900" s="167" t="s">
        <v>975</v>
      </c>
      <c r="R1900" s="167" t="s">
        <v>975</v>
      </c>
      <c r="S1900" s="37">
        <f t="shared" si="390"/>
        <v>3401187</v>
      </c>
      <c r="T1900" s="37">
        <f t="shared" si="391"/>
        <v>0</v>
      </c>
      <c r="U1900" s="127"/>
      <c r="V1900" s="127"/>
      <c r="W1900" s="172"/>
      <c r="X1900" s="173"/>
      <c r="Y1900" s="149"/>
      <c r="Z1900" s="149"/>
      <c r="AA1900" s="149"/>
      <c r="AB1900" s="149"/>
      <c r="AC1900" s="149"/>
      <c r="AD1900" s="172"/>
      <c r="AE1900" s="172"/>
      <c r="AF1900" s="10"/>
      <c r="AG1900" s="52"/>
      <c r="AH1900" s="52"/>
      <c r="AI1900" s="10"/>
      <c r="AJ1900" s="10"/>
      <c r="AK1900" s="10"/>
      <c r="AL1900" s="10"/>
      <c r="AM1900" s="10"/>
      <c r="AN1900" s="10"/>
      <c r="AO1900" s="10"/>
      <c r="AP1900" s="10"/>
    </row>
    <row r="1901" spans="1:42">
      <c r="A1901" s="277" t="s">
        <v>7788</v>
      </c>
      <c r="B1901" s="9" t="s">
        <v>21</v>
      </c>
      <c r="C1901" s="9">
        <v>2024</v>
      </c>
      <c r="D1901" s="9" t="s">
        <v>27</v>
      </c>
      <c r="E1901" s="90" t="s">
        <v>968</v>
      </c>
      <c r="F1901" s="9"/>
      <c r="G1901" s="10"/>
      <c r="H1901" s="96"/>
      <c r="I1901" s="109" t="s">
        <v>971</v>
      </c>
      <c r="J1901" s="115">
        <v>45593</v>
      </c>
      <c r="K1901" s="115">
        <v>45593</v>
      </c>
      <c r="L1901" s="166">
        <f>3401187*3-L1899-L1900</f>
        <v>3401187</v>
      </c>
      <c r="M1901" s="166" t="s">
        <v>976</v>
      </c>
      <c r="N1901" s="9" t="s">
        <v>29</v>
      </c>
      <c r="O1901" s="11"/>
      <c r="P1901" s="168">
        <v>45702</v>
      </c>
      <c r="Q1901" s="168">
        <v>45702</v>
      </c>
      <c r="R1901" s="168">
        <v>45702</v>
      </c>
      <c r="S1901" s="37">
        <f t="shared" si="390"/>
        <v>3401187</v>
      </c>
      <c r="T1901" s="37">
        <f t="shared" si="391"/>
        <v>0</v>
      </c>
      <c r="U1901" s="10"/>
      <c r="V1901" s="10"/>
      <c r="W1901" s="10"/>
      <c r="X1901" s="10"/>
      <c r="Y1901" s="10"/>
      <c r="Z1901" s="10"/>
      <c r="AA1901" s="10"/>
      <c r="AB1901" s="10"/>
      <c r="AC1901" s="10"/>
      <c r="AD1901" s="10"/>
      <c r="AE1901" s="10"/>
    </row>
    <row r="1902" spans="1:42">
      <c r="A1902" s="277" t="s">
        <v>7789</v>
      </c>
      <c r="B1902" s="9" t="s">
        <v>21</v>
      </c>
      <c r="C1902" s="9">
        <v>2024</v>
      </c>
      <c r="D1902" s="9" t="s">
        <v>27</v>
      </c>
      <c r="E1902" s="90" t="s">
        <v>968</v>
      </c>
      <c r="F1902" s="9"/>
      <c r="G1902" s="10"/>
      <c r="H1902" s="96"/>
      <c r="I1902" s="109" t="s">
        <v>971</v>
      </c>
      <c r="J1902" s="115">
        <v>45629</v>
      </c>
      <c r="K1902" s="115">
        <v>45629</v>
      </c>
      <c r="L1902" s="166">
        <v>2231902</v>
      </c>
      <c r="M1902" s="166" t="s">
        <v>977</v>
      </c>
      <c r="N1902" s="34" t="s">
        <v>29</v>
      </c>
      <c r="O1902" s="11"/>
      <c r="P1902" s="168">
        <v>45668</v>
      </c>
      <c r="Q1902" s="168">
        <v>45668</v>
      </c>
      <c r="R1902" s="168">
        <v>45668</v>
      </c>
      <c r="S1902" s="37">
        <f t="shared" si="390"/>
        <v>2231902</v>
      </c>
      <c r="T1902" s="37">
        <f t="shared" si="391"/>
        <v>0</v>
      </c>
      <c r="U1902" s="10"/>
      <c r="V1902" s="10"/>
      <c r="W1902" s="10"/>
      <c r="X1902" s="10"/>
      <c r="Y1902" s="10"/>
      <c r="Z1902" s="10"/>
      <c r="AA1902" s="10"/>
      <c r="AB1902" s="10"/>
      <c r="AC1902" s="10"/>
      <c r="AD1902" s="10"/>
      <c r="AE1902" s="10"/>
    </row>
    <row r="1903" spans="1:42">
      <c r="A1903" s="277" t="s">
        <v>7790</v>
      </c>
      <c r="B1903" s="9" t="s">
        <v>21</v>
      </c>
      <c r="C1903" s="9">
        <v>2024</v>
      </c>
      <c r="D1903" s="9" t="s">
        <v>27</v>
      </c>
      <c r="E1903" s="90" t="s">
        <v>968</v>
      </c>
      <c r="F1903" s="9"/>
      <c r="G1903" s="10"/>
      <c r="H1903" s="96"/>
      <c r="I1903" s="109" t="s">
        <v>971</v>
      </c>
      <c r="J1903" s="115">
        <v>45629</v>
      </c>
      <c r="K1903" s="115">
        <v>45629</v>
      </c>
      <c r="L1903" s="166">
        <v>2231902</v>
      </c>
      <c r="M1903" s="166" t="s">
        <v>978</v>
      </c>
      <c r="N1903" s="34" t="s">
        <v>29</v>
      </c>
      <c r="O1903" s="11"/>
      <c r="P1903" s="168">
        <v>45782</v>
      </c>
      <c r="Q1903" s="168">
        <v>45782</v>
      </c>
      <c r="R1903" s="168">
        <v>45782</v>
      </c>
      <c r="S1903" s="37">
        <f t="shared" si="390"/>
        <v>2231902</v>
      </c>
      <c r="T1903" s="37">
        <f t="shared" si="391"/>
        <v>0</v>
      </c>
      <c r="U1903" s="10"/>
      <c r="V1903" s="10"/>
      <c r="W1903" s="10"/>
      <c r="X1903" s="10"/>
      <c r="Y1903" s="10"/>
      <c r="Z1903" s="10"/>
      <c r="AA1903" s="10"/>
      <c r="AB1903" s="10"/>
      <c r="AC1903" s="10"/>
      <c r="AD1903" s="10"/>
      <c r="AE1903" s="10"/>
    </row>
    <row r="1904" spans="1:42">
      <c r="A1904" s="277" t="s">
        <v>7791</v>
      </c>
      <c r="B1904" s="9" t="s">
        <v>21</v>
      </c>
      <c r="C1904" s="9">
        <v>2024</v>
      </c>
      <c r="D1904" s="9" t="s">
        <v>27</v>
      </c>
      <c r="E1904" s="90" t="s">
        <v>968</v>
      </c>
      <c r="F1904" s="9"/>
      <c r="G1904" s="10"/>
      <c r="H1904" s="96"/>
      <c r="I1904" s="109" t="s">
        <v>971</v>
      </c>
      <c r="J1904" s="115">
        <v>45629</v>
      </c>
      <c r="K1904" s="115">
        <v>45629</v>
      </c>
      <c r="L1904" s="166">
        <f>6695706-L1903-L1902</f>
        <v>2231902</v>
      </c>
      <c r="M1904" s="166" t="s">
        <v>979</v>
      </c>
      <c r="N1904" s="34" t="s">
        <v>29</v>
      </c>
      <c r="O1904" s="11"/>
      <c r="P1904" s="168">
        <v>45846</v>
      </c>
      <c r="Q1904" s="168">
        <v>45846</v>
      </c>
      <c r="R1904" s="168">
        <v>45846</v>
      </c>
      <c r="S1904" s="37">
        <f t="shared" si="390"/>
        <v>2231902</v>
      </c>
      <c r="T1904" s="37">
        <f t="shared" si="391"/>
        <v>0</v>
      </c>
      <c r="U1904" s="10"/>
      <c r="V1904" s="10"/>
      <c r="W1904" s="10"/>
      <c r="X1904" s="10"/>
      <c r="Y1904" s="10"/>
      <c r="Z1904" s="10"/>
      <c r="AA1904" s="10"/>
      <c r="AB1904" s="10"/>
      <c r="AC1904" s="10"/>
      <c r="AD1904" s="10"/>
      <c r="AE1904" s="10"/>
    </row>
    <row r="1905" spans="1:31">
      <c r="A1905" s="277" t="s">
        <v>7792</v>
      </c>
      <c r="B1905" s="9" t="s">
        <v>21</v>
      </c>
      <c r="C1905" s="9"/>
      <c r="D1905" s="9"/>
      <c r="E1905" s="90"/>
      <c r="F1905" s="9"/>
      <c r="G1905" s="10"/>
      <c r="H1905" s="9"/>
      <c r="I1905" s="11"/>
      <c r="J1905" s="12"/>
      <c r="K1905" s="12"/>
      <c r="L1905" s="52"/>
      <c r="M1905" s="10"/>
      <c r="N1905" s="114">
        <f ca="1">$J$3-J1905</f>
        <v>46240.46377638889</v>
      </c>
      <c r="O1905" s="11"/>
      <c r="P1905" s="10"/>
      <c r="Q1905" s="10"/>
      <c r="R1905" s="10"/>
      <c r="S1905" s="10"/>
      <c r="T1905" s="10"/>
      <c r="U1905" s="10"/>
      <c r="V1905" s="10"/>
      <c r="W1905" s="10"/>
      <c r="X1905" s="10"/>
      <c r="Y1905" s="10"/>
      <c r="Z1905" s="10"/>
      <c r="AA1905" s="10"/>
      <c r="AB1905" s="10"/>
      <c r="AC1905" s="10"/>
      <c r="AD1905" s="10"/>
      <c r="AE1905" s="10"/>
    </row>
    <row r="1906" spans="1:31" ht="14.25" customHeight="1">
      <c r="A1906" s="277" t="s">
        <v>7793</v>
      </c>
      <c r="B1906" s="9" t="s">
        <v>21</v>
      </c>
      <c r="C1906" s="9"/>
      <c r="D1906" s="9"/>
      <c r="E1906" s="90"/>
      <c r="F1906" s="9"/>
      <c r="G1906" s="9"/>
      <c r="H1906" s="93"/>
      <c r="I1906" s="154"/>
      <c r="J1906" s="155"/>
      <c r="K1906" s="155"/>
      <c r="L1906" s="156"/>
      <c r="M1906" s="157"/>
      <c r="N1906" s="158"/>
      <c r="O1906" s="154"/>
      <c r="P1906" s="39"/>
      <c r="Q1906" s="39"/>
      <c r="R1906" s="39"/>
      <c r="S1906" s="156"/>
      <c r="T1906" s="156"/>
      <c r="U1906" s="157"/>
      <c r="V1906" s="157"/>
      <c r="W1906" s="157"/>
      <c r="X1906" s="157"/>
      <c r="Y1906" s="157"/>
      <c r="Z1906" s="157"/>
      <c r="AA1906" s="157"/>
      <c r="AB1906" s="157"/>
      <c r="AC1906" s="157"/>
      <c r="AD1906" s="157"/>
      <c r="AE1906" s="157"/>
    </row>
    <row r="1907" spans="1:31">
      <c r="A1907" s="277" t="s">
        <v>7794</v>
      </c>
      <c r="B1907" s="9" t="s">
        <v>21</v>
      </c>
      <c r="C1907" s="9"/>
      <c r="D1907" s="9"/>
      <c r="E1907" s="90"/>
      <c r="F1907" s="9"/>
      <c r="G1907" s="94" t="s">
        <v>24</v>
      </c>
      <c r="H1907" s="153" t="s">
        <v>852</v>
      </c>
      <c r="I1907" s="104"/>
      <c r="J1907" s="105"/>
      <c r="K1907" s="105"/>
      <c r="L1907" s="106">
        <f>SUM(L1908:L1941)</f>
        <v>299700000</v>
      </c>
      <c r="M1907" s="107"/>
      <c r="N1907" s="108" t="s">
        <v>26</v>
      </c>
      <c r="O1907" s="108"/>
      <c r="P1907" s="108"/>
      <c r="Q1907" s="108"/>
      <c r="R1907" s="108"/>
      <c r="S1907" s="106">
        <f>SUM(S1908:S1941)</f>
        <v>274250000</v>
      </c>
      <c r="T1907" s="106">
        <f>SUM(T1908:T1941)</f>
        <v>25450000</v>
      </c>
      <c r="U1907" s="10"/>
      <c r="V1907" s="52">
        <f>L1907-S1907</f>
        <v>25450000</v>
      </c>
      <c r="W1907" s="52">
        <f>T1907-V1907</f>
        <v>0</v>
      </c>
      <c r="X1907" s="10"/>
      <c r="Y1907" s="10"/>
      <c r="Z1907" s="10"/>
      <c r="AA1907" s="10"/>
      <c r="AB1907" s="10"/>
      <c r="AC1907" s="10"/>
      <c r="AD1907" s="10"/>
      <c r="AE1907" s="10"/>
    </row>
    <row r="1908" spans="1:31" hidden="1">
      <c r="A1908" s="277" t="s">
        <v>7795</v>
      </c>
      <c r="B1908" s="9" t="s">
        <v>21</v>
      </c>
      <c r="C1908" s="9">
        <v>2023</v>
      </c>
      <c r="D1908" s="9" t="s">
        <v>27</v>
      </c>
      <c r="E1908" s="90" t="s">
        <v>968</v>
      </c>
      <c r="F1908" s="9" t="s">
        <v>8</v>
      </c>
      <c r="G1908" s="10"/>
      <c r="H1908" s="21">
        <v>231197</v>
      </c>
      <c r="I1908" s="22" t="s">
        <v>852</v>
      </c>
      <c r="J1908" s="23">
        <v>45085</v>
      </c>
      <c r="K1908" s="23">
        <v>45118</v>
      </c>
      <c r="L1908" s="29">
        <v>7500000</v>
      </c>
      <c r="M1908" s="26" t="s">
        <v>980</v>
      </c>
      <c r="N1908" s="169"/>
      <c r="O1908" s="170"/>
      <c r="P1908" s="169"/>
      <c r="Q1908" s="169"/>
      <c r="R1908" s="174">
        <v>45139</v>
      </c>
      <c r="S1908" s="51">
        <f t="shared" ref="S1908:S1923" si="392">IF(R1908="",0,L1908)</f>
        <v>7500000</v>
      </c>
      <c r="T1908" s="37">
        <f t="shared" ref="T1908:T1923" si="393">L1908-S1908</f>
        <v>0</v>
      </c>
      <c r="U1908" s="10"/>
      <c r="V1908" s="10"/>
      <c r="W1908" s="10"/>
      <c r="X1908" s="10"/>
      <c r="Y1908" s="10"/>
      <c r="Z1908" s="10"/>
      <c r="AA1908" s="10"/>
      <c r="AB1908" s="10"/>
      <c r="AC1908" s="10"/>
      <c r="AD1908" s="10"/>
      <c r="AE1908" s="10"/>
    </row>
    <row r="1909" spans="1:31" hidden="1">
      <c r="A1909" s="277" t="s">
        <v>7796</v>
      </c>
      <c r="B1909" s="9" t="s">
        <v>21</v>
      </c>
      <c r="C1909" s="9">
        <v>2023</v>
      </c>
      <c r="D1909" s="9" t="s">
        <v>27</v>
      </c>
      <c r="E1909" s="90" t="s">
        <v>968</v>
      </c>
      <c r="F1909" s="9" t="s">
        <v>8</v>
      </c>
      <c r="G1909" s="10"/>
      <c r="H1909" s="21">
        <v>231197</v>
      </c>
      <c r="I1909" s="22" t="s">
        <v>852</v>
      </c>
      <c r="J1909" s="23">
        <v>45085</v>
      </c>
      <c r="K1909" s="23">
        <v>45118</v>
      </c>
      <c r="L1909" s="29">
        <v>7500000</v>
      </c>
      <c r="M1909" s="26" t="s">
        <v>981</v>
      </c>
      <c r="N1909" s="169"/>
      <c r="O1909" s="170"/>
      <c r="P1909" s="169"/>
      <c r="Q1909" s="169"/>
      <c r="R1909" s="174">
        <v>45143</v>
      </c>
      <c r="S1909" s="51">
        <f t="shared" si="392"/>
        <v>7500000</v>
      </c>
      <c r="T1909" s="37">
        <f t="shared" si="393"/>
        <v>0</v>
      </c>
      <c r="U1909" s="10"/>
      <c r="V1909" s="10"/>
      <c r="W1909" s="10"/>
      <c r="X1909" s="10"/>
      <c r="Y1909" s="10"/>
      <c r="Z1909" s="10"/>
      <c r="AA1909" s="10"/>
      <c r="AB1909" s="10"/>
      <c r="AC1909" s="10"/>
      <c r="AD1909" s="10"/>
      <c r="AE1909" s="10"/>
    </row>
    <row r="1910" spans="1:31" hidden="1">
      <c r="A1910" s="277" t="s">
        <v>7797</v>
      </c>
      <c r="B1910" s="9" t="s">
        <v>21</v>
      </c>
      <c r="C1910" s="9">
        <v>2023</v>
      </c>
      <c r="D1910" s="9" t="s">
        <v>27</v>
      </c>
      <c r="E1910" s="90" t="s">
        <v>968</v>
      </c>
      <c r="F1910" s="9" t="s">
        <v>8</v>
      </c>
      <c r="G1910" s="10"/>
      <c r="H1910" s="21">
        <v>231197</v>
      </c>
      <c r="I1910" s="22" t="s">
        <v>852</v>
      </c>
      <c r="J1910" s="23">
        <v>45085</v>
      </c>
      <c r="K1910" s="23">
        <v>45118</v>
      </c>
      <c r="L1910" s="29">
        <v>7500000</v>
      </c>
      <c r="M1910" s="26" t="s">
        <v>982</v>
      </c>
      <c r="N1910" s="169"/>
      <c r="O1910" s="170"/>
      <c r="P1910" s="169"/>
      <c r="Q1910" s="169"/>
      <c r="R1910" s="174">
        <v>45169</v>
      </c>
      <c r="S1910" s="51">
        <f t="shared" si="392"/>
        <v>7500000</v>
      </c>
      <c r="T1910" s="37">
        <f t="shared" si="393"/>
        <v>0</v>
      </c>
      <c r="U1910" s="10"/>
      <c r="V1910" s="10"/>
      <c r="W1910" s="10"/>
      <c r="X1910" s="10"/>
      <c r="Y1910" s="10"/>
      <c r="Z1910" s="10"/>
      <c r="AA1910" s="10"/>
      <c r="AB1910" s="10"/>
      <c r="AC1910" s="10"/>
      <c r="AD1910" s="10"/>
      <c r="AE1910" s="10"/>
    </row>
    <row r="1911" spans="1:31" hidden="1">
      <c r="A1911" s="277" t="s">
        <v>7798</v>
      </c>
      <c r="B1911" s="9" t="s">
        <v>21</v>
      </c>
      <c r="C1911" s="9">
        <v>2023</v>
      </c>
      <c r="D1911" s="9" t="s">
        <v>27</v>
      </c>
      <c r="E1911" s="90" t="s">
        <v>968</v>
      </c>
      <c r="F1911" s="9" t="s">
        <v>8</v>
      </c>
      <c r="G1911" s="10"/>
      <c r="H1911" s="21">
        <v>231197</v>
      </c>
      <c r="I1911" s="22" t="s">
        <v>852</v>
      </c>
      <c r="J1911" s="23">
        <v>45085</v>
      </c>
      <c r="K1911" s="23">
        <v>45118</v>
      </c>
      <c r="L1911" s="29">
        <v>7500000</v>
      </c>
      <c r="M1911" s="26" t="s">
        <v>983</v>
      </c>
      <c r="N1911" s="169"/>
      <c r="O1911" s="170"/>
      <c r="P1911" s="169"/>
      <c r="Q1911" s="169"/>
      <c r="R1911" s="174">
        <v>45174</v>
      </c>
      <c r="S1911" s="51">
        <f t="shared" si="392"/>
        <v>7500000</v>
      </c>
      <c r="T1911" s="37">
        <f t="shared" si="393"/>
        <v>0</v>
      </c>
      <c r="U1911" s="10"/>
      <c r="V1911" s="10"/>
      <c r="W1911" s="10"/>
      <c r="X1911" s="10"/>
      <c r="Y1911" s="10"/>
      <c r="Z1911" s="10"/>
      <c r="AA1911" s="10"/>
      <c r="AB1911" s="10"/>
      <c r="AC1911" s="10"/>
      <c r="AD1911" s="10"/>
      <c r="AE1911" s="10"/>
    </row>
    <row r="1912" spans="1:31" hidden="1">
      <c r="A1912" s="277" t="s">
        <v>7799</v>
      </c>
      <c r="B1912" s="9" t="s">
        <v>21</v>
      </c>
      <c r="C1912" s="9">
        <v>2023</v>
      </c>
      <c r="D1912" s="9" t="s">
        <v>27</v>
      </c>
      <c r="E1912" s="90" t="s">
        <v>968</v>
      </c>
      <c r="F1912" s="9" t="s">
        <v>8</v>
      </c>
      <c r="G1912" s="10"/>
      <c r="H1912" s="21">
        <v>231197</v>
      </c>
      <c r="I1912" s="22" t="s">
        <v>852</v>
      </c>
      <c r="J1912" s="23">
        <v>45085</v>
      </c>
      <c r="K1912" s="23">
        <v>45118</v>
      </c>
      <c r="L1912" s="29">
        <v>7500000</v>
      </c>
      <c r="M1912" s="26" t="s">
        <v>984</v>
      </c>
      <c r="N1912" s="169"/>
      <c r="O1912" s="170"/>
      <c r="P1912" s="169"/>
      <c r="Q1912" s="169"/>
      <c r="R1912" s="175">
        <v>45204</v>
      </c>
      <c r="S1912" s="51">
        <f t="shared" si="392"/>
        <v>7500000</v>
      </c>
      <c r="T1912" s="37">
        <f t="shared" si="393"/>
        <v>0</v>
      </c>
      <c r="U1912" s="10"/>
      <c r="V1912" s="10"/>
      <c r="W1912" s="10"/>
      <c r="X1912" s="10"/>
      <c r="Y1912" s="10"/>
      <c r="Z1912" s="10"/>
      <c r="AA1912" s="10"/>
      <c r="AB1912" s="10"/>
      <c r="AC1912" s="10"/>
      <c r="AD1912" s="10"/>
      <c r="AE1912" s="10"/>
    </row>
    <row r="1913" spans="1:31" hidden="1">
      <c r="A1913" s="277" t="s">
        <v>7800</v>
      </c>
      <c r="B1913" s="9" t="s">
        <v>21</v>
      </c>
      <c r="C1913" s="9">
        <v>2023</v>
      </c>
      <c r="D1913" s="9" t="s">
        <v>27</v>
      </c>
      <c r="E1913" s="90" t="s">
        <v>968</v>
      </c>
      <c r="F1913" s="9" t="s">
        <v>8</v>
      </c>
      <c r="G1913" s="10"/>
      <c r="H1913" s="21">
        <v>231197</v>
      </c>
      <c r="I1913" s="22" t="s">
        <v>852</v>
      </c>
      <c r="J1913" s="23">
        <v>45085</v>
      </c>
      <c r="K1913" s="23">
        <v>45118</v>
      </c>
      <c r="L1913" s="29">
        <v>7500000</v>
      </c>
      <c r="M1913" s="26" t="s">
        <v>985</v>
      </c>
      <c r="N1913" s="169"/>
      <c r="O1913" s="170"/>
      <c r="P1913" s="169"/>
      <c r="Q1913" s="169"/>
      <c r="R1913" s="175">
        <v>45229</v>
      </c>
      <c r="S1913" s="51">
        <f t="shared" si="392"/>
        <v>7500000</v>
      </c>
      <c r="T1913" s="37">
        <f t="shared" si="393"/>
        <v>0</v>
      </c>
      <c r="U1913" s="10"/>
      <c r="V1913" s="10"/>
      <c r="W1913" s="10"/>
      <c r="X1913" s="10"/>
      <c r="Y1913" s="10"/>
      <c r="Z1913" s="10"/>
      <c r="AA1913" s="10"/>
      <c r="AB1913" s="10"/>
      <c r="AC1913" s="10"/>
      <c r="AD1913" s="10"/>
      <c r="AE1913" s="10"/>
    </row>
    <row r="1914" spans="1:31" hidden="1">
      <c r="A1914" s="277" t="s">
        <v>6049</v>
      </c>
      <c r="B1914" s="9" t="s">
        <v>21</v>
      </c>
      <c r="C1914" s="9">
        <v>2023</v>
      </c>
      <c r="D1914" s="9" t="s">
        <v>27</v>
      </c>
      <c r="E1914" s="90" t="s">
        <v>968</v>
      </c>
      <c r="F1914" s="9" t="s">
        <v>8</v>
      </c>
      <c r="G1914" s="10"/>
      <c r="H1914" s="21">
        <v>231197</v>
      </c>
      <c r="I1914" s="22" t="s">
        <v>852</v>
      </c>
      <c r="J1914" s="23">
        <v>45085</v>
      </c>
      <c r="K1914" s="23">
        <v>45118</v>
      </c>
      <c r="L1914" s="29">
        <v>7500000</v>
      </c>
      <c r="M1914" s="26" t="s">
        <v>986</v>
      </c>
      <c r="N1914" s="169"/>
      <c r="O1914" s="170"/>
      <c r="P1914" s="169"/>
      <c r="Q1914" s="169"/>
      <c r="R1914" s="175">
        <v>45265</v>
      </c>
      <c r="S1914" s="51">
        <f t="shared" si="392"/>
        <v>7500000</v>
      </c>
      <c r="T1914" s="37">
        <f t="shared" si="393"/>
        <v>0</v>
      </c>
      <c r="U1914" s="10"/>
      <c r="V1914" s="10"/>
      <c r="W1914" s="10"/>
      <c r="X1914" s="10"/>
      <c r="Y1914" s="10"/>
      <c r="Z1914" s="10"/>
      <c r="AA1914" s="10"/>
      <c r="AB1914" s="10"/>
      <c r="AC1914" s="10"/>
      <c r="AD1914" s="10"/>
      <c r="AE1914" s="10"/>
    </row>
    <row r="1915" spans="1:31" hidden="1">
      <c r="A1915" s="277" t="s">
        <v>6050</v>
      </c>
      <c r="B1915" s="9" t="s">
        <v>21</v>
      </c>
      <c r="C1915" s="9">
        <v>2023</v>
      </c>
      <c r="D1915" s="9" t="s">
        <v>27</v>
      </c>
      <c r="E1915" s="90" t="s">
        <v>968</v>
      </c>
      <c r="F1915" s="9" t="s">
        <v>8</v>
      </c>
      <c r="G1915" s="10"/>
      <c r="H1915" s="21">
        <v>231197</v>
      </c>
      <c r="I1915" s="22" t="s">
        <v>852</v>
      </c>
      <c r="J1915" s="23">
        <v>45085</v>
      </c>
      <c r="K1915" s="23">
        <v>45118</v>
      </c>
      <c r="L1915" s="29">
        <v>7500000</v>
      </c>
      <c r="M1915" s="26" t="s">
        <v>987</v>
      </c>
      <c r="N1915" s="169"/>
      <c r="O1915" s="170"/>
      <c r="P1915" s="169"/>
      <c r="Q1915" s="169"/>
      <c r="R1915" s="175">
        <v>45288</v>
      </c>
      <c r="S1915" s="51">
        <f t="shared" si="392"/>
        <v>7500000</v>
      </c>
      <c r="T1915" s="37">
        <f t="shared" si="393"/>
        <v>0</v>
      </c>
      <c r="U1915" s="10"/>
      <c r="V1915" s="10"/>
      <c r="W1915" s="10"/>
      <c r="X1915" s="10"/>
      <c r="Y1915" s="10"/>
      <c r="Z1915" s="10"/>
      <c r="AA1915" s="10"/>
      <c r="AB1915" s="10"/>
      <c r="AC1915" s="10"/>
      <c r="AD1915" s="10"/>
      <c r="AE1915" s="10"/>
    </row>
    <row r="1916" spans="1:31" hidden="1">
      <c r="A1916" s="277" t="s">
        <v>6051</v>
      </c>
      <c r="B1916" s="9" t="s">
        <v>21</v>
      </c>
      <c r="C1916" s="9">
        <v>2023</v>
      </c>
      <c r="D1916" s="9" t="s">
        <v>27</v>
      </c>
      <c r="E1916" s="90" t="s">
        <v>968</v>
      </c>
      <c r="F1916" s="9" t="s">
        <v>8</v>
      </c>
      <c r="G1916" s="10"/>
      <c r="H1916" s="21">
        <v>231197</v>
      </c>
      <c r="I1916" s="22" t="s">
        <v>852</v>
      </c>
      <c r="J1916" s="23">
        <v>45085</v>
      </c>
      <c r="K1916" s="23">
        <v>45118</v>
      </c>
      <c r="L1916" s="29">
        <v>7500000</v>
      </c>
      <c r="M1916" s="26" t="s">
        <v>988</v>
      </c>
      <c r="N1916" s="169"/>
      <c r="O1916" s="170"/>
      <c r="P1916" s="169"/>
      <c r="Q1916" s="169"/>
      <c r="R1916" s="175">
        <v>45306</v>
      </c>
      <c r="S1916" s="51">
        <f t="shared" si="392"/>
        <v>7500000</v>
      </c>
      <c r="T1916" s="37">
        <f t="shared" si="393"/>
        <v>0</v>
      </c>
      <c r="U1916" s="10"/>
      <c r="V1916" s="10"/>
      <c r="W1916" s="10"/>
      <c r="X1916" s="10"/>
      <c r="Y1916" s="10"/>
      <c r="Z1916" s="10"/>
      <c r="AA1916" s="10"/>
      <c r="AB1916" s="10"/>
      <c r="AC1916" s="10"/>
      <c r="AD1916" s="10"/>
      <c r="AE1916" s="10"/>
    </row>
    <row r="1917" spans="1:31" hidden="1">
      <c r="A1917" s="277" t="s">
        <v>6052</v>
      </c>
      <c r="B1917" s="9" t="s">
        <v>21</v>
      </c>
      <c r="C1917" s="9">
        <v>2023</v>
      </c>
      <c r="D1917" s="9" t="s">
        <v>27</v>
      </c>
      <c r="E1917" s="90" t="s">
        <v>968</v>
      </c>
      <c r="F1917" s="9" t="s">
        <v>8</v>
      </c>
      <c r="G1917" s="10"/>
      <c r="H1917" s="21">
        <v>231197</v>
      </c>
      <c r="I1917" s="22" t="s">
        <v>852</v>
      </c>
      <c r="J1917" s="23">
        <v>45085</v>
      </c>
      <c r="K1917" s="23">
        <v>45118</v>
      </c>
      <c r="L1917" s="29">
        <v>7500000</v>
      </c>
      <c r="M1917" s="26" t="s">
        <v>989</v>
      </c>
      <c r="N1917" s="169"/>
      <c r="O1917" s="170"/>
      <c r="P1917" s="169"/>
      <c r="Q1917" s="169"/>
      <c r="R1917" s="175">
        <v>45316</v>
      </c>
      <c r="S1917" s="51">
        <f t="shared" si="392"/>
        <v>7500000</v>
      </c>
      <c r="T1917" s="37">
        <f t="shared" si="393"/>
        <v>0</v>
      </c>
      <c r="U1917" s="10"/>
      <c r="V1917" s="10"/>
      <c r="W1917" s="10"/>
      <c r="X1917" s="10"/>
      <c r="Y1917" s="10"/>
      <c r="Z1917" s="10"/>
      <c r="AA1917" s="10"/>
      <c r="AB1917" s="10"/>
      <c r="AC1917" s="10"/>
      <c r="AD1917" s="10"/>
      <c r="AE1917" s="10"/>
    </row>
    <row r="1918" spans="1:31" hidden="1">
      <c r="A1918" s="277" t="s">
        <v>6053</v>
      </c>
      <c r="B1918" s="9" t="s">
        <v>21</v>
      </c>
      <c r="C1918" s="9">
        <v>2023</v>
      </c>
      <c r="D1918" s="9" t="s">
        <v>27</v>
      </c>
      <c r="E1918" s="90" t="s">
        <v>968</v>
      </c>
      <c r="F1918" s="9" t="s">
        <v>8</v>
      </c>
      <c r="G1918" s="10"/>
      <c r="H1918" s="21">
        <v>231197</v>
      </c>
      <c r="I1918" s="22" t="s">
        <v>852</v>
      </c>
      <c r="J1918" s="23">
        <v>45085</v>
      </c>
      <c r="K1918" s="23">
        <v>45118</v>
      </c>
      <c r="L1918" s="29">
        <v>7500000</v>
      </c>
      <c r="M1918" s="26" t="s">
        <v>990</v>
      </c>
      <c r="N1918" s="169"/>
      <c r="O1918" s="170"/>
      <c r="P1918" s="169"/>
      <c r="Q1918" s="169"/>
      <c r="R1918" s="175">
        <v>45351</v>
      </c>
      <c r="S1918" s="51">
        <f t="shared" si="392"/>
        <v>7500000</v>
      </c>
      <c r="T1918" s="37">
        <f t="shared" si="393"/>
        <v>0</v>
      </c>
      <c r="U1918" s="10"/>
      <c r="V1918" s="10"/>
      <c r="W1918" s="10"/>
      <c r="X1918" s="10"/>
      <c r="Y1918" s="10"/>
      <c r="Z1918" s="10"/>
      <c r="AA1918" s="10"/>
      <c r="AB1918" s="10"/>
      <c r="AC1918" s="10"/>
      <c r="AD1918" s="10"/>
      <c r="AE1918" s="10"/>
    </row>
    <row r="1919" spans="1:31" hidden="1">
      <c r="A1919" s="277" t="s">
        <v>6054</v>
      </c>
      <c r="B1919" s="9" t="s">
        <v>21</v>
      </c>
      <c r="C1919" s="9">
        <v>2023</v>
      </c>
      <c r="D1919" s="9" t="s">
        <v>27</v>
      </c>
      <c r="E1919" s="90" t="s">
        <v>968</v>
      </c>
      <c r="F1919" s="9" t="s">
        <v>8</v>
      </c>
      <c r="G1919" s="10"/>
      <c r="H1919" s="21">
        <v>231197</v>
      </c>
      <c r="I1919" s="22" t="s">
        <v>852</v>
      </c>
      <c r="J1919" s="23">
        <v>45085</v>
      </c>
      <c r="K1919" s="23">
        <v>45118</v>
      </c>
      <c r="L1919" s="29">
        <v>7500000</v>
      </c>
      <c r="M1919" s="26" t="s">
        <v>991</v>
      </c>
      <c r="N1919" s="169"/>
      <c r="O1919" s="170"/>
      <c r="P1919" s="169"/>
      <c r="Q1919" s="169"/>
      <c r="R1919" s="175">
        <v>45356</v>
      </c>
      <c r="S1919" s="51">
        <f t="shared" si="392"/>
        <v>7500000</v>
      </c>
      <c r="T1919" s="37">
        <f t="shared" si="393"/>
        <v>0</v>
      </c>
      <c r="U1919" s="10"/>
      <c r="V1919" s="10"/>
      <c r="W1919" s="10"/>
      <c r="X1919" s="10"/>
      <c r="Y1919" s="10"/>
      <c r="Z1919" s="10"/>
      <c r="AA1919" s="10"/>
      <c r="AB1919" s="10"/>
      <c r="AC1919" s="10"/>
      <c r="AD1919" s="10"/>
      <c r="AE1919" s="10"/>
    </row>
    <row r="1920" spans="1:31" hidden="1">
      <c r="A1920" s="277" t="s">
        <v>6055</v>
      </c>
      <c r="B1920" s="9" t="s">
        <v>21</v>
      </c>
      <c r="C1920" s="9">
        <v>2023</v>
      </c>
      <c r="D1920" s="9" t="s">
        <v>27</v>
      </c>
      <c r="E1920" s="90" t="s">
        <v>968</v>
      </c>
      <c r="F1920" s="9" t="s">
        <v>8</v>
      </c>
      <c r="G1920" s="10"/>
      <c r="H1920" s="21">
        <v>231197</v>
      </c>
      <c r="I1920" s="22" t="s">
        <v>852</v>
      </c>
      <c r="J1920" s="23">
        <v>45085</v>
      </c>
      <c r="K1920" s="23">
        <v>45118</v>
      </c>
      <c r="L1920" s="29">
        <v>7500000</v>
      </c>
      <c r="M1920" s="26" t="s">
        <v>992</v>
      </c>
      <c r="N1920" s="169"/>
      <c r="O1920" s="170"/>
      <c r="P1920" s="169"/>
      <c r="Q1920" s="169"/>
      <c r="R1920" s="175">
        <v>45371</v>
      </c>
      <c r="S1920" s="51">
        <f t="shared" si="392"/>
        <v>7500000</v>
      </c>
      <c r="T1920" s="37">
        <f t="shared" si="393"/>
        <v>0</v>
      </c>
      <c r="U1920" s="10"/>
      <c r="V1920" s="10"/>
      <c r="W1920" s="10"/>
      <c r="X1920" s="10"/>
      <c r="Y1920" s="10"/>
      <c r="Z1920" s="10"/>
      <c r="AA1920" s="10"/>
      <c r="AB1920" s="10"/>
      <c r="AC1920" s="10"/>
      <c r="AD1920" s="10"/>
      <c r="AE1920" s="10"/>
    </row>
    <row r="1921" spans="1:31" hidden="1">
      <c r="A1921" s="277" t="s">
        <v>6056</v>
      </c>
      <c r="B1921" s="9" t="s">
        <v>21</v>
      </c>
      <c r="C1921" s="9">
        <v>2023</v>
      </c>
      <c r="D1921" s="9" t="s">
        <v>27</v>
      </c>
      <c r="E1921" s="90" t="s">
        <v>968</v>
      </c>
      <c r="F1921" s="9" t="s">
        <v>8</v>
      </c>
      <c r="G1921" s="10"/>
      <c r="H1921" s="21">
        <v>231197</v>
      </c>
      <c r="I1921" s="22" t="s">
        <v>852</v>
      </c>
      <c r="J1921" s="23">
        <v>45085</v>
      </c>
      <c r="K1921" s="23">
        <v>45118</v>
      </c>
      <c r="L1921" s="29">
        <v>7500000</v>
      </c>
      <c r="M1921" s="26" t="s">
        <v>988</v>
      </c>
      <c r="N1921" s="169"/>
      <c r="O1921" s="170"/>
      <c r="P1921" s="169"/>
      <c r="Q1921" s="169"/>
      <c r="R1921" s="175">
        <v>45387</v>
      </c>
      <c r="S1921" s="51">
        <f t="shared" si="392"/>
        <v>7500000</v>
      </c>
      <c r="T1921" s="37">
        <f t="shared" si="393"/>
        <v>0</v>
      </c>
      <c r="U1921" s="10"/>
      <c r="V1921" s="10"/>
      <c r="W1921" s="10"/>
      <c r="X1921" s="10"/>
      <c r="Y1921" s="10"/>
      <c r="Z1921" s="10"/>
      <c r="AA1921" s="10"/>
      <c r="AB1921" s="10"/>
      <c r="AC1921" s="10"/>
      <c r="AD1921" s="10"/>
      <c r="AE1921" s="10"/>
    </row>
    <row r="1922" spans="1:31" hidden="1">
      <c r="A1922" s="277" t="s">
        <v>6057</v>
      </c>
      <c r="B1922" s="9" t="s">
        <v>21</v>
      </c>
      <c r="C1922" s="9">
        <v>2023</v>
      </c>
      <c r="D1922" s="9" t="s">
        <v>27</v>
      </c>
      <c r="E1922" s="90" t="s">
        <v>968</v>
      </c>
      <c r="F1922" s="9" t="s">
        <v>8</v>
      </c>
      <c r="G1922" s="10"/>
      <c r="H1922" s="21">
        <v>231197</v>
      </c>
      <c r="I1922" s="22" t="s">
        <v>852</v>
      </c>
      <c r="J1922" s="23">
        <v>45085</v>
      </c>
      <c r="K1922" s="23">
        <v>45118</v>
      </c>
      <c r="L1922" s="29">
        <v>7500000</v>
      </c>
      <c r="M1922" s="26" t="s">
        <v>989</v>
      </c>
      <c r="N1922" s="169"/>
      <c r="O1922" s="170"/>
      <c r="P1922" s="169"/>
      <c r="Q1922" s="169"/>
      <c r="R1922" s="175">
        <v>45409</v>
      </c>
      <c r="S1922" s="37">
        <f t="shared" si="392"/>
        <v>7500000</v>
      </c>
      <c r="T1922" s="37">
        <f t="shared" si="393"/>
        <v>0</v>
      </c>
      <c r="U1922" s="10"/>
      <c r="V1922" s="10"/>
      <c r="W1922" s="10"/>
      <c r="X1922" s="10"/>
      <c r="Y1922" s="10"/>
      <c r="Z1922" s="10"/>
      <c r="AA1922" s="10"/>
      <c r="AB1922" s="10"/>
      <c r="AC1922" s="10"/>
      <c r="AD1922" s="10"/>
      <c r="AE1922" s="10"/>
    </row>
    <row r="1923" spans="1:31" hidden="1">
      <c r="A1923" s="277" t="s">
        <v>6058</v>
      </c>
      <c r="B1923" s="9" t="s">
        <v>21</v>
      </c>
      <c r="C1923" s="9">
        <v>2023</v>
      </c>
      <c r="D1923" s="9" t="s">
        <v>27</v>
      </c>
      <c r="E1923" s="90" t="s">
        <v>968</v>
      </c>
      <c r="F1923" s="9" t="s">
        <v>8</v>
      </c>
      <c r="G1923" s="10"/>
      <c r="H1923" s="21">
        <v>231197</v>
      </c>
      <c r="I1923" s="22" t="s">
        <v>852</v>
      </c>
      <c r="J1923" s="23">
        <v>45085</v>
      </c>
      <c r="K1923" s="23">
        <v>45118</v>
      </c>
      <c r="L1923" s="29">
        <v>7500000</v>
      </c>
      <c r="M1923" s="26" t="s">
        <v>990</v>
      </c>
      <c r="N1923" s="169"/>
      <c r="O1923" s="170"/>
      <c r="P1923" s="169"/>
      <c r="Q1923" s="169"/>
      <c r="R1923" s="175">
        <v>45428</v>
      </c>
      <c r="S1923" s="37">
        <f t="shared" si="392"/>
        <v>7500000</v>
      </c>
      <c r="T1923" s="37">
        <f t="shared" si="393"/>
        <v>0</v>
      </c>
      <c r="U1923" s="10"/>
      <c r="V1923" s="10"/>
      <c r="W1923" s="10"/>
      <c r="X1923" s="10"/>
      <c r="Y1923" s="10"/>
      <c r="Z1923" s="10"/>
      <c r="AA1923" s="10"/>
      <c r="AB1923" s="10"/>
      <c r="AC1923" s="10"/>
      <c r="AD1923" s="10"/>
      <c r="AE1923" s="10"/>
    </row>
    <row r="1924" spans="1:31" hidden="1">
      <c r="A1924" s="277" t="s">
        <v>6059</v>
      </c>
      <c r="B1924" s="9" t="s">
        <v>21</v>
      </c>
      <c r="C1924" s="9">
        <v>2023</v>
      </c>
      <c r="D1924" s="9" t="s">
        <v>27</v>
      </c>
      <c r="E1924" s="90" t="s">
        <v>968</v>
      </c>
      <c r="F1924" s="9" t="s">
        <v>8</v>
      </c>
      <c r="G1924" s="10"/>
      <c r="H1924" s="21">
        <v>231197</v>
      </c>
      <c r="I1924" s="22" t="s">
        <v>852</v>
      </c>
      <c r="J1924" s="23">
        <v>45085</v>
      </c>
      <c r="K1924" s="23">
        <v>45118</v>
      </c>
      <c r="L1924" s="29">
        <v>7500000</v>
      </c>
      <c r="M1924" s="26" t="s">
        <v>991</v>
      </c>
      <c r="N1924" s="169"/>
      <c r="O1924" s="170"/>
      <c r="P1924" s="169"/>
      <c r="Q1924" s="169"/>
      <c r="R1924" s="175">
        <v>45463</v>
      </c>
      <c r="S1924" s="37">
        <f t="shared" ref="S1924:S1939" si="394">IF(R1924="",0,L1924)</f>
        <v>7500000</v>
      </c>
      <c r="T1924" s="37">
        <f t="shared" ref="T1924:T1939" si="395">L1924-S1924</f>
        <v>0</v>
      </c>
      <c r="U1924" s="10"/>
      <c r="V1924" s="10"/>
      <c r="W1924" s="10"/>
      <c r="X1924" s="10"/>
      <c r="Y1924" s="10"/>
      <c r="Z1924" s="10"/>
      <c r="AA1924" s="10"/>
      <c r="AB1924" s="10"/>
      <c r="AC1924" s="10"/>
      <c r="AD1924" s="10"/>
      <c r="AE1924" s="10"/>
    </row>
    <row r="1925" spans="1:31" hidden="1">
      <c r="A1925" s="277" t="s">
        <v>6060</v>
      </c>
      <c r="B1925" s="9" t="s">
        <v>21</v>
      </c>
      <c r="C1925" s="9">
        <v>2023</v>
      </c>
      <c r="D1925" s="9" t="s">
        <v>27</v>
      </c>
      <c r="E1925" s="90" t="s">
        <v>968</v>
      </c>
      <c r="F1925" s="9" t="s">
        <v>8</v>
      </c>
      <c r="G1925" s="10"/>
      <c r="H1925" s="21">
        <v>231197</v>
      </c>
      <c r="I1925" s="22" t="s">
        <v>852</v>
      </c>
      <c r="J1925" s="23">
        <v>45085</v>
      </c>
      <c r="K1925" s="23">
        <v>45118</v>
      </c>
      <c r="L1925" s="29">
        <v>7500000</v>
      </c>
      <c r="M1925" s="26" t="s">
        <v>992</v>
      </c>
      <c r="N1925" s="169"/>
      <c r="O1925" s="170"/>
      <c r="P1925" s="169"/>
      <c r="Q1925" s="169"/>
      <c r="R1925" s="175">
        <v>45472</v>
      </c>
      <c r="S1925" s="37">
        <f t="shared" si="394"/>
        <v>7500000</v>
      </c>
      <c r="T1925" s="37">
        <f t="shared" si="395"/>
        <v>0</v>
      </c>
      <c r="U1925" s="10"/>
      <c r="V1925" s="10"/>
      <c r="W1925" s="10"/>
      <c r="X1925" s="10"/>
      <c r="Y1925" s="10"/>
      <c r="Z1925" s="10"/>
      <c r="AA1925" s="10"/>
      <c r="AB1925" s="10"/>
      <c r="AC1925" s="10"/>
      <c r="AD1925" s="10"/>
      <c r="AE1925" s="10"/>
    </row>
    <row r="1926" spans="1:31" hidden="1">
      <c r="A1926" s="277" t="s">
        <v>6061</v>
      </c>
      <c r="B1926" s="9" t="s">
        <v>21</v>
      </c>
      <c r="C1926" s="9">
        <v>2023</v>
      </c>
      <c r="D1926" s="9" t="s">
        <v>27</v>
      </c>
      <c r="E1926" s="90" t="s">
        <v>968</v>
      </c>
      <c r="F1926" s="9" t="s">
        <v>8</v>
      </c>
      <c r="G1926" s="10"/>
      <c r="H1926" s="21">
        <v>231197</v>
      </c>
      <c r="I1926" s="22" t="s">
        <v>852</v>
      </c>
      <c r="J1926" s="23">
        <v>45085</v>
      </c>
      <c r="K1926" s="23">
        <v>45118</v>
      </c>
      <c r="L1926" s="29">
        <v>7500000</v>
      </c>
      <c r="M1926" s="26" t="s">
        <v>993</v>
      </c>
      <c r="N1926" s="169"/>
      <c r="O1926" s="170"/>
      <c r="P1926" s="169"/>
      <c r="Q1926" s="169"/>
      <c r="R1926" s="175">
        <v>45474</v>
      </c>
      <c r="S1926" s="37">
        <f t="shared" si="394"/>
        <v>7500000</v>
      </c>
      <c r="T1926" s="37">
        <f t="shared" si="395"/>
        <v>0</v>
      </c>
      <c r="U1926" s="10"/>
      <c r="V1926" s="10"/>
      <c r="W1926" s="10"/>
      <c r="X1926" s="10"/>
      <c r="Y1926" s="10"/>
      <c r="Z1926" s="10"/>
      <c r="AA1926" s="10"/>
      <c r="AB1926" s="10"/>
      <c r="AC1926" s="10"/>
      <c r="AD1926" s="10"/>
      <c r="AE1926" s="10"/>
    </row>
    <row r="1927" spans="1:31" hidden="1">
      <c r="A1927" s="277" t="s">
        <v>6062</v>
      </c>
      <c r="B1927" s="9" t="s">
        <v>21</v>
      </c>
      <c r="C1927" s="9">
        <v>2023</v>
      </c>
      <c r="D1927" s="9" t="s">
        <v>27</v>
      </c>
      <c r="E1927" s="90" t="s">
        <v>968</v>
      </c>
      <c r="F1927" s="9" t="s">
        <v>8</v>
      </c>
      <c r="G1927" s="10"/>
      <c r="H1927" s="21">
        <v>231197</v>
      </c>
      <c r="I1927" s="22" t="s">
        <v>852</v>
      </c>
      <c r="J1927" s="23">
        <v>45085</v>
      </c>
      <c r="K1927" s="23">
        <v>45118</v>
      </c>
      <c r="L1927" s="29">
        <v>7500000</v>
      </c>
      <c r="M1927" s="26" t="s">
        <v>994</v>
      </c>
      <c r="N1927" s="169"/>
      <c r="O1927" s="170"/>
      <c r="P1927" s="169"/>
      <c r="Q1927" s="169"/>
      <c r="R1927" s="175">
        <v>45489</v>
      </c>
      <c r="S1927" s="37">
        <f t="shared" si="394"/>
        <v>7500000</v>
      </c>
      <c r="T1927" s="37">
        <f t="shared" si="395"/>
        <v>0</v>
      </c>
      <c r="U1927" s="10"/>
      <c r="V1927" s="10"/>
      <c r="W1927" s="10"/>
      <c r="X1927" s="10"/>
      <c r="Y1927" s="10"/>
      <c r="Z1927" s="10"/>
      <c r="AA1927" s="10"/>
      <c r="AB1927" s="10"/>
      <c r="AC1927" s="10"/>
      <c r="AD1927" s="10"/>
      <c r="AE1927" s="10"/>
    </row>
    <row r="1928" spans="1:31" hidden="1">
      <c r="A1928" s="277" t="s">
        <v>6063</v>
      </c>
      <c r="B1928" s="9" t="s">
        <v>21</v>
      </c>
      <c r="C1928" s="9">
        <v>2023</v>
      </c>
      <c r="D1928" s="9" t="s">
        <v>27</v>
      </c>
      <c r="E1928" s="90" t="s">
        <v>968</v>
      </c>
      <c r="F1928" s="9" t="s">
        <v>8</v>
      </c>
      <c r="G1928" s="10"/>
      <c r="H1928" s="21">
        <v>231197</v>
      </c>
      <c r="I1928" s="22" t="s">
        <v>852</v>
      </c>
      <c r="J1928" s="23">
        <v>45085</v>
      </c>
      <c r="K1928" s="23">
        <v>45118</v>
      </c>
      <c r="L1928" s="29">
        <v>7500000</v>
      </c>
      <c r="M1928" s="26" t="s">
        <v>995</v>
      </c>
      <c r="N1928" s="169"/>
      <c r="O1928" s="170"/>
      <c r="P1928" s="169"/>
      <c r="Q1928" s="169"/>
      <c r="R1928" s="175">
        <v>45495</v>
      </c>
      <c r="S1928" s="37">
        <f t="shared" si="394"/>
        <v>7500000</v>
      </c>
      <c r="T1928" s="37">
        <f t="shared" si="395"/>
        <v>0</v>
      </c>
      <c r="U1928" s="10"/>
      <c r="V1928" s="10"/>
      <c r="W1928" s="10"/>
      <c r="X1928" s="10"/>
      <c r="Y1928" s="10"/>
      <c r="Z1928" s="10"/>
      <c r="AA1928" s="10"/>
      <c r="AB1928" s="10"/>
      <c r="AC1928" s="10"/>
      <c r="AD1928" s="10"/>
      <c r="AE1928" s="10"/>
    </row>
    <row r="1929" spans="1:31" hidden="1">
      <c r="A1929" s="277" t="s">
        <v>6064</v>
      </c>
      <c r="B1929" s="9" t="s">
        <v>21</v>
      </c>
      <c r="C1929" s="9">
        <v>2023</v>
      </c>
      <c r="D1929" s="9" t="s">
        <v>27</v>
      </c>
      <c r="E1929" s="90" t="s">
        <v>968</v>
      </c>
      <c r="F1929" s="9" t="s">
        <v>8</v>
      </c>
      <c r="G1929" s="10"/>
      <c r="H1929" s="21">
        <v>231197</v>
      </c>
      <c r="I1929" s="22" t="s">
        <v>852</v>
      </c>
      <c r="J1929" s="23">
        <v>45085</v>
      </c>
      <c r="K1929" s="23">
        <v>45118</v>
      </c>
      <c r="L1929" s="29">
        <v>7500000</v>
      </c>
      <c r="M1929" s="26" t="s">
        <v>996</v>
      </c>
      <c r="N1929" s="169"/>
      <c r="O1929" s="170"/>
      <c r="P1929" s="169"/>
      <c r="Q1929" s="169"/>
      <c r="R1929" s="175">
        <v>45524</v>
      </c>
      <c r="S1929" s="37">
        <f t="shared" si="394"/>
        <v>7500000</v>
      </c>
      <c r="T1929" s="37">
        <f t="shared" si="395"/>
        <v>0</v>
      </c>
      <c r="U1929" s="10"/>
      <c r="V1929" s="10"/>
      <c r="W1929" s="10"/>
      <c r="X1929" s="10"/>
      <c r="Y1929" s="10"/>
      <c r="Z1929" s="10"/>
      <c r="AA1929" s="10"/>
      <c r="AB1929" s="10"/>
      <c r="AC1929" s="10"/>
      <c r="AD1929" s="10"/>
      <c r="AE1929" s="10"/>
    </row>
    <row r="1930" spans="1:31" hidden="1">
      <c r="A1930" s="277" t="s">
        <v>6065</v>
      </c>
      <c r="B1930" s="9" t="s">
        <v>21</v>
      </c>
      <c r="C1930" s="9">
        <v>2023</v>
      </c>
      <c r="D1930" s="9" t="s">
        <v>27</v>
      </c>
      <c r="E1930" s="90" t="s">
        <v>968</v>
      </c>
      <c r="F1930" s="9" t="s">
        <v>8</v>
      </c>
      <c r="G1930" s="10"/>
      <c r="H1930" s="21">
        <v>231197</v>
      </c>
      <c r="I1930" s="22" t="s">
        <v>852</v>
      </c>
      <c r="J1930" s="23">
        <v>45085</v>
      </c>
      <c r="K1930" s="23">
        <v>45118</v>
      </c>
      <c r="L1930" s="29">
        <v>7500000</v>
      </c>
      <c r="M1930" s="26" t="s">
        <v>997</v>
      </c>
      <c r="N1930" s="169"/>
      <c r="O1930" s="170"/>
      <c r="P1930" s="169"/>
      <c r="Q1930" s="169"/>
      <c r="R1930" s="175">
        <v>45602</v>
      </c>
      <c r="S1930" s="37">
        <f t="shared" si="394"/>
        <v>7500000</v>
      </c>
      <c r="T1930" s="37">
        <f t="shared" si="395"/>
        <v>0</v>
      </c>
      <c r="U1930" s="10"/>
      <c r="V1930" s="10"/>
      <c r="W1930" s="10"/>
      <c r="X1930" s="10"/>
      <c r="Y1930" s="10"/>
      <c r="Z1930" s="10"/>
      <c r="AA1930" s="10"/>
      <c r="AB1930" s="10"/>
      <c r="AC1930" s="10"/>
      <c r="AD1930" s="10"/>
      <c r="AE1930" s="10"/>
    </row>
    <row r="1931" spans="1:31" hidden="1">
      <c r="A1931" s="277" t="s">
        <v>6066</v>
      </c>
      <c r="B1931" s="9" t="s">
        <v>21</v>
      </c>
      <c r="C1931" s="9">
        <v>2023</v>
      </c>
      <c r="D1931" s="9" t="s">
        <v>27</v>
      </c>
      <c r="E1931" s="90" t="s">
        <v>968</v>
      </c>
      <c r="F1931" s="9" t="s">
        <v>8</v>
      </c>
      <c r="G1931" s="10"/>
      <c r="H1931" s="21">
        <v>231197</v>
      </c>
      <c r="I1931" s="22" t="s">
        <v>852</v>
      </c>
      <c r="J1931" s="23">
        <v>45085</v>
      </c>
      <c r="K1931" s="23">
        <v>45118</v>
      </c>
      <c r="L1931" s="29">
        <v>7500000</v>
      </c>
      <c r="M1931" s="26" t="s">
        <v>998</v>
      </c>
      <c r="N1931" s="169"/>
      <c r="O1931" s="170"/>
      <c r="P1931" s="169"/>
      <c r="Q1931" s="169"/>
      <c r="R1931" s="175">
        <v>45898</v>
      </c>
      <c r="S1931" s="37">
        <f t="shared" si="394"/>
        <v>7500000</v>
      </c>
      <c r="T1931" s="37">
        <f t="shared" si="395"/>
        <v>0</v>
      </c>
      <c r="U1931" s="10"/>
      <c r="V1931" s="10"/>
      <c r="W1931" s="10"/>
      <c r="X1931" s="10"/>
      <c r="Y1931" s="10"/>
      <c r="Z1931" s="10"/>
      <c r="AA1931" s="10"/>
      <c r="AB1931" s="10"/>
      <c r="AC1931" s="10"/>
      <c r="AD1931" s="10"/>
      <c r="AE1931" s="10"/>
    </row>
    <row r="1932" spans="1:31" hidden="1">
      <c r="A1932" s="277" t="s">
        <v>6067</v>
      </c>
      <c r="B1932" s="9" t="s">
        <v>21</v>
      </c>
      <c r="C1932" s="9">
        <v>2023</v>
      </c>
      <c r="D1932" s="9" t="s">
        <v>27</v>
      </c>
      <c r="E1932" s="90" t="s">
        <v>968</v>
      </c>
      <c r="F1932" s="9" t="s">
        <v>8</v>
      </c>
      <c r="G1932" s="10"/>
      <c r="H1932" s="21">
        <v>231197</v>
      </c>
      <c r="I1932" s="22" t="s">
        <v>852</v>
      </c>
      <c r="J1932" s="23">
        <v>45085</v>
      </c>
      <c r="K1932" s="23">
        <v>45118</v>
      </c>
      <c r="L1932" s="29">
        <v>7500000</v>
      </c>
      <c r="M1932" s="26" t="s">
        <v>999</v>
      </c>
      <c r="N1932" s="169"/>
      <c r="O1932" s="170"/>
      <c r="P1932" s="169"/>
      <c r="Q1932" s="169"/>
      <c r="R1932" s="175">
        <v>45898</v>
      </c>
      <c r="S1932" s="37">
        <f t="shared" si="394"/>
        <v>7500000</v>
      </c>
      <c r="T1932" s="37">
        <f t="shared" si="395"/>
        <v>0</v>
      </c>
      <c r="U1932" s="10"/>
      <c r="V1932" s="10"/>
      <c r="W1932" s="10"/>
      <c r="X1932" s="10"/>
      <c r="Y1932" s="10"/>
      <c r="Z1932" s="10"/>
      <c r="AA1932" s="10"/>
      <c r="AB1932" s="10"/>
      <c r="AC1932" s="10"/>
      <c r="AD1932" s="10"/>
      <c r="AE1932" s="10"/>
    </row>
    <row r="1933" spans="1:31" hidden="1">
      <c r="A1933" s="277" t="s">
        <v>6068</v>
      </c>
      <c r="B1933" s="9" t="s">
        <v>21</v>
      </c>
      <c r="C1933" s="9">
        <v>2023</v>
      </c>
      <c r="D1933" s="9" t="s">
        <v>27</v>
      </c>
      <c r="E1933" s="90" t="s">
        <v>968</v>
      </c>
      <c r="F1933" s="9" t="s">
        <v>8</v>
      </c>
      <c r="G1933" s="10"/>
      <c r="H1933" s="21">
        <v>231197</v>
      </c>
      <c r="I1933" s="22" t="s">
        <v>852</v>
      </c>
      <c r="J1933" s="23">
        <v>45085</v>
      </c>
      <c r="K1933" s="23">
        <v>45118</v>
      </c>
      <c r="L1933" s="29">
        <v>20000000</v>
      </c>
      <c r="M1933" s="26" t="s">
        <v>3792</v>
      </c>
      <c r="N1933" s="169"/>
      <c r="O1933" s="170"/>
      <c r="P1933" s="169"/>
      <c r="Q1933" s="169"/>
      <c r="R1933" s="175">
        <v>45950</v>
      </c>
      <c r="S1933" s="37">
        <f t="shared" si="394"/>
        <v>20000000</v>
      </c>
      <c r="T1933" s="37">
        <f t="shared" si="395"/>
        <v>0</v>
      </c>
      <c r="U1933" s="10"/>
      <c r="V1933" s="10"/>
      <c r="W1933" s="10"/>
      <c r="X1933" s="10"/>
      <c r="Y1933" s="10"/>
      <c r="Z1933" s="10"/>
      <c r="AA1933" s="10"/>
      <c r="AB1933" s="10"/>
      <c r="AC1933" s="10"/>
      <c r="AD1933" s="10"/>
      <c r="AE1933" s="10"/>
    </row>
    <row r="1934" spans="1:31" hidden="1">
      <c r="A1934" s="277" t="s">
        <v>6069</v>
      </c>
      <c r="B1934" s="9" t="s">
        <v>21</v>
      </c>
      <c r="C1934" s="9">
        <v>2023</v>
      </c>
      <c r="D1934" s="9" t="s">
        <v>27</v>
      </c>
      <c r="E1934" s="90" t="s">
        <v>968</v>
      </c>
      <c r="F1934" s="9" t="s">
        <v>8</v>
      </c>
      <c r="G1934" s="10"/>
      <c r="H1934" s="21">
        <v>231197</v>
      </c>
      <c r="I1934" s="22" t="s">
        <v>852</v>
      </c>
      <c r="J1934" s="23">
        <v>45085</v>
      </c>
      <c r="K1934" s="23">
        <v>45118</v>
      </c>
      <c r="L1934" s="29">
        <v>6750000</v>
      </c>
      <c r="M1934" s="26" t="s">
        <v>3860</v>
      </c>
      <c r="N1934" s="169"/>
      <c r="O1934" s="170"/>
      <c r="P1934" s="169"/>
      <c r="Q1934" s="169"/>
      <c r="R1934" s="175">
        <v>45961</v>
      </c>
      <c r="S1934" s="37">
        <f t="shared" si="394"/>
        <v>6750000</v>
      </c>
      <c r="T1934" s="37">
        <f t="shared" si="395"/>
        <v>0</v>
      </c>
      <c r="U1934" s="10"/>
      <c r="V1934" s="10"/>
      <c r="W1934" s="10"/>
      <c r="X1934" s="10"/>
      <c r="Y1934" s="10"/>
      <c r="Z1934" s="10"/>
      <c r="AA1934" s="10"/>
      <c r="AB1934" s="10"/>
      <c r="AC1934" s="10"/>
      <c r="AD1934" s="10"/>
      <c r="AE1934" s="10"/>
    </row>
    <row r="1935" spans="1:31">
      <c r="A1935" s="277" t="s">
        <v>6070</v>
      </c>
      <c r="B1935" s="9" t="s">
        <v>21</v>
      </c>
      <c r="C1935" s="9">
        <v>2023</v>
      </c>
      <c r="D1935" s="9" t="s">
        <v>27</v>
      </c>
      <c r="E1935" s="90" t="s">
        <v>968</v>
      </c>
      <c r="F1935" s="9" t="s">
        <v>8</v>
      </c>
      <c r="G1935" s="10"/>
      <c r="H1935" s="21">
        <v>231197</v>
      </c>
      <c r="I1935" s="22" t="s">
        <v>852</v>
      </c>
      <c r="J1935" s="23">
        <v>45085</v>
      </c>
      <c r="K1935" s="23">
        <v>45118</v>
      </c>
      <c r="L1935" s="29">
        <v>20000000</v>
      </c>
      <c r="M1935" s="26" t="s">
        <v>3860</v>
      </c>
      <c r="N1935" s="169"/>
      <c r="O1935" s="170"/>
      <c r="P1935" s="169"/>
      <c r="Q1935" s="169"/>
      <c r="R1935" s="175">
        <v>45982</v>
      </c>
      <c r="S1935" s="37">
        <f t="shared" si="394"/>
        <v>20000000</v>
      </c>
      <c r="T1935" s="37">
        <f t="shared" si="395"/>
        <v>0</v>
      </c>
      <c r="U1935" s="10"/>
      <c r="V1935" s="10"/>
      <c r="W1935" s="10"/>
      <c r="X1935" s="10"/>
      <c r="Y1935" s="10"/>
      <c r="Z1935" s="10"/>
      <c r="AA1935" s="10"/>
      <c r="AB1935" s="10"/>
      <c r="AC1935" s="10"/>
      <c r="AD1935" s="10"/>
      <c r="AE1935" s="10"/>
    </row>
    <row r="1936" spans="1:31">
      <c r="A1936" s="277" t="s">
        <v>6071</v>
      </c>
      <c r="B1936" s="9" t="s">
        <v>21</v>
      </c>
      <c r="C1936" s="9">
        <v>2023</v>
      </c>
      <c r="D1936" s="9" t="s">
        <v>27</v>
      </c>
      <c r="E1936" s="90" t="s">
        <v>968</v>
      </c>
      <c r="F1936" s="9" t="s">
        <v>8</v>
      </c>
      <c r="G1936" s="10"/>
      <c r="H1936" s="21">
        <v>231197</v>
      </c>
      <c r="I1936" s="22" t="s">
        <v>852</v>
      </c>
      <c r="J1936" s="23">
        <v>45085</v>
      </c>
      <c r="K1936" s="23">
        <v>45118</v>
      </c>
      <c r="L1936" s="29">
        <v>25000000</v>
      </c>
      <c r="M1936" s="26" t="s">
        <v>4215</v>
      </c>
      <c r="N1936" s="34" t="s">
        <v>29</v>
      </c>
      <c r="O1936" s="170"/>
      <c r="P1936" s="169"/>
      <c r="Q1936" s="169"/>
      <c r="R1936" s="175">
        <v>46048</v>
      </c>
      <c r="S1936" s="37">
        <f t="shared" si="394"/>
        <v>25000000</v>
      </c>
      <c r="T1936" s="37">
        <f t="shared" si="395"/>
        <v>0</v>
      </c>
      <c r="U1936" s="10"/>
      <c r="V1936" s="10"/>
      <c r="W1936" s="10"/>
      <c r="X1936" s="10"/>
      <c r="Y1936" s="10"/>
      <c r="Z1936" s="10"/>
      <c r="AA1936" s="10"/>
      <c r="AB1936" s="10"/>
      <c r="AC1936" s="10"/>
      <c r="AD1936" s="10"/>
      <c r="AE1936" s="10"/>
    </row>
    <row r="1937" spans="1:31">
      <c r="A1937" s="277" t="s">
        <v>6072</v>
      </c>
      <c r="B1937" s="9" t="s">
        <v>21</v>
      </c>
      <c r="C1937" s="9">
        <v>2023</v>
      </c>
      <c r="D1937" s="9" t="s">
        <v>27</v>
      </c>
      <c r="E1937" s="90" t="s">
        <v>968</v>
      </c>
      <c r="F1937" s="9" t="s">
        <v>8</v>
      </c>
      <c r="G1937" s="10"/>
      <c r="H1937" s="21">
        <v>231197</v>
      </c>
      <c r="I1937" s="22" t="s">
        <v>852</v>
      </c>
      <c r="J1937" s="23">
        <v>45085</v>
      </c>
      <c r="K1937" s="23">
        <v>45118</v>
      </c>
      <c r="L1937" s="29">
        <v>7500000</v>
      </c>
      <c r="M1937" s="26" t="s">
        <v>7021</v>
      </c>
      <c r="N1937" s="34" t="s">
        <v>29</v>
      </c>
      <c r="O1937" s="170"/>
      <c r="P1937" s="169"/>
      <c r="Q1937" s="169"/>
      <c r="R1937" s="175">
        <v>46161</v>
      </c>
      <c r="S1937" s="37">
        <f t="shared" si="394"/>
        <v>7500000</v>
      </c>
      <c r="T1937" s="37">
        <f t="shared" si="395"/>
        <v>0</v>
      </c>
      <c r="U1937" s="10"/>
      <c r="V1937" s="10"/>
      <c r="W1937" s="10"/>
      <c r="X1937" s="10"/>
      <c r="Y1937" s="10"/>
      <c r="Z1937" s="10"/>
      <c r="AA1937" s="10"/>
      <c r="AB1937" s="10"/>
      <c r="AC1937" s="10"/>
      <c r="AD1937" s="10"/>
      <c r="AE1937" s="10"/>
    </row>
    <row r="1938" spans="1:31">
      <c r="A1938" s="277" t="s">
        <v>6073</v>
      </c>
      <c r="B1938" s="9" t="s">
        <v>21</v>
      </c>
      <c r="C1938" s="9">
        <v>2023</v>
      </c>
      <c r="D1938" s="9" t="s">
        <v>27</v>
      </c>
      <c r="E1938" s="90" t="s">
        <v>968</v>
      </c>
      <c r="F1938" s="9" t="s">
        <v>8</v>
      </c>
      <c r="G1938" s="10"/>
      <c r="H1938" s="21">
        <v>231197</v>
      </c>
      <c r="I1938" s="22" t="s">
        <v>852</v>
      </c>
      <c r="J1938" s="23">
        <v>45085</v>
      </c>
      <c r="K1938" s="23">
        <v>45118</v>
      </c>
      <c r="L1938" s="29">
        <v>7500000</v>
      </c>
      <c r="M1938" s="26" t="s">
        <v>7436</v>
      </c>
      <c r="N1938" s="34" t="s">
        <v>29</v>
      </c>
      <c r="O1938" s="170"/>
      <c r="P1938" s="169"/>
      <c r="Q1938" s="169"/>
      <c r="R1938" s="175">
        <v>46231</v>
      </c>
      <c r="S1938" s="37">
        <f t="shared" ref="S1938" si="396">IF(R1938="",0,L1938)</f>
        <v>7500000</v>
      </c>
      <c r="T1938" s="37">
        <f t="shared" ref="T1938" si="397">L1938-S1938</f>
        <v>0</v>
      </c>
      <c r="U1938" s="10"/>
      <c r="V1938" s="10"/>
      <c r="W1938" s="10"/>
      <c r="X1938" s="10"/>
      <c r="Y1938" s="10"/>
      <c r="Z1938" s="10"/>
      <c r="AA1938" s="10"/>
      <c r="AB1938" s="10"/>
      <c r="AC1938" s="10"/>
      <c r="AD1938" s="10"/>
      <c r="AE1938" s="10"/>
    </row>
    <row r="1939" spans="1:31" ht="14.25" customHeight="1">
      <c r="A1939" s="277" t="s">
        <v>6074</v>
      </c>
      <c r="B1939" s="9" t="s">
        <v>21</v>
      </c>
      <c r="C1939" s="9">
        <v>2023</v>
      </c>
      <c r="D1939" s="9" t="s">
        <v>77</v>
      </c>
      <c r="E1939" s="90" t="s">
        <v>968</v>
      </c>
      <c r="F1939" s="9" t="s">
        <v>8</v>
      </c>
      <c r="G1939" s="10"/>
      <c r="H1939" s="9">
        <v>231197</v>
      </c>
      <c r="I1939" s="11" t="s">
        <v>852</v>
      </c>
      <c r="J1939" s="12">
        <v>45085</v>
      </c>
      <c r="K1939" s="12">
        <v>45118</v>
      </c>
      <c r="L1939" s="130">
        <f>299700000-L1908-L1909-L1910-L1911-L1912-L1913-L1914-L1915-L1916-L1917-L1918-L1919-L1920-L1921-L1922-L1923-L1925-L1926-L1927-L1928-L1929-L1930-L1924-L1931-L1932-L1933-L1934-L1935-L1936-L1937-L1938</f>
        <v>25450000</v>
      </c>
      <c r="M1939" s="125" t="s">
        <v>1000</v>
      </c>
      <c r="N1939" s="34">
        <f ca="1">$J$3-J1939</f>
        <v>1155.4637763888895</v>
      </c>
      <c r="O1939" s="11"/>
      <c r="P1939" s="9"/>
      <c r="Q1939" s="9"/>
      <c r="R1939" s="9"/>
      <c r="S1939" s="37">
        <f t="shared" si="394"/>
        <v>0</v>
      </c>
      <c r="T1939" s="37">
        <f t="shared" si="395"/>
        <v>25450000</v>
      </c>
      <c r="U1939" s="10"/>
      <c r="V1939" s="10"/>
      <c r="W1939" s="10"/>
      <c r="X1939" s="10"/>
      <c r="Y1939" s="10"/>
      <c r="Z1939" s="10"/>
      <c r="AA1939" s="10"/>
      <c r="AB1939" s="10"/>
      <c r="AC1939" s="10"/>
      <c r="AD1939" s="10"/>
      <c r="AE1939" s="10"/>
    </row>
    <row r="1940" spans="1:31" ht="14.25" customHeight="1">
      <c r="A1940" s="277" t="s">
        <v>6075</v>
      </c>
      <c r="B1940" s="9" t="s">
        <v>21</v>
      </c>
      <c r="C1940" s="9"/>
      <c r="D1940" s="9"/>
      <c r="E1940" s="90"/>
      <c r="F1940" s="9"/>
      <c r="G1940" s="10"/>
      <c r="H1940" s="9"/>
      <c r="I1940" s="11"/>
      <c r="J1940" s="12"/>
      <c r="K1940" s="12"/>
      <c r="L1940" s="130"/>
      <c r="M1940" s="125"/>
      <c r="N1940" s="114">
        <f ca="1">$J$3-J1940</f>
        <v>46240.46377638889</v>
      </c>
      <c r="O1940" s="11"/>
      <c r="P1940" s="9"/>
      <c r="Q1940" s="9"/>
      <c r="R1940" s="9"/>
      <c r="S1940" s="37"/>
      <c r="T1940" s="37"/>
      <c r="U1940" s="10"/>
      <c r="V1940" s="10"/>
      <c r="W1940" s="10"/>
      <c r="X1940" s="10"/>
      <c r="Y1940" s="10"/>
      <c r="Z1940" s="10"/>
      <c r="AA1940" s="10"/>
      <c r="AB1940" s="10"/>
      <c r="AC1940" s="10"/>
      <c r="AD1940" s="10"/>
      <c r="AE1940" s="10"/>
    </row>
    <row r="1941" spans="1:31" ht="14.25" customHeight="1">
      <c r="A1941" s="277" t="s">
        <v>6076</v>
      </c>
      <c r="B1941" s="9" t="s">
        <v>21</v>
      </c>
      <c r="C1941" s="9"/>
      <c r="D1941" s="9"/>
      <c r="E1941" s="90"/>
      <c r="F1941" s="9"/>
      <c r="G1941" s="9"/>
      <c r="H1941" s="93"/>
      <c r="I1941" s="154"/>
      <c r="J1941" s="155"/>
      <c r="K1941" s="155"/>
      <c r="L1941" s="156"/>
      <c r="M1941" s="157"/>
      <c r="N1941" s="158"/>
      <c r="O1941" s="154"/>
      <c r="P1941" s="39"/>
      <c r="Q1941" s="39"/>
      <c r="R1941" s="39"/>
      <c r="S1941" s="156"/>
      <c r="T1941" s="156"/>
      <c r="U1941" s="157"/>
      <c r="V1941" s="157"/>
      <c r="W1941" s="157"/>
      <c r="X1941" s="157"/>
      <c r="Y1941" s="157"/>
      <c r="Z1941" s="157"/>
      <c r="AA1941" s="157"/>
      <c r="AB1941" s="157"/>
      <c r="AC1941" s="157"/>
      <c r="AD1941" s="157"/>
      <c r="AE1941" s="157"/>
    </row>
    <row r="1942" spans="1:31" ht="14.25" customHeight="1">
      <c r="A1942" s="277" t="s">
        <v>6077</v>
      </c>
      <c r="B1942" s="9" t="s">
        <v>21</v>
      </c>
      <c r="C1942" s="9"/>
      <c r="D1942" s="9"/>
      <c r="E1942" s="90"/>
      <c r="F1942" s="9"/>
      <c r="G1942" s="94" t="s">
        <v>24</v>
      </c>
      <c r="H1942" s="153" t="s">
        <v>862</v>
      </c>
      <c r="I1942" s="104"/>
      <c r="J1942" s="105"/>
      <c r="K1942" s="105"/>
      <c r="L1942" s="106">
        <f>SUM(L1943:L1950)</f>
        <v>130713600</v>
      </c>
      <c r="M1942" s="107"/>
      <c r="N1942" s="108" t="s">
        <v>26</v>
      </c>
      <c r="O1942" s="108"/>
      <c r="P1942" s="108"/>
      <c r="Q1942" s="108"/>
      <c r="R1942" s="108"/>
      <c r="S1942" s="106">
        <f>SUM(S1943:S1950)</f>
        <v>130713600</v>
      </c>
      <c r="T1942" s="106">
        <f>SUM(T1943:T1950)</f>
        <v>0</v>
      </c>
      <c r="U1942" s="10"/>
      <c r="V1942" s="52">
        <f>L1942-S1942</f>
        <v>0</v>
      </c>
      <c r="W1942" s="52">
        <f>T1942-V1942</f>
        <v>0</v>
      </c>
      <c r="X1942" s="10"/>
      <c r="Y1942" s="10"/>
      <c r="Z1942" s="10"/>
      <c r="AA1942" s="10"/>
      <c r="AB1942" s="10"/>
      <c r="AC1942" s="10"/>
      <c r="AD1942" s="10"/>
      <c r="AE1942" s="10"/>
    </row>
    <row r="1943" spans="1:31" ht="14.25" customHeight="1">
      <c r="A1943" s="277" t="s">
        <v>6078</v>
      </c>
      <c r="B1943" s="9" t="s">
        <v>21</v>
      </c>
      <c r="C1943" s="9">
        <v>2024</v>
      </c>
      <c r="D1943" s="9" t="s">
        <v>27</v>
      </c>
      <c r="E1943" s="90" t="s">
        <v>968</v>
      </c>
      <c r="F1943" s="9" t="s">
        <v>7</v>
      </c>
      <c r="G1943" s="10"/>
      <c r="H1943" s="96">
        <v>240901</v>
      </c>
      <c r="I1943" s="109" t="s">
        <v>862</v>
      </c>
      <c r="J1943" s="115">
        <v>45418</v>
      </c>
      <c r="K1943" s="115">
        <v>45456</v>
      </c>
      <c r="L1943" s="116">
        <f>18714600/2</f>
        <v>9357300</v>
      </c>
      <c r="M1943" s="117" t="s">
        <v>1001</v>
      </c>
      <c r="N1943" s="34" t="s">
        <v>29</v>
      </c>
      <c r="O1943" s="27"/>
      <c r="P1943" s="113">
        <v>45530</v>
      </c>
      <c r="Q1943" s="113">
        <v>45530</v>
      </c>
      <c r="R1943" s="113">
        <v>45530</v>
      </c>
      <c r="S1943" s="37">
        <f t="shared" ref="S1943:S1948" si="398">IF(R1943="",0,L1943)</f>
        <v>9357300</v>
      </c>
      <c r="T1943" s="37">
        <f t="shared" ref="T1943:T1948" si="399">L1943-S1943</f>
        <v>0</v>
      </c>
      <c r="U1943" s="10"/>
      <c r="V1943" s="10"/>
      <c r="W1943" s="10"/>
      <c r="X1943" s="10"/>
      <c r="Y1943" s="10"/>
      <c r="Z1943" s="10"/>
      <c r="AA1943" s="10"/>
      <c r="AB1943" s="10"/>
      <c r="AC1943" s="10"/>
      <c r="AD1943" s="10"/>
      <c r="AE1943" s="10"/>
    </row>
    <row r="1944" spans="1:31" ht="14.25" customHeight="1">
      <c r="A1944" s="277" t="s">
        <v>6079</v>
      </c>
      <c r="B1944" s="9" t="s">
        <v>21</v>
      </c>
      <c r="C1944" s="9">
        <v>2024</v>
      </c>
      <c r="D1944" s="9" t="s">
        <v>27</v>
      </c>
      <c r="E1944" s="90" t="s">
        <v>968</v>
      </c>
      <c r="F1944" s="9" t="s">
        <v>7</v>
      </c>
      <c r="G1944" s="10"/>
      <c r="H1944" s="96">
        <v>240901</v>
      </c>
      <c r="I1944" s="109" t="s">
        <v>862</v>
      </c>
      <c r="J1944" s="115">
        <v>45418</v>
      </c>
      <c r="K1944" s="115">
        <v>45456</v>
      </c>
      <c r="L1944" s="136">
        <v>9357300</v>
      </c>
      <c r="M1944" s="117" t="s">
        <v>1002</v>
      </c>
      <c r="N1944" s="34" t="s">
        <v>29</v>
      </c>
      <c r="O1944" s="27"/>
      <c r="P1944" s="113">
        <v>45874</v>
      </c>
      <c r="Q1944" s="113">
        <v>45874</v>
      </c>
      <c r="R1944" s="113">
        <v>45874</v>
      </c>
      <c r="S1944" s="37">
        <f t="shared" si="398"/>
        <v>9357300</v>
      </c>
      <c r="T1944" s="37">
        <f t="shared" si="399"/>
        <v>0</v>
      </c>
      <c r="U1944" s="10"/>
      <c r="V1944" s="10"/>
      <c r="W1944" s="10"/>
      <c r="X1944" s="10"/>
      <c r="Y1944" s="10"/>
      <c r="Z1944" s="10"/>
      <c r="AA1944" s="10"/>
      <c r="AB1944" s="10"/>
      <c r="AC1944" s="10"/>
      <c r="AD1944" s="10"/>
      <c r="AE1944" s="10"/>
    </row>
    <row r="1945" spans="1:31" ht="14.25" customHeight="1">
      <c r="A1945" s="277" t="s">
        <v>6080</v>
      </c>
      <c r="B1945" s="9" t="s">
        <v>21</v>
      </c>
      <c r="C1945" s="9">
        <v>2024</v>
      </c>
      <c r="D1945" s="9" t="s">
        <v>27</v>
      </c>
      <c r="E1945" s="90" t="s">
        <v>968</v>
      </c>
      <c r="F1945" s="9" t="s">
        <v>8</v>
      </c>
      <c r="G1945" s="10"/>
      <c r="H1945" s="96">
        <v>241260</v>
      </c>
      <c r="I1945" s="109" t="s">
        <v>862</v>
      </c>
      <c r="J1945" s="115">
        <v>45461</v>
      </c>
      <c r="K1945" s="115">
        <v>45489</v>
      </c>
      <c r="L1945" s="177">
        <v>21090000</v>
      </c>
      <c r="M1945" s="117" t="s">
        <v>1003</v>
      </c>
      <c r="N1945" s="34" t="s">
        <v>29</v>
      </c>
      <c r="O1945" s="11"/>
      <c r="P1945" s="113">
        <v>45910</v>
      </c>
      <c r="Q1945" s="113">
        <v>45910</v>
      </c>
      <c r="R1945" s="113">
        <v>45910</v>
      </c>
      <c r="S1945" s="37">
        <f t="shared" si="398"/>
        <v>21090000</v>
      </c>
      <c r="T1945" s="37">
        <f t="shared" si="399"/>
        <v>0</v>
      </c>
      <c r="U1945" s="157"/>
      <c r="V1945" s="157"/>
      <c r="W1945" s="157"/>
      <c r="X1945" s="157"/>
      <c r="Y1945" s="157"/>
      <c r="Z1945" s="157"/>
      <c r="AA1945" s="157"/>
      <c r="AB1945" s="157"/>
      <c r="AC1945" s="157"/>
      <c r="AD1945" s="157"/>
      <c r="AE1945" s="157"/>
    </row>
    <row r="1946" spans="1:31" ht="14.25" customHeight="1">
      <c r="A1946" s="277" t="s">
        <v>6081</v>
      </c>
      <c r="B1946" s="9" t="s">
        <v>21</v>
      </c>
      <c r="C1946" s="9">
        <v>2024</v>
      </c>
      <c r="D1946" s="9" t="s">
        <v>27</v>
      </c>
      <c r="E1946" s="90" t="s">
        <v>968</v>
      </c>
      <c r="F1946" s="9" t="s">
        <v>8</v>
      </c>
      <c r="G1946" s="10"/>
      <c r="H1946" s="96">
        <v>241260</v>
      </c>
      <c r="I1946" s="109" t="s">
        <v>862</v>
      </c>
      <c r="J1946" s="115">
        <v>45461</v>
      </c>
      <c r="K1946" s="115">
        <v>45489</v>
      </c>
      <c r="L1946" s="177">
        <v>34909000</v>
      </c>
      <c r="M1946" s="117" t="s">
        <v>4019</v>
      </c>
      <c r="N1946" s="34" t="s">
        <v>29</v>
      </c>
      <c r="O1946" s="11"/>
      <c r="P1946" s="113">
        <v>45993</v>
      </c>
      <c r="Q1946" s="113">
        <v>45993</v>
      </c>
      <c r="R1946" s="113">
        <v>45993</v>
      </c>
      <c r="S1946" s="37">
        <f t="shared" si="398"/>
        <v>34909000</v>
      </c>
      <c r="T1946" s="37">
        <f t="shared" si="399"/>
        <v>0</v>
      </c>
      <c r="U1946" s="157"/>
      <c r="V1946" s="157"/>
      <c r="W1946" s="157"/>
      <c r="X1946" s="157"/>
      <c r="Y1946" s="157"/>
      <c r="Z1946" s="157"/>
      <c r="AA1946" s="157"/>
      <c r="AB1946" s="157"/>
      <c r="AC1946" s="157"/>
      <c r="AD1946" s="157"/>
      <c r="AE1946" s="157"/>
    </row>
    <row r="1947" spans="1:31" ht="14.25" customHeight="1">
      <c r="A1947" s="277" t="s">
        <v>6082</v>
      </c>
      <c r="B1947" s="9" t="s">
        <v>21</v>
      </c>
      <c r="C1947" s="9">
        <v>2024</v>
      </c>
      <c r="D1947" s="9" t="s">
        <v>27</v>
      </c>
      <c r="E1947" s="90" t="s">
        <v>968</v>
      </c>
      <c r="F1947" s="9" t="s">
        <v>8</v>
      </c>
      <c r="G1947" s="10"/>
      <c r="H1947" s="96">
        <v>241260</v>
      </c>
      <c r="I1947" s="109" t="s">
        <v>862</v>
      </c>
      <c r="J1947" s="115">
        <v>45461</v>
      </c>
      <c r="K1947" s="115">
        <v>45489</v>
      </c>
      <c r="L1947" s="260">
        <v>36000000</v>
      </c>
      <c r="M1947" s="117" t="s">
        <v>4214</v>
      </c>
      <c r="N1947" s="34" t="s">
        <v>29</v>
      </c>
      <c r="O1947" s="11"/>
      <c r="P1947" s="113">
        <v>46048</v>
      </c>
      <c r="Q1947" s="113">
        <v>46048</v>
      </c>
      <c r="R1947" s="113">
        <v>46048</v>
      </c>
      <c r="S1947" s="37">
        <f t="shared" si="398"/>
        <v>36000000</v>
      </c>
      <c r="T1947" s="37">
        <f t="shared" si="399"/>
        <v>0</v>
      </c>
      <c r="U1947" s="157"/>
      <c r="V1947" s="157"/>
      <c r="W1947" s="157"/>
      <c r="X1947" s="157"/>
      <c r="Y1947" s="157"/>
      <c r="Z1947" s="157"/>
      <c r="AA1947" s="157"/>
      <c r="AB1947" s="157"/>
      <c r="AC1947" s="157"/>
      <c r="AD1947" s="157"/>
      <c r="AE1947" s="157"/>
    </row>
    <row r="1948" spans="1:31" ht="14.25" customHeight="1">
      <c r="A1948" s="277" t="s">
        <v>6083</v>
      </c>
      <c r="B1948" s="9" t="s">
        <v>21</v>
      </c>
      <c r="C1948" s="9">
        <v>2024</v>
      </c>
      <c r="D1948" s="9" t="s">
        <v>27</v>
      </c>
      <c r="E1948" s="90" t="s">
        <v>968</v>
      </c>
      <c r="F1948" s="9" t="s">
        <v>8</v>
      </c>
      <c r="G1948" s="10"/>
      <c r="H1948" s="96">
        <v>241315</v>
      </c>
      <c r="I1948" s="109" t="s">
        <v>862</v>
      </c>
      <c r="J1948" s="115">
        <v>45467</v>
      </c>
      <c r="K1948" s="115">
        <v>45489</v>
      </c>
      <c r="L1948" s="177">
        <f>90909000-L1946-L1947</f>
        <v>20000000</v>
      </c>
      <c r="M1948" s="117" t="s">
        <v>7138</v>
      </c>
      <c r="N1948" s="34" t="s">
        <v>29</v>
      </c>
      <c r="O1948" s="10"/>
      <c r="P1948" s="113">
        <v>46137</v>
      </c>
      <c r="Q1948" s="113">
        <v>46137</v>
      </c>
      <c r="R1948" s="113">
        <v>46137</v>
      </c>
      <c r="S1948" s="37">
        <f t="shared" si="398"/>
        <v>20000000</v>
      </c>
      <c r="T1948" s="37">
        <f t="shared" si="399"/>
        <v>0</v>
      </c>
      <c r="U1948" s="157"/>
      <c r="V1948" s="157"/>
      <c r="W1948" s="157"/>
      <c r="X1948" s="157"/>
      <c r="Y1948" s="157"/>
      <c r="Z1948" s="157"/>
      <c r="AA1948" s="157"/>
      <c r="AB1948" s="157"/>
      <c r="AC1948" s="157"/>
      <c r="AD1948" s="157"/>
      <c r="AE1948" s="157"/>
    </row>
    <row r="1949" spans="1:31" ht="14.25" customHeight="1">
      <c r="A1949" s="277" t="s">
        <v>6084</v>
      </c>
      <c r="B1949" s="9" t="s">
        <v>21</v>
      </c>
      <c r="C1949" s="9"/>
      <c r="D1949" s="9"/>
      <c r="E1949" s="90"/>
      <c r="F1949" s="9"/>
      <c r="G1949" s="9"/>
      <c r="H1949" s="93"/>
      <c r="I1949" s="154"/>
      <c r="J1949" s="155"/>
      <c r="K1949" s="155"/>
      <c r="L1949" s="156"/>
      <c r="M1949" s="157"/>
      <c r="N1949" s="114">
        <f ca="1">$J$3-J1949</f>
        <v>46240.46377638889</v>
      </c>
      <c r="O1949" s="154"/>
      <c r="P1949" s="39"/>
      <c r="Q1949" s="39"/>
      <c r="R1949" s="39"/>
      <c r="S1949" s="156"/>
      <c r="T1949" s="156"/>
      <c r="U1949" s="157"/>
      <c r="V1949" s="157"/>
      <c r="W1949" s="157"/>
      <c r="X1949" s="157"/>
      <c r="Y1949" s="157"/>
      <c r="Z1949" s="157"/>
      <c r="AA1949" s="157"/>
      <c r="AB1949" s="157"/>
      <c r="AC1949" s="157"/>
      <c r="AD1949" s="157"/>
      <c r="AE1949" s="157"/>
    </row>
    <row r="1950" spans="1:31" ht="14.25" customHeight="1">
      <c r="A1950" s="277" t="s">
        <v>6085</v>
      </c>
      <c r="B1950" s="9" t="s">
        <v>21</v>
      </c>
      <c r="C1950" s="9"/>
      <c r="D1950" s="9"/>
      <c r="E1950" s="90"/>
      <c r="F1950" s="9"/>
      <c r="G1950" s="9"/>
      <c r="H1950" s="93"/>
      <c r="I1950" s="154"/>
      <c r="J1950" s="155"/>
      <c r="K1950" s="155"/>
      <c r="L1950" s="156"/>
      <c r="M1950" s="157"/>
      <c r="N1950" s="158"/>
      <c r="O1950" s="154"/>
      <c r="P1950" s="39"/>
      <c r="Q1950" s="39"/>
      <c r="R1950" s="39"/>
      <c r="S1950" s="156"/>
      <c r="T1950" s="156"/>
      <c r="U1950" s="157"/>
      <c r="V1950" s="157"/>
      <c r="W1950" s="157"/>
      <c r="X1950" s="157"/>
      <c r="Y1950" s="157"/>
      <c r="Z1950" s="157"/>
      <c r="AA1950" s="157"/>
      <c r="AB1950" s="157"/>
      <c r="AC1950" s="157"/>
      <c r="AD1950" s="157"/>
      <c r="AE1950" s="157"/>
    </row>
    <row r="1951" spans="1:31" ht="14.25" customHeight="1">
      <c r="A1951" s="277" t="s">
        <v>6086</v>
      </c>
      <c r="B1951" s="9" t="s">
        <v>21</v>
      </c>
      <c r="E1951" s="176"/>
      <c r="G1951" s="94" t="s">
        <v>24</v>
      </c>
      <c r="H1951" s="95" t="s">
        <v>1004</v>
      </c>
      <c r="I1951" s="178"/>
      <c r="J1951" s="105"/>
      <c r="K1951" s="105"/>
      <c r="L1951" s="106">
        <f>SUM(L1952:L1960)</f>
        <v>273685000</v>
      </c>
      <c r="M1951" s="107"/>
      <c r="N1951" s="108" t="s">
        <v>26</v>
      </c>
      <c r="O1951" s="108"/>
      <c r="P1951" s="108"/>
      <c r="Q1951" s="108"/>
      <c r="R1951" s="108"/>
      <c r="S1951" s="106">
        <f>SUM(S1952:S1960)</f>
        <v>241755085</v>
      </c>
      <c r="T1951" s="106">
        <f>SUM(T1952:T1960)</f>
        <v>31929915</v>
      </c>
      <c r="U1951" s="10"/>
      <c r="V1951" s="52">
        <f>L1951-S1951</f>
        <v>31929915</v>
      </c>
      <c r="W1951" s="52">
        <f>T1951-V1951</f>
        <v>0</v>
      </c>
      <c r="X1951" s="157"/>
      <c r="Y1951" s="157"/>
      <c r="Z1951" s="157"/>
      <c r="AA1951" s="157"/>
      <c r="AB1951" s="157"/>
      <c r="AC1951" s="157"/>
      <c r="AD1951" s="157"/>
      <c r="AE1951" s="157"/>
    </row>
    <row r="1952" spans="1:31" s="89" customFormat="1" ht="14.25" customHeight="1">
      <c r="A1952" s="277" t="s">
        <v>6087</v>
      </c>
      <c r="B1952" s="9" t="s">
        <v>21</v>
      </c>
      <c r="C1952" s="9">
        <v>2025</v>
      </c>
      <c r="D1952" s="9" t="s">
        <v>27</v>
      </c>
      <c r="E1952" s="90" t="s">
        <v>968</v>
      </c>
      <c r="F1952" s="9"/>
      <c r="G1952" s="9"/>
      <c r="H1952" s="257"/>
      <c r="I1952" s="109" t="s">
        <v>1004</v>
      </c>
      <c r="J1952" s="115">
        <v>45777</v>
      </c>
      <c r="K1952" s="115">
        <v>45777</v>
      </c>
      <c r="L1952" s="258">
        <v>82105500</v>
      </c>
      <c r="M1952" s="257" t="s">
        <v>1005</v>
      </c>
      <c r="N1952" s="89" t="s">
        <v>29</v>
      </c>
      <c r="O1952" s="11"/>
      <c r="P1952" s="113">
        <v>45831</v>
      </c>
      <c r="Q1952" s="113">
        <v>45831</v>
      </c>
      <c r="R1952" s="113">
        <v>45831</v>
      </c>
      <c r="S1952" s="37">
        <f t="shared" ref="S1952:S1960" si="400">IF(R1952="",0,L1952)</f>
        <v>82105500</v>
      </c>
      <c r="T1952" s="37">
        <f t="shared" ref="T1952:T1960" si="401">L1952-S1952</f>
        <v>0</v>
      </c>
      <c r="U1952" s="10"/>
      <c r="V1952" s="10"/>
      <c r="W1952" s="10"/>
      <c r="X1952" s="10"/>
      <c r="Y1952" s="10"/>
      <c r="Z1952" s="10"/>
      <c r="AA1952" s="10"/>
      <c r="AB1952" s="10"/>
      <c r="AC1952" s="10"/>
      <c r="AD1952" s="10"/>
      <c r="AE1952" s="10"/>
    </row>
    <row r="1953" spans="1:31" s="89" customFormat="1" ht="14.25" customHeight="1">
      <c r="A1953" s="277" t="s">
        <v>6088</v>
      </c>
      <c r="B1953" s="9" t="s">
        <v>21</v>
      </c>
      <c r="C1953" s="9">
        <v>2025</v>
      </c>
      <c r="D1953" s="9" t="s">
        <v>27</v>
      </c>
      <c r="E1953" s="90" t="s">
        <v>968</v>
      </c>
      <c r="F1953" s="9"/>
      <c r="G1953" s="9"/>
      <c r="H1953" s="257"/>
      <c r="I1953" s="109" t="s">
        <v>1004</v>
      </c>
      <c r="J1953" s="115">
        <v>45777</v>
      </c>
      <c r="K1953" s="115">
        <v>45777</v>
      </c>
      <c r="L1953" s="258">
        <v>31929917</v>
      </c>
      <c r="M1953" s="257" t="s">
        <v>3714</v>
      </c>
      <c r="N1953" s="89" t="s">
        <v>29</v>
      </c>
      <c r="O1953" s="11"/>
      <c r="P1953" s="113">
        <v>45940</v>
      </c>
      <c r="Q1953" s="113">
        <v>45940</v>
      </c>
      <c r="R1953" s="113">
        <v>45940</v>
      </c>
      <c r="S1953" s="37">
        <f t="shared" si="400"/>
        <v>31929917</v>
      </c>
      <c r="T1953" s="37">
        <f t="shared" si="401"/>
        <v>0</v>
      </c>
      <c r="U1953" s="10"/>
      <c r="V1953" s="10"/>
      <c r="W1953" s="10"/>
      <c r="X1953" s="10"/>
      <c r="Y1953" s="10"/>
      <c r="Z1953" s="10"/>
      <c r="AA1953" s="10"/>
      <c r="AB1953" s="10"/>
      <c r="AC1953" s="10"/>
      <c r="AD1953" s="10"/>
      <c r="AE1953" s="10"/>
    </row>
    <row r="1954" spans="1:31" s="89" customFormat="1" ht="14.25" customHeight="1">
      <c r="A1954" s="277" t="s">
        <v>6089</v>
      </c>
      <c r="B1954" s="9" t="s">
        <v>21</v>
      </c>
      <c r="C1954" s="9">
        <v>2025</v>
      </c>
      <c r="D1954" s="9" t="s">
        <v>27</v>
      </c>
      <c r="E1954" s="90" t="s">
        <v>968</v>
      </c>
      <c r="F1954" s="9"/>
      <c r="G1954" s="9"/>
      <c r="H1954" s="257"/>
      <c r="I1954" s="109" t="s">
        <v>1004</v>
      </c>
      <c r="J1954" s="115">
        <v>45777</v>
      </c>
      <c r="K1954" s="115">
        <v>45777</v>
      </c>
      <c r="L1954" s="258">
        <v>31929917</v>
      </c>
      <c r="M1954" s="257" t="s">
        <v>3916</v>
      </c>
      <c r="N1954" s="89" t="s">
        <v>29</v>
      </c>
      <c r="O1954" s="11"/>
      <c r="P1954" s="113">
        <v>45975</v>
      </c>
      <c r="Q1954" s="113">
        <v>45975</v>
      </c>
      <c r="R1954" s="113">
        <v>45975</v>
      </c>
      <c r="S1954" s="37">
        <f t="shared" si="400"/>
        <v>31929917</v>
      </c>
      <c r="T1954" s="37">
        <f t="shared" si="401"/>
        <v>0</v>
      </c>
      <c r="U1954" s="10"/>
      <c r="V1954" s="10"/>
      <c r="W1954" s="10"/>
      <c r="X1954" s="10"/>
      <c r="Y1954" s="10"/>
      <c r="Z1954" s="10"/>
      <c r="AA1954" s="10"/>
      <c r="AB1954" s="10"/>
      <c r="AC1954" s="10"/>
      <c r="AD1954" s="10"/>
      <c r="AE1954" s="10"/>
    </row>
    <row r="1955" spans="1:31" s="89" customFormat="1" ht="14.25" customHeight="1">
      <c r="A1955" s="277" t="s">
        <v>6090</v>
      </c>
      <c r="B1955" s="9" t="s">
        <v>21</v>
      </c>
      <c r="C1955" s="9">
        <v>2025</v>
      </c>
      <c r="D1955" s="9" t="s">
        <v>27</v>
      </c>
      <c r="E1955" s="90" t="s">
        <v>968</v>
      </c>
      <c r="F1955" s="9"/>
      <c r="G1955" s="9"/>
      <c r="H1955" s="257"/>
      <c r="I1955" s="109" t="s">
        <v>1004</v>
      </c>
      <c r="J1955" s="115">
        <v>45777</v>
      </c>
      <c r="K1955" s="115">
        <v>45777</v>
      </c>
      <c r="L1955" s="258">
        <v>31929917</v>
      </c>
      <c r="M1955" s="257" t="s">
        <v>4082</v>
      </c>
      <c r="N1955" s="89" t="s">
        <v>29</v>
      </c>
      <c r="O1955" s="11"/>
      <c r="P1955" s="113">
        <v>46011</v>
      </c>
      <c r="Q1955" s="113">
        <v>46011</v>
      </c>
      <c r="R1955" s="113">
        <v>46011</v>
      </c>
      <c r="S1955" s="37">
        <f t="shared" si="400"/>
        <v>31929917</v>
      </c>
      <c r="T1955" s="37">
        <f t="shared" si="401"/>
        <v>0</v>
      </c>
      <c r="U1955" s="10"/>
      <c r="V1955" s="10"/>
      <c r="W1955" s="10"/>
      <c r="X1955" s="10"/>
      <c r="Y1955" s="10"/>
      <c r="Z1955" s="10"/>
      <c r="AA1955" s="10"/>
      <c r="AB1955" s="10"/>
      <c r="AC1955" s="10"/>
      <c r="AD1955" s="10"/>
      <c r="AE1955" s="10"/>
    </row>
    <row r="1956" spans="1:31" s="89" customFormat="1" ht="14.25" customHeight="1">
      <c r="A1956" s="277" t="s">
        <v>6091</v>
      </c>
      <c r="B1956" s="9" t="s">
        <v>21</v>
      </c>
      <c r="C1956" s="9">
        <v>2025</v>
      </c>
      <c r="D1956" s="9" t="s">
        <v>27</v>
      </c>
      <c r="E1956" s="90" t="s">
        <v>968</v>
      </c>
      <c r="F1956" s="9"/>
      <c r="G1956" s="9"/>
      <c r="H1956" s="257"/>
      <c r="I1956" s="109" t="s">
        <v>1004</v>
      </c>
      <c r="J1956" s="115">
        <v>45777</v>
      </c>
      <c r="K1956" s="115">
        <v>45777</v>
      </c>
      <c r="L1956" s="258">
        <v>31929917</v>
      </c>
      <c r="M1956" s="257" t="s">
        <v>4329</v>
      </c>
      <c r="N1956" s="89" t="s">
        <v>29</v>
      </c>
      <c r="O1956" s="11"/>
      <c r="P1956" s="113">
        <v>46048</v>
      </c>
      <c r="Q1956" s="113">
        <v>46048</v>
      </c>
      <c r="R1956" s="113">
        <v>46048</v>
      </c>
      <c r="S1956" s="37">
        <f t="shared" si="400"/>
        <v>31929917</v>
      </c>
      <c r="T1956" s="37">
        <f t="shared" si="401"/>
        <v>0</v>
      </c>
      <c r="U1956" s="10"/>
      <c r="V1956" s="10"/>
      <c r="W1956" s="10"/>
      <c r="X1956" s="10"/>
      <c r="Y1956" s="10"/>
      <c r="Z1956" s="10"/>
      <c r="AA1956" s="10"/>
      <c r="AB1956" s="10"/>
      <c r="AC1956" s="10"/>
      <c r="AD1956" s="10"/>
      <c r="AE1956" s="10"/>
    </row>
    <row r="1957" spans="1:31" s="89" customFormat="1" ht="14.25" customHeight="1">
      <c r="A1957" s="277" t="s">
        <v>6092</v>
      </c>
      <c r="B1957" s="9" t="s">
        <v>21</v>
      </c>
      <c r="C1957" s="9">
        <v>2025</v>
      </c>
      <c r="D1957" s="9" t="s">
        <v>27</v>
      </c>
      <c r="E1957" s="90" t="s">
        <v>968</v>
      </c>
      <c r="F1957" s="9"/>
      <c r="G1957" s="9"/>
      <c r="H1957" s="257"/>
      <c r="I1957" s="109" t="s">
        <v>1004</v>
      </c>
      <c r="J1957" s="115">
        <v>45777</v>
      </c>
      <c r="K1957" s="115">
        <v>45777</v>
      </c>
      <c r="L1957" s="260">
        <f>31929917*2/4</f>
        <v>15964958.5</v>
      </c>
      <c r="M1957" s="261" t="s">
        <v>6985</v>
      </c>
      <c r="N1957" s="89" t="s">
        <v>29</v>
      </c>
      <c r="O1957" s="11"/>
      <c r="P1957" s="113">
        <v>46147</v>
      </c>
      <c r="Q1957" s="113">
        <v>46147</v>
      </c>
      <c r="R1957" s="113">
        <v>46147</v>
      </c>
      <c r="S1957" s="37">
        <f t="shared" si="400"/>
        <v>15964958.5</v>
      </c>
      <c r="T1957" s="37">
        <f t="shared" si="401"/>
        <v>0</v>
      </c>
      <c r="U1957" s="10"/>
      <c r="V1957" s="10"/>
      <c r="W1957" s="10"/>
      <c r="X1957" s="10"/>
      <c r="Y1957" s="10"/>
      <c r="Z1957" s="10"/>
      <c r="AA1957" s="10"/>
      <c r="AB1957" s="10"/>
      <c r="AC1957" s="10"/>
      <c r="AD1957" s="10"/>
      <c r="AE1957" s="10"/>
    </row>
    <row r="1958" spans="1:31" s="89" customFormat="1" ht="14.25" customHeight="1">
      <c r="A1958" s="277" t="s">
        <v>6093</v>
      </c>
      <c r="B1958" s="9" t="s">
        <v>21</v>
      </c>
      <c r="C1958" s="9">
        <v>2025</v>
      </c>
      <c r="D1958" s="9" t="s">
        <v>27</v>
      </c>
      <c r="E1958" s="90" t="s">
        <v>968</v>
      </c>
      <c r="F1958" s="9"/>
      <c r="G1958" s="9"/>
      <c r="H1958" s="257"/>
      <c r="I1958" s="109" t="s">
        <v>1004</v>
      </c>
      <c r="J1958" s="115">
        <v>45777</v>
      </c>
      <c r="K1958" s="115">
        <v>45777</v>
      </c>
      <c r="L1958" s="260">
        <f>31929917*2/4</f>
        <v>15964958.5</v>
      </c>
      <c r="M1958" s="261" t="s">
        <v>7092</v>
      </c>
      <c r="N1958" s="89" t="s">
        <v>29</v>
      </c>
      <c r="O1958" s="11"/>
      <c r="P1958" s="113">
        <v>46175</v>
      </c>
      <c r="Q1958" s="113">
        <v>46175</v>
      </c>
      <c r="R1958" s="113">
        <v>46175</v>
      </c>
      <c r="S1958" s="37">
        <f t="shared" si="400"/>
        <v>15964958.5</v>
      </c>
      <c r="T1958" s="37">
        <f t="shared" si="401"/>
        <v>0</v>
      </c>
      <c r="U1958" s="10"/>
      <c r="V1958" s="10"/>
      <c r="W1958" s="10"/>
      <c r="X1958" s="10"/>
      <c r="Y1958" s="10"/>
      <c r="Z1958" s="10"/>
      <c r="AA1958" s="10"/>
      <c r="AB1958" s="10"/>
      <c r="AC1958" s="10"/>
      <c r="AD1958" s="10"/>
      <c r="AE1958" s="10"/>
    </row>
    <row r="1959" spans="1:31" s="89" customFormat="1" ht="14.25" customHeight="1">
      <c r="A1959" s="277" t="s">
        <v>6094</v>
      </c>
      <c r="B1959" s="9" t="s">
        <v>21</v>
      </c>
      <c r="C1959" s="9">
        <v>2025</v>
      </c>
      <c r="D1959" s="9" t="s">
        <v>77</v>
      </c>
      <c r="E1959" s="90" t="s">
        <v>968</v>
      </c>
      <c r="F1959" s="9"/>
      <c r="G1959" s="9"/>
      <c r="H1959" s="11"/>
      <c r="I1959" s="11" t="s">
        <v>1004</v>
      </c>
      <c r="J1959" s="12">
        <v>45777</v>
      </c>
      <c r="K1959" s="12">
        <v>45777</v>
      </c>
      <c r="L1959" s="37">
        <f>273685000-L1952-L1953-L1954-L1955-L1956-L1957-L1958</f>
        <v>31929915</v>
      </c>
      <c r="M1959" s="89" t="s">
        <v>1006</v>
      </c>
      <c r="N1959" s="34">
        <f ca="1">$J$3-J1959</f>
        <v>463.46377638888953</v>
      </c>
      <c r="O1959" s="11"/>
      <c r="P1959" s="39"/>
      <c r="Q1959" s="39"/>
      <c r="R1959" s="39"/>
      <c r="S1959" s="37">
        <f t="shared" si="400"/>
        <v>0</v>
      </c>
      <c r="T1959" s="37">
        <f t="shared" si="401"/>
        <v>31929915</v>
      </c>
      <c r="U1959" s="10"/>
      <c r="V1959" s="10"/>
      <c r="W1959" s="10"/>
      <c r="X1959" s="10"/>
      <c r="Y1959" s="10"/>
      <c r="Z1959" s="10"/>
      <c r="AA1959" s="10"/>
      <c r="AB1959" s="10"/>
      <c r="AC1959" s="10"/>
      <c r="AD1959" s="10"/>
      <c r="AE1959" s="10"/>
    </row>
    <row r="1960" spans="1:31" s="89" customFormat="1" ht="14.25" customHeight="1">
      <c r="A1960" s="277" t="s">
        <v>6095</v>
      </c>
      <c r="B1960" s="9" t="s">
        <v>21</v>
      </c>
      <c r="C1960" s="9"/>
      <c r="D1960" s="9"/>
      <c r="E1960" s="90"/>
      <c r="F1960" s="9"/>
      <c r="G1960" s="9"/>
      <c r="H1960" s="11"/>
      <c r="I1960" s="11"/>
      <c r="J1960" s="12"/>
      <c r="K1960" s="12"/>
      <c r="L1960" s="37"/>
      <c r="M1960" s="10"/>
      <c r="N1960" s="114">
        <f ca="1">$J$3-J1960</f>
        <v>46240.46377638889</v>
      </c>
      <c r="O1960" s="11"/>
      <c r="P1960" s="39"/>
      <c r="Q1960" s="39"/>
      <c r="R1960" s="39"/>
      <c r="S1960" s="37">
        <f t="shared" si="400"/>
        <v>0</v>
      </c>
      <c r="T1960" s="37">
        <f t="shared" si="401"/>
        <v>0</v>
      </c>
      <c r="U1960" s="10"/>
      <c r="V1960" s="10"/>
      <c r="W1960" s="10"/>
      <c r="X1960" s="10"/>
      <c r="Y1960" s="10"/>
      <c r="Z1960" s="10"/>
      <c r="AA1960" s="10"/>
      <c r="AB1960" s="10"/>
      <c r="AC1960" s="10"/>
      <c r="AD1960" s="10"/>
      <c r="AE1960" s="10"/>
    </row>
    <row r="1961" spans="1:31" s="89" customFormat="1" ht="14.25" customHeight="1">
      <c r="A1961" s="277" t="s">
        <v>6096</v>
      </c>
      <c r="B1961" s="9" t="s">
        <v>21</v>
      </c>
      <c r="C1961" s="9"/>
      <c r="D1961" s="9"/>
      <c r="E1961" s="90"/>
      <c r="F1961" s="9"/>
      <c r="G1961" s="9"/>
      <c r="H1961" s="11"/>
      <c r="I1961" s="11"/>
      <c r="J1961" s="12"/>
      <c r="K1961" s="12"/>
      <c r="L1961" s="37"/>
      <c r="M1961" s="10"/>
      <c r="N1961" s="9"/>
      <c r="O1961" s="11"/>
      <c r="P1961" s="39"/>
      <c r="Q1961" s="39"/>
      <c r="R1961" s="39"/>
      <c r="S1961" s="37"/>
      <c r="T1961" s="37"/>
      <c r="U1961" s="10"/>
      <c r="V1961" s="10"/>
      <c r="W1961" s="10"/>
      <c r="X1961" s="10"/>
      <c r="Y1961" s="10"/>
      <c r="Z1961" s="10"/>
      <c r="AA1961" s="10"/>
      <c r="AB1961" s="10"/>
      <c r="AC1961" s="10"/>
      <c r="AD1961" s="10"/>
      <c r="AE1961" s="10"/>
    </row>
    <row r="1962" spans="1:31" ht="14.25" customHeight="1">
      <c r="A1962" s="277" t="s">
        <v>6097</v>
      </c>
      <c r="B1962" s="9" t="s">
        <v>21</v>
      </c>
      <c r="E1962" s="176"/>
      <c r="G1962" s="94" t="s">
        <v>24</v>
      </c>
      <c r="H1962" s="95" t="s">
        <v>954</v>
      </c>
      <c r="I1962" s="178"/>
      <c r="J1962" s="105"/>
      <c r="K1962" s="105"/>
      <c r="L1962" s="106">
        <f>SUM(L1963:L1971)</f>
        <v>113331000</v>
      </c>
      <c r="M1962" s="107"/>
      <c r="N1962" s="108" t="s">
        <v>26</v>
      </c>
      <c r="O1962" s="108"/>
      <c r="P1962" s="108"/>
      <c r="Q1962" s="108"/>
      <c r="R1962" s="108"/>
      <c r="S1962" s="106">
        <f>SUM(S1963:S1971)</f>
        <v>43475000</v>
      </c>
      <c r="T1962" s="106">
        <f>SUM(T1963:T1971)</f>
        <v>69856000</v>
      </c>
      <c r="U1962" s="10"/>
      <c r="V1962" s="52">
        <f>L1962-S1962</f>
        <v>69856000</v>
      </c>
      <c r="W1962" s="52">
        <f>T1962-V1962</f>
        <v>0</v>
      </c>
      <c r="X1962" s="157"/>
      <c r="Y1962" s="157"/>
      <c r="Z1962" s="157"/>
      <c r="AA1962" s="157"/>
      <c r="AB1962" s="157"/>
      <c r="AC1962" s="157"/>
      <c r="AD1962" s="157"/>
      <c r="AE1962" s="157"/>
    </row>
    <row r="1963" spans="1:31" ht="14.25" customHeight="1">
      <c r="A1963" s="277" t="s">
        <v>6098</v>
      </c>
      <c r="B1963" s="9" t="s">
        <v>21</v>
      </c>
      <c r="C1963" s="9">
        <v>2024</v>
      </c>
      <c r="D1963" s="9" t="s">
        <v>27</v>
      </c>
      <c r="E1963" s="90" t="s">
        <v>968</v>
      </c>
      <c r="F1963" s="9" t="s">
        <v>8</v>
      </c>
      <c r="G1963" s="9"/>
      <c r="H1963" s="109">
        <v>240571</v>
      </c>
      <c r="I1963" s="121" t="s">
        <v>954</v>
      </c>
      <c r="J1963" s="115">
        <v>45369</v>
      </c>
      <c r="K1963" s="115">
        <v>45426</v>
      </c>
      <c r="L1963" s="177">
        <v>8325000</v>
      </c>
      <c r="M1963" s="117" t="s">
        <v>1007</v>
      </c>
      <c r="N1963" s="149" t="s">
        <v>29</v>
      </c>
      <c r="O1963" s="149"/>
      <c r="P1963" s="124">
        <v>45472</v>
      </c>
      <c r="Q1963" s="124">
        <v>45472</v>
      </c>
      <c r="R1963" s="124">
        <v>45472</v>
      </c>
      <c r="S1963" s="37">
        <f t="shared" ref="S1963:S1969" si="402">IF(R1963="",0,L1963)</f>
        <v>8325000</v>
      </c>
      <c r="T1963" s="37">
        <f t="shared" ref="T1963:T1969" si="403">L1963-S1963</f>
        <v>0</v>
      </c>
      <c r="U1963" s="10"/>
      <c r="V1963" s="52"/>
      <c r="W1963" s="52"/>
      <c r="X1963" s="157"/>
      <c r="Y1963" s="157"/>
      <c r="Z1963" s="157"/>
      <c r="AA1963" s="157"/>
      <c r="AB1963" s="157"/>
      <c r="AC1963" s="157"/>
      <c r="AD1963" s="157"/>
      <c r="AE1963" s="157"/>
    </row>
    <row r="1964" spans="1:31" ht="14.25" customHeight="1">
      <c r="A1964" s="277" t="s">
        <v>6099</v>
      </c>
      <c r="B1964" s="9" t="s">
        <v>21</v>
      </c>
      <c r="C1964" s="9">
        <v>2024</v>
      </c>
      <c r="D1964" s="9" t="s">
        <v>27</v>
      </c>
      <c r="E1964" s="90" t="s">
        <v>968</v>
      </c>
      <c r="F1964" s="9" t="s">
        <v>8</v>
      </c>
      <c r="G1964" s="9"/>
      <c r="H1964" s="109">
        <v>240571</v>
      </c>
      <c r="I1964" s="121" t="s">
        <v>954</v>
      </c>
      <c r="J1964" s="115">
        <v>45369</v>
      </c>
      <c r="K1964" s="115">
        <v>45426</v>
      </c>
      <c r="L1964" s="177">
        <v>8325000</v>
      </c>
      <c r="M1964" s="117" t="s">
        <v>1008</v>
      </c>
      <c r="N1964" s="149" t="s">
        <v>29</v>
      </c>
      <c r="O1964" s="149"/>
      <c r="P1964" s="124">
        <v>45514</v>
      </c>
      <c r="Q1964" s="124">
        <v>45514</v>
      </c>
      <c r="R1964" s="124">
        <v>45514</v>
      </c>
      <c r="S1964" s="37">
        <f t="shared" si="402"/>
        <v>8325000</v>
      </c>
      <c r="T1964" s="37">
        <f t="shared" si="403"/>
        <v>0</v>
      </c>
      <c r="U1964" s="10"/>
      <c r="V1964" s="52"/>
      <c r="W1964" s="52"/>
      <c r="X1964" s="157"/>
      <c r="Y1964" s="157"/>
      <c r="Z1964" s="157"/>
      <c r="AA1964" s="157"/>
      <c r="AB1964" s="157"/>
      <c r="AC1964" s="157"/>
      <c r="AD1964" s="157"/>
      <c r="AE1964" s="157"/>
    </row>
    <row r="1965" spans="1:31" ht="14.25" customHeight="1">
      <c r="A1965" s="277" t="s">
        <v>6100</v>
      </c>
      <c r="B1965" s="9" t="s">
        <v>21</v>
      </c>
      <c r="C1965" s="9">
        <v>2024</v>
      </c>
      <c r="D1965" s="9" t="s">
        <v>27</v>
      </c>
      <c r="E1965" s="90" t="s">
        <v>968</v>
      </c>
      <c r="F1965" s="9" t="s">
        <v>8</v>
      </c>
      <c r="G1965" s="9"/>
      <c r="H1965" s="109">
        <v>240571</v>
      </c>
      <c r="I1965" s="121" t="s">
        <v>954</v>
      </c>
      <c r="J1965" s="115">
        <v>45369</v>
      </c>
      <c r="K1965" s="115">
        <v>45426</v>
      </c>
      <c r="L1965" s="177">
        <f>24975000-L1963-L1964</f>
        <v>8325000</v>
      </c>
      <c r="M1965" s="117" t="s">
        <v>3858</v>
      </c>
      <c r="N1965" s="149" t="s">
        <v>29</v>
      </c>
      <c r="O1965" s="11"/>
      <c r="P1965" s="113">
        <v>45960</v>
      </c>
      <c r="Q1965" s="113">
        <v>45960</v>
      </c>
      <c r="R1965" s="113">
        <v>45960</v>
      </c>
      <c r="S1965" s="37">
        <f t="shared" si="402"/>
        <v>8325000</v>
      </c>
      <c r="T1965" s="37">
        <f t="shared" si="403"/>
        <v>0</v>
      </c>
      <c r="U1965" s="10"/>
      <c r="V1965" s="10"/>
      <c r="W1965" s="10"/>
      <c r="X1965" s="10"/>
      <c r="Y1965" s="10"/>
      <c r="Z1965" s="10"/>
      <c r="AA1965" s="10"/>
      <c r="AB1965" s="10"/>
      <c r="AC1965" s="10"/>
      <c r="AD1965" s="10"/>
      <c r="AE1965" s="10"/>
    </row>
    <row r="1966" spans="1:31" ht="14.25" customHeight="1">
      <c r="A1966" s="277" t="s">
        <v>6101</v>
      </c>
      <c r="B1966" s="9" t="s">
        <v>21</v>
      </c>
      <c r="C1966" s="9">
        <v>2024</v>
      </c>
      <c r="D1966" s="9" t="s">
        <v>27</v>
      </c>
      <c r="E1966" s="90" t="s">
        <v>968</v>
      </c>
      <c r="F1966" s="9" t="s">
        <v>8</v>
      </c>
      <c r="G1966" s="9"/>
      <c r="H1966" s="109">
        <v>240655</v>
      </c>
      <c r="I1966" s="121" t="s">
        <v>954</v>
      </c>
      <c r="J1966" s="115">
        <v>45378</v>
      </c>
      <c r="K1966" s="115">
        <v>45426</v>
      </c>
      <c r="L1966" s="177">
        <v>13500000</v>
      </c>
      <c r="M1966" s="117" t="s">
        <v>7199</v>
      </c>
      <c r="N1966" s="149" t="s">
        <v>29</v>
      </c>
      <c r="O1966" s="11"/>
      <c r="P1966" s="113">
        <v>46209</v>
      </c>
      <c r="Q1966" s="113">
        <v>46209</v>
      </c>
      <c r="R1966" s="113">
        <v>46209</v>
      </c>
      <c r="S1966" s="37">
        <f t="shared" si="402"/>
        <v>13500000</v>
      </c>
      <c r="T1966" s="37">
        <f t="shared" si="403"/>
        <v>0</v>
      </c>
      <c r="U1966" s="10"/>
      <c r="V1966" s="10"/>
      <c r="W1966" s="10"/>
      <c r="X1966" s="10"/>
      <c r="Y1966" s="10"/>
      <c r="Z1966" s="10"/>
      <c r="AA1966" s="10"/>
      <c r="AB1966" s="10"/>
      <c r="AC1966" s="10"/>
      <c r="AD1966" s="10"/>
      <c r="AE1966" s="10"/>
    </row>
    <row r="1967" spans="1:31" ht="14.25" customHeight="1">
      <c r="A1967" s="277" t="s">
        <v>6102</v>
      </c>
      <c r="B1967" s="9" t="s">
        <v>21</v>
      </c>
      <c r="C1967" s="9">
        <v>2024</v>
      </c>
      <c r="D1967" s="9" t="s">
        <v>77</v>
      </c>
      <c r="E1967" s="90" t="s">
        <v>968</v>
      </c>
      <c r="F1967" s="9" t="s">
        <v>8</v>
      </c>
      <c r="G1967" s="9"/>
      <c r="H1967" s="11">
        <v>240655</v>
      </c>
      <c r="I1967" s="126" t="s">
        <v>954</v>
      </c>
      <c r="J1967" s="12">
        <v>45378</v>
      </c>
      <c r="K1967" s="12">
        <v>45426</v>
      </c>
      <c r="L1967" s="37">
        <f>57276000-13500000</f>
        <v>43776000</v>
      </c>
      <c r="M1967" s="10" t="s">
        <v>1009</v>
      </c>
      <c r="N1967" s="34">
        <f ca="1">$J$3-J1967</f>
        <v>862.46377638888953</v>
      </c>
      <c r="O1967" s="11"/>
      <c r="P1967" s="39"/>
      <c r="Q1967" s="39"/>
      <c r="R1967" s="39"/>
      <c r="S1967" s="37">
        <f t="shared" si="402"/>
        <v>0</v>
      </c>
      <c r="T1967" s="37">
        <f t="shared" si="403"/>
        <v>43776000</v>
      </c>
      <c r="U1967" s="10"/>
      <c r="V1967" s="10"/>
      <c r="W1967" s="10"/>
      <c r="X1967" s="10"/>
      <c r="Y1967" s="10"/>
      <c r="Z1967" s="10"/>
      <c r="AA1967" s="10"/>
      <c r="AB1967" s="10"/>
      <c r="AC1967" s="10"/>
      <c r="AD1967" s="10"/>
      <c r="AE1967" s="10"/>
    </row>
    <row r="1968" spans="1:31" ht="14.25" customHeight="1">
      <c r="A1968" s="277" t="s">
        <v>6103</v>
      </c>
      <c r="B1968" s="9" t="s">
        <v>21</v>
      </c>
      <c r="C1968" s="9">
        <v>2024</v>
      </c>
      <c r="D1968" s="9" t="s">
        <v>27</v>
      </c>
      <c r="E1968" s="90" t="s">
        <v>23</v>
      </c>
      <c r="F1968" s="9" t="s">
        <v>8</v>
      </c>
      <c r="G1968" s="10"/>
      <c r="H1968" s="109">
        <v>240968</v>
      </c>
      <c r="I1968" s="109" t="s">
        <v>954</v>
      </c>
      <c r="J1968" s="115">
        <v>45426</v>
      </c>
      <c r="K1968" s="119">
        <v>45470</v>
      </c>
      <c r="L1968" s="116">
        <v>5000000</v>
      </c>
      <c r="M1968" s="116" t="s">
        <v>7200</v>
      </c>
      <c r="N1968" s="34" t="s">
        <v>29</v>
      </c>
      <c r="O1968" s="10"/>
      <c r="P1968" s="113">
        <v>46209</v>
      </c>
      <c r="Q1968" s="113">
        <v>46209</v>
      </c>
      <c r="R1968" s="113">
        <v>46209</v>
      </c>
      <c r="S1968" s="37">
        <f t="shared" si="402"/>
        <v>5000000</v>
      </c>
      <c r="T1968" s="37">
        <f t="shared" si="403"/>
        <v>0</v>
      </c>
      <c r="U1968" s="10"/>
      <c r="V1968" s="10"/>
      <c r="W1968" s="10"/>
      <c r="X1968" s="10"/>
      <c r="Y1968" s="10"/>
      <c r="Z1968" s="10"/>
      <c r="AA1968" s="10"/>
      <c r="AB1968" s="10"/>
      <c r="AC1968" s="10"/>
      <c r="AD1968" s="10"/>
      <c r="AE1968" s="10"/>
    </row>
    <row r="1969" spans="1:31" ht="14.25" customHeight="1">
      <c r="A1969" s="277" t="s">
        <v>6104</v>
      </c>
      <c r="B1969" s="9" t="s">
        <v>21</v>
      </c>
      <c r="C1969" s="9">
        <v>2024</v>
      </c>
      <c r="D1969" s="9" t="s">
        <v>77</v>
      </c>
      <c r="E1969" s="90" t="s">
        <v>23</v>
      </c>
      <c r="F1969" s="9" t="s">
        <v>8</v>
      </c>
      <c r="G1969" s="10"/>
      <c r="H1969" s="11">
        <v>240968</v>
      </c>
      <c r="I1969" s="11" t="s">
        <v>954</v>
      </c>
      <c r="J1969" s="12">
        <v>45426</v>
      </c>
      <c r="K1969" s="122">
        <v>45470</v>
      </c>
      <c r="L1969" s="27">
        <f>31080000-5000000</f>
        <v>26080000</v>
      </c>
      <c r="M1969" s="27" t="s">
        <v>1010</v>
      </c>
      <c r="N1969" s="34">
        <f ca="1">$J$3-J1969</f>
        <v>814.46377638888953</v>
      </c>
      <c r="O1969" s="10"/>
      <c r="P1969" s="39"/>
      <c r="Q1969" s="39"/>
      <c r="R1969" s="39"/>
      <c r="S1969" s="37">
        <f t="shared" si="402"/>
        <v>0</v>
      </c>
      <c r="T1969" s="37">
        <f t="shared" si="403"/>
        <v>26080000</v>
      </c>
      <c r="U1969" s="10"/>
      <c r="V1969" s="10"/>
      <c r="W1969" s="10"/>
      <c r="X1969" s="10"/>
      <c r="Y1969" s="10"/>
      <c r="Z1969" s="10"/>
      <c r="AA1969" s="10"/>
      <c r="AB1969" s="10"/>
      <c r="AC1969" s="10"/>
      <c r="AD1969" s="10"/>
      <c r="AE1969" s="10"/>
    </row>
    <row r="1970" spans="1:31" ht="14.25" customHeight="1">
      <c r="A1970" s="277" t="s">
        <v>6105</v>
      </c>
      <c r="B1970" s="9" t="s">
        <v>21</v>
      </c>
      <c r="C1970" s="9"/>
      <c r="D1970" s="9"/>
      <c r="E1970" s="90"/>
      <c r="F1970" s="9"/>
      <c r="G1970" s="9"/>
      <c r="H1970" s="93"/>
      <c r="I1970" s="154"/>
      <c r="J1970" s="155"/>
      <c r="K1970" s="155"/>
      <c r="L1970" s="156"/>
      <c r="M1970" s="157"/>
      <c r="N1970" s="114">
        <f ca="1">$J$3-J1970</f>
        <v>46240.46377638889</v>
      </c>
      <c r="O1970" s="154"/>
      <c r="P1970" s="39"/>
      <c r="Q1970" s="39"/>
      <c r="R1970" s="39"/>
      <c r="S1970" s="156"/>
      <c r="T1970" s="156"/>
      <c r="U1970" s="157"/>
      <c r="V1970" s="157"/>
      <c r="W1970" s="157"/>
      <c r="X1970" s="157"/>
      <c r="Y1970" s="157"/>
      <c r="Z1970" s="157"/>
      <c r="AA1970" s="157"/>
      <c r="AB1970" s="157"/>
      <c r="AC1970" s="157"/>
      <c r="AD1970" s="157"/>
      <c r="AE1970" s="157"/>
    </row>
    <row r="1971" spans="1:31" ht="14.25" customHeight="1">
      <c r="A1971" s="277" t="s">
        <v>6106</v>
      </c>
      <c r="B1971" s="9" t="s">
        <v>21</v>
      </c>
      <c r="C1971" s="9"/>
      <c r="D1971" s="9"/>
      <c r="E1971" s="90"/>
      <c r="F1971" s="9"/>
      <c r="G1971" s="9"/>
      <c r="H1971" s="93"/>
      <c r="I1971" s="154"/>
      <c r="J1971" s="155"/>
      <c r="K1971" s="155"/>
      <c r="L1971" s="156"/>
      <c r="M1971" s="157"/>
      <c r="N1971" s="158"/>
      <c r="O1971" s="154"/>
      <c r="P1971" s="39"/>
      <c r="Q1971" s="39"/>
      <c r="R1971" s="39"/>
      <c r="S1971" s="156"/>
      <c r="T1971" s="156"/>
      <c r="U1971" s="157"/>
      <c r="V1971" s="157"/>
      <c r="W1971" s="157"/>
      <c r="X1971" s="157"/>
      <c r="Y1971" s="157"/>
      <c r="Z1971" s="157"/>
      <c r="AA1971" s="157"/>
      <c r="AB1971" s="157"/>
      <c r="AC1971" s="157"/>
      <c r="AD1971" s="157"/>
      <c r="AE1971" s="157"/>
    </row>
    <row r="1972" spans="1:31" ht="14.25" customHeight="1">
      <c r="A1972" s="277" t="s">
        <v>6107</v>
      </c>
      <c r="B1972" s="9" t="s">
        <v>21</v>
      </c>
      <c r="C1972" s="9"/>
      <c r="D1972" s="9"/>
      <c r="E1972" s="90"/>
      <c r="F1972" s="9"/>
      <c r="G1972" s="91" t="s">
        <v>22</v>
      </c>
      <c r="H1972" s="92" t="s">
        <v>1011</v>
      </c>
      <c r="I1972" s="159"/>
      <c r="J1972" s="160"/>
      <c r="K1972" s="160"/>
      <c r="L1972" s="161">
        <f>L1974+L2116+L2137+L2158+L2180+L2184+L2187+L2213</f>
        <v>1186598371</v>
      </c>
      <c r="M1972" s="162"/>
      <c r="N1972" s="163"/>
      <c r="O1972" s="159"/>
      <c r="P1972" s="164"/>
      <c r="Q1972" s="164"/>
      <c r="R1972" s="164"/>
      <c r="S1972" s="161">
        <f>S1974+S2116+S2137+S2158+S2180+S2184+S2187+S2213</f>
        <v>815978371</v>
      </c>
      <c r="T1972" s="161">
        <f>T1974+T2116+T2137+T2158+T2180+T2184+T2187+T2213</f>
        <v>370620000</v>
      </c>
      <c r="U1972" s="171"/>
      <c r="V1972" s="52">
        <f>L1972-S1972</f>
        <v>370620000</v>
      </c>
      <c r="W1972" s="52">
        <f>T1972-V1972</f>
        <v>0</v>
      </c>
      <c r="X1972" s="171"/>
      <c r="Y1972" s="171"/>
      <c r="Z1972" s="171"/>
      <c r="AA1972" s="171"/>
      <c r="AB1972" s="171"/>
      <c r="AC1972" s="171"/>
      <c r="AD1972" s="171"/>
      <c r="AE1972" s="171"/>
    </row>
    <row r="1973" spans="1:31" ht="14.25" customHeight="1">
      <c r="A1973" s="277" t="s">
        <v>6108</v>
      </c>
      <c r="B1973" s="9" t="s">
        <v>21</v>
      </c>
      <c r="C1973" s="9"/>
      <c r="D1973" s="9"/>
      <c r="E1973" s="90"/>
      <c r="F1973" s="9"/>
      <c r="G1973" s="10"/>
      <c r="H1973" s="9"/>
      <c r="I1973" s="11"/>
      <c r="J1973" s="12"/>
      <c r="K1973" s="12"/>
      <c r="L1973" s="52"/>
      <c r="M1973" s="10"/>
      <c r="N1973" s="9"/>
      <c r="O1973" s="11"/>
      <c r="P1973" s="39"/>
      <c r="Q1973" s="39"/>
      <c r="R1973" s="39"/>
      <c r="S1973" s="37"/>
      <c r="T1973" s="37"/>
      <c r="U1973" s="10"/>
      <c r="V1973" s="10"/>
      <c r="W1973" s="10"/>
      <c r="X1973" s="10"/>
      <c r="Y1973" s="10"/>
      <c r="Z1973" s="10"/>
      <c r="AA1973" s="10"/>
      <c r="AB1973" s="10"/>
      <c r="AC1973" s="10"/>
      <c r="AD1973" s="10"/>
      <c r="AE1973" s="10"/>
    </row>
    <row r="1974" spans="1:31">
      <c r="A1974" s="277" t="s">
        <v>6109</v>
      </c>
      <c r="B1974" s="9" t="s">
        <v>21</v>
      </c>
      <c r="C1974" s="9"/>
      <c r="D1974" s="9"/>
      <c r="E1974" s="90"/>
      <c r="F1974" s="9"/>
      <c r="G1974" s="94" t="s">
        <v>24</v>
      </c>
      <c r="H1974" s="95" t="s">
        <v>1012</v>
      </c>
      <c r="I1974" s="104"/>
      <c r="J1974" s="105"/>
      <c r="K1974" s="105"/>
      <c r="L1974" s="106">
        <f>SUM(L1975:L2115)</f>
        <v>273478928</v>
      </c>
      <c r="M1974" s="107"/>
      <c r="N1974" s="108" t="s">
        <v>26</v>
      </c>
      <c r="O1974" s="108"/>
      <c r="P1974" s="108"/>
      <c r="Q1974" s="108"/>
      <c r="R1974" s="108"/>
      <c r="S1974" s="106">
        <f>SUM(S1975:S2115)</f>
        <v>116905728</v>
      </c>
      <c r="T1974" s="106">
        <f>SUM(T1975:T2115)</f>
        <v>156573200</v>
      </c>
      <c r="U1974" s="10"/>
      <c r="V1974" s="52">
        <f>L1974-S1974</f>
        <v>156573200</v>
      </c>
      <c r="W1974" s="52">
        <f>T1974-V1974</f>
        <v>0</v>
      </c>
      <c r="X1974" s="10"/>
      <c r="Y1974" s="10"/>
      <c r="Z1974" s="10"/>
      <c r="AA1974" s="10"/>
      <c r="AB1974" s="10"/>
      <c r="AC1974" s="10"/>
      <c r="AD1974" s="10"/>
      <c r="AE1974" s="10"/>
    </row>
    <row r="1975" spans="1:31" hidden="1">
      <c r="A1975" s="277" t="s">
        <v>6110</v>
      </c>
      <c r="B1975" s="9" t="s">
        <v>21</v>
      </c>
      <c r="C1975" s="9">
        <v>2024</v>
      </c>
      <c r="D1975" s="9" t="s">
        <v>27</v>
      </c>
      <c r="E1975" s="90" t="s">
        <v>1011</v>
      </c>
      <c r="F1975" s="9" t="s">
        <v>1013</v>
      </c>
      <c r="G1975" s="10"/>
      <c r="H1975" s="9"/>
      <c r="I1975" s="109" t="s">
        <v>1012</v>
      </c>
      <c r="J1975" s="115">
        <v>45542</v>
      </c>
      <c r="K1975" s="115">
        <v>45565</v>
      </c>
      <c r="L1975" s="116">
        <v>3600000</v>
      </c>
      <c r="M1975" s="117" t="s">
        <v>1014</v>
      </c>
      <c r="N1975" s="34" t="s">
        <v>29</v>
      </c>
      <c r="O1975" s="27">
        <f>SUM(L1975:L1995)</f>
        <v>55000000</v>
      </c>
      <c r="P1975" s="113">
        <v>46175</v>
      </c>
      <c r="Q1975" s="113">
        <v>46175</v>
      </c>
      <c r="R1975" s="113">
        <v>46175</v>
      </c>
      <c r="S1975" s="37">
        <f>IF(R1975="",0,L1975)</f>
        <v>3600000</v>
      </c>
      <c r="T1975" s="37">
        <f>L1975-S1975</f>
        <v>0</v>
      </c>
      <c r="U1975" s="10"/>
      <c r="V1975" s="10"/>
      <c r="W1975" s="10"/>
      <c r="X1975" s="10"/>
      <c r="Y1975" s="10"/>
      <c r="Z1975" s="10"/>
      <c r="AA1975" s="10"/>
      <c r="AB1975" s="10"/>
      <c r="AC1975" s="10"/>
      <c r="AD1975" s="10"/>
      <c r="AE1975" s="10"/>
    </row>
    <row r="1976" spans="1:31" hidden="1">
      <c r="A1976" s="277" t="s">
        <v>6111</v>
      </c>
      <c r="B1976" s="9" t="s">
        <v>21</v>
      </c>
      <c r="C1976" s="9">
        <v>2024</v>
      </c>
      <c r="D1976" s="9" t="s">
        <v>27</v>
      </c>
      <c r="E1976" s="90" t="s">
        <v>1011</v>
      </c>
      <c r="F1976" s="9" t="s">
        <v>1013</v>
      </c>
      <c r="G1976" s="10"/>
      <c r="H1976" s="9"/>
      <c r="I1976" s="109" t="s">
        <v>1012</v>
      </c>
      <c r="J1976" s="115">
        <v>45546</v>
      </c>
      <c r="K1976" s="115">
        <v>45565</v>
      </c>
      <c r="L1976" s="116">
        <v>2220000</v>
      </c>
      <c r="M1976" s="117" t="s">
        <v>1015</v>
      </c>
      <c r="N1976" s="34" t="s">
        <v>29</v>
      </c>
      <c r="O1976" s="10"/>
      <c r="P1976" s="113">
        <v>46175</v>
      </c>
      <c r="Q1976" s="113">
        <v>46175</v>
      </c>
      <c r="R1976" s="113">
        <v>46175</v>
      </c>
      <c r="S1976" s="37">
        <f>IF(R1976="",0,L1976)</f>
        <v>2220000</v>
      </c>
      <c r="T1976" s="37">
        <f>L1976-S1976</f>
        <v>0</v>
      </c>
      <c r="U1976" s="10"/>
      <c r="V1976" s="10"/>
      <c r="W1976" s="10"/>
      <c r="X1976" s="10"/>
      <c r="Y1976" s="10"/>
      <c r="Z1976" s="10"/>
      <c r="AA1976" s="10"/>
      <c r="AB1976" s="10"/>
      <c r="AC1976" s="10"/>
      <c r="AD1976" s="10"/>
      <c r="AE1976" s="10"/>
    </row>
    <row r="1977" spans="1:31" hidden="1">
      <c r="A1977" s="277" t="s">
        <v>6112</v>
      </c>
      <c r="B1977" s="9" t="s">
        <v>21</v>
      </c>
      <c r="C1977" s="9">
        <v>2024</v>
      </c>
      <c r="D1977" s="9" t="s">
        <v>27</v>
      </c>
      <c r="E1977" s="90" t="s">
        <v>1011</v>
      </c>
      <c r="F1977" s="9" t="s">
        <v>1013</v>
      </c>
      <c r="G1977" s="10"/>
      <c r="H1977" s="9"/>
      <c r="I1977" s="109" t="s">
        <v>1012</v>
      </c>
      <c r="J1977" s="115">
        <v>45552</v>
      </c>
      <c r="K1977" s="115">
        <v>45573</v>
      </c>
      <c r="L1977" s="116">
        <v>4140000</v>
      </c>
      <c r="M1977" s="117" t="s">
        <v>1016</v>
      </c>
      <c r="N1977" s="34" t="s">
        <v>29</v>
      </c>
      <c r="O1977" s="10"/>
      <c r="P1977" s="113">
        <v>46175</v>
      </c>
      <c r="Q1977" s="113">
        <v>46175</v>
      </c>
      <c r="R1977" s="113">
        <v>46175</v>
      </c>
      <c r="S1977" s="37">
        <f t="shared" ref="S1977:S1983" si="404">IF(R1977="",0,L1977)</f>
        <v>4140000</v>
      </c>
      <c r="T1977" s="37">
        <f t="shared" ref="T1977:T1983" si="405">L1977-S1977</f>
        <v>0</v>
      </c>
      <c r="U1977" s="10"/>
      <c r="V1977" s="10"/>
      <c r="W1977" s="10"/>
      <c r="X1977" s="10"/>
      <c r="Y1977" s="10"/>
      <c r="Z1977" s="10"/>
      <c r="AA1977" s="10"/>
      <c r="AB1977" s="10"/>
      <c r="AC1977" s="10"/>
      <c r="AD1977" s="10"/>
      <c r="AE1977" s="10"/>
    </row>
    <row r="1978" spans="1:31" hidden="1">
      <c r="A1978" s="277" t="s">
        <v>6113</v>
      </c>
      <c r="B1978" s="9" t="s">
        <v>21</v>
      </c>
      <c r="C1978" s="9">
        <v>2024</v>
      </c>
      <c r="D1978" s="9" t="s">
        <v>27</v>
      </c>
      <c r="E1978" s="90" t="s">
        <v>1011</v>
      </c>
      <c r="F1978" s="9" t="s">
        <v>1013</v>
      </c>
      <c r="G1978" s="10"/>
      <c r="H1978" s="9"/>
      <c r="I1978" s="109" t="s">
        <v>1012</v>
      </c>
      <c r="J1978" s="115">
        <v>45552</v>
      </c>
      <c r="K1978" s="115">
        <v>45573</v>
      </c>
      <c r="L1978" s="116">
        <v>1110000</v>
      </c>
      <c r="M1978" s="117" t="s">
        <v>1017</v>
      </c>
      <c r="N1978" s="34" t="s">
        <v>29</v>
      </c>
      <c r="O1978" s="10"/>
      <c r="P1978" s="113">
        <v>46175</v>
      </c>
      <c r="Q1978" s="113">
        <v>46175</v>
      </c>
      <c r="R1978" s="113">
        <v>46175</v>
      </c>
      <c r="S1978" s="37">
        <f t="shared" si="404"/>
        <v>1110000</v>
      </c>
      <c r="T1978" s="37">
        <f t="shared" si="405"/>
        <v>0</v>
      </c>
      <c r="U1978" s="10"/>
      <c r="V1978" s="10"/>
      <c r="W1978" s="10"/>
      <c r="X1978" s="10"/>
      <c r="Y1978" s="10"/>
      <c r="Z1978" s="10"/>
      <c r="AA1978" s="10"/>
      <c r="AB1978" s="10"/>
      <c r="AC1978" s="10"/>
      <c r="AD1978" s="10"/>
      <c r="AE1978" s="10"/>
    </row>
    <row r="1979" spans="1:31" hidden="1">
      <c r="A1979" s="277" t="s">
        <v>6114</v>
      </c>
      <c r="B1979" s="9" t="s">
        <v>21</v>
      </c>
      <c r="C1979" s="9">
        <v>2024</v>
      </c>
      <c r="D1979" s="9" t="s">
        <v>27</v>
      </c>
      <c r="E1979" s="90" t="s">
        <v>1011</v>
      </c>
      <c r="F1979" s="9" t="s">
        <v>1013</v>
      </c>
      <c r="G1979" s="10"/>
      <c r="H1979" s="9"/>
      <c r="I1979" s="109" t="s">
        <v>1012</v>
      </c>
      <c r="J1979" s="115">
        <v>45553</v>
      </c>
      <c r="K1979" s="115">
        <v>45573</v>
      </c>
      <c r="L1979" s="116">
        <v>1110000</v>
      </c>
      <c r="M1979" s="117" t="s">
        <v>1018</v>
      </c>
      <c r="N1979" s="34" t="s">
        <v>29</v>
      </c>
      <c r="O1979" s="10"/>
      <c r="P1979" s="113">
        <v>46175</v>
      </c>
      <c r="Q1979" s="113">
        <v>46175</v>
      </c>
      <c r="R1979" s="113">
        <v>46175</v>
      </c>
      <c r="S1979" s="37">
        <f t="shared" si="404"/>
        <v>1110000</v>
      </c>
      <c r="T1979" s="37">
        <f t="shared" si="405"/>
        <v>0</v>
      </c>
      <c r="U1979" s="10"/>
      <c r="V1979" s="10"/>
      <c r="W1979" s="10"/>
      <c r="X1979" s="10"/>
      <c r="Y1979" s="10"/>
      <c r="Z1979" s="10"/>
      <c r="AA1979" s="10"/>
      <c r="AB1979" s="10"/>
      <c r="AC1979" s="10"/>
      <c r="AD1979" s="10"/>
      <c r="AE1979" s="10"/>
    </row>
    <row r="1980" spans="1:31" hidden="1">
      <c r="A1980" s="277" t="s">
        <v>6115</v>
      </c>
      <c r="B1980" s="9" t="s">
        <v>21</v>
      </c>
      <c r="C1980" s="9">
        <v>2024</v>
      </c>
      <c r="D1980" s="9" t="s">
        <v>27</v>
      </c>
      <c r="E1980" s="90" t="s">
        <v>1011</v>
      </c>
      <c r="F1980" s="9" t="s">
        <v>1013</v>
      </c>
      <c r="G1980" s="10"/>
      <c r="H1980" s="9"/>
      <c r="I1980" s="109" t="s">
        <v>1012</v>
      </c>
      <c r="J1980" s="115">
        <v>45553</v>
      </c>
      <c r="K1980" s="115">
        <v>45573</v>
      </c>
      <c r="L1980" s="116">
        <v>1110000</v>
      </c>
      <c r="M1980" s="117" t="s">
        <v>1019</v>
      </c>
      <c r="N1980" s="34" t="s">
        <v>29</v>
      </c>
      <c r="O1980" s="10"/>
      <c r="P1980" s="113">
        <v>46175</v>
      </c>
      <c r="Q1980" s="113">
        <v>46175</v>
      </c>
      <c r="R1980" s="113">
        <v>46175</v>
      </c>
      <c r="S1980" s="37">
        <f t="shared" si="404"/>
        <v>1110000</v>
      </c>
      <c r="T1980" s="37">
        <f t="shared" si="405"/>
        <v>0</v>
      </c>
      <c r="U1980" s="10"/>
      <c r="V1980" s="10"/>
      <c r="W1980" s="10"/>
      <c r="X1980" s="10"/>
      <c r="Y1980" s="10"/>
      <c r="Z1980" s="10"/>
      <c r="AA1980" s="10"/>
      <c r="AB1980" s="10"/>
      <c r="AC1980" s="10"/>
      <c r="AD1980" s="10"/>
      <c r="AE1980" s="10"/>
    </row>
    <row r="1981" spans="1:31" hidden="1">
      <c r="A1981" s="277" t="s">
        <v>6116</v>
      </c>
      <c r="B1981" s="9" t="s">
        <v>21</v>
      </c>
      <c r="C1981" s="9">
        <v>2024</v>
      </c>
      <c r="D1981" s="9" t="s">
        <v>27</v>
      </c>
      <c r="E1981" s="90" t="s">
        <v>1011</v>
      </c>
      <c r="F1981" s="9" t="s">
        <v>1013</v>
      </c>
      <c r="G1981" s="10"/>
      <c r="H1981" s="9"/>
      <c r="I1981" s="109" t="s">
        <v>1012</v>
      </c>
      <c r="J1981" s="115">
        <v>45554</v>
      </c>
      <c r="K1981" s="115">
        <v>45573</v>
      </c>
      <c r="L1981" s="116">
        <v>2490000</v>
      </c>
      <c r="M1981" s="117" t="s">
        <v>1020</v>
      </c>
      <c r="N1981" s="34" t="s">
        <v>29</v>
      </c>
      <c r="O1981" s="10"/>
      <c r="P1981" s="113">
        <v>46175</v>
      </c>
      <c r="Q1981" s="113">
        <v>46175</v>
      </c>
      <c r="R1981" s="113">
        <v>46175</v>
      </c>
      <c r="S1981" s="37">
        <f t="shared" si="404"/>
        <v>2490000</v>
      </c>
      <c r="T1981" s="37">
        <f t="shared" si="405"/>
        <v>0</v>
      </c>
      <c r="U1981" s="10"/>
      <c r="V1981" s="10"/>
      <c r="W1981" s="10"/>
      <c r="X1981" s="10"/>
      <c r="Y1981" s="10"/>
      <c r="Z1981" s="10"/>
      <c r="AA1981" s="10"/>
      <c r="AB1981" s="10"/>
      <c r="AC1981" s="10"/>
      <c r="AD1981" s="10"/>
      <c r="AE1981" s="10"/>
    </row>
    <row r="1982" spans="1:31" hidden="1">
      <c r="A1982" s="277" t="s">
        <v>6117</v>
      </c>
      <c r="B1982" s="9" t="s">
        <v>21</v>
      </c>
      <c r="C1982" s="9">
        <v>2024</v>
      </c>
      <c r="D1982" s="9" t="s">
        <v>27</v>
      </c>
      <c r="E1982" s="90" t="s">
        <v>1011</v>
      </c>
      <c r="F1982" s="9" t="s">
        <v>1013</v>
      </c>
      <c r="G1982" s="10"/>
      <c r="H1982" s="9"/>
      <c r="I1982" s="109" t="s">
        <v>1012</v>
      </c>
      <c r="J1982" s="115">
        <v>45555</v>
      </c>
      <c r="K1982" s="115">
        <v>45573</v>
      </c>
      <c r="L1982" s="116">
        <v>810000</v>
      </c>
      <c r="M1982" s="117" t="s">
        <v>1021</v>
      </c>
      <c r="N1982" s="34" t="s">
        <v>29</v>
      </c>
      <c r="O1982" s="10"/>
      <c r="P1982" s="113">
        <v>46175</v>
      </c>
      <c r="Q1982" s="113">
        <v>46175</v>
      </c>
      <c r="R1982" s="113">
        <v>46175</v>
      </c>
      <c r="S1982" s="37">
        <f t="shared" si="404"/>
        <v>810000</v>
      </c>
      <c r="T1982" s="37">
        <f t="shared" si="405"/>
        <v>0</v>
      </c>
      <c r="U1982" s="10"/>
      <c r="V1982" s="10"/>
      <c r="W1982" s="10"/>
      <c r="X1982" s="10"/>
      <c r="Y1982" s="10"/>
      <c r="Z1982" s="10"/>
      <c r="AA1982" s="10"/>
      <c r="AB1982" s="10"/>
      <c r="AC1982" s="10"/>
      <c r="AD1982" s="10"/>
      <c r="AE1982" s="10"/>
    </row>
    <row r="1983" spans="1:31" hidden="1">
      <c r="A1983" s="277" t="s">
        <v>6118</v>
      </c>
      <c r="B1983" s="9" t="s">
        <v>21</v>
      </c>
      <c r="C1983" s="9">
        <v>2024</v>
      </c>
      <c r="D1983" s="9" t="s">
        <v>27</v>
      </c>
      <c r="E1983" s="90" t="s">
        <v>1011</v>
      </c>
      <c r="F1983" s="9" t="s">
        <v>1013</v>
      </c>
      <c r="G1983" s="10"/>
      <c r="H1983" s="9"/>
      <c r="I1983" s="109" t="s">
        <v>1012</v>
      </c>
      <c r="J1983" s="115">
        <v>45558</v>
      </c>
      <c r="K1983" s="115">
        <v>45573</v>
      </c>
      <c r="L1983" s="116">
        <v>2220000</v>
      </c>
      <c r="M1983" s="117" t="s">
        <v>1022</v>
      </c>
      <c r="N1983" s="34" t="s">
        <v>29</v>
      </c>
      <c r="O1983" s="10"/>
      <c r="P1983" s="113">
        <v>46175</v>
      </c>
      <c r="Q1983" s="113">
        <v>46175</v>
      </c>
      <c r="R1983" s="113">
        <v>46175</v>
      </c>
      <c r="S1983" s="37">
        <f t="shared" si="404"/>
        <v>2220000</v>
      </c>
      <c r="T1983" s="37">
        <f t="shared" si="405"/>
        <v>0</v>
      </c>
      <c r="U1983" s="10"/>
      <c r="V1983" s="10"/>
      <c r="W1983" s="10"/>
      <c r="X1983" s="10"/>
      <c r="Y1983" s="10"/>
      <c r="Z1983" s="10"/>
      <c r="AA1983" s="10"/>
      <c r="AB1983" s="10"/>
      <c r="AC1983" s="10"/>
      <c r="AD1983" s="10"/>
      <c r="AE1983" s="10"/>
    </row>
    <row r="1984" spans="1:31" hidden="1">
      <c r="A1984" s="277" t="s">
        <v>6119</v>
      </c>
      <c r="B1984" s="9" t="s">
        <v>21</v>
      </c>
      <c r="C1984" s="9">
        <v>2024</v>
      </c>
      <c r="D1984" s="9" t="s">
        <v>27</v>
      </c>
      <c r="E1984" s="90" t="s">
        <v>1011</v>
      </c>
      <c r="F1984" s="9" t="s">
        <v>1013</v>
      </c>
      <c r="G1984" s="10"/>
      <c r="H1984" s="9"/>
      <c r="I1984" s="109" t="s">
        <v>1012</v>
      </c>
      <c r="J1984" s="115">
        <v>45565</v>
      </c>
      <c r="K1984" s="115">
        <v>45581</v>
      </c>
      <c r="L1984" s="116">
        <v>3870000</v>
      </c>
      <c r="M1984" s="117" t="s">
        <v>1025</v>
      </c>
      <c r="N1984" s="34" t="s">
        <v>29</v>
      </c>
      <c r="O1984" s="10"/>
      <c r="P1984" s="113">
        <v>46175</v>
      </c>
      <c r="Q1984" s="113">
        <v>46175</v>
      </c>
      <c r="R1984" s="113">
        <v>46175</v>
      </c>
      <c r="S1984" s="37">
        <f>IF(R1984="",0,L1984)</f>
        <v>3870000</v>
      </c>
      <c r="T1984" s="37">
        <f>L1984-S1984</f>
        <v>0</v>
      </c>
      <c r="U1984" s="10"/>
      <c r="V1984" s="10"/>
      <c r="W1984" s="10"/>
      <c r="X1984" s="10"/>
      <c r="Y1984" s="10"/>
      <c r="Z1984" s="10"/>
      <c r="AA1984" s="10"/>
      <c r="AB1984" s="10"/>
      <c r="AC1984" s="10"/>
      <c r="AD1984" s="10"/>
      <c r="AE1984" s="10"/>
    </row>
    <row r="1985" spans="1:31" hidden="1">
      <c r="A1985" s="277" t="s">
        <v>6120</v>
      </c>
      <c r="B1985" s="9" t="s">
        <v>21</v>
      </c>
      <c r="C1985" s="9">
        <v>2024</v>
      </c>
      <c r="D1985" s="9" t="s">
        <v>27</v>
      </c>
      <c r="E1985" s="90" t="s">
        <v>1011</v>
      </c>
      <c r="F1985" s="9" t="s">
        <v>1013</v>
      </c>
      <c r="G1985" s="10"/>
      <c r="H1985" s="9"/>
      <c r="I1985" s="109" t="s">
        <v>1012</v>
      </c>
      <c r="J1985" s="115">
        <v>45567</v>
      </c>
      <c r="K1985" s="115">
        <v>45581</v>
      </c>
      <c r="L1985" s="116">
        <v>1110000</v>
      </c>
      <c r="M1985" s="117" t="s">
        <v>1023</v>
      </c>
      <c r="N1985" s="34" t="s">
        <v>29</v>
      </c>
      <c r="O1985" s="10"/>
      <c r="P1985" s="113">
        <v>46175</v>
      </c>
      <c r="Q1985" s="113">
        <v>46175</v>
      </c>
      <c r="R1985" s="113">
        <v>46175</v>
      </c>
      <c r="S1985" s="37">
        <f>IF(R1985="",0,L1985)</f>
        <v>1110000</v>
      </c>
      <c r="T1985" s="37">
        <f>L1985-S1985</f>
        <v>0</v>
      </c>
      <c r="U1985" s="10"/>
      <c r="V1985" s="10"/>
      <c r="W1985" s="10"/>
      <c r="X1985" s="10"/>
      <c r="Y1985" s="10"/>
      <c r="Z1985" s="10"/>
      <c r="AA1985" s="10"/>
      <c r="AB1985" s="10"/>
      <c r="AC1985" s="10"/>
      <c r="AD1985" s="10"/>
      <c r="AE1985" s="10"/>
    </row>
    <row r="1986" spans="1:31" hidden="1">
      <c r="A1986" s="277" t="s">
        <v>6121</v>
      </c>
      <c r="B1986" s="9" t="s">
        <v>21</v>
      </c>
      <c r="C1986" s="9">
        <v>2024</v>
      </c>
      <c r="D1986" s="9" t="s">
        <v>27</v>
      </c>
      <c r="E1986" s="90" t="s">
        <v>1011</v>
      </c>
      <c r="F1986" s="9" t="s">
        <v>1013</v>
      </c>
      <c r="G1986" s="10"/>
      <c r="H1986" s="9"/>
      <c r="I1986" s="109" t="s">
        <v>1012</v>
      </c>
      <c r="J1986" s="115">
        <v>45568</v>
      </c>
      <c r="K1986" s="115">
        <v>45581</v>
      </c>
      <c r="L1986" s="116">
        <v>1080000</v>
      </c>
      <c r="M1986" s="117" t="s">
        <v>1024</v>
      </c>
      <c r="N1986" s="34" t="s">
        <v>29</v>
      </c>
      <c r="O1986" s="10"/>
      <c r="P1986" s="113">
        <v>46175</v>
      </c>
      <c r="Q1986" s="113">
        <v>46175</v>
      </c>
      <c r="R1986" s="113">
        <v>46175</v>
      </c>
      <c r="S1986" s="37">
        <f>IF(R1986="",0,L1986)</f>
        <v>1080000</v>
      </c>
      <c r="T1986" s="37">
        <f>L1986-S1986</f>
        <v>0</v>
      </c>
      <c r="U1986" s="10"/>
      <c r="V1986" s="10"/>
      <c r="W1986" s="10"/>
      <c r="X1986" s="10"/>
      <c r="Y1986" s="10"/>
      <c r="Z1986" s="10"/>
      <c r="AA1986" s="10"/>
      <c r="AB1986" s="10"/>
      <c r="AC1986" s="10"/>
      <c r="AD1986" s="10"/>
      <c r="AE1986" s="10"/>
    </row>
    <row r="1987" spans="1:31" hidden="1">
      <c r="A1987" s="277" t="s">
        <v>6122</v>
      </c>
      <c r="B1987" s="9" t="s">
        <v>21</v>
      </c>
      <c r="C1987" s="9">
        <v>2024</v>
      </c>
      <c r="D1987" s="9" t="s">
        <v>27</v>
      </c>
      <c r="E1987" s="90" t="s">
        <v>1011</v>
      </c>
      <c r="F1987" s="9" t="s">
        <v>1013</v>
      </c>
      <c r="G1987" s="10"/>
      <c r="H1987" s="9"/>
      <c r="I1987" s="109" t="s">
        <v>1012</v>
      </c>
      <c r="J1987" s="115">
        <v>45586</v>
      </c>
      <c r="K1987" s="115">
        <v>45612</v>
      </c>
      <c r="L1987" s="116">
        <v>10460000</v>
      </c>
      <c r="M1987" s="117" t="s">
        <v>1026</v>
      </c>
      <c r="N1987" s="34" t="s">
        <v>29</v>
      </c>
      <c r="O1987" s="10"/>
      <c r="P1987" s="113">
        <v>46175</v>
      </c>
      <c r="Q1987" s="113">
        <v>46175</v>
      </c>
      <c r="R1987" s="113">
        <v>46175</v>
      </c>
      <c r="S1987" s="37">
        <f>IF(R1987="",0,L1987)</f>
        <v>10460000</v>
      </c>
      <c r="T1987" s="37">
        <f>L1987-S1987</f>
        <v>0</v>
      </c>
      <c r="U1987" s="10"/>
      <c r="V1987" s="10"/>
      <c r="W1987" s="10"/>
      <c r="X1987" s="10"/>
      <c r="Y1987" s="10"/>
      <c r="Z1987" s="10"/>
      <c r="AA1987" s="10"/>
      <c r="AB1987" s="10"/>
      <c r="AC1987" s="10"/>
      <c r="AD1987" s="10"/>
      <c r="AE1987" s="10"/>
    </row>
    <row r="1988" spans="1:31" hidden="1">
      <c r="A1988" s="277" t="s">
        <v>6123</v>
      </c>
      <c r="B1988" s="9" t="s">
        <v>21</v>
      </c>
      <c r="C1988" s="9">
        <v>2024</v>
      </c>
      <c r="D1988" s="9" t="s">
        <v>27</v>
      </c>
      <c r="E1988" s="90" t="s">
        <v>1011</v>
      </c>
      <c r="F1988" s="9" t="s">
        <v>1013</v>
      </c>
      <c r="G1988" s="10"/>
      <c r="H1988" s="9"/>
      <c r="I1988" s="109" t="s">
        <v>1012</v>
      </c>
      <c r="J1988" s="115">
        <v>45596</v>
      </c>
      <c r="K1988" s="115">
        <v>45612</v>
      </c>
      <c r="L1988" s="116">
        <v>7770000</v>
      </c>
      <c r="M1988" s="117" t="s">
        <v>1027</v>
      </c>
      <c r="N1988" s="34" t="s">
        <v>29</v>
      </c>
      <c r="O1988" s="10"/>
      <c r="P1988" s="113">
        <v>46175</v>
      </c>
      <c r="Q1988" s="113">
        <v>46175</v>
      </c>
      <c r="R1988" s="113">
        <v>46175</v>
      </c>
      <c r="S1988" s="37">
        <f>IF(R1988="",0,L1988)</f>
        <v>7770000</v>
      </c>
      <c r="T1988" s="37">
        <f>L1988-S1988</f>
        <v>0</v>
      </c>
      <c r="U1988" s="10"/>
      <c r="V1988" s="10"/>
      <c r="W1988" s="10"/>
      <c r="X1988" s="10"/>
      <c r="Y1988" s="10"/>
      <c r="Z1988" s="10"/>
      <c r="AA1988" s="10"/>
      <c r="AB1988" s="10"/>
      <c r="AC1988" s="10"/>
      <c r="AD1988" s="10"/>
      <c r="AE1988" s="10"/>
    </row>
    <row r="1989" spans="1:31" hidden="1">
      <c r="A1989" s="277" t="s">
        <v>6124</v>
      </c>
      <c r="B1989" s="9" t="s">
        <v>21</v>
      </c>
      <c r="C1989" s="9">
        <v>2024</v>
      </c>
      <c r="D1989" s="9" t="s">
        <v>27</v>
      </c>
      <c r="E1989" s="90" t="s">
        <v>1011</v>
      </c>
      <c r="F1989" s="9" t="s">
        <v>1013</v>
      </c>
      <c r="G1989" s="10"/>
      <c r="H1989" s="9"/>
      <c r="I1989" s="109" t="s">
        <v>1012</v>
      </c>
      <c r="J1989" s="115">
        <v>45610</v>
      </c>
      <c r="K1989" s="115">
        <v>45635</v>
      </c>
      <c r="L1989" s="116">
        <v>4710000</v>
      </c>
      <c r="M1989" s="117" t="s">
        <v>1028</v>
      </c>
      <c r="N1989" s="34" t="s">
        <v>29</v>
      </c>
      <c r="O1989" s="10"/>
      <c r="P1989" s="113">
        <v>46175</v>
      </c>
      <c r="Q1989" s="113">
        <v>46175</v>
      </c>
      <c r="R1989" s="113">
        <v>46175</v>
      </c>
      <c r="S1989" s="37">
        <f t="shared" ref="S1989:S2001" si="406">IF(R1989="",0,L1989)</f>
        <v>4710000</v>
      </c>
      <c r="T1989" s="37">
        <f t="shared" ref="T1989:T2001" si="407">L1989-S1989</f>
        <v>0</v>
      </c>
      <c r="U1989" s="10"/>
      <c r="V1989" s="10"/>
      <c r="W1989" s="10"/>
      <c r="X1989" s="10"/>
      <c r="Y1989" s="10"/>
      <c r="Z1989" s="10"/>
      <c r="AA1989" s="10"/>
      <c r="AB1989" s="10"/>
      <c r="AC1989" s="10"/>
      <c r="AD1989" s="10"/>
      <c r="AE1989" s="10"/>
    </row>
    <row r="1990" spans="1:31" hidden="1">
      <c r="A1990" s="277" t="s">
        <v>6125</v>
      </c>
      <c r="B1990" s="9" t="s">
        <v>21</v>
      </c>
      <c r="C1990" s="9">
        <v>2024</v>
      </c>
      <c r="D1990" s="9" t="s">
        <v>27</v>
      </c>
      <c r="E1990" s="90" t="s">
        <v>1011</v>
      </c>
      <c r="F1990" s="9" t="s">
        <v>1013</v>
      </c>
      <c r="G1990" s="10"/>
      <c r="H1990" s="9"/>
      <c r="I1990" s="109" t="s">
        <v>1012</v>
      </c>
      <c r="J1990" s="115">
        <v>45614</v>
      </c>
      <c r="K1990" s="115">
        <v>45635</v>
      </c>
      <c r="L1990" s="116">
        <v>1110000</v>
      </c>
      <c r="M1990" s="117" t="s">
        <v>1029</v>
      </c>
      <c r="N1990" s="34" t="s">
        <v>29</v>
      </c>
      <c r="O1990" s="10"/>
      <c r="P1990" s="113">
        <v>46175</v>
      </c>
      <c r="Q1990" s="113">
        <v>46175</v>
      </c>
      <c r="R1990" s="113">
        <v>46175</v>
      </c>
      <c r="S1990" s="37">
        <f t="shared" si="406"/>
        <v>1110000</v>
      </c>
      <c r="T1990" s="37">
        <f t="shared" si="407"/>
        <v>0</v>
      </c>
      <c r="U1990" s="10"/>
      <c r="V1990" s="10"/>
      <c r="W1990" s="10"/>
      <c r="X1990" s="10"/>
      <c r="Y1990" s="10"/>
      <c r="Z1990" s="10"/>
      <c r="AA1990" s="10"/>
      <c r="AB1990" s="10"/>
      <c r="AC1990" s="10"/>
      <c r="AD1990" s="10"/>
      <c r="AE1990" s="10"/>
    </row>
    <row r="1991" spans="1:31" hidden="1">
      <c r="A1991" s="277" t="s">
        <v>6126</v>
      </c>
      <c r="B1991" s="9" t="s">
        <v>21</v>
      </c>
      <c r="C1991" s="9">
        <v>2024</v>
      </c>
      <c r="D1991" s="9" t="s">
        <v>27</v>
      </c>
      <c r="E1991" s="90" t="s">
        <v>1011</v>
      </c>
      <c r="F1991" s="9" t="s">
        <v>1013</v>
      </c>
      <c r="G1991" s="10"/>
      <c r="H1991" s="9"/>
      <c r="I1991" s="109" t="s">
        <v>1012</v>
      </c>
      <c r="J1991" s="115">
        <v>45616</v>
      </c>
      <c r="K1991" s="115">
        <v>45635</v>
      </c>
      <c r="L1991" s="116">
        <v>1110000</v>
      </c>
      <c r="M1991" s="117" t="s">
        <v>1030</v>
      </c>
      <c r="N1991" s="34" t="s">
        <v>29</v>
      </c>
      <c r="O1991" s="10"/>
      <c r="P1991" s="113">
        <v>46175</v>
      </c>
      <c r="Q1991" s="113">
        <v>46175</v>
      </c>
      <c r="R1991" s="113">
        <v>46175</v>
      </c>
      <c r="S1991" s="37">
        <f t="shared" si="406"/>
        <v>1110000</v>
      </c>
      <c r="T1991" s="37">
        <f t="shared" si="407"/>
        <v>0</v>
      </c>
      <c r="U1991" s="10"/>
      <c r="V1991" s="10"/>
      <c r="W1991" s="10"/>
      <c r="X1991" s="10"/>
      <c r="Y1991" s="10"/>
      <c r="Z1991" s="10"/>
      <c r="AA1991" s="10"/>
      <c r="AB1991" s="10"/>
      <c r="AC1991" s="10"/>
      <c r="AD1991" s="10"/>
      <c r="AE1991" s="10"/>
    </row>
    <row r="1992" spans="1:31" hidden="1">
      <c r="A1992" s="277" t="s">
        <v>6127</v>
      </c>
      <c r="B1992" s="9" t="s">
        <v>21</v>
      </c>
      <c r="C1992" s="9">
        <v>2024</v>
      </c>
      <c r="D1992" s="9" t="s">
        <v>27</v>
      </c>
      <c r="E1992" s="90" t="s">
        <v>1011</v>
      </c>
      <c r="F1992" s="9" t="s">
        <v>1013</v>
      </c>
      <c r="G1992" s="10"/>
      <c r="H1992" s="9"/>
      <c r="I1992" s="109" t="s">
        <v>1012</v>
      </c>
      <c r="J1992" s="115">
        <v>45617</v>
      </c>
      <c r="K1992" s="115">
        <v>45635</v>
      </c>
      <c r="L1992" s="116">
        <v>1110000</v>
      </c>
      <c r="M1992" s="117" t="s">
        <v>1031</v>
      </c>
      <c r="N1992" s="34" t="s">
        <v>29</v>
      </c>
      <c r="O1992" s="10"/>
      <c r="P1992" s="113">
        <v>46175</v>
      </c>
      <c r="Q1992" s="113">
        <v>46175</v>
      </c>
      <c r="R1992" s="113">
        <v>46175</v>
      </c>
      <c r="S1992" s="37">
        <f t="shared" si="406"/>
        <v>1110000</v>
      </c>
      <c r="T1992" s="37">
        <f t="shared" si="407"/>
        <v>0</v>
      </c>
      <c r="U1992" s="10"/>
      <c r="V1992" s="10"/>
      <c r="W1992" s="10"/>
      <c r="X1992" s="10"/>
      <c r="Y1992" s="10"/>
      <c r="Z1992" s="10"/>
      <c r="AA1992" s="10"/>
      <c r="AB1992" s="10"/>
      <c r="AC1992" s="10"/>
      <c r="AD1992" s="10"/>
      <c r="AE1992" s="10"/>
    </row>
    <row r="1993" spans="1:31" hidden="1">
      <c r="A1993" s="277" t="s">
        <v>6128</v>
      </c>
      <c r="B1993" s="9" t="s">
        <v>21</v>
      </c>
      <c r="C1993" s="9">
        <v>2024</v>
      </c>
      <c r="D1993" s="9" t="s">
        <v>27</v>
      </c>
      <c r="E1993" s="90" t="s">
        <v>1011</v>
      </c>
      <c r="F1993" s="9" t="s">
        <v>1013</v>
      </c>
      <c r="G1993" s="10"/>
      <c r="H1993" s="9"/>
      <c r="I1993" s="109" t="s">
        <v>1012</v>
      </c>
      <c r="J1993" s="115">
        <v>45628</v>
      </c>
      <c r="K1993" s="115">
        <v>45635</v>
      </c>
      <c r="L1993" s="116">
        <v>2220000</v>
      </c>
      <c r="M1993" s="117" t="s">
        <v>1032</v>
      </c>
      <c r="N1993" s="34" t="s">
        <v>29</v>
      </c>
      <c r="O1993" s="10"/>
      <c r="P1993" s="113">
        <v>46175</v>
      </c>
      <c r="Q1993" s="113">
        <v>46175</v>
      </c>
      <c r="R1993" s="113">
        <v>46175</v>
      </c>
      <c r="S1993" s="37">
        <f t="shared" si="406"/>
        <v>2220000</v>
      </c>
      <c r="T1993" s="37">
        <f t="shared" si="407"/>
        <v>0</v>
      </c>
      <c r="U1993" s="10"/>
      <c r="V1993" s="10"/>
      <c r="W1993" s="10"/>
      <c r="X1993" s="10"/>
      <c r="Y1993" s="10"/>
      <c r="Z1993" s="10"/>
      <c r="AA1993" s="10"/>
      <c r="AB1993" s="10"/>
      <c r="AC1993" s="10"/>
      <c r="AD1993" s="10"/>
      <c r="AE1993" s="10"/>
    </row>
    <row r="1994" spans="1:31" hidden="1">
      <c r="A1994" s="277" t="s">
        <v>6129</v>
      </c>
      <c r="B1994" s="9" t="s">
        <v>21</v>
      </c>
      <c r="C1994" s="9">
        <v>2024</v>
      </c>
      <c r="D1994" s="9" t="s">
        <v>27</v>
      </c>
      <c r="E1994" s="90" t="s">
        <v>1011</v>
      </c>
      <c r="F1994" s="9" t="s">
        <v>1013</v>
      </c>
      <c r="G1994" s="10"/>
      <c r="H1994" s="9"/>
      <c r="I1994" s="109" t="s">
        <v>1012</v>
      </c>
      <c r="J1994" s="115">
        <v>45636</v>
      </c>
      <c r="K1994" s="115">
        <v>45678</v>
      </c>
      <c r="L1994" s="116">
        <v>270000</v>
      </c>
      <c r="M1994" s="117" t="s">
        <v>1033</v>
      </c>
      <c r="N1994" s="34" t="s">
        <v>29</v>
      </c>
      <c r="O1994" s="10"/>
      <c r="P1994" s="113">
        <v>46175</v>
      </c>
      <c r="Q1994" s="113">
        <v>46175</v>
      </c>
      <c r="R1994" s="113">
        <v>46175</v>
      </c>
      <c r="S1994" s="37">
        <f t="shared" si="406"/>
        <v>270000</v>
      </c>
      <c r="T1994" s="37">
        <f t="shared" si="407"/>
        <v>0</v>
      </c>
      <c r="U1994" s="10"/>
      <c r="V1994" s="10"/>
      <c r="W1994" s="10"/>
      <c r="X1994" s="10"/>
      <c r="Y1994" s="10"/>
      <c r="Z1994" s="10"/>
      <c r="AA1994" s="10"/>
      <c r="AB1994" s="10"/>
      <c r="AC1994" s="10"/>
      <c r="AD1994" s="10"/>
      <c r="AE1994" s="10"/>
    </row>
    <row r="1995" spans="1:31" hidden="1">
      <c r="A1995" s="277" t="s">
        <v>6130</v>
      </c>
      <c r="B1995" s="9" t="s">
        <v>21</v>
      </c>
      <c r="C1995" s="9">
        <v>2024</v>
      </c>
      <c r="D1995" s="9" t="s">
        <v>27</v>
      </c>
      <c r="E1995" s="90" t="s">
        <v>1011</v>
      </c>
      <c r="F1995" s="9" t="s">
        <v>1013</v>
      </c>
      <c r="G1995" s="10"/>
      <c r="H1995" s="9"/>
      <c r="I1995" s="109" t="s">
        <v>1012</v>
      </c>
      <c r="J1995" s="115">
        <v>45637</v>
      </c>
      <c r="K1995" s="115">
        <v>45678</v>
      </c>
      <c r="L1995" s="116">
        <f>2220000-850000</f>
        <v>1370000</v>
      </c>
      <c r="M1995" s="117" t="s">
        <v>7089</v>
      </c>
      <c r="N1995" s="34" t="s">
        <v>29</v>
      </c>
      <c r="O1995" s="10"/>
      <c r="P1995" s="113">
        <v>46175</v>
      </c>
      <c r="Q1995" s="113">
        <v>46175</v>
      </c>
      <c r="R1995" s="113">
        <v>46175</v>
      </c>
      <c r="S1995" s="37">
        <f t="shared" si="406"/>
        <v>1370000</v>
      </c>
      <c r="T1995" s="37">
        <f t="shared" si="407"/>
        <v>0</v>
      </c>
      <c r="U1995" s="10"/>
      <c r="V1995" s="10"/>
      <c r="W1995" s="10"/>
      <c r="X1995" s="10"/>
      <c r="Y1995" s="10"/>
      <c r="Z1995" s="10"/>
      <c r="AA1995" s="10"/>
      <c r="AB1995" s="10"/>
      <c r="AC1995" s="10"/>
      <c r="AD1995" s="10"/>
      <c r="AE1995" s="10"/>
    </row>
    <row r="1996" spans="1:31" hidden="1">
      <c r="A1996" s="277" t="s">
        <v>6131</v>
      </c>
      <c r="B1996" s="9" t="s">
        <v>21</v>
      </c>
      <c r="C1996" s="9">
        <v>2024</v>
      </c>
      <c r="D1996" s="9" t="s">
        <v>27</v>
      </c>
      <c r="E1996" s="90" t="s">
        <v>1011</v>
      </c>
      <c r="F1996" s="9" t="s">
        <v>1013</v>
      </c>
      <c r="G1996" s="10"/>
      <c r="H1996" s="9"/>
      <c r="I1996" s="109" t="s">
        <v>1012</v>
      </c>
      <c r="J1996" s="115">
        <v>45637</v>
      </c>
      <c r="K1996" s="115">
        <v>45678</v>
      </c>
      <c r="L1996" s="116">
        <f>2220000-1370000</f>
        <v>850000</v>
      </c>
      <c r="M1996" s="117" t="s">
        <v>7090</v>
      </c>
      <c r="N1996" s="34" t="s">
        <v>29</v>
      </c>
      <c r="O1996" s="27">
        <f>SUM(L1996:L2013)</f>
        <v>31000000</v>
      </c>
      <c r="P1996" s="113">
        <v>46197</v>
      </c>
      <c r="Q1996" s="113">
        <v>46197</v>
      </c>
      <c r="R1996" s="113">
        <v>46197</v>
      </c>
      <c r="S1996" s="37">
        <f t="shared" ref="S1996" si="408">IF(R1996="",0,L1996)</f>
        <v>850000</v>
      </c>
      <c r="T1996" s="37">
        <f t="shared" ref="T1996" si="409">L1996-S1996</f>
        <v>0</v>
      </c>
      <c r="U1996" s="10"/>
      <c r="V1996" s="10"/>
      <c r="W1996" s="10"/>
      <c r="X1996" s="10"/>
      <c r="Y1996" s="10"/>
      <c r="Z1996" s="10"/>
      <c r="AA1996" s="10"/>
      <c r="AB1996" s="10"/>
      <c r="AC1996" s="10"/>
      <c r="AD1996" s="10"/>
      <c r="AE1996" s="10"/>
    </row>
    <row r="1997" spans="1:31" hidden="1">
      <c r="A1997" s="277" t="s">
        <v>6132</v>
      </c>
      <c r="B1997" s="9" t="s">
        <v>21</v>
      </c>
      <c r="C1997" s="9">
        <v>2024</v>
      </c>
      <c r="D1997" s="9" t="s">
        <v>27</v>
      </c>
      <c r="E1997" s="90" t="s">
        <v>1011</v>
      </c>
      <c r="F1997" s="9" t="s">
        <v>1013</v>
      </c>
      <c r="G1997" s="10"/>
      <c r="H1997" s="9"/>
      <c r="I1997" s="109" t="s">
        <v>1012</v>
      </c>
      <c r="J1997" s="115">
        <v>45639</v>
      </c>
      <c r="K1997" s="115">
        <v>45678</v>
      </c>
      <c r="L1997" s="116">
        <v>1110000</v>
      </c>
      <c r="M1997" s="117" t="s">
        <v>6973</v>
      </c>
      <c r="N1997" s="34" t="s">
        <v>29</v>
      </c>
      <c r="O1997" s="10"/>
      <c r="P1997" s="113">
        <v>46197</v>
      </c>
      <c r="Q1997" s="113">
        <v>46197</v>
      </c>
      <c r="R1997" s="113">
        <v>46197</v>
      </c>
      <c r="S1997" s="37">
        <f>IF(R1997="",0,L1997)</f>
        <v>1110000</v>
      </c>
      <c r="T1997" s="37">
        <f>L1997-S1997</f>
        <v>0</v>
      </c>
      <c r="U1997" s="10"/>
      <c r="V1997" s="10"/>
      <c r="W1997" s="10"/>
      <c r="X1997" s="10"/>
      <c r="Y1997" s="10"/>
      <c r="Z1997" s="10"/>
      <c r="AA1997" s="10"/>
      <c r="AB1997" s="10"/>
      <c r="AC1997" s="10"/>
      <c r="AD1997" s="10"/>
      <c r="AE1997" s="10"/>
    </row>
    <row r="1998" spans="1:31" hidden="1">
      <c r="A1998" s="277" t="s">
        <v>6133</v>
      </c>
      <c r="B1998" s="9" t="s">
        <v>21</v>
      </c>
      <c r="C1998" s="9">
        <v>2024</v>
      </c>
      <c r="D1998" s="9" t="s">
        <v>27</v>
      </c>
      <c r="E1998" s="90" t="s">
        <v>1011</v>
      </c>
      <c r="F1998" s="9" t="s">
        <v>1013</v>
      </c>
      <c r="G1998" s="10"/>
      <c r="H1998" s="9"/>
      <c r="I1998" s="109" t="s">
        <v>1012</v>
      </c>
      <c r="J1998" s="115">
        <v>45657</v>
      </c>
      <c r="K1998" s="115">
        <v>45678</v>
      </c>
      <c r="L1998" s="116">
        <v>2220000</v>
      </c>
      <c r="M1998" s="117" t="s">
        <v>1034</v>
      </c>
      <c r="N1998" s="34" t="s">
        <v>29</v>
      </c>
      <c r="O1998" s="10"/>
      <c r="P1998" s="113">
        <v>46197</v>
      </c>
      <c r="Q1998" s="113">
        <v>46197</v>
      </c>
      <c r="R1998" s="113">
        <v>46197</v>
      </c>
      <c r="S1998" s="37">
        <f t="shared" si="406"/>
        <v>2220000</v>
      </c>
      <c r="T1998" s="37">
        <f t="shared" si="407"/>
        <v>0</v>
      </c>
      <c r="U1998" s="10"/>
      <c r="V1998" s="10"/>
      <c r="W1998" s="10"/>
      <c r="X1998" s="10"/>
      <c r="Y1998" s="10"/>
      <c r="Z1998" s="10"/>
      <c r="AA1998" s="10"/>
      <c r="AB1998" s="10"/>
      <c r="AC1998" s="10"/>
      <c r="AD1998" s="10"/>
      <c r="AE1998" s="10"/>
    </row>
    <row r="1999" spans="1:31" hidden="1">
      <c r="A1999" s="277" t="s">
        <v>6134</v>
      </c>
      <c r="B1999" s="9" t="s">
        <v>21</v>
      </c>
      <c r="C1999" s="9">
        <v>2025</v>
      </c>
      <c r="D1999" s="9" t="s">
        <v>27</v>
      </c>
      <c r="E1999" s="90" t="s">
        <v>1011</v>
      </c>
      <c r="F1999" s="9" t="s">
        <v>1013</v>
      </c>
      <c r="G1999" s="10"/>
      <c r="H1999" s="9"/>
      <c r="I1999" s="109" t="s">
        <v>1012</v>
      </c>
      <c r="J1999" s="115">
        <v>45663</v>
      </c>
      <c r="K1999" s="115">
        <v>45678</v>
      </c>
      <c r="L1999" s="116">
        <v>745400</v>
      </c>
      <c r="M1999" s="117" t="s">
        <v>1035</v>
      </c>
      <c r="N1999" s="34" t="s">
        <v>29</v>
      </c>
      <c r="O1999" s="10"/>
      <c r="P1999" s="113">
        <v>46197</v>
      </c>
      <c r="Q1999" s="113">
        <v>46197</v>
      </c>
      <c r="R1999" s="113">
        <v>46197</v>
      </c>
      <c r="S1999" s="37">
        <f t="shared" si="406"/>
        <v>745400</v>
      </c>
      <c r="T1999" s="37">
        <f t="shared" si="407"/>
        <v>0</v>
      </c>
      <c r="U1999" s="10"/>
      <c r="V1999" s="10"/>
      <c r="W1999" s="10"/>
      <c r="X1999" s="10"/>
      <c r="Y1999" s="10"/>
      <c r="Z1999" s="10"/>
      <c r="AA1999" s="10"/>
      <c r="AB1999" s="10"/>
      <c r="AC1999" s="10"/>
      <c r="AD1999" s="10"/>
      <c r="AE1999" s="10"/>
    </row>
    <row r="2000" spans="1:31" hidden="1">
      <c r="A2000" s="277" t="s">
        <v>6135</v>
      </c>
      <c r="B2000" s="9" t="s">
        <v>21</v>
      </c>
      <c r="C2000" s="9">
        <v>2025</v>
      </c>
      <c r="D2000" s="9" t="s">
        <v>27</v>
      </c>
      <c r="E2000" s="90" t="s">
        <v>1011</v>
      </c>
      <c r="F2000" s="9" t="s">
        <v>1013</v>
      </c>
      <c r="G2000" s="10"/>
      <c r="H2000" s="9"/>
      <c r="I2000" s="109" t="s">
        <v>1012</v>
      </c>
      <c r="J2000" s="115">
        <v>45665</v>
      </c>
      <c r="K2000" s="115">
        <v>45678</v>
      </c>
      <c r="L2000" s="116">
        <v>444000</v>
      </c>
      <c r="M2000" s="117" t="s">
        <v>1036</v>
      </c>
      <c r="N2000" s="34" t="s">
        <v>29</v>
      </c>
      <c r="O2000" s="10"/>
      <c r="P2000" s="113">
        <v>46197</v>
      </c>
      <c r="Q2000" s="113">
        <v>46197</v>
      </c>
      <c r="R2000" s="113">
        <v>46197</v>
      </c>
      <c r="S2000" s="37">
        <f t="shared" si="406"/>
        <v>444000</v>
      </c>
      <c r="T2000" s="37">
        <f t="shared" si="407"/>
        <v>0</v>
      </c>
      <c r="U2000" s="10"/>
      <c r="V2000" s="10"/>
      <c r="W2000" s="10"/>
      <c r="X2000" s="10"/>
      <c r="Y2000" s="10"/>
      <c r="Z2000" s="10"/>
      <c r="AA2000" s="10"/>
      <c r="AB2000" s="10"/>
      <c r="AC2000" s="10"/>
      <c r="AD2000" s="10"/>
      <c r="AE2000" s="10"/>
    </row>
    <row r="2001" spans="1:31" hidden="1">
      <c r="A2001" s="277" t="s">
        <v>6136</v>
      </c>
      <c r="B2001" s="9" t="s">
        <v>21</v>
      </c>
      <c r="C2001" s="9">
        <v>2025</v>
      </c>
      <c r="D2001" s="9" t="s">
        <v>27</v>
      </c>
      <c r="E2001" s="90" t="s">
        <v>1011</v>
      </c>
      <c r="F2001" s="9" t="s">
        <v>1013</v>
      </c>
      <c r="G2001" s="10"/>
      <c r="H2001" s="9"/>
      <c r="I2001" s="109" t="s">
        <v>1012</v>
      </c>
      <c r="J2001" s="115">
        <v>45667</v>
      </c>
      <c r="K2001" s="115">
        <v>45678</v>
      </c>
      <c r="L2001" s="116">
        <v>1135000</v>
      </c>
      <c r="M2001" s="117" t="s">
        <v>1037</v>
      </c>
      <c r="N2001" s="34" t="s">
        <v>29</v>
      </c>
      <c r="O2001" s="10"/>
      <c r="P2001" s="113">
        <v>46197</v>
      </c>
      <c r="Q2001" s="113">
        <v>46197</v>
      </c>
      <c r="R2001" s="113">
        <v>46197</v>
      </c>
      <c r="S2001" s="37">
        <f t="shared" si="406"/>
        <v>1135000</v>
      </c>
      <c r="T2001" s="37">
        <f t="shared" si="407"/>
        <v>0</v>
      </c>
      <c r="U2001" s="10"/>
      <c r="V2001" s="10"/>
      <c r="W2001" s="10"/>
      <c r="X2001" s="10"/>
      <c r="Y2001" s="10"/>
      <c r="Z2001" s="10"/>
      <c r="AA2001" s="10"/>
      <c r="AB2001" s="10"/>
      <c r="AC2001" s="10"/>
      <c r="AD2001" s="10"/>
      <c r="AE2001" s="10"/>
    </row>
    <row r="2002" spans="1:31" hidden="1">
      <c r="A2002" s="277" t="s">
        <v>6137</v>
      </c>
      <c r="B2002" s="9" t="s">
        <v>21</v>
      </c>
      <c r="C2002" s="9">
        <v>2025</v>
      </c>
      <c r="D2002" s="9" t="s">
        <v>27</v>
      </c>
      <c r="E2002" s="90" t="s">
        <v>1011</v>
      </c>
      <c r="F2002" s="9" t="s">
        <v>1013</v>
      </c>
      <c r="G2002" s="10"/>
      <c r="H2002" s="9"/>
      <c r="I2002" s="109" t="s">
        <v>1012</v>
      </c>
      <c r="J2002" s="115">
        <v>45674</v>
      </c>
      <c r="K2002" s="115">
        <v>45731</v>
      </c>
      <c r="L2002" s="116">
        <v>740000</v>
      </c>
      <c r="M2002" s="117" t="s">
        <v>1038</v>
      </c>
      <c r="N2002" s="34" t="s">
        <v>29</v>
      </c>
      <c r="O2002" s="10"/>
      <c r="P2002" s="113">
        <v>46197</v>
      </c>
      <c r="Q2002" s="113">
        <v>46197</v>
      </c>
      <c r="R2002" s="113">
        <v>46197</v>
      </c>
      <c r="S2002" s="37">
        <f t="shared" ref="S2002:S2009" si="410">IF(R2002="",0,L2002)</f>
        <v>740000</v>
      </c>
      <c r="T2002" s="37">
        <f t="shared" ref="T2002:T2009" si="411">L2002-S2002</f>
        <v>0</v>
      </c>
      <c r="U2002" s="10"/>
      <c r="V2002" s="10"/>
      <c r="W2002" s="10"/>
      <c r="X2002" s="10"/>
      <c r="Y2002" s="10"/>
      <c r="Z2002" s="10"/>
      <c r="AA2002" s="10"/>
      <c r="AB2002" s="10"/>
      <c r="AC2002" s="10"/>
      <c r="AD2002" s="10"/>
      <c r="AE2002" s="10"/>
    </row>
    <row r="2003" spans="1:31" hidden="1">
      <c r="A2003" s="277" t="s">
        <v>6138</v>
      </c>
      <c r="B2003" s="9" t="s">
        <v>21</v>
      </c>
      <c r="C2003" s="9">
        <v>2025</v>
      </c>
      <c r="D2003" s="9" t="s">
        <v>27</v>
      </c>
      <c r="E2003" s="90" t="s">
        <v>1011</v>
      </c>
      <c r="F2003" s="9" t="s">
        <v>1013</v>
      </c>
      <c r="G2003" s="10"/>
      <c r="H2003" s="9"/>
      <c r="I2003" s="109" t="s">
        <v>1012</v>
      </c>
      <c r="J2003" s="115">
        <v>45675</v>
      </c>
      <c r="K2003" s="115">
        <v>45731</v>
      </c>
      <c r="L2003" s="116">
        <v>1754400</v>
      </c>
      <c r="M2003" s="117" t="s">
        <v>1039</v>
      </c>
      <c r="N2003" s="34" t="s">
        <v>29</v>
      </c>
      <c r="O2003" s="10"/>
      <c r="P2003" s="113">
        <v>46197</v>
      </c>
      <c r="Q2003" s="113">
        <v>46197</v>
      </c>
      <c r="R2003" s="113">
        <v>46197</v>
      </c>
      <c r="S2003" s="37">
        <f t="shared" si="410"/>
        <v>1754400</v>
      </c>
      <c r="T2003" s="37">
        <f t="shared" si="411"/>
        <v>0</v>
      </c>
      <c r="U2003" s="10"/>
      <c r="V2003" s="10"/>
      <c r="W2003" s="10"/>
      <c r="X2003" s="10"/>
      <c r="Y2003" s="10"/>
      <c r="Z2003" s="10"/>
      <c r="AA2003" s="10"/>
      <c r="AB2003" s="10"/>
      <c r="AC2003" s="10"/>
      <c r="AD2003" s="10"/>
      <c r="AE2003" s="10"/>
    </row>
    <row r="2004" spans="1:31" hidden="1">
      <c r="A2004" s="277" t="s">
        <v>6139</v>
      </c>
      <c r="B2004" s="9" t="s">
        <v>21</v>
      </c>
      <c r="C2004" s="9">
        <v>2025</v>
      </c>
      <c r="D2004" s="9" t="s">
        <v>27</v>
      </c>
      <c r="E2004" s="90" t="s">
        <v>1011</v>
      </c>
      <c r="F2004" s="9" t="s">
        <v>1013</v>
      </c>
      <c r="G2004" s="10"/>
      <c r="H2004" s="9"/>
      <c r="I2004" s="109" t="s">
        <v>1012</v>
      </c>
      <c r="J2004" s="115">
        <v>45675</v>
      </c>
      <c r="K2004" s="115">
        <v>45731</v>
      </c>
      <c r="L2004" s="116">
        <v>904400</v>
      </c>
      <c r="M2004" s="117" t="s">
        <v>1040</v>
      </c>
      <c r="N2004" s="34" t="s">
        <v>29</v>
      </c>
      <c r="O2004" s="10"/>
      <c r="P2004" s="113">
        <v>46197</v>
      </c>
      <c r="Q2004" s="113">
        <v>46197</v>
      </c>
      <c r="R2004" s="113">
        <v>46197</v>
      </c>
      <c r="S2004" s="37">
        <f t="shared" si="410"/>
        <v>904400</v>
      </c>
      <c r="T2004" s="37">
        <f t="shared" si="411"/>
        <v>0</v>
      </c>
      <c r="U2004" s="10"/>
      <c r="V2004" s="10"/>
      <c r="W2004" s="10"/>
      <c r="X2004" s="10"/>
      <c r="Y2004" s="10"/>
      <c r="Z2004" s="10"/>
      <c r="AA2004" s="10"/>
      <c r="AB2004" s="10"/>
      <c r="AC2004" s="10"/>
      <c r="AD2004" s="10"/>
      <c r="AE2004" s="10"/>
    </row>
    <row r="2005" spans="1:31" hidden="1">
      <c r="A2005" s="277" t="s">
        <v>6140</v>
      </c>
      <c r="B2005" s="9" t="s">
        <v>21</v>
      </c>
      <c r="C2005" s="9">
        <v>2025</v>
      </c>
      <c r="D2005" s="9" t="s">
        <v>27</v>
      </c>
      <c r="E2005" s="90" t="s">
        <v>1011</v>
      </c>
      <c r="F2005" s="9" t="s">
        <v>1013</v>
      </c>
      <c r="G2005" s="10"/>
      <c r="H2005" s="9"/>
      <c r="I2005" s="109" t="s">
        <v>1012</v>
      </c>
      <c r="J2005" s="115">
        <v>45681</v>
      </c>
      <c r="K2005" s="115">
        <v>45731</v>
      </c>
      <c r="L2005" s="116">
        <v>1298000</v>
      </c>
      <c r="M2005" s="117" t="s">
        <v>1041</v>
      </c>
      <c r="N2005" s="34" t="s">
        <v>29</v>
      </c>
      <c r="O2005" s="10"/>
      <c r="P2005" s="113">
        <v>46197</v>
      </c>
      <c r="Q2005" s="113">
        <v>46197</v>
      </c>
      <c r="R2005" s="113">
        <v>46197</v>
      </c>
      <c r="S2005" s="37">
        <f t="shared" si="410"/>
        <v>1298000</v>
      </c>
      <c r="T2005" s="37">
        <f t="shared" si="411"/>
        <v>0</v>
      </c>
      <c r="U2005" s="10"/>
      <c r="V2005" s="10"/>
      <c r="W2005" s="10"/>
      <c r="X2005" s="10"/>
      <c r="Y2005" s="10"/>
      <c r="Z2005" s="10"/>
      <c r="AA2005" s="10"/>
      <c r="AB2005" s="10"/>
      <c r="AC2005" s="10"/>
      <c r="AD2005" s="10"/>
      <c r="AE2005" s="10"/>
    </row>
    <row r="2006" spans="1:31" hidden="1">
      <c r="A2006" s="277" t="s">
        <v>6141</v>
      </c>
      <c r="B2006" s="9" t="s">
        <v>21</v>
      </c>
      <c r="C2006" s="9">
        <v>2025</v>
      </c>
      <c r="D2006" s="9" t="s">
        <v>27</v>
      </c>
      <c r="E2006" s="90" t="s">
        <v>1011</v>
      </c>
      <c r="F2006" s="9" t="s">
        <v>1013</v>
      </c>
      <c r="G2006" s="10"/>
      <c r="H2006" s="9"/>
      <c r="I2006" s="109" t="s">
        <v>1012</v>
      </c>
      <c r="J2006" s="115">
        <v>45685</v>
      </c>
      <c r="K2006" s="115">
        <v>45731</v>
      </c>
      <c r="L2006" s="116">
        <v>6437800</v>
      </c>
      <c r="M2006" s="117" t="s">
        <v>1042</v>
      </c>
      <c r="N2006" s="34" t="s">
        <v>29</v>
      </c>
      <c r="O2006" s="10"/>
      <c r="P2006" s="113">
        <v>46197</v>
      </c>
      <c r="Q2006" s="113">
        <v>46197</v>
      </c>
      <c r="R2006" s="113">
        <v>46197</v>
      </c>
      <c r="S2006" s="37">
        <f t="shared" si="410"/>
        <v>6437800</v>
      </c>
      <c r="T2006" s="37">
        <f t="shared" si="411"/>
        <v>0</v>
      </c>
      <c r="U2006" s="10"/>
      <c r="V2006" s="10"/>
      <c r="W2006" s="10"/>
      <c r="X2006" s="10"/>
      <c r="Y2006" s="10"/>
      <c r="Z2006" s="10"/>
      <c r="AA2006" s="10"/>
      <c r="AB2006" s="10"/>
      <c r="AC2006" s="10"/>
      <c r="AD2006" s="10"/>
      <c r="AE2006" s="10"/>
    </row>
    <row r="2007" spans="1:31" hidden="1">
      <c r="A2007" s="277" t="s">
        <v>6142</v>
      </c>
      <c r="B2007" s="9" t="s">
        <v>21</v>
      </c>
      <c r="C2007" s="9">
        <v>2025</v>
      </c>
      <c r="D2007" s="9" t="s">
        <v>27</v>
      </c>
      <c r="E2007" s="90" t="s">
        <v>1011</v>
      </c>
      <c r="F2007" s="9" t="s">
        <v>1013</v>
      </c>
      <c r="G2007" s="10"/>
      <c r="H2007" s="9"/>
      <c r="I2007" s="109" t="s">
        <v>1012</v>
      </c>
      <c r="J2007" s="115">
        <v>45687</v>
      </c>
      <c r="K2007" s="115">
        <v>45731</v>
      </c>
      <c r="L2007" s="116">
        <v>3784000</v>
      </c>
      <c r="M2007" s="117" t="s">
        <v>1043</v>
      </c>
      <c r="N2007" s="34" t="s">
        <v>29</v>
      </c>
      <c r="O2007" s="10"/>
      <c r="P2007" s="113">
        <v>46197</v>
      </c>
      <c r="Q2007" s="113">
        <v>46197</v>
      </c>
      <c r="R2007" s="113">
        <v>46197</v>
      </c>
      <c r="S2007" s="37">
        <f t="shared" si="410"/>
        <v>3784000</v>
      </c>
      <c r="T2007" s="37">
        <f t="shared" si="411"/>
        <v>0</v>
      </c>
      <c r="U2007" s="10"/>
      <c r="V2007" s="10"/>
      <c r="W2007" s="10"/>
      <c r="X2007" s="10"/>
      <c r="Y2007" s="10"/>
      <c r="Z2007" s="10"/>
      <c r="AA2007" s="10"/>
      <c r="AB2007" s="10"/>
      <c r="AC2007" s="10"/>
      <c r="AD2007" s="10"/>
      <c r="AE2007" s="10"/>
    </row>
    <row r="2008" spans="1:31" hidden="1">
      <c r="A2008" s="277" t="s">
        <v>6143</v>
      </c>
      <c r="B2008" s="9" t="s">
        <v>21</v>
      </c>
      <c r="C2008" s="9">
        <v>2025</v>
      </c>
      <c r="D2008" s="9" t="s">
        <v>27</v>
      </c>
      <c r="E2008" s="90" t="s">
        <v>1011</v>
      </c>
      <c r="F2008" s="9" t="s">
        <v>1013</v>
      </c>
      <c r="G2008" s="10"/>
      <c r="H2008" s="9"/>
      <c r="I2008" s="109" t="s">
        <v>1012</v>
      </c>
      <c r="J2008" s="115">
        <v>45688</v>
      </c>
      <c r="K2008" s="115">
        <v>45731</v>
      </c>
      <c r="L2008" s="116">
        <v>242400</v>
      </c>
      <c r="M2008" s="117" t="s">
        <v>1044</v>
      </c>
      <c r="N2008" s="34" t="s">
        <v>29</v>
      </c>
      <c r="O2008" s="10"/>
      <c r="P2008" s="113">
        <v>46197</v>
      </c>
      <c r="Q2008" s="113">
        <v>46197</v>
      </c>
      <c r="R2008" s="113">
        <v>46197</v>
      </c>
      <c r="S2008" s="37">
        <f t="shared" si="410"/>
        <v>242400</v>
      </c>
      <c r="T2008" s="37">
        <f t="shared" si="411"/>
        <v>0</v>
      </c>
      <c r="U2008" s="10"/>
      <c r="V2008" s="10"/>
      <c r="W2008" s="10"/>
      <c r="X2008" s="10"/>
      <c r="Y2008" s="10"/>
      <c r="Z2008" s="10"/>
      <c r="AA2008" s="10"/>
      <c r="AB2008" s="10"/>
      <c r="AC2008" s="10"/>
      <c r="AD2008" s="10"/>
      <c r="AE2008" s="10"/>
    </row>
    <row r="2009" spans="1:31" hidden="1">
      <c r="A2009" s="277" t="s">
        <v>6144</v>
      </c>
      <c r="B2009" s="9" t="s">
        <v>21</v>
      </c>
      <c r="C2009" s="9">
        <v>2025</v>
      </c>
      <c r="D2009" s="9" t="s">
        <v>27</v>
      </c>
      <c r="E2009" s="90" t="s">
        <v>1011</v>
      </c>
      <c r="F2009" s="9" t="s">
        <v>1013</v>
      </c>
      <c r="G2009" s="10"/>
      <c r="H2009" s="9"/>
      <c r="I2009" s="109" t="s">
        <v>1012</v>
      </c>
      <c r="J2009" s="115">
        <v>45691</v>
      </c>
      <c r="K2009" s="115">
        <v>45731</v>
      </c>
      <c r="L2009" s="116">
        <v>2013000</v>
      </c>
      <c r="M2009" s="117" t="s">
        <v>1045</v>
      </c>
      <c r="N2009" s="34" t="s">
        <v>29</v>
      </c>
      <c r="O2009" s="10"/>
      <c r="P2009" s="113">
        <v>46197</v>
      </c>
      <c r="Q2009" s="113">
        <v>46197</v>
      </c>
      <c r="R2009" s="113">
        <v>46197</v>
      </c>
      <c r="S2009" s="37">
        <f t="shared" si="410"/>
        <v>2013000</v>
      </c>
      <c r="T2009" s="37">
        <f t="shared" si="411"/>
        <v>0</v>
      </c>
      <c r="U2009" s="10"/>
      <c r="V2009" s="10"/>
      <c r="W2009" s="10"/>
      <c r="X2009" s="10"/>
      <c r="Y2009" s="10"/>
      <c r="Z2009" s="10"/>
      <c r="AA2009" s="10"/>
      <c r="AB2009" s="10"/>
      <c r="AC2009" s="10"/>
      <c r="AD2009" s="10"/>
      <c r="AE2009" s="10"/>
    </row>
    <row r="2010" spans="1:31" hidden="1">
      <c r="A2010" s="277" t="s">
        <v>6145</v>
      </c>
      <c r="B2010" s="9" t="s">
        <v>21</v>
      </c>
      <c r="C2010" s="9">
        <v>2025</v>
      </c>
      <c r="D2010" s="9" t="s">
        <v>27</v>
      </c>
      <c r="E2010" s="90" t="s">
        <v>1011</v>
      </c>
      <c r="F2010" s="9" t="s">
        <v>1013</v>
      </c>
      <c r="G2010" s="10"/>
      <c r="H2010" s="9"/>
      <c r="I2010" s="109" t="s">
        <v>1012</v>
      </c>
      <c r="J2010" s="115">
        <v>45694</v>
      </c>
      <c r="K2010" s="115">
        <v>45731</v>
      </c>
      <c r="L2010" s="116">
        <v>3963400</v>
      </c>
      <c r="M2010" s="117" t="s">
        <v>1046</v>
      </c>
      <c r="N2010" s="34" t="s">
        <v>29</v>
      </c>
      <c r="O2010" s="10"/>
      <c r="P2010" s="113">
        <v>46197</v>
      </c>
      <c r="Q2010" s="113">
        <v>46197</v>
      </c>
      <c r="R2010" s="113">
        <v>46197</v>
      </c>
      <c r="S2010" s="37">
        <f t="shared" ref="S2010:S2018" si="412">IF(R2010="",0,L2010)</f>
        <v>3963400</v>
      </c>
      <c r="T2010" s="37">
        <f t="shared" ref="T2010:T2018" si="413">L2010-S2010</f>
        <v>0</v>
      </c>
      <c r="U2010" s="10"/>
      <c r="V2010" s="10"/>
      <c r="W2010" s="10"/>
      <c r="X2010" s="10"/>
      <c r="Y2010" s="10"/>
      <c r="Z2010" s="10"/>
      <c r="AA2010" s="10"/>
      <c r="AB2010" s="10"/>
      <c r="AC2010" s="10"/>
      <c r="AD2010" s="10"/>
      <c r="AE2010" s="10"/>
    </row>
    <row r="2011" spans="1:31" hidden="1">
      <c r="A2011" s="277" t="s">
        <v>6146</v>
      </c>
      <c r="B2011" s="9" t="s">
        <v>21</v>
      </c>
      <c r="C2011" s="9">
        <v>2025</v>
      </c>
      <c r="D2011" s="9" t="s">
        <v>27</v>
      </c>
      <c r="E2011" s="90" t="s">
        <v>1011</v>
      </c>
      <c r="F2011" s="9" t="s">
        <v>1013</v>
      </c>
      <c r="G2011" s="10"/>
      <c r="H2011" s="9"/>
      <c r="I2011" s="109" t="s">
        <v>1012</v>
      </c>
      <c r="J2011" s="115">
        <v>45696</v>
      </c>
      <c r="K2011" s="115">
        <v>45731</v>
      </c>
      <c r="L2011" s="116">
        <v>572000</v>
      </c>
      <c r="M2011" s="117" t="s">
        <v>1047</v>
      </c>
      <c r="N2011" s="34" t="s">
        <v>29</v>
      </c>
      <c r="O2011" s="10"/>
      <c r="P2011" s="113">
        <v>46197</v>
      </c>
      <c r="Q2011" s="113">
        <v>46197</v>
      </c>
      <c r="R2011" s="113">
        <v>46197</v>
      </c>
      <c r="S2011" s="37">
        <f t="shared" si="412"/>
        <v>572000</v>
      </c>
      <c r="T2011" s="37">
        <f t="shared" si="413"/>
        <v>0</v>
      </c>
      <c r="U2011" s="10"/>
      <c r="V2011" s="10"/>
      <c r="W2011" s="10"/>
      <c r="X2011" s="10"/>
      <c r="Y2011" s="10"/>
      <c r="Z2011" s="10"/>
      <c r="AA2011" s="10"/>
      <c r="AB2011" s="10"/>
      <c r="AC2011" s="10"/>
      <c r="AD2011" s="10"/>
      <c r="AE2011" s="10"/>
    </row>
    <row r="2012" spans="1:31" hidden="1">
      <c r="A2012" s="277" t="s">
        <v>7801</v>
      </c>
      <c r="B2012" s="9" t="s">
        <v>21</v>
      </c>
      <c r="C2012" s="9">
        <v>2025</v>
      </c>
      <c r="D2012" s="9" t="s">
        <v>27</v>
      </c>
      <c r="E2012" s="90" t="s">
        <v>1011</v>
      </c>
      <c r="F2012" s="9" t="s">
        <v>1013</v>
      </c>
      <c r="G2012" s="10"/>
      <c r="H2012" s="9"/>
      <c r="I2012" s="109" t="s">
        <v>1012</v>
      </c>
      <c r="J2012" s="115">
        <v>45696</v>
      </c>
      <c r="K2012" s="115">
        <v>45731</v>
      </c>
      <c r="L2012" s="116">
        <v>1275000</v>
      </c>
      <c r="M2012" s="117" t="s">
        <v>1048</v>
      </c>
      <c r="N2012" s="34" t="s">
        <v>29</v>
      </c>
      <c r="O2012" s="10"/>
      <c r="P2012" s="113">
        <v>46197</v>
      </c>
      <c r="Q2012" s="113">
        <v>46197</v>
      </c>
      <c r="R2012" s="113">
        <v>46197</v>
      </c>
      <c r="S2012" s="37">
        <f t="shared" si="412"/>
        <v>1275000</v>
      </c>
      <c r="T2012" s="37">
        <f t="shared" si="413"/>
        <v>0</v>
      </c>
      <c r="U2012" s="10"/>
      <c r="V2012" s="10"/>
      <c r="W2012" s="10"/>
      <c r="X2012" s="10"/>
      <c r="Y2012" s="10"/>
      <c r="Z2012" s="10"/>
      <c r="AA2012" s="10"/>
      <c r="AB2012" s="10"/>
      <c r="AC2012" s="10"/>
      <c r="AD2012" s="10"/>
      <c r="AE2012" s="10"/>
    </row>
    <row r="2013" spans="1:31" hidden="1">
      <c r="A2013" s="277" t="s">
        <v>7802</v>
      </c>
      <c r="B2013" s="9" t="s">
        <v>21</v>
      </c>
      <c r="C2013" s="9">
        <v>2025</v>
      </c>
      <c r="D2013" s="9" t="s">
        <v>27</v>
      </c>
      <c r="E2013" s="90" t="s">
        <v>1011</v>
      </c>
      <c r="F2013" s="9" t="s">
        <v>1013</v>
      </c>
      <c r="G2013" s="10"/>
      <c r="H2013" s="9"/>
      <c r="I2013" s="109" t="s">
        <v>1012</v>
      </c>
      <c r="J2013" s="115">
        <v>45700</v>
      </c>
      <c r="K2013" s="115">
        <v>45731</v>
      </c>
      <c r="L2013" s="116">
        <f>3802000-2290000-800</f>
        <v>1511200</v>
      </c>
      <c r="M2013" s="117" t="s">
        <v>7157</v>
      </c>
      <c r="N2013" s="34" t="s">
        <v>29</v>
      </c>
      <c r="O2013" s="10"/>
      <c r="P2013" s="113">
        <v>46197</v>
      </c>
      <c r="Q2013" s="113">
        <v>46197</v>
      </c>
      <c r="R2013" s="113">
        <v>46197</v>
      </c>
      <c r="S2013" s="37">
        <f t="shared" ref="S2013" si="414">IF(R2013="",0,L2013)</f>
        <v>1511200</v>
      </c>
      <c r="T2013" s="37">
        <f t="shared" ref="T2013" si="415">L2013-S2013</f>
        <v>0</v>
      </c>
      <c r="U2013" s="10"/>
      <c r="V2013" s="10"/>
      <c r="W2013" s="10"/>
      <c r="X2013" s="10"/>
      <c r="Y2013" s="10"/>
      <c r="Z2013" s="10"/>
      <c r="AA2013" s="10"/>
      <c r="AB2013" s="10"/>
      <c r="AC2013" s="10"/>
      <c r="AD2013" s="10"/>
      <c r="AE2013" s="10"/>
    </row>
    <row r="2014" spans="1:31" hidden="1">
      <c r="A2014" s="277" t="s">
        <v>7803</v>
      </c>
      <c r="B2014" s="9" t="s">
        <v>21</v>
      </c>
      <c r="C2014" s="9">
        <v>2025</v>
      </c>
      <c r="D2014" s="9" t="s">
        <v>27</v>
      </c>
      <c r="E2014" s="90" t="s">
        <v>1011</v>
      </c>
      <c r="F2014" s="9" t="s">
        <v>1013</v>
      </c>
      <c r="G2014" s="10"/>
      <c r="H2014" s="9"/>
      <c r="I2014" s="109" t="s">
        <v>1012</v>
      </c>
      <c r="J2014" s="115">
        <v>45700</v>
      </c>
      <c r="K2014" s="115">
        <v>45731</v>
      </c>
      <c r="L2014" s="116">
        <f>3802000-1512800</f>
        <v>2289200</v>
      </c>
      <c r="M2014" s="117" t="s">
        <v>7158</v>
      </c>
      <c r="N2014" s="34" t="s">
        <v>29</v>
      </c>
      <c r="O2014" s="27">
        <f>SUM(L2014:L2021)</f>
        <v>30905728</v>
      </c>
      <c r="P2014" s="113">
        <v>46229</v>
      </c>
      <c r="Q2014" s="113">
        <v>46229</v>
      </c>
      <c r="R2014" s="113">
        <v>46229</v>
      </c>
      <c r="S2014" s="37">
        <f t="shared" si="412"/>
        <v>2289200</v>
      </c>
      <c r="T2014" s="37">
        <f t="shared" si="413"/>
        <v>0</v>
      </c>
      <c r="U2014" s="10"/>
      <c r="V2014" s="10"/>
      <c r="W2014" s="10"/>
      <c r="X2014" s="10"/>
      <c r="Y2014" s="10"/>
      <c r="Z2014" s="10"/>
      <c r="AA2014" s="10"/>
      <c r="AB2014" s="10"/>
      <c r="AC2014" s="10"/>
      <c r="AD2014" s="10"/>
      <c r="AE2014" s="10"/>
    </row>
    <row r="2015" spans="1:31" hidden="1">
      <c r="A2015" s="277" t="s">
        <v>7804</v>
      </c>
      <c r="B2015" s="9" t="s">
        <v>21</v>
      </c>
      <c r="C2015" s="9">
        <v>2025</v>
      </c>
      <c r="D2015" s="9" t="s">
        <v>27</v>
      </c>
      <c r="E2015" s="90" t="s">
        <v>1011</v>
      </c>
      <c r="F2015" s="9" t="s">
        <v>1013</v>
      </c>
      <c r="G2015" s="10"/>
      <c r="H2015" s="9"/>
      <c r="I2015" s="109" t="s">
        <v>1012</v>
      </c>
      <c r="J2015" s="115">
        <v>45703</v>
      </c>
      <c r="K2015" s="115">
        <v>45731</v>
      </c>
      <c r="L2015" s="116">
        <v>3116400</v>
      </c>
      <c r="M2015" s="117" t="s">
        <v>1049</v>
      </c>
      <c r="N2015" s="34" t="s">
        <v>29</v>
      </c>
      <c r="O2015" s="10"/>
      <c r="P2015" s="113">
        <v>46229</v>
      </c>
      <c r="Q2015" s="113">
        <v>46229</v>
      </c>
      <c r="R2015" s="113">
        <v>46229</v>
      </c>
      <c r="S2015" s="37">
        <f t="shared" si="412"/>
        <v>3116400</v>
      </c>
      <c r="T2015" s="37">
        <f t="shared" si="413"/>
        <v>0</v>
      </c>
      <c r="U2015" s="10"/>
      <c r="V2015" s="10"/>
      <c r="W2015" s="10"/>
      <c r="X2015" s="10"/>
      <c r="Y2015" s="10"/>
      <c r="Z2015" s="10"/>
      <c r="AA2015" s="10"/>
      <c r="AB2015" s="10"/>
      <c r="AC2015" s="10"/>
      <c r="AD2015" s="10"/>
      <c r="AE2015" s="10"/>
    </row>
    <row r="2016" spans="1:31" hidden="1">
      <c r="A2016" s="277" t="s">
        <v>7805</v>
      </c>
      <c r="B2016" s="9" t="s">
        <v>21</v>
      </c>
      <c r="C2016" s="9">
        <v>2025</v>
      </c>
      <c r="D2016" s="9" t="s">
        <v>27</v>
      </c>
      <c r="E2016" s="90" t="s">
        <v>1011</v>
      </c>
      <c r="F2016" s="9" t="s">
        <v>1013</v>
      </c>
      <c r="G2016" s="10"/>
      <c r="H2016" s="9"/>
      <c r="I2016" s="109" t="s">
        <v>1012</v>
      </c>
      <c r="J2016" s="115">
        <v>45703</v>
      </c>
      <c r="K2016" s="115">
        <v>45731</v>
      </c>
      <c r="L2016" s="116">
        <v>395000</v>
      </c>
      <c r="M2016" s="117" t="s">
        <v>1050</v>
      </c>
      <c r="N2016" s="34" t="s">
        <v>29</v>
      </c>
      <c r="O2016" s="10"/>
      <c r="P2016" s="113">
        <v>46229</v>
      </c>
      <c r="Q2016" s="113">
        <v>46229</v>
      </c>
      <c r="R2016" s="113">
        <v>46229</v>
      </c>
      <c r="S2016" s="37">
        <f t="shared" si="412"/>
        <v>395000</v>
      </c>
      <c r="T2016" s="37">
        <f t="shared" si="413"/>
        <v>0</v>
      </c>
      <c r="U2016" s="10"/>
      <c r="V2016" s="10"/>
      <c r="W2016" s="10"/>
      <c r="X2016" s="10"/>
      <c r="Y2016" s="10"/>
      <c r="Z2016" s="10"/>
      <c r="AA2016" s="10"/>
      <c r="AB2016" s="10"/>
      <c r="AC2016" s="10"/>
      <c r="AD2016" s="10"/>
      <c r="AE2016" s="10"/>
    </row>
    <row r="2017" spans="1:31" hidden="1">
      <c r="A2017" s="277" t="s">
        <v>6147</v>
      </c>
      <c r="B2017" s="9" t="s">
        <v>21</v>
      </c>
      <c r="C2017" s="9">
        <v>2025</v>
      </c>
      <c r="D2017" s="9" t="s">
        <v>27</v>
      </c>
      <c r="E2017" s="90" t="s">
        <v>1011</v>
      </c>
      <c r="F2017" s="9" t="s">
        <v>1013</v>
      </c>
      <c r="G2017" s="10"/>
      <c r="H2017" s="9"/>
      <c r="I2017" s="109" t="s">
        <v>1012</v>
      </c>
      <c r="J2017" s="115">
        <v>45708</v>
      </c>
      <c r="K2017" s="115">
        <v>45731</v>
      </c>
      <c r="L2017" s="116">
        <v>5384200</v>
      </c>
      <c r="M2017" s="117" t="s">
        <v>1051</v>
      </c>
      <c r="N2017" s="34" t="s">
        <v>29</v>
      </c>
      <c r="O2017" s="10"/>
      <c r="P2017" s="113">
        <v>46229</v>
      </c>
      <c r="Q2017" s="113">
        <v>46229</v>
      </c>
      <c r="R2017" s="113">
        <v>46229</v>
      </c>
      <c r="S2017" s="37">
        <f t="shared" si="412"/>
        <v>5384200</v>
      </c>
      <c r="T2017" s="37">
        <f t="shared" si="413"/>
        <v>0</v>
      </c>
      <c r="U2017" s="10"/>
      <c r="V2017" s="10"/>
      <c r="W2017" s="10"/>
      <c r="X2017" s="10"/>
      <c r="Y2017" s="10"/>
      <c r="Z2017" s="10"/>
      <c r="AA2017" s="10"/>
      <c r="AB2017" s="10"/>
      <c r="AC2017" s="10"/>
      <c r="AD2017" s="10"/>
      <c r="AE2017" s="10"/>
    </row>
    <row r="2018" spans="1:31" hidden="1">
      <c r="A2018" s="277" t="s">
        <v>6148</v>
      </c>
      <c r="B2018" s="9" t="s">
        <v>21</v>
      </c>
      <c r="C2018" s="9">
        <v>2025</v>
      </c>
      <c r="D2018" s="9" t="s">
        <v>27</v>
      </c>
      <c r="E2018" s="90" t="s">
        <v>1011</v>
      </c>
      <c r="F2018" s="9" t="s">
        <v>1013</v>
      </c>
      <c r="G2018" s="10"/>
      <c r="H2018" s="9"/>
      <c r="I2018" s="109" t="s">
        <v>1012</v>
      </c>
      <c r="J2018" s="115">
        <v>45708</v>
      </c>
      <c r="K2018" s="115">
        <v>45731</v>
      </c>
      <c r="L2018" s="116">
        <v>1526000</v>
      </c>
      <c r="M2018" s="117" t="s">
        <v>1052</v>
      </c>
      <c r="N2018" s="34" t="s">
        <v>29</v>
      </c>
      <c r="O2018" s="10"/>
      <c r="P2018" s="113">
        <v>46229</v>
      </c>
      <c r="Q2018" s="113">
        <v>46229</v>
      </c>
      <c r="R2018" s="113">
        <v>46229</v>
      </c>
      <c r="S2018" s="37">
        <f t="shared" si="412"/>
        <v>1526000</v>
      </c>
      <c r="T2018" s="37">
        <f t="shared" si="413"/>
        <v>0</v>
      </c>
      <c r="U2018" s="10"/>
      <c r="V2018" s="10"/>
      <c r="W2018" s="10"/>
      <c r="X2018" s="10"/>
      <c r="Y2018" s="10"/>
      <c r="Z2018" s="10"/>
      <c r="AA2018" s="10"/>
      <c r="AB2018" s="10"/>
      <c r="AC2018" s="10"/>
      <c r="AD2018" s="10"/>
      <c r="AE2018" s="10"/>
    </row>
    <row r="2019" spans="1:31" hidden="1">
      <c r="A2019" s="277" t="s">
        <v>6149</v>
      </c>
      <c r="B2019" s="9" t="s">
        <v>21</v>
      </c>
      <c r="C2019" s="9">
        <v>2025</v>
      </c>
      <c r="D2019" s="9" t="s">
        <v>27</v>
      </c>
      <c r="E2019" s="90" t="s">
        <v>1011</v>
      </c>
      <c r="F2019" s="9" t="s">
        <v>1013</v>
      </c>
      <c r="G2019" s="10"/>
      <c r="H2019" s="9"/>
      <c r="I2019" s="109" t="s">
        <v>1012</v>
      </c>
      <c r="J2019" s="115">
        <v>45673</v>
      </c>
      <c r="K2019" s="115">
        <v>45755</v>
      </c>
      <c r="L2019" s="116">
        <v>4825000</v>
      </c>
      <c r="M2019" s="117" t="s">
        <v>1053</v>
      </c>
      <c r="N2019" s="34" t="s">
        <v>29</v>
      </c>
      <c r="O2019" s="10"/>
      <c r="P2019" s="113">
        <v>46229</v>
      </c>
      <c r="Q2019" s="113">
        <v>46229</v>
      </c>
      <c r="R2019" s="113">
        <v>46229</v>
      </c>
      <c r="S2019" s="37">
        <f t="shared" ref="S2019:S2031" si="416">IF(R2019="",0,L2019)</f>
        <v>4825000</v>
      </c>
      <c r="T2019" s="37">
        <f t="shared" ref="T2019:T2031" si="417">L2019-S2019</f>
        <v>0</v>
      </c>
      <c r="U2019" s="10"/>
      <c r="V2019" s="10"/>
      <c r="W2019" s="10"/>
      <c r="X2019" s="10"/>
      <c r="Y2019" s="10"/>
      <c r="Z2019" s="10"/>
      <c r="AA2019" s="10"/>
      <c r="AB2019" s="10"/>
      <c r="AC2019" s="10"/>
      <c r="AD2019" s="10"/>
      <c r="AE2019" s="10"/>
    </row>
    <row r="2020" spans="1:31" hidden="1">
      <c r="A2020" s="277" t="s">
        <v>6150</v>
      </c>
      <c r="B2020" s="9" t="s">
        <v>21</v>
      </c>
      <c r="C2020" s="9">
        <v>2025</v>
      </c>
      <c r="D2020" s="9" t="s">
        <v>27</v>
      </c>
      <c r="E2020" s="90" t="s">
        <v>1011</v>
      </c>
      <c r="F2020" s="9" t="s">
        <v>1013</v>
      </c>
      <c r="G2020" s="10"/>
      <c r="H2020" s="9"/>
      <c r="I2020" s="109" t="s">
        <v>1012</v>
      </c>
      <c r="J2020" s="115">
        <v>45716</v>
      </c>
      <c r="K2020" s="115">
        <v>45755</v>
      </c>
      <c r="L2020" s="116">
        <v>5956528</v>
      </c>
      <c r="M2020" s="117" t="s">
        <v>1054</v>
      </c>
      <c r="N2020" s="34" t="s">
        <v>29</v>
      </c>
      <c r="O2020" s="10"/>
      <c r="P2020" s="113">
        <v>46229</v>
      </c>
      <c r="Q2020" s="113">
        <v>46229</v>
      </c>
      <c r="R2020" s="113">
        <v>46229</v>
      </c>
      <c r="S2020" s="37">
        <f t="shared" si="416"/>
        <v>5956528</v>
      </c>
      <c r="T2020" s="37">
        <f t="shared" si="417"/>
        <v>0</v>
      </c>
      <c r="U2020" s="10"/>
      <c r="V2020" s="10"/>
      <c r="W2020" s="10"/>
      <c r="X2020" s="10"/>
      <c r="Y2020" s="10"/>
      <c r="Z2020" s="10"/>
      <c r="AA2020" s="10"/>
      <c r="AB2020" s="10"/>
      <c r="AC2020" s="10"/>
      <c r="AD2020" s="10"/>
      <c r="AE2020" s="10"/>
    </row>
    <row r="2021" spans="1:31" ht="14.25" customHeight="1">
      <c r="A2021" s="277" t="s">
        <v>6151</v>
      </c>
      <c r="B2021" s="9" t="s">
        <v>21</v>
      </c>
      <c r="C2021" s="9">
        <v>2025</v>
      </c>
      <c r="D2021" s="9" t="s">
        <v>27</v>
      </c>
      <c r="E2021" s="90" t="s">
        <v>1011</v>
      </c>
      <c r="F2021" s="9" t="s">
        <v>1013</v>
      </c>
      <c r="G2021" s="10"/>
      <c r="H2021" s="9"/>
      <c r="I2021" s="109" t="s">
        <v>1012</v>
      </c>
      <c r="J2021" s="115">
        <v>45728</v>
      </c>
      <c r="K2021" s="115">
        <v>45755</v>
      </c>
      <c r="L2021" s="116">
        <v>7413400</v>
      </c>
      <c r="M2021" s="117" t="s">
        <v>1055</v>
      </c>
      <c r="N2021" s="34" t="s">
        <v>29</v>
      </c>
      <c r="O2021" s="10"/>
      <c r="P2021" s="113">
        <v>46229</v>
      </c>
      <c r="Q2021" s="113">
        <v>46229</v>
      </c>
      <c r="R2021" s="113">
        <v>46229</v>
      </c>
      <c r="S2021" s="37">
        <f t="shared" si="416"/>
        <v>7413400</v>
      </c>
      <c r="T2021" s="37">
        <f t="shared" si="417"/>
        <v>0</v>
      </c>
      <c r="U2021" s="10"/>
      <c r="V2021" s="10"/>
      <c r="W2021" s="10"/>
      <c r="X2021" s="10"/>
      <c r="Y2021" s="10"/>
      <c r="Z2021" s="10"/>
      <c r="AA2021" s="10"/>
      <c r="AB2021" s="10"/>
      <c r="AC2021" s="10"/>
      <c r="AD2021" s="10"/>
      <c r="AE2021" s="10"/>
    </row>
    <row r="2022" spans="1:31" ht="14.25" customHeight="1">
      <c r="A2022" s="277" t="s">
        <v>6152</v>
      </c>
      <c r="B2022" s="9" t="s">
        <v>21</v>
      </c>
      <c r="C2022" s="9">
        <v>2025</v>
      </c>
      <c r="D2022" s="9" t="s">
        <v>77</v>
      </c>
      <c r="E2022" s="90" t="s">
        <v>1011</v>
      </c>
      <c r="F2022" s="9" t="s">
        <v>1013</v>
      </c>
      <c r="G2022" s="10"/>
      <c r="H2022" s="9"/>
      <c r="I2022" s="11" t="s">
        <v>1012</v>
      </c>
      <c r="J2022" s="12">
        <v>45730</v>
      </c>
      <c r="K2022" s="12">
        <v>45755</v>
      </c>
      <c r="L2022" s="27">
        <v>1136400</v>
      </c>
      <c r="M2022" s="10" t="s">
        <v>1056</v>
      </c>
      <c r="N2022" s="34">
        <f t="shared" ref="N2022:N2031" ca="1" si="418">$J$3-J2022</f>
        <v>510.46377638888953</v>
      </c>
      <c r="O2022" s="10"/>
      <c r="P2022" s="39"/>
      <c r="Q2022" s="39"/>
      <c r="R2022" s="39"/>
      <c r="S2022" s="37">
        <f t="shared" si="416"/>
        <v>0</v>
      </c>
      <c r="T2022" s="37">
        <f t="shared" si="417"/>
        <v>1136400</v>
      </c>
      <c r="U2022" s="10"/>
      <c r="V2022" s="10"/>
      <c r="W2022" s="10"/>
      <c r="X2022" s="10"/>
      <c r="Y2022" s="10"/>
      <c r="Z2022" s="10"/>
      <c r="AA2022" s="10"/>
      <c r="AB2022" s="10"/>
      <c r="AC2022" s="10"/>
      <c r="AD2022" s="10"/>
      <c r="AE2022" s="10"/>
    </row>
    <row r="2023" spans="1:31" ht="14.25" customHeight="1">
      <c r="A2023" s="277" t="s">
        <v>6153</v>
      </c>
      <c r="B2023" s="9" t="s">
        <v>21</v>
      </c>
      <c r="C2023" s="9">
        <v>2025</v>
      </c>
      <c r="D2023" s="9" t="s">
        <v>77</v>
      </c>
      <c r="E2023" s="90" t="s">
        <v>1011</v>
      </c>
      <c r="F2023" s="9" t="s">
        <v>1013</v>
      </c>
      <c r="G2023" s="10"/>
      <c r="H2023" s="9"/>
      <c r="I2023" s="11" t="s">
        <v>1012</v>
      </c>
      <c r="J2023" s="12">
        <v>45738</v>
      </c>
      <c r="K2023" s="12">
        <v>45759</v>
      </c>
      <c r="L2023" s="27">
        <v>1110000</v>
      </c>
      <c r="M2023" s="10" t="s">
        <v>1057</v>
      </c>
      <c r="N2023" s="34">
        <f t="shared" ca="1" si="418"/>
        <v>502.46377638888953</v>
      </c>
      <c r="O2023" s="10"/>
      <c r="P2023" s="39"/>
      <c r="Q2023" s="39"/>
      <c r="R2023" s="39"/>
      <c r="S2023" s="37">
        <f t="shared" si="416"/>
        <v>0</v>
      </c>
      <c r="T2023" s="37">
        <f t="shared" si="417"/>
        <v>1110000</v>
      </c>
      <c r="U2023" s="10"/>
      <c r="V2023" s="10"/>
      <c r="W2023" s="10"/>
      <c r="X2023" s="10"/>
      <c r="Y2023" s="10"/>
      <c r="Z2023" s="10"/>
      <c r="AA2023" s="10"/>
      <c r="AB2023" s="10"/>
      <c r="AC2023" s="10"/>
      <c r="AD2023" s="10"/>
      <c r="AE2023" s="10"/>
    </row>
    <row r="2024" spans="1:31" ht="14.25" customHeight="1">
      <c r="A2024" s="277" t="s">
        <v>6154</v>
      </c>
      <c r="B2024" s="9" t="s">
        <v>21</v>
      </c>
      <c r="C2024" s="9">
        <v>2025</v>
      </c>
      <c r="D2024" s="9" t="s">
        <v>77</v>
      </c>
      <c r="E2024" s="90" t="s">
        <v>1011</v>
      </c>
      <c r="F2024" s="9" t="s">
        <v>1013</v>
      </c>
      <c r="G2024" s="10"/>
      <c r="H2024" s="9"/>
      <c r="I2024" s="11" t="s">
        <v>1012</v>
      </c>
      <c r="J2024" s="12">
        <v>45738</v>
      </c>
      <c r="K2024" s="12">
        <v>45759</v>
      </c>
      <c r="L2024" s="27">
        <v>2220000</v>
      </c>
      <c r="M2024" s="10" t="s">
        <v>1058</v>
      </c>
      <c r="N2024" s="34">
        <f t="shared" ca="1" si="418"/>
        <v>502.46377638888953</v>
      </c>
      <c r="O2024" s="10"/>
      <c r="P2024" s="39"/>
      <c r="Q2024" s="39"/>
      <c r="R2024" s="39"/>
      <c r="S2024" s="37">
        <f t="shared" si="416"/>
        <v>0</v>
      </c>
      <c r="T2024" s="37">
        <f t="shared" si="417"/>
        <v>2220000</v>
      </c>
      <c r="U2024" s="10"/>
      <c r="V2024" s="10"/>
      <c r="W2024" s="10"/>
      <c r="X2024" s="10"/>
      <c r="Y2024" s="10"/>
      <c r="Z2024" s="10"/>
      <c r="AA2024" s="10"/>
      <c r="AB2024" s="10"/>
      <c r="AC2024" s="10"/>
      <c r="AD2024" s="10"/>
      <c r="AE2024" s="10"/>
    </row>
    <row r="2025" spans="1:31" ht="14.25" customHeight="1">
      <c r="A2025" s="277" t="s">
        <v>6155</v>
      </c>
      <c r="B2025" s="9" t="s">
        <v>21</v>
      </c>
      <c r="C2025" s="9">
        <v>2025</v>
      </c>
      <c r="D2025" s="9" t="s">
        <v>77</v>
      </c>
      <c r="E2025" s="90" t="s">
        <v>1011</v>
      </c>
      <c r="F2025" s="9" t="s">
        <v>1013</v>
      </c>
      <c r="G2025" s="10"/>
      <c r="H2025" s="9"/>
      <c r="I2025" s="11" t="s">
        <v>1012</v>
      </c>
      <c r="J2025" s="12">
        <v>45685</v>
      </c>
      <c r="K2025" s="12">
        <v>45761</v>
      </c>
      <c r="L2025" s="27">
        <v>3431400</v>
      </c>
      <c r="M2025" s="10" t="s">
        <v>1059</v>
      </c>
      <c r="N2025" s="34">
        <f t="shared" ca="1" si="418"/>
        <v>555.46377638888953</v>
      </c>
      <c r="O2025" s="10"/>
      <c r="P2025" s="39"/>
      <c r="Q2025" s="39"/>
      <c r="R2025" s="39"/>
      <c r="S2025" s="37">
        <f t="shared" si="416"/>
        <v>0</v>
      </c>
      <c r="T2025" s="37">
        <f t="shared" si="417"/>
        <v>3431400</v>
      </c>
      <c r="U2025" s="10"/>
      <c r="V2025" s="10"/>
      <c r="W2025" s="10"/>
      <c r="X2025" s="10"/>
      <c r="Y2025" s="10"/>
      <c r="Z2025" s="10"/>
      <c r="AA2025" s="10"/>
      <c r="AB2025" s="10"/>
      <c r="AC2025" s="10"/>
      <c r="AD2025" s="10"/>
      <c r="AE2025" s="10"/>
    </row>
    <row r="2026" spans="1:31" ht="14.25" customHeight="1">
      <c r="A2026" s="277" t="s">
        <v>6156</v>
      </c>
      <c r="B2026" s="9" t="s">
        <v>21</v>
      </c>
      <c r="C2026" s="9">
        <v>2025</v>
      </c>
      <c r="D2026" s="9" t="s">
        <v>77</v>
      </c>
      <c r="E2026" s="90" t="s">
        <v>1011</v>
      </c>
      <c r="F2026" s="9" t="s">
        <v>1013</v>
      </c>
      <c r="G2026" s="10"/>
      <c r="H2026" s="9"/>
      <c r="I2026" s="11" t="s">
        <v>1012</v>
      </c>
      <c r="J2026" s="12">
        <v>45710</v>
      </c>
      <c r="K2026" s="12">
        <v>45761</v>
      </c>
      <c r="L2026" s="27">
        <v>2175000</v>
      </c>
      <c r="M2026" s="10" t="s">
        <v>1060</v>
      </c>
      <c r="N2026" s="34">
        <f t="shared" ca="1" si="418"/>
        <v>530.46377638888953</v>
      </c>
      <c r="O2026" s="10"/>
      <c r="P2026" s="39"/>
      <c r="Q2026" s="39"/>
      <c r="R2026" s="39"/>
      <c r="S2026" s="37">
        <f t="shared" si="416"/>
        <v>0</v>
      </c>
      <c r="T2026" s="37">
        <f t="shared" si="417"/>
        <v>2175000</v>
      </c>
      <c r="U2026" s="10"/>
      <c r="V2026" s="10"/>
      <c r="W2026" s="10"/>
      <c r="X2026" s="10"/>
      <c r="Y2026" s="10"/>
      <c r="Z2026" s="10"/>
      <c r="AA2026" s="10"/>
      <c r="AB2026" s="10"/>
      <c r="AC2026" s="10"/>
      <c r="AD2026" s="10"/>
      <c r="AE2026" s="10"/>
    </row>
    <row r="2027" spans="1:31" ht="14.25" customHeight="1">
      <c r="A2027" s="277" t="s">
        <v>6157</v>
      </c>
      <c r="B2027" s="9" t="s">
        <v>21</v>
      </c>
      <c r="C2027" s="9">
        <v>2025</v>
      </c>
      <c r="D2027" s="9" t="s">
        <v>77</v>
      </c>
      <c r="E2027" s="90" t="s">
        <v>1011</v>
      </c>
      <c r="F2027" s="9" t="s">
        <v>1013</v>
      </c>
      <c r="G2027" s="10"/>
      <c r="H2027" s="9"/>
      <c r="I2027" s="11" t="s">
        <v>1012</v>
      </c>
      <c r="J2027" s="12">
        <v>45714</v>
      </c>
      <c r="K2027" s="12">
        <v>45761</v>
      </c>
      <c r="L2027" s="27">
        <v>2701400</v>
      </c>
      <c r="M2027" s="10" t="s">
        <v>1061</v>
      </c>
      <c r="N2027" s="34">
        <f t="shared" ca="1" si="418"/>
        <v>526.46377638888953</v>
      </c>
      <c r="O2027" s="10"/>
      <c r="P2027" s="39"/>
      <c r="Q2027" s="39"/>
      <c r="R2027" s="39"/>
      <c r="S2027" s="37">
        <f t="shared" si="416"/>
        <v>0</v>
      </c>
      <c r="T2027" s="37">
        <f t="shared" si="417"/>
        <v>2701400</v>
      </c>
      <c r="U2027" s="10"/>
      <c r="V2027" s="10"/>
      <c r="W2027" s="10"/>
      <c r="X2027" s="10"/>
      <c r="Y2027" s="10"/>
      <c r="Z2027" s="10"/>
      <c r="AA2027" s="10"/>
      <c r="AB2027" s="10"/>
      <c r="AC2027" s="10"/>
      <c r="AD2027" s="10"/>
      <c r="AE2027" s="10"/>
    </row>
    <row r="2028" spans="1:31" ht="14.25" customHeight="1">
      <c r="A2028" s="277" t="s">
        <v>6158</v>
      </c>
      <c r="B2028" s="9" t="s">
        <v>21</v>
      </c>
      <c r="C2028" s="9">
        <v>2025</v>
      </c>
      <c r="D2028" s="9" t="s">
        <v>77</v>
      </c>
      <c r="E2028" s="90" t="s">
        <v>1011</v>
      </c>
      <c r="F2028" s="9" t="s">
        <v>1013</v>
      </c>
      <c r="G2028" s="10"/>
      <c r="H2028" s="9"/>
      <c r="I2028" s="11" t="s">
        <v>1012</v>
      </c>
      <c r="J2028" s="12">
        <v>45719</v>
      </c>
      <c r="K2028" s="12">
        <v>45761</v>
      </c>
      <c r="L2028" s="27">
        <v>5910400</v>
      </c>
      <c r="M2028" s="10" t="s">
        <v>1062</v>
      </c>
      <c r="N2028" s="34">
        <f t="shared" ca="1" si="418"/>
        <v>521.46377638888953</v>
      </c>
      <c r="O2028" s="10"/>
      <c r="P2028" s="39"/>
      <c r="Q2028" s="39"/>
      <c r="R2028" s="39"/>
      <c r="S2028" s="37">
        <f t="shared" si="416"/>
        <v>0</v>
      </c>
      <c r="T2028" s="37">
        <f t="shared" si="417"/>
        <v>5910400</v>
      </c>
      <c r="U2028" s="10"/>
      <c r="V2028" s="10"/>
      <c r="W2028" s="10"/>
      <c r="X2028" s="10"/>
      <c r="Y2028" s="10"/>
      <c r="Z2028" s="10"/>
      <c r="AA2028" s="10"/>
      <c r="AB2028" s="10"/>
      <c r="AC2028" s="10"/>
      <c r="AD2028" s="10"/>
      <c r="AE2028" s="10"/>
    </row>
    <row r="2029" spans="1:31" ht="14.25" customHeight="1">
      <c r="A2029" s="277" t="s">
        <v>6159</v>
      </c>
      <c r="B2029" s="9" t="s">
        <v>21</v>
      </c>
      <c r="C2029" s="9">
        <v>2025</v>
      </c>
      <c r="D2029" s="9" t="s">
        <v>77</v>
      </c>
      <c r="E2029" s="90" t="s">
        <v>1011</v>
      </c>
      <c r="F2029" s="9" t="s">
        <v>1013</v>
      </c>
      <c r="G2029" s="10"/>
      <c r="H2029" s="9"/>
      <c r="I2029" s="11" t="s">
        <v>1012</v>
      </c>
      <c r="J2029" s="12">
        <v>45721</v>
      </c>
      <c r="K2029" s="12">
        <v>45761</v>
      </c>
      <c r="L2029" s="27">
        <v>5593000</v>
      </c>
      <c r="M2029" s="10" t="s">
        <v>1063</v>
      </c>
      <c r="N2029" s="34">
        <f t="shared" ca="1" si="418"/>
        <v>519.46377638888953</v>
      </c>
      <c r="O2029" s="10"/>
      <c r="P2029" s="39"/>
      <c r="Q2029" s="39"/>
      <c r="R2029" s="39"/>
      <c r="S2029" s="37">
        <f t="shared" si="416"/>
        <v>0</v>
      </c>
      <c r="T2029" s="37">
        <f t="shared" si="417"/>
        <v>5593000</v>
      </c>
      <c r="U2029" s="10"/>
      <c r="V2029" s="10"/>
      <c r="W2029" s="10"/>
      <c r="X2029" s="10"/>
      <c r="Y2029" s="10"/>
      <c r="Z2029" s="10"/>
      <c r="AA2029" s="10"/>
      <c r="AB2029" s="10"/>
      <c r="AC2029" s="10"/>
      <c r="AD2029" s="10"/>
      <c r="AE2029" s="10"/>
    </row>
    <row r="2030" spans="1:31" ht="14.25" customHeight="1">
      <c r="A2030" s="277" t="s">
        <v>6160</v>
      </c>
      <c r="B2030" s="9" t="s">
        <v>21</v>
      </c>
      <c r="C2030" s="9">
        <v>2025</v>
      </c>
      <c r="D2030" s="9" t="s">
        <v>77</v>
      </c>
      <c r="E2030" s="90" t="s">
        <v>1011</v>
      </c>
      <c r="F2030" s="9" t="s">
        <v>1013</v>
      </c>
      <c r="G2030" s="10"/>
      <c r="H2030" s="9"/>
      <c r="I2030" s="11" t="s">
        <v>1012</v>
      </c>
      <c r="J2030" s="12">
        <v>45723</v>
      </c>
      <c r="K2030" s="12">
        <v>45761</v>
      </c>
      <c r="L2030" s="27">
        <v>2611200</v>
      </c>
      <c r="M2030" s="10" t="s">
        <v>1064</v>
      </c>
      <c r="N2030" s="34">
        <f t="shared" ca="1" si="418"/>
        <v>517.46377638888953</v>
      </c>
      <c r="O2030" s="10"/>
      <c r="P2030" s="39"/>
      <c r="Q2030" s="39"/>
      <c r="R2030" s="39"/>
      <c r="S2030" s="37">
        <f t="shared" si="416"/>
        <v>0</v>
      </c>
      <c r="T2030" s="37">
        <f t="shared" si="417"/>
        <v>2611200</v>
      </c>
      <c r="U2030" s="10"/>
      <c r="V2030" s="10"/>
      <c r="W2030" s="10"/>
      <c r="X2030" s="10"/>
      <c r="Y2030" s="10"/>
      <c r="Z2030" s="10"/>
      <c r="AA2030" s="10"/>
      <c r="AB2030" s="10"/>
      <c r="AC2030" s="10"/>
      <c r="AD2030" s="10"/>
      <c r="AE2030" s="10"/>
    </row>
    <row r="2031" spans="1:31" ht="14.25" customHeight="1">
      <c r="A2031" s="277" t="s">
        <v>6161</v>
      </c>
      <c r="B2031" s="9" t="s">
        <v>21</v>
      </c>
      <c r="C2031" s="9">
        <v>2025</v>
      </c>
      <c r="D2031" s="9" t="s">
        <v>77</v>
      </c>
      <c r="E2031" s="90" t="s">
        <v>1011</v>
      </c>
      <c r="F2031" s="9" t="s">
        <v>1013</v>
      </c>
      <c r="G2031" s="10"/>
      <c r="H2031" s="9"/>
      <c r="I2031" s="11" t="s">
        <v>1012</v>
      </c>
      <c r="J2031" s="12">
        <v>45735</v>
      </c>
      <c r="K2031" s="12">
        <v>45761</v>
      </c>
      <c r="L2031" s="27">
        <v>7065400</v>
      </c>
      <c r="M2031" s="10" t="s">
        <v>1065</v>
      </c>
      <c r="N2031" s="34">
        <f t="shared" ca="1" si="418"/>
        <v>505.46377638888953</v>
      </c>
      <c r="O2031" s="10"/>
      <c r="P2031" s="39"/>
      <c r="Q2031" s="39"/>
      <c r="R2031" s="39"/>
      <c r="S2031" s="37">
        <f t="shared" si="416"/>
        <v>0</v>
      </c>
      <c r="T2031" s="37">
        <f t="shared" si="417"/>
        <v>7065400</v>
      </c>
      <c r="U2031" s="10"/>
      <c r="V2031" s="10"/>
      <c r="W2031" s="10"/>
      <c r="X2031" s="10"/>
      <c r="Y2031" s="10"/>
      <c r="Z2031" s="10"/>
      <c r="AA2031" s="10"/>
      <c r="AB2031" s="10"/>
      <c r="AC2031" s="10"/>
      <c r="AD2031" s="10"/>
      <c r="AE2031" s="10"/>
    </row>
    <row r="2032" spans="1:31" ht="14.25" customHeight="1">
      <c r="A2032" s="277" t="s">
        <v>6162</v>
      </c>
      <c r="B2032" s="9" t="s">
        <v>21</v>
      </c>
      <c r="C2032" s="9">
        <v>2025</v>
      </c>
      <c r="D2032" s="9" t="s">
        <v>77</v>
      </c>
      <c r="E2032" s="90" t="s">
        <v>1011</v>
      </c>
      <c r="F2032" s="9" t="s">
        <v>1013</v>
      </c>
      <c r="G2032" s="10"/>
      <c r="H2032" s="9"/>
      <c r="I2032" s="11" t="s">
        <v>1012</v>
      </c>
      <c r="J2032" s="12">
        <v>45757</v>
      </c>
      <c r="K2032" s="12">
        <v>45776</v>
      </c>
      <c r="L2032" s="27">
        <v>2220000</v>
      </c>
      <c r="M2032" s="10" t="s">
        <v>1066</v>
      </c>
      <c r="N2032" s="34">
        <f ca="1">$J$3-J2032</f>
        <v>483.46377638888953</v>
      </c>
      <c r="O2032" s="10"/>
      <c r="P2032" s="39"/>
      <c r="Q2032" s="39"/>
      <c r="R2032" s="39"/>
      <c r="S2032" s="37">
        <f t="shared" ref="S2032:S2041" si="419">IF(R2032="",0,L2032)</f>
        <v>0</v>
      </c>
      <c r="T2032" s="37">
        <f t="shared" ref="T2032:T2041" si="420">L2032-S2032</f>
        <v>2220000</v>
      </c>
      <c r="U2032" s="10"/>
      <c r="V2032" s="10"/>
      <c r="W2032" s="10"/>
      <c r="X2032" s="10"/>
      <c r="Y2032" s="10"/>
      <c r="Z2032" s="10"/>
      <c r="AA2032" s="10"/>
      <c r="AB2032" s="10"/>
      <c r="AC2032" s="10"/>
      <c r="AD2032" s="10"/>
      <c r="AE2032" s="10"/>
    </row>
    <row r="2033" spans="1:31" ht="14.25" customHeight="1">
      <c r="A2033" s="277" t="s">
        <v>6163</v>
      </c>
      <c r="B2033" s="9" t="s">
        <v>21</v>
      </c>
      <c r="C2033" s="9">
        <v>2025</v>
      </c>
      <c r="D2033" s="9" t="s">
        <v>77</v>
      </c>
      <c r="E2033" s="90" t="s">
        <v>1011</v>
      </c>
      <c r="F2033" s="9" t="s">
        <v>1013</v>
      </c>
      <c r="G2033" s="10"/>
      <c r="H2033" s="9"/>
      <c r="I2033" s="11" t="s">
        <v>1012</v>
      </c>
      <c r="J2033" s="12">
        <v>45758</v>
      </c>
      <c r="K2033" s="12">
        <v>45776</v>
      </c>
      <c r="L2033" s="27">
        <v>2220000</v>
      </c>
      <c r="M2033" s="10" t="s">
        <v>1067</v>
      </c>
      <c r="N2033" s="34">
        <f ca="1">$J$3-J2033</f>
        <v>482.46377638888953</v>
      </c>
      <c r="O2033" s="10"/>
      <c r="P2033" s="39"/>
      <c r="Q2033" s="39"/>
      <c r="R2033" s="39"/>
      <c r="S2033" s="37">
        <f t="shared" si="419"/>
        <v>0</v>
      </c>
      <c r="T2033" s="37">
        <f t="shared" si="420"/>
        <v>2220000</v>
      </c>
      <c r="U2033" s="10"/>
      <c r="V2033" s="10"/>
      <c r="W2033" s="10"/>
      <c r="X2033" s="10"/>
      <c r="Y2033" s="10"/>
      <c r="Z2033" s="10"/>
      <c r="AA2033" s="10"/>
      <c r="AB2033" s="10"/>
      <c r="AC2033" s="10"/>
      <c r="AD2033" s="10"/>
      <c r="AE2033" s="10"/>
    </row>
    <row r="2034" spans="1:31" ht="14.25" customHeight="1">
      <c r="A2034" s="277" t="s">
        <v>6164</v>
      </c>
      <c r="B2034" s="9" t="s">
        <v>21</v>
      </c>
      <c r="C2034" s="9">
        <v>2025</v>
      </c>
      <c r="D2034" s="9" t="s">
        <v>77</v>
      </c>
      <c r="E2034" s="90" t="s">
        <v>1011</v>
      </c>
      <c r="F2034" s="9" t="s">
        <v>1013</v>
      </c>
      <c r="G2034" s="10"/>
      <c r="H2034" s="9"/>
      <c r="I2034" s="11" t="s">
        <v>1012</v>
      </c>
      <c r="J2034" s="12">
        <v>45763</v>
      </c>
      <c r="K2034" s="12">
        <v>45776</v>
      </c>
      <c r="L2034" s="27">
        <v>1380000</v>
      </c>
      <c r="M2034" s="10" t="s">
        <v>1068</v>
      </c>
      <c r="N2034" s="34">
        <f ca="1">$J$3-J2034</f>
        <v>477.46377638888953</v>
      </c>
      <c r="O2034" s="10"/>
      <c r="P2034" s="39"/>
      <c r="Q2034" s="39"/>
      <c r="R2034" s="39"/>
      <c r="S2034" s="37">
        <f t="shared" si="419"/>
        <v>0</v>
      </c>
      <c r="T2034" s="37">
        <f t="shared" si="420"/>
        <v>1380000</v>
      </c>
      <c r="U2034" s="10"/>
      <c r="V2034" s="10"/>
      <c r="W2034" s="10"/>
      <c r="X2034" s="10"/>
      <c r="Y2034" s="10"/>
      <c r="Z2034" s="10"/>
      <c r="AA2034" s="10"/>
      <c r="AB2034" s="10"/>
      <c r="AC2034" s="10"/>
      <c r="AD2034" s="10"/>
      <c r="AE2034" s="10"/>
    </row>
    <row r="2035" spans="1:31" ht="14.25" customHeight="1">
      <c r="A2035" s="277" t="s">
        <v>6165</v>
      </c>
      <c r="B2035" s="9" t="s">
        <v>21</v>
      </c>
      <c r="C2035" s="9">
        <v>2025</v>
      </c>
      <c r="D2035" s="9" t="s">
        <v>77</v>
      </c>
      <c r="E2035" s="90" t="s">
        <v>1011</v>
      </c>
      <c r="F2035" s="9" t="s">
        <v>1013</v>
      </c>
      <c r="G2035" s="10"/>
      <c r="H2035" s="9"/>
      <c r="I2035" s="11" t="s">
        <v>1012</v>
      </c>
      <c r="J2035" s="12">
        <v>45764</v>
      </c>
      <c r="K2035" s="12">
        <v>45776</v>
      </c>
      <c r="L2035" s="27">
        <v>1110000</v>
      </c>
      <c r="M2035" s="10" t="s">
        <v>1069</v>
      </c>
      <c r="N2035" s="34">
        <f t="shared" ref="N2035:N2041" ca="1" si="421">$J$3-J2035</f>
        <v>476.46377638888953</v>
      </c>
      <c r="O2035" s="10"/>
      <c r="P2035" s="39"/>
      <c r="Q2035" s="39"/>
      <c r="R2035" s="39"/>
      <c r="S2035" s="37">
        <f t="shared" si="419"/>
        <v>0</v>
      </c>
      <c r="T2035" s="37">
        <f t="shared" si="420"/>
        <v>1110000</v>
      </c>
      <c r="U2035" s="10"/>
      <c r="V2035" s="10"/>
      <c r="W2035" s="10"/>
      <c r="X2035" s="10"/>
      <c r="Y2035" s="10"/>
      <c r="Z2035" s="10"/>
      <c r="AA2035" s="10"/>
      <c r="AB2035" s="10"/>
      <c r="AC2035" s="10"/>
      <c r="AD2035" s="10"/>
      <c r="AE2035" s="10"/>
    </row>
    <row r="2036" spans="1:31" ht="14.25" customHeight="1">
      <c r="A2036" s="277" t="s">
        <v>6166</v>
      </c>
      <c r="B2036" s="9" t="s">
        <v>21</v>
      </c>
      <c r="C2036" s="9">
        <v>2025</v>
      </c>
      <c r="D2036" s="9" t="s">
        <v>77</v>
      </c>
      <c r="E2036" s="90" t="s">
        <v>1011</v>
      </c>
      <c r="F2036" s="9" t="s">
        <v>1013</v>
      </c>
      <c r="G2036" s="10"/>
      <c r="H2036" s="9"/>
      <c r="I2036" s="11" t="s">
        <v>1012</v>
      </c>
      <c r="J2036" s="12">
        <v>45769</v>
      </c>
      <c r="K2036" s="12">
        <v>46162</v>
      </c>
      <c r="L2036" s="27">
        <v>1110000</v>
      </c>
      <c r="M2036" s="10" t="s">
        <v>7022</v>
      </c>
      <c r="N2036" s="34">
        <f t="shared" ca="1" si="421"/>
        <v>471.46377638888953</v>
      </c>
      <c r="O2036" s="10"/>
      <c r="P2036" s="39"/>
      <c r="Q2036" s="39"/>
      <c r="R2036" s="39"/>
      <c r="S2036" s="37">
        <f t="shared" si="419"/>
        <v>0</v>
      </c>
      <c r="T2036" s="37">
        <f t="shared" si="420"/>
        <v>1110000</v>
      </c>
      <c r="U2036" s="10"/>
      <c r="V2036" s="10"/>
      <c r="W2036" s="10"/>
      <c r="X2036" s="10"/>
      <c r="Y2036" s="10"/>
      <c r="Z2036" s="10"/>
      <c r="AA2036" s="10"/>
      <c r="AB2036" s="10"/>
      <c r="AC2036" s="10"/>
      <c r="AD2036" s="10"/>
      <c r="AE2036" s="10"/>
    </row>
    <row r="2037" spans="1:31" ht="14.25" customHeight="1">
      <c r="A2037" s="277" t="s">
        <v>6167</v>
      </c>
      <c r="B2037" s="9" t="s">
        <v>21</v>
      </c>
      <c r="C2037" s="9">
        <v>2025</v>
      </c>
      <c r="D2037" s="9" t="s">
        <v>77</v>
      </c>
      <c r="E2037" s="90" t="s">
        <v>1011</v>
      </c>
      <c r="F2037" s="9" t="s">
        <v>1013</v>
      </c>
      <c r="G2037" s="10"/>
      <c r="H2037" s="9"/>
      <c r="I2037" s="11" t="s">
        <v>1012</v>
      </c>
      <c r="J2037" s="12">
        <v>45770</v>
      </c>
      <c r="K2037" s="12">
        <v>46162</v>
      </c>
      <c r="L2037" s="27">
        <v>270000</v>
      </c>
      <c r="M2037" s="10" t="s">
        <v>7023</v>
      </c>
      <c r="N2037" s="34">
        <f t="shared" ca="1" si="421"/>
        <v>470.46377638888953</v>
      </c>
      <c r="O2037" s="10"/>
      <c r="P2037" s="39"/>
      <c r="Q2037" s="39"/>
      <c r="R2037" s="39"/>
      <c r="S2037" s="37">
        <f t="shared" si="419"/>
        <v>0</v>
      </c>
      <c r="T2037" s="37">
        <f t="shared" si="420"/>
        <v>270000</v>
      </c>
      <c r="U2037" s="10"/>
      <c r="V2037" s="10"/>
      <c r="W2037" s="10"/>
      <c r="X2037" s="10"/>
      <c r="Y2037" s="10"/>
      <c r="Z2037" s="10"/>
      <c r="AA2037" s="10"/>
      <c r="AB2037" s="10"/>
      <c r="AC2037" s="10"/>
      <c r="AD2037" s="10"/>
      <c r="AE2037" s="10"/>
    </row>
    <row r="2038" spans="1:31" ht="14.25" customHeight="1">
      <c r="A2038" s="277" t="s">
        <v>6168</v>
      </c>
      <c r="B2038" s="9" t="s">
        <v>21</v>
      </c>
      <c r="C2038" s="9">
        <v>2025</v>
      </c>
      <c r="D2038" s="9" t="s">
        <v>77</v>
      </c>
      <c r="E2038" s="90" t="s">
        <v>1011</v>
      </c>
      <c r="F2038" s="9" t="s">
        <v>1013</v>
      </c>
      <c r="G2038" s="10"/>
      <c r="H2038" s="9"/>
      <c r="I2038" s="11" t="s">
        <v>1012</v>
      </c>
      <c r="J2038" s="12">
        <v>45775</v>
      </c>
      <c r="K2038" s="12">
        <v>46162</v>
      </c>
      <c r="L2038" s="27">
        <v>270000</v>
      </c>
      <c r="M2038" s="10" t="s">
        <v>7024</v>
      </c>
      <c r="N2038" s="34">
        <f t="shared" ca="1" si="421"/>
        <v>465.46377638888953</v>
      </c>
      <c r="O2038" s="10"/>
      <c r="P2038" s="39"/>
      <c r="Q2038" s="39"/>
      <c r="R2038" s="39"/>
      <c r="S2038" s="37">
        <f t="shared" si="419"/>
        <v>0</v>
      </c>
      <c r="T2038" s="37">
        <f t="shared" si="420"/>
        <v>270000</v>
      </c>
      <c r="U2038" s="10"/>
      <c r="V2038" s="10"/>
      <c r="W2038" s="10"/>
      <c r="X2038" s="10"/>
      <c r="Y2038" s="10"/>
      <c r="Z2038" s="10"/>
      <c r="AA2038" s="10"/>
      <c r="AB2038" s="10"/>
      <c r="AC2038" s="10"/>
      <c r="AD2038" s="10"/>
      <c r="AE2038" s="10"/>
    </row>
    <row r="2039" spans="1:31" ht="14.25" customHeight="1">
      <c r="A2039" s="277" t="s">
        <v>6169</v>
      </c>
      <c r="B2039" s="9" t="s">
        <v>21</v>
      </c>
      <c r="C2039" s="9">
        <v>2025</v>
      </c>
      <c r="D2039" s="9" t="s">
        <v>77</v>
      </c>
      <c r="E2039" s="90" t="s">
        <v>1011</v>
      </c>
      <c r="F2039" s="9" t="s">
        <v>1013</v>
      </c>
      <c r="G2039" s="10"/>
      <c r="H2039" s="9"/>
      <c r="I2039" s="11" t="s">
        <v>1012</v>
      </c>
      <c r="J2039" s="12">
        <v>45777</v>
      </c>
      <c r="K2039" s="12">
        <v>46162</v>
      </c>
      <c r="L2039" s="27">
        <v>1110000</v>
      </c>
      <c r="M2039" s="10" t="s">
        <v>7025</v>
      </c>
      <c r="N2039" s="34">
        <f t="shared" ca="1" si="421"/>
        <v>463.46377638888953</v>
      </c>
      <c r="O2039" s="10"/>
      <c r="P2039" s="39"/>
      <c r="Q2039" s="39"/>
      <c r="R2039" s="39"/>
      <c r="S2039" s="37">
        <f t="shared" si="419"/>
        <v>0</v>
      </c>
      <c r="T2039" s="37">
        <f t="shared" si="420"/>
        <v>1110000</v>
      </c>
      <c r="U2039" s="10"/>
      <c r="V2039" s="10"/>
      <c r="W2039" s="10"/>
      <c r="X2039" s="10"/>
      <c r="Y2039" s="10"/>
      <c r="Z2039" s="10"/>
      <c r="AA2039" s="10"/>
      <c r="AB2039" s="10"/>
      <c r="AC2039" s="10"/>
      <c r="AD2039" s="10"/>
      <c r="AE2039" s="10"/>
    </row>
    <row r="2040" spans="1:31" ht="14.25" customHeight="1">
      <c r="A2040" s="277" t="s">
        <v>7806</v>
      </c>
      <c r="B2040" s="9" t="s">
        <v>21</v>
      </c>
      <c r="C2040" s="9">
        <v>2025</v>
      </c>
      <c r="D2040" s="9" t="s">
        <v>77</v>
      </c>
      <c r="E2040" s="90" t="s">
        <v>1011</v>
      </c>
      <c r="F2040" s="9" t="s">
        <v>1013</v>
      </c>
      <c r="G2040" s="10"/>
      <c r="H2040" s="9"/>
      <c r="I2040" s="11" t="s">
        <v>1012</v>
      </c>
      <c r="J2040" s="12">
        <v>45780</v>
      </c>
      <c r="K2040" s="12">
        <v>46162</v>
      </c>
      <c r="L2040" s="27">
        <v>1179000</v>
      </c>
      <c r="M2040" s="10" t="s">
        <v>7026</v>
      </c>
      <c r="N2040" s="34">
        <f t="shared" ca="1" si="421"/>
        <v>460.46377638888953</v>
      </c>
      <c r="O2040" s="10"/>
      <c r="P2040" s="39"/>
      <c r="Q2040" s="39"/>
      <c r="R2040" s="39"/>
      <c r="S2040" s="37">
        <f t="shared" si="419"/>
        <v>0</v>
      </c>
      <c r="T2040" s="37">
        <f t="shared" si="420"/>
        <v>1179000</v>
      </c>
      <c r="U2040" s="10"/>
      <c r="V2040" s="10"/>
      <c r="W2040" s="10"/>
      <c r="X2040" s="10"/>
      <c r="Y2040" s="10"/>
      <c r="Z2040" s="10"/>
      <c r="AA2040" s="10"/>
      <c r="AB2040" s="10"/>
      <c r="AC2040" s="10"/>
      <c r="AD2040" s="10"/>
      <c r="AE2040" s="10"/>
    </row>
    <row r="2041" spans="1:31" ht="14.25" customHeight="1">
      <c r="A2041" s="277" t="s">
        <v>7807</v>
      </c>
      <c r="B2041" s="9" t="s">
        <v>21</v>
      </c>
      <c r="C2041" s="9">
        <v>2025</v>
      </c>
      <c r="D2041" s="9" t="s">
        <v>77</v>
      </c>
      <c r="E2041" s="90" t="s">
        <v>1011</v>
      </c>
      <c r="F2041" s="9" t="s">
        <v>1013</v>
      </c>
      <c r="G2041" s="10"/>
      <c r="H2041" s="9"/>
      <c r="I2041" s="11" t="s">
        <v>1012</v>
      </c>
      <c r="J2041" s="12">
        <v>45784</v>
      </c>
      <c r="K2041" s="12">
        <v>45800</v>
      </c>
      <c r="L2041" s="27">
        <v>2490000</v>
      </c>
      <c r="M2041" s="10" t="s">
        <v>1070</v>
      </c>
      <c r="N2041" s="34">
        <f t="shared" ca="1" si="421"/>
        <v>456.46377638888953</v>
      </c>
      <c r="O2041" s="10"/>
      <c r="P2041" s="39"/>
      <c r="Q2041" s="39"/>
      <c r="R2041" s="39"/>
      <c r="S2041" s="37">
        <f t="shared" si="419"/>
        <v>0</v>
      </c>
      <c r="T2041" s="37">
        <f t="shared" si="420"/>
        <v>2490000</v>
      </c>
      <c r="U2041" s="10"/>
      <c r="V2041" s="10"/>
      <c r="W2041" s="10"/>
      <c r="X2041" s="10"/>
      <c r="Y2041" s="10"/>
      <c r="Z2041" s="10"/>
      <c r="AA2041" s="10"/>
      <c r="AB2041" s="10"/>
      <c r="AC2041" s="10"/>
      <c r="AD2041" s="10"/>
      <c r="AE2041" s="10"/>
    </row>
    <row r="2042" spans="1:31" ht="14.25" customHeight="1">
      <c r="A2042" s="277" t="s">
        <v>6170</v>
      </c>
      <c r="B2042" s="9" t="s">
        <v>21</v>
      </c>
      <c r="C2042" s="9">
        <v>2025</v>
      </c>
      <c r="D2042" s="9" t="s">
        <v>77</v>
      </c>
      <c r="E2042" s="90" t="s">
        <v>1011</v>
      </c>
      <c r="F2042" s="9" t="s">
        <v>1013</v>
      </c>
      <c r="G2042" s="10"/>
      <c r="H2042" s="9"/>
      <c r="I2042" s="11" t="s">
        <v>1012</v>
      </c>
      <c r="J2042" s="12">
        <v>45787</v>
      </c>
      <c r="K2042" s="12">
        <v>45800</v>
      </c>
      <c r="L2042" s="27">
        <v>1380000</v>
      </c>
      <c r="M2042" s="10" t="s">
        <v>1071</v>
      </c>
      <c r="N2042" s="34">
        <f t="shared" ref="N2042:N2067" ca="1" si="422">$J$3-J2042</f>
        <v>453.46377638888953</v>
      </c>
      <c r="O2042" s="10"/>
      <c r="P2042" s="39"/>
      <c r="Q2042" s="39"/>
      <c r="R2042" s="39"/>
      <c r="S2042" s="37">
        <f t="shared" ref="S2042:S2055" si="423">IF(R2042="",0,L2042)</f>
        <v>0</v>
      </c>
      <c r="T2042" s="37">
        <f t="shared" ref="T2042:T2055" si="424">L2042-S2042</f>
        <v>1380000</v>
      </c>
      <c r="U2042" s="10"/>
      <c r="V2042" s="10"/>
      <c r="W2042" s="10"/>
      <c r="X2042" s="10"/>
      <c r="Y2042" s="10"/>
      <c r="Z2042" s="10"/>
      <c r="AA2042" s="10"/>
      <c r="AB2042" s="10"/>
      <c r="AC2042" s="10"/>
      <c r="AD2042" s="10"/>
      <c r="AE2042" s="10"/>
    </row>
    <row r="2043" spans="1:31" ht="14.25" customHeight="1">
      <c r="A2043" s="277" t="s">
        <v>6171</v>
      </c>
      <c r="B2043" s="9" t="s">
        <v>21</v>
      </c>
      <c r="C2043" s="9">
        <v>2025</v>
      </c>
      <c r="D2043" s="9" t="s">
        <v>77</v>
      </c>
      <c r="E2043" s="90" t="s">
        <v>1011</v>
      </c>
      <c r="F2043" s="9" t="s">
        <v>1013</v>
      </c>
      <c r="G2043" s="10"/>
      <c r="H2043" s="9"/>
      <c r="I2043" s="11" t="s">
        <v>1012</v>
      </c>
      <c r="J2043" s="12">
        <v>45796</v>
      </c>
      <c r="K2043" s="12">
        <v>45820</v>
      </c>
      <c r="L2043" s="27">
        <v>1380000</v>
      </c>
      <c r="M2043" s="10" t="s">
        <v>1072</v>
      </c>
      <c r="N2043" s="34">
        <f t="shared" ca="1" si="422"/>
        <v>444.46377638888953</v>
      </c>
      <c r="O2043" s="10"/>
      <c r="P2043" s="39"/>
      <c r="Q2043" s="39"/>
      <c r="R2043" s="39"/>
      <c r="S2043" s="37">
        <f t="shared" si="423"/>
        <v>0</v>
      </c>
      <c r="T2043" s="37">
        <f t="shared" si="424"/>
        <v>1380000</v>
      </c>
      <c r="U2043" s="10"/>
      <c r="V2043" s="10"/>
      <c r="W2043" s="10"/>
      <c r="X2043" s="10"/>
      <c r="Y2043" s="10"/>
      <c r="Z2043" s="10"/>
      <c r="AA2043" s="10"/>
      <c r="AB2043" s="10"/>
      <c r="AC2043" s="10"/>
      <c r="AD2043" s="10"/>
      <c r="AE2043" s="10"/>
    </row>
    <row r="2044" spans="1:31" ht="14.25" customHeight="1">
      <c r="A2044" s="277" t="s">
        <v>6172</v>
      </c>
      <c r="B2044" s="9" t="s">
        <v>21</v>
      </c>
      <c r="C2044" s="9">
        <v>2025</v>
      </c>
      <c r="D2044" s="9" t="s">
        <v>77</v>
      </c>
      <c r="E2044" s="90" t="s">
        <v>1011</v>
      </c>
      <c r="F2044" s="9" t="s">
        <v>1013</v>
      </c>
      <c r="G2044" s="10"/>
      <c r="H2044" s="9"/>
      <c r="I2044" s="11" t="s">
        <v>1012</v>
      </c>
      <c r="J2044" s="12">
        <v>45803</v>
      </c>
      <c r="K2044" s="12">
        <v>45820</v>
      </c>
      <c r="L2044" s="27">
        <v>1650000</v>
      </c>
      <c r="M2044" s="10" t="s">
        <v>1073</v>
      </c>
      <c r="N2044" s="34">
        <f t="shared" ca="1" si="422"/>
        <v>437.46377638888953</v>
      </c>
      <c r="O2044" s="10"/>
      <c r="P2044" s="39"/>
      <c r="Q2044" s="39"/>
      <c r="R2044" s="39"/>
      <c r="S2044" s="37">
        <f t="shared" si="423"/>
        <v>0</v>
      </c>
      <c r="T2044" s="37">
        <f t="shared" si="424"/>
        <v>1650000</v>
      </c>
      <c r="U2044" s="10"/>
      <c r="V2044" s="10"/>
      <c r="W2044" s="10"/>
      <c r="X2044" s="10"/>
      <c r="Y2044" s="10"/>
      <c r="Z2044" s="10"/>
      <c r="AA2044" s="10"/>
      <c r="AB2044" s="10"/>
      <c r="AC2044" s="10"/>
      <c r="AD2044" s="10"/>
      <c r="AE2044" s="10"/>
    </row>
    <row r="2045" spans="1:31" ht="14.25" customHeight="1">
      <c r="A2045" s="277" t="s">
        <v>6173</v>
      </c>
      <c r="B2045" s="9" t="s">
        <v>21</v>
      </c>
      <c r="C2045" s="9">
        <v>2025</v>
      </c>
      <c r="D2045" s="9" t="s">
        <v>77</v>
      </c>
      <c r="E2045" s="90" t="s">
        <v>1011</v>
      </c>
      <c r="F2045" s="9" t="s">
        <v>1013</v>
      </c>
      <c r="G2045" s="10"/>
      <c r="H2045" s="9"/>
      <c r="I2045" s="11" t="s">
        <v>1012</v>
      </c>
      <c r="J2045" s="12">
        <v>45798</v>
      </c>
      <c r="K2045" s="12">
        <v>45820</v>
      </c>
      <c r="L2045" s="27">
        <v>1380000</v>
      </c>
      <c r="M2045" s="10" t="s">
        <v>1074</v>
      </c>
      <c r="N2045" s="34">
        <f t="shared" ca="1" si="422"/>
        <v>442.46377638888953</v>
      </c>
      <c r="O2045" s="10"/>
      <c r="P2045" s="39"/>
      <c r="Q2045" s="39"/>
      <c r="R2045" s="39"/>
      <c r="S2045" s="37">
        <f t="shared" si="423"/>
        <v>0</v>
      </c>
      <c r="T2045" s="37">
        <f t="shared" si="424"/>
        <v>1380000</v>
      </c>
      <c r="U2045" s="10"/>
      <c r="V2045" s="10"/>
      <c r="W2045" s="10"/>
      <c r="X2045" s="10"/>
      <c r="Y2045" s="10"/>
      <c r="Z2045" s="10"/>
      <c r="AA2045" s="10"/>
      <c r="AB2045" s="10"/>
      <c r="AC2045" s="10"/>
      <c r="AD2045" s="10"/>
      <c r="AE2045" s="10"/>
    </row>
    <row r="2046" spans="1:31" ht="14.25" customHeight="1">
      <c r="A2046" s="277" t="s">
        <v>6174</v>
      </c>
      <c r="B2046" s="9" t="s">
        <v>21</v>
      </c>
      <c r="C2046" s="9">
        <v>2025</v>
      </c>
      <c r="D2046" s="9" t="s">
        <v>77</v>
      </c>
      <c r="E2046" s="90" t="s">
        <v>1011</v>
      </c>
      <c r="F2046" s="9" t="s">
        <v>1013</v>
      </c>
      <c r="G2046" s="10"/>
      <c r="H2046" s="9"/>
      <c r="I2046" s="11" t="s">
        <v>1012</v>
      </c>
      <c r="J2046" s="12">
        <v>45810</v>
      </c>
      <c r="K2046" s="12">
        <v>45820</v>
      </c>
      <c r="L2046" s="27">
        <v>1110000</v>
      </c>
      <c r="M2046" s="10" t="s">
        <v>1075</v>
      </c>
      <c r="N2046" s="34">
        <f t="shared" ca="1" si="422"/>
        <v>430.46377638888953</v>
      </c>
      <c r="O2046" s="10"/>
      <c r="P2046" s="39"/>
      <c r="Q2046" s="39"/>
      <c r="R2046" s="39"/>
      <c r="S2046" s="37">
        <f t="shared" si="423"/>
        <v>0</v>
      </c>
      <c r="T2046" s="37">
        <f t="shared" si="424"/>
        <v>1110000</v>
      </c>
      <c r="U2046" s="10"/>
      <c r="V2046" s="10"/>
      <c r="W2046" s="10"/>
      <c r="X2046" s="10"/>
      <c r="Y2046" s="10"/>
      <c r="Z2046" s="10"/>
      <c r="AA2046" s="10"/>
      <c r="AB2046" s="10"/>
      <c r="AC2046" s="10"/>
      <c r="AD2046" s="10"/>
      <c r="AE2046" s="10"/>
    </row>
    <row r="2047" spans="1:31" ht="14.25" customHeight="1">
      <c r="A2047" s="277" t="s">
        <v>6175</v>
      </c>
      <c r="B2047" s="9" t="s">
        <v>21</v>
      </c>
      <c r="C2047" s="9">
        <v>2025</v>
      </c>
      <c r="D2047" s="9" t="s">
        <v>77</v>
      </c>
      <c r="E2047" s="90" t="s">
        <v>1011</v>
      </c>
      <c r="F2047" s="9" t="s">
        <v>1013</v>
      </c>
      <c r="G2047" s="10"/>
      <c r="H2047" s="9"/>
      <c r="I2047" s="11" t="s">
        <v>1012</v>
      </c>
      <c r="J2047" s="12">
        <v>45810</v>
      </c>
      <c r="K2047" s="12">
        <v>45820</v>
      </c>
      <c r="L2047" s="27">
        <v>270000</v>
      </c>
      <c r="M2047" s="10" t="s">
        <v>1076</v>
      </c>
      <c r="N2047" s="34">
        <f t="shared" ca="1" si="422"/>
        <v>430.46377638888953</v>
      </c>
      <c r="O2047" s="10"/>
      <c r="P2047" s="39"/>
      <c r="Q2047" s="39"/>
      <c r="R2047" s="39"/>
      <c r="S2047" s="37">
        <f t="shared" si="423"/>
        <v>0</v>
      </c>
      <c r="T2047" s="37">
        <f t="shared" si="424"/>
        <v>270000</v>
      </c>
      <c r="U2047" s="10"/>
      <c r="V2047" s="10"/>
      <c r="W2047" s="10"/>
      <c r="X2047" s="10"/>
      <c r="Y2047" s="10"/>
      <c r="Z2047" s="10"/>
      <c r="AA2047" s="10"/>
      <c r="AB2047" s="10"/>
      <c r="AC2047" s="10"/>
      <c r="AD2047" s="10"/>
      <c r="AE2047" s="10"/>
    </row>
    <row r="2048" spans="1:31" ht="14.25" customHeight="1">
      <c r="A2048" s="277" t="s">
        <v>6176</v>
      </c>
      <c r="B2048" s="9" t="s">
        <v>21</v>
      </c>
      <c r="C2048" s="9">
        <v>2025</v>
      </c>
      <c r="D2048" s="9" t="s">
        <v>77</v>
      </c>
      <c r="E2048" s="90" t="s">
        <v>1011</v>
      </c>
      <c r="F2048" s="9" t="s">
        <v>1013</v>
      </c>
      <c r="G2048" s="10"/>
      <c r="H2048" s="9"/>
      <c r="I2048" s="11" t="s">
        <v>1012</v>
      </c>
      <c r="J2048" s="12">
        <v>45821</v>
      </c>
      <c r="K2048" s="12">
        <v>45854</v>
      </c>
      <c r="L2048" s="27">
        <v>3870000</v>
      </c>
      <c r="M2048" s="10" t="s">
        <v>1077</v>
      </c>
      <c r="N2048" s="34">
        <f t="shared" ca="1" si="422"/>
        <v>419.46377638888953</v>
      </c>
      <c r="O2048" s="10"/>
      <c r="P2048" s="39"/>
      <c r="Q2048" s="39"/>
      <c r="R2048" s="39"/>
      <c r="S2048" s="37">
        <f t="shared" si="423"/>
        <v>0</v>
      </c>
      <c r="T2048" s="37">
        <f t="shared" si="424"/>
        <v>3870000</v>
      </c>
      <c r="U2048" s="10"/>
      <c r="V2048" s="10"/>
      <c r="W2048" s="10"/>
      <c r="X2048" s="10"/>
      <c r="Y2048" s="10"/>
      <c r="Z2048" s="10"/>
      <c r="AA2048" s="10"/>
      <c r="AB2048" s="10"/>
      <c r="AC2048" s="10"/>
      <c r="AD2048" s="10"/>
      <c r="AE2048" s="10"/>
    </row>
    <row r="2049" spans="1:31" ht="14.25" customHeight="1">
      <c r="A2049" s="277" t="s">
        <v>6177</v>
      </c>
      <c r="B2049" s="9" t="s">
        <v>21</v>
      </c>
      <c r="C2049" s="9">
        <v>2025</v>
      </c>
      <c r="D2049" s="9" t="s">
        <v>77</v>
      </c>
      <c r="E2049" s="90" t="s">
        <v>1011</v>
      </c>
      <c r="F2049" s="9" t="s">
        <v>1013</v>
      </c>
      <c r="G2049" s="10"/>
      <c r="H2049" s="9"/>
      <c r="I2049" s="11" t="s">
        <v>1012</v>
      </c>
      <c r="J2049" s="12">
        <v>45825</v>
      </c>
      <c r="K2049" s="12">
        <v>45854</v>
      </c>
      <c r="L2049" s="27">
        <v>270000</v>
      </c>
      <c r="M2049" s="10" t="s">
        <v>1078</v>
      </c>
      <c r="N2049" s="34">
        <f t="shared" ca="1" si="422"/>
        <v>415.46377638888953</v>
      </c>
      <c r="O2049" s="10"/>
      <c r="P2049" s="39"/>
      <c r="Q2049" s="39"/>
      <c r="R2049" s="39"/>
      <c r="S2049" s="37">
        <f t="shared" si="423"/>
        <v>0</v>
      </c>
      <c r="T2049" s="37">
        <f t="shared" si="424"/>
        <v>270000</v>
      </c>
      <c r="U2049" s="10"/>
      <c r="V2049" s="10"/>
      <c r="W2049" s="10"/>
      <c r="X2049" s="10"/>
      <c r="Y2049" s="10"/>
      <c r="Z2049" s="10"/>
      <c r="AA2049" s="10"/>
      <c r="AB2049" s="10"/>
      <c r="AC2049" s="10"/>
      <c r="AD2049" s="10"/>
      <c r="AE2049" s="10"/>
    </row>
    <row r="2050" spans="1:31" ht="14.25" customHeight="1">
      <c r="A2050" s="277" t="s">
        <v>7808</v>
      </c>
      <c r="B2050" s="9" t="s">
        <v>21</v>
      </c>
      <c r="C2050" s="9">
        <v>2025</v>
      </c>
      <c r="D2050" s="9" t="s">
        <v>77</v>
      </c>
      <c r="E2050" s="90" t="s">
        <v>1011</v>
      </c>
      <c r="F2050" s="9" t="s">
        <v>1013</v>
      </c>
      <c r="G2050" s="10"/>
      <c r="H2050" s="9"/>
      <c r="I2050" s="11" t="s">
        <v>1012</v>
      </c>
      <c r="J2050" s="12">
        <v>45825</v>
      </c>
      <c r="K2050" s="12">
        <v>45854</v>
      </c>
      <c r="L2050" s="27">
        <v>1380000</v>
      </c>
      <c r="M2050" s="10" t="s">
        <v>1079</v>
      </c>
      <c r="N2050" s="34">
        <f t="shared" ca="1" si="422"/>
        <v>415.46377638888953</v>
      </c>
      <c r="O2050" s="10"/>
      <c r="P2050" s="39"/>
      <c r="Q2050" s="39"/>
      <c r="R2050" s="39"/>
      <c r="S2050" s="37">
        <f t="shared" si="423"/>
        <v>0</v>
      </c>
      <c r="T2050" s="37">
        <f t="shared" si="424"/>
        <v>1380000</v>
      </c>
      <c r="U2050" s="10"/>
      <c r="V2050" s="10"/>
      <c r="W2050" s="10"/>
      <c r="X2050" s="10"/>
      <c r="Y2050" s="10"/>
      <c r="Z2050" s="10"/>
      <c r="AA2050" s="10"/>
      <c r="AB2050" s="10"/>
      <c r="AC2050" s="10"/>
      <c r="AD2050" s="10"/>
      <c r="AE2050" s="10"/>
    </row>
    <row r="2051" spans="1:31" ht="14.25" customHeight="1">
      <c r="A2051" s="277" t="s">
        <v>7809</v>
      </c>
      <c r="B2051" s="9" t="s">
        <v>21</v>
      </c>
      <c r="C2051" s="9">
        <v>2025</v>
      </c>
      <c r="D2051" s="9" t="s">
        <v>77</v>
      </c>
      <c r="E2051" s="90" t="s">
        <v>1011</v>
      </c>
      <c r="F2051" s="9" t="s">
        <v>1013</v>
      </c>
      <c r="G2051" s="10"/>
      <c r="H2051" s="9"/>
      <c r="I2051" s="11" t="s">
        <v>1012</v>
      </c>
      <c r="J2051" s="12">
        <v>45829</v>
      </c>
      <c r="K2051" s="12">
        <v>45854</v>
      </c>
      <c r="L2051" s="27">
        <v>540000</v>
      </c>
      <c r="M2051" s="10" t="s">
        <v>1080</v>
      </c>
      <c r="N2051" s="34">
        <f t="shared" ca="1" si="422"/>
        <v>411.46377638888953</v>
      </c>
      <c r="O2051" s="10"/>
      <c r="P2051" s="39"/>
      <c r="Q2051" s="39"/>
      <c r="R2051" s="39"/>
      <c r="S2051" s="37">
        <f t="shared" si="423"/>
        <v>0</v>
      </c>
      <c r="T2051" s="37">
        <f t="shared" si="424"/>
        <v>540000</v>
      </c>
      <c r="U2051" s="10"/>
      <c r="V2051" s="10"/>
      <c r="W2051" s="10"/>
      <c r="X2051" s="10"/>
      <c r="Y2051" s="10"/>
      <c r="Z2051" s="10"/>
      <c r="AA2051" s="10"/>
      <c r="AB2051" s="10"/>
      <c r="AC2051" s="10"/>
      <c r="AD2051" s="10"/>
      <c r="AE2051" s="10"/>
    </row>
    <row r="2052" spans="1:31" ht="14.25" customHeight="1">
      <c r="A2052" s="277" t="s">
        <v>7810</v>
      </c>
      <c r="B2052" s="9" t="s">
        <v>21</v>
      </c>
      <c r="C2052" s="9">
        <v>2025</v>
      </c>
      <c r="D2052" s="9" t="s">
        <v>77</v>
      </c>
      <c r="E2052" s="90" t="s">
        <v>1011</v>
      </c>
      <c r="F2052" s="9" t="s">
        <v>1013</v>
      </c>
      <c r="G2052" s="10"/>
      <c r="H2052" s="9"/>
      <c r="I2052" s="11" t="s">
        <v>1012</v>
      </c>
      <c r="J2052" s="12">
        <v>45830</v>
      </c>
      <c r="K2052" s="12">
        <v>45854</v>
      </c>
      <c r="L2052" s="27">
        <v>1110000</v>
      </c>
      <c r="M2052" s="10" t="s">
        <v>1081</v>
      </c>
      <c r="N2052" s="34">
        <f t="shared" ca="1" si="422"/>
        <v>410.46377638888953</v>
      </c>
      <c r="O2052" s="10"/>
      <c r="P2052" s="39"/>
      <c r="Q2052" s="39"/>
      <c r="R2052" s="39"/>
      <c r="S2052" s="37">
        <f t="shared" si="423"/>
        <v>0</v>
      </c>
      <c r="T2052" s="37">
        <f t="shared" si="424"/>
        <v>1110000</v>
      </c>
      <c r="U2052" s="10"/>
      <c r="V2052" s="10"/>
      <c r="W2052" s="10"/>
      <c r="X2052" s="10"/>
      <c r="Y2052" s="10"/>
      <c r="Z2052" s="10"/>
      <c r="AA2052" s="10"/>
      <c r="AB2052" s="10"/>
      <c r="AC2052" s="10"/>
      <c r="AD2052" s="10"/>
      <c r="AE2052" s="10"/>
    </row>
    <row r="2053" spans="1:31" ht="14.25" customHeight="1">
      <c r="A2053" s="277" t="s">
        <v>6178</v>
      </c>
      <c r="B2053" s="9" t="s">
        <v>21</v>
      </c>
      <c r="C2053" s="9">
        <v>2025</v>
      </c>
      <c r="D2053" s="9" t="s">
        <v>77</v>
      </c>
      <c r="E2053" s="90" t="s">
        <v>1011</v>
      </c>
      <c r="F2053" s="9" t="s">
        <v>1013</v>
      </c>
      <c r="G2053" s="10"/>
      <c r="H2053" s="9"/>
      <c r="I2053" s="11" t="s">
        <v>1012</v>
      </c>
      <c r="J2053" s="12">
        <v>45832</v>
      </c>
      <c r="K2053" s="12">
        <v>45854</v>
      </c>
      <c r="L2053" s="27">
        <v>1110000</v>
      </c>
      <c r="M2053" s="10" t="s">
        <v>1082</v>
      </c>
      <c r="N2053" s="34">
        <f t="shared" ca="1" si="422"/>
        <v>408.46377638888953</v>
      </c>
      <c r="O2053" s="10"/>
      <c r="P2053" s="39"/>
      <c r="Q2053" s="39"/>
      <c r="R2053" s="39"/>
      <c r="S2053" s="37">
        <f t="shared" si="423"/>
        <v>0</v>
      </c>
      <c r="T2053" s="37">
        <f t="shared" si="424"/>
        <v>1110000</v>
      </c>
      <c r="U2053" s="10"/>
      <c r="V2053" s="10"/>
      <c r="W2053" s="10"/>
      <c r="X2053" s="10"/>
      <c r="Y2053" s="10"/>
      <c r="Z2053" s="10"/>
      <c r="AA2053" s="10"/>
      <c r="AB2053" s="10"/>
      <c r="AC2053" s="10"/>
      <c r="AD2053" s="10"/>
      <c r="AE2053" s="10"/>
    </row>
    <row r="2054" spans="1:31" ht="14.25" customHeight="1">
      <c r="A2054" s="277" t="s">
        <v>6179</v>
      </c>
      <c r="B2054" s="9" t="s">
        <v>21</v>
      </c>
      <c r="C2054" s="9">
        <v>2025</v>
      </c>
      <c r="D2054" s="9" t="s">
        <v>77</v>
      </c>
      <c r="E2054" s="90" t="s">
        <v>1011</v>
      </c>
      <c r="F2054" s="9" t="s">
        <v>1013</v>
      </c>
      <c r="G2054" s="10"/>
      <c r="H2054" s="9"/>
      <c r="I2054" s="11" t="s">
        <v>1012</v>
      </c>
      <c r="J2054" s="12">
        <v>45833</v>
      </c>
      <c r="K2054" s="12">
        <v>45854</v>
      </c>
      <c r="L2054" s="27">
        <v>1110000</v>
      </c>
      <c r="M2054" s="10" t="s">
        <v>1083</v>
      </c>
      <c r="N2054" s="34">
        <f t="shared" ca="1" si="422"/>
        <v>407.46377638888953</v>
      </c>
      <c r="O2054" s="10"/>
      <c r="P2054" s="39"/>
      <c r="Q2054" s="39"/>
      <c r="R2054" s="39"/>
      <c r="S2054" s="37">
        <f t="shared" si="423"/>
        <v>0</v>
      </c>
      <c r="T2054" s="37">
        <f t="shared" si="424"/>
        <v>1110000</v>
      </c>
      <c r="U2054" s="10"/>
      <c r="V2054" s="10"/>
      <c r="W2054" s="10"/>
      <c r="X2054" s="10"/>
      <c r="Y2054" s="10"/>
      <c r="Z2054" s="10"/>
      <c r="AA2054" s="10"/>
      <c r="AB2054" s="10"/>
      <c r="AC2054" s="10"/>
      <c r="AD2054" s="10"/>
      <c r="AE2054" s="10"/>
    </row>
    <row r="2055" spans="1:31" ht="14.25" customHeight="1">
      <c r="A2055" s="277" t="s">
        <v>6180</v>
      </c>
      <c r="B2055" s="9" t="s">
        <v>21</v>
      </c>
      <c r="C2055" s="9">
        <v>2025</v>
      </c>
      <c r="D2055" s="9" t="s">
        <v>77</v>
      </c>
      <c r="E2055" s="90" t="s">
        <v>1011</v>
      </c>
      <c r="F2055" s="9" t="s">
        <v>1013</v>
      </c>
      <c r="G2055" s="10"/>
      <c r="H2055" s="9"/>
      <c r="I2055" s="11" t="s">
        <v>1012</v>
      </c>
      <c r="J2055" s="12">
        <v>45838</v>
      </c>
      <c r="K2055" s="12">
        <v>45854</v>
      </c>
      <c r="L2055" s="27">
        <v>270000</v>
      </c>
      <c r="M2055" s="10" t="s">
        <v>1084</v>
      </c>
      <c r="N2055" s="34">
        <f t="shared" ca="1" si="422"/>
        <v>402.46377638888953</v>
      </c>
      <c r="O2055" s="10"/>
      <c r="P2055" s="39"/>
      <c r="Q2055" s="39"/>
      <c r="R2055" s="39"/>
      <c r="S2055" s="37">
        <f t="shared" si="423"/>
        <v>0</v>
      </c>
      <c r="T2055" s="37">
        <f t="shared" si="424"/>
        <v>270000</v>
      </c>
      <c r="U2055" s="10"/>
      <c r="V2055" s="10"/>
      <c r="W2055" s="10"/>
      <c r="X2055" s="10"/>
      <c r="Y2055" s="10"/>
      <c r="Z2055" s="10"/>
      <c r="AA2055" s="10"/>
      <c r="AB2055" s="10"/>
      <c r="AC2055" s="10"/>
      <c r="AD2055" s="10"/>
      <c r="AE2055" s="10"/>
    </row>
    <row r="2056" spans="1:31" ht="14.25" customHeight="1">
      <c r="A2056" s="277" t="s">
        <v>6181</v>
      </c>
      <c r="B2056" s="9" t="s">
        <v>21</v>
      </c>
      <c r="C2056" s="9">
        <v>2025</v>
      </c>
      <c r="D2056" s="9" t="s">
        <v>77</v>
      </c>
      <c r="E2056" s="90" t="s">
        <v>1011</v>
      </c>
      <c r="F2056" s="9" t="s">
        <v>1013</v>
      </c>
      <c r="G2056" s="10"/>
      <c r="H2056" s="9"/>
      <c r="I2056" s="11" t="s">
        <v>1012</v>
      </c>
      <c r="J2056" s="12">
        <v>45838</v>
      </c>
      <c r="K2056" s="12">
        <v>45896</v>
      </c>
      <c r="L2056" s="27">
        <v>1110000</v>
      </c>
      <c r="M2056" s="10" t="s">
        <v>1085</v>
      </c>
      <c r="N2056" s="34">
        <f t="shared" ca="1" si="422"/>
        <v>402.46377638888953</v>
      </c>
      <c r="O2056" s="10"/>
      <c r="P2056" s="39"/>
      <c r="Q2056" s="39"/>
      <c r="R2056" s="39"/>
      <c r="S2056" s="37">
        <f t="shared" ref="S2056:S2067" si="425">IF(R2056="",0,L2056)</f>
        <v>0</v>
      </c>
      <c r="T2056" s="37">
        <f t="shared" ref="T2056:T2067" si="426">L2056-S2056</f>
        <v>1110000</v>
      </c>
      <c r="U2056" s="10"/>
      <c r="V2056" s="10"/>
      <c r="W2056" s="10"/>
      <c r="X2056" s="10"/>
      <c r="Y2056" s="10"/>
      <c r="Z2056" s="10"/>
      <c r="AA2056" s="10"/>
      <c r="AB2056" s="10"/>
      <c r="AC2056" s="10"/>
      <c r="AD2056" s="10"/>
      <c r="AE2056" s="10"/>
    </row>
    <row r="2057" spans="1:31" ht="14.25" customHeight="1">
      <c r="A2057" s="277" t="s">
        <v>6182</v>
      </c>
      <c r="B2057" s="9" t="s">
        <v>21</v>
      </c>
      <c r="C2057" s="9">
        <v>2025</v>
      </c>
      <c r="D2057" s="9" t="s">
        <v>77</v>
      </c>
      <c r="E2057" s="90" t="s">
        <v>1011</v>
      </c>
      <c r="F2057" s="9" t="s">
        <v>1013</v>
      </c>
      <c r="G2057" s="10"/>
      <c r="H2057" s="9"/>
      <c r="I2057" s="11" t="s">
        <v>1012</v>
      </c>
      <c r="J2057" s="12">
        <v>45846</v>
      </c>
      <c r="K2057" s="12">
        <v>45896</v>
      </c>
      <c r="L2057" s="27">
        <v>1110000</v>
      </c>
      <c r="M2057" s="10" t="s">
        <v>1086</v>
      </c>
      <c r="N2057" s="34">
        <f t="shared" ca="1" si="422"/>
        <v>394.46377638888953</v>
      </c>
      <c r="O2057" s="10"/>
      <c r="P2057" s="39"/>
      <c r="Q2057" s="39"/>
      <c r="R2057" s="39"/>
      <c r="S2057" s="37">
        <f t="shared" si="425"/>
        <v>0</v>
      </c>
      <c r="T2057" s="37">
        <f t="shared" si="426"/>
        <v>1110000</v>
      </c>
      <c r="U2057" s="10"/>
      <c r="V2057" s="10"/>
      <c r="W2057" s="10"/>
      <c r="X2057" s="10"/>
      <c r="Y2057" s="10"/>
      <c r="Z2057" s="10"/>
      <c r="AA2057" s="10"/>
      <c r="AB2057" s="10"/>
      <c r="AC2057" s="10"/>
      <c r="AD2057" s="10"/>
      <c r="AE2057" s="10"/>
    </row>
    <row r="2058" spans="1:31" ht="14.25" customHeight="1">
      <c r="A2058" s="277" t="s">
        <v>6183</v>
      </c>
      <c r="B2058" s="9" t="s">
        <v>21</v>
      </c>
      <c r="C2058" s="9">
        <v>2025</v>
      </c>
      <c r="D2058" s="9" t="s">
        <v>77</v>
      </c>
      <c r="E2058" s="90" t="s">
        <v>1011</v>
      </c>
      <c r="F2058" s="9" t="s">
        <v>1013</v>
      </c>
      <c r="G2058" s="10"/>
      <c r="H2058" s="9"/>
      <c r="I2058" s="11" t="s">
        <v>1012</v>
      </c>
      <c r="J2058" s="12">
        <v>45853</v>
      </c>
      <c r="K2058" s="12">
        <v>45896</v>
      </c>
      <c r="L2058" s="27">
        <v>1110000</v>
      </c>
      <c r="M2058" s="10" t="s">
        <v>1087</v>
      </c>
      <c r="N2058" s="34">
        <f t="shared" ca="1" si="422"/>
        <v>387.46377638888953</v>
      </c>
      <c r="O2058" s="10"/>
      <c r="P2058" s="39"/>
      <c r="Q2058" s="39"/>
      <c r="R2058" s="39"/>
      <c r="S2058" s="37">
        <f t="shared" si="425"/>
        <v>0</v>
      </c>
      <c r="T2058" s="37">
        <f t="shared" si="426"/>
        <v>1110000</v>
      </c>
      <c r="U2058" s="10"/>
      <c r="V2058" s="10"/>
      <c r="W2058" s="10"/>
      <c r="X2058" s="10"/>
      <c r="Y2058" s="10"/>
      <c r="Z2058" s="10"/>
      <c r="AA2058" s="10"/>
      <c r="AB2058" s="10"/>
      <c r="AC2058" s="10"/>
      <c r="AD2058" s="10"/>
      <c r="AE2058" s="10"/>
    </row>
    <row r="2059" spans="1:31" ht="14.25" customHeight="1">
      <c r="A2059" s="277" t="s">
        <v>6184</v>
      </c>
      <c r="B2059" s="9" t="s">
        <v>21</v>
      </c>
      <c r="C2059" s="9">
        <v>2025</v>
      </c>
      <c r="D2059" s="9" t="s">
        <v>77</v>
      </c>
      <c r="E2059" s="90" t="s">
        <v>1011</v>
      </c>
      <c r="F2059" s="9" t="s">
        <v>1013</v>
      </c>
      <c r="G2059" s="10"/>
      <c r="H2059" s="9"/>
      <c r="I2059" s="11" t="s">
        <v>1012</v>
      </c>
      <c r="J2059" s="12">
        <v>45853</v>
      </c>
      <c r="K2059" s="12">
        <v>45896</v>
      </c>
      <c r="L2059" s="27">
        <v>1110000</v>
      </c>
      <c r="M2059" s="10" t="s">
        <v>1088</v>
      </c>
      <c r="N2059" s="34">
        <f t="shared" ca="1" si="422"/>
        <v>387.46377638888953</v>
      </c>
      <c r="O2059" s="10"/>
      <c r="P2059" s="39"/>
      <c r="Q2059" s="39"/>
      <c r="R2059" s="39"/>
      <c r="S2059" s="37">
        <f t="shared" si="425"/>
        <v>0</v>
      </c>
      <c r="T2059" s="37">
        <f t="shared" si="426"/>
        <v>1110000</v>
      </c>
      <c r="U2059" s="10"/>
      <c r="V2059" s="10"/>
      <c r="W2059" s="10"/>
      <c r="X2059" s="10"/>
      <c r="Y2059" s="10"/>
      <c r="Z2059" s="10"/>
      <c r="AA2059" s="10"/>
      <c r="AB2059" s="10"/>
      <c r="AC2059" s="10"/>
      <c r="AD2059" s="10"/>
      <c r="AE2059" s="10"/>
    </row>
    <row r="2060" spans="1:31" ht="14.25" customHeight="1">
      <c r="A2060" s="277" t="s">
        <v>6185</v>
      </c>
      <c r="B2060" s="9" t="s">
        <v>21</v>
      </c>
      <c r="C2060" s="9">
        <v>2025</v>
      </c>
      <c r="D2060" s="9" t="s">
        <v>77</v>
      </c>
      <c r="E2060" s="90" t="s">
        <v>1011</v>
      </c>
      <c r="F2060" s="9" t="s">
        <v>1013</v>
      </c>
      <c r="G2060" s="10"/>
      <c r="H2060" s="9"/>
      <c r="I2060" s="11" t="s">
        <v>1012</v>
      </c>
      <c r="J2060" s="12">
        <v>45857</v>
      </c>
      <c r="K2060" s="12">
        <v>45896</v>
      </c>
      <c r="L2060" s="27">
        <v>4410000</v>
      </c>
      <c r="M2060" s="10" t="s">
        <v>1089</v>
      </c>
      <c r="N2060" s="34">
        <f t="shared" ca="1" si="422"/>
        <v>383.46377638888953</v>
      </c>
      <c r="O2060" s="10"/>
      <c r="P2060" s="39"/>
      <c r="Q2060" s="39"/>
      <c r="R2060" s="39"/>
      <c r="S2060" s="37">
        <f t="shared" si="425"/>
        <v>0</v>
      </c>
      <c r="T2060" s="37">
        <f t="shared" si="426"/>
        <v>4410000</v>
      </c>
      <c r="U2060" s="10"/>
      <c r="V2060" s="10"/>
      <c r="W2060" s="10"/>
      <c r="X2060" s="10"/>
      <c r="Y2060" s="10"/>
      <c r="Z2060" s="10"/>
      <c r="AA2060" s="10"/>
      <c r="AB2060" s="10"/>
      <c r="AC2060" s="10"/>
      <c r="AD2060" s="10"/>
      <c r="AE2060" s="10"/>
    </row>
    <row r="2061" spans="1:31" ht="14.25" customHeight="1">
      <c r="A2061" s="277" t="s">
        <v>6186</v>
      </c>
      <c r="B2061" s="9" t="s">
        <v>21</v>
      </c>
      <c r="C2061" s="9">
        <v>2025</v>
      </c>
      <c r="D2061" s="9" t="s">
        <v>77</v>
      </c>
      <c r="E2061" s="90" t="s">
        <v>1011</v>
      </c>
      <c r="F2061" s="9" t="s">
        <v>1013</v>
      </c>
      <c r="G2061" s="10"/>
      <c r="H2061" s="9"/>
      <c r="I2061" s="11" t="s">
        <v>1012</v>
      </c>
      <c r="J2061" s="12">
        <v>45869</v>
      </c>
      <c r="K2061" s="12">
        <v>45896</v>
      </c>
      <c r="L2061" s="27">
        <v>3330000</v>
      </c>
      <c r="M2061" s="10" t="s">
        <v>1090</v>
      </c>
      <c r="N2061" s="34">
        <f t="shared" ca="1" si="422"/>
        <v>371.46377638888953</v>
      </c>
      <c r="O2061" s="10"/>
      <c r="P2061" s="39"/>
      <c r="Q2061" s="39"/>
      <c r="R2061" s="39"/>
      <c r="S2061" s="37">
        <f t="shared" si="425"/>
        <v>0</v>
      </c>
      <c r="T2061" s="37">
        <f t="shared" si="426"/>
        <v>3330000</v>
      </c>
      <c r="U2061" s="10"/>
      <c r="V2061" s="10"/>
      <c r="W2061" s="10"/>
      <c r="X2061" s="10"/>
      <c r="Y2061" s="10"/>
      <c r="Z2061" s="10"/>
      <c r="AA2061" s="10"/>
      <c r="AB2061" s="10"/>
      <c r="AC2061" s="10"/>
      <c r="AD2061" s="10"/>
      <c r="AE2061" s="10"/>
    </row>
    <row r="2062" spans="1:31" ht="14.25" customHeight="1">
      <c r="A2062" s="277" t="s">
        <v>6187</v>
      </c>
      <c r="B2062" s="9" t="s">
        <v>21</v>
      </c>
      <c r="C2062" s="9">
        <v>2025</v>
      </c>
      <c r="D2062" s="9" t="s">
        <v>77</v>
      </c>
      <c r="E2062" s="90" t="s">
        <v>1011</v>
      </c>
      <c r="F2062" s="9" t="s">
        <v>1013</v>
      </c>
      <c r="G2062" s="10"/>
      <c r="H2062" s="9"/>
      <c r="I2062" s="11" t="s">
        <v>1012</v>
      </c>
      <c r="J2062" s="12">
        <v>45869</v>
      </c>
      <c r="K2062" s="12">
        <v>45896</v>
      </c>
      <c r="L2062" s="27">
        <v>1110000</v>
      </c>
      <c r="M2062" s="10" t="s">
        <v>1091</v>
      </c>
      <c r="N2062" s="34">
        <f t="shared" ca="1" si="422"/>
        <v>371.46377638888953</v>
      </c>
      <c r="O2062" s="10"/>
      <c r="P2062" s="39"/>
      <c r="Q2062" s="39"/>
      <c r="R2062" s="39"/>
      <c r="S2062" s="37">
        <f t="shared" si="425"/>
        <v>0</v>
      </c>
      <c r="T2062" s="37">
        <f t="shared" si="426"/>
        <v>1110000</v>
      </c>
      <c r="U2062" s="10"/>
      <c r="V2062" s="10"/>
      <c r="W2062" s="10"/>
      <c r="X2062" s="10"/>
      <c r="Y2062" s="10"/>
      <c r="Z2062" s="10"/>
      <c r="AA2062" s="10"/>
      <c r="AB2062" s="10"/>
      <c r="AC2062" s="10"/>
      <c r="AD2062" s="10"/>
      <c r="AE2062" s="10"/>
    </row>
    <row r="2063" spans="1:31" ht="14.25" customHeight="1">
      <c r="A2063" s="277" t="s">
        <v>6188</v>
      </c>
      <c r="B2063" s="9" t="s">
        <v>21</v>
      </c>
      <c r="C2063" s="9">
        <v>2025</v>
      </c>
      <c r="D2063" s="9" t="s">
        <v>77</v>
      </c>
      <c r="E2063" s="90" t="s">
        <v>1011</v>
      </c>
      <c r="F2063" s="9" t="s">
        <v>1013</v>
      </c>
      <c r="G2063" s="10"/>
      <c r="H2063" s="9"/>
      <c r="I2063" s="11" t="s">
        <v>1012</v>
      </c>
      <c r="J2063" s="12">
        <v>45869</v>
      </c>
      <c r="K2063" s="12">
        <v>45896</v>
      </c>
      <c r="L2063" s="27">
        <v>1110000</v>
      </c>
      <c r="M2063" s="10" t="s">
        <v>1092</v>
      </c>
      <c r="N2063" s="34">
        <f t="shared" ca="1" si="422"/>
        <v>371.46377638888953</v>
      </c>
      <c r="O2063" s="10"/>
      <c r="P2063" s="39"/>
      <c r="Q2063" s="39"/>
      <c r="R2063" s="39"/>
      <c r="S2063" s="37">
        <f t="shared" si="425"/>
        <v>0</v>
      </c>
      <c r="T2063" s="37">
        <f t="shared" si="426"/>
        <v>1110000</v>
      </c>
      <c r="U2063" s="10"/>
      <c r="V2063" s="10"/>
      <c r="W2063" s="10"/>
      <c r="X2063" s="10"/>
      <c r="Y2063" s="10"/>
      <c r="Z2063" s="10"/>
      <c r="AA2063" s="10"/>
      <c r="AB2063" s="10"/>
      <c r="AC2063" s="10"/>
      <c r="AD2063" s="10"/>
      <c r="AE2063" s="10"/>
    </row>
    <row r="2064" spans="1:31" ht="14.25" customHeight="1">
      <c r="A2064" s="277" t="s">
        <v>6189</v>
      </c>
      <c r="B2064" s="9" t="s">
        <v>21</v>
      </c>
      <c r="C2064" s="9">
        <v>2025</v>
      </c>
      <c r="D2064" s="9" t="s">
        <v>77</v>
      </c>
      <c r="E2064" s="90" t="s">
        <v>1011</v>
      </c>
      <c r="F2064" s="9" t="s">
        <v>1013</v>
      </c>
      <c r="G2064" s="10"/>
      <c r="H2064" s="9"/>
      <c r="I2064" s="11" t="s">
        <v>1012</v>
      </c>
      <c r="J2064" s="12">
        <v>45873</v>
      </c>
      <c r="K2064" s="12">
        <v>45896</v>
      </c>
      <c r="L2064" s="27">
        <v>1110000</v>
      </c>
      <c r="M2064" s="10" t="s">
        <v>1093</v>
      </c>
      <c r="N2064" s="34">
        <f t="shared" ca="1" si="422"/>
        <v>367.46377638888953</v>
      </c>
      <c r="O2064" s="10"/>
      <c r="P2064" s="39"/>
      <c r="Q2064" s="39"/>
      <c r="R2064" s="39"/>
      <c r="S2064" s="37">
        <f t="shared" si="425"/>
        <v>0</v>
      </c>
      <c r="T2064" s="37">
        <f t="shared" si="426"/>
        <v>1110000</v>
      </c>
      <c r="U2064" s="10"/>
      <c r="V2064" s="10"/>
      <c r="W2064" s="10"/>
      <c r="X2064" s="10"/>
      <c r="Y2064" s="10"/>
      <c r="Z2064" s="10"/>
      <c r="AA2064" s="10"/>
      <c r="AB2064" s="10"/>
      <c r="AC2064" s="10"/>
      <c r="AD2064" s="10"/>
      <c r="AE2064" s="10"/>
    </row>
    <row r="2065" spans="1:31" ht="14.25" customHeight="1">
      <c r="A2065" s="277" t="s">
        <v>6190</v>
      </c>
      <c r="B2065" s="9" t="s">
        <v>21</v>
      </c>
      <c r="C2065" s="9">
        <v>2025</v>
      </c>
      <c r="D2065" s="9" t="s">
        <v>77</v>
      </c>
      <c r="E2065" s="90" t="s">
        <v>1011</v>
      </c>
      <c r="F2065" s="9" t="s">
        <v>1013</v>
      </c>
      <c r="G2065" s="10"/>
      <c r="H2065" s="9"/>
      <c r="I2065" s="11" t="s">
        <v>1012</v>
      </c>
      <c r="J2065" s="12">
        <v>45873</v>
      </c>
      <c r="K2065" s="12">
        <v>45896</v>
      </c>
      <c r="L2065" s="27">
        <v>1110000</v>
      </c>
      <c r="M2065" s="10" t="s">
        <v>1094</v>
      </c>
      <c r="N2065" s="34">
        <f t="shared" ca="1" si="422"/>
        <v>367.46377638888953</v>
      </c>
      <c r="O2065" s="10"/>
      <c r="P2065" s="39"/>
      <c r="Q2065" s="39"/>
      <c r="R2065" s="39"/>
      <c r="S2065" s="37">
        <f t="shared" si="425"/>
        <v>0</v>
      </c>
      <c r="T2065" s="37">
        <f t="shared" si="426"/>
        <v>1110000</v>
      </c>
      <c r="U2065" s="10"/>
      <c r="V2065" s="10"/>
      <c r="W2065" s="10"/>
      <c r="X2065" s="10"/>
      <c r="Y2065" s="10"/>
      <c r="Z2065" s="10"/>
      <c r="AA2065" s="10"/>
      <c r="AB2065" s="10"/>
      <c r="AC2065" s="10"/>
      <c r="AD2065" s="10"/>
      <c r="AE2065" s="10"/>
    </row>
    <row r="2066" spans="1:31" ht="14.25" customHeight="1">
      <c r="A2066" s="277" t="s">
        <v>6191</v>
      </c>
      <c r="B2066" s="9" t="s">
        <v>21</v>
      </c>
      <c r="C2066" s="9">
        <v>2025</v>
      </c>
      <c r="D2066" s="9" t="s">
        <v>77</v>
      </c>
      <c r="E2066" s="90" t="s">
        <v>1011</v>
      </c>
      <c r="F2066" s="9" t="s">
        <v>1013</v>
      </c>
      <c r="G2066" s="10"/>
      <c r="H2066" s="9"/>
      <c r="I2066" s="11" t="s">
        <v>1012</v>
      </c>
      <c r="J2066" s="12">
        <v>45873</v>
      </c>
      <c r="K2066" s="12">
        <v>45896</v>
      </c>
      <c r="L2066" s="27">
        <v>1110000</v>
      </c>
      <c r="M2066" s="10" t="s">
        <v>1095</v>
      </c>
      <c r="N2066" s="34">
        <f t="shared" ca="1" si="422"/>
        <v>367.46377638888953</v>
      </c>
      <c r="O2066" s="10"/>
      <c r="P2066" s="39"/>
      <c r="Q2066" s="39"/>
      <c r="R2066" s="39"/>
      <c r="S2066" s="37">
        <f t="shared" si="425"/>
        <v>0</v>
      </c>
      <c r="T2066" s="37">
        <f t="shared" si="426"/>
        <v>1110000</v>
      </c>
      <c r="U2066" s="10"/>
      <c r="V2066" s="10"/>
      <c r="W2066" s="10"/>
      <c r="X2066" s="10"/>
      <c r="Y2066" s="10"/>
      <c r="Z2066" s="10"/>
      <c r="AA2066" s="10"/>
      <c r="AB2066" s="10"/>
      <c r="AC2066" s="10"/>
      <c r="AD2066" s="10"/>
      <c r="AE2066" s="10"/>
    </row>
    <row r="2067" spans="1:31" ht="14.25" customHeight="1">
      <c r="A2067" s="277" t="s">
        <v>6192</v>
      </c>
      <c r="B2067" s="9" t="s">
        <v>21</v>
      </c>
      <c r="C2067" s="9">
        <v>2025</v>
      </c>
      <c r="D2067" s="9" t="s">
        <v>77</v>
      </c>
      <c r="E2067" s="90" t="s">
        <v>1011</v>
      </c>
      <c r="F2067" s="9" t="s">
        <v>1013</v>
      </c>
      <c r="G2067" s="10"/>
      <c r="H2067" s="9"/>
      <c r="I2067" s="11" t="s">
        <v>1012</v>
      </c>
      <c r="J2067" s="12">
        <v>45882</v>
      </c>
      <c r="K2067" s="12">
        <v>45896</v>
      </c>
      <c r="L2067" s="27">
        <v>2220000</v>
      </c>
      <c r="M2067" s="10" t="s">
        <v>1096</v>
      </c>
      <c r="N2067" s="34">
        <f t="shared" ca="1" si="422"/>
        <v>358.46377638888953</v>
      </c>
      <c r="O2067" s="10"/>
      <c r="P2067" s="39"/>
      <c r="Q2067" s="39"/>
      <c r="R2067" s="39"/>
      <c r="S2067" s="37">
        <f t="shared" si="425"/>
        <v>0</v>
      </c>
      <c r="T2067" s="37">
        <f t="shared" si="426"/>
        <v>2220000</v>
      </c>
      <c r="U2067" s="10"/>
      <c r="V2067" s="10"/>
      <c r="W2067" s="10"/>
      <c r="X2067" s="10"/>
      <c r="Y2067" s="10"/>
      <c r="Z2067" s="10"/>
      <c r="AA2067" s="10"/>
      <c r="AB2067" s="10"/>
      <c r="AC2067" s="10"/>
      <c r="AD2067" s="10"/>
      <c r="AE2067" s="10"/>
    </row>
    <row r="2068" spans="1:31" ht="14.25" customHeight="1">
      <c r="A2068" s="277" t="s">
        <v>6193</v>
      </c>
      <c r="B2068" s="9" t="s">
        <v>21</v>
      </c>
      <c r="C2068" s="9">
        <v>2025</v>
      </c>
      <c r="D2068" s="9" t="s">
        <v>77</v>
      </c>
      <c r="E2068" s="90" t="s">
        <v>1011</v>
      </c>
      <c r="F2068" s="9" t="s">
        <v>1013</v>
      </c>
      <c r="G2068" s="10"/>
      <c r="H2068" s="9"/>
      <c r="I2068" s="11" t="s">
        <v>1012</v>
      </c>
      <c r="J2068" s="12">
        <v>45883</v>
      </c>
      <c r="K2068" s="12">
        <v>45947</v>
      </c>
      <c r="L2068" s="27">
        <v>3870000</v>
      </c>
      <c r="M2068" s="10" t="s">
        <v>3825</v>
      </c>
      <c r="N2068" s="34">
        <f t="shared" ref="N2068:N2112" ca="1" si="427">$J$3-J2068</f>
        <v>357.46377638888953</v>
      </c>
      <c r="O2068" s="10"/>
      <c r="P2068" s="39"/>
      <c r="Q2068" s="39"/>
      <c r="R2068" s="39"/>
      <c r="S2068" s="37">
        <f t="shared" ref="S2068:S2075" si="428">IF(R2068="",0,L2068)</f>
        <v>0</v>
      </c>
      <c r="T2068" s="37">
        <f t="shared" ref="T2068:T2075" si="429">L2068-S2068</f>
        <v>3870000</v>
      </c>
      <c r="U2068" s="10"/>
      <c r="V2068" s="10"/>
      <c r="W2068" s="10"/>
      <c r="X2068" s="10"/>
      <c r="Y2068" s="10"/>
      <c r="Z2068" s="10"/>
      <c r="AA2068" s="10"/>
      <c r="AB2068" s="10"/>
      <c r="AC2068" s="10"/>
      <c r="AD2068" s="10"/>
      <c r="AE2068" s="10"/>
    </row>
    <row r="2069" spans="1:31" ht="14.25" customHeight="1">
      <c r="A2069" s="277" t="s">
        <v>6194</v>
      </c>
      <c r="B2069" s="9" t="s">
        <v>21</v>
      </c>
      <c r="C2069" s="9">
        <v>2025</v>
      </c>
      <c r="D2069" s="9" t="s">
        <v>77</v>
      </c>
      <c r="E2069" s="90" t="s">
        <v>1011</v>
      </c>
      <c r="F2069" s="9" t="s">
        <v>1013</v>
      </c>
      <c r="G2069" s="10"/>
      <c r="H2069" s="9"/>
      <c r="I2069" s="11" t="s">
        <v>1012</v>
      </c>
      <c r="J2069" s="12">
        <v>45891</v>
      </c>
      <c r="K2069" s="12">
        <v>45947</v>
      </c>
      <c r="L2069" s="27">
        <v>1110000</v>
      </c>
      <c r="M2069" s="10" t="s">
        <v>3826</v>
      </c>
      <c r="N2069" s="34">
        <f t="shared" ca="1" si="427"/>
        <v>349.46377638888953</v>
      </c>
      <c r="O2069" s="10"/>
      <c r="P2069" s="39"/>
      <c r="Q2069" s="39"/>
      <c r="R2069" s="39"/>
      <c r="S2069" s="37">
        <f t="shared" si="428"/>
        <v>0</v>
      </c>
      <c r="T2069" s="37">
        <f t="shared" si="429"/>
        <v>1110000</v>
      </c>
      <c r="U2069" s="10"/>
      <c r="V2069" s="10"/>
      <c r="W2069" s="10"/>
      <c r="X2069" s="10"/>
      <c r="Y2069" s="10"/>
      <c r="Z2069" s="10"/>
      <c r="AA2069" s="10"/>
      <c r="AB2069" s="10"/>
      <c r="AC2069" s="10"/>
      <c r="AD2069" s="10"/>
      <c r="AE2069" s="10"/>
    </row>
    <row r="2070" spans="1:31" ht="14.25" customHeight="1">
      <c r="A2070" s="277" t="s">
        <v>6195</v>
      </c>
      <c r="B2070" s="9" t="s">
        <v>21</v>
      </c>
      <c r="C2070" s="9">
        <v>2025</v>
      </c>
      <c r="D2070" s="9" t="s">
        <v>77</v>
      </c>
      <c r="E2070" s="90" t="s">
        <v>1011</v>
      </c>
      <c r="F2070" s="9" t="s">
        <v>1013</v>
      </c>
      <c r="G2070" s="10"/>
      <c r="H2070" s="9"/>
      <c r="I2070" s="11" t="s">
        <v>1012</v>
      </c>
      <c r="J2070" s="12">
        <v>45891</v>
      </c>
      <c r="K2070" s="12">
        <v>45947</v>
      </c>
      <c r="L2070" s="27">
        <v>2220000</v>
      </c>
      <c r="M2070" s="10" t="s">
        <v>3827</v>
      </c>
      <c r="N2070" s="34">
        <f t="shared" ca="1" si="427"/>
        <v>349.46377638888953</v>
      </c>
      <c r="O2070" s="10"/>
      <c r="P2070" s="39"/>
      <c r="Q2070" s="39"/>
      <c r="R2070" s="39"/>
      <c r="S2070" s="37">
        <f t="shared" si="428"/>
        <v>0</v>
      </c>
      <c r="T2070" s="37">
        <f t="shared" si="429"/>
        <v>2220000</v>
      </c>
      <c r="U2070" s="10"/>
      <c r="V2070" s="10"/>
      <c r="W2070" s="10"/>
      <c r="X2070" s="10"/>
      <c r="Y2070" s="10"/>
      <c r="Z2070" s="10"/>
      <c r="AA2070" s="10"/>
      <c r="AB2070" s="10"/>
      <c r="AC2070" s="10"/>
      <c r="AD2070" s="10"/>
      <c r="AE2070" s="10"/>
    </row>
    <row r="2071" spans="1:31" ht="14.25" customHeight="1">
      <c r="A2071" s="277" t="s">
        <v>6196</v>
      </c>
      <c r="B2071" s="9" t="s">
        <v>21</v>
      </c>
      <c r="C2071" s="9">
        <v>2025</v>
      </c>
      <c r="D2071" s="9" t="s">
        <v>77</v>
      </c>
      <c r="E2071" s="90" t="s">
        <v>1011</v>
      </c>
      <c r="F2071" s="9" t="s">
        <v>1013</v>
      </c>
      <c r="G2071" s="10"/>
      <c r="H2071" s="9"/>
      <c r="I2071" s="11" t="s">
        <v>1012</v>
      </c>
      <c r="J2071" s="12">
        <v>45897</v>
      </c>
      <c r="K2071" s="12">
        <v>45947</v>
      </c>
      <c r="L2071" s="27">
        <v>2220000</v>
      </c>
      <c r="M2071" s="10" t="s">
        <v>3828</v>
      </c>
      <c r="N2071" s="34">
        <f t="shared" ca="1" si="427"/>
        <v>343.46377638888953</v>
      </c>
      <c r="O2071" s="10"/>
      <c r="P2071" s="39"/>
      <c r="Q2071" s="39"/>
      <c r="R2071" s="39"/>
      <c r="S2071" s="37">
        <f t="shared" si="428"/>
        <v>0</v>
      </c>
      <c r="T2071" s="37">
        <f t="shared" si="429"/>
        <v>2220000</v>
      </c>
      <c r="U2071" s="10"/>
      <c r="V2071" s="10"/>
      <c r="W2071" s="10"/>
      <c r="X2071" s="10"/>
      <c r="Y2071" s="10"/>
      <c r="Z2071" s="10"/>
      <c r="AA2071" s="10"/>
      <c r="AB2071" s="10"/>
      <c r="AC2071" s="10"/>
      <c r="AD2071" s="10"/>
      <c r="AE2071" s="10"/>
    </row>
    <row r="2072" spans="1:31" ht="14.25" customHeight="1">
      <c r="A2072" s="277" t="s">
        <v>6197</v>
      </c>
      <c r="B2072" s="9" t="s">
        <v>21</v>
      </c>
      <c r="C2072" s="9">
        <v>2025</v>
      </c>
      <c r="D2072" s="9" t="s">
        <v>77</v>
      </c>
      <c r="E2072" s="90" t="s">
        <v>1011</v>
      </c>
      <c r="F2072" s="9" t="s">
        <v>1013</v>
      </c>
      <c r="G2072" s="10"/>
      <c r="H2072" s="9"/>
      <c r="I2072" s="11" t="s">
        <v>1012</v>
      </c>
      <c r="J2072" s="12">
        <v>45897</v>
      </c>
      <c r="K2072" s="12">
        <v>45947</v>
      </c>
      <c r="L2072" s="27">
        <v>2220000</v>
      </c>
      <c r="M2072" s="10" t="s">
        <v>3829</v>
      </c>
      <c r="N2072" s="34">
        <f t="shared" ca="1" si="427"/>
        <v>343.46377638888953</v>
      </c>
      <c r="O2072" s="10"/>
      <c r="P2072" s="39"/>
      <c r="Q2072" s="39"/>
      <c r="R2072" s="39"/>
      <c r="S2072" s="37">
        <f t="shared" si="428"/>
        <v>0</v>
      </c>
      <c r="T2072" s="37">
        <f t="shared" si="429"/>
        <v>2220000</v>
      </c>
      <c r="U2072" s="10"/>
      <c r="V2072" s="10"/>
      <c r="W2072" s="10"/>
      <c r="X2072" s="10"/>
      <c r="Y2072" s="10"/>
      <c r="Z2072" s="10"/>
      <c r="AA2072" s="10"/>
      <c r="AB2072" s="10"/>
      <c r="AC2072" s="10"/>
      <c r="AD2072" s="10"/>
      <c r="AE2072" s="10"/>
    </row>
    <row r="2073" spans="1:31" ht="14.25" customHeight="1">
      <c r="A2073" s="277" t="s">
        <v>6198</v>
      </c>
      <c r="B2073" s="9" t="s">
        <v>21</v>
      </c>
      <c r="C2073" s="9">
        <v>2025</v>
      </c>
      <c r="D2073" s="9" t="s">
        <v>77</v>
      </c>
      <c r="E2073" s="90" t="s">
        <v>1011</v>
      </c>
      <c r="F2073" s="9" t="s">
        <v>1013</v>
      </c>
      <c r="G2073" s="10"/>
      <c r="H2073" s="9"/>
      <c r="I2073" s="11" t="s">
        <v>1012</v>
      </c>
      <c r="J2073" s="12">
        <v>45897</v>
      </c>
      <c r="K2073" s="12">
        <v>45947</v>
      </c>
      <c r="L2073" s="27">
        <v>1110000</v>
      </c>
      <c r="M2073" s="10" t="s">
        <v>3830</v>
      </c>
      <c r="N2073" s="34">
        <f t="shared" ca="1" si="427"/>
        <v>343.46377638888953</v>
      </c>
      <c r="O2073" s="10"/>
      <c r="P2073" s="39"/>
      <c r="Q2073" s="39"/>
      <c r="R2073" s="39"/>
      <c r="S2073" s="37">
        <f t="shared" si="428"/>
        <v>0</v>
      </c>
      <c r="T2073" s="37">
        <f t="shared" si="429"/>
        <v>1110000</v>
      </c>
      <c r="U2073" s="10"/>
      <c r="V2073" s="10"/>
      <c r="W2073" s="10"/>
      <c r="X2073" s="10"/>
      <c r="Y2073" s="10"/>
      <c r="Z2073" s="10"/>
      <c r="AA2073" s="10"/>
      <c r="AB2073" s="10"/>
      <c r="AC2073" s="10"/>
      <c r="AD2073" s="10"/>
      <c r="AE2073" s="10"/>
    </row>
    <row r="2074" spans="1:31" ht="14.25" customHeight="1">
      <c r="A2074" s="277" t="s">
        <v>6199</v>
      </c>
      <c r="B2074" s="9" t="s">
        <v>21</v>
      </c>
      <c r="C2074" s="9">
        <v>2025</v>
      </c>
      <c r="D2074" s="9" t="s">
        <v>77</v>
      </c>
      <c r="E2074" s="90" t="s">
        <v>1011</v>
      </c>
      <c r="F2074" s="9" t="s">
        <v>1013</v>
      </c>
      <c r="G2074" s="10"/>
      <c r="H2074" s="9"/>
      <c r="I2074" s="11" t="s">
        <v>1012</v>
      </c>
      <c r="J2074" s="12">
        <v>45897</v>
      </c>
      <c r="K2074" s="12">
        <v>45947</v>
      </c>
      <c r="L2074" s="27">
        <v>1110000</v>
      </c>
      <c r="M2074" s="10" t="s">
        <v>3831</v>
      </c>
      <c r="N2074" s="34">
        <f t="shared" ca="1" si="427"/>
        <v>343.46377638888953</v>
      </c>
      <c r="O2074" s="10"/>
      <c r="P2074" s="39"/>
      <c r="Q2074" s="39"/>
      <c r="R2074" s="39"/>
      <c r="S2074" s="37">
        <f t="shared" si="428"/>
        <v>0</v>
      </c>
      <c r="T2074" s="37">
        <f t="shared" si="429"/>
        <v>1110000</v>
      </c>
      <c r="U2074" s="10"/>
      <c r="V2074" s="10"/>
      <c r="W2074" s="10"/>
      <c r="X2074" s="10"/>
      <c r="Y2074" s="10"/>
      <c r="Z2074" s="10"/>
      <c r="AA2074" s="10"/>
      <c r="AB2074" s="10"/>
      <c r="AC2074" s="10"/>
      <c r="AD2074" s="10"/>
      <c r="AE2074" s="10"/>
    </row>
    <row r="2075" spans="1:31" ht="14.25" customHeight="1">
      <c r="A2075" s="277" t="s">
        <v>6200</v>
      </c>
      <c r="B2075" s="9" t="s">
        <v>21</v>
      </c>
      <c r="C2075" s="9">
        <v>2025</v>
      </c>
      <c r="D2075" s="9" t="s">
        <v>77</v>
      </c>
      <c r="E2075" s="90" t="s">
        <v>1011</v>
      </c>
      <c r="F2075" s="9" t="s">
        <v>1013</v>
      </c>
      <c r="G2075" s="10"/>
      <c r="H2075" s="9"/>
      <c r="I2075" s="11" t="s">
        <v>1012</v>
      </c>
      <c r="J2075" s="12">
        <v>45897</v>
      </c>
      <c r="K2075" s="12">
        <v>45947</v>
      </c>
      <c r="L2075" s="27">
        <v>1110000</v>
      </c>
      <c r="M2075" s="10" t="s">
        <v>3832</v>
      </c>
      <c r="N2075" s="34">
        <f t="shared" ca="1" si="427"/>
        <v>343.46377638888953</v>
      </c>
      <c r="O2075" s="10"/>
      <c r="P2075" s="39"/>
      <c r="Q2075" s="39"/>
      <c r="R2075" s="39"/>
      <c r="S2075" s="37">
        <f t="shared" si="428"/>
        <v>0</v>
      </c>
      <c r="T2075" s="37">
        <f t="shared" si="429"/>
        <v>1110000</v>
      </c>
      <c r="U2075" s="10"/>
      <c r="V2075" s="10"/>
      <c r="W2075" s="10"/>
      <c r="X2075" s="10"/>
      <c r="Y2075" s="10"/>
      <c r="Z2075" s="10"/>
      <c r="AA2075" s="10"/>
      <c r="AB2075" s="10"/>
      <c r="AC2075" s="10"/>
      <c r="AD2075" s="10"/>
      <c r="AE2075" s="10"/>
    </row>
    <row r="2076" spans="1:31" ht="14.25" customHeight="1">
      <c r="A2076" s="277" t="s">
        <v>6201</v>
      </c>
      <c r="B2076" s="9" t="s">
        <v>21</v>
      </c>
      <c r="C2076" s="9">
        <v>2025</v>
      </c>
      <c r="D2076" s="9" t="s">
        <v>77</v>
      </c>
      <c r="E2076" s="90" t="s">
        <v>1011</v>
      </c>
      <c r="F2076" s="9" t="s">
        <v>1013</v>
      </c>
      <c r="G2076" s="10"/>
      <c r="H2076" s="9"/>
      <c r="I2076" s="11" t="s">
        <v>1012</v>
      </c>
      <c r="J2076" s="12">
        <v>45899</v>
      </c>
      <c r="K2076" s="12">
        <v>45947</v>
      </c>
      <c r="L2076" s="27">
        <v>1110000</v>
      </c>
      <c r="M2076" s="10" t="s">
        <v>3833</v>
      </c>
      <c r="N2076" s="34">
        <f t="shared" ca="1" si="427"/>
        <v>341.46377638888953</v>
      </c>
      <c r="O2076" s="10"/>
      <c r="P2076" s="39"/>
      <c r="Q2076" s="39"/>
      <c r="R2076" s="39"/>
      <c r="S2076" s="37">
        <f t="shared" ref="S2076:S2084" si="430">IF(R2076="",0,L2076)</f>
        <v>0</v>
      </c>
      <c r="T2076" s="37">
        <f t="shared" ref="T2076:T2084" si="431">L2076-S2076</f>
        <v>1110000</v>
      </c>
      <c r="U2076" s="10"/>
      <c r="V2076" s="10"/>
      <c r="W2076" s="10"/>
      <c r="X2076" s="10"/>
      <c r="Y2076" s="10"/>
      <c r="Z2076" s="10"/>
      <c r="AA2076" s="10"/>
      <c r="AB2076" s="10"/>
      <c r="AC2076" s="10"/>
      <c r="AD2076" s="10"/>
      <c r="AE2076" s="10"/>
    </row>
    <row r="2077" spans="1:31" ht="14.25" customHeight="1">
      <c r="A2077" s="277" t="s">
        <v>6202</v>
      </c>
      <c r="B2077" s="9" t="s">
        <v>21</v>
      </c>
      <c r="C2077" s="9">
        <v>2025</v>
      </c>
      <c r="D2077" s="9" t="s">
        <v>77</v>
      </c>
      <c r="E2077" s="90" t="s">
        <v>1011</v>
      </c>
      <c r="F2077" s="9" t="s">
        <v>1013</v>
      </c>
      <c r="G2077" s="10"/>
      <c r="H2077" s="9"/>
      <c r="I2077" s="11" t="s">
        <v>1012</v>
      </c>
      <c r="J2077" s="12">
        <v>45904</v>
      </c>
      <c r="K2077" s="12">
        <v>45947</v>
      </c>
      <c r="L2077" s="27">
        <v>1110000</v>
      </c>
      <c r="M2077" s="10" t="s">
        <v>3834</v>
      </c>
      <c r="N2077" s="34">
        <f t="shared" ca="1" si="427"/>
        <v>336.46377638888953</v>
      </c>
      <c r="O2077" s="10"/>
      <c r="P2077" s="39"/>
      <c r="Q2077" s="39"/>
      <c r="R2077" s="39"/>
      <c r="S2077" s="37">
        <f t="shared" si="430"/>
        <v>0</v>
      </c>
      <c r="T2077" s="37">
        <f t="shared" si="431"/>
        <v>1110000</v>
      </c>
      <c r="U2077" s="10"/>
      <c r="V2077" s="10"/>
      <c r="W2077" s="10"/>
      <c r="X2077" s="10"/>
      <c r="Y2077" s="10"/>
      <c r="Z2077" s="10"/>
      <c r="AA2077" s="10"/>
      <c r="AB2077" s="10"/>
      <c r="AC2077" s="10"/>
      <c r="AD2077" s="10"/>
      <c r="AE2077" s="10"/>
    </row>
    <row r="2078" spans="1:31" ht="14.25" customHeight="1">
      <c r="A2078" s="277" t="s">
        <v>6203</v>
      </c>
      <c r="B2078" s="9" t="s">
        <v>21</v>
      </c>
      <c r="C2078" s="9">
        <v>2025</v>
      </c>
      <c r="D2078" s="9" t="s">
        <v>77</v>
      </c>
      <c r="E2078" s="90" t="s">
        <v>1011</v>
      </c>
      <c r="F2078" s="9" t="s">
        <v>1013</v>
      </c>
      <c r="G2078" s="10"/>
      <c r="H2078" s="9"/>
      <c r="I2078" s="11" t="s">
        <v>1012</v>
      </c>
      <c r="J2078" s="12">
        <v>45909</v>
      </c>
      <c r="K2078" s="12">
        <v>45947</v>
      </c>
      <c r="L2078" s="27">
        <v>2220000</v>
      </c>
      <c r="M2078" s="10" t="s">
        <v>3835</v>
      </c>
      <c r="N2078" s="34">
        <f t="shared" ca="1" si="427"/>
        <v>331.46377638888953</v>
      </c>
      <c r="O2078" s="10"/>
      <c r="P2078" s="39"/>
      <c r="Q2078" s="39"/>
      <c r="R2078" s="39"/>
      <c r="S2078" s="37">
        <f t="shared" si="430"/>
        <v>0</v>
      </c>
      <c r="T2078" s="37">
        <f t="shared" si="431"/>
        <v>2220000</v>
      </c>
      <c r="U2078" s="10"/>
      <c r="V2078" s="10"/>
      <c r="W2078" s="10"/>
      <c r="X2078" s="10"/>
      <c r="Y2078" s="10"/>
      <c r="Z2078" s="10"/>
      <c r="AA2078" s="10"/>
      <c r="AB2078" s="10"/>
      <c r="AC2078" s="10"/>
      <c r="AD2078" s="10"/>
      <c r="AE2078" s="10"/>
    </row>
    <row r="2079" spans="1:31" ht="14.25" customHeight="1">
      <c r="A2079" s="277" t="s">
        <v>6204</v>
      </c>
      <c r="B2079" s="9" t="s">
        <v>21</v>
      </c>
      <c r="C2079" s="9">
        <v>2025</v>
      </c>
      <c r="D2079" s="9" t="s">
        <v>77</v>
      </c>
      <c r="E2079" s="90" t="s">
        <v>1011</v>
      </c>
      <c r="F2079" s="9" t="s">
        <v>1013</v>
      </c>
      <c r="G2079" s="10"/>
      <c r="H2079" s="9"/>
      <c r="I2079" s="11" t="s">
        <v>1012</v>
      </c>
      <c r="J2079" s="12">
        <v>45916</v>
      </c>
      <c r="K2079" s="12">
        <v>45947</v>
      </c>
      <c r="L2079" s="27">
        <v>270000</v>
      </c>
      <c r="M2079" s="10" t="s">
        <v>3836</v>
      </c>
      <c r="N2079" s="34">
        <f t="shared" ca="1" si="427"/>
        <v>324.46377638888953</v>
      </c>
      <c r="O2079" s="10"/>
      <c r="P2079" s="39"/>
      <c r="Q2079" s="39"/>
      <c r="R2079" s="39"/>
      <c r="S2079" s="37">
        <f t="shared" si="430"/>
        <v>0</v>
      </c>
      <c r="T2079" s="37">
        <f t="shared" si="431"/>
        <v>270000</v>
      </c>
      <c r="U2079" s="10"/>
      <c r="V2079" s="10"/>
      <c r="W2079" s="10"/>
      <c r="X2079" s="10"/>
      <c r="Y2079" s="10"/>
      <c r="Z2079" s="10"/>
      <c r="AA2079" s="10"/>
      <c r="AB2079" s="10"/>
      <c r="AC2079" s="10"/>
      <c r="AD2079" s="10"/>
      <c r="AE2079" s="10"/>
    </row>
    <row r="2080" spans="1:31" ht="14.25" customHeight="1">
      <c r="A2080" s="277" t="s">
        <v>6205</v>
      </c>
      <c r="B2080" s="9" t="s">
        <v>21</v>
      </c>
      <c r="C2080" s="9">
        <v>2025</v>
      </c>
      <c r="D2080" s="9" t="s">
        <v>77</v>
      </c>
      <c r="E2080" s="90" t="s">
        <v>1011</v>
      </c>
      <c r="F2080" s="9" t="s">
        <v>1013</v>
      </c>
      <c r="G2080" s="10"/>
      <c r="H2080" s="9"/>
      <c r="I2080" s="11" t="s">
        <v>1012</v>
      </c>
      <c r="J2080" s="12">
        <v>45916</v>
      </c>
      <c r="K2080" s="12">
        <v>45947</v>
      </c>
      <c r="L2080" s="27">
        <v>1110000</v>
      </c>
      <c r="M2080" s="10" t="s">
        <v>3837</v>
      </c>
      <c r="N2080" s="34">
        <f t="shared" ca="1" si="427"/>
        <v>324.46377638888953</v>
      </c>
      <c r="O2080" s="10"/>
      <c r="P2080" s="39"/>
      <c r="Q2080" s="39"/>
      <c r="R2080" s="39"/>
      <c r="S2080" s="37">
        <f t="shared" si="430"/>
        <v>0</v>
      </c>
      <c r="T2080" s="37">
        <f t="shared" si="431"/>
        <v>1110000</v>
      </c>
      <c r="U2080" s="10"/>
      <c r="V2080" s="10"/>
      <c r="W2080" s="10"/>
      <c r="X2080" s="10"/>
      <c r="Y2080" s="10"/>
      <c r="Z2080" s="10"/>
      <c r="AA2080" s="10"/>
      <c r="AB2080" s="10"/>
      <c r="AC2080" s="10"/>
      <c r="AD2080" s="10"/>
      <c r="AE2080" s="10"/>
    </row>
    <row r="2081" spans="1:31" ht="14.25" customHeight="1">
      <c r="A2081" s="277" t="s">
        <v>7811</v>
      </c>
      <c r="B2081" s="9" t="s">
        <v>21</v>
      </c>
      <c r="C2081" s="9">
        <v>2025</v>
      </c>
      <c r="D2081" s="9" t="s">
        <v>77</v>
      </c>
      <c r="E2081" s="90" t="s">
        <v>1011</v>
      </c>
      <c r="F2081" s="9" t="s">
        <v>1013</v>
      </c>
      <c r="G2081" s="10"/>
      <c r="H2081" s="9"/>
      <c r="I2081" s="11" t="s">
        <v>1012</v>
      </c>
      <c r="J2081" s="12">
        <v>45916</v>
      </c>
      <c r="K2081" s="12">
        <v>45947</v>
      </c>
      <c r="L2081" s="27">
        <v>1110000</v>
      </c>
      <c r="M2081" s="10" t="s">
        <v>3838</v>
      </c>
      <c r="N2081" s="34">
        <f t="shared" ca="1" si="427"/>
        <v>324.46377638888953</v>
      </c>
      <c r="O2081" s="10"/>
      <c r="P2081" s="39"/>
      <c r="Q2081" s="39"/>
      <c r="R2081" s="39"/>
      <c r="S2081" s="37">
        <f t="shared" si="430"/>
        <v>0</v>
      </c>
      <c r="T2081" s="37">
        <f t="shared" si="431"/>
        <v>1110000</v>
      </c>
      <c r="U2081" s="10"/>
      <c r="V2081" s="10"/>
      <c r="W2081" s="10"/>
      <c r="X2081" s="10"/>
      <c r="Y2081" s="10"/>
      <c r="Z2081" s="10"/>
      <c r="AA2081" s="10"/>
      <c r="AB2081" s="10"/>
      <c r="AC2081" s="10"/>
      <c r="AD2081" s="10"/>
      <c r="AE2081" s="10"/>
    </row>
    <row r="2082" spans="1:31" ht="14.25" customHeight="1">
      <c r="A2082" s="277" t="s">
        <v>7812</v>
      </c>
      <c r="B2082" s="9" t="s">
        <v>21</v>
      </c>
      <c r="C2082" s="9">
        <v>2025</v>
      </c>
      <c r="D2082" s="9" t="s">
        <v>77</v>
      </c>
      <c r="E2082" s="90" t="s">
        <v>1011</v>
      </c>
      <c r="F2082" s="9" t="s">
        <v>1013</v>
      </c>
      <c r="G2082" s="10"/>
      <c r="H2082" s="9"/>
      <c r="I2082" s="11" t="s">
        <v>1012</v>
      </c>
      <c r="J2082" s="12">
        <v>45923</v>
      </c>
      <c r="K2082" s="12">
        <v>45947</v>
      </c>
      <c r="L2082" s="27">
        <v>1110000</v>
      </c>
      <c r="M2082" s="10" t="s">
        <v>3839</v>
      </c>
      <c r="N2082" s="34">
        <f t="shared" ca="1" si="427"/>
        <v>317.46377638888953</v>
      </c>
      <c r="O2082" s="10"/>
      <c r="P2082" s="39"/>
      <c r="Q2082" s="39"/>
      <c r="R2082" s="39"/>
      <c r="S2082" s="37">
        <f t="shared" si="430"/>
        <v>0</v>
      </c>
      <c r="T2082" s="37">
        <f t="shared" si="431"/>
        <v>1110000</v>
      </c>
      <c r="U2082" s="10"/>
      <c r="V2082" s="10"/>
      <c r="W2082" s="10"/>
      <c r="X2082" s="10"/>
      <c r="Y2082" s="10"/>
      <c r="Z2082" s="10"/>
      <c r="AA2082" s="10"/>
      <c r="AB2082" s="10"/>
      <c r="AC2082" s="10"/>
      <c r="AD2082" s="10"/>
      <c r="AE2082" s="10"/>
    </row>
    <row r="2083" spans="1:31" ht="14.25" customHeight="1">
      <c r="A2083" s="277" t="s">
        <v>7813</v>
      </c>
      <c r="B2083" s="9" t="s">
        <v>21</v>
      </c>
      <c r="C2083" s="9">
        <v>2025</v>
      </c>
      <c r="D2083" s="9" t="s">
        <v>77</v>
      </c>
      <c r="E2083" s="90" t="s">
        <v>1011</v>
      </c>
      <c r="F2083" s="9" t="s">
        <v>1013</v>
      </c>
      <c r="G2083" s="10"/>
      <c r="H2083" s="9"/>
      <c r="I2083" s="11" t="s">
        <v>1012</v>
      </c>
      <c r="J2083" s="12">
        <v>45923</v>
      </c>
      <c r="K2083" s="12">
        <v>45947</v>
      </c>
      <c r="L2083" s="27">
        <v>1110000</v>
      </c>
      <c r="M2083" s="10" t="s">
        <v>3840</v>
      </c>
      <c r="N2083" s="34">
        <f t="shared" ca="1" si="427"/>
        <v>317.46377638888953</v>
      </c>
      <c r="O2083" s="10"/>
      <c r="P2083" s="39"/>
      <c r="Q2083" s="39"/>
      <c r="R2083" s="39"/>
      <c r="S2083" s="37">
        <f t="shared" si="430"/>
        <v>0</v>
      </c>
      <c r="T2083" s="37">
        <f t="shared" si="431"/>
        <v>1110000</v>
      </c>
      <c r="U2083" s="10"/>
      <c r="V2083" s="10"/>
      <c r="W2083" s="10"/>
      <c r="X2083" s="10"/>
      <c r="Y2083" s="10"/>
      <c r="Z2083" s="10"/>
      <c r="AA2083" s="10"/>
      <c r="AB2083" s="10"/>
      <c r="AC2083" s="10"/>
      <c r="AD2083" s="10"/>
      <c r="AE2083" s="10"/>
    </row>
    <row r="2084" spans="1:31" ht="14.25" customHeight="1">
      <c r="A2084" s="277" t="s">
        <v>7814</v>
      </c>
      <c r="B2084" s="9" t="s">
        <v>21</v>
      </c>
      <c r="C2084" s="9">
        <v>2025</v>
      </c>
      <c r="D2084" s="9" t="s">
        <v>77</v>
      </c>
      <c r="E2084" s="90" t="s">
        <v>1011</v>
      </c>
      <c r="F2084" s="9" t="s">
        <v>1013</v>
      </c>
      <c r="G2084" s="10"/>
      <c r="H2084" s="9"/>
      <c r="I2084" s="11" t="s">
        <v>1012</v>
      </c>
      <c r="J2084" s="12">
        <v>45930</v>
      </c>
      <c r="K2084" s="12">
        <v>45947</v>
      </c>
      <c r="L2084" s="27">
        <v>1110000</v>
      </c>
      <c r="M2084" s="10" t="s">
        <v>3841</v>
      </c>
      <c r="N2084" s="34">
        <f t="shared" ca="1" si="427"/>
        <v>310.46377638888953</v>
      </c>
      <c r="O2084" s="10"/>
      <c r="P2084" s="39"/>
      <c r="Q2084" s="39"/>
      <c r="R2084" s="39"/>
      <c r="S2084" s="37">
        <f t="shared" si="430"/>
        <v>0</v>
      </c>
      <c r="T2084" s="37">
        <f t="shared" si="431"/>
        <v>1110000</v>
      </c>
      <c r="U2084" s="10"/>
      <c r="V2084" s="10"/>
      <c r="W2084" s="10"/>
      <c r="X2084" s="10"/>
      <c r="Y2084" s="10"/>
      <c r="Z2084" s="10"/>
      <c r="AA2084" s="10"/>
      <c r="AB2084" s="10"/>
      <c r="AC2084" s="10"/>
      <c r="AD2084" s="10"/>
      <c r="AE2084" s="10"/>
    </row>
    <row r="2085" spans="1:31" ht="14.25" customHeight="1">
      <c r="A2085" s="277" t="s">
        <v>7815</v>
      </c>
      <c r="B2085" s="9" t="s">
        <v>21</v>
      </c>
      <c r="C2085" s="9">
        <v>2025</v>
      </c>
      <c r="D2085" s="9" t="s">
        <v>77</v>
      </c>
      <c r="E2085" s="90" t="s">
        <v>1011</v>
      </c>
      <c r="F2085" s="9" t="s">
        <v>1013</v>
      </c>
      <c r="G2085" s="10"/>
      <c r="H2085" s="9"/>
      <c r="I2085" s="11" t="s">
        <v>1012</v>
      </c>
      <c r="J2085" s="12">
        <v>45930</v>
      </c>
      <c r="K2085" s="12">
        <v>45947</v>
      </c>
      <c r="L2085" s="27">
        <v>1110000</v>
      </c>
      <c r="M2085" s="10" t="s">
        <v>3842</v>
      </c>
      <c r="N2085" s="34">
        <f t="shared" ca="1" si="427"/>
        <v>310.46377638888953</v>
      </c>
      <c r="O2085" s="10"/>
      <c r="P2085" s="39"/>
      <c r="Q2085" s="39"/>
      <c r="R2085" s="39"/>
      <c r="S2085" s="37">
        <f t="shared" ref="S2085:S2091" si="432">IF(R2085="",0,L2085)</f>
        <v>0</v>
      </c>
      <c r="T2085" s="37">
        <f t="shared" ref="T2085:T2091" si="433">L2085-S2085</f>
        <v>1110000</v>
      </c>
      <c r="U2085" s="10"/>
      <c r="V2085" s="10"/>
      <c r="W2085" s="10"/>
      <c r="X2085" s="10"/>
      <c r="Y2085" s="10"/>
      <c r="Z2085" s="10"/>
      <c r="AA2085" s="10"/>
      <c r="AB2085" s="10"/>
      <c r="AC2085" s="10"/>
      <c r="AD2085" s="10"/>
      <c r="AE2085" s="10"/>
    </row>
    <row r="2086" spans="1:31" ht="14.25" customHeight="1">
      <c r="A2086" s="277" t="s">
        <v>7816</v>
      </c>
      <c r="B2086" s="9" t="s">
        <v>21</v>
      </c>
      <c r="C2086" s="9">
        <v>2025</v>
      </c>
      <c r="D2086" s="9" t="s">
        <v>77</v>
      </c>
      <c r="E2086" s="90" t="s">
        <v>1011</v>
      </c>
      <c r="F2086" s="9" t="s">
        <v>1013</v>
      </c>
      <c r="G2086" s="10"/>
      <c r="H2086" s="9"/>
      <c r="I2086" s="11" t="s">
        <v>1012</v>
      </c>
      <c r="J2086" s="12">
        <v>45930</v>
      </c>
      <c r="K2086" s="12">
        <v>45947</v>
      </c>
      <c r="L2086" s="27">
        <v>1110000</v>
      </c>
      <c r="M2086" s="10" t="s">
        <v>3843</v>
      </c>
      <c r="N2086" s="34">
        <f t="shared" ca="1" si="427"/>
        <v>310.46377638888953</v>
      </c>
      <c r="O2086" s="10"/>
      <c r="P2086" s="39"/>
      <c r="Q2086" s="39"/>
      <c r="R2086" s="39"/>
      <c r="S2086" s="37">
        <f t="shared" si="432"/>
        <v>0</v>
      </c>
      <c r="T2086" s="37">
        <f t="shared" si="433"/>
        <v>1110000</v>
      </c>
      <c r="U2086" s="10"/>
      <c r="V2086" s="10"/>
      <c r="W2086" s="10"/>
      <c r="X2086" s="10"/>
      <c r="Y2086" s="10"/>
      <c r="Z2086" s="10"/>
      <c r="AA2086" s="10"/>
      <c r="AB2086" s="10"/>
      <c r="AC2086" s="10"/>
      <c r="AD2086" s="10"/>
      <c r="AE2086" s="10"/>
    </row>
    <row r="2087" spans="1:31" ht="14.25" customHeight="1">
      <c r="A2087" s="277" t="s">
        <v>7817</v>
      </c>
      <c r="B2087" s="9" t="s">
        <v>21</v>
      </c>
      <c r="C2087" s="9">
        <v>2025</v>
      </c>
      <c r="D2087" s="9" t="s">
        <v>77</v>
      </c>
      <c r="E2087" s="90" t="s">
        <v>1011</v>
      </c>
      <c r="F2087" s="9" t="s">
        <v>1013</v>
      </c>
      <c r="G2087" s="10"/>
      <c r="H2087" s="9"/>
      <c r="I2087" s="11" t="s">
        <v>1012</v>
      </c>
      <c r="J2087" s="12">
        <v>45930</v>
      </c>
      <c r="K2087" s="12">
        <v>45947</v>
      </c>
      <c r="L2087" s="27">
        <v>1110000</v>
      </c>
      <c r="M2087" s="10" t="s">
        <v>3844</v>
      </c>
      <c r="N2087" s="34">
        <f t="shared" ca="1" si="427"/>
        <v>310.46377638888953</v>
      </c>
      <c r="O2087" s="10"/>
      <c r="P2087" s="39"/>
      <c r="Q2087" s="39"/>
      <c r="R2087" s="39"/>
      <c r="S2087" s="37">
        <f t="shared" si="432"/>
        <v>0</v>
      </c>
      <c r="T2087" s="37">
        <f t="shared" si="433"/>
        <v>1110000</v>
      </c>
      <c r="U2087" s="10"/>
      <c r="V2087" s="10"/>
      <c r="W2087" s="10"/>
      <c r="X2087" s="10"/>
      <c r="Y2087" s="10"/>
      <c r="Z2087" s="10"/>
      <c r="AA2087" s="10"/>
      <c r="AB2087" s="10"/>
      <c r="AC2087" s="10"/>
      <c r="AD2087" s="10"/>
      <c r="AE2087" s="10"/>
    </row>
    <row r="2088" spans="1:31" ht="14.25" customHeight="1">
      <c r="A2088" s="277" t="s">
        <v>7818</v>
      </c>
      <c r="B2088" s="9" t="s">
        <v>21</v>
      </c>
      <c r="C2088" s="9">
        <v>2025</v>
      </c>
      <c r="D2088" s="9" t="s">
        <v>77</v>
      </c>
      <c r="E2088" s="90" t="s">
        <v>1011</v>
      </c>
      <c r="F2088" s="9" t="s">
        <v>1013</v>
      </c>
      <c r="G2088" s="10"/>
      <c r="H2088" s="9"/>
      <c r="I2088" s="11" t="s">
        <v>1012</v>
      </c>
      <c r="J2088" s="12">
        <v>45930</v>
      </c>
      <c r="K2088" s="12">
        <v>45947</v>
      </c>
      <c r="L2088" s="27">
        <v>1110000</v>
      </c>
      <c r="M2088" s="10" t="s">
        <v>3845</v>
      </c>
      <c r="N2088" s="34">
        <f t="shared" ca="1" si="427"/>
        <v>310.46377638888953</v>
      </c>
      <c r="O2088" s="10"/>
      <c r="P2088" s="39"/>
      <c r="Q2088" s="39"/>
      <c r="R2088" s="39"/>
      <c r="S2088" s="37">
        <f t="shared" si="432"/>
        <v>0</v>
      </c>
      <c r="T2088" s="37">
        <f t="shared" si="433"/>
        <v>1110000</v>
      </c>
      <c r="U2088" s="10"/>
      <c r="V2088" s="10"/>
      <c r="W2088" s="10"/>
      <c r="X2088" s="10"/>
      <c r="Y2088" s="10"/>
      <c r="Z2088" s="10"/>
      <c r="AA2088" s="10"/>
      <c r="AB2088" s="10"/>
      <c r="AC2088" s="10"/>
      <c r="AD2088" s="10"/>
      <c r="AE2088" s="10"/>
    </row>
    <row r="2089" spans="1:31" ht="14.25" customHeight="1">
      <c r="A2089" s="277" t="s">
        <v>7819</v>
      </c>
      <c r="B2089" s="9" t="s">
        <v>21</v>
      </c>
      <c r="C2089" s="9">
        <v>2025</v>
      </c>
      <c r="D2089" s="9" t="s">
        <v>77</v>
      </c>
      <c r="E2089" s="90" t="s">
        <v>1011</v>
      </c>
      <c r="F2089" s="9" t="s">
        <v>1013</v>
      </c>
      <c r="G2089" s="10"/>
      <c r="H2089" s="9"/>
      <c r="I2089" s="11" t="s">
        <v>1012</v>
      </c>
      <c r="J2089" s="12">
        <v>45930</v>
      </c>
      <c r="K2089" s="12">
        <v>45947</v>
      </c>
      <c r="L2089" s="27">
        <v>1110000</v>
      </c>
      <c r="M2089" s="10" t="s">
        <v>3846</v>
      </c>
      <c r="N2089" s="34">
        <f t="shared" ca="1" si="427"/>
        <v>310.46377638888953</v>
      </c>
      <c r="O2089" s="10"/>
      <c r="P2089" s="39"/>
      <c r="Q2089" s="39"/>
      <c r="R2089" s="39"/>
      <c r="S2089" s="37">
        <f t="shared" si="432"/>
        <v>0</v>
      </c>
      <c r="T2089" s="37">
        <f t="shared" si="433"/>
        <v>1110000</v>
      </c>
      <c r="U2089" s="10"/>
      <c r="V2089" s="10"/>
      <c r="W2089" s="10"/>
      <c r="X2089" s="10"/>
      <c r="Y2089" s="10"/>
      <c r="Z2089" s="10"/>
      <c r="AA2089" s="10"/>
      <c r="AB2089" s="10"/>
      <c r="AC2089" s="10"/>
      <c r="AD2089" s="10"/>
      <c r="AE2089" s="10"/>
    </row>
    <row r="2090" spans="1:31" ht="14.25" customHeight="1">
      <c r="A2090" s="277" t="s">
        <v>7820</v>
      </c>
      <c r="B2090" s="9" t="s">
        <v>21</v>
      </c>
      <c r="C2090" s="9">
        <v>2025</v>
      </c>
      <c r="D2090" s="9" t="s">
        <v>77</v>
      </c>
      <c r="E2090" s="90" t="s">
        <v>1011</v>
      </c>
      <c r="F2090" s="9" t="s">
        <v>1013</v>
      </c>
      <c r="G2090" s="10"/>
      <c r="H2090" s="9"/>
      <c r="I2090" s="11" t="s">
        <v>1012</v>
      </c>
      <c r="J2090" s="12">
        <v>45930</v>
      </c>
      <c r="K2090" s="12">
        <v>45947</v>
      </c>
      <c r="L2090" s="27">
        <v>2220000</v>
      </c>
      <c r="M2090" s="10" t="s">
        <v>3847</v>
      </c>
      <c r="N2090" s="34">
        <f t="shared" ca="1" si="427"/>
        <v>310.46377638888953</v>
      </c>
      <c r="O2090" s="10"/>
      <c r="P2090" s="39"/>
      <c r="Q2090" s="39"/>
      <c r="R2090" s="39"/>
      <c r="S2090" s="37">
        <f t="shared" si="432"/>
        <v>0</v>
      </c>
      <c r="T2090" s="37">
        <f t="shared" si="433"/>
        <v>2220000</v>
      </c>
      <c r="U2090" s="10"/>
      <c r="V2090" s="10"/>
      <c r="W2090" s="10"/>
      <c r="X2090" s="10"/>
      <c r="Y2090" s="10"/>
      <c r="Z2090" s="10"/>
      <c r="AA2090" s="10"/>
      <c r="AB2090" s="10"/>
      <c r="AC2090" s="10"/>
      <c r="AD2090" s="10"/>
      <c r="AE2090" s="10"/>
    </row>
    <row r="2091" spans="1:31" ht="14.25" customHeight="1">
      <c r="A2091" s="277" t="s">
        <v>7821</v>
      </c>
      <c r="B2091" s="9" t="s">
        <v>21</v>
      </c>
      <c r="C2091" s="9">
        <v>2025</v>
      </c>
      <c r="D2091" s="9" t="s">
        <v>77</v>
      </c>
      <c r="E2091" s="90" t="s">
        <v>1011</v>
      </c>
      <c r="F2091" s="9" t="s">
        <v>1013</v>
      </c>
      <c r="G2091" s="10"/>
      <c r="H2091" s="9"/>
      <c r="I2091" s="11" t="s">
        <v>1012</v>
      </c>
      <c r="J2091" s="12">
        <v>45930</v>
      </c>
      <c r="K2091" s="12">
        <v>45947</v>
      </c>
      <c r="L2091" s="27">
        <v>2220000</v>
      </c>
      <c r="M2091" s="10" t="s">
        <v>3848</v>
      </c>
      <c r="N2091" s="34">
        <f t="shared" ca="1" si="427"/>
        <v>310.46377638888953</v>
      </c>
      <c r="O2091" s="10"/>
      <c r="P2091" s="39"/>
      <c r="Q2091" s="39"/>
      <c r="R2091" s="39"/>
      <c r="S2091" s="37">
        <f t="shared" si="432"/>
        <v>0</v>
      </c>
      <c r="T2091" s="37">
        <f t="shared" si="433"/>
        <v>2220000</v>
      </c>
      <c r="U2091" s="10"/>
      <c r="V2091" s="10"/>
      <c r="W2091" s="10"/>
      <c r="X2091" s="10"/>
      <c r="Y2091" s="10"/>
      <c r="Z2091" s="10"/>
      <c r="AA2091" s="10"/>
      <c r="AB2091" s="10"/>
      <c r="AC2091" s="10"/>
      <c r="AD2091" s="10"/>
      <c r="AE2091" s="10"/>
    </row>
    <row r="2092" spans="1:31" ht="14.25" customHeight="1">
      <c r="A2092" s="277" t="s">
        <v>7822</v>
      </c>
      <c r="B2092" s="9" t="s">
        <v>21</v>
      </c>
      <c r="C2092" s="9">
        <v>2025</v>
      </c>
      <c r="D2092" s="9" t="s">
        <v>77</v>
      </c>
      <c r="E2092" s="90" t="s">
        <v>1011</v>
      </c>
      <c r="F2092" s="9" t="s">
        <v>1013</v>
      </c>
      <c r="G2092" s="10"/>
      <c r="H2092" s="9"/>
      <c r="I2092" s="11" t="s">
        <v>1012</v>
      </c>
      <c r="J2092" s="12">
        <v>45934</v>
      </c>
      <c r="K2092" s="12">
        <v>45958</v>
      </c>
      <c r="L2092" s="27">
        <v>2220000</v>
      </c>
      <c r="M2092" s="10" t="s">
        <v>3910</v>
      </c>
      <c r="N2092" s="34">
        <f t="shared" ca="1" si="427"/>
        <v>306.46377638888953</v>
      </c>
      <c r="O2092" s="10"/>
      <c r="P2092" s="39"/>
      <c r="Q2092" s="39"/>
      <c r="R2092" s="39"/>
      <c r="S2092" s="37">
        <f t="shared" ref="S2092:S2114" si="434">IF(R2092="",0,L2092)</f>
        <v>0</v>
      </c>
      <c r="T2092" s="37">
        <f t="shared" ref="T2092:T2114" si="435">L2092-S2092</f>
        <v>2220000</v>
      </c>
      <c r="U2092" s="10"/>
      <c r="V2092" s="10"/>
      <c r="W2092" s="10"/>
      <c r="X2092" s="10"/>
      <c r="Y2092" s="10"/>
      <c r="Z2092" s="10"/>
      <c r="AA2092" s="10"/>
      <c r="AB2092" s="10"/>
      <c r="AC2092" s="10"/>
      <c r="AD2092" s="10"/>
      <c r="AE2092" s="10"/>
    </row>
    <row r="2093" spans="1:31" ht="14.25" customHeight="1">
      <c r="A2093" s="277" t="s">
        <v>7823</v>
      </c>
      <c r="B2093" s="9" t="s">
        <v>21</v>
      </c>
      <c r="C2093" s="9">
        <v>2025</v>
      </c>
      <c r="D2093" s="9" t="s">
        <v>77</v>
      </c>
      <c r="E2093" s="90" t="s">
        <v>1011</v>
      </c>
      <c r="F2093" s="9" t="s">
        <v>1013</v>
      </c>
      <c r="G2093" s="10"/>
      <c r="H2093" s="9"/>
      <c r="I2093" s="11" t="s">
        <v>1012</v>
      </c>
      <c r="J2093" s="12">
        <v>45934</v>
      </c>
      <c r="K2093" s="12">
        <v>45958</v>
      </c>
      <c r="L2093" s="27">
        <v>1110000</v>
      </c>
      <c r="M2093" s="10" t="s">
        <v>3911</v>
      </c>
      <c r="N2093" s="34">
        <f t="shared" ca="1" si="427"/>
        <v>306.46377638888953</v>
      </c>
      <c r="O2093" s="10"/>
      <c r="P2093" s="39"/>
      <c r="Q2093" s="39"/>
      <c r="R2093" s="39"/>
      <c r="S2093" s="37">
        <f t="shared" si="434"/>
        <v>0</v>
      </c>
      <c r="T2093" s="37">
        <f t="shared" si="435"/>
        <v>1110000</v>
      </c>
      <c r="U2093" s="10"/>
      <c r="V2093" s="10"/>
      <c r="W2093" s="10"/>
      <c r="X2093" s="10"/>
      <c r="Y2093" s="10"/>
      <c r="Z2093" s="10"/>
      <c r="AA2093" s="10"/>
      <c r="AB2093" s="10"/>
      <c r="AC2093" s="10"/>
      <c r="AD2093" s="10"/>
      <c r="AE2093" s="10"/>
    </row>
    <row r="2094" spans="1:31" ht="14.25" customHeight="1">
      <c r="A2094" s="277" t="s">
        <v>7824</v>
      </c>
      <c r="B2094" s="9" t="s">
        <v>21</v>
      </c>
      <c r="C2094" s="9">
        <v>2025</v>
      </c>
      <c r="D2094" s="9" t="s">
        <v>77</v>
      </c>
      <c r="E2094" s="90" t="s">
        <v>1011</v>
      </c>
      <c r="F2094" s="9" t="s">
        <v>1013</v>
      </c>
      <c r="G2094" s="10"/>
      <c r="H2094" s="9"/>
      <c r="I2094" s="11" t="s">
        <v>1012</v>
      </c>
      <c r="J2094" s="12">
        <v>45934</v>
      </c>
      <c r="K2094" s="12">
        <v>45958</v>
      </c>
      <c r="L2094" s="27">
        <v>1110000</v>
      </c>
      <c r="M2094" s="10" t="s">
        <v>3912</v>
      </c>
      <c r="N2094" s="34">
        <f t="shared" ca="1" si="427"/>
        <v>306.46377638888953</v>
      </c>
      <c r="O2094" s="10"/>
      <c r="P2094" s="39"/>
      <c r="Q2094" s="39"/>
      <c r="R2094" s="39"/>
      <c r="S2094" s="37">
        <f t="shared" si="434"/>
        <v>0</v>
      </c>
      <c r="T2094" s="37">
        <f t="shared" si="435"/>
        <v>1110000</v>
      </c>
      <c r="U2094" s="10"/>
      <c r="V2094" s="10"/>
      <c r="W2094" s="10"/>
      <c r="X2094" s="10"/>
      <c r="Y2094" s="10"/>
      <c r="Z2094" s="10"/>
      <c r="AA2094" s="10"/>
      <c r="AB2094" s="10"/>
      <c r="AC2094" s="10"/>
      <c r="AD2094" s="10"/>
      <c r="AE2094" s="10"/>
    </row>
    <row r="2095" spans="1:31" ht="14.25" customHeight="1">
      <c r="A2095" s="277" t="s">
        <v>7825</v>
      </c>
      <c r="B2095" s="9" t="s">
        <v>21</v>
      </c>
      <c r="C2095" s="9">
        <v>2025</v>
      </c>
      <c r="D2095" s="9" t="s">
        <v>77</v>
      </c>
      <c r="E2095" s="90" t="s">
        <v>1011</v>
      </c>
      <c r="F2095" s="9" t="s">
        <v>1013</v>
      </c>
      <c r="G2095" s="10"/>
      <c r="H2095" s="9"/>
      <c r="I2095" s="11" t="s">
        <v>1012</v>
      </c>
      <c r="J2095" s="12">
        <v>45944</v>
      </c>
      <c r="K2095" s="12">
        <v>45958</v>
      </c>
      <c r="L2095" s="27">
        <v>2220000</v>
      </c>
      <c r="M2095" s="10" t="s">
        <v>3913</v>
      </c>
      <c r="N2095" s="34">
        <f t="shared" ca="1" si="427"/>
        <v>296.46377638888953</v>
      </c>
      <c r="O2095" s="10"/>
      <c r="P2095" s="39"/>
      <c r="Q2095" s="39"/>
      <c r="R2095" s="39"/>
      <c r="S2095" s="37">
        <f t="shared" si="434"/>
        <v>0</v>
      </c>
      <c r="T2095" s="37">
        <f t="shared" si="435"/>
        <v>2220000</v>
      </c>
      <c r="U2095" s="10"/>
      <c r="V2095" s="10"/>
      <c r="W2095" s="10"/>
      <c r="X2095" s="10"/>
      <c r="Y2095" s="10"/>
      <c r="Z2095" s="10"/>
      <c r="AA2095" s="10"/>
      <c r="AB2095" s="10"/>
      <c r="AC2095" s="10"/>
      <c r="AD2095" s="10"/>
      <c r="AE2095" s="10"/>
    </row>
    <row r="2096" spans="1:31" ht="14.25" customHeight="1">
      <c r="A2096" s="277" t="s">
        <v>7826</v>
      </c>
      <c r="B2096" s="9" t="s">
        <v>21</v>
      </c>
      <c r="C2096" s="9">
        <v>2025</v>
      </c>
      <c r="D2096" s="9" t="s">
        <v>77</v>
      </c>
      <c r="E2096" s="90" t="s">
        <v>1011</v>
      </c>
      <c r="F2096" s="9" t="s">
        <v>1013</v>
      </c>
      <c r="G2096" s="10"/>
      <c r="H2096" s="9"/>
      <c r="I2096" s="11" t="s">
        <v>1012</v>
      </c>
      <c r="J2096" s="12">
        <v>45944</v>
      </c>
      <c r="K2096" s="12">
        <v>45958</v>
      </c>
      <c r="L2096" s="27">
        <v>1110000</v>
      </c>
      <c r="M2096" s="10" t="s">
        <v>3914</v>
      </c>
      <c r="N2096" s="34">
        <f t="shared" ca="1" si="427"/>
        <v>296.46377638888953</v>
      </c>
      <c r="O2096" s="10"/>
      <c r="P2096" s="39"/>
      <c r="Q2096" s="39"/>
      <c r="R2096" s="39"/>
      <c r="S2096" s="37">
        <f t="shared" si="434"/>
        <v>0</v>
      </c>
      <c r="T2096" s="37">
        <f t="shared" si="435"/>
        <v>1110000</v>
      </c>
      <c r="U2096" s="10"/>
      <c r="V2096" s="10"/>
      <c r="W2096" s="10"/>
      <c r="X2096" s="10"/>
      <c r="Y2096" s="10"/>
      <c r="Z2096" s="10"/>
      <c r="AA2096" s="10"/>
      <c r="AB2096" s="10"/>
      <c r="AC2096" s="10"/>
      <c r="AD2096" s="10"/>
      <c r="AE2096" s="10"/>
    </row>
    <row r="2097" spans="1:31" ht="14.25" customHeight="1">
      <c r="A2097" s="277" t="s">
        <v>7827</v>
      </c>
      <c r="B2097" s="9" t="s">
        <v>21</v>
      </c>
      <c r="C2097" s="9">
        <v>2025</v>
      </c>
      <c r="D2097" s="9" t="s">
        <v>77</v>
      </c>
      <c r="E2097" s="90" t="s">
        <v>1011</v>
      </c>
      <c r="F2097" s="9" t="s">
        <v>1013</v>
      </c>
      <c r="G2097" s="10"/>
      <c r="H2097" s="9"/>
      <c r="I2097" s="11" t="s">
        <v>1012</v>
      </c>
      <c r="J2097" s="12">
        <v>45951</v>
      </c>
      <c r="K2097" s="12">
        <v>45958</v>
      </c>
      <c r="L2097" s="27">
        <v>2220000</v>
      </c>
      <c r="M2097" s="10" t="s">
        <v>3915</v>
      </c>
      <c r="N2097" s="34">
        <f t="shared" ca="1" si="427"/>
        <v>289.46377638888953</v>
      </c>
      <c r="O2097" s="10"/>
      <c r="P2097" s="39"/>
      <c r="Q2097" s="39"/>
      <c r="R2097" s="39"/>
      <c r="S2097" s="37">
        <f t="shared" si="434"/>
        <v>0</v>
      </c>
      <c r="T2097" s="37">
        <f t="shared" si="435"/>
        <v>2220000</v>
      </c>
      <c r="U2097" s="10"/>
      <c r="V2097" s="10"/>
      <c r="W2097" s="10"/>
      <c r="X2097" s="10"/>
      <c r="Y2097" s="10"/>
      <c r="Z2097" s="10"/>
      <c r="AA2097" s="10"/>
      <c r="AB2097" s="10"/>
      <c r="AC2097" s="10"/>
      <c r="AD2097" s="10"/>
      <c r="AE2097" s="10"/>
    </row>
    <row r="2098" spans="1:31" ht="14.25" customHeight="1">
      <c r="A2098" s="277" t="s">
        <v>7828</v>
      </c>
      <c r="B2098" s="9" t="s">
        <v>21</v>
      </c>
      <c r="C2098" s="9">
        <v>2025</v>
      </c>
      <c r="D2098" s="9" t="s">
        <v>77</v>
      </c>
      <c r="E2098" s="90" t="s">
        <v>1011</v>
      </c>
      <c r="F2098" s="9" t="s">
        <v>1013</v>
      </c>
      <c r="G2098" s="10"/>
      <c r="H2098" s="9"/>
      <c r="I2098" s="11" t="s">
        <v>1012</v>
      </c>
      <c r="J2098" s="12">
        <v>45973</v>
      </c>
      <c r="K2098" s="12">
        <v>45982</v>
      </c>
      <c r="L2098" s="27">
        <v>1110000</v>
      </c>
      <c r="M2098" s="10" t="s">
        <v>4021</v>
      </c>
      <c r="N2098" s="34">
        <f t="shared" ca="1" si="427"/>
        <v>267.46377638888953</v>
      </c>
      <c r="O2098" s="10"/>
      <c r="P2098" s="39"/>
      <c r="Q2098" s="39"/>
      <c r="R2098" s="39"/>
      <c r="S2098" s="37">
        <f t="shared" si="434"/>
        <v>0</v>
      </c>
      <c r="T2098" s="37">
        <f t="shared" si="435"/>
        <v>1110000</v>
      </c>
      <c r="U2098" s="10"/>
      <c r="V2098" s="10"/>
      <c r="W2098" s="10"/>
      <c r="X2098" s="10"/>
      <c r="Y2098" s="10"/>
      <c r="Z2098" s="10"/>
      <c r="AA2098" s="10"/>
      <c r="AB2098" s="10"/>
      <c r="AC2098" s="10"/>
      <c r="AD2098" s="10"/>
      <c r="AE2098" s="10"/>
    </row>
    <row r="2099" spans="1:31" ht="14.25" customHeight="1">
      <c r="A2099" s="277" t="s">
        <v>7829</v>
      </c>
      <c r="B2099" s="9" t="s">
        <v>21</v>
      </c>
      <c r="C2099" s="9">
        <v>2025</v>
      </c>
      <c r="D2099" s="9" t="s">
        <v>77</v>
      </c>
      <c r="E2099" s="90" t="s">
        <v>1011</v>
      </c>
      <c r="F2099" s="9" t="s">
        <v>1013</v>
      </c>
      <c r="G2099" s="10"/>
      <c r="H2099" s="9"/>
      <c r="I2099" s="11" t="s">
        <v>1012</v>
      </c>
      <c r="J2099" s="12">
        <v>45951</v>
      </c>
      <c r="K2099" s="12">
        <v>45982</v>
      </c>
      <c r="L2099" s="27">
        <v>2370000</v>
      </c>
      <c r="M2099" s="10" t="s">
        <v>4022</v>
      </c>
      <c r="N2099" s="34">
        <f t="shared" ca="1" si="427"/>
        <v>289.46377638888953</v>
      </c>
      <c r="O2099" s="10"/>
      <c r="P2099" s="39"/>
      <c r="Q2099" s="39"/>
      <c r="R2099" s="39"/>
      <c r="S2099" s="37">
        <f t="shared" si="434"/>
        <v>0</v>
      </c>
      <c r="T2099" s="37">
        <f t="shared" si="435"/>
        <v>2370000</v>
      </c>
      <c r="U2099" s="10"/>
      <c r="V2099" s="10"/>
      <c r="W2099" s="10"/>
      <c r="X2099" s="10"/>
      <c r="Y2099" s="10"/>
      <c r="Z2099" s="10"/>
      <c r="AA2099" s="10"/>
      <c r="AB2099" s="10"/>
      <c r="AC2099" s="10"/>
      <c r="AD2099" s="10"/>
      <c r="AE2099" s="10"/>
    </row>
    <row r="2100" spans="1:31" ht="14.25" customHeight="1">
      <c r="A2100" s="277" t="s">
        <v>7830</v>
      </c>
      <c r="B2100" s="9" t="s">
        <v>21</v>
      </c>
      <c r="C2100" s="9">
        <v>2025</v>
      </c>
      <c r="D2100" s="9" t="s">
        <v>77</v>
      </c>
      <c r="E2100" s="90" t="s">
        <v>1011</v>
      </c>
      <c r="F2100" s="9" t="s">
        <v>1013</v>
      </c>
      <c r="G2100" s="10"/>
      <c r="H2100" s="9"/>
      <c r="I2100" s="11" t="s">
        <v>1012</v>
      </c>
      <c r="J2100" s="12">
        <v>45951</v>
      </c>
      <c r="K2100" s="12">
        <v>45982</v>
      </c>
      <c r="L2100" s="27">
        <v>1110000</v>
      </c>
      <c r="M2100" s="10" t="s">
        <v>4023</v>
      </c>
      <c r="N2100" s="34">
        <f t="shared" ca="1" si="427"/>
        <v>289.46377638888953</v>
      </c>
      <c r="O2100" s="10"/>
      <c r="P2100" s="39"/>
      <c r="Q2100" s="39"/>
      <c r="R2100" s="39"/>
      <c r="S2100" s="37">
        <f t="shared" si="434"/>
        <v>0</v>
      </c>
      <c r="T2100" s="37">
        <f t="shared" si="435"/>
        <v>1110000</v>
      </c>
      <c r="U2100" s="10"/>
      <c r="V2100" s="10"/>
      <c r="W2100" s="10"/>
      <c r="X2100" s="10"/>
      <c r="Y2100" s="10"/>
      <c r="Z2100" s="10"/>
      <c r="AA2100" s="10"/>
      <c r="AB2100" s="10"/>
      <c r="AC2100" s="10"/>
      <c r="AD2100" s="10"/>
      <c r="AE2100" s="10"/>
    </row>
    <row r="2101" spans="1:31" ht="14.25" customHeight="1">
      <c r="A2101" s="277" t="s">
        <v>7831</v>
      </c>
      <c r="B2101" s="9" t="s">
        <v>21</v>
      </c>
      <c r="C2101" s="9">
        <v>2025</v>
      </c>
      <c r="D2101" s="9" t="s">
        <v>77</v>
      </c>
      <c r="E2101" s="90" t="s">
        <v>1011</v>
      </c>
      <c r="F2101" s="9" t="s">
        <v>1013</v>
      </c>
      <c r="G2101" s="10"/>
      <c r="H2101" s="9"/>
      <c r="I2101" s="11" t="s">
        <v>1012</v>
      </c>
      <c r="J2101" s="12">
        <v>45965</v>
      </c>
      <c r="K2101" s="12">
        <v>45982</v>
      </c>
      <c r="L2101" s="27">
        <v>1380000</v>
      </c>
      <c r="M2101" s="10" t="s">
        <v>4024</v>
      </c>
      <c r="N2101" s="34">
        <f t="shared" ca="1" si="427"/>
        <v>275.46377638888953</v>
      </c>
      <c r="O2101" s="10"/>
      <c r="P2101" s="39"/>
      <c r="Q2101" s="39"/>
      <c r="R2101" s="39"/>
      <c r="S2101" s="37">
        <f t="shared" si="434"/>
        <v>0</v>
      </c>
      <c r="T2101" s="37">
        <f t="shared" si="435"/>
        <v>1380000</v>
      </c>
      <c r="U2101" s="10"/>
      <c r="V2101" s="10"/>
      <c r="W2101" s="10"/>
      <c r="X2101" s="10"/>
      <c r="Y2101" s="10"/>
      <c r="Z2101" s="10"/>
      <c r="AA2101" s="10"/>
      <c r="AB2101" s="10"/>
      <c r="AC2101" s="10"/>
      <c r="AD2101" s="10"/>
      <c r="AE2101" s="10"/>
    </row>
    <row r="2102" spans="1:31" ht="14.25" customHeight="1">
      <c r="A2102" s="277" t="s">
        <v>7832</v>
      </c>
      <c r="B2102" s="9" t="s">
        <v>21</v>
      </c>
      <c r="C2102" s="9">
        <v>2025</v>
      </c>
      <c r="D2102" s="9" t="s">
        <v>77</v>
      </c>
      <c r="E2102" s="90" t="s">
        <v>1011</v>
      </c>
      <c r="F2102" s="9" t="s">
        <v>1013</v>
      </c>
      <c r="G2102" s="10"/>
      <c r="H2102" s="9"/>
      <c r="I2102" s="11" t="s">
        <v>1012</v>
      </c>
      <c r="J2102" s="12">
        <v>45973</v>
      </c>
      <c r="K2102" s="12">
        <v>45997</v>
      </c>
      <c r="L2102" s="27">
        <v>1110000</v>
      </c>
      <c r="M2102" s="10" t="s">
        <v>4078</v>
      </c>
      <c r="N2102" s="34">
        <f t="shared" ca="1" si="427"/>
        <v>267.46377638888953</v>
      </c>
      <c r="O2102" s="10"/>
      <c r="P2102" s="39"/>
      <c r="Q2102" s="39"/>
      <c r="R2102" s="39"/>
      <c r="S2102" s="37">
        <f t="shared" si="434"/>
        <v>0</v>
      </c>
      <c r="T2102" s="37">
        <f t="shared" si="435"/>
        <v>1110000</v>
      </c>
      <c r="U2102" s="10"/>
      <c r="V2102" s="10"/>
      <c r="W2102" s="10"/>
      <c r="X2102" s="10"/>
      <c r="Y2102" s="10"/>
      <c r="Z2102" s="10"/>
      <c r="AA2102" s="10"/>
      <c r="AB2102" s="10"/>
      <c r="AC2102" s="10"/>
      <c r="AD2102" s="10"/>
      <c r="AE2102" s="10"/>
    </row>
    <row r="2103" spans="1:31" ht="14.25" customHeight="1">
      <c r="A2103" s="277" t="s">
        <v>7833</v>
      </c>
      <c r="B2103" s="9" t="s">
        <v>21</v>
      </c>
      <c r="C2103" s="9">
        <v>2025</v>
      </c>
      <c r="D2103" s="9" t="s">
        <v>77</v>
      </c>
      <c r="E2103" s="90" t="s">
        <v>1011</v>
      </c>
      <c r="F2103" s="9" t="s">
        <v>1013</v>
      </c>
      <c r="G2103" s="10"/>
      <c r="H2103" s="9"/>
      <c r="I2103" s="11" t="s">
        <v>1012</v>
      </c>
      <c r="J2103" s="12">
        <v>45980</v>
      </c>
      <c r="K2103" s="12">
        <v>45997</v>
      </c>
      <c r="L2103" s="27">
        <v>2220000</v>
      </c>
      <c r="M2103" s="10" t="s">
        <v>4079</v>
      </c>
      <c r="N2103" s="34">
        <f t="shared" ca="1" si="427"/>
        <v>260.46377638888953</v>
      </c>
      <c r="O2103" s="10"/>
      <c r="P2103" s="39"/>
      <c r="Q2103" s="39"/>
      <c r="R2103" s="39"/>
      <c r="S2103" s="37">
        <f t="shared" si="434"/>
        <v>0</v>
      </c>
      <c r="T2103" s="37">
        <f t="shared" si="435"/>
        <v>2220000</v>
      </c>
      <c r="U2103" s="10"/>
      <c r="V2103" s="10"/>
      <c r="W2103" s="10"/>
      <c r="X2103" s="10"/>
      <c r="Y2103" s="10"/>
      <c r="Z2103" s="10"/>
      <c r="AA2103" s="10"/>
      <c r="AB2103" s="10"/>
      <c r="AC2103" s="10"/>
      <c r="AD2103" s="10"/>
      <c r="AE2103" s="10"/>
    </row>
    <row r="2104" spans="1:31" ht="14.25" customHeight="1">
      <c r="A2104" s="277" t="s">
        <v>7834</v>
      </c>
      <c r="B2104" s="9" t="s">
        <v>21</v>
      </c>
      <c r="C2104" s="9">
        <v>2025</v>
      </c>
      <c r="D2104" s="9" t="s">
        <v>77</v>
      </c>
      <c r="E2104" s="90" t="s">
        <v>1011</v>
      </c>
      <c r="F2104" s="9" t="s">
        <v>1013</v>
      </c>
      <c r="G2104" s="10"/>
      <c r="H2104" s="9"/>
      <c r="I2104" s="11" t="s">
        <v>1012</v>
      </c>
      <c r="J2104" s="12">
        <v>45987</v>
      </c>
      <c r="K2104" s="12">
        <v>46013</v>
      </c>
      <c r="L2104" s="27">
        <v>3330000</v>
      </c>
      <c r="M2104" s="10" t="s">
        <v>4153</v>
      </c>
      <c r="N2104" s="34">
        <f t="shared" ca="1" si="427"/>
        <v>253.46377638888953</v>
      </c>
      <c r="O2104" s="10"/>
      <c r="P2104" s="39"/>
      <c r="Q2104" s="39"/>
      <c r="R2104" s="39"/>
      <c r="S2104" s="37">
        <f t="shared" si="434"/>
        <v>0</v>
      </c>
      <c r="T2104" s="37">
        <f t="shared" si="435"/>
        <v>3330000</v>
      </c>
      <c r="U2104" s="10"/>
      <c r="V2104" s="10"/>
      <c r="W2104" s="10"/>
      <c r="X2104" s="10"/>
      <c r="Y2104" s="10"/>
      <c r="Z2104" s="10"/>
      <c r="AA2104" s="10"/>
      <c r="AB2104" s="10"/>
      <c r="AC2104" s="10"/>
      <c r="AD2104" s="10"/>
      <c r="AE2104" s="10"/>
    </row>
    <row r="2105" spans="1:31" ht="14.25" customHeight="1">
      <c r="A2105" s="277" t="s">
        <v>7835</v>
      </c>
      <c r="B2105" s="9" t="s">
        <v>21</v>
      </c>
      <c r="C2105" s="9">
        <v>2025</v>
      </c>
      <c r="D2105" s="9" t="s">
        <v>77</v>
      </c>
      <c r="E2105" s="90" t="s">
        <v>1011</v>
      </c>
      <c r="F2105" s="9" t="s">
        <v>1013</v>
      </c>
      <c r="G2105" s="10"/>
      <c r="H2105" s="9"/>
      <c r="I2105" s="11" t="s">
        <v>1012</v>
      </c>
      <c r="J2105" s="12">
        <v>45995</v>
      </c>
      <c r="K2105" s="12">
        <v>46013</v>
      </c>
      <c r="L2105" s="27">
        <v>270000</v>
      </c>
      <c r="M2105" s="10" t="s">
        <v>4154</v>
      </c>
      <c r="N2105" s="34">
        <f t="shared" ca="1" si="427"/>
        <v>245.46377638888953</v>
      </c>
      <c r="O2105" s="10"/>
      <c r="P2105" s="39"/>
      <c r="Q2105" s="39"/>
      <c r="R2105" s="39"/>
      <c r="S2105" s="37">
        <f t="shared" si="434"/>
        <v>0</v>
      </c>
      <c r="T2105" s="37">
        <f t="shared" si="435"/>
        <v>270000</v>
      </c>
      <c r="U2105" s="10"/>
      <c r="V2105" s="10"/>
      <c r="W2105" s="10"/>
      <c r="X2105" s="10"/>
      <c r="Y2105" s="10"/>
      <c r="Z2105" s="10"/>
      <c r="AA2105" s="10"/>
      <c r="AB2105" s="10"/>
      <c r="AC2105" s="10"/>
      <c r="AD2105" s="10"/>
      <c r="AE2105" s="10"/>
    </row>
    <row r="2106" spans="1:31" ht="14.25" customHeight="1">
      <c r="A2106" s="277" t="s">
        <v>7836</v>
      </c>
      <c r="B2106" s="9" t="s">
        <v>21</v>
      </c>
      <c r="C2106" s="9">
        <v>2025</v>
      </c>
      <c r="D2106" s="9" t="s">
        <v>77</v>
      </c>
      <c r="E2106" s="90" t="s">
        <v>1011</v>
      </c>
      <c r="F2106" s="9" t="s">
        <v>1013</v>
      </c>
      <c r="G2106" s="10"/>
      <c r="H2106" s="9"/>
      <c r="I2106" s="11" t="s">
        <v>1012</v>
      </c>
      <c r="J2106" s="12">
        <v>45995</v>
      </c>
      <c r="K2106" s="12">
        <v>46013</v>
      </c>
      <c r="L2106" s="27">
        <v>1380000</v>
      </c>
      <c r="M2106" s="10" t="s">
        <v>4155</v>
      </c>
      <c r="N2106" s="34">
        <f t="shared" ca="1" si="427"/>
        <v>245.46377638888953</v>
      </c>
      <c r="O2106" s="10"/>
      <c r="P2106" s="39"/>
      <c r="Q2106" s="39"/>
      <c r="R2106" s="39"/>
      <c r="S2106" s="37">
        <f t="shared" si="434"/>
        <v>0</v>
      </c>
      <c r="T2106" s="37">
        <f t="shared" si="435"/>
        <v>1380000</v>
      </c>
      <c r="U2106" s="10"/>
      <c r="V2106" s="10"/>
      <c r="W2106" s="10"/>
      <c r="X2106" s="10"/>
      <c r="Y2106" s="10"/>
      <c r="Z2106" s="10"/>
      <c r="AA2106" s="10"/>
      <c r="AB2106" s="10"/>
      <c r="AC2106" s="10"/>
      <c r="AD2106" s="10"/>
      <c r="AE2106" s="10"/>
    </row>
    <row r="2107" spans="1:31" ht="14.25" customHeight="1">
      <c r="A2107" s="277" t="s">
        <v>7837</v>
      </c>
      <c r="B2107" s="9" t="s">
        <v>21</v>
      </c>
      <c r="C2107" s="9">
        <v>2025</v>
      </c>
      <c r="D2107" s="9" t="s">
        <v>77</v>
      </c>
      <c r="E2107" s="90" t="s">
        <v>1011</v>
      </c>
      <c r="F2107" s="9" t="s">
        <v>1013</v>
      </c>
      <c r="G2107" s="10"/>
      <c r="H2107" s="9"/>
      <c r="I2107" s="11" t="s">
        <v>1012</v>
      </c>
      <c r="J2107" s="12">
        <v>45995</v>
      </c>
      <c r="K2107" s="12">
        <v>46013</v>
      </c>
      <c r="L2107" s="27">
        <v>2220000</v>
      </c>
      <c r="M2107" s="10" t="s">
        <v>4156</v>
      </c>
      <c r="N2107" s="34">
        <f t="shared" ca="1" si="427"/>
        <v>245.46377638888953</v>
      </c>
      <c r="O2107" s="10"/>
      <c r="P2107" s="39"/>
      <c r="Q2107" s="39"/>
      <c r="R2107" s="39"/>
      <c r="S2107" s="37">
        <f t="shared" si="434"/>
        <v>0</v>
      </c>
      <c r="T2107" s="37">
        <f t="shared" si="435"/>
        <v>2220000</v>
      </c>
      <c r="U2107" s="10"/>
      <c r="V2107" s="10"/>
      <c r="W2107" s="10"/>
      <c r="X2107" s="10"/>
      <c r="Y2107" s="10"/>
      <c r="Z2107" s="10"/>
      <c r="AA2107" s="10"/>
      <c r="AB2107" s="10"/>
      <c r="AC2107" s="10"/>
      <c r="AD2107" s="10"/>
      <c r="AE2107" s="10"/>
    </row>
    <row r="2108" spans="1:31" ht="14.25" customHeight="1">
      <c r="A2108" s="277" t="s">
        <v>7838</v>
      </c>
      <c r="B2108" s="9" t="s">
        <v>21</v>
      </c>
      <c r="C2108" s="9">
        <v>2025</v>
      </c>
      <c r="D2108" s="9" t="s">
        <v>77</v>
      </c>
      <c r="E2108" s="90" t="s">
        <v>1011</v>
      </c>
      <c r="F2108" s="9" t="s">
        <v>1013</v>
      </c>
      <c r="G2108" s="10"/>
      <c r="H2108" s="9"/>
      <c r="I2108" s="11" t="s">
        <v>1012</v>
      </c>
      <c r="J2108" s="12">
        <v>46006</v>
      </c>
      <c r="K2108" s="12">
        <v>46013</v>
      </c>
      <c r="L2108" s="27">
        <v>1380000</v>
      </c>
      <c r="M2108" s="10" t="s">
        <v>4157</v>
      </c>
      <c r="N2108" s="34">
        <f t="shared" ca="1" si="427"/>
        <v>234.46377638888953</v>
      </c>
      <c r="O2108" s="10"/>
      <c r="P2108" s="39"/>
      <c r="Q2108" s="39"/>
      <c r="R2108" s="39"/>
      <c r="S2108" s="37">
        <f t="shared" si="434"/>
        <v>0</v>
      </c>
      <c r="T2108" s="37">
        <f t="shared" si="435"/>
        <v>1380000</v>
      </c>
      <c r="U2108" s="10"/>
      <c r="V2108" s="10"/>
      <c r="W2108" s="10"/>
      <c r="X2108" s="10"/>
      <c r="Y2108" s="10"/>
      <c r="Z2108" s="10"/>
      <c r="AA2108" s="10"/>
      <c r="AB2108" s="10"/>
      <c r="AC2108" s="10"/>
      <c r="AD2108" s="10"/>
      <c r="AE2108" s="10"/>
    </row>
    <row r="2109" spans="1:31" ht="14.25" customHeight="1">
      <c r="A2109" s="277" t="s">
        <v>7839</v>
      </c>
      <c r="B2109" s="9" t="s">
        <v>21</v>
      </c>
      <c r="C2109" s="9">
        <v>2025</v>
      </c>
      <c r="D2109" s="9" t="s">
        <v>77</v>
      </c>
      <c r="E2109" s="90" t="s">
        <v>1011</v>
      </c>
      <c r="F2109" s="9" t="s">
        <v>1013</v>
      </c>
      <c r="G2109" s="10"/>
      <c r="H2109" s="9"/>
      <c r="I2109" s="11" t="s">
        <v>1012</v>
      </c>
      <c r="J2109" s="12">
        <v>46006</v>
      </c>
      <c r="K2109" s="12">
        <v>46025</v>
      </c>
      <c r="L2109" s="27">
        <v>1080000</v>
      </c>
      <c r="M2109" s="10" t="s">
        <v>4185</v>
      </c>
      <c r="N2109" s="34">
        <f t="shared" ca="1" si="427"/>
        <v>234.46377638888953</v>
      </c>
      <c r="O2109" s="10"/>
      <c r="P2109" s="39"/>
      <c r="Q2109" s="39"/>
      <c r="R2109" s="39"/>
      <c r="S2109" s="37">
        <f t="shared" si="434"/>
        <v>0</v>
      </c>
      <c r="T2109" s="37">
        <f t="shared" si="435"/>
        <v>1080000</v>
      </c>
      <c r="U2109" s="10"/>
      <c r="V2109" s="10"/>
      <c r="W2109" s="10"/>
      <c r="X2109" s="10"/>
      <c r="Y2109" s="10"/>
      <c r="Z2109" s="10"/>
      <c r="AA2109" s="10"/>
      <c r="AB2109" s="10"/>
      <c r="AC2109" s="10"/>
      <c r="AD2109" s="10"/>
      <c r="AE2109" s="10"/>
    </row>
    <row r="2110" spans="1:31" ht="14.25" customHeight="1">
      <c r="A2110" s="277" t="s">
        <v>7840</v>
      </c>
      <c r="B2110" s="9" t="s">
        <v>21</v>
      </c>
      <c r="C2110" s="9">
        <v>2025</v>
      </c>
      <c r="D2110" s="9" t="s">
        <v>77</v>
      </c>
      <c r="E2110" s="90" t="s">
        <v>1011</v>
      </c>
      <c r="F2110" s="9" t="s">
        <v>1013</v>
      </c>
      <c r="G2110" s="10"/>
      <c r="H2110" s="9"/>
      <c r="I2110" s="11" t="s">
        <v>1012</v>
      </c>
      <c r="J2110" s="12">
        <v>46006</v>
      </c>
      <c r="K2110" s="12">
        <v>46025</v>
      </c>
      <c r="L2110" s="27">
        <v>1110000</v>
      </c>
      <c r="M2110" s="10" t="s">
        <v>4186</v>
      </c>
      <c r="N2110" s="34">
        <f t="shared" ca="1" si="427"/>
        <v>234.46377638888953</v>
      </c>
      <c r="O2110" s="10"/>
      <c r="P2110" s="39"/>
      <c r="Q2110" s="39"/>
      <c r="R2110" s="39"/>
      <c r="S2110" s="37">
        <f t="shared" si="434"/>
        <v>0</v>
      </c>
      <c r="T2110" s="37">
        <f t="shared" si="435"/>
        <v>1110000</v>
      </c>
      <c r="U2110" s="10"/>
      <c r="V2110" s="10"/>
      <c r="W2110" s="10"/>
      <c r="X2110" s="10"/>
      <c r="Y2110" s="10"/>
      <c r="Z2110" s="10"/>
      <c r="AA2110" s="10"/>
      <c r="AB2110" s="10"/>
      <c r="AC2110" s="10"/>
      <c r="AD2110" s="10"/>
      <c r="AE2110" s="10"/>
    </row>
    <row r="2111" spans="1:31" ht="14.25" customHeight="1">
      <c r="A2111" s="277" t="s">
        <v>6206</v>
      </c>
      <c r="B2111" s="9" t="s">
        <v>21</v>
      </c>
      <c r="C2111" s="9">
        <v>2025</v>
      </c>
      <c r="D2111" s="9" t="s">
        <v>77</v>
      </c>
      <c r="E2111" s="90" t="s">
        <v>1011</v>
      </c>
      <c r="F2111" s="9" t="s">
        <v>1013</v>
      </c>
      <c r="G2111" s="10"/>
      <c r="H2111" s="9"/>
      <c r="I2111" s="11" t="s">
        <v>1012</v>
      </c>
      <c r="J2111" s="12">
        <v>46008</v>
      </c>
      <c r="K2111" s="12">
        <v>46025</v>
      </c>
      <c r="L2111" s="27">
        <v>3330000</v>
      </c>
      <c r="M2111" s="10" t="s">
        <v>4187</v>
      </c>
      <c r="N2111" s="34">
        <f t="shared" ca="1" si="427"/>
        <v>232.46377638888953</v>
      </c>
      <c r="O2111" s="10"/>
      <c r="P2111" s="39"/>
      <c r="Q2111" s="39"/>
      <c r="R2111" s="39"/>
      <c r="S2111" s="37">
        <f t="shared" si="434"/>
        <v>0</v>
      </c>
      <c r="T2111" s="37">
        <f t="shared" si="435"/>
        <v>3330000</v>
      </c>
      <c r="U2111" s="10"/>
      <c r="V2111" s="10"/>
      <c r="W2111" s="10"/>
      <c r="X2111" s="10"/>
      <c r="Y2111" s="10"/>
      <c r="Z2111" s="10"/>
      <c r="AA2111" s="10"/>
      <c r="AB2111" s="10"/>
      <c r="AC2111" s="10"/>
      <c r="AD2111" s="10"/>
      <c r="AE2111" s="10"/>
    </row>
    <row r="2112" spans="1:31" ht="14.25" customHeight="1">
      <c r="A2112" s="277" t="s">
        <v>6207</v>
      </c>
      <c r="B2112" s="9" t="s">
        <v>21</v>
      </c>
      <c r="C2112" s="9">
        <v>2025</v>
      </c>
      <c r="D2112" s="9" t="s">
        <v>77</v>
      </c>
      <c r="E2112" s="90" t="s">
        <v>1011</v>
      </c>
      <c r="F2112" s="9" t="s">
        <v>1013</v>
      </c>
      <c r="G2112" s="10"/>
      <c r="H2112" s="9"/>
      <c r="I2112" s="11" t="s">
        <v>1012</v>
      </c>
      <c r="J2112" s="12">
        <v>46014</v>
      </c>
      <c r="K2112" s="12">
        <v>46025</v>
      </c>
      <c r="L2112" s="27">
        <v>2760000</v>
      </c>
      <c r="M2112" s="10" t="s">
        <v>4188</v>
      </c>
      <c r="N2112" s="34">
        <f t="shared" ca="1" si="427"/>
        <v>226.46377638888953</v>
      </c>
      <c r="O2112" s="10"/>
      <c r="P2112" s="39"/>
      <c r="Q2112" s="39"/>
      <c r="R2112" s="39"/>
      <c r="S2112" s="37">
        <f t="shared" si="434"/>
        <v>0</v>
      </c>
      <c r="T2112" s="37">
        <f t="shared" si="435"/>
        <v>2760000</v>
      </c>
      <c r="U2112" s="10"/>
      <c r="V2112" s="10"/>
      <c r="W2112" s="10"/>
      <c r="X2112" s="10"/>
      <c r="Y2112" s="10"/>
      <c r="Z2112" s="10"/>
      <c r="AA2112" s="10"/>
      <c r="AB2112" s="10"/>
      <c r="AC2112" s="10"/>
      <c r="AD2112" s="10"/>
      <c r="AE2112" s="10"/>
    </row>
    <row r="2113" spans="1:31" ht="14.25" customHeight="1">
      <c r="A2113" s="277" t="s">
        <v>6208</v>
      </c>
      <c r="B2113" s="9" t="s">
        <v>21</v>
      </c>
      <c r="C2113" s="9">
        <v>2025</v>
      </c>
      <c r="D2113" s="9" t="s">
        <v>77</v>
      </c>
      <c r="E2113" s="90" t="s">
        <v>1011</v>
      </c>
      <c r="F2113" s="9" t="s">
        <v>1013</v>
      </c>
      <c r="G2113" s="10"/>
      <c r="H2113" s="9"/>
      <c r="I2113" s="11" t="s">
        <v>1012</v>
      </c>
      <c r="J2113" s="12">
        <v>45987</v>
      </c>
      <c r="K2113" s="12">
        <v>46052</v>
      </c>
      <c r="L2113" s="27">
        <v>1110000</v>
      </c>
      <c r="M2113" s="10" t="s">
        <v>4284</v>
      </c>
      <c r="N2113" s="34">
        <f t="shared" ref="N2113" ca="1" si="436">$J$3-J2113</f>
        <v>253.46377638888953</v>
      </c>
      <c r="O2113" s="10"/>
      <c r="P2113" s="39"/>
      <c r="Q2113" s="39"/>
      <c r="R2113" s="39"/>
      <c r="S2113" s="37">
        <f t="shared" ref="S2113" si="437">IF(R2113="",0,L2113)</f>
        <v>0</v>
      </c>
      <c r="T2113" s="37">
        <f t="shared" ref="T2113" si="438">L2113-S2113</f>
        <v>1110000</v>
      </c>
      <c r="U2113" s="10"/>
      <c r="V2113" s="10"/>
      <c r="W2113" s="10"/>
      <c r="X2113" s="10"/>
      <c r="Y2113" s="10"/>
      <c r="Z2113" s="10"/>
      <c r="AA2113" s="10"/>
      <c r="AB2113" s="10"/>
      <c r="AC2113" s="10"/>
      <c r="AD2113" s="10"/>
      <c r="AE2113" s="10"/>
    </row>
    <row r="2114" spans="1:31" ht="14.25" customHeight="1">
      <c r="A2114" s="277" t="s">
        <v>6209</v>
      </c>
      <c r="B2114" s="9" t="s">
        <v>21</v>
      </c>
      <c r="C2114" s="9"/>
      <c r="D2114" s="9"/>
      <c r="E2114" s="90"/>
      <c r="F2114" s="9"/>
      <c r="G2114" s="10"/>
      <c r="H2114" s="9"/>
      <c r="I2114" s="11"/>
      <c r="J2114" s="12"/>
      <c r="K2114" s="12"/>
      <c r="L2114" s="27"/>
      <c r="M2114" s="10"/>
      <c r="N2114" s="114">
        <f ca="1">$J$3-J2114</f>
        <v>46240.46377638889</v>
      </c>
      <c r="O2114" s="10"/>
      <c r="P2114" s="39"/>
      <c r="Q2114" s="39"/>
      <c r="R2114" s="39"/>
      <c r="S2114" s="37">
        <f t="shared" si="434"/>
        <v>0</v>
      </c>
      <c r="T2114" s="37">
        <f t="shared" si="435"/>
        <v>0</v>
      </c>
      <c r="U2114" s="10"/>
      <c r="V2114" s="10"/>
      <c r="W2114" s="10"/>
      <c r="X2114" s="10"/>
      <c r="Y2114" s="10"/>
      <c r="Z2114" s="10"/>
      <c r="AA2114" s="10"/>
      <c r="AB2114" s="10"/>
      <c r="AC2114" s="10"/>
      <c r="AD2114" s="10"/>
      <c r="AE2114" s="10"/>
    </row>
    <row r="2115" spans="1:31" ht="14.25" customHeight="1">
      <c r="A2115" s="277" t="s">
        <v>6210</v>
      </c>
      <c r="B2115" s="9" t="s">
        <v>21</v>
      </c>
      <c r="C2115" s="9"/>
      <c r="D2115" s="9"/>
      <c r="E2115" s="90"/>
      <c r="F2115" s="9"/>
      <c r="G2115" s="10"/>
      <c r="H2115" s="9"/>
      <c r="I2115" s="11"/>
      <c r="J2115" s="12"/>
      <c r="K2115" s="12"/>
      <c r="L2115" s="52"/>
      <c r="M2115" s="10"/>
      <c r="N2115" s="9"/>
      <c r="O2115" s="11"/>
      <c r="P2115" s="39"/>
      <c r="Q2115" s="39"/>
      <c r="R2115" s="39"/>
      <c r="S2115" s="37"/>
      <c r="T2115" s="37"/>
      <c r="U2115" s="10"/>
      <c r="V2115" s="10"/>
      <c r="W2115" s="10"/>
      <c r="X2115" s="10"/>
      <c r="Y2115" s="10"/>
      <c r="Z2115" s="10"/>
      <c r="AA2115" s="10"/>
      <c r="AB2115" s="10"/>
      <c r="AC2115" s="10"/>
      <c r="AD2115" s="10"/>
      <c r="AE2115" s="10"/>
    </row>
    <row r="2116" spans="1:31">
      <c r="A2116" s="277" t="s">
        <v>6211</v>
      </c>
      <c r="B2116" s="9" t="s">
        <v>21</v>
      </c>
      <c r="C2116" s="9"/>
      <c r="D2116" s="9"/>
      <c r="E2116" s="90"/>
      <c r="F2116" s="9"/>
      <c r="G2116" s="94" t="s">
        <v>24</v>
      </c>
      <c r="H2116" s="95" t="s">
        <v>1097</v>
      </c>
      <c r="I2116" s="104"/>
      <c r="J2116" s="105"/>
      <c r="K2116" s="105"/>
      <c r="L2116" s="106">
        <f>SUM(L2117:L2136)</f>
        <v>143513250</v>
      </c>
      <c r="M2116" s="107"/>
      <c r="N2116" s="108" t="s">
        <v>26</v>
      </c>
      <c r="O2116" s="108"/>
      <c r="P2116" s="108"/>
      <c r="Q2116" s="108"/>
      <c r="R2116" s="108"/>
      <c r="S2116" s="106">
        <f>SUM(S2117:S2136)</f>
        <v>136087950</v>
      </c>
      <c r="T2116" s="106">
        <f>SUM(T2117:T2136)</f>
        <v>7425300</v>
      </c>
      <c r="U2116" s="10"/>
      <c r="V2116" s="52">
        <f>L2116-S2116</f>
        <v>7425300</v>
      </c>
      <c r="W2116" s="52">
        <f>T2116-V2116</f>
        <v>0</v>
      </c>
      <c r="X2116" s="10"/>
      <c r="Y2116" s="10"/>
      <c r="Z2116" s="10"/>
      <c r="AA2116" s="10"/>
      <c r="AB2116" s="10"/>
      <c r="AC2116" s="10"/>
      <c r="AD2116" s="10"/>
      <c r="AE2116" s="10"/>
    </row>
    <row r="2117" spans="1:31" ht="14.25" hidden="1" customHeight="1">
      <c r="A2117" s="277" t="s">
        <v>6212</v>
      </c>
      <c r="B2117" s="9" t="s">
        <v>21</v>
      </c>
      <c r="C2117" s="9">
        <v>2025</v>
      </c>
      <c r="D2117" s="9" t="s">
        <v>27</v>
      </c>
      <c r="E2117" s="90" t="s">
        <v>1011</v>
      </c>
      <c r="F2117" s="9" t="s">
        <v>1013</v>
      </c>
      <c r="G2117" s="10"/>
      <c r="H2117" s="96"/>
      <c r="I2117" s="109" t="s">
        <v>1097</v>
      </c>
      <c r="J2117" s="115">
        <v>45688</v>
      </c>
      <c r="K2117" s="115">
        <v>45707</v>
      </c>
      <c r="L2117" s="116">
        <v>20297975</v>
      </c>
      <c r="M2117" s="117" t="s">
        <v>1098</v>
      </c>
      <c r="N2117" s="34" t="s">
        <v>29</v>
      </c>
      <c r="O2117" s="27">
        <f>SUM(L2117:L2118)</f>
        <v>33319850</v>
      </c>
      <c r="P2117" s="113">
        <v>45770</v>
      </c>
      <c r="Q2117" s="113">
        <v>45770</v>
      </c>
      <c r="R2117" s="113">
        <v>45770</v>
      </c>
      <c r="S2117" s="37">
        <f t="shared" ref="S2117:S2135" si="439">IF(R2117="",0,L2117)</f>
        <v>20297975</v>
      </c>
      <c r="T2117" s="37">
        <f t="shared" ref="T2117:T2135" si="440">L2117-S2117</f>
        <v>0</v>
      </c>
      <c r="U2117" s="10"/>
      <c r="V2117" s="10"/>
      <c r="W2117" s="10"/>
      <c r="X2117" s="10"/>
      <c r="Y2117" s="10"/>
      <c r="Z2117" s="10"/>
      <c r="AA2117" s="10"/>
      <c r="AB2117" s="10"/>
      <c r="AC2117" s="10"/>
      <c r="AD2117" s="10"/>
      <c r="AE2117" s="10"/>
    </row>
    <row r="2118" spans="1:31" ht="14.25" hidden="1" customHeight="1">
      <c r="A2118" s="277" t="s">
        <v>6213</v>
      </c>
      <c r="B2118" s="9" t="s">
        <v>21</v>
      </c>
      <c r="C2118" s="9">
        <v>2025</v>
      </c>
      <c r="D2118" s="9" t="s">
        <v>27</v>
      </c>
      <c r="E2118" s="90" t="s">
        <v>1011</v>
      </c>
      <c r="F2118" s="9" t="s">
        <v>1013</v>
      </c>
      <c r="G2118" s="10"/>
      <c r="H2118" s="96"/>
      <c r="I2118" s="109" t="s">
        <v>1097</v>
      </c>
      <c r="J2118" s="115">
        <v>45716</v>
      </c>
      <c r="K2118" s="115">
        <v>45728</v>
      </c>
      <c r="L2118" s="116">
        <v>13021875</v>
      </c>
      <c r="M2118" s="117" t="s">
        <v>1099</v>
      </c>
      <c r="N2118" s="34" t="s">
        <v>29</v>
      </c>
      <c r="O2118" s="10"/>
      <c r="P2118" s="113">
        <v>45770</v>
      </c>
      <c r="Q2118" s="113">
        <v>45770</v>
      </c>
      <c r="R2118" s="113">
        <v>45770</v>
      </c>
      <c r="S2118" s="37">
        <f t="shared" si="439"/>
        <v>13021875</v>
      </c>
      <c r="T2118" s="37">
        <f t="shared" si="440"/>
        <v>0</v>
      </c>
      <c r="U2118" s="10"/>
      <c r="V2118" s="10"/>
      <c r="W2118" s="10"/>
      <c r="X2118" s="10"/>
      <c r="Y2118" s="10"/>
      <c r="Z2118" s="10"/>
      <c r="AA2118" s="10"/>
      <c r="AB2118" s="10"/>
      <c r="AC2118" s="10"/>
      <c r="AD2118" s="10"/>
      <c r="AE2118" s="10"/>
    </row>
    <row r="2119" spans="1:31" ht="14.25" hidden="1" customHeight="1">
      <c r="A2119" s="277" t="s">
        <v>6214</v>
      </c>
      <c r="B2119" s="9" t="s">
        <v>21</v>
      </c>
      <c r="C2119" s="9">
        <v>2025</v>
      </c>
      <c r="D2119" s="9" t="s">
        <v>27</v>
      </c>
      <c r="E2119" s="90" t="s">
        <v>1011</v>
      </c>
      <c r="F2119" s="9" t="s">
        <v>1013</v>
      </c>
      <c r="G2119" s="10"/>
      <c r="H2119" s="96"/>
      <c r="I2119" s="109" t="s">
        <v>1097</v>
      </c>
      <c r="J2119" s="115">
        <v>45747</v>
      </c>
      <c r="K2119" s="115">
        <v>45761</v>
      </c>
      <c r="L2119" s="116">
        <v>7099000</v>
      </c>
      <c r="M2119" s="117" t="s">
        <v>1100</v>
      </c>
      <c r="N2119" s="34" t="s">
        <v>29</v>
      </c>
      <c r="O2119" s="27">
        <f>SUM(L2119:L2121)</f>
        <v>10726800</v>
      </c>
      <c r="P2119" s="113">
        <v>45853</v>
      </c>
      <c r="Q2119" s="113">
        <v>45853</v>
      </c>
      <c r="R2119" s="113">
        <v>45853</v>
      </c>
      <c r="S2119" s="37">
        <f t="shared" si="439"/>
        <v>7099000</v>
      </c>
      <c r="T2119" s="37">
        <f t="shared" si="440"/>
        <v>0</v>
      </c>
      <c r="U2119" s="10"/>
      <c r="V2119" s="10"/>
      <c r="W2119" s="10"/>
      <c r="X2119" s="10"/>
      <c r="Y2119" s="10"/>
      <c r="Z2119" s="10"/>
      <c r="AA2119" s="10"/>
      <c r="AB2119" s="10"/>
      <c r="AC2119" s="10"/>
      <c r="AD2119" s="10"/>
      <c r="AE2119" s="10"/>
    </row>
    <row r="2120" spans="1:31" ht="14.25" hidden="1" customHeight="1">
      <c r="A2120" s="277" t="s">
        <v>6215</v>
      </c>
      <c r="B2120" s="9" t="s">
        <v>21</v>
      </c>
      <c r="C2120" s="9">
        <v>2025</v>
      </c>
      <c r="D2120" s="9" t="s">
        <v>27</v>
      </c>
      <c r="E2120" s="90" t="s">
        <v>1011</v>
      </c>
      <c r="F2120" s="9" t="s">
        <v>1013</v>
      </c>
      <c r="G2120" s="10"/>
      <c r="H2120" s="96"/>
      <c r="I2120" s="109" t="s">
        <v>1097</v>
      </c>
      <c r="J2120" s="115">
        <v>45777</v>
      </c>
      <c r="K2120" s="115">
        <v>45787</v>
      </c>
      <c r="L2120" s="116">
        <v>1577400</v>
      </c>
      <c r="M2120" s="117" t="s">
        <v>1101</v>
      </c>
      <c r="N2120" s="34" t="s">
        <v>29</v>
      </c>
      <c r="O2120" s="10"/>
      <c r="P2120" s="113">
        <v>45853</v>
      </c>
      <c r="Q2120" s="113">
        <v>45853</v>
      </c>
      <c r="R2120" s="113">
        <v>45853</v>
      </c>
      <c r="S2120" s="37">
        <f t="shared" si="439"/>
        <v>1577400</v>
      </c>
      <c r="T2120" s="37">
        <f t="shared" si="440"/>
        <v>0</v>
      </c>
      <c r="U2120" s="10"/>
      <c r="V2120" s="10"/>
      <c r="W2120" s="10"/>
      <c r="X2120" s="10"/>
      <c r="Y2120" s="10"/>
      <c r="Z2120" s="10"/>
      <c r="AA2120" s="10"/>
      <c r="AB2120" s="10"/>
      <c r="AC2120" s="10"/>
      <c r="AD2120" s="10"/>
      <c r="AE2120" s="10"/>
    </row>
    <row r="2121" spans="1:31" ht="14.25" hidden="1" customHeight="1">
      <c r="A2121" s="277" t="s">
        <v>6216</v>
      </c>
      <c r="B2121" s="9" t="s">
        <v>21</v>
      </c>
      <c r="C2121" s="9">
        <v>2025</v>
      </c>
      <c r="D2121" s="9" t="s">
        <v>27</v>
      </c>
      <c r="E2121" s="90" t="s">
        <v>1011</v>
      </c>
      <c r="F2121" s="9" t="s">
        <v>1013</v>
      </c>
      <c r="G2121" s="10"/>
      <c r="H2121" s="96"/>
      <c r="I2121" s="109" t="s">
        <v>1097</v>
      </c>
      <c r="J2121" s="115">
        <v>45808</v>
      </c>
      <c r="K2121" s="115">
        <v>45817</v>
      </c>
      <c r="L2121" s="116">
        <v>2050400</v>
      </c>
      <c r="M2121" s="117" t="s">
        <v>1102</v>
      </c>
      <c r="N2121" s="34" t="s">
        <v>29</v>
      </c>
      <c r="O2121" s="10"/>
      <c r="P2121" s="113">
        <v>45853</v>
      </c>
      <c r="Q2121" s="113">
        <v>45853</v>
      </c>
      <c r="R2121" s="113">
        <v>45853</v>
      </c>
      <c r="S2121" s="37">
        <f t="shared" si="439"/>
        <v>2050400</v>
      </c>
      <c r="T2121" s="37">
        <f t="shared" si="440"/>
        <v>0</v>
      </c>
      <c r="U2121" s="10"/>
      <c r="V2121" s="10"/>
      <c r="W2121" s="10"/>
      <c r="X2121" s="10"/>
      <c r="Y2121" s="10"/>
      <c r="Z2121" s="10"/>
      <c r="AA2121" s="10"/>
      <c r="AB2121" s="10"/>
      <c r="AC2121" s="10"/>
      <c r="AD2121" s="10"/>
      <c r="AE2121" s="10"/>
    </row>
    <row r="2122" spans="1:31" ht="14.25" hidden="1" customHeight="1">
      <c r="A2122" s="277" t="s">
        <v>6217</v>
      </c>
      <c r="B2122" s="9" t="s">
        <v>21</v>
      </c>
      <c r="C2122" s="9">
        <v>2025</v>
      </c>
      <c r="D2122" s="9" t="s">
        <v>27</v>
      </c>
      <c r="E2122" s="90" t="s">
        <v>1011</v>
      </c>
      <c r="F2122" s="9" t="s">
        <v>1013</v>
      </c>
      <c r="G2122" s="10"/>
      <c r="H2122" s="96"/>
      <c r="I2122" s="109" t="s">
        <v>1097</v>
      </c>
      <c r="J2122" s="115">
        <v>45838</v>
      </c>
      <c r="K2122" s="115">
        <v>45846</v>
      </c>
      <c r="L2122" s="116">
        <v>1286100</v>
      </c>
      <c r="M2122" s="117" t="s">
        <v>1103</v>
      </c>
      <c r="N2122" s="34" t="s">
        <v>29</v>
      </c>
      <c r="O2122" s="27">
        <f>SUM(L2122:L2125)</f>
        <v>15789500</v>
      </c>
      <c r="P2122" s="113">
        <v>45960</v>
      </c>
      <c r="Q2122" s="113">
        <v>45960</v>
      </c>
      <c r="R2122" s="113">
        <v>45960</v>
      </c>
      <c r="S2122" s="37">
        <f t="shared" si="439"/>
        <v>1286100</v>
      </c>
      <c r="T2122" s="37">
        <f t="shared" si="440"/>
        <v>0</v>
      </c>
      <c r="U2122" s="10"/>
      <c r="V2122" s="10"/>
      <c r="W2122" s="10"/>
      <c r="X2122" s="10"/>
      <c r="Y2122" s="10"/>
      <c r="Z2122" s="10"/>
      <c r="AA2122" s="10"/>
      <c r="AB2122" s="10"/>
      <c r="AC2122" s="10"/>
      <c r="AD2122" s="10"/>
      <c r="AE2122" s="10"/>
    </row>
    <row r="2123" spans="1:31" ht="14.25" hidden="1" customHeight="1">
      <c r="A2123" s="277" t="s">
        <v>6218</v>
      </c>
      <c r="B2123" s="9" t="s">
        <v>21</v>
      </c>
      <c r="C2123" s="9">
        <v>2025</v>
      </c>
      <c r="D2123" s="9" t="s">
        <v>27</v>
      </c>
      <c r="E2123" s="90" t="s">
        <v>1011</v>
      </c>
      <c r="F2123" s="9" t="s">
        <v>1013</v>
      </c>
      <c r="G2123" s="10"/>
      <c r="H2123" s="96"/>
      <c r="I2123" s="109" t="s">
        <v>1097</v>
      </c>
      <c r="J2123" s="115">
        <v>45869</v>
      </c>
      <c r="K2123" s="115">
        <v>45883</v>
      </c>
      <c r="L2123" s="116">
        <v>7013100</v>
      </c>
      <c r="M2123" s="117" t="s">
        <v>1104</v>
      </c>
      <c r="N2123" s="34" t="s">
        <v>29</v>
      </c>
      <c r="O2123" s="10"/>
      <c r="P2123" s="113">
        <v>45960</v>
      </c>
      <c r="Q2123" s="113">
        <v>45960</v>
      </c>
      <c r="R2123" s="113">
        <v>45960</v>
      </c>
      <c r="S2123" s="37">
        <f t="shared" si="439"/>
        <v>7013100</v>
      </c>
      <c r="T2123" s="37">
        <f t="shared" si="440"/>
        <v>0</v>
      </c>
      <c r="U2123" s="10"/>
      <c r="V2123" s="10"/>
      <c r="W2123" s="10"/>
      <c r="X2123" s="10"/>
      <c r="Y2123" s="10"/>
      <c r="Z2123" s="10"/>
      <c r="AA2123" s="10"/>
      <c r="AB2123" s="10"/>
      <c r="AC2123" s="10"/>
      <c r="AD2123" s="10"/>
      <c r="AE2123" s="10"/>
    </row>
    <row r="2124" spans="1:31" ht="14.25" hidden="1" customHeight="1">
      <c r="A2124" s="277" t="s">
        <v>6219</v>
      </c>
      <c r="B2124" s="9" t="s">
        <v>21</v>
      </c>
      <c r="C2124" s="9">
        <v>2025</v>
      </c>
      <c r="D2124" s="9" t="s">
        <v>27</v>
      </c>
      <c r="E2124" s="90" t="s">
        <v>1011</v>
      </c>
      <c r="F2124" s="9" t="s">
        <v>1013</v>
      </c>
      <c r="G2124" s="10"/>
      <c r="H2124" s="96"/>
      <c r="I2124" s="109" t="s">
        <v>1097</v>
      </c>
      <c r="J2124" s="115">
        <v>45900</v>
      </c>
      <c r="K2124" s="115">
        <v>45913</v>
      </c>
      <c r="L2124" s="116">
        <v>6175800</v>
      </c>
      <c r="M2124" s="117" t="s">
        <v>1105</v>
      </c>
      <c r="N2124" s="34" t="s">
        <v>29</v>
      </c>
      <c r="O2124" s="10"/>
      <c r="P2124" s="113">
        <v>45960</v>
      </c>
      <c r="Q2124" s="113">
        <v>45960</v>
      </c>
      <c r="R2124" s="113">
        <v>45960</v>
      </c>
      <c r="S2124" s="37">
        <f t="shared" si="439"/>
        <v>6175800</v>
      </c>
      <c r="T2124" s="37">
        <f t="shared" si="440"/>
        <v>0</v>
      </c>
      <c r="U2124" s="10"/>
      <c r="V2124" s="10"/>
      <c r="W2124" s="10"/>
      <c r="X2124" s="10"/>
      <c r="Y2124" s="10"/>
      <c r="Z2124" s="10"/>
      <c r="AA2124" s="10"/>
      <c r="AB2124" s="10"/>
      <c r="AC2124" s="10"/>
      <c r="AD2124" s="10"/>
      <c r="AE2124" s="10"/>
    </row>
    <row r="2125" spans="1:31" ht="14.25" hidden="1" customHeight="1">
      <c r="A2125" s="277" t="s">
        <v>6220</v>
      </c>
      <c r="B2125" s="9" t="s">
        <v>21</v>
      </c>
      <c r="C2125" s="9">
        <v>2025</v>
      </c>
      <c r="D2125" s="9" t="s">
        <v>27</v>
      </c>
      <c r="E2125" s="90" t="s">
        <v>1011</v>
      </c>
      <c r="F2125" s="9" t="s">
        <v>1013</v>
      </c>
      <c r="G2125" s="10"/>
      <c r="H2125" s="96"/>
      <c r="I2125" s="109" t="s">
        <v>1097</v>
      </c>
      <c r="J2125" s="115">
        <v>45930</v>
      </c>
      <c r="K2125" s="115">
        <v>45941</v>
      </c>
      <c r="L2125" s="116">
        <v>1314500</v>
      </c>
      <c r="M2125" s="117" t="s">
        <v>3793</v>
      </c>
      <c r="N2125" s="34" t="s">
        <v>29</v>
      </c>
      <c r="O2125" s="10"/>
      <c r="P2125" s="113">
        <v>45960</v>
      </c>
      <c r="Q2125" s="113">
        <v>45960</v>
      </c>
      <c r="R2125" s="113">
        <v>45960</v>
      </c>
      <c r="S2125" s="37">
        <f t="shared" si="439"/>
        <v>1314500</v>
      </c>
      <c r="T2125" s="37">
        <f t="shared" si="440"/>
        <v>0</v>
      </c>
      <c r="U2125" s="10"/>
      <c r="V2125" s="10"/>
      <c r="W2125" s="10"/>
      <c r="X2125" s="10"/>
      <c r="Y2125" s="10"/>
      <c r="Z2125" s="10"/>
      <c r="AA2125" s="10"/>
      <c r="AB2125" s="10"/>
      <c r="AC2125" s="10"/>
      <c r="AD2125" s="10"/>
      <c r="AE2125" s="10"/>
    </row>
    <row r="2126" spans="1:31" ht="14.25" hidden="1" customHeight="1">
      <c r="A2126" s="277" t="s">
        <v>6221</v>
      </c>
      <c r="B2126" s="9" t="s">
        <v>21</v>
      </c>
      <c r="C2126" s="9">
        <v>2025</v>
      </c>
      <c r="D2126" s="9" t="s">
        <v>27</v>
      </c>
      <c r="E2126" s="90" t="s">
        <v>1011</v>
      </c>
      <c r="F2126" s="9" t="s">
        <v>1013</v>
      </c>
      <c r="G2126" s="10"/>
      <c r="H2126" s="96"/>
      <c r="I2126" s="109" t="s">
        <v>1097</v>
      </c>
      <c r="J2126" s="115">
        <v>45961</v>
      </c>
      <c r="K2126" s="115">
        <v>45982</v>
      </c>
      <c r="L2126" s="116">
        <v>3389300</v>
      </c>
      <c r="M2126" s="117" t="s">
        <v>4020</v>
      </c>
      <c r="N2126" s="34" t="s">
        <v>29</v>
      </c>
      <c r="O2126" s="27">
        <f>SUM(L2126:L2127)</f>
        <v>7801800</v>
      </c>
      <c r="P2126" s="113">
        <v>46080</v>
      </c>
      <c r="Q2126" s="113">
        <v>46080</v>
      </c>
      <c r="R2126" s="113">
        <v>46080</v>
      </c>
      <c r="S2126" s="37">
        <f t="shared" si="439"/>
        <v>3389300</v>
      </c>
      <c r="T2126" s="37">
        <f t="shared" si="440"/>
        <v>0</v>
      </c>
      <c r="U2126" s="10"/>
      <c r="V2126" s="10"/>
      <c r="W2126" s="10"/>
      <c r="X2126" s="10"/>
      <c r="Y2126" s="10"/>
      <c r="Z2126" s="10"/>
      <c r="AA2126" s="10"/>
      <c r="AB2126" s="10"/>
      <c r="AC2126" s="10"/>
      <c r="AD2126" s="10"/>
      <c r="AE2126" s="10"/>
    </row>
    <row r="2127" spans="1:31" ht="14.25" hidden="1" customHeight="1">
      <c r="A2127" s="277" t="s">
        <v>6222</v>
      </c>
      <c r="B2127" s="9" t="s">
        <v>21</v>
      </c>
      <c r="C2127" s="9">
        <v>2025</v>
      </c>
      <c r="D2127" s="9" t="s">
        <v>27</v>
      </c>
      <c r="E2127" s="90" t="s">
        <v>1011</v>
      </c>
      <c r="F2127" s="9" t="s">
        <v>1013</v>
      </c>
      <c r="G2127" s="10"/>
      <c r="H2127" s="96"/>
      <c r="I2127" s="109" t="s">
        <v>1097</v>
      </c>
      <c r="J2127" s="115">
        <v>46022</v>
      </c>
      <c r="K2127" s="115">
        <v>46029</v>
      </c>
      <c r="L2127" s="116">
        <v>4412500</v>
      </c>
      <c r="M2127" s="117" t="s">
        <v>4198</v>
      </c>
      <c r="N2127" s="34" t="s">
        <v>29</v>
      </c>
      <c r="O2127" s="10"/>
      <c r="P2127" s="113">
        <v>46080</v>
      </c>
      <c r="Q2127" s="113">
        <v>46080</v>
      </c>
      <c r="R2127" s="113">
        <v>46080</v>
      </c>
      <c r="S2127" s="37">
        <f t="shared" si="439"/>
        <v>4412500</v>
      </c>
      <c r="T2127" s="37">
        <f t="shared" si="440"/>
        <v>0</v>
      </c>
      <c r="U2127" s="10"/>
      <c r="V2127" s="10"/>
      <c r="W2127" s="10"/>
      <c r="X2127" s="10"/>
      <c r="Y2127" s="10"/>
      <c r="Z2127" s="10"/>
      <c r="AA2127" s="10"/>
      <c r="AB2127" s="10"/>
      <c r="AC2127" s="10"/>
      <c r="AD2127" s="10"/>
      <c r="AE2127" s="10"/>
    </row>
    <row r="2128" spans="1:31" ht="14.25" hidden="1" customHeight="1">
      <c r="A2128" s="277" t="s">
        <v>6223</v>
      </c>
      <c r="B2128" s="9" t="s">
        <v>21</v>
      </c>
      <c r="C2128" s="9">
        <v>2026</v>
      </c>
      <c r="D2128" s="9" t="s">
        <v>27</v>
      </c>
      <c r="E2128" s="90" t="s">
        <v>1011</v>
      </c>
      <c r="F2128" s="9" t="s">
        <v>1013</v>
      </c>
      <c r="G2128" s="10"/>
      <c r="H2128" s="96"/>
      <c r="I2128" s="109" t="s">
        <v>1097</v>
      </c>
      <c r="J2128" s="115">
        <v>46053</v>
      </c>
      <c r="K2128" s="115">
        <v>46057</v>
      </c>
      <c r="L2128" s="116">
        <v>14761250</v>
      </c>
      <c r="M2128" s="117" t="s">
        <v>4304</v>
      </c>
      <c r="N2128" s="34" t="s">
        <v>29</v>
      </c>
      <c r="O2128" s="27">
        <f>SUM(L2128:L2131)</f>
        <v>34331300</v>
      </c>
      <c r="P2128" s="113">
        <v>46158</v>
      </c>
      <c r="Q2128" s="113">
        <v>46158</v>
      </c>
      <c r="R2128" s="113">
        <v>46158</v>
      </c>
      <c r="S2128" s="37">
        <f t="shared" si="439"/>
        <v>14761250</v>
      </c>
      <c r="T2128" s="37">
        <f t="shared" si="440"/>
        <v>0</v>
      </c>
      <c r="U2128" s="10"/>
      <c r="V2128" s="10"/>
      <c r="W2128" s="10"/>
      <c r="X2128" s="10"/>
      <c r="Y2128" s="10"/>
      <c r="Z2128" s="10"/>
      <c r="AA2128" s="10"/>
      <c r="AB2128" s="10"/>
      <c r="AC2128" s="10"/>
      <c r="AD2128" s="10"/>
      <c r="AE2128" s="10"/>
    </row>
    <row r="2129" spans="1:31" ht="14.25" hidden="1" customHeight="1">
      <c r="A2129" s="277" t="s">
        <v>6224</v>
      </c>
      <c r="B2129" s="9" t="s">
        <v>21</v>
      </c>
      <c r="C2129" s="9">
        <v>2026</v>
      </c>
      <c r="D2129" s="9" t="s">
        <v>27</v>
      </c>
      <c r="E2129" s="90" t="s">
        <v>1011</v>
      </c>
      <c r="F2129" s="9" t="s">
        <v>1013</v>
      </c>
      <c r="G2129" s="10"/>
      <c r="H2129" s="96"/>
      <c r="I2129" s="109" t="s">
        <v>1097</v>
      </c>
      <c r="J2129" s="115">
        <v>46081</v>
      </c>
      <c r="K2129" s="115">
        <v>46087</v>
      </c>
      <c r="L2129" s="116">
        <v>6693400</v>
      </c>
      <c r="M2129" s="117" t="s">
        <v>4444</v>
      </c>
      <c r="N2129" s="34" t="s">
        <v>29</v>
      </c>
      <c r="O2129" s="10"/>
      <c r="P2129" s="113">
        <v>46158</v>
      </c>
      <c r="Q2129" s="113">
        <v>46158</v>
      </c>
      <c r="R2129" s="113">
        <v>46158</v>
      </c>
      <c r="S2129" s="37">
        <f t="shared" si="439"/>
        <v>6693400</v>
      </c>
      <c r="T2129" s="37">
        <f t="shared" si="440"/>
        <v>0</v>
      </c>
      <c r="U2129" s="10"/>
      <c r="V2129" s="10"/>
      <c r="W2129" s="10"/>
      <c r="X2129" s="10"/>
      <c r="Y2129" s="10"/>
      <c r="Z2129" s="10"/>
      <c r="AA2129" s="10"/>
      <c r="AB2129" s="10"/>
      <c r="AC2129" s="10"/>
      <c r="AD2129" s="10"/>
      <c r="AE2129" s="10"/>
    </row>
    <row r="2130" spans="1:31" ht="14.25" hidden="1" customHeight="1">
      <c r="A2130" s="277" t="s">
        <v>6225</v>
      </c>
      <c r="B2130" s="9" t="s">
        <v>21</v>
      </c>
      <c r="C2130" s="9">
        <v>2026</v>
      </c>
      <c r="D2130" s="9" t="s">
        <v>27</v>
      </c>
      <c r="E2130" s="90" t="s">
        <v>1011</v>
      </c>
      <c r="F2130" s="9" t="s">
        <v>1013</v>
      </c>
      <c r="G2130" s="10"/>
      <c r="H2130" s="96"/>
      <c r="I2130" s="109" t="s">
        <v>1097</v>
      </c>
      <c r="J2130" s="115">
        <v>46112</v>
      </c>
      <c r="K2130" s="115">
        <v>46123</v>
      </c>
      <c r="L2130" s="116">
        <v>11725350</v>
      </c>
      <c r="M2130" s="117" t="s">
        <v>4522</v>
      </c>
      <c r="N2130" s="34" t="s">
        <v>29</v>
      </c>
      <c r="O2130" s="27">
        <f>SUM(L2130:L2133)</f>
        <v>46995350</v>
      </c>
      <c r="P2130" s="113">
        <v>46177</v>
      </c>
      <c r="Q2130" s="113">
        <v>46177</v>
      </c>
      <c r="R2130" s="113">
        <v>46177</v>
      </c>
      <c r="S2130" s="37">
        <f t="shared" si="439"/>
        <v>11725350</v>
      </c>
      <c r="T2130" s="37">
        <f t="shared" si="440"/>
        <v>0</v>
      </c>
      <c r="U2130" s="10"/>
      <c r="V2130" s="10"/>
      <c r="W2130" s="10"/>
      <c r="X2130" s="10"/>
      <c r="Y2130" s="10"/>
      <c r="Z2130" s="10"/>
      <c r="AA2130" s="10"/>
      <c r="AB2130" s="10"/>
      <c r="AC2130" s="10"/>
      <c r="AD2130" s="10"/>
      <c r="AE2130" s="10"/>
    </row>
    <row r="2131" spans="1:31" ht="14.25" hidden="1" customHeight="1">
      <c r="A2131" s="277" t="s">
        <v>6226</v>
      </c>
      <c r="B2131" s="9" t="s">
        <v>21</v>
      </c>
      <c r="C2131" s="9">
        <v>2026</v>
      </c>
      <c r="D2131" s="9" t="s">
        <v>27</v>
      </c>
      <c r="E2131" s="90" t="s">
        <v>1011</v>
      </c>
      <c r="F2131" s="9" t="s">
        <v>1013</v>
      </c>
      <c r="G2131" s="10"/>
      <c r="H2131" s="96"/>
      <c r="I2131" s="109" t="s">
        <v>1097</v>
      </c>
      <c r="J2131" s="115">
        <v>46112</v>
      </c>
      <c r="K2131" s="115">
        <v>46123</v>
      </c>
      <c r="L2131" s="116">
        <v>1151300</v>
      </c>
      <c r="M2131" s="117" t="s">
        <v>4521</v>
      </c>
      <c r="N2131" s="34" t="s">
        <v>29</v>
      </c>
      <c r="O2131" s="10"/>
      <c r="P2131" s="113">
        <v>46177</v>
      </c>
      <c r="Q2131" s="113">
        <v>46177</v>
      </c>
      <c r="R2131" s="113">
        <v>46177</v>
      </c>
      <c r="S2131" s="37">
        <f t="shared" si="439"/>
        <v>1151300</v>
      </c>
      <c r="T2131" s="37">
        <f t="shared" si="440"/>
        <v>0</v>
      </c>
      <c r="U2131" s="10"/>
      <c r="V2131" s="10"/>
      <c r="W2131" s="10"/>
      <c r="X2131" s="10"/>
      <c r="Y2131" s="10"/>
      <c r="Z2131" s="10"/>
      <c r="AA2131" s="10"/>
      <c r="AB2131" s="10"/>
      <c r="AC2131" s="10"/>
      <c r="AD2131" s="10"/>
      <c r="AE2131" s="10"/>
    </row>
    <row r="2132" spans="1:31" ht="14.25" hidden="1" customHeight="1">
      <c r="A2132" s="277" t="s">
        <v>6227</v>
      </c>
      <c r="B2132" s="9" t="s">
        <v>21</v>
      </c>
      <c r="C2132" s="9">
        <v>2026</v>
      </c>
      <c r="D2132" s="9" t="s">
        <v>27</v>
      </c>
      <c r="E2132" s="90" t="s">
        <v>1011</v>
      </c>
      <c r="F2132" s="9" t="s">
        <v>1013</v>
      </c>
      <c r="G2132" s="10"/>
      <c r="H2132" s="96"/>
      <c r="I2132" s="109" t="s">
        <v>1097</v>
      </c>
      <c r="J2132" s="115">
        <v>46142</v>
      </c>
      <c r="K2132" s="115">
        <v>46146</v>
      </c>
      <c r="L2132" s="116">
        <f>22335700</f>
        <v>22335700</v>
      </c>
      <c r="M2132" s="117" t="s">
        <v>7093</v>
      </c>
      <c r="N2132" s="34" t="s">
        <v>29</v>
      </c>
      <c r="O2132" s="10"/>
      <c r="P2132" s="113">
        <v>46177</v>
      </c>
      <c r="Q2132" s="113">
        <v>46177</v>
      </c>
      <c r="R2132" s="113">
        <v>46177</v>
      </c>
      <c r="S2132" s="37">
        <f t="shared" ref="S2132" si="441">IF(R2132="",0,L2132)</f>
        <v>22335700</v>
      </c>
      <c r="T2132" s="37">
        <f t="shared" ref="T2132" si="442">L2132-S2132</f>
        <v>0</v>
      </c>
      <c r="U2132" s="10"/>
      <c r="V2132" s="10"/>
      <c r="W2132" s="10"/>
      <c r="X2132" s="10"/>
      <c r="Y2132" s="10"/>
      <c r="Z2132" s="10"/>
      <c r="AA2132" s="10"/>
      <c r="AB2132" s="10"/>
      <c r="AC2132" s="10"/>
      <c r="AD2132" s="10"/>
      <c r="AE2132" s="10"/>
    </row>
    <row r="2133" spans="1:31" ht="14.25" customHeight="1">
      <c r="A2133" s="277" t="s">
        <v>6228</v>
      </c>
      <c r="B2133" s="9" t="s">
        <v>21</v>
      </c>
      <c r="C2133" s="9">
        <v>2026</v>
      </c>
      <c r="D2133" s="9" t="s">
        <v>27</v>
      </c>
      <c r="E2133" s="90" t="s">
        <v>1011</v>
      </c>
      <c r="F2133" s="9" t="s">
        <v>1013</v>
      </c>
      <c r="G2133" s="10"/>
      <c r="H2133" s="96"/>
      <c r="I2133" s="109" t="s">
        <v>1097</v>
      </c>
      <c r="J2133" s="115">
        <v>46171</v>
      </c>
      <c r="K2133" s="115">
        <v>46171</v>
      </c>
      <c r="L2133" s="116">
        <v>11783000</v>
      </c>
      <c r="M2133" s="117" t="s">
        <v>7088</v>
      </c>
      <c r="N2133" s="34" t="s">
        <v>29</v>
      </c>
      <c r="O2133" s="10"/>
      <c r="P2133" s="113">
        <v>46177</v>
      </c>
      <c r="Q2133" s="113">
        <v>46177</v>
      </c>
      <c r="R2133" s="113">
        <v>46177</v>
      </c>
      <c r="S2133" s="37">
        <f t="shared" ref="S2133:S2134" si="443">IF(R2133="",0,L2133)</f>
        <v>11783000</v>
      </c>
      <c r="T2133" s="37">
        <f t="shared" ref="T2133:T2134" si="444">L2133-S2133</f>
        <v>0</v>
      </c>
      <c r="U2133" s="10"/>
      <c r="V2133" s="10"/>
      <c r="W2133" s="10"/>
      <c r="X2133" s="10"/>
      <c r="Y2133" s="10"/>
      <c r="Z2133" s="10"/>
      <c r="AA2133" s="10"/>
      <c r="AB2133" s="10"/>
      <c r="AC2133" s="10"/>
      <c r="AD2133" s="10"/>
      <c r="AE2133" s="10"/>
    </row>
    <row r="2134" spans="1:31" ht="14.25" customHeight="1">
      <c r="A2134" s="277" t="s">
        <v>6229</v>
      </c>
      <c r="B2134" s="9" t="s">
        <v>21</v>
      </c>
      <c r="C2134" s="9">
        <v>2026</v>
      </c>
      <c r="D2134" s="9" t="s">
        <v>77</v>
      </c>
      <c r="E2134" s="90" t="s">
        <v>1011</v>
      </c>
      <c r="F2134" s="9" t="s">
        <v>1013</v>
      </c>
      <c r="G2134" s="10"/>
      <c r="H2134" s="9"/>
      <c r="I2134" s="11" t="s">
        <v>1097</v>
      </c>
      <c r="J2134" s="12">
        <v>46206</v>
      </c>
      <c r="K2134" s="12">
        <v>46207</v>
      </c>
      <c r="L2134" s="27">
        <v>7425300</v>
      </c>
      <c r="M2134" s="10" t="s">
        <v>7322</v>
      </c>
      <c r="N2134" s="34">
        <f t="shared" ref="N2134" ca="1" si="445">$J$3-J2134</f>
        <v>34.463776388889528</v>
      </c>
      <c r="O2134" s="10"/>
      <c r="P2134" s="39"/>
      <c r="Q2134" s="39"/>
      <c r="R2134" s="39"/>
      <c r="S2134" s="37">
        <f t="shared" si="443"/>
        <v>0</v>
      </c>
      <c r="T2134" s="37">
        <f t="shared" si="444"/>
        <v>7425300</v>
      </c>
      <c r="U2134" s="10"/>
      <c r="V2134" s="10"/>
      <c r="W2134" s="10"/>
      <c r="X2134" s="10"/>
      <c r="Y2134" s="10"/>
      <c r="Z2134" s="10"/>
      <c r="AA2134" s="10"/>
      <c r="AB2134" s="10"/>
      <c r="AC2134" s="10"/>
      <c r="AD2134" s="10"/>
      <c r="AE2134" s="10"/>
    </row>
    <row r="2135" spans="1:31" ht="14.25" customHeight="1">
      <c r="A2135" s="277" t="s">
        <v>6230</v>
      </c>
      <c r="B2135" s="9" t="s">
        <v>21</v>
      </c>
      <c r="C2135" s="9"/>
      <c r="D2135" s="9"/>
      <c r="E2135" s="90"/>
      <c r="F2135" s="9"/>
      <c r="G2135" s="10"/>
      <c r="H2135" s="9"/>
      <c r="I2135" s="11"/>
      <c r="J2135" s="12"/>
      <c r="K2135" s="12"/>
      <c r="L2135" s="27"/>
      <c r="M2135" s="10"/>
      <c r="N2135" s="114">
        <f t="shared" ref="N2135" ca="1" si="446">$J$3-J2135</f>
        <v>46240.46377638889</v>
      </c>
      <c r="O2135" s="10"/>
      <c r="P2135" s="39"/>
      <c r="Q2135" s="39"/>
      <c r="R2135" s="39"/>
      <c r="S2135" s="37">
        <f t="shared" si="439"/>
        <v>0</v>
      </c>
      <c r="T2135" s="37">
        <f t="shared" si="440"/>
        <v>0</v>
      </c>
      <c r="U2135" s="10"/>
      <c r="V2135" s="10"/>
      <c r="W2135" s="10"/>
      <c r="X2135" s="10"/>
      <c r="Y2135" s="10"/>
      <c r="Z2135" s="10"/>
      <c r="AA2135" s="10"/>
      <c r="AB2135" s="10"/>
      <c r="AC2135" s="10"/>
      <c r="AD2135" s="10"/>
      <c r="AE2135" s="10"/>
    </row>
    <row r="2136" spans="1:31" ht="14.25" customHeight="1">
      <c r="A2136" s="277" t="s">
        <v>6231</v>
      </c>
      <c r="B2136" s="9" t="s">
        <v>21</v>
      </c>
      <c r="C2136" s="9"/>
      <c r="D2136" s="9"/>
      <c r="E2136" s="90"/>
      <c r="F2136" s="9"/>
      <c r="G2136" s="10"/>
      <c r="H2136" s="9"/>
      <c r="I2136" s="11"/>
      <c r="J2136" s="12"/>
      <c r="K2136" s="12"/>
      <c r="L2136" s="52"/>
      <c r="M2136" s="10"/>
      <c r="N2136" s="9"/>
      <c r="O2136" s="11"/>
      <c r="P2136" s="39"/>
      <c r="Q2136" s="39"/>
      <c r="R2136" s="39"/>
      <c r="S2136" s="37"/>
      <c r="T2136" s="37"/>
      <c r="U2136" s="10"/>
      <c r="V2136" s="10"/>
      <c r="W2136" s="10"/>
      <c r="X2136" s="10"/>
      <c r="Y2136" s="10"/>
      <c r="Z2136" s="10"/>
      <c r="AA2136" s="10"/>
      <c r="AB2136" s="10"/>
      <c r="AC2136" s="10"/>
      <c r="AD2136" s="10"/>
      <c r="AE2136" s="10"/>
    </row>
    <row r="2137" spans="1:31">
      <c r="A2137" s="277" t="s">
        <v>6232</v>
      </c>
      <c r="B2137" s="9" t="s">
        <v>21</v>
      </c>
      <c r="C2137" s="9"/>
      <c r="D2137" s="9"/>
      <c r="E2137" s="90"/>
      <c r="F2137" s="9"/>
      <c r="G2137" s="94" t="s">
        <v>24</v>
      </c>
      <c r="H2137" s="95" t="s">
        <v>1106</v>
      </c>
      <c r="I2137" s="104"/>
      <c r="J2137" s="105"/>
      <c r="K2137" s="105"/>
      <c r="L2137" s="106">
        <f>SUM(L2138:L2157)</f>
        <v>26173843</v>
      </c>
      <c r="M2137" s="107"/>
      <c r="N2137" s="108" t="s">
        <v>26</v>
      </c>
      <c r="O2137" s="108"/>
      <c r="P2137" s="108"/>
      <c r="Q2137" s="108"/>
      <c r="R2137" s="108"/>
      <c r="S2137" s="106">
        <f>SUM(S2138:S2157)</f>
        <v>11867643</v>
      </c>
      <c r="T2137" s="106">
        <f>SUM(T2138:T2157)</f>
        <v>14306200</v>
      </c>
      <c r="U2137" s="41"/>
      <c r="V2137" s="52">
        <f>L2137-S2137</f>
        <v>14306200</v>
      </c>
      <c r="W2137" s="52">
        <f>T2137-V2137</f>
        <v>0</v>
      </c>
      <c r="X2137" s="41"/>
      <c r="Y2137" s="41"/>
      <c r="Z2137" s="41"/>
      <c r="AA2137" s="41"/>
      <c r="AB2137" s="41"/>
      <c r="AC2137" s="41"/>
      <c r="AD2137" s="41"/>
      <c r="AE2137" s="41"/>
    </row>
    <row r="2138" spans="1:31" hidden="1">
      <c r="A2138" s="277" t="s">
        <v>6233</v>
      </c>
      <c r="B2138" s="9" t="s">
        <v>21</v>
      </c>
      <c r="C2138" s="9">
        <v>2025</v>
      </c>
      <c r="D2138" s="9" t="s">
        <v>27</v>
      </c>
      <c r="E2138" s="90" t="s">
        <v>1011</v>
      </c>
      <c r="F2138" s="9" t="s">
        <v>1013</v>
      </c>
      <c r="G2138" s="120"/>
      <c r="H2138" s="179"/>
      <c r="I2138" s="121" t="s">
        <v>1106</v>
      </c>
      <c r="J2138" s="110">
        <v>45726</v>
      </c>
      <c r="K2138" s="110">
        <v>45717</v>
      </c>
      <c r="L2138" s="111">
        <v>2428750</v>
      </c>
      <c r="M2138" s="112" t="s">
        <v>1107</v>
      </c>
      <c r="N2138" s="34" t="s">
        <v>29</v>
      </c>
      <c r="O2138" s="173">
        <f>SUM(L2138:L2144)</f>
        <v>11867643</v>
      </c>
      <c r="P2138" s="146">
        <v>45910</v>
      </c>
      <c r="Q2138" s="146">
        <v>45910</v>
      </c>
      <c r="R2138" s="146">
        <v>45910</v>
      </c>
      <c r="S2138" s="37">
        <f t="shared" ref="S2138:S2144" si="447">IF(R2138="",0,L2138)</f>
        <v>2428750</v>
      </c>
      <c r="T2138" s="37">
        <f t="shared" ref="T2138:T2144" si="448">L2138-S2138</f>
        <v>0</v>
      </c>
      <c r="U2138" s="41"/>
      <c r="V2138" s="52"/>
      <c r="W2138" s="52"/>
      <c r="X2138" s="41"/>
      <c r="Y2138" s="41"/>
      <c r="Z2138" s="41"/>
      <c r="AA2138" s="41"/>
      <c r="AB2138" s="41"/>
      <c r="AC2138" s="41"/>
      <c r="AD2138" s="41"/>
      <c r="AE2138" s="41"/>
    </row>
    <row r="2139" spans="1:31" hidden="1">
      <c r="A2139" s="277" t="s">
        <v>6234</v>
      </c>
      <c r="B2139" s="9" t="s">
        <v>21</v>
      </c>
      <c r="C2139" s="9">
        <v>2025</v>
      </c>
      <c r="D2139" s="9" t="s">
        <v>27</v>
      </c>
      <c r="E2139" s="90" t="s">
        <v>1011</v>
      </c>
      <c r="F2139" s="9" t="s">
        <v>1013</v>
      </c>
      <c r="G2139" s="120"/>
      <c r="H2139" s="179"/>
      <c r="I2139" s="121" t="s">
        <v>1106</v>
      </c>
      <c r="J2139" s="110">
        <v>45758</v>
      </c>
      <c r="K2139" s="110">
        <v>45762</v>
      </c>
      <c r="L2139" s="111">
        <v>971500</v>
      </c>
      <c r="M2139" s="112" t="s">
        <v>1108</v>
      </c>
      <c r="N2139" s="34" t="s">
        <v>29</v>
      </c>
      <c r="O2139" s="149"/>
      <c r="P2139" s="146">
        <v>45910</v>
      </c>
      <c r="Q2139" s="146">
        <v>45910</v>
      </c>
      <c r="R2139" s="146">
        <v>45910</v>
      </c>
      <c r="S2139" s="37">
        <f t="shared" si="447"/>
        <v>971500</v>
      </c>
      <c r="T2139" s="37">
        <f t="shared" si="448"/>
        <v>0</v>
      </c>
      <c r="U2139" s="41"/>
      <c r="V2139" s="52"/>
      <c r="W2139" s="52"/>
      <c r="X2139" s="41"/>
      <c r="Y2139" s="41"/>
      <c r="Z2139" s="41"/>
      <c r="AA2139" s="41"/>
      <c r="AB2139" s="41"/>
      <c r="AC2139" s="41"/>
      <c r="AD2139" s="41"/>
      <c r="AE2139" s="41"/>
    </row>
    <row r="2140" spans="1:31" hidden="1">
      <c r="A2140" s="277" t="s">
        <v>6235</v>
      </c>
      <c r="B2140" s="9" t="s">
        <v>21</v>
      </c>
      <c r="C2140" s="9">
        <v>2025</v>
      </c>
      <c r="D2140" s="9" t="s">
        <v>27</v>
      </c>
      <c r="E2140" s="90" t="s">
        <v>1011</v>
      </c>
      <c r="F2140" s="9" t="s">
        <v>1013</v>
      </c>
      <c r="G2140" s="120"/>
      <c r="H2140" s="179"/>
      <c r="I2140" s="121" t="s">
        <v>1106</v>
      </c>
      <c r="J2140" s="110">
        <v>45791</v>
      </c>
      <c r="K2140" s="110">
        <v>45794</v>
      </c>
      <c r="L2140" s="111">
        <v>971500</v>
      </c>
      <c r="M2140" s="112" t="s">
        <v>1109</v>
      </c>
      <c r="N2140" s="34" t="s">
        <v>29</v>
      </c>
      <c r="O2140" s="149"/>
      <c r="P2140" s="146">
        <v>45910</v>
      </c>
      <c r="Q2140" s="146">
        <v>45910</v>
      </c>
      <c r="R2140" s="146">
        <v>45910</v>
      </c>
      <c r="S2140" s="37">
        <f t="shared" si="447"/>
        <v>971500</v>
      </c>
      <c r="T2140" s="37">
        <f t="shared" si="448"/>
        <v>0</v>
      </c>
      <c r="U2140" s="41"/>
      <c r="V2140" s="52"/>
      <c r="W2140" s="52"/>
      <c r="X2140" s="41"/>
      <c r="Y2140" s="41"/>
      <c r="Z2140" s="41"/>
      <c r="AA2140" s="41"/>
      <c r="AB2140" s="41"/>
      <c r="AC2140" s="41"/>
      <c r="AD2140" s="41"/>
      <c r="AE2140" s="41"/>
    </row>
    <row r="2141" spans="1:31" hidden="1">
      <c r="A2141" s="277" t="s">
        <v>6236</v>
      </c>
      <c r="B2141" s="9" t="s">
        <v>21</v>
      </c>
      <c r="C2141" s="9">
        <v>2025</v>
      </c>
      <c r="D2141" s="9" t="s">
        <v>27</v>
      </c>
      <c r="E2141" s="90" t="s">
        <v>1011</v>
      </c>
      <c r="F2141" s="9" t="s">
        <v>1013</v>
      </c>
      <c r="G2141" s="120"/>
      <c r="H2141" s="179"/>
      <c r="I2141" s="121" t="s">
        <v>1106</v>
      </c>
      <c r="J2141" s="110">
        <v>45824</v>
      </c>
      <c r="K2141" s="110">
        <v>45827</v>
      </c>
      <c r="L2141" s="111">
        <v>485750</v>
      </c>
      <c r="M2141" s="112" t="s">
        <v>1110</v>
      </c>
      <c r="N2141" s="34" t="s">
        <v>29</v>
      </c>
      <c r="O2141" s="149"/>
      <c r="P2141" s="146">
        <v>45910</v>
      </c>
      <c r="Q2141" s="146">
        <v>45910</v>
      </c>
      <c r="R2141" s="146">
        <v>45910</v>
      </c>
      <c r="S2141" s="37">
        <f t="shared" si="447"/>
        <v>485750</v>
      </c>
      <c r="T2141" s="37">
        <f t="shared" si="448"/>
        <v>0</v>
      </c>
      <c r="U2141" s="41"/>
      <c r="V2141" s="52"/>
      <c r="W2141" s="52"/>
      <c r="X2141" s="41"/>
      <c r="Y2141" s="41"/>
      <c r="Z2141" s="41"/>
      <c r="AA2141" s="41"/>
      <c r="AB2141" s="41"/>
      <c r="AC2141" s="41"/>
      <c r="AD2141" s="41"/>
      <c r="AE2141" s="41"/>
    </row>
    <row r="2142" spans="1:31" hidden="1">
      <c r="A2142" s="277" t="s">
        <v>6237</v>
      </c>
      <c r="B2142" s="9" t="s">
        <v>21</v>
      </c>
      <c r="C2142" s="9">
        <v>2025</v>
      </c>
      <c r="D2142" s="9" t="s">
        <v>27</v>
      </c>
      <c r="E2142" s="90" t="s">
        <v>1011</v>
      </c>
      <c r="F2142" s="9" t="s">
        <v>1013</v>
      </c>
      <c r="G2142" s="120"/>
      <c r="H2142" s="179"/>
      <c r="I2142" s="121" t="s">
        <v>1106</v>
      </c>
      <c r="J2142" s="110">
        <v>45853</v>
      </c>
      <c r="K2142" s="110">
        <v>45859</v>
      </c>
      <c r="L2142" s="111">
        <v>880843</v>
      </c>
      <c r="M2142" s="112" t="s">
        <v>1111</v>
      </c>
      <c r="N2142" s="34" t="s">
        <v>29</v>
      </c>
      <c r="O2142" s="149"/>
      <c r="P2142" s="146">
        <v>45910</v>
      </c>
      <c r="Q2142" s="146">
        <v>45910</v>
      </c>
      <c r="R2142" s="146">
        <v>45910</v>
      </c>
      <c r="S2142" s="37">
        <f t="shared" si="447"/>
        <v>880843</v>
      </c>
      <c r="T2142" s="37">
        <f t="shared" si="448"/>
        <v>0</v>
      </c>
      <c r="U2142" s="41"/>
      <c r="V2142" s="52"/>
      <c r="W2142" s="52"/>
      <c r="X2142" s="41"/>
      <c r="Y2142" s="41"/>
      <c r="Z2142" s="41"/>
      <c r="AA2142" s="41"/>
      <c r="AB2142" s="41"/>
      <c r="AC2142" s="41"/>
      <c r="AD2142" s="41"/>
      <c r="AE2142" s="41"/>
    </row>
    <row r="2143" spans="1:31" hidden="1">
      <c r="A2143" s="277" t="s">
        <v>6238</v>
      </c>
      <c r="B2143" s="9" t="s">
        <v>21</v>
      </c>
      <c r="C2143" s="9">
        <v>2025</v>
      </c>
      <c r="D2143" s="9" t="s">
        <v>27</v>
      </c>
      <c r="E2143" s="90" t="s">
        <v>1011</v>
      </c>
      <c r="F2143" s="9" t="s">
        <v>1013</v>
      </c>
      <c r="G2143" s="120"/>
      <c r="H2143" s="179"/>
      <c r="I2143" s="121" t="s">
        <v>1106</v>
      </c>
      <c r="J2143" s="110">
        <v>45859</v>
      </c>
      <c r="K2143" s="110">
        <v>45860</v>
      </c>
      <c r="L2143" s="111">
        <v>5157800</v>
      </c>
      <c r="M2143" s="112" t="s">
        <v>1112</v>
      </c>
      <c r="N2143" s="34" t="s">
        <v>29</v>
      </c>
      <c r="O2143" s="149"/>
      <c r="P2143" s="146">
        <v>45910</v>
      </c>
      <c r="Q2143" s="146">
        <v>45910</v>
      </c>
      <c r="R2143" s="146">
        <v>45910</v>
      </c>
      <c r="S2143" s="37">
        <f t="shared" si="447"/>
        <v>5157800</v>
      </c>
      <c r="T2143" s="37">
        <f t="shared" si="448"/>
        <v>0</v>
      </c>
      <c r="U2143" s="41"/>
      <c r="V2143" s="52"/>
      <c r="W2143" s="52"/>
      <c r="X2143" s="41"/>
      <c r="Y2143" s="41"/>
      <c r="Z2143" s="41"/>
      <c r="AA2143" s="41"/>
      <c r="AB2143" s="41"/>
      <c r="AC2143" s="41"/>
      <c r="AD2143" s="41"/>
      <c r="AE2143" s="41"/>
    </row>
    <row r="2144" spans="1:31" ht="14.25" customHeight="1">
      <c r="A2144" s="277" t="s">
        <v>6239</v>
      </c>
      <c r="B2144" s="9" t="s">
        <v>21</v>
      </c>
      <c r="C2144" s="9">
        <v>2025</v>
      </c>
      <c r="D2144" s="9" t="s">
        <v>27</v>
      </c>
      <c r="E2144" s="90" t="s">
        <v>1011</v>
      </c>
      <c r="F2144" s="9" t="s">
        <v>1013</v>
      </c>
      <c r="G2144" s="120"/>
      <c r="H2144" s="179"/>
      <c r="I2144" s="121" t="s">
        <v>1106</v>
      </c>
      <c r="J2144" s="110">
        <v>45884</v>
      </c>
      <c r="K2144" s="110">
        <v>45891</v>
      </c>
      <c r="L2144" s="111">
        <v>971500</v>
      </c>
      <c r="M2144" s="112" t="s">
        <v>1113</v>
      </c>
      <c r="N2144" s="34" t="s">
        <v>29</v>
      </c>
      <c r="O2144" s="149"/>
      <c r="P2144" s="124">
        <v>45910</v>
      </c>
      <c r="Q2144" s="124">
        <v>45910</v>
      </c>
      <c r="R2144" s="124">
        <v>45910</v>
      </c>
      <c r="S2144" s="37">
        <f t="shared" si="447"/>
        <v>971500</v>
      </c>
      <c r="T2144" s="37">
        <f t="shared" si="448"/>
        <v>0</v>
      </c>
      <c r="U2144" s="41"/>
      <c r="V2144" s="52"/>
      <c r="W2144" s="52"/>
      <c r="X2144" s="41"/>
      <c r="Y2144" s="41"/>
      <c r="Z2144" s="41"/>
      <c r="AA2144" s="41"/>
      <c r="AB2144" s="41"/>
      <c r="AC2144" s="41"/>
      <c r="AD2144" s="41"/>
      <c r="AE2144" s="41"/>
    </row>
    <row r="2145" spans="1:31" ht="14.25" customHeight="1">
      <c r="A2145" s="277" t="s">
        <v>6240</v>
      </c>
      <c r="B2145" s="9" t="s">
        <v>21</v>
      </c>
      <c r="C2145" s="9">
        <v>2025</v>
      </c>
      <c r="D2145" s="9" t="s">
        <v>77</v>
      </c>
      <c r="E2145" s="90" t="s">
        <v>1011</v>
      </c>
      <c r="F2145" s="9" t="s">
        <v>1013</v>
      </c>
      <c r="G2145" s="120"/>
      <c r="H2145" s="180"/>
      <c r="I2145" s="126" t="s">
        <v>1106</v>
      </c>
      <c r="J2145" s="127">
        <v>45911</v>
      </c>
      <c r="K2145" s="127">
        <v>45915</v>
      </c>
      <c r="L2145" s="128">
        <v>1943000</v>
      </c>
      <c r="M2145" s="140" t="s">
        <v>1114</v>
      </c>
      <c r="N2145" s="34">
        <f t="shared" ref="N2145:N2155" ca="1" si="449">$J$3-J2145</f>
        <v>329.46377638888953</v>
      </c>
      <c r="O2145" s="149"/>
      <c r="P2145" s="146"/>
      <c r="Q2145" s="146"/>
      <c r="R2145" s="146"/>
      <c r="S2145" s="37">
        <f t="shared" ref="S2145:S2151" si="450">IF(R2145="",0,L2145)</f>
        <v>0</v>
      </c>
      <c r="T2145" s="37">
        <f t="shared" ref="T2145:T2151" si="451">L2145-S2145</f>
        <v>1943000</v>
      </c>
      <c r="U2145" s="41"/>
      <c r="V2145" s="52"/>
      <c r="W2145" s="52"/>
      <c r="X2145" s="41"/>
      <c r="Y2145" s="41"/>
      <c r="Z2145" s="41"/>
      <c r="AA2145" s="41"/>
      <c r="AB2145" s="41"/>
      <c r="AC2145" s="41"/>
      <c r="AD2145" s="41"/>
      <c r="AE2145" s="41"/>
    </row>
    <row r="2146" spans="1:31" ht="14.25" customHeight="1">
      <c r="A2146" s="277" t="s">
        <v>6241</v>
      </c>
      <c r="B2146" s="9" t="s">
        <v>21</v>
      </c>
      <c r="C2146" s="9">
        <v>2025</v>
      </c>
      <c r="D2146" s="9" t="s">
        <v>77</v>
      </c>
      <c r="E2146" s="90" t="s">
        <v>1011</v>
      </c>
      <c r="F2146" s="9" t="s">
        <v>1013</v>
      </c>
      <c r="G2146" s="120"/>
      <c r="H2146" s="180"/>
      <c r="I2146" s="126" t="s">
        <v>1106</v>
      </c>
      <c r="J2146" s="127">
        <v>45939</v>
      </c>
      <c r="K2146" s="127">
        <v>46064</v>
      </c>
      <c r="L2146" s="128">
        <v>551500</v>
      </c>
      <c r="M2146" s="140" t="s">
        <v>4331</v>
      </c>
      <c r="N2146" s="34">
        <f t="shared" ca="1" si="449"/>
        <v>301.46377638888953</v>
      </c>
      <c r="O2146" s="149"/>
      <c r="P2146" s="146"/>
      <c r="Q2146" s="146"/>
      <c r="R2146" s="146"/>
      <c r="S2146" s="37">
        <f t="shared" si="450"/>
        <v>0</v>
      </c>
      <c r="T2146" s="37">
        <f t="shared" si="451"/>
        <v>551500</v>
      </c>
      <c r="U2146" s="41"/>
      <c r="V2146" s="52"/>
      <c r="W2146" s="52"/>
      <c r="X2146" s="41"/>
      <c r="Y2146" s="41"/>
      <c r="Z2146" s="41"/>
      <c r="AA2146" s="41"/>
      <c r="AB2146" s="41"/>
      <c r="AC2146" s="41"/>
      <c r="AD2146" s="41"/>
      <c r="AE2146" s="41"/>
    </row>
    <row r="2147" spans="1:31" ht="14.25" customHeight="1">
      <c r="A2147" s="277" t="s">
        <v>6242</v>
      </c>
      <c r="B2147" s="9" t="s">
        <v>21</v>
      </c>
      <c r="C2147" s="9">
        <v>2025</v>
      </c>
      <c r="D2147" s="9" t="s">
        <v>77</v>
      </c>
      <c r="E2147" s="90" t="s">
        <v>1011</v>
      </c>
      <c r="F2147" s="9" t="s">
        <v>1013</v>
      </c>
      <c r="G2147" s="120"/>
      <c r="H2147" s="180"/>
      <c r="I2147" s="126" t="s">
        <v>1106</v>
      </c>
      <c r="J2147" s="127">
        <v>45973</v>
      </c>
      <c r="K2147" s="127">
        <v>45974</v>
      </c>
      <c r="L2147" s="128">
        <v>2980250</v>
      </c>
      <c r="M2147" s="140" t="s">
        <v>3997</v>
      </c>
      <c r="N2147" s="34">
        <f t="shared" ca="1" si="449"/>
        <v>267.46377638888953</v>
      </c>
      <c r="O2147" s="149"/>
      <c r="P2147" s="146"/>
      <c r="Q2147" s="146"/>
      <c r="R2147" s="146"/>
      <c r="S2147" s="37">
        <f t="shared" si="450"/>
        <v>0</v>
      </c>
      <c r="T2147" s="37">
        <f t="shared" si="451"/>
        <v>2980250</v>
      </c>
      <c r="U2147" s="41"/>
      <c r="V2147" s="52"/>
      <c r="W2147" s="52"/>
      <c r="X2147" s="41"/>
      <c r="Y2147" s="41"/>
      <c r="Z2147" s="41"/>
      <c r="AA2147" s="41"/>
      <c r="AB2147" s="41"/>
      <c r="AC2147" s="41"/>
      <c r="AD2147" s="41"/>
      <c r="AE2147" s="41"/>
    </row>
    <row r="2148" spans="1:31" ht="14.25" customHeight="1">
      <c r="A2148" s="277" t="s">
        <v>6243</v>
      </c>
      <c r="B2148" s="9" t="s">
        <v>21</v>
      </c>
      <c r="C2148" s="9">
        <v>2025</v>
      </c>
      <c r="D2148" s="9" t="s">
        <v>77</v>
      </c>
      <c r="E2148" s="90" t="s">
        <v>1011</v>
      </c>
      <c r="F2148" s="9" t="s">
        <v>1013</v>
      </c>
      <c r="G2148" s="120"/>
      <c r="H2148" s="180"/>
      <c r="I2148" s="126" t="s">
        <v>1106</v>
      </c>
      <c r="J2148" s="127">
        <v>46001</v>
      </c>
      <c r="K2148" s="127">
        <v>46002</v>
      </c>
      <c r="L2148" s="128">
        <v>485750</v>
      </c>
      <c r="M2148" s="140" t="s">
        <v>4097</v>
      </c>
      <c r="N2148" s="34">
        <f t="shared" ca="1" si="449"/>
        <v>239.46377638888953</v>
      </c>
      <c r="O2148" s="149"/>
      <c r="P2148" s="146"/>
      <c r="Q2148" s="146"/>
      <c r="R2148" s="146"/>
      <c r="S2148" s="37">
        <f t="shared" si="450"/>
        <v>0</v>
      </c>
      <c r="T2148" s="37">
        <f t="shared" si="451"/>
        <v>485750</v>
      </c>
      <c r="U2148" s="41"/>
      <c r="V2148" s="52"/>
      <c r="W2148" s="52"/>
      <c r="X2148" s="41"/>
      <c r="Y2148" s="41"/>
      <c r="Z2148" s="41"/>
      <c r="AA2148" s="41"/>
      <c r="AB2148" s="41"/>
      <c r="AC2148" s="41"/>
      <c r="AD2148" s="41"/>
      <c r="AE2148" s="41"/>
    </row>
    <row r="2149" spans="1:31" ht="14.25" customHeight="1">
      <c r="A2149" s="277" t="s">
        <v>6244</v>
      </c>
      <c r="B2149" s="9" t="s">
        <v>21</v>
      </c>
      <c r="C2149" s="9">
        <v>2025</v>
      </c>
      <c r="D2149" s="9" t="s">
        <v>77</v>
      </c>
      <c r="E2149" s="90" t="s">
        <v>1011</v>
      </c>
      <c r="F2149" s="9" t="s">
        <v>1013</v>
      </c>
      <c r="G2149" s="120"/>
      <c r="H2149" s="180"/>
      <c r="I2149" s="126" t="s">
        <v>1106</v>
      </c>
      <c r="J2149" s="127">
        <v>46034</v>
      </c>
      <c r="K2149" s="127">
        <v>46036</v>
      </c>
      <c r="L2149" s="128">
        <v>1943000</v>
      </c>
      <c r="M2149" s="140" t="s">
        <v>4497</v>
      </c>
      <c r="N2149" s="34">
        <f t="shared" ca="1" si="449"/>
        <v>206.46377638888953</v>
      </c>
      <c r="O2149" s="149"/>
      <c r="P2149" s="146"/>
      <c r="Q2149" s="146"/>
      <c r="R2149" s="146"/>
      <c r="S2149" s="37">
        <f t="shared" si="450"/>
        <v>0</v>
      </c>
      <c r="T2149" s="37">
        <f t="shared" si="451"/>
        <v>1943000</v>
      </c>
      <c r="U2149" s="41"/>
      <c r="V2149" s="52"/>
      <c r="W2149" s="52"/>
      <c r="X2149" s="41"/>
      <c r="Y2149" s="41"/>
      <c r="Z2149" s="41"/>
      <c r="AA2149" s="41"/>
      <c r="AB2149" s="41"/>
      <c r="AC2149" s="41"/>
      <c r="AD2149" s="41"/>
      <c r="AE2149" s="41"/>
    </row>
    <row r="2150" spans="1:31" ht="14.25" customHeight="1">
      <c r="A2150" s="277" t="s">
        <v>6245</v>
      </c>
      <c r="B2150" s="9" t="s">
        <v>21</v>
      </c>
      <c r="C2150" s="9">
        <v>2026</v>
      </c>
      <c r="D2150" s="9" t="s">
        <v>77</v>
      </c>
      <c r="E2150" s="90" t="s">
        <v>1011</v>
      </c>
      <c r="F2150" s="9" t="s">
        <v>1013</v>
      </c>
      <c r="G2150" s="120"/>
      <c r="H2150" s="180"/>
      <c r="I2150" s="126" t="s">
        <v>1106</v>
      </c>
      <c r="J2150" s="127">
        <v>46063</v>
      </c>
      <c r="K2150" s="127">
        <v>46066</v>
      </c>
      <c r="L2150" s="128">
        <v>971500</v>
      </c>
      <c r="M2150" s="140" t="s">
        <v>4347</v>
      </c>
      <c r="N2150" s="34">
        <f t="shared" ca="1" si="449"/>
        <v>177.46377638888953</v>
      </c>
      <c r="O2150" s="149"/>
      <c r="P2150" s="146"/>
      <c r="Q2150" s="146"/>
      <c r="R2150" s="146"/>
      <c r="S2150" s="37">
        <f t="shared" si="450"/>
        <v>0</v>
      </c>
      <c r="T2150" s="37">
        <f t="shared" si="451"/>
        <v>971500</v>
      </c>
      <c r="U2150" s="41"/>
      <c r="V2150" s="52"/>
      <c r="W2150" s="52"/>
      <c r="X2150" s="41"/>
      <c r="Y2150" s="41"/>
      <c r="Z2150" s="41"/>
      <c r="AA2150" s="41"/>
      <c r="AB2150" s="41"/>
      <c r="AC2150" s="41"/>
      <c r="AD2150" s="41"/>
      <c r="AE2150" s="41"/>
    </row>
    <row r="2151" spans="1:31" ht="14.25" customHeight="1">
      <c r="A2151" s="277" t="s">
        <v>6246</v>
      </c>
      <c r="B2151" s="9" t="s">
        <v>21</v>
      </c>
      <c r="C2151" s="9">
        <v>2026</v>
      </c>
      <c r="D2151" s="9" t="s">
        <v>77</v>
      </c>
      <c r="E2151" s="90" t="s">
        <v>1011</v>
      </c>
      <c r="F2151" s="9" t="s">
        <v>1013</v>
      </c>
      <c r="G2151" s="120"/>
      <c r="H2151" s="180"/>
      <c r="I2151" s="126" t="s">
        <v>1106</v>
      </c>
      <c r="J2151" s="127">
        <v>46092</v>
      </c>
      <c r="K2151" s="127">
        <v>46097</v>
      </c>
      <c r="L2151" s="128">
        <v>551500</v>
      </c>
      <c r="M2151" s="140" t="s">
        <v>4468</v>
      </c>
      <c r="N2151" s="34">
        <f t="shared" ca="1" si="449"/>
        <v>148.46377638888953</v>
      </c>
      <c r="O2151" s="149"/>
      <c r="P2151" s="146"/>
      <c r="Q2151" s="146"/>
      <c r="R2151" s="146"/>
      <c r="S2151" s="37">
        <f t="shared" si="450"/>
        <v>0</v>
      </c>
      <c r="T2151" s="37">
        <f t="shared" si="451"/>
        <v>551500</v>
      </c>
      <c r="U2151" s="41"/>
      <c r="V2151" s="52"/>
      <c r="W2151" s="52"/>
      <c r="X2151" s="41"/>
      <c r="Y2151" s="41"/>
      <c r="Z2151" s="41"/>
      <c r="AA2151" s="41"/>
      <c r="AB2151" s="41"/>
      <c r="AC2151" s="41"/>
      <c r="AD2151" s="41"/>
      <c r="AE2151" s="41"/>
    </row>
    <row r="2152" spans="1:31" ht="14.25" customHeight="1">
      <c r="A2152" s="277" t="s">
        <v>6247</v>
      </c>
      <c r="B2152" s="9" t="s">
        <v>21</v>
      </c>
      <c r="C2152" s="9">
        <v>2026</v>
      </c>
      <c r="D2152" s="9" t="s">
        <v>77</v>
      </c>
      <c r="E2152" s="90" t="s">
        <v>1011</v>
      </c>
      <c r="F2152" s="9" t="s">
        <v>1013</v>
      </c>
      <c r="G2152" s="120"/>
      <c r="H2152" s="180"/>
      <c r="I2152" s="126" t="s">
        <v>1106</v>
      </c>
      <c r="J2152" s="127">
        <v>46120</v>
      </c>
      <c r="K2152" s="127">
        <v>46122</v>
      </c>
      <c r="L2152" s="128">
        <v>1103000</v>
      </c>
      <c r="M2152" s="140" t="s">
        <v>4498</v>
      </c>
      <c r="N2152" s="34">
        <f t="shared" ca="1" si="449"/>
        <v>120.46377638888953</v>
      </c>
      <c r="O2152" s="149"/>
      <c r="P2152" s="146"/>
      <c r="Q2152" s="146"/>
      <c r="R2152" s="146"/>
      <c r="S2152" s="37">
        <f>IF(R2152="",0,L2152)</f>
        <v>0</v>
      </c>
      <c r="T2152" s="37">
        <f>L2152-S2152</f>
        <v>1103000</v>
      </c>
      <c r="U2152" s="41"/>
      <c r="V2152" s="52"/>
      <c r="W2152" s="52"/>
      <c r="X2152" s="41"/>
      <c r="Y2152" s="41"/>
      <c r="Z2152" s="41"/>
      <c r="AA2152" s="41"/>
      <c r="AB2152" s="41"/>
      <c r="AC2152" s="41"/>
      <c r="AD2152" s="41"/>
      <c r="AE2152" s="41"/>
    </row>
    <row r="2153" spans="1:31" ht="14.25" customHeight="1">
      <c r="A2153" s="277" t="s">
        <v>6248</v>
      </c>
      <c r="B2153" s="9" t="s">
        <v>21</v>
      </c>
      <c r="C2153" s="9">
        <v>2026</v>
      </c>
      <c r="D2153" s="9" t="s">
        <v>77</v>
      </c>
      <c r="E2153" s="90" t="s">
        <v>1011</v>
      </c>
      <c r="F2153" s="9" t="s">
        <v>1013</v>
      </c>
      <c r="G2153" s="120"/>
      <c r="H2153" s="180"/>
      <c r="I2153" s="126" t="s">
        <v>1106</v>
      </c>
      <c r="J2153" s="127">
        <v>46153</v>
      </c>
      <c r="K2153" s="127">
        <v>46158</v>
      </c>
      <c r="L2153" s="128">
        <v>1523000</v>
      </c>
      <c r="M2153" s="140" t="s">
        <v>7044</v>
      </c>
      <c r="N2153" s="34">
        <f t="shared" ca="1" si="449"/>
        <v>87.463776388889528</v>
      </c>
      <c r="O2153" s="149"/>
      <c r="P2153" s="146"/>
      <c r="Q2153" s="146"/>
      <c r="R2153" s="146"/>
      <c r="S2153" s="37">
        <f>IF(R2153="",0,L2153)</f>
        <v>0</v>
      </c>
      <c r="T2153" s="37">
        <f>L2153-S2153</f>
        <v>1523000</v>
      </c>
      <c r="U2153" s="41"/>
      <c r="V2153" s="52"/>
      <c r="W2153" s="52"/>
      <c r="X2153" s="41"/>
      <c r="Y2153" s="41"/>
      <c r="Z2153" s="41"/>
      <c r="AA2153" s="41"/>
      <c r="AB2153" s="41"/>
      <c r="AC2153" s="41"/>
      <c r="AD2153" s="41"/>
      <c r="AE2153" s="41"/>
    </row>
    <row r="2154" spans="1:31" ht="14.25" customHeight="1">
      <c r="A2154" s="277" t="s">
        <v>6249</v>
      </c>
      <c r="B2154" s="9" t="s">
        <v>21</v>
      </c>
      <c r="C2154" s="9">
        <v>2026</v>
      </c>
      <c r="D2154" s="9" t="s">
        <v>77</v>
      </c>
      <c r="E2154" s="90" t="s">
        <v>1011</v>
      </c>
      <c r="F2154" s="9" t="s">
        <v>1013</v>
      </c>
      <c r="G2154" s="120"/>
      <c r="H2154" s="180"/>
      <c r="I2154" s="126" t="s">
        <v>1106</v>
      </c>
      <c r="J2154" s="127">
        <v>46183</v>
      </c>
      <c r="K2154" s="127">
        <v>46188</v>
      </c>
      <c r="L2154" s="128">
        <v>971500</v>
      </c>
      <c r="M2154" s="140" t="s">
        <v>7149</v>
      </c>
      <c r="N2154" s="34">
        <f t="shared" ca="1" si="449"/>
        <v>57.463776388889528</v>
      </c>
      <c r="O2154" s="149"/>
      <c r="P2154" s="146"/>
      <c r="Q2154" s="146"/>
      <c r="R2154" s="146"/>
      <c r="S2154" s="37">
        <f>IF(R2154="",0,L2154)</f>
        <v>0</v>
      </c>
      <c r="T2154" s="37">
        <f>L2154-S2154</f>
        <v>971500</v>
      </c>
      <c r="U2154" s="41"/>
      <c r="V2154" s="52"/>
      <c r="W2154" s="52"/>
      <c r="X2154" s="41"/>
      <c r="Y2154" s="41"/>
      <c r="Z2154" s="41"/>
      <c r="AA2154" s="41"/>
      <c r="AB2154" s="41"/>
      <c r="AC2154" s="41"/>
      <c r="AD2154" s="41"/>
      <c r="AE2154" s="41"/>
    </row>
    <row r="2155" spans="1:31" ht="14.25" customHeight="1">
      <c r="A2155" s="277" t="s">
        <v>6250</v>
      </c>
      <c r="B2155" s="9" t="s">
        <v>21</v>
      </c>
      <c r="C2155" s="9">
        <v>2026</v>
      </c>
      <c r="D2155" s="9" t="s">
        <v>77</v>
      </c>
      <c r="E2155" s="90" t="s">
        <v>1011</v>
      </c>
      <c r="F2155" s="9" t="s">
        <v>1013</v>
      </c>
      <c r="G2155" s="120"/>
      <c r="H2155" s="180"/>
      <c r="I2155" s="126" t="s">
        <v>1106</v>
      </c>
      <c r="J2155" s="127">
        <v>46212</v>
      </c>
      <c r="K2155" s="127">
        <v>46218</v>
      </c>
      <c r="L2155" s="128">
        <v>1282200</v>
      </c>
      <c r="M2155" s="140" t="s">
        <v>7390</v>
      </c>
      <c r="N2155" s="34">
        <f t="shared" ca="1" si="449"/>
        <v>28.463776388889528</v>
      </c>
      <c r="O2155" s="149"/>
      <c r="P2155" s="146"/>
      <c r="Q2155" s="146"/>
      <c r="R2155" s="146"/>
      <c r="S2155" s="37">
        <f>IF(R2155="",0,L2155)</f>
        <v>0</v>
      </c>
      <c r="T2155" s="37">
        <f>L2155-S2155</f>
        <v>1282200</v>
      </c>
      <c r="U2155" s="41"/>
      <c r="V2155" s="52"/>
      <c r="W2155" s="52"/>
      <c r="X2155" s="41"/>
      <c r="Y2155" s="41"/>
      <c r="Z2155" s="41"/>
      <c r="AA2155" s="41"/>
      <c r="AB2155" s="41"/>
      <c r="AC2155" s="41"/>
      <c r="AD2155" s="41"/>
      <c r="AE2155" s="41"/>
    </row>
    <row r="2156" spans="1:31" ht="14.25" customHeight="1">
      <c r="A2156" s="277" t="s">
        <v>6251</v>
      </c>
      <c r="B2156" s="9" t="s">
        <v>21</v>
      </c>
      <c r="C2156" s="9"/>
      <c r="D2156" s="9"/>
      <c r="E2156" s="90"/>
      <c r="F2156" s="9"/>
      <c r="G2156" s="10"/>
      <c r="H2156" s="9"/>
      <c r="I2156" s="11"/>
      <c r="J2156" s="12"/>
      <c r="K2156" s="12"/>
      <c r="L2156" s="52"/>
      <c r="M2156" s="10"/>
      <c r="N2156" s="114">
        <f ca="1">$J$3-J2156</f>
        <v>46240.46377638889</v>
      </c>
      <c r="O2156" s="11"/>
      <c r="P2156" s="39"/>
      <c r="Q2156" s="39"/>
      <c r="R2156" s="39"/>
      <c r="S2156" s="37">
        <f>IF(R2156="",0,L2156)</f>
        <v>0</v>
      </c>
      <c r="T2156" s="37">
        <f>L2156-S2156</f>
        <v>0</v>
      </c>
      <c r="U2156" s="10"/>
      <c r="V2156" s="10"/>
      <c r="W2156" s="10"/>
      <c r="X2156" s="10"/>
      <c r="Y2156" s="10"/>
      <c r="Z2156" s="10"/>
      <c r="AA2156" s="10"/>
      <c r="AB2156" s="10"/>
      <c r="AC2156" s="10"/>
      <c r="AD2156" s="10"/>
      <c r="AE2156" s="10"/>
    </row>
    <row r="2157" spans="1:31" ht="14.25" customHeight="1">
      <c r="A2157" s="277" t="s">
        <v>6252</v>
      </c>
      <c r="B2157" s="9" t="s">
        <v>21</v>
      </c>
      <c r="C2157" s="9"/>
      <c r="D2157" s="9"/>
      <c r="E2157" s="90"/>
      <c r="F2157" s="9"/>
      <c r="G2157" s="10"/>
      <c r="H2157" s="9"/>
      <c r="I2157" s="11"/>
      <c r="J2157" s="12"/>
      <c r="K2157" s="12"/>
      <c r="L2157" s="52"/>
      <c r="M2157" s="10"/>
      <c r="N2157" s="9"/>
      <c r="O2157" s="11"/>
      <c r="P2157" s="39"/>
      <c r="Q2157" s="39"/>
      <c r="R2157" s="39"/>
      <c r="S2157" s="37"/>
      <c r="T2157" s="37"/>
      <c r="U2157" s="10"/>
      <c r="V2157" s="10"/>
      <c r="W2157" s="10"/>
      <c r="X2157" s="10"/>
      <c r="Y2157" s="10"/>
      <c r="Z2157" s="10"/>
      <c r="AA2157" s="10"/>
      <c r="AB2157" s="10"/>
      <c r="AC2157" s="10"/>
      <c r="AD2157" s="10"/>
      <c r="AE2157" s="10"/>
    </row>
    <row r="2158" spans="1:31" ht="14.25" customHeight="1">
      <c r="A2158" s="277" t="s">
        <v>6253</v>
      </c>
      <c r="B2158" s="9" t="s">
        <v>21</v>
      </c>
      <c r="C2158" s="9"/>
      <c r="D2158" s="9"/>
      <c r="E2158" s="90"/>
      <c r="F2158" s="9"/>
      <c r="G2158" s="94" t="s">
        <v>24</v>
      </c>
      <c r="H2158" s="95" t="s">
        <v>1115</v>
      </c>
      <c r="I2158" s="104"/>
      <c r="J2158" s="105"/>
      <c r="K2158" s="105"/>
      <c r="L2158" s="106">
        <f>SUM(L2159:L2179)</f>
        <v>49396750</v>
      </c>
      <c r="M2158" s="107"/>
      <c r="N2158" s="108" t="s">
        <v>26</v>
      </c>
      <c r="O2158" s="108"/>
      <c r="P2158" s="108"/>
      <c r="Q2158" s="108"/>
      <c r="R2158" s="108"/>
      <c r="S2158" s="106">
        <f>SUM(S2159:S2179)</f>
        <v>35621750</v>
      </c>
      <c r="T2158" s="106">
        <f>SUM(T2159:T2179)</f>
        <v>13775000</v>
      </c>
      <c r="U2158" s="10"/>
      <c r="V2158" s="52">
        <f>L2158-S2158</f>
        <v>13775000</v>
      </c>
      <c r="W2158" s="52">
        <f>T2158-V2158</f>
        <v>0</v>
      </c>
      <c r="X2158" s="10"/>
      <c r="Y2158" s="10"/>
      <c r="Z2158" s="10"/>
      <c r="AA2158" s="10"/>
      <c r="AB2158" s="10"/>
      <c r="AC2158" s="10"/>
      <c r="AD2158" s="10"/>
      <c r="AE2158" s="10"/>
    </row>
    <row r="2159" spans="1:31" ht="14.25" hidden="1" customHeight="1">
      <c r="A2159" s="277" t="s">
        <v>6254</v>
      </c>
      <c r="B2159" s="9" t="s">
        <v>21</v>
      </c>
      <c r="C2159" s="9">
        <v>2024</v>
      </c>
      <c r="D2159" s="9" t="s">
        <v>27</v>
      </c>
      <c r="E2159" s="90" t="s">
        <v>1011</v>
      </c>
      <c r="F2159" s="9" t="s">
        <v>1013</v>
      </c>
      <c r="G2159" s="10"/>
      <c r="H2159" s="96" t="s">
        <v>1116</v>
      </c>
      <c r="I2159" s="109" t="s">
        <v>1115</v>
      </c>
      <c r="J2159" s="115">
        <v>45659</v>
      </c>
      <c r="K2159" s="115">
        <v>45663</v>
      </c>
      <c r="L2159" s="116">
        <v>3896000</v>
      </c>
      <c r="M2159" s="117" t="s">
        <v>1117</v>
      </c>
      <c r="N2159" s="34" t="s">
        <v>29</v>
      </c>
      <c r="O2159" s="27">
        <f>SUM(L2159:L2165)</f>
        <v>22538750</v>
      </c>
      <c r="P2159" s="181">
        <v>45920</v>
      </c>
      <c r="Q2159" s="181">
        <v>45920</v>
      </c>
      <c r="R2159" s="181">
        <v>45920</v>
      </c>
      <c r="S2159" s="37">
        <f t="shared" ref="S2159:S2164" si="452">IF(R2159="",0,L2159)</f>
        <v>3896000</v>
      </c>
      <c r="T2159" s="37">
        <f t="shared" ref="T2159:T2164" si="453">L2159-S2159</f>
        <v>0</v>
      </c>
      <c r="U2159" s="10"/>
      <c r="V2159" s="10"/>
      <c r="W2159" s="10"/>
      <c r="X2159" s="10"/>
      <c r="Y2159" s="10"/>
      <c r="Z2159" s="10"/>
      <c r="AA2159" s="10"/>
      <c r="AB2159" s="10"/>
      <c r="AC2159" s="10"/>
      <c r="AD2159" s="10"/>
      <c r="AE2159" s="10"/>
    </row>
    <row r="2160" spans="1:31" ht="14.25" hidden="1" customHeight="1">
      <c r="A2160" s="277" t="s">
        <v>6255</v>
      </c>
      <c r="B2160" s="9" t="s">
        <v>21</v>
      </c>
      <c r="C2160" s="9">
        <v>2025</v>
      </c>
      <c r="D2160" s="9" t="s">
        <v>27</v>
      </c>
      <c r="E2160" s="90" t="s">
        <v>1011</v>
      </c>
      <c r="F2160" s="9" t="s">
        <v>1013</v>
      </c>
      <c r="G2160" s="10"/>
      <c r="H2160" s="96" t="s">
        <v>1118</v>
      </c>
      <c r="I2160" s="109" t="s">
        <v>1115</v>
      </c>
      <c r="J2160" s="115">
        <v>45692</v>
      </c>
      <c r="K2160" s="115">
        <v>45694</v>
      </c>
      <c r="L2160" s="116">
        <v>3812000</v>
      </c>
      <c r="M2160" s="117" t="s">
        <v>1119</v>
      </c>
      <c r="N2160" s="34" t="s">
        <v>29</v>
      </c>
      <c r="O2160" s="27"/>
      <c r="P2160" s="181">
        <v>45920</v>
      </c>
      <c r="Q2160" s="181">
        <v>45920</v>
      </c>
      <c r="R2160" s="181">
        <v>45920</v>
      </c>
      <c r="S2160" s="37">
        <f t="shared" si="452"/>
        <v>3812000</v>
      </c>
      <c r="T2160" s="37">
        <f t="shared" si="453"/>
        <v>0</v>
      </c>
      <c r="U2160" s="10"/>
      <c r="V2160" s="10"/>
      <c r="W2160" s="10"/>
      <c r="X2160" s="10"/>
      <c r="Y2160" s="10"/>
      <c r="Z2160" s="10"/>
      <c r="AA2160" s="10"/>
      <c r="AB2160" s="10"/>
      <c r="AC2160" s="10"/>
      <c r="AD2160" s="10"/>
      <c r="AE2160" s="10"/>
    </row>
    <row r="2161" spans="1:31" ht="14.25" hidden="1" customHeight="1">
      <c r="A2161" s="277" t="s">
        <v>6256</v>
      </c>
      <c r="B2161" s="9" t="s">
        <v>21</v>
      </c>
      <c r="C2161" s="9">
        <v>2025</v>
      </c>
      <c r="D2161" s="9" t="s">
        <v>27</v>
      </c>
      <c r="E2161" s="90" t="s">
        <v>1011</v>
      </c>
      <c r="F2161" s="9" t="s">
        <v>1013</v>
      </c>
      <c r="G2161" s="10"/>
      <c r="H2161" s="96" t="s">
        <v>1120</v>
      </c>
      <c r="I2161" s="109" t="s">
        <v>1115</v>
      </c>
      <c r="J2161" s="115">
        <v>45719</v>
      </c>
      <c r="K2161" s="115">
        <v>45720</v>
      </c>
      <c r="L2161" s="116">
        <v>3652000</v>
      </c>
      <c r="M2161" s="117" t="s">
        <v>1121</v>
      </c>
      <c r="N2161" s="34" t="s">
        <v>29</v>
      </c>
      <c r="O2161" s="27"/>
      <c r="P2161" s="181">
        <v>45920</v>
      </c>
      <c r="Q2161" s="181">
        <v>45920</v>
      </c>
      <c r="R2161" s="181">
        <v>45920</v>
      </c>
      <c r="S2161" s="37">
        <f t="shared" si="452"/>
        <v>3652000</v>
      </c>
      <c r="T2161" s="37">
        <f t="shared" si="453"/>
        <v>0</v>
      </c>
      <c r="U2161" s="10"/>
      <c r="V2161" s="10"/>
      <c r="W2161" s="10"/>
      <c r="X2161" s="10"/>
      <c r="Y2161" s="10"/>
      <c r="Z2161" s="10"/>
      <c r="AA2161" s="10"/>
      <c r="AB2161" s="10"/>
      <c r="AC2161" s="10"/>
      <c r="AD2161" s="10"/>
      <c r="AE2161" s="10"/>
    </row>
    <row r="2162" spans="1:31" ht="14.25" hidden="1" customHeight="1">
      <c r="A2162" s="277" t="s">
        <v>6257</v>
      </c>
      <c r="B2162" s="9" t="s">
        <v>21</v>
      </c>
      <c r="C2162" s="9">
        <v>2025</v>
      </c>
      <c r="D2162" s="9" t="s">
        <v>27</v>
      </c>
      <c r="E2162" s="90" t="s">
        <v>1011</v>
      </c>
      <c r="F2162" s="9" t="s">
        <v>1013</v>
      </c>
      <c r="G2162" s="10"/>
      <c r="H2162" s="96" t="s">
        <v>1122</v>
      </c>
      <c r="I2162" s="109" t="s">
        <v>1115</v>
      </c>
      <c r="J2162" s="115">
        <v>45759</v>
      </c>
      <c r="K2162" s="115">
        <v>45762</v>
      </c>
      <c r="L2162" s="116">
        <v>5062750</v>
      </c>
      <c r="M2162" s="117" t="s">
        <v>1123</v>
      </c>
      <c r="N2162" s="34" t="s">
        <v>29</v>
      </c>
      <c r="O2162" s="27"/>
      <c r="P2162" s="181">
        <v>45920</v>
      </c>
      <c r="Q2162" s="181">
        <v>45920</v>
      </c>
      <c r="R2162" s="181">
        <v>45920</v>
      </c>
      <c r="S2162" s="37">
        <f t="shared" si="452"/>
        <v>5062750</v>
      </c>
      <c r="T2162" s="37">
        <f t="shared" si="453"/>
        <v>0</v>
      </c>
      <c r="U2162" s="10"/>
      <c r="V2162" s="10"/>
      <c r="W2162" s="10"/>
      <c r="X2162" s="10"/>
      <c r="Y2162" s="10"/>
      <c r="Z2162" s="10"/>
      <c r="AA2162" s="10"/>
      <c r="AB2162" s="10"/>
      <c r="AC2162" s="10"/>
      <c r="AD2162" s="10"/>
      <c r="AE2162" s="10"/>
    </row>
    <row r="2163" spans="1:31" ht="14.25" hidden="1" customHeight="1">
      <c r="A2163" s="277" t="s">
        <v>6258</v>
      </c>
      <c r="B2163" s="9" t="s">
        <v>21</v>
      </c>
      <c r="C2163" s="9">
        <v>2025</v>
      </c>
      <c r="D2163" s="9" t="s">
        <v>27</v>
      </c>
      <c r="E2163" s="90" t="s">
        <v>1011</v>
      </c>
      <c r="F2163" s="9" t="s">
        <v>1013</v>
      </c>
      <c r="G2163" s="10"/>
      <c r="H2163" s="96" t="s">
        <v>1124</v>
      </c>
      <c r="I2163" s="109" t="s">
        <v>1115</v>
      </c>
      <c r="J2163" s="115">
        <v>45780</v>
      </c>
      <c r="K2163" s="115">
        <v>45780</v>
      </c>
      <c r="L2163" s="116">
        <v>1680000</v>
      </c>
      <c r="M2163" s="117" t="s">
        <v>1125</v>
      </c>
      <c r="N2163" s="34" t="s">
        <v>29</v>
      </c>
      <c r="O2163" s="27"/>
      <c r="P2163" s="181">
        <v>45920</v>
      </c>
      <c r="Q2163" s="181">
        <v>45920</v>
      </c>
      <c r="R2163" s="181">
        <v>45920</v>
      </c>
      <c r="S2163" s="37">
        <f t="shared" si="452"/>
        <v>1680000</v>
      </c>
      <c r="T2163" s="37">
        <f t="shared" si="453"/>
        <v>0</v>
      </c>
      <c r="U2163" s="10"/>
      <c r="V2163" s="10"/>
      <c r="W2163" s="10"/>
      <c r="X2163" s="10"/>
      <c r="Y2163" s="10"/>
      <c r="Z2163" s="10"/>
      <c r="AA2163" s="10"/>
      <c r="AB2163" s="10"/>
      <c r="AC2163" s="10"/>
      <c r="AD2163" s="10"/>
      <c r="AE2163" s="10"/>
    </row>
    <row r="2164" spans="1:31" ht="14.25" hidden="1" customHeight="1">
      <c r="A2164" s="277" t="s">
        <v>6259</v>
      </c>
      <c r="B2164" s="9" t="s">
        <v>21</v>
      </c>
      <c r="C2164" s="9">
        <v>2025</v>
      </c>
      <c r="D2164" s="9" t="s">
        <v>27</v>
      </c>
      <c r="E2164" s="90" t="s">
        <v>1011</v>
      </c>
      <c r="F2164" s="9" t="s">
        <v>1013</v>
      </c>
      <c r="G2164" s="10"/>
      <c r="H2164" s="96" t="s">
        <v>1126</v>
      </c>
      <c r="I2164" s="109" t="s">
        <v>1115</v>
      </c>
      <c r="J2164" s="115">
        <v>45811</v>
      </c>
      <c r="K2164" s="115">
        <v>45812</v>
      </c>
      <c r="L2164" s="116">
        <v>2780000</v>
      </c>
      <c r="M2164" s="117" t="s">
        <v>1127</v>
      </c>
      <c r="N2164" s="34" t="s">
        <v>29</v>
      </c>
      <c r="O2164" s="27"/>
      <c r="P2164" s="181">
        <v>45920</v>
      </c>
      <c r="Q2164" s="181">
        <v>45920</v>
      </c>
      <c r="R2164" s="181">
        <v>45920</v>
      </c>
      <c r="S2164" s="37">
        <f t="shared" si="452"/>
        <v>2780000</v>
      </c>
      <c r="T2164" s="37">
        <f t="shared" si="453"/>
        <v>0</v>
      </c>
      <c r="U2164" s="10"/>
      <c r="V2164" s="10"/>
      <c r="W2164" s="10"/>
      <c r="X2164" s="10"/>
      <c r="Y2164" s="10"/>
      <c r="Z2164" s="10"/>
      <c r="AA2164" s="10"/>
      <c r="AB2164" s="10"/>
      <c r="AC2164" s="10"/>
      <c r="AD2164" s="10"/>
      <c r="AE2164" s="10"/>
    </row>
    <row r="2165" spans="1:31" ht="14.25" hidden="1" customHeight="1">
      <c r="A2165" s="277" t="s">
        <v>6260</v>
      </c>
      <c r="B2165" s="9" t="s">
        <v>21</v>
      </c>
      <c r="C2165" s="9">
        <v>2025</v>
      </c>
      <c r="D2165" s="9" t="s">
        <v>27</v>
      </c>
      <c r="E2165" s="90" t="s">
        <v>1011</v>
      </c>
      <c r="F2165" s="9" t="s">
        <v>1013</v>
      </c>
      <c r="G2165" s="10"/>
      <c r="H2165" s="96" t="s">
        <v>1128</v>
      </c>
      <c r="I2165" s="109" t="s">
        <v>1115</v>
      </c>
      <c r="J2165" s="115">
        <v>45839</v>
      </c>
      <c r="K2165" s="115">
        <v>45848</v>
      </c>
      <c r="L2165" s="116">
        <v>1656000</v>
      </c>
      <c r="M2165" s="117" t="s">
        <v>1129</v>
      </c>
      <c r="N2165" s="34" t="s">
        <v>29</v>
      </c>
      <c r="O2165" s="27"/>
      <c r="P2165" s="181">
        <v>45920</v>
      </c>
      <c r="Q2165" s="181">
        <v>45920</v>
      </c>
      <c r="R2165" s="181">
        <v>45920</v>
      </c>
      <c r="S2165" s="37">
        <f t="shared" ref="S2165:S2178" si="454">IF(R2165="",0,L2165)</f>
        <v>1656000</v>
      </c>
      <c r="T2165" s="37">
        <f t="shared" ref="T2165:T2178" si="455">L2165-S2165</f>
        <v>0</v>
      </c>
      <c r="U2165" s="10"/>
      <c r="V2165" s="10"/>
      <c r="W2165" s="10"/>
      <c r="X2165" s="10"/>
      <c r="Y2165" s="10"/>
      <c r="Z2165" s="10"/>
      <c r="AA2165" s="10"/>
      <c r="AB2165" s="10"/>
      <c r="AC2165" s="10"/>
      <c r="AD2165" s="10"/>
      <c r="AE2165" s="10"/>
    </row>
    <row r="2166" spans="1:31" ht="14.25" hidden="1" customHeight="1">
      <c r="A2166" s="277" t="s">
        <v>6261</v>
      </c>
      <c r="B2166" s="9" t="s">
        <v>21</v>
      </c>
      <c r="C2166" s="9">
        <v>2025</v>
      </c>
      <c r="D2166" s="9" t="s">
        <v>27</v>
      </c>
      <c r="E2166" s="90" t="s">
        <v>1011</v>
      </c>
      <c r="F2166" s="9" t="s">
        <v>1013</v>
      </c>
      <c r="G2166" s="10"/>
      <c r="H2166" s="96" t="s">
        <v>1130</v>
      </c>
      <c r="I2166" s="109" t="s">
        <v>1115</v>
      </c>
      <c r="J2166" s="115">
        <v>45870</v>
      </c>
      <c r="K2166" s="115">
        <v>45874</v>
      </c>
      <c r="L2166" s="116">
        <v>3492000</v>
      </c>
      <c r="M2166" s="117" t="s">
        <v>1131</v>
      </c>
      <c r="N2166" s="34" t="s">
        <v>29</v>
      </c>
      <c r="O2166" s="27"/>
      <c r="P2166" s="181">
        <v>46185</v>
      </c>
      <c r="Q2166" s="181">
        <v>46185</v>
      </c>
      <c r="R2166" s="181">
        <v>46185</v>
      </c>
      <c r="S2166" s="37">
        <f t="shared" si="454"/>
        <v>3492000</v>
      </c>
      <c r="T2166" s="37">
        <f t="shared" si="455"/>
        <v>0</v>
      </c>
      <c r="U2166" s="10"/>
      <c r="V2166" s="10"/>
      <c r="W2166" s="10"/>
      <c r="X2166" s="10"/>
      <c r="Y2166" s="10"/>
      <c r="Z2166" s="10"/>
      <c r="AA2166" s="10"/>
      <c r="AB2166" s="10"/>
      <c r="AC2166" s="10"/>
      <c r="AD2166" s="10"/>
      <c r="AE2166" s="10"/>
    </row>
    <row r="2167" spans="1:31" ht="14.25" hidden="1" customHeight="1">
      <c r="A2167" s="277" t="s">
        <v>6262</v>
      </c>
      <c r="B2167" s="9" t="s">
        <v>21</v>
      </c>
      <c r="C2167" s="9">
        <v>2025</v>
      </c>
      <c r="D2167" s="9" t="s">
        <v>27</v>
      </c>
      <c r="E2167" s="90" t="s">
        <v>1011</v>
      </c>
      <c r="F2167" s="9" t="s">
        <v>1013</v>
      </c>
      <c r="G2167" s="10"/>
      <c r="H2167" s="96" t="s">
        <v>1132</v>
      </c>
      <c r="I2167" s="109" t="s">
        <v>1115</v>
      </c>
      <c r="J2167" s="115">
        <v>45904</v>
      </c>
      <c r="K2167" s="115">
        <v>45904</v>
      </c>
      <c r="L2167" s="116">
        <v>2672000</v>
      </c>
      <c r="M2167" s="117" t="s">
        <v>1133</v>
      </c>
      <c r="N2167" s="34" t="s">
        <v>29</v>
      </c>
      <c r="O2167" s="27"/>
      <c r="P2167" s="181">
        <v>46185</v>
      </c>
      <c r="Q2167" s="181">
        <v>46185</v>
      </c>
      <c r="R2167" s="181">
        <v>46185</v>
      </c>
      <c r="S2167" s="37">
        <f t="shared" si="454"/>
        <v>2672000</v>
      </c>
      <c r="T2167" s="37">
        <f t="shared" si="455"/>
        <v>0</v>
      </c>
      <c r="U2167" s="10"/>
      <c r="V2167" s="10"/>
      <c r="W2167" s="10"/>
      <c r="X2167" s="10"/>
      <c r="Y2167" s="10"/>
      <c r="Z2167" s="10"/>
      <c r="AA2167" s="10"/>
      <c r="AB2167" s="10"/>
      <c r="AC2167" s="10"/>
      <c r="AD2167" s="10"/>
      <c r="AE2167" s="10"/>
    </row>
    <row r="2168" spans="1:31" ht="14.25" hidden="1" customHeight="1">
      <c r="A2168" s="277" t="s">
        <v>6263</v>
      </c>
      <c r="B2168" s="9" t="s">
        <v>21</v>
      </c>
      <c r="C2168" s="9">
        <v>2025</v>
      </c>
      <c r="D2168" s="9" t="s">
        <v>27</v>
      </c>
      <c r="E2168" s="90" t="s">
        <v>1011</v>
      </c>
      <c r="F2168" s="9" t="s">
        <v>1013</v>
      </c>
      <c r="G2168" s="10"/>
      <c r="H2168" s="96" t="s">
        <v>3728</v>
      </c>
      <c r="I2168" s="109" t="s">
        <v>1115</v>
      </c>
      <c r="J2168" s="115">
        <v>45934</v>
      </c>
      <c r="K2168" s="115">
        <v>45936</v>
      </c>
      <c r="L2168" s="116">
        <v>3007000</v>
      </c>
      <c r="M2168" s="117" t="s">
        <v>3729</v>
      </c>
      <c r="N2168" s="34" t="s">
        <v>29</v>
      </c>
      <c r="O2168" s="27"/>
      <c r="P2168" s="181">
        <v>46185</v>
      </c>
      <c r="Q2168" s="181">
        <v>46185</v>
      </c>
      <c r="R2168" s="181">
        <v>46185</v>
      </c>
      <c r="S2168" s="37">
        <f t="shared" si="454"/>
        <v>3007000</v>
      </c>
      <c r="T2168" s="37">
        <f t="shared" si="455"/>
        <v>0</v>
      </c>
      <c r="U2168" s="10"/>
      <c r="V2168" s="10"/>
      <c r="W2168" s="10"/>
      <c r="X2168" s="10"/>
      <c r="Y2168" s="10"/>
      <c r="Z2168" s="10"/>
      <c r="AA2168" s="10"/>
      <c r="AB2168" s="10"/>
      <c r="AC2168" s="10"/>
      <c r="AD2168" s="10"/>
      <c r="AE2168" s="10"/>
    </row>
    <row r="2169" spans="1:31" ht="14.25" hidden="1" customHeight="1">
      <c r="A2169" s="277" t="s">
        <v>6264</v>
      </c>
      <c r="B2169" s="9" t="s">
        <v>21</v>
      </c>
      <c r="C2169" s="9">
        <v>2025</v>
      </c>
      <c r="D2169" s="9" t="s">
        <v>27</v>
      </c>
      <c r="E2169" s="90" t="s">
        <v>1011</v>
      </c>
      <c r="F2169" s="9" t="s">
        <v>1013</v>
      </c>
      <c r="G2169" s="10"/>
      <c r="H2169" s="96" t="s">
        <v>3917</v>
      </c>
      <c r="I2169" s="109" t="s">
        <v>1115</v>
      </c>
      <c r="J2169" s="115">
        <v>45962</v>
      </c>
      <c r="K2169" s="115">
        <v>45964</v>
      </c>
      <c r="L2169" s="116">
        <v>2648000</v>
      </c>
      <c r="M2169" s="117" t="s">
        <v>3918</v>
      </c>
      <c r="N2169" s="34" t="s">
        <v>29</v>
      </c>
      <c r="O2169" s="27"/>
      <c r="P2169" s="181">
        <v>46185</v>
      </c>
      <c r="Q2169" s="181">
        <v>46185</v>
      </c>
      <c r="R2169" s="181">
        <v>46185</v>
      </c>
      <c r="S2169" s="37">
        <f t="shared" si="454"/>
        <v>2648000</v>
      </c>
      <c r="T2169" s="37">
        <f t="shared" si="455"/>
        <v>0</v>
      </c>
      <c r="U2169" s="10"/>
      <c r="V2169" s="10"/>
      <c r="W2169" s="10"/>
      <c r="X2169" s="10"/>
      <c r="Y2169" s="10"/>
      <c r="Z2169" s="10"/>
      <c r="AA2169" s="10"/>
      <c r="AB2169" s="10"/>
      <c r="AC2169" s="10"/>
      <c r="AD2169" s="10"/>
      <c r="AE2169" s="10"/>
    </row>
    <row r="2170" spans="1:31" ht="14.25" customHeight="1">
      <c r="A2170" s="277" t="s">
        <v>6265</v>
      </c>
      <c r="B2170" s="9" t="s">
        <v>21</v>
      </c>
      <c r="C2170" s="9">
        <v>2025</v>
      </c>
      <c r="D2170" s="9" t="s">
        <v>27</v>
      </c>
      <c r="E2170" s="90" t="s">
        <v>1011</v>
      </c>
      <c r="F2170" s="9" t="s">
        <v>1013</v>
      </c>
      <c r="G2170" s="10"/>
      <c r="H2170" s="96" t="s">
        <v>4054</v>
      </c>
      <c r="I2170" s="109" t="s">
        <v>1115</v>
      </c>
      <c r="J2170" s="115">
        <v>45993</v>
      </c>
      <c r="K2170" s="115">
        <v>45994</v>
      </c>
      <c r="L2170" s="116">
        <v>1264000</v>
      </c>
      <c r="M2170" s="117" t="s">
        <v>4055</v>
      </c>
      <c r="N2170" s="34" t="s">
        <v>29</v>
      </c>
      <c r="O2170" s="27"/>
      <c r="P2170" s="181">
        <v>46185</v>
      </c>
      <c r="Q2170" s="181">
        <v>46185</v>
      </c>
      <c r="R2170" s="181">
        <v>46185</v>
      </c>
      <c r="S2170" s="37">
        <f t="shared" si="454"/>
        <v>1264000</v>
      </c>
      <c r="T2170" s="37">
        <f t="shared" si="455"/>
        <v>0</v>
      </c>
      <c r="U2170" s="10"/>
      <c r="V2170" s="10"/>
      <c r="W2170" s="10"/>
      <c r="X2170" s="10"/>
      <c r="Y2170" s="10"/>
      <c r="Z2170" s="10"/>
      <c r="AA2170" s="10"/>
      <c r="AB2170" s="10"/>
      <c r="AC2170" s="10"/>
      <c r="AD2170" s="10"/>
      <c r="AE2170" s="10"/>
    </row>
    <row r="2171" spans="1:31" ht="14.25" customHeight="1">
      <c r="A2171" s="277" t="s">
        <v>6266</v>
      </c>
      <c r="B2171" s="9" t="s">
        <v>21</v>
      </c>
      <c r="C2171" s="9">
        <v>2025</v>
      </c>
      <c r="D2171" s="9" t="s">
        <v>77</v>
      </c>
      <c r="E2171" s="90" t="s">
        <v>1011</v>
      </c>
      <c r="F2171" s="9" t="s">
        <v>1013</v>
      </c>
      <c r="G2171" s="10"/>
      <c r="H2171" s="9" t="s">
        <v>4199</v>
      </c>
      <c r="I2171" s="11" t="s">
        <v>1115</v>
      </c>
      <c r="J2171" s="12">
        <v>46022</v>
      </c>
      <c r="K2171" s="12">
        <v>46029</v>
      </c>
      <c r="L2171" s="27">
        <f>2484000</f>
        <v>2484000</v>
      </c>
      <c r="M2171" s="10" t="s">
        <v>4200</v>
      </c>
      <c r="N2171" s="34">
        <f t="shared" ref="N2171:N2177" ca="1" si="456">$J$3-J2171</f>
        <v>218.46377638888953</v>
      </c>
      <c r="O2171" s="27"/>
      <c r="P2171" s="49"/>
      <c r="Q2171" s="49"/>
      <c r="R2171" s="49"/>
      <c r="S2171" s="37">
        <f t="shared" si="454"/>
        <v>0</v>
      </c>
      <c r="T2171" s="37">
        <f t="shared" si="455"/>
        <v>2484000</v>
      </c>
      <c r="U2171" s="10"/>
      <c r="V2171" s="10"/>
      <c r="W2171" s="10"/>
      <c r="X2171" s="10"/>
      <c r="Y2171" s="10"/>
      <c r="Z2171" s="10"/>
      <c r="AA2171" s="10"/>
      <c r="AB2171" s="10"/>
      <c r="AC2171" s="10"/>
      <c r="AD2171" s="10"/>
      <c r="AE2171" s="10"/>
    </row>
    <row r="2172" spans="1:31" ht="14.25" customHeight="1">
      <c r="A2172" s="277" t="s">
        <v>6267</v>
      </c>
      <c r="B2172" s="9" t="s">
        <v>21</v>
      </c>
      <c r="C2172" s="9">
        <v>2026</v>
      </c>
      <c r="D2172" s="9" t="s">
        <v>77</v>
      </c>
      <c r="E2172" s="90" t="s">
        <v>1011</v>
      </c>
      <c r="F2172" s="9" t="s">
        <v>1013</v>
      </c>
      <c r="G2172" s="10"/>
      <c r="H2172" s="9" t="s">
        <v>4305</v>
      </c>
      <c r="I2172" s="11" t="s">
        <v>1115</v>
      </c>
      <c r="J2172" s="12">
        <v>46056</v>
      </c>
      <c r="K2172" s="12">
        <v>46057</v>
      </c>
      <c r="L2172" s="27">
        <f>1684000+320000</f>
        <v>2004000</v>
      </c>
      <c r="M2172" s="10" t="s">
        <v>4306</v>
      </c>
      <c r="N2172" s="34">
        <f t="shared" ca="1" si="456"/>
        <v>184.46377638888953</v>
      </c>
      <c r="O2172" s="27"/>
      <c r="P2172" s="49"/>
      <c r="Q2172" s="49"/>
      <c r="R2172" s="49"/>
      <c r="S2172" s="37">
        <f t="shared" ref="S2172:S2177" si="457">IF(R2172="",0,L2172)</f>
        <v>0</v>
      </c>
      <c r="T2172" s="37">
        <f t="shared" ref="T2172:T2177" si="458">L2172-S2172</f>
        <v>2004000</v>
      </c>
      <c r="U2172" s="10"/>
      <c r="V2172" s="10"/>
      <c r="W2172" s="10"/>
      <c r="X2172" s="10"/>
      <c r="Y2172" s="10"/>
      <c r="Z2172" s="10"/>
      <c r="AA2172" s="10"/>
      <c r="AB2172" s="10"/>
      <c r="AC2172" s="10"/>
      <c r="AD2172" s="10"/>
      <c r="AE2172" s="10"/>
    </row>
    <row r="2173" spans="1:31" ht="14.25" customHeight="1">
      <c r="A2173" s="277" t="s">
        <v>6268</v>
      </c>
      <c r="B2173" s="9" t="s">
        <v>21</v>
      </c>
      <c r="C2173" s="9">
        <v>2026</v>
      </c>
      <c r="D2173" s="9" t="s">
        <v>77</v>
      </c>
      <c r="E2173" s="90" t="s">
        <v>1011</v>
      </c>
      <c r="F2173" s="9" t="s">
        <v>1013</v>
      </c>
      <c r="G2173" s="10"/>
      <c r="H2173" s="9" t="s">
        <v>4432</v>
      </c>
      <c r="I2173" s="11" t="s">
        <v>1115</v>
      </c>
      <c r="J2173" s="12">
        <v>46083</v>
      </c>
      <c r="K2173" s="12">
        <v>46084</v>
      </c>
      <c r="L2173" s="27">
        <v>1680000</v>
      </c>
      <c r="M2173" s="10" t="s">
        <v>4433</v>
      </c>
      <c r="N2173" s="34">
        <f t="shared" ca="1" si="456"/>
        <v>157.46377638888953</v>
      </c>
      <c r="O2173" s="27"/>
      <c r="P2173" s="49"/>
      <c r="Q2173" s="49"/>
      <c r="R2173" s="49"/>
      <c r="S2173" s="37">
        <f t="shared" si="457"/>
        <v>0</v>
      </c>
      <c r="T2173" s="37">
        <f t="shared" si="458"/>
        <v>1680000</v>
      </c>
      <c r="U2173" s="10"/>
      <c r="V2173" s="10"/>
      <c r="W2173" s="10"/>
      <c r="X2173" s="10"/>
      <c r="Y2173" s="10"/>
      <c r="Z2173" s="10"/>
      <c r="AA2173" s="10"/>
      <c r="AB2173" s="10"/>
      <c r="AC2173" s="10"/>
      <c r="AD2173" s="10"/>
      <c r="AE2173" s="10"/>
    </row>
    <row r="2174" spans="1:31" ht="14.25" customHeight="1">
      <c r="A2174" s="277" t="s">
        <v>6269</v>
      </c>
      <c r="B2174" s="9" t="s">
        <v>21</v>
      </c>
      <c r="C2174" s="9">
        <v>2026</v>
      </c>
      <c r="D2174" s="9" t="s">
        <v>77</v>
      </c>
      <c r="E2174" s="90" t="s">
        <v>1011</v>
      </c>
      <c r="F2174" s="9" t="s">
        <v>1013</v>
      </c>
      <c r="G2174" s="10"/>
      <c r="H2174" s="9" t="s">
        <v>4484</v>
      </c>
      <c r="I2174" s="11" t="s">
        <v>1115</v>
      </c>
      <c r="J2174" s="12">
        <v>46114</v>
      </c>
      <c r="K2174" s="12">
        <v>46114</v>
      </c>
      <c r="L2174" s="27">
        <v>2204000</v>
      </c>
      <c r="M2174" s="10" t="s">
        <v>4485</v>
      </c>
      <c r="N2174" s="34">
        <f t="shared" ca="1" si="456"/>
        <v>126.46377638888953</v>
      </c>
      <c r="O2174" s="27"/>
      <c r="P2174" s="49"/>
      <c r="Q2174" s="49"/>
      <c r="R2174" s="49"/>
      <c r="S2174" s="37">
        <f t="shared" si="457"/>
        <v>0</v>
      </c>
      <c r="T2174" s="37">
        <f t="shared" si="458"/>
        <v>2204000</v>
      </c>
      <c r="U2174" s="10"/>
      <c r="V2174" s="10"/>
      <c r="W2174" s="10"/>
      <c r="X2174" s="10"/>
      <c r="Y2174" s="10"/>
      <c r="Z2174" s="10"/>
      <c r="AA2174" s="10"/>
      <c r="AB2174" s="10"/>
      <c r="AC2174" s="10"/>
      <c r="AD2174" s="10"/>
      <c r="AE2174" s="10"/>
    </row>
    <row r="2175" spans="1:31" ht="14.25" customHeight="1">
      <c r="A2175" s="277" t="s">
        <v>6270</v>
      </c>
      <c r="B2175" s="9" t="s">
        <v>21</v>
      </c>
      <c r="C2175" s="9">
        <v>2026</v>
      </c>
      <c r="D2175" s="9" t="s">
        <v>77</v>
      </c>
      <c r="E2175" s="90" t="s">
        <v>1011</v>
      </c>
      <c r="F2175" s="9" t="s">
        <v>1013</v>
      </c>
      <c r="G2175" s="10"/>
      <c r="H2175" s="9" t="s">
        <v>7010</v>
      </c>
      <c r="I2175" s="11" t="s">
        <v>1115</v>
      </c>
      <c r="J2175" s="12">
        <v>46146</v>
      </c>
      <c r="K2175" s="12">
        <v>46148</v>
      </c>
      <c r="L2175" s="27">
        <v>2727000</v>
      </c>
      <c r="M2175" s="10" t="s">
        <v>7011</v>
      </c>
      <c r="N2175" s="34">
        <f t="shared" ca="1" si="456"/>
        <v>94.463776388889528</v>
      </c>
      <c r="O2175" s="27"/>
      <c r="P2175" s="49"/>
      <c r="Q2175" s="49"/>
      <c r="R2175" s="49"/>
      <c r="S2175" s="37">
        <f t="shared" si="457"/>
        <v>0</v>
      </c>
      <c r="T2175" s="37">
        <f t="shared" si="458"/>
        <v>2727000</v>
      </c>
      <c r="U2175" s="10"/>
      <c r="V2175" s="10"/>
      <c r="W2175" s="10"/>
      <c r="X2175" s="10"/>
      <c r="Y2175" s="10"/>
      <c r="Z2175" s="10"/>
      <c r="AA2175" s="10"/>
      <c r="AB2175" s="10"/>
      <c r="AC2175" s="10"/>
      <c r="AD2175" s="10"/>
      <c r="AE2175" s="10"/>
    </row>
    <row r="2176" spans="1:31" ht="14.25" customHeight="1">
      <c r="A2176" s="277" t="s">
        <v>6271</v>
      </c>
      <c r="B2176" s="9" t="s">
        <v>21</v>
      </c>
      <c r="C2176" s="9">
        <v>2026</v>
      </c>
      <c r="D2176" s="9" t="s">
        <v>77</v>
      </c>
      <c r="E2176" s="90" t="s">
        <v>1011</v>
      </c>
      <c r="F2176" s="9" t="s">
        <v>1013</v>
      </c>
      <c r="G2176" s="10"/>
      <c r="H2176" s="9" t="s">
        <v>7104</v>
      </c>
      <c r="I2176" s="11" t="s">
        <v>1115</v>
      </c>
      <c r="J2176" s="12">
        <v>46175</v>
      </c>
      <c r="K2176" s="12">
        <v>46176</v>
      </c>
      <c r="L2176" s="27">
        <v>2396000</v>
      </c>
      <c r="M2176" s="10" t="s">
        <v>7105</v>
      </c>
      <c r="N2176" s="34">
        <f t="shared" ca="1" si="456"/>
        <v>65.463776388889528</v>
      </c>
      <c r="O2176" s="27"/>
      <c r="P2176" s="49"/>
      <c r="Q2176" s="49"/>
      <c r="R2176" s="49"/>
      <c r="S2176" s="37">
        <f t="shared" si="457"/>
        <v>0</v>
      </c>
      <c r="T2176" s="37">
        <f t="shared" si="458"/>
        <v>2396000</v>
      </c>
      <c r="U2176" s="10"/>
      <c r="V2176" s="10"/>
      <c r="W2176" s="10"/>
      <c r="X2176" s="10"/>
      <c r="Y2176" s="10"/>
      <c r="Z2176" s="10"/>
      <c r="AA2176" s="10"/>
      <c r="AB2176" s="10"/>
      <c r="AC2176" s="10"/>
      <c r="AD2176" s="10"/>
      <c r="AE2176" s="10"/>
    </row>
    <row r="2177" spans="1:31" ht="14.25" customHeight="1">
      <c r="A2177" s="277" t="s">
        <v>6272</v>
      </c>
      <c r="B2177" s="9" t="s">
        <v>21</v>
      </c>
      <c r="C2177" s="9">
        <v>2026</v>
      </c>
      <c r="D2177" s="9" t="s">
        <v>77</v>
      </c>
      <c r="E2177" s="90" t="s">
        <v>1011</v>
      </c>
      <c r="F2177" s="9" t="s">
        <v>1013</v>
      </c>
      <c r="G2177" s="10"/>
      <c r="H2177" s="9" t="s">
        <v>7312</v>
      </c>
      <c r="I2177" s="11" t="s">
        <v>1115</v>
      </c>
      <c r="J2177" s="12">
        <v>46204</v>
      </c>
      <c r="K2177" s="12">
        <v>46205</v>
      </c>
      <c r="L2177" s="27">
        <v>280000</v>
      </c>
      <c r="M2177" s="10" t="s">
        <v>7352</v>
      </c>
      <c r="N2177" s="34">
        <f t="shared" ca="1" si="456"/>
        <v>36.463776388889528</v>
      </c>
      <c r="O2177" s="27"/>
      <c r="P2177" s="49"/>
      <c r="Q2177" s="49"/>
      <c r="R2177" s="49"/>
      <c r="S2177" s="37">
        <f t="shared" si="457"/>
        <v>0</v>
      </c>
      <c r="T2177" s="37">
        <f t="shared" si="458"/>
        <v>280000</v>
      </c>
      <c r="U2177" s="10"/>
      <c r="V2177" s="10"/>
      <c r="W2177" s="10"/>
      <c r="X2177" s="10"/>
      <c r="Y2177" s="10"/>
      <c r="Z2177" s="10"/>
      <c r="AA2177" s="10"/>
      <c r="AB2177" s="10"/>
      <c r="AC2177" s="10"/>
      <c r="AD2177" s="10"/>
      <c r="AE2177" s="10"/>
    </row>
    <row r="2178" spans="1:31" ht="14.25" customHeight="1">
      <c r="A2178" s="277" t="s">
        <v>6273</v>
      </c>
      <c r="B2178" s="9" t="s">
        <v>21</v>
      </c>
      <c r="C2178" s="9"/>
      <c r="D2178" s="9"/>
      <c r="E2178" s="90"/>
      <c r="F2178" s="9"/>
      <c r="G2178" s="10"/>
      <c r="H2178" s="9"/>
      <c r="I2178" s="11"/>
      <c r="J2178" s="12"/>
      <c r="K2178" s="12"/>
      <c r="L2178" s="27"/>
      <c r="M2178" s="10"/>
      <c r="N2178" s="114"/>
      <c r="O2178" s="27"/>
      <c r="P2178" s="49"/>
      <c r="Q2178" s="49"/>
      <c r="R2178" s="49"/>
      <c r="S2178" s="37">
        <f t="shared" si="454"/>
        <v>0</v>
      </c>
      <c r="T2178" s="37">
        <f t="shared" si="455"/>
        <v>0</v>
      </c>
      <c r="U2178" s="10"/>
      <c r="V2178" s="10"/>
      <c r="W2178" s="10"/>
      <c r="X2178" s="10"/>
      <c r="Y2178" s="10"/>
      <c r="Z2178" s="10"/>
      <c r="AA2178" s="10"/>
      <c r="AB2178" s="10"/>
      <c r="AC2178" s="10"/>
      <c r="AD2178" s="10"/>
      <c r="AE2178" s="10"/>
    </row>
    <row r="2179" spans="1:31" ht="14.25" customHeight="1">
      <c r="A2179" s="277" t="s">
        <v>6274</v>
      </c>
      <c r="B2179" s="9" t="s">
        <v>21</v>
      </c>
      <c r="C2179" s="9"/>
      <c r="D2179" s="9"/>
      <c r="E2179" s="90"/>
      <c r="F2179" s="9"/>
      <c r="G2179" s="10"/>
      <c r="H2179" s="9"/>
      <c r="I2179" s="11"/>
      <c r="J2179" s="12"/>
      <c r="K2179" s="12"/>
      <c r="M2179" s="10"/>
      <c r="N2179" s="9"/>
      <c r="O2179" s="11"/>
      <c r="P2179" s="39"/>
      <c r="Q2179" s="39"/>
      <c r="R2179" s="39"/>
      <c r="S2179" s="37"/>
      <c r="T2179" s="37"/>
      <c r="U2179" s="10"/>
      <c r="V2179" s="10"/>
      <c r="W2179" s="10"/>
      <c r="X2179" s="10"/>
      <c r="Y2179" s="10"/>
      <c r="Z2179" s="10"/>
      <c r="AA2179" s="10"/>
      <c r="AB2179" s="10"/>
      <c r="AC2179" s="10"/>
      <c r="AD2179" s="10"/>
      <c r="AE2179" s="10"/>
    </row>
    <row r="2180" spans="1:31" ht="14.25" customHeight="1">
      <c r="A2180" s="277" t="s">
        <v>6275</v>
      </c>
      <c r="B2180" s="9" t="s">
        <v>21</v>
      </c>
      <c r="C2180" s="9"/>
      <c r="D2180" s="9"/>
      <c r="E2180" s="90"/>
      <c r="F2180" s="9"/>
      <c r="G2180" s="94" t="s">
        <v>24</v>
      </c>
      <c r="H2180" s="95" t="s">
        <v>1134</v>
      </c>
      <c r="I2180" s="104"/>
      <c r="J2180" s="105"/>
      <c r="K2180" s="105"/>
      <c r="L2180" s="106">
        <f>SUM(L2181:L2182)</f>
        <v>127500</v>
      </c>
      <c r="M2180" s="107"/>
      <c r="N2180" s="108" t="s">
        <v>26</v>
      </c>
      <c r="O2180" s="108"/>
      <c r="P2180" s="108"/>
      <c r="Q2180" s="108"/>
      <c r="R2180" s="108"/>
      <c r="S2180" s="106">
        <f>SUM(S2181:S2182)</f>
        <v>0</v>
      </c>
      <c r="T2180" s="106">
        <f>SUM(T2181:T2182)</f>
        <v>127500</v>
      </c>
      <c r="U2180" s="10"/>
      <c r="V2180" s="52">
        <f>L2180-S2180</f>
        <v>127500</v>
      </c>
      <c r="W2180" s="52">
        <f>T2180-V2180</f>
        <v>0</v>
      </c>
      <c r="X2180" s="10"/>
      <c r="Y2180" s="10"/>
      <c r="Z2180" s="10"/>
      <c r="AA2180" s="10"/>
      <c r="AB2180" s="10"/>
      <c r="AC2180" s="10"/>
      <c r="AD2180" s="10"/>
      <c r="AE2180" s="10"/>
    </row>
    <row r="2181" spans="1:31" ht="14.25" customHeight="1">
      <c r="A2181" s="277" t="s">
        <v>6276</v>
      </c>
      <c r="B2181" s="9" t="s">
        <v>21</v>
      </c>
      <c r="C2181" s="9">
        <v>2026</v>
      </c>
      <c r="D2181" s="9" t="s">
        <v>77</v>
      </c>
      <c r="E2181" s="90" t="s">
        <v>1011</v>
      </c>
      <c r="F2181" s="9" t="s">
        <v>1013</v>
      </c>
      <c r="G2181" s="120"/>
      <c r="H2181" s="180"/>
      <c r="I2181" s="126" t="s">
        <v>1134</v>
      </c>
      <c r="J2181" s="127">
        <v>46192</v>
      </c>
      <c r="K2181" s="127">
        <v>46204</v>
      </c>
      <c r="L2181" s="128">
        <v>127500</v>
      </c>
      <c r="M2181" s="140" t="s">
        <v>7308</v>
      </c>
      <c r="N2181" s="34">
        <f t="shared" ref="N2181" ca="1" si="459">$J$3-J2181</f>
        <v>48.463776388889528</v>
      </c>
      <c r="O2181" s="149"/>
      <c r="P2181" s="149"/>
      <c r="Q2181" s="149"/>
      <c r="R2181" s="149"/>
      <c r="S2181" s="37">
        <f>IF(R2181="",0,L2181)</f>
        <v>0</v>
      </c>
      <c r="T2181" s="37">
        <f>L2181-S2181</f>
        <v>127500</v>
      </c>
      <c r="U2181" s="10"/>
      <c r="V2181" s="52"/>
      <c r="W2181" s="52"/>
      <c r="X2181" s="10"/>
      <c r="Y2181" s="10"/>
      <c r="Z2181" s="10"/>
      <c r="AA2181" s="10"/>
      <c r="AB2181" s="10"/>
      <c r="AC2181" s="10"/>
      <c r="AD2181" s="10"/>
      <c r="AE2181" s="10"/>
    </row>
    <row r="2182" spans="1:31" ht="14.25" customHeight="1">
      <c r="A2182" s="277" t="s">
        <v>6277</v>
      </c>
      <c r="B2182" s="9" t="s">
        <v>21</v>
      </c>
      <c r="C2182" s="9"/>
      <c r="D2182" s="9"/>
      <c r="E2182" s="90"/>
      <c r="F2182" s="9"/>
      <c r="G2182" s="10"/>
      <c r="H2182" s="9"/>
      <c r="I2182" s="11"/>
      <c r="J2182" s="12"/>
      <c r="K2182" s="12"/>
      <c r="L2182" s="52"/>
      <c r="M2182" s="10"/>
      <c r="N2182" s="114">
        <f ca="1">$J$3-J2182</f>
        <v>46240.46377638889</v>
      </c>
      <c r="O2182" s="11"/>
      <c r="P2182" s="39"/>
      <c r="Q2182" s="39"/>
      <c r="R2182" s="39"/>
      <c r="S2182" s="37">
        <f>IF(R2182="",0,L2182)</f>
        <v>0</v>
      </c>
      <c r="T2182" s="37">
        <f>L2182-S2182</f>
        <v>0</v>
      </c>
      <c r="U2182" s="10"/>
      <c r="V2182" s="10"/>
      <c r="W2182" s="10"/>
      <c r="X2182" s="10"/>
      <c r="Y2182" s="10"/>
      <c r="Z2182" s="10"/>
      <c r="AA2182" s="10"/>
      <c r="AB2182" s="10"/>
      <c r="AC2182" s="10"/>
      <c r="AD2182" s="10"/>
      <c r="AE2182" s="10"/>
    </row>
    <row r="2183" spans="1:31" ht="14.25" customHeight="1">
      <c r="A2183" s="277" t="s">
        <v>6278</v>
      </c>
      <c r="B2183" s="9" t="s">
        <v>21</v>
      </c>
      <c r="C2183" s="9"/>
      <c r="D2183" s="9"/>
      <c r="E2183" s="90"/>
      <c r="F2183" s="9"/>
      <c r="G2183" s="9"/>
      <c r="H2183" s="93"/>
      <c r="I2183" s="11"/>
      <c r="J2183" s="12"/>
      <c r="K2183" s="12"/>
      <c r="L2183" s="118"/>
      <c r="M2183" s="103"/>
      <c r="N2183" s="33"/>
      <c r="O2183" s="33"/>
      <c r="P2183" s="33"/>
      <c r="Q2183" s="33"/>
      <c r="R2183" s="33"/>
      <c r="S2183" s="118"/>
      <c r="T2183" s="118"/>
      <c r="U2183" s="10"/>
      <c r="V2183" s="10"/>
      <c r="W2183" s="10"/>
      <c r="X2183" s="10"/>
      <c r="Y2183" s="10"/>
      <c r="Z2183" s="10"/>
      <c r="AA2183" s="10"/>
      <c r="AB2183" s="10"/>
      <c r="AC2183" s="10"/>
      <c r="AD2183" s="10"/>
      <c r="AE2183" s="10"/>
    </row>
    <row r="2184" spans="1:31" ht="14.25" customHeight="1">
      <c r="A2184" s="277" t="s">
        <v>6279</v>
      </c>
      <c r="B2184" s="9" t="s">
        <v>21</v>
      </c>
      <c r="C2184" s="9"/>
      <c r="D2184" s="9"/>
      <c r="E2184" s="90"/>
      <c r="F2184" s="9"/>
      <c r="G2184" s="94" t="s">
        <v>24</v>
      </c>
      <c r="H2184" s="95" t="s">
        <v>1135</v>
      </c>
      <c r="I2184" s="104"/>
      <c r="J2184" s="105"/>
      <c r="K2184" s="105"/>
      <c r="L2184" s="106">
        <f>SUM(L2185)</f>
        <v>0</v>
      </c>
      <c r="M2184" s="107"/>
      <c r="N2184" s="108" t="s">
        <v>26</v>
      </c>
      <c r="O2184" s="108"/>
      <c r="P2184" s="108"/>
      <c r="Q2184" s="108"/>
      <c r="R2184" s="108"/>
      <c r="S2184" s="106">
        <f>SUM(S2185)</f>
        <v>0</v>
      </c>
      <c r="T2184" s="106">
        <f>SUM(T2185)</f>
        <v>0</v>
      </c>
      <c r="U2184" s="10"/>
      <c r="V2184" s="52">
        <f>L2184-S2184</f>
        <v>0</v>
      </c>
      <c r="W2184" s="52">
        <f>T2184-V2184</f>
        <v>0</v>
      </c>
      <c r="X2184" s="10"/>
      <c r="Y2184" s="10"/>
      <c r="Z2184" s="10"/>
      <c r="AA2184" s="10"/>
      <c r="AB2184" s="10"/>
      <c r="AC2184" s="10"/>
      <c r="AD2184" s="10"/>
      <c r="AE2184" s="10"/>
    </row>
    <row r="2185" spans="1:31" ht="14.25" customHeight="1">
      <c r="A2185" s="277" t="s">
        <v>6280</v>
      </c>
      <c r="B2185" s="9" t="s">
        <v>21</v>
      </c>
      <c r="C2185" s="9"/>
      <c r="D2185" s="9"/>
      <c r="E2185" s="90"/>
      <c r="F2185" s="9"/>
      <c r="G2185" s="10"/>
      <c r="H2185" s="9"/>
      <c r="I2185" s="11"/>
      <c r="J2185" s="12"/>
      <c r="K2185" s="12"/>
      <c r="L2185" s="27"/>
      <c r="M2185" s="10"/>
      <c r="N2185" s="114">
        <f ca="1">$J$3-J2185</f>
        <v>46240.46377638889</v>
      </c>
      <c r="O2185" s="10"/>
      <c r="P2185" s="39"/>
      <c r="Q2185" s="39"/>
      <c r="R2185" s="39"/>
      <c r="S2185" s="37">
        <f>IF(R2185="",0,L2185)</f>
        <v>0</v>
      </c>
      <c r="T2185" s="37">
        <f>L2185-S2185</f>
        <v>0</v>
      </c>
      <c r="U2185" s="10"/>
      <c r="V2185" s="10"/>
      <c r="W2185" s="10"/>
      <c r="X2185" s="10"/>
      <c r="Y2185" s="10"/>
      <c r="Z2185" s="10"/>
      <c r="AA2185" s="10"/>
      <c r="AB2185" s="10"/>
      <c r="AC2185" s="10"/>
      <c r="AD2185" s="10"/>
      <c r="AE2185" s="10"/>
    </row>
    <row r="2186" spans="1:31" ht="14.25" customHeight="1">
      <c r="A2186" s="277" t="s">
        <v>6281</v>
      </c>
      <c r="B2186" s="9" t="s">
        <v>21</v>
      </c>
      <c r="C2186" s="9"/>
      <c r="D2186" s="9"/>
      <c r="E2186" s="90"/>
      <c r="F2186" s="9"/>
      <c r="G2186" s="10"/>
      <c r="H2186" s="9"/>
      <c r="I2186" s="11"/>
      <c r="J2186" s="12"/>
      <c r="K2186" s="12"/>
      <c r="L2186" s="52"/>
      <c r="M2186" s="10"/>
      <c r="N2186" s="9"/>
      <c r="O2186" s="11"/>
      <c r="P2186" s="39"/>
      <c r="Q2186" s="39"/>
      <c r="R2186" s="39"/>
      <c r="S2186" s="37"/>
      <c r="T2186" s="37"/>
      <c r="U2186" s="10"/>
      <c r="V2186" s="10"/>
      <c r="W2186" s="10"/>
      <c r="X2186" s="10"/>
      <c r="Y2186" s="10"/>
      <c r="Z2186" s="10"/>
      <c r="AA2186" s="10"/>
      <c r="AB2186" s="10"/>
      <c r="AC2186" s="10"/>
      <c r="AD2186" s="10"/>
      <c r="AE2186" s="10"/>
    </row>
    <row r="2187" spans="1:31">
      <c r="A2187" s="277" t="s">
        <v>6282</v>
      </c>
      <c r="B2187" s="9" t="s">
        <v>21</v>
      </c>
      <c r="C2187" s="9"/>
      <c r="D2187" s="9"/>
      <c r="E2187" s="90"/>
      <c r="F2187" s="9"/>
      <c r="G2187" s="94" t="s">
        <v>24</v>
      </c>
      <c r="H2187" s="95" t="s">
        <v>862</v>
      </c>
      <c r="I2187" s="104"/>
      <c r="J2187" s="105"/>
      <c r="K2187" s="105"/>
      <c r="L2187" s="106">
        <f>SUM(L2188:L2211)</f>
        <v>689277600</v>
      </c>
      <c r="M2187" s="107"/>
      <c r="N2187" s="108" t="s">
        <v>26</v>
      </c>
      <c r="O2187" s="108"/>
      <c r="P2187" s="108"/>
      <c r="Q2187" s="108"/>
      <c r="R2187" s="108"/>
      <c r="S2187" s="106">
        <f>SUM(S2188:S2211)</f>
        <v>515495300</v>
      </c>
      <c r="T2187" s="106">
        <f>SUM(T2188:T2211)</f>
        <v>173782300</v>
      </c>
      <c r="U2187" s="10"/>
      <c r="V2187" s="52">
        <f>L2187-S2187</f>
        <v>173782300</v>
      </c>
      <c r="W2187" s="52">
        <f>T2187-V2187</f>
        <v>0</v>
      </c>
      <c r="X2187" s="10" t="s">
        <v>1136</v>
      </c>
      <c r="Y2187" s="10"/>
      <c r="Z2187" s="10"/>
      <c r="AA2187" s="10"/>
      <c r="AB2187" s="10"/>
      <c r="AC2187" s="10"/>
      <c r="AD2187" s="10"/>
      <c r="AE2187" s="10"/>
    </row>
    <row r="2188" spans="1:31" hidden="1">
      <c r="A2188" s="277" t="s">
        <v>6283</v>
      </c>
      <c r="B2188" s="9" t="s">
        <v>21</v>
      </c>
      <c r="C2188" s="9">
        <v>2024</v>
      </c>
      <c r="D2188" s="9" t="s">
        <v>27</v>
      </c>
      <c r="E2188" s="90" t="s">
        <v>1011</v>
      </c>
      <c r="F2188" s="9" t="s">
        <v>1013</v>
      </c>
      <c r="G2188" s="10"/>
      <c r="H2188" s="9"/>
      <c r="I2188" s="109" t="s">
        <v>862</v>
      </c>
      <c r="J2188" s="115">
        <v>45671</v>
      </c>
      <c r="K2188" s="115">
        <v>45671</v>
      </c>
      <c r="L2188" s="116">
        <v>40071600</v>
      </c>
      <c r="M2188" s="117" t="s">
        <v>1137</v>
      </c>
      <c r="N2188" s="34" t="s">
        <v>29</v>
      </c>
      <c r="O2188" s="11"/>
      <c r="P2188" s="113">
        <v>45938</v>
      </c>
      <c r="Q2188" s="113">
        <v>45938</v>
      </c>
      <c r="R2188" s="113">
        <v>45938</v>
      </c>
      <c r="S2188" s="37">
        <f t="shared" ref="S2188:S2195" si="460">IF(R2188="",0,L2188)</f>
        <v>40071600</v>
      </c>
      <c r="T2188" s="37">
        <f t="shared" ref="T2188:T2195" si="461">L2188-S2188</f>
        <v>0</v>
      </c>
      <c r="U2188" s="10"/>
      <c r="V2188" s="10"/>
      <c r="W2188" s="10"/>
      <c r="X2188" s="10" t="s">
        <v>1136</v>
      </c>
      <c r="Y2188" s="10"/>
      <c r="Z2188" s="10"/>
      <c r="AA2188" s="10"/>
      <c r="AB2188" s="10"/>
      <c r="AC2188" s="10"/>
      <c r="AD2188" s="10"/>
      <c r="AE2188" s="10"/>
    </row>
    <row r="2189" spans="1:31" hidden="1">
      <c r="A2189" s="277" t="s">
        <v>6284</v>
      </c>
      <c r="B2189" s="9" t="s">
        <v>21</v>
      </c>
      <c r="C2189" s="9">
        <v>2024</v>
      </c>
      <c r="D2189" s="9" t="s">
        <v>27</v>
      </c>
      <c r="E2189" s="90" t="s">
        <v>1011</v>
      </c>
      <c r="F2189" s="9" t="s">
        <v>1013</v>
      </c>
      <c r="G2189" s="10"/>
      <c r="H2189" s="9"/>
      <c r="I2189" s="109" t="s">
        <v>862</v>
      </c>
      <c r="J2189" s="115">
        <v>45671</v>
      </c>
      <c r="K2189" s="115">
        <v>45671</v>
      </c>
      <c r="L2189" s="116">
        <v>39664400</v>
      </c>
      <c r="M2189" s="117" t="s">
        <v>1138</v>
      </c>
      <c r="N2189" s="34" t="s">
        <v>29</v>
      </c>
      <c r="O2189" s="11"/>
      <c r="P2189" s="113">
        <v>45938</v>
      </c>
      <c r="Q2189" s="113">
        <v>45938</v>
      </c>
      <c r="R2189" s="113">
        <v>45938</v>
      </c>
      <c r="S2189" s="37">
        <f t="shared" si="460"/>
        <v>39664400</v>
      </c>
      <c r="T2189" s="37">
        <f t="shared" si="461"/>
        <v>0</v>
      </c>
      <c r="U2189" s="10"/>
      <c r="V2189" s="10"/>
      <c r="W2189" s="10"/>
      <c r="X2189" s="10" t="s">
        <v>1136</v>
      </c>
      <c r="Y2189" s="10"/>
      <c r="Z2189" s="10"/>
      <c r="AA2189" s="10"/>
      <c r="AB2189" s="10"/>
      <c r="AC2189" s="10"/>
      <c r="AD2189" s="10"/>
      <c r="AE2189" s="10"/>
    </row>
    <row r="2190" spans="1:31" hidden="1">
      <c r="A2190" s="277" t="s">
        <v>6285</v>
      </c>
      <c r="B2190" s="9" t="s">
        <v>21</v>
      </c>
      <c r="C2190" s="9">
        <v>2024</v>
      </c>
      <c r="D2190" s="9" t="s">
        <v>27</v>
      </c>
      <c r="E2190" s="90" t="s">
        <v>1011</v>
      </c>
      <c r="F2190" s="9" t="s">
        <v>1013</v>
      </c>
      <c r="G2190" s="10"/>
      <c r="H2190" s="9"/>
      <c r="I2190" s="109" t="s">
        <v>862</v>
      </c>
      <c r="J2190" s="115">
        <v>45671</v>
      </c>
      <c r="K2190" s="115">
        <v>45671</v>
      </c>
      <c r="L2190" s="116">
        <v>38436300</v>
      </c>
      <c r="M2190" s="117" t="s">
        <v>1139</v>
      </c>
      <c r="N2190" s="34" t="s">
        <v>29</v>
      </c>
      <c r="O2190" s="11"/>
      <c r="P2190" s="113">
        <v>45952</v>
      </c>
      <c r="Q2190" s="113">
        <v>45952</v>
      </c>
      <c r="R2190" s="113">
        <v>45952</v>
      </c>
      <c r="S2190" s="37">
        <f t="shared" si="460"/>
        <v>38436300</v>
      </c>
      <c r="T2190" s="37">
        <f t="shared" si="461"/>
        <v>0</v>
      </c>
      <c r="U2190" s="10"/>
      <c r="V2190" s="10"/>
      <c r="W2190" s="10"/>
      <c r="X2190" s="10"/>
      <c r="Y2190" s="10"/>
      <c r="Z2190" s="10"/>
      <c r="AA2190" s="10"/>
      <c r="AB2190" s="10"/>
      <c r="AC2190" s="10"/>
      <c r="AD2190" s="10"/>
      <c r="AE2190" s="10"/>
    </row>
    <row r="2191" spans="1:31" hidden="1">
      <c r="A2191" s="277" t="s">
        <v>6286</v>
      </c>
      <c r="B2191" s="9" t="s">
        <v>21</v>
      </c>
      <c r="C2191" s="9">
        <v>2024</v>
      </c>
      <c r="D2191" s="9" t="s">
        <v>27</v>
      </c>
      <c r="E2191" s="90" t="s">
        <v>1011</v>
      </c>
      <c r="F2191" s="9" t="s">
        <v>1013</v>
      </c>
      <c r="G2191" s="10"/>
      <c r="H2191" s="9"/>
      <c r="I2191" s="109" t="s">
        <v>862</v>
      </c>
      <c r="J2191" s="115">
        <v>45694</v>
      </c>
      <c r="K2191" s="115">
        <v>45694</v>
      </c>
      <c r="L2191" s="116">
        <v>39519800</v>
      </c>
      <c r="M2191" s="117" t="s">
        <v>1140</v>
      </c>
      <c r="N2191" s="34" t="s">
        <v>29</v>
      </c>
      <c r="O2191" s="11"/>
      <c r="P2191" s="113">
        <v>45982</v>
      </c>
      <c r="Q2191" s="113">
        <v>45982</v>
      </c>
      <c r="R2191" s="113">
        <v>45982</v>
      </c>
      <c r="S2191" s="37">
        <f t="shared" si="460"/>
        <v>39519800</v>
      </c>
      <c r="T2191" s="37">
        <f t="shared" si="461"/>
        <v>0</v>
      </c>
      <c r="U2191" s="10"/>
      <c r="V2191" s="10"/>
      <c r="W2191" s="10"/>
      <c r="X2191" s="10" t="s">
        <v>1136</v>
      </c>
      <c r="Y2191" s="10"/>
      <c r="Z2191" s="10"/>
      <c r="AA2191" s="10"/>
      <c r="AB2191" s="10"/>
      <c r="AC2191" s="10"/>
      <c r="AD2191" s="10"/>
      <c r="AE2191" s="10"/>
    </row>
    <row r="2192" spans="1:31" hidden="1">
      <c r="A2192" s="277" t="s">
        <v>6287</v>
      </c>
      <c r="B2192" s="9" t="s">
        <v>21</v>
      </c>
      <c r="C2192" s="9">
        <v>2025</v>
      </c>
      <c r="D2192" s="9" t="s">
        <v>27</v>
      </c>
      <c r="E2192" s="90" t="s">
        <v>1011</v>
      </c>
      <c r="F2192" s="9" t="s">
        <v>1013</v>
      </c>
      <c r="G2192" s="10"/>
      <c r="H2192" s="9"/>
      <c r="I2192" s="109" t="s">
        <v>862</v>
      </c>
      <c r="J2192" s="115">
        <v>45825</v>
      </c>
      <c r="K2192" s="115">
        <v>45825</v>
      </c>
      <c r="L2192" s="116">
        <v>34785900</v>
      </c>
      <c r="M2192" s="117" t="s">
        <v>1141</v>
      </c>
      <c r="N2192" s="34" t="s">
        <v>29</v>
      </c>
      <c r="O2192" s="11"/>
      <c r="P2192" s="113">
        <v>46002</v>
      </c>
      <c r="Q2192" s="113">
        <v>46002</v>
      </c>
      <c r="R2192" s="113">
        <v>46002</v>
      </c>
      <c r="S2192" s="37">
        <f t="shared" si="460"/>
        <v>34785900</v>
      </c>
      <c r="T2192" s="37">
        <f t="shared" si="461"/>
        <v>0</v>
      </c>
      <c r="U2192" s="10"/>
      <c r="V2192" s="10"/>
      <c r="W2192" s="10"/>
      <c r="X2192" s="10"/>
      <c r="Y2192" s="10"/>
      <c r="Z2192" s="10"/>
      <c r="AA2192" s="10"/>
      <c r="AB2192" s="10"/>
      <c r="AC2192" s="10"/>
      <c r="AD2192" s="10"/>
      <c r="AE2192" s="10"/>
    </row>
    <row r="2193" spans="1:31" hidden="1">
      <c r="A2193" s="277" t="s">
        <v>6288</v>
      </c>
      <c r="B2193" s="9" t="s">
        <v>21</v>
      </c>
      <c r="C2193" s="9">
        <v>2025</v>
      </c>
      <c r="D2193" s="9" t="s">
        <v>27</v>
      </c>
      <c r="E2193" s="90" t="s">
        <v>1011</v>
      </c>
      <c r="F2193" s="9" t="s">
        <v>1013</v>
      </c>
      <c r="G2193" s="10"/>
      <c r="H2193" s="9"/>
      <c r="I2193" s="109" t="s">
        <v>862</v>
      </c>
      <c r="J2193" s="115">
        <v>45825</v>
      </c>
      <c r="K2193" s="115">
        <v>45825</v>
      </c>
      <c r="L2193" s="116">
        <v>33619400</v>
      </c>
      <c r="M2193" s="117" t="s">
        <v>1142</v>
      </c>
      <c r="N2193" s="34" t="s">
        <v>29</v>
      </c>
      <c r="O2193" s="11"/>
      <c r="P2193" s="113">
        <v>46024</v>
      </c>
      <c r="Q2193" s="113">
        <v>46024</v>
      </c>
      <c r="R2193" s="113">
        <v>46024</v>
      </c>
      <c r="S2193" s="37">
        <f t="shared" si="460"/>
        <v>33619400</v>
      </c>
      <c r="T2193" s="37">
        <f t="shared" si="461"/>
        <v>0</v>
      </c>
      <c r="U2193" s="10"/>
      <c r="V2193" s="10"/>
      <c r="W2193" s="10"/>
      <c r="X2193" s="10"/>
      <c r="Y2193" s="10"/>
      <c r="Z2193" s="10"/>
      <c r="AA2193" s="10"/>
      <c r="AB2193" s="10"/>
      <c r="AC2193" s="10"/>
      <c r="AD2193" s="10"/>
      <c r="AE2193" s="10"/>
    </row>
    <row r="2194" spans="1:31" hidden="1">
      <c r="A2194" s="277" t="s">
        <v>6289</v>
      </c>
      <c r="B2194" s="9" t="s">
        <v>21</v>
      </c>
      <c r="C2194" s="9">
        <v>2025</v>
      </c>
      <c r="D2194" s="9" t="s">
        <v>27</v>
      </c>
      <c r="E2194" s="90" t="s">
        <v>1011</v>
      </c>
      <c r="F2194" s="9" t="s">
        <v>1013</v>
      </c>
      <c r="G2194" s="10"/>
      <c r="H2194" s="9"/>
      <c r="I2194" s="109" t="s">
        <v>862</v>
      </c>
      <c r="J2194" s="115">
        <v>45825</v>
      </c>
      <c r="K2194" s="115">
        <v>45825</v>
      </c>
      <c r="L2194" s="116">
        <v>25432500</v>
      </c>
      <c r="M2194" s="117" t="s">
        <v>1143</v>
      </c>
      <c r="N2194" s="34" t="s">
        <v>29</v>
      </c>
      <c r="O2194" s="11"/>
      <c r="P2194" s="113">
        <v>46035</v>
      </c>
      <c r="Q2194" s="113">
        <v>46035</v>
      </c>
      <c r="R2194" s="113">
        <v>46035</v>
      </c>
      <c r="S2194" s="37">
        <f t="shared" si="460"/>
        <v>25432500</v>
      </c>
      <c r="T2194" s="37">
        <f t="shared" si="461"/>
        <v>0</v>
      </c>
      <c r="U2194" s="10"/>
      <c r="V2194" s="10"/>
      <c r="W2194" s="10"/>
      <c r="X2194" s="10"/>
      <c r="Y2194" s="10"/>
      <c r="Z2194" s="10"/>
      <c r="AA2194" s="10"/>
      <c r="AB2194" s="10"/>
      <c r="AC2194" s="10"/>
      <c r="AD2194" s="10"/>
      <c r="AE2194" s="10"/>
    </row>
    <row r="2195" spans="1:31" hidden="1">
      <c r="A2195" s="277" t="s">
        <v>6290</v>
      </c>
      <c r="B2195" s="9" t="s">
        <v>21</v>
      </c>
      <c r="C2195" s="9">
        <v>2025</v>
      </c>
      <c r="D2195" s="9" t="s">
        <v>27</v>
      </c>
      <c r="E2195" s="90" t="s">
        <v>1011</v>
      </c>
      <c r="F2195" s="9" t="s">
        <v>1013</v>
      </c>
      <c r="G2195" s="10"/>
      <c r="H2195" s="9"/>
      <c r="I2195" s="109" t="s">
        <v>862</v>
      </c>
      <c r="J2195" s="115">
        <v>45825</v>
      </c>
      <c r="K2195" s="115">
        <v>45825</v>
      </c>
      <c r="L2195" s="116">
        <v>31802100</v>
      </c>
      <c r="M2195" s="117" t="s">
        <v>1144</v>
      </c>
      <c r="N2195" s="34" t="s">
        <v>29</v>
      </c>
      <c r="O2195" s="11"/>
      <c r="P2195" s="113">
        <v>46053</v>
      </c>
      <c r="Q2195" s="113">
        <v>46053</v>
      </c>
      <c r="R2195" s="113">
        <v>46053</v>
      </c>
      <c r="S2195" s="37">
        <f t="shared" si="460"/>
        <v>31802100</v>
      </c>
      <c r="T2195" s="37">
        <f t="shared" si="461"/>
        <v>0</v>
      </c>
      <c r="U2195" s="10"/>
      <c r="V2195" s="10"/>
      <c r="W2195" s="10"/>
      <c r="X2195" s="10"/>
      <c r="Y2195" s="10"/>
      <c r="Z2195" s="10"/>
      <c r="AA2195" s="10"/>
      <c r="AB2195" s="10"/>
      <c r="AC2195" s="10"/>
      <c r="AD2195" s="10"/>
      <c r="AE2195" s="10"/>
    </row>
    <row r="2196" spans="1:31" hidden="1">
      <c r="A2196" s="277" t="s">
        <v>6291</v>
      </c>
      <c r="B2196" s="9" t="s">
        <v>21</v>
      </c>
      <c r="C2196" s="9">
        <v>2025</v>
      </c>
      <c r="D2196" s="9" t="s">
        <v>27</v>
      </c>
      <c r="E2196" s="90" t="s">
        <v>1011</v>
      </c>
      <c r="F2196" s="9" t="s">
        <v>1013</v>
      </c>
      <c r="G2196" s="10"/>
      <c r="H2196" s="9"/>
      <c r="I2196" s="109" t="s">
        <v>862</v>
      </c>
      <c r="J2196" s="115">
        <v>45915</v>
      </c>
      <c r="K2196" s="115">
        <v>45916</v>
      </c>
      <c r="L2196" s="116">
        <v>30922700</v>
      </c>
      <c r="M2196" s="117" t="s">
        <v>1145</v>
      </c>
      <c r="N2196" s="34" t="s">
        <v>29</v>
      </c>
      <c r="O2196" s="11"/>
      <c r="P2196" s="113">
        <v>46077</v>
      </c>
      <c r="Q2196" s="113">
        <v>46077</v>
      </c>
      <c r="R2196" s="113">
        <v>46077</v>
      </c>
      <c r="S2196" s="37">
        <f t="shared" ref="S2196:S2203" si="462">IF(R2196="",0,L2196)</f>
        <v>30922700</v>
      </c>
      <c r="T2196" s="37">
        <f t="shared" ref="T2196:T2203" si="463">L2196-S2196</f>
        <v>0</v>
      </c>
      <c r="U2196" s="10"/>
      <c r="V2196" s="10"/>
      <c r="W2196" s="10"/>
      <c r="X2196" s="10"/>
      <c r="Y2196" s="10"/>
      <c r="Z2196" s="10"/>
      <c r="AA2196" s="10"/>
      <c r="AB2196" s="10"/>
      <c r="AC2196" s="10"/>
      <c r="AD2196" s="10"/>
      <c r="AE2196" s="10"/>
    </row>
    <row r="2197" spans="1:31" hidden="1">
      <c r="A2197" s="277" t="s">
        <v>6292</v>
      </c>
      <c r="B2197" s="9" t="s">
        <v>21</v>
      </c>
      <c r="C2197" s="9">
        <v>2025</v>
      </c>
      <c r="D2197" s="9" t="s">
        <v>27</v>
      </c>
      <c r="E2197" s="90" t="s">
        <v>1011</v>
      </c>
      <c r="F2197" s="9" t="s">
        <v>1013</v>
      </c>
      <c r="G2197" s="10"/>
      <c r="H2197" s="9"/>
      <c r="I2197" s="109" t="s">
        <v>862</v>
      </c>
      <c r="J2197" s="115">
        <v>45915</v>
      </c>
      <c r="K2197" s="115">
        <v>45916</v>
      </c>
      <c r="L2197" s="270">
        <f>31796600/2</f>
        <v>15898300</v>
      </c>
      <c r="M2197" s="271" t="s">
        <v>4418</v>
      </c>
      <c r="N2197" s="34" t="s">
        <v>29</v>
      </c>
      <c r="O2197" s="11"/>
      <c r="P2197" s="113">
        <v>46088</v>
      </c>
      <c r="Q2197" s="113">
        <v>46088</v>
      </c>
      <c r="R2197" s="113">
        <v>46088</v>
      </c>
      <c r="S2197" s="37">
        <f t="shared" si="462"/>
        <v>15898300</v>
      </c>
      <c r="T2197" s="37">
        <f t="shared" si="463"/>
        <v>0</v>
      </c>
      <c r="U2197" s="10"/>
      <c r="V2197" s="10"/>
      <c r="W2197" s="10"/>
      <c r="X2197" s="10"/>
      <c r="Y2197" s="10"/>
      <c r="Z2197" s="10"/>
      <c r="AA2197" s="10"/>
      <c r="AB2197" s="10"/>
      <c r="AC2197" s="10"/>
      <c r="AD2197" s="10"/>
      <c r="AE2197" s="10"/>
    </row>
    <row r="2198" spans="1:31" hidden="1">
      <c r="A2198" s="277" t="s">
        <v>6293</v>
      </c>
      <c r="B2198" s="9" t="s">
        <v>21</v>
      </c>
      <c r="C2198" s="9">
        <v>2025</v>
      </c>
      <c r="D2198" s="9" t="s">
        <v>27</v>
      </c>
      <c r="E2198" s="90" t="s">
        <v>1011</v>
      </c>
      <c r="F2198" s="9" t="s">
        <v>1013</v>
      </c>
      <c r="G2198" s="10"/>
      <c r="H2198" s="9"/>
      <c r="I2198" s="109" t="s">
        <v>862</v>
      </c>
      <c r="J2198" s="115">
        <v>45915</v>
      </c>
      <c r="K2198" s="115">
        <v>45916</v>
      </c>
      <c r="L2198" s="270">
        <f>31796600/2</f>
        <v>15898300</v>
      </c>
      <c r="M2198" s="271" t="s">
        <v>4419</v>
      </c>
      <c r="N2198" s="34" t="s">
        <v>29</v>
      </c>
      <c r="O2198" s="31">
        <f>SUM(L2198:L2199)</f>
        <v>48172200</v>
      </c>
      <c r="P2198" s="113">
        <v>46111</v>
      </c>
      <c r="Q2198" s="113">
        <v>46111</v>
      </c>
      <c r="R2198" s="113">
        <v>46111</v>
      </c>
      <c r="S2198" s="37">
        <f t="shared" si="462"/>
        <v>15898300</v>
      </c>
      <c r="T2198" s="37">
        <f t="shared" si="463"/>
        <v>0</v>
      </c>
      <c r="U2198" s="10"/>
      <c r="V2198" s="10"/>
      <c r="W2198" s="10"/>
      <c r="X2198" s="10"/>
      <c r="Y2198" s="10"/>
      <c r="Z2198" s="10"/>
      <c r="AA2198" s="10"/>
      <c r="AB2198" s="10"/>
      <c r="AC2198" s="10"/>
      <c r="AD2198" s="10"/>
      <c r="AE2198" s="10"/>
    </row>
    <row r="2199" spans="1:31" hidden="1">
      <c r="A2199" s="277" t="s">
        <v>6294</v>
      </c>
      <c r="B2199" s="9" t="s">
        <v>21</v>
      </c>
      <c r="C2199" s="9">
        <v>2025</v>
      </c>
      <c r="D2199" s="9" t="s">
        <v>27</v>
      </c>
      <c r="E2199" s="90" t="s">
        <v>1011</v>
      </c>
      <c r="F2199" s="9" t="s">
        <v>1013</v>
      </c>
      <c r="G2199" s="10"/>
      <c r="H2199" s="9"/>
      <c r="I2199" s="109" t="s">
        <v>862</v>
      </c>
      <c r="J2199" s="115">
        <v>45915</v>
      </c>
      <c r="K2199" s="115">
        <v>45916</v>
      </c>
      <c r="L2199" s="116">
        <v>32273900</v>
      </c>
      <c r="M2199" s="117" t="s">
        <v>1146</v>
      </c>
      <c r="N2199" s="34" t="s">
        <v>29</v>
      </c>
      <c r="O2199" s="11"/>
      <c r="P2199" s="113">
        <v>46111</v>
      </c>
      <c r="Q2199" s="113">
        <v>46111</v>
      </c>
      <c r="R2199" s="113">
        <v>46111</v>
      </c>
      <c r="S2199" s="37">
        <f t="shared" si="462"/>
        <v>32273900</v>
      </c>
      <c r="T2199" s="37">
        <f t="shared" si="463"/>
        <v>0</v>
      </c>
      <c r="U2199" s="10"/>
      <c r="V2199" s="10"/>
      <c r="W2199" s="10"/>
      <c r="X2199" s="10"/>
      <c r="Y2199" s="10"/>
      <c r="Z2199" s="10"/>
      <c r="AA2199" s="10"/>
      <c r="AB2199" s="10"/>
      <c r="AC2199" s="10"/>
      <c r="AD2199" s="10"/>
      <c r="AE2199" s="10"/>
    </row>
    <row r="2200" spans="1:31" hidden="1">
      <c r="A2200" s="277" t="s">
        <v>6295</v>
      </c>
      <c r="B2200" s="9" t="s">
        <v>21</v>
      </c>
      <c r="C2200" s="9">
        <v>2025</v>
      </c>
      <c r="D2200" s="9" t="s">
        <v>27</v>
      </c>
      <c r="E2200" s="90" t="s">
        <v>1011</v>
      </c>
      <c r="F2200" s="9" t="s">
        <v>1013</v>
      </c>
      <c r="G2200" s="10"/>
      <c r="H2200" s="9"/>
      <c r="I2200" s="109" t="s">
        <v>862</v>
      </c>
      <c r="J2200" s="115">
        <v>46014</v>
      </c>
      <c r="K2200" s="115">
        <v>46014</v>
      </c>
      <c r="L2200" s="116">
        <v>33676100</v>
      </c>
      <c r="M2200" s="117" t="s">
        <v>4163</v>
      </c>
      <c r="N2200" s="34" t="s">
        <v>29</v>
      </c>
      <c r="O2200" s="11"/>
      <c r="P2200" s="113">
        <v>46124</v>
      </c>
      <c r="Q2200" s="113">
        <v>46124</v>
      </c>
      <c r="R2200" s="113">
        <v>46124</v>
      </c>
      <c r="S2200" s="37">
        <f t="shared" si="462"/>
        <v>33676100</v>
      </c>
      <c r="T2200" s="37">
        <f t="shared" si="463"/>
        <v>0</v>
      </c>
      <c r="U2200" s="10"/>
      <c r="V2200" s="10"/>
      <c r="W2200" s="10"/>
      <c r="X2200" s="10"/>
      <c r="Y2200" s="10"/>
      <c r="Z2200" s="10"/>
      <c r="AA2200" s="10"/>
      <c r="AB2200" s="10"/>
      <c r="AC2200" s="10"/>
      <c r="AD2200" s="10"/>
      <c r="AE2200" s="10"/>
    </row>
    <row r="2201" spans="1:31" hidden="1">
      <c r="A2201" s="277" t="s">
        <v>6296</v>
      </c>
      <c r="B2201" s="9" t="s">
        <v>21</v>
      </c>
      <c r="C2201" s="9">
        <v>2025</v>
      </c>
      <c r="D2201" s="9" t="s">
        <v>27</v>
      </c>
      <c r="E2201" s="90" t="s">
        <v>1011</v>
      </c>
      <c r="F2201" s="9" t="s">
        <v>1013</v>
      </c>
      <c r="G2201" s="10"/>
      <c r="H2201" s="9"/>
      <c r="I2201" s="109" t="s">
        <v>862</v>
      </c>
      <c r="J2201" s="115">
        <v>46014</v>
      </c>
      <c r="K2201" s="115">
        <v>46014</v>
      </c>
      <c r="L2201" s="116">
        <v>33676100</v>
      </c>
      <c r="M2201" s="117" t="s">
        <v>7094</v>
      </c>
      <c r="N2201" s="34" t="s">
        <v>29</v>
      </c>
      <c r="O2201" s="11"/>
      <c r="P2201" s="113">
        <v>46176</v>
      </c>
      <c r="Q2201" s="113">
        <v>46176</v>
      </c>
      <c r="R2201" s="113">
        <v>46176</v>
      </c>
      <c r="S2201" s="37">
        <f t="shared" ref="S2201" si="464">IF(R2201="",0,L2201)</f>
        <v>33676100</v>
      </c>
      <c r="T2201" s="37">
        <f t="shared" ref="T2201" si="465">L2201-S2201</f>
        <v>0</v>
      </c>
      <c r="U2201" s="10"/>
      <c r="V2201" s="10"/>
      <c r="W2201" s="10"/>
      <c r="X2201" s="10"/>
      <c r="Y2201" s="10"/>
      <c r="Z2201" s="10"/>
      <c r="AA2201" s="10"/>
      <c r="AB2201" s="10"/>
      <c r="AC2201" s="10"/>
      <c r="AD2201" s="10"/>
      <c r="AE2201" s="10"/>
    </row>
    <row r="2202" spans="1:31" ht="14.25" customHeight="1">
      <c r="A2202" s="277" t="s">
        <v>6297</v>
      </c>
      <c r="B2202" s="9" t="s">
        <v>21</v>
      </c>
      <c r="C2202" s="9">
        <v>2025</v>
      </c>
      <c r="D2202" s="9" t="s">
        <v>27</v>
      </c>
      <c r="E2202" s="90" t="s">
        <v>1011</v>
      </c>
      <c r="F2202" s="9" t="s">
        <v>1013</v>
      </c>
      <c r="G2202" s="10"/>
      <c r="H2202" s="9"/>
      <c r="I2202" s="109" t="s">
        <v>862</v>
      </c>
      <c r="J2202" s="115">
        <v>46014</v>
      </c>
      <c r="K2202" s="115">
        <v>46014</v>
      </c>
      <c r="L2202" s="116">
        <f>37084800-33676100</f>
        <v>3408700</v>
      </c>
      <c r="M2202" s="117" t="s">
        <v>7095</v>
      </c>
      <c r="N2202" s="34" t="s">
        <v>29</v>
      </c>
      <c r="O2202" s="11"/>
      <c r="P2202" s="113">
        <v>46181</v>
      </c>
      <c r="Q2202" s="113">
        <v>46181</v>
      </c>
      <c r="R2202" s="113">
        <v>46181</v>
      </c>
      <c r="S2202" s="37">
        <f t="shared" si="462"/>
        <v>3408700</v>
      </c>
      <c r="T2202" s="37">
        <f t="shared" si="463"/>
        <v>0</v>
      </c>
      <c r="U2202" s="10"/>
      <c r="V2202" s="10"/>
      <c r="W2202" s="10"/>
      <c r="X2202" s="10"/>
      <c r="Y2202" s="10"/>
      <c r="Z2202" s="10"/>
      <c r="AA2202" s="10"/>
      <c r="AB2202" s="10"/>
      <c r="AC2202" s="10"/>
      <c r="AD2202" s="10"/>
      <c r="AE2202" s="10"/>
    </row>
    <row r="2203" spans="1:31" ht="14.25" customHeight="1">
      <c r="A2203" s="277" t="s">
        <v>6298</v>
      </c>
      <c r="B2203" s="9" t="s">
        <v>21</v>
      </c>
      <c r="C2203" s="9">
        <v>2025</v>
      </c>
      <c r="D2203" s="9" t="s">
        <v>27</v>
      </c>
      <c r="E2203" s="90" t="s">
        <v>1011</v>
      </c>
      <c r="F2203" s="9" t="s">
        <v>1013</v>
      </c>
      <c r="G2203" s="10"/>
      <c r="H2203" s="9"/>
      <c r="I2203" s="109" t="s">
        <v>862</v>
      </c>
      <c r="J2203" s="115">
        <v>46014</v>
      </c>
      <c r="K2203" s="115">
        <v>46014</v>
      </c>
      <c r="L2203" s="116">
        <v>36046000</v>
      </c>
      <c r="M2203" s="117" t="s">
        <v>4164</v>
      </c>
      <c r="N2203" s="34" t="s">
        <v>29</v>
      </c>
      <c r="O2203" s="11"/>
      <c r="P2203" s="113">
        <v>46198</v>
      </c>
      <c r="Q2203" s="113">
        <v>46198</v>
      </c>
      <c r="R2203" s="113">
        <v>46198</v>
      </c>
      <c r="S2203" s="37">
        <f t="shared" si="462"/>
        <v>36046000</v>
      </c>
      <c r="T2203" s="37">
        <f t="shared" si="463"/>
        <v>0</v>
      </c>
      <c r="U2203" s="10"/>
      <c r="V2203" s="10"/>
      <c r="W2203" s="10"/>
      <c r="X2203" s="10"/>
      <c r="Y2203" s="10"/>
      <c r="Z2203" s="10"/>
      <c r="AA2203" s="10"/>
      <c r="AB2203" s="10"/>
      <c r="AC2203" s="10"/>
      <c r="AD2203" s="10"/>
      <c r="AE2203" s="10"/>
    </row>
    <row r="2204" spans="1:31" ht="14.25" customHeight="1">
      <c r="A2204" s="277" t="s">
        <v>6299</v>
      </c>
      <c r="B2204" s="9" t="s">
        <v>21</v>
      </c>
      <c r="C2204" s="9">
        <v>2025</v>
      </c>
      <c r="D2204" s="9" t="s">
        <v>27</v>
      </c>
      <c r="E2204" s="90" t="s">
        <v>1011</v>
      </c>
      <c r="F2204" s="9" t="s">
        <v>1013</v>
      </c>
      <c r="G2204" s="10"/>
      <c r="H2204" s="9"/>
      <c r="I2204" s="109" t="s">
        <v>862</v>
      </c>
      <c r="J2204" s="115">
        <v>46084</v>
      </c>
      <c r="K2204" s="115">
        <v>46084</v>
      </c>
      <c r="L2204" s="116">
        <v>30363200</v>
      </c>
      <c r="M2204" s="117" t="s">
        <v>4422</v>
      </c>
      <c r="N2204" s="34" t="s">
        <v>29</v>
      </c>
      <c r="O2204" s="11"/>
      <c r="P2204" s="113">
        <v>46228</v>
      </c>
      <c r="Q2204" s="113">
        <v>46228</v>
      </c>
      <c r="R2204" s="113">
        <v>46228</v>
      </c>
      <c r="S2204" s="37">
        <f>IF(R2204="",0,L2204)</f>
        <v>30363200</v>
      </c>
      <c r="T2204" s="37">
        <f>L2204-S2204</f>
        <v>0</v>
      </c>
      <c r="U2204" s="10"/>
      <c r="V2204" s="10"/>
      <c r="W2204" s="10"/>
      <c r="X2204" s="10"/>
      <c r="Y2204" s="10"/>
      <c r="Z2204" s="10"/>
      <c r="AA2204" s="10"/>
      <c r="AB2204" s="10"/>
      <c r="AC2204" s="10"/>
      <c r="AD2204" s="10"/>
      <c r="AE2204" s="10"/>
    </row>
    <row r="2205" spans="1:31" ht="14.25" customHeight="1">
      <c r="A2205" s="277" t="s">
        <v>6300</v>
      </c>
      <c r="B2205" s="9" t="s">
        <v>21</v>
      </c>
      <c r="C2205" s="9">
        <v>2025</v>
      </c>
      <c r="D2205" s="9" t="s">
        <v>77</v>
      </c>
      <c r="E2205" s="90" t="s">
        <v>1011</v>
      </c>
      <c r="F2205" s="9" t="s">
        <v>1013</v>
      </c>
      <c r="G2205" s="10"/>
      <c r="H2205" s="9"/>
      <c r="I2205" s="11" t="s">
        <v>862</v>
      </c>
      <c r="J2205" s="12">
        <v>46084</v>
      </c>
      <c r="K2205" s="12">
        <v>46084</v>
      </c>
      <c r="L2205" s="27">
        <v>30413000</v>
      </c>
      <c r="M2205" s="10" t="s">
        <v>4423</v>
      </c>
      <c r="N2205" s="34">
        <f t="shared" ref="N2205:N2210" ca="1" si="466">$J$3-J2205</f>
        <v>156.46377638888953</v>
      </c>
      <c r="O2205" s="11"/>
      <c r="P2205" s="39"/>
      <c r="Q2205" s="39"/>
      <c r="R2205" s="39"/>
      <c r="S2205" s="37">
        <f>IF(R2205="",0,L2205)</f>
        <v>0</v>
      </c>
      <c r="T2205" s="37">
        <f>L2205-S2205</f>
        <v>30413000</v>
      </c>
      <c r="U2205" s="10"/>
      <c r="V2205" s="10"/>
      <c r="W2205" s="10"/>
      <c r="X2205" s="10"/>
      <c r="Y2205" s="10"/>
      <c r="Z2205" s="10"/>
      <c r="AA2205" s="10"/>
      <c r="AB2205" s="10"/>
      <c r="AC2205" s="10"/>
      <c r="AD2205" s="10"/>
      <c r="AE2205" s="10"/>
    </row>
    <row r="2206" spans="1:31" ht="14.25" customHeight="1">
      <c r="A2206" s="277" t="s">
        <v>6301</v>
      </c>
      <c r="B2206" s="9" t="s">
        <v>21</v>
      </c>
      <c r="C2206" s="9">
        <v>2026</v>
      </c>
      <c r="D2206" s="9" t="s">
        <v>77</v>
      </c>
      <c r="E2206" s="90" t="s">
        <v>1011</v>
      </c>
      <c r="F2206" s="9" t="s">
        <v>1013</v>
      </c>
      <c r="G2206" s="10"/>
      <c r="H2206" s="9"/>
      <c r="I2206" s="11" t="s">
        <v>862</v>
      </c>
      <c r="J2206" s="12">
        <v>46084</v>
      </c>
      <c r="K2206" s="12">
        <v>46084</v>
      </c>
      <c r="L2206" s="27">
        <v>33609900</v>
      </c>
      <c r="M2206" s="10" t="s">
        <v>4424</v>
      </c>
      <c r="N2206" s="34">
        <f t="shared" ca="1" si="466"/>
        <v>156.46377638888953</v>
      </c>
      <c r="O2206" s="11"/>
      <c r="P2206" s="39"/>
      <c r="Q2206" s="39"/>
      <c r="R2206" s="39"/>
      <c r="S2206" s="37">
        <f>IF(R2206="",0,L2206)</f>
        <v>0</v>
      </c>
      <c r="T2206" s="37">
        <f>L2206-S2206</f>
        <v>33609900</v>
      </c>
      <c r="U2206" s="10"/>
      <c r="V2206" s="10"/>
      <c r="W2206" s="10"/>
      <c r="X2206" s="10"/>
      <c r="Y2206" s="10"/>
      <c r="Z2206" s="10"/>
      <c r="AA2206" s="10"/>
      <c r="AB2206" s="10"/>
      <c r="AC2206" s="10"/>
      <c r="AD2206" s="10"/>
      <c r="AE2206" s="10"/>
    </row>
    <row r="2207" spans="1:31" ht="14.25" customHeight="1">
      <c r="A2207" s="277" t="s">
        <v>6302</v>
      </c>
      <c r="B2207" s="9" t="s">
        <v>21</v>
      </c>
      <c r="C2207" s="9">
        <v>2026</v>
      </c>
      <c r="D2207" s="9" t="s">
        <v>77</v>
      </c>
      <c r="E2207" s="90" t="s">
        <v>1011</v>
      </c>
      <c r="F2207" s="9" t="s">
        <v>1013</v>
      </c>
      <c r="G2207" s="10"/>
      <c r="H2207" s="9"/>
      <c r="I2207" s="11" t="s">
        <v>862</v>
      </c>
      <c r="J2207" s="12">
        <v>46210</v>
      </c>
      <c r="K2207" s="12">
        <v>46210</v>
      </c>
      <c r="L2207" s="27">
        <v>23742600</v>
      </c>
      <c r="M2207" s="10" t="s">
        <v>7326</v>
      </c>
      <c r="N2207" s="34">
        <f t="shared" ca="1" si="466"/>
        <v>30.463776388889528</v>
      </c>
      <c r="O2207" s="11"/>
      <c r="P2207" s="39"/>
      <c r="Q2207" s="39"/>
      <c r="R2207" s="39"/>
      <c r="S2207" s="37">
        <f t="shared" ref="S2207:S2211" si="467">IF(R2207="",0,L2207)</f>
        <v>0</v>
      </c>
      <c r="T2207" s="37">
        <f t="shared" ref="T2207:T2211" si="468">L2207-S2207</f>
        <v>23742600</v>
      </c>
      <c r="U2207" s="10"/>
      <c r="V2207" s="10"/>
      <c r="W2207" s="10"/>
      <c r="X2207" s="10"/>
      <c r="Y2207" s="10"/>
      <c r="Z2207" s="10"/>
      <c r="AA2207" s="10"/>
      <c r="AB2207" s="10"/>
      <c r="AC2207" s="10"/>
      <c r="AD2207" s="10"/>
      <c r="AE2207" s="10"/>
    </row>
    <row r="2208" spans="1:31" ht="14.25" customHeight="1">
      <c r="A2208" s="277" t="s">
        <v>6303</v>
      </c>
      <c r="B2208" s="9" t="s">
        <v>21</v>
      </c>
      <c r="C2208" s="9">
        <v>2026</v>
      </c>
      <c r="D2208" s="9" t="s">
        <v>77</v>
      </c>
      <c r="E2208" s="90" t="s">
        <v>1011</v>
      </c>
      <c r="F2208" s="9" t="s">
        <v>1013</v>
      </c>
      <c r="G2208" s="10"/>
      <c r="H2208" s="9"/>
      <c r="I2208" s="11" t="s">
        <v>862</v>
      </c>
      <c r="J2208" s="12">
        <v>46210</v>
      </c>
      <c r="K2208" s="12">
        <v>46210</v>
      </c>
      <c r="L2208" s="27">
        <v>21190300</v>
      </c>
      <c r="M2208" s="10" t="s">
        <v>7327</v>
      </c>
      <c r="N2208" s="34">
        <f t="shared" ca="1" si="466"/>
        <v>30.463776388889528</v>
      </c>
      <c r="O2208" s="11"/>
      <c r="P2208" s="39"/>
      <c r="Q2208" s="39"/>
      <c r="R2208" s="39"/>
      <c r="S2208" s="37">
        <f t="shared" si="467"/>
        <v>0</v>
      </c>
      <c r="T2208" s="37">
        <f t="shared" si="468"/>
        <v>21190300</v>
      </c>
      <c r="U2208" s="10"/>
      <c r="V2208" s="10"/>
      <c r="W2208" s="10"/>
      <c r="X2208" s="10"/>
      <c r="Y2208" s="10"/>
      <c r="Z2208" s="10"/>
      <c r="AA2208" s="10"/>
      <c r="AB2208" s="10"/>
      <c r="AC2208" s="10"/>
      <c r="AD2208" s="10"/>
      <c r="AE2208" s="10"/>
    </row>
    <row r="2209" spans="1:31" ht="14.25" customHeight="1">
      <c r="A2209" s="277" t="s">
        <v>6304</v>
      </c>
      <c r="B2209" s="9" t="s">
        <v>21</v>
      </c>
      <c r="C2209" s="9">
        <v>2026</v>
      </c>
      <c r="D2209" s="9" t="s">
        <v>77</v>
      </c>
      <c r="E2209" s="90" t="s">
        <v>1011</v>
      </c>
      <c r="F2209" s="9" t="s">
        <v>1013</v>
      </c>
      <c r="G2209" s="10"/>
      <c r="H2209" s="9"/>
      <c r="I2209" s="11" t="s">
        <v>862</v>
      </c>
      <c r="J2209" s="12">
        <v>46210</v>
      </c>
      <c r="K2209" s="12">
        <v>46210</v>
      </c>
      <c r="L2209" s="27">
        <v>36344300</v>
      </c>
      <c r="M2209" s="10" t="s">
        <v>7328</v>
      </c>
      <c r="N2209" s="34">
        <f t="shared" ca="1" si="466"/>
        <v>30.463776388889528</v>
      </c>
      <c r="O2209" s="11"/>
      <c r="P2209" s="39"/>
      <c r="Q2209" s="39"/>
      <c r="R2209" s="39"/>
      <c r="S2209" s="37">
        <f t="shared" si="467"/>
        <v>0</v>
      </c>
      <c r="T2209" s="37">
        <f t="shared" si="468"/>
        <v>36344300</v>
      </c>
      <c r="U2209" s="10"/>
      <c r="V2209" s="10"/>
      <c r="W2209" s="10"/>
      <c r="X2209" s="10"/>
      <c r="Y2209" s="10"/>
      <c r="Z2209" s="10"/>
      <c r="AA2209" s="10"/>
      <c r="AB2209" s="10"/>
      <c r="AC2209" s="10"/>
      <c r="AD2209" s="10"/>
      <c r="AE2209" s="10"/>
    </row>
    <row r="2210" spans="1:31" ht="14.25" customHeight="1">
      <c r="A2210" s="277" t="s">
        <v>6305</v>
      </c>
      <c r="B2210" s="9" t="s">
        <v>21</v>
      </c>
      <c r="C2210" s="9">
        <v>2026</v>
      </c>
      <c r="D2210" s="9" t="s">
        <v>77</v>
      </c>
      <c r="E2210" s="90" t="s">
        <v>1011</v>
      </c>
      <c r="F2210" s="9" t="s">
        <v>1013</v>
      </c>
      <c r="G2210" s="10"/>
      <c r="H2210" s="9"/>
      <c r="I2210" s="11" t="s">
        <v>862</v>
      </c>
      <c r="J2210" s="12">
        <v>46210</v>
      </c>
      <c r="K2210" s="12">
        <v>46210</v>
      </c>
      <c r="L2210" s="27">
        <v>28482200</v>
      </c>
      <c r="M2210" s="10" t="s">
        <v>7329</v>
      </c>
      <c r="N2210" s="34">
        <f t="shared" ca="1" si="466"/>
        <v>30.463776388889528</v>
      </c>
      <c r="O2210" s="11"/>
      <c r="P2210" s="39"/>
      <c r="Q2210" s="39"/>
      <c r="R2210" s="39"/>
      <c r="S2210" s="37">
        <f t="shared" si="467"/>
        <v>0</v>
      </c>
      <c r="T2210" s="37">
        <f t="shared" si="468"/>
        <v>28482200</v>
      </c>
      <c r="U2210" s="10"/>
      <c r="V2210" s="10"/>
      <c r="W2210" s="10"/>
      <c r="X2210" s="10"/>
      <c r="Y2210" s="10"/>
      <c r="Z2210" s="10"/>
      <c r="AA2210" s="10"/>
      <c r="AB2210" s="10"/>
      <c r="AC2210" s="10"/>
      <c r="AD2210" s="10"/>
      <c r="AE2210" s="10"/>
    </row>
    <row r="2211" spans="1:31" ht="14.25" customHeight="1">
      <c r="A2211" s="277" t="s">
        <v>6306</v>
      </c>
      <c r="B2211" s="9" t="s">
        <v>21</v>
      </c>
      <c r="C2211" s="9"/>
      <c r="D2211" s="9"/>
      <c r="E2211" s="90"/>
      <c r="F2211" s="9"/>
      <c r="G2211" s="10"/>
      <c r="H2211" s="9"/>
      <c r="I2211" s="11"/>
      <c r="J2211" s="182"/>
      <c r="K2211" s="12"/>
      <c r="L2211" s="52"/>
      <c r="M2211" s="10"/>
      <c r="N2211" s="114">
        <f ca="1">$J$3-J2211</f>
        <v>46240.46377638889</v>
      </c>
      <c r="O2211" s="11"/>
      <c r="P2211" s="39"/>
      <c r="Q2211" s="39"/>
      <c r="R2211" s="39"/>
      <c r="S2211" s="37">
        <f t="shared" si="467"/>
        <v>0</v>
      </c>
      <c r="T2211" s="37">
        <f t="shared" si="468"/>
        <v>0</v>
      </c>
      <c r="U2211" s="10"/>
      <c r="V2211" s="10"/>
      <c r="W2211" s="10"/>
      <c r="X2211" s="10" t="s">
        <v>1136</v>
      </c>
      <c r="Y2211" s="10"/>
      <c r="Z2211" s="10"/>
      <c r="AA2211" s="10"/>
      <c r="AB2211" s="10"/>
      <c r="AC2211" s="10"/>
      <c r="AD2211" s="10"/>
      <c r="AE2211" s="10"/>
    </row>
    <row r="2212" spans="1:31" ht="14.25" customHeight="1">
      <c r="A2212" s="277" t="s">
        <v>6307</v>
      </c>
      <c r="B2212" s="9" t="s">
        <v>21</v>
      </c>
      <c r="C2212" s="9"/>
      <c r="D2212" s="9"/>
      <c r="E2212" s="90"/>
      <c r="F2212" s="9"/>
      <c r="G2212" s="9"/>
      <c r="H2212" s="93"/>
      <c r="I2212" s="154"/>
      <c r="J2212" s="155"/>
      <c r="K2212" s="155"/>
      <c r="L2212" s="156"/>
      <c r="M2212" s="157"/>
      <c r="N2212" s="158"/>
      <c r="O2212" s="154"/>
      <c r="P2212" s="39"/>
      <c r="Q2212" s="39"/>
      <c r="R2212" s="39"/>
      <c r="S2212" s="156"/>
      <c r="T2212" s="156"/>
      <c r="U2212" s="157"/>
      <c r="V2212" s="157"/>
      <c r="W2212" s="157"/>
      <c r="X2212" s="157"/>
      <c r="Y2212" s="157"/>
      <c r="Z2212" s="157"/>
      <c r="AA2212" s="157"/>
      <c r="AB2212" s="157"/>
      <c r="AC2212" s="157"/>
      <c r="AD2212" s="157"/>
      <c r="AE2212" s="157"/>
    </row>
    <row r="2213" spans="1:31">
      <c r="A2213" s="277" t="s">
        <v>6308</v>
      </c>
      <c r="B2213" s="9" t="s">
        <v>21</v>
      </c>
      <c r="C2213" s="9"/>
      <c r="D2213" s="9"/>
      <c r="E2213" s="90"/>
      <c r="F2213" s="9"/>
      <c r="G2213" s="94" t="s">
        <v>24</v>
      </c>
      <c r="H2213" s="95" t="s">
        <v>7012</v>
      </c>
      <c r="I2213" s="104"/>
      <c r="J2213" s="105"/>
      <c r="K2213" s="105"/>
      <c r="L2213" s="106">
        <f>SUM(L2214:L2218)</f>
        <v>4630500</v>
      </c>
      <c r="M2213" s="107"/>
      <c r="N2213" s="108" t="s">
        <v>26</v>
      </c>
      <c r="O2213" s="108"/>
      <c r="P2213" s="108"/>
      <c r="Q2213" s="108"/>
      <c r="R2213" s="108"/>
      <c r="S2213" s="106">
        <f>SUM(S2214:S2218)</f>
        <v>0</v>
      </c>
      <c r="T2213" s="106">
        <f>SUM(T2214:T2218)</f>
        <v>4630500</v>
      </c>
      <c r="U2213" s="10"/>
      <c r="V2213" s="52">
        <f>L2213-S2213</f>
        <v>4630500</v>
      </c>
      <c r="W2213" s="52">
        <f>T2213-V2213</f>
        <v>0</v>
      </c>
      <c r="X2213" s="10" t="s">
        <v>1136</v>
      </c>
      <c r="Y2213" s="10"/>
      <c r="Z2213" s="10"/>
      <c r="AA2213" s="10"/>
      <c r="AB2213" s="10"/>
      <c r="AC2213" s="10"/>
      <c r="AD2213" s="10"/>
      <c r="AE2213" s="10"/>
    </row>
    <row r="2214" spans="1:31" s="89" customFormat="1" ht="14.25" customHeight="1">
      <c r="A2214" s="277" t="s">
        <v>6309</v>
      </c>
      <c r="B2214" s="9" t="s">
        <v>21</v>
      </c>
      <c r="C2214" s="9">
        <v>2026</v>
      </c>
      <c r="D2214" s="9" t="s">
        <v>77</v>
      </c>
      <c r="E2214" s="90" t="s">
        <v>1011</v>
      </c>
      <c r="F2214" s="9" t="s">
        <v>1013</v>
      </c>
      <c r="G2214" s="9"/>
      <c r="H2214" s="11"/>
      <c r="I2214" s="11" t="s">
        <v>7012</v>
      </c>
      <c r="J2214" s="12">
        <v>46146</v>
      </c>
      <c r="K2214" s="12">
        <v>46148</v>
      </c>
      <c r="L2214" s="37">
        <v>2160000</v>
      </c>
      <c r="M2214" s="10" t="s">
        <v>7015</v>
      </c>
      <c r="N2214" s="34">
        <f t="shared" ref="N2214:N2216" ca="1" si="469">$J$3-J2214</f>
        <v>94.463776388889528</v>
      </c>
      <c r="O2214" s="11"/>
      <c r="P2214" s="39"/>
      <c r="Q2214" s="39"/>
      <c r="R2214" s="39"/>
      <c r="S2214" s="37">
        <f t="shared" ref="S2214:S2217" si="470">IF(R2214="",0,L2214)</f>
        <v>0</v>
      </c>
      <c r="T2214" s="37">
        <f t="shared" ref="T2214:T2217" si="471">L2214-S2214</f>
        <v>2160000</v>
      </c>
      <c r="U2214" s="10"/>
      <c r="V2214" s="10"/>
      <c r="W2214" s="10"/>
      <c r="X2214" s="10"/>
      <c r="Y2214" s="10"/>
      <c r="Z2214" s="10"/>
      <c r="AA2214" s="10"/>
      <c r="AB2214" s="10"/>
      <c r="AC2214" s="10"/>
      <c r="AD2214" s="10"/>
      <c r="AE2214" s="10"/>
    </row>
    <row r="2215" spans="1:31" s="89" customFormat="1" ht="14.25" customHeight="1">
      <c r="A2215" s="277" t="s">
        <v>6310</v>
      </c>
      <c r="B2215" s="9" t="s">
        <v>21</v>
      </c>
      <c r="C2215" s="9">
        <v>2026</v>
      </c>
      <c r="D2215" s="9" t="s">
        <v>77</v>
      </c>
      <c r="E2215" s="90" t="s">
        <v>1011</v>
      </c>
      <c r="F2215" s="9" t="s">
        <v>1013</v>
      </c>
      <c r="G2215" s="9"/>
      <c r="H2215" s="11"/>
      <c r="I2215" s="11" t="s">
        <v>7012</v>
      </c>
      <c r="J2215" s="12">
        <v>46185</v>
      </c>
      <c r="K2215" s="12">
        <v>46193</v>
      </c>
      <c r="L2215" s="37">
        <v>1435500</v>
      </c>
      <c r="M2215" s="10" t="s">
        <v>7151</v>
      </c>
      <c r="N2215" s="34">
        <f t="shared" ca="1" si="469"/>
        <v>55.463776388889528</v>
      </c>
      <c r="O2215" s="11"/>
      <c r="P2215" s="39"/>
      <c r="Q2215" s="39"/>
      <c r="R2215" s="39"/>
      <c r="S2215" s="37">
        <f t="shared" si="470"/>
        <v>0</v>
      </c>
      <c r="T2215" s="37">
        <f t="shared" si="471"/>
        <v>1435500</v>
      </c>
      <c r="U2215" s="10"/>
      <c r="V2215" s="10"/>
      <c r="W2215" s="10"/>
      <c r="X2215" s="10"/>
      <c r="Y2215" s="10"/>
      <c r="Z2215" s="10"/>
      <c r="AA2215" s="10"/>
      <c r="AB2215" s="10"/>
      <c r="AC2215" s="10"/>
      <c r="AD2215" s="10"/>
      <c r="AE2215" s="10"/>
    </row>
    <row r="2216" spans="1:31" s="89" customFormat="1" ht="14.25" customHeight="1">
      <c r="A2216" s="277" t="s">
        <v>6311</v>
      </c>
      <c r="B2216" s="9" t="s">
        <v>21</v>
      </c>
      <c r="C2216" s="9">
        <v>2026</v>
      </c>
      <c r="D2216" s="9" t="s">
        <v>77</v>
      </c>
      <c r="E2216" s="90" t="s">
        <v>1011</v>
      </c>
      <c r="F2216" s="9" t="s">
        <v>1013</v>
      </c>
      <c r="G2216" s="9"/>
      <c r="H2216" s="11"/>
      <c r="I2216" s="11" t="s">
        <v>7012</v>
      </c>
      <c r="J2216" s="12">
        <v>46205</v>
      </c>
      <c r="K2216" s="12">
        <v>46209</v>
      </c>
      <c r="L2216" s="37">
        <v>1035000</v>
      </c>
      <c r="M2216" s="10" t="s">
        <v>7323</v>
      </c>
      <c r="N2216" s="34">
        <f t="shared" ca="1" si="469"/>
        <v>35.463776388889528</v>
      </c>
      <c r="O2216" s="11"/>
      <c r="P2216" s="39"/>
      <c r="Q2216" s="39"/>
      <c r="R2216" s="39"/>
      <c r="S2216" s="37">
        <f t="shared" si="470"/>
        <v>0</v>
      </c>
      <c r="T2216" s="37">
        <f t="shared" si="471"/>
        <v>1035000</v>
      </c>
      <c r="U2216" s="10"/>
      <c r="V2216" s="10"/>
      <c r="W2216" s="10"/>
      <c r="X2216" s="10"/>
      <c r="Y2216" s="10"/>
      <c r="Z2216" s="10"/>
      <c r="AA2216" s="10"/>
      <c r="AB2216" s="10"/>
      <c r="AC2216" s="10"/>
      <c r="AD2216" s="10"/>
      <c r="AE2216" s="10"/>
    </row>
    <row r="2217" spans="1:31" ht="14.25" customHeight="1">
      <c r="A2217" s="277" t="s">
        <v>7841</v>
      </c>
      <c r="B2217" s="9" t="s">
        <v>21</v>
      </c>
      <c r="C2217" s="9"/>
      <c r="D2217" s="9"/>
      <c r="E2217" s="90"/>
      <c r="F2217" s="9"/>
      <c r="G2217" s="9"/>
      <c r="H2217" s="93"/>
      <c r="I2217" s="154"/>
      <c r="J2217" s="155"/>
      <c r="K2217" s="155"/>
      <c r="L2217" s="156"/>
      <c r="M2217" s="157"/>
      <c r="N2217" s="114">
        <f ca="1">$J$3-J2217</f>
        <v>46240.46377638889</v>
      </c>
      <c r="O2217" s="11"/>
      <c r="P2217" s="39"/>
      <c r="Q2217" s="39"/>
      <c r="R2217" s="39"/>
      <c r="S2217" s="37">
        <f t="shared" si="470"/>
        <v>0</v>
      </c>
      <c r="T2217" s="37">
        <f t="shared" si="471"/>
        <v>0</v>
      </c>
      <c r="U2217" s="157"/>
      <c r="V2217" s="157"/>
      <c r="W2217" s="157"/>
      <c r="X2217" s="157"/>
      <c r="Y2217" s="157"/>
      <c r="Z2217" s="157"/>
      <c r="AA2217" s="157"/>
      <c r="AB2217" s="157"/>
      <c r="AC2217" s="157"/>
      <c r="AD2217" s="157"/>
      <c r="AE2217" s="157"/>
    </row>
    <row r="2218" spans="1:31" ht="14.25" customHeight="1">
      <c r="A2218" s="277" t="s">
        <v>7842</v>
      </c>
      <c r="B2218" s="9" t="s">
        <v>21</v>
      </c>
      <c r="C2218" s="9"/>
      <c r="D2218" s="9"/>
      <c r="E2218" s="90"/>
      <c r="F2218" s="9"/>
      <c r="G2218" s="9"/>
      <c r="H2218" s="93"/>
      <c r="I2218" s="154"/>
      <c r="J2218" s="155"/>
      <c r="K2218" s="155"/>
      <c r="L2218" s="156"/>
      <c r="M2218" s="157"/>
      <c r="N2218" s="158"/>
      <c r="O2218" s="154"/>
      <c r="P2218" s="39"/>
      <c r="Q2218" s="39"/>
      <c r="R2218" s="39"/>
      <c r="S2218" s="156"/>
      <c r="T2218" s="156"/>
      <c r="U2218" s="157"/>
      <c r="V2218" s="157"/>
      <c r="W2218" s="157"/>
      <c r="X2218" s="157"/>
      <c r="Y2218" s="157"/>
      <c r="Z2218" s="157"/>
      <c r="AA2218" s="157"/>
      <c r="AB2218" s="157"/>
      <c r="AC2218" s="157"/>
      <c r="AD2218" s="157"/>
      <c r="AE2218" s="157"/>
    </row>
    <row r="2219" spans="1:31" ht="14.25" customHeight="1">
      <c r="A2219" s="277" t="s">
        <v>7843</v>
      </c>
      <c r="B2219" s="9" t="s">
        <v>21</v>
      </c>
      <c r="C2219" s="9"/>
      <c r="D2219" s="9"/>
      <c r="E2219" s="90"/>
      <c r="F2219" s="9"/>
      <c r="G2219" s="91" t="s">
        <v>22</v>
      </c>
      <c r="H2219" s="92" t="s">
        <v>1147</v>
      </c>
      <c r="I2219" s="159"/>
      <c r="J2219" s="160"/>
      <c r="K2219" s="160"/>
      <c r="L2219" s="161">
        <f>L2221+L2224+L2245+L2277+L2290+L2350+L2372+L2266</f>
        <v>805983411</v>
      </c>
      <c r="M2219" s="162"/>
      <c r="N2219" s="163"/>
      <c r="O2219" s="159"/>
      <c r="P2219" s="164"/>
      <c r="Q2219" s="164"/>
      <c r="R2219" s="164"/>
      <c r="S2219" s="161">
        <f>S2221+S2224+S2245+S2277+S2290+S2350+S2372+S2266</f>
        <v>419574421</v>
      </c>
      <c r="T2219" s="161">
        <f>T2221+T2224+T2245+T2277+T2290+T2350+T2372+T2266</f>
        <v>386408990</v>
      </c>
      <c r="U2219" s="171"/>
      <c r="V2219" s="52">
        <f>L2219-S2219</f>
        <v>386408990</v>
      </c>
      <c r="W2219" s="52">
        <f>T2219-V2219</f>
        <v>0</v>
      </c>
      <c r="X2219" s="171"/>
      <c r="Y2219" s="171"/>
      <c r="Z2219" s="171"/>
      <c r="AA2219" s="171"/>
      <c r="AB2219" s="171"/>
      <c r="AC2219" s="171"/>
      <c r="AD2219" s="171"/>
      <c r="AE2219" s="171"/>
    </row>
    <row r="2220" spans="1:31" ht="14.25" customHeight="1">
      <c r="A2220" s="277" t="s">
        <v>7844</v>
      </c>
      <c r="B2220" s="9" t="s">
        <v>21</v>
      </c>
      <c r="C2220" s="9"/>
      <c r="D2220" s="9"/>
      <c r="E2220" s="90"/>
      <c r="F2220" s="9"/>
      <c r="G2220" s="10"/>
      <c r="H2220" s="9"/>
      <c r="I2220" s="11"/>
      <c r="J2220" s="12"/>
      <c r="K2220" s="12"/>
      <c r="L2220" s="52"/>
      <c r="M2220" s="10"/>
      <c r="N2220" s="9"/>
      <c r="O2220" s="11"/>
      <c r="P2220" s="39"/>
      <c r="Q2220" s="39"/>
      <c r="R2220" s="39"/>
      <c r="S2220" s="37"/>
      <c r="T2220" s="37"/>
      <c r="U2220" s="10"/>
      <c r="V2220" s="10"/>
      <c r="W2220" s="10"/>
      <c r="X2220" s="10"/>
      <c r="Y2220" s="10"/>
      <c r="Z2220" s="10"/>
      <c r="AA2220" s="10"/>
      <c r="AB2220" s="10"/>
      <c r="AC2220" s="10"/>
      <c r="AD2220" s="10"/>
      <c r="AE2220" s="10"/>
    </row>
    <row r="2221" spans="1:31" ht="14.25" customHeight="1">
      <c r="A2221" s="277" t="s">
        <v>7845</v>
      </c>
      <c r="B2221" s="9" t="s">
        <v>21</v>
      </c>
      <c r="C2221" s="9"/>
      <c r="D2221" s="9"/>
      <c r="E2221" s="90"/>
      <c r="F2221" s="9"/>
      <c r="G2221" s="94" t="s">
        <v>24</v>
      </c>
      <c r="H2221" s="95" t="s">
        <v>1148</v>
      </c>
      <c r="I2221" s="104"/>
      <c r="J2221" s="105"/>
      <c r="K2221" s="105"/>
      <c r="L2221" s="106">
        <f>SUM(L2222)</f>
        <v>0</v>
      </c>
      <c r="M2221" s="107"/>
      <c r="N2221" s="108" t="s">
        <v>26</v>
      </c>
      <c r="O2221" s="108"/>
      <c r="P2221" s="108"/>
      <c r="Q2221" s="108"/>
      <c r="R2221" s="108"/>
      <c r="S2221" s="106">
        <f>SUM(S2222)</f>
        <v>0</v>
      </c>
      <c r="T2221" s="106">
        <f>SUM(T2222)</f>
        <v>0</v>
      </c>
      <c r="U2221" s="10"/>
      <c r="V2221" s="52">
        <f>L2221-S2221</f>
        <v>0</v>
      </c>
      <c r="W2221" s="52">
        <f>T2221-V2221</f>
        <v>0</v>
      </c>
      <c r="X2221" s="10"/>
      <c r="Y2221" s="10"/>
      <c r="Z2221" s="10"/>
      <c r="AA2221" s="10"/>
      <c r="AB2221" s="10"/>
      <c r="AC2221" s="10"/>
      <c r="AD2221" s="10"/>
      <c r="AE2221" s="10"/>
    </row>
    <row r="2222" spans="1:31" ht="14.25" customHeight="1">
      <c r="A2222" s="277" t="s">
        <v>7846</v>
      </c>
      <c r="B2222" s="9" t="s">
        <v>21</v>
      </c>
      <c r="C2222" s="9"/>
      <c r="D2222" s="9"/>
      <c r="E2222" s="90"/>
      <c r="F2222" s="9"/>
      <c r="G2222" s="10"/>
      <c r="H2222" s="9"/>
      <c r="I2222" s="11"/>
      <c r="J2222" s="12"/>
      <c r="K2222" s="12"/>
      <c r="L2222" s="52"/>
      <c r="M2222" s="10"/>
      <c r="N2222" s="114">
        <f ca="1">$J$3-J2222</f>
        <v>46240.46377638889</v>
      </c>
      <c r="O2222" s="11"/>
      <c r="P2222" s="39"/>
      <c r="Q2222" s="39"/>
      <c r="R2222" s="39"/>
      <c r="S2222" s="37">
        <f>IF(R2222="",0,L2222)</f>
        <v>0</v>
      </c>
      <c r="T2222" s="37">
        <f>L2222-S2222</f>
        <v>0</v>
      </c>
      <c r="U2222" s="10"/>
      <c r="V2222" s="10"/>
      <c r="W2222" s="10"/>
      <c r="X2222" s="10"/>
      <c r="Y2222" s="10"/>
      <c r="Z2222" s="10"/>
      <c r="AA2222" s="10"/>
      <c r="AB2222" s="10"/>
      <c r="AC2222" s="10"/>
      <c r="AD2222" s="10"/>
      <c r="AE2222" s="10"/>
    </row>
    <row r="2223" spans="1:31" ht="14.25" customHeight="1">
      <c r="A2223" s="277" t="s">
        <v>7847</v>
      </c>
      <c r="B2223" s="9" t="s">
        <v>21</v>
      </c>
      <c r="C2223" s="9"/>
      <c r="D2223" s="9"/>
      <c r="E2223" s="90"/>
      <c r="F2223" s="9"/>
      <c r="G2223" s="10"/>
      <c r="H2223" s="9"/>
      <c r="I2223" s="11"/>
      <c r="J2223" s="12"/>
      <c r="K2223" s="12"/>
      <c r="L2223" s="52"/>
      <c r="M2223" s="10"/>
      <c r="N2223" s="9"/>
      <c r="O2223" s="11"/>
      <c r="P2223" s="39"/>
      <c r="Q2223" s="39"/>
      <c r="R2223" s="39"/>
      <c r="S2223" s="37"/>
      <c r="T2223" s="37"/>
      <c r="U2223" s="10"/>
      <c r="V2223" s="10"/>
      <c r="W2223" s="10"/>
      <c r="X2223" s="10"/>
      <c r="Y2223" s="10"/>
      <c r="Z2223" s="10"/>
      <c r="AA2223" s="10"/>
      <c r="AB2223" s="10"/>
      <c r="AC2223" s="10"/>
      <c r="AD2223" s="10"/>
      <c r="AE2223" s="10"/>
    </row>
    <row r="2224" spans="1:31" ht="14.25" customHeight="1">
      <c r="A2224" s="277" t="s">
        <v>7848</v>
      </c>
      <c r="B2224" s="9" t="s">
        <v>21</v>
      </c>
      <c r="C2224" s="9"/>
      <c r="D2224" s="9"/>
      <c r="E2224" s="90"/>
      <c r="F2224" s="9"/>
      <c r="G2224" s="94" t="s">
        <v>24</v>
      </c>
      <c r="H2224" s="95" t="s">
        <v>1149</v>
      </c>
      <c r="I2224" s="104"/>
      <c r="J2224" s="105"/>
      <c r="K2224" s="105"/>
      <c r="L2224" s="106">
        <f>SUM(L2225:L2244)</f>
        <v>99900000</v>
      </c>
      <c r="M2224" s="107"/>
      <c r="N2224" s="108" t="s">
        <v>26</v>
      </c>
      <c r="O2224" s="108"/>
      <c r="P2224" s="108"/>
      <c r="Q2224" s="108"/>
      <c r="R2224" s="108"/>
      <c r="S2224" s="106">
        <f>SUM(S2225:S2244)</f>
        <v>49950000</v>
      </c>
      <c r="T2224" s="106">
        <f>SUM(T2225:T2244)</f>
        <v>49950000</v>
      </c>
      <c r="U2224" s="10"/>
      <c r="V2224" s="52">
        <f>L2224-S2224</f>
        <v>49950000</v>
      </c>
      <c r="W2224" s="52">
        <f>T2224-V2224</f>
        <v>0</v>
      </c>
      <c r="X2224" s="10"/>
      <c r="Y2224" s="10"/>
      <c r="Z2224" s="10"/>
      <c r="AA2224" s="10"/>
      <c r="AB2224" s="10"/>
      <c r="AC2224" s="10"/>
      <c r="AD2224" s="10"/>
      <c r="AE2224" s="10"/>
    </row>
    <row r="2225" spans="1:31" ht="14.25" hidden="1" customHeight="1">
      <c r="A2225" s="277" t="s">
        <v>7849</v>
      </c>
      <c r="B2225" s="9" t="s">
        <v>21</v>
      </c>
      <c r="C2225" s="9">
        <v>2025</v>
      </c>
      <c r="D2225" s="9" t="s">
        <v>27</v>
      </c>
      <c r="E2225" s="90" t="s">
        <v>1147</v>
      </c>
      <c r="F2225" s="9" t="s">
        <v>1150</v>
      </c>
      <c r="G2225" s="10"/>
      <c r="H2225" s="96" t="s">
        <v>1152</v>
      </c>
      <c r="I2225" s="109" t="s">
        <v>1151</v>
      </c>
      <c r="J2225" s="115">
        <v>45677</v>
      </c>
      <c r="K2225" s="115">
        <v>45679</v>
      </c>
      <c r="L2225" s="116">
        <v>5550000</v>
      </c>
      <c r="M2225" s="117" t="s">
        <v>1153</v>
      </c>
      <c r="N2225" s="34" t="s">
        <v>29</v>
      </c>
      <c r="O2225" s="31">
        <f>SUM(L2225:L2226)</f>
        <v>11100000</v>
      </c>
      <c r="P2225" s="113">
        <v>45846</v>
      </c>
      <c r="Q2225" s="113">
        <v>45846</v>
      </c>
      <c r="R2225" s="113">
        <v>45846</v>
      </c>
      <c r="S2225" s="37">
        <f t="shared" ref="S2225:S2226" si="472">IF(R2225="",0,L2225)</f>
        <v>5550000</v>
      </c>
      <c r="T2225" s="37">
        <f t="shared" ref="T2225:T2226" si="473">L2225-S2225</f>
        <v>0</v>
      </c>
      <c r="U2225" s="10"/>
      <c r="V2225" s="10"/>
      <c r="W2225" s="10"/>
      <c r="X2225" s="10"/>
      <c r="Y2225" s="10"/>
      <c r="Z2225" s="10"/>
      <c r="AA2225" s="10"/>
      <c r="AB2225" s="10"/>
      <c r="AC2225" s="10"/>
      <c r="AD2225" s="10"/>
      <c r="AE2225" s="10"/>
    </row>
    <row r="2226" spans="1:31" ht="14.25" hidden="1" customHeight="1">
      <c r="A2226" s="277" t="s">
        <v>7850</v>
      </c>
      <c r="B2226" s="9" t="s">
        <v>21</v>
      </c>
      <c r="C2226" s="9">
        <v>2025</v>
      </c>
      <c r="D2226" s="9" t="s">
        <v>27</v>
      </c>
      <c r="E2226" s="90" t="s">
        <v>1147</v>
      </c>
      <c r="F2226" s="9" t="s">
        <v>1150</v>
      </c>
      <c r="G2226" s="10"/>
      <c r="H2226" s="96" t="s">
        <v>1154</v>
      </c>
      <c r="I2226" s="109" t="s">
        <v>1151</v>
      </c>
      <c r="J2226" s="115">
        <v>45702</v>
      </c>
      <c r="K2226" s="115">
        <v>45707</v>
      </c>
      <c r="L2226" s="116">
        <v>5550000</v>
      </c>
      <c r="M2226" s="117" t="s">
        <v>1155</v>
      </c>
      <c r="N2226" s="34" t="s">
        <v>29</v>
      </c>
      <c r="O2226" s="11"/>
      <c r="P2226" s="113">
        <v>45896</v>
      </c>
      <c r="Q2226" s="113">
        <v>45896</v>
      </c>
      <c r="R2226" s="113">
        <v>45896</v>
      </c>
      <c r="S2226" s="37">
        <f t="shared" si="472"/>
        <v>5550000</v>
      </c>
      <c r="T2226" s="37">
        <f t="shared" si="473"/>
        <v>0</v>
      </c>
      <c r="U2226" s="10"/>
      <c r="V2226" s="10"/>
      <c r="W2226" s="10"/>
      <c r="X2226" s="10"/>
      <c r="Y2226" s="10"/>
      <c r="Z2226" s="10"/>
      <c r="AA2226" s="10"/>
      <c r="AB2226" s="10"/>
      <c r="AC2226" s="10"/>
      <c r="AD2226" s="10"/>
      <c r="AE2226" s="10"/>
    </row>
    <row r="2227" spans="1:31" ht="14.25" hidden="1" customHeight="1">
      <c r="A2227" s="277" t="s">
        <v>7851</v>
      </c>
      <c r="B2227" s="9" t="s">
        <v>21</v>
      </c>
      <c r="C2227" s="9">
        <v>2025</v>
      </c>
      <c r="D2227" s="9" t="s">
        <v>27</v>
      </c>
      <c r="E2227" s="90" t="s">
        <v>1147</v>
      </c>
      <c r="F2227" s="9" t="s">
        <v>1150</v>
      </c>
      <c r="G2227" s="10"/>
      <c r="H2227" s="96" t="s">
        <v>1156</v>
      </c>
      <c r="I2227" s="109" t="s">
        <v>1151</v>
      </c>
      <c r="J2227" s="115">
        <v>45720</v>
      </c>
      <c r="K2227" s="115">
        <v>45734</v>
      </c>
      <c r="L2227" s="116">
        <v>5550000</v>
      </c>
      <c r="M2227" s="117" t="s">
        <v>1157</v>
      </c>
      <c r="N2227" s="34" t="s">
        <v>29</v>
      </c>
      <c r="O2227" s="11"/>
      <c r="P2227" s="113">
        <v>45902</v>
      </c>
      <c r="Q2227" s="113">
        <v>45902</v>
      </c>
      <c r="R2227" s="113">
        <v>45902</v>
      </c>
      <c r="S2227" s="37">
        <f t="shared" ref="S2227:S2243" si="474">IF(R2227="",0,L2227)</f>
        <v>5550000</v>
      </c>
      <c r="T2227" s="37">
        <f t="shared" ref="T2227:T2243" si="475">L2227-S2227</f>
        <v>0</v>
      </c>
      <c r="U2227" s="10"/>
      <c r="V2227" s="10"/>
      <c r="W2227" s="10"/>
      <c r="X2227" s="10"/>
      <c r="Y2227" s="10"/>
      <c r="Z2227" s="10"/>
      <c r="AA2227" s="10"/>
      <c r="AB2227" s="10"/>
      <c r="AC2227" s="10"/>
      <c r="AD2227" s="10"/>
      <c r="AE2227" s="10"/>
    </row>
    <row r="2228" spans="1:31" ht="14.25" hidden="1" customHeight="1">
      <c r="A2228" s="277" t="s">
        <v>7852</v>
      </c>
      <c r="B2228" s="9" t="s">
        <v>21</v>
      </c>
      <c r="C2228" s="9">
        <v>2025</v>
      </c>
      <c r="D2228" s="9" t="s">
        <v>27</v>
      </c>
      <c r="E2228" s="90" t="s">
        <v>1147</v>
      </c>
      <c r="F2228" s="9" t="s">
        <v>1150</v>
      </c>
      <c r="G2228" s="10"/>
      <c r="H2228" s="96" t="s">
        <v>1158</v>
      </c>
      <c r="I2228" s="109" t="s">
        <v>1151</v>
      </c>
      <c r="J2228" s="115">
        <v>45761</v>
      </c>
      <c r="K2228" s="115">
        <v>45786</v>
      </c>
      <c r="L2228" s="116">
        <v>5550000</v>
      </c>
      <c r="M2228" s="117" t="s">
        <v>1159</v>
      </c>
      <c r="N2228" s="34" t="s">
        <v>29</v>
      </c>
      <c r="O2228" s="11"/>
      <c r="P2228" s="113">
        <v>45954</v>
      </c>
      <c r="Q2228" s="113">
        <v>45954</v>
      </c>
      <c r="R2228" s="113">
        <v>45954</v>
      </c>
      <c r="S2228" s="37">
        <f t="shared" si="474"/>
        <v>5550000</v>
      </c>
      <c r="T2228" s="37">
        <f t="shared" si="475"/>
        <v>0</v>
      </c>
      <c r="U2228" s="10"/>
      <c r="V2228" s="10"/>
      <c r="W2228" s="10"/>
      <c r="X2228" s="10"/>
      <c r="Y2228" s="10"/>
      <c r="Z2228" s="10"/>
      <c r="AA2228" s="10"/>
      <c r="AB2228" s="10"/>
      <c r="AC2228" s="10"/>
      <c r="AD2228" s="10"/>
      <c r="AE2228" s="10"/>
    </row>
    <row r="2229" spans="1:31" ht="14.25" hidden="1" customHeight="1">
      <c r="A2229" s="277" t="s">
        <v>7853</v>
      </c>
      <c r="B2229" s="9" t="s">
        <v>21</v>
      </c>
      <c r="C2229" s="9">
        <v>2025</v>
      </c>
      <c r="D2229" s="9" t="s">
        <v>27</v>
      </c>
      <c r="E2229" s="90" t="s">
        <v>1147</v>
      </c>
      <c r="F2229" s="9" t="s">
        <v>1150</v>
      </c>
      <c r="G2229" s="10"/>
      <c r="H2229" s="96" t="s">
        <v>1160</v>
      </c>
      <c r="I2229" s="109" t="s">
        <v>1151</v>
      </c>
      <c r="J2229" s="115">
        <v>45792</v>
      </c>
      <c r="K2229" s="115">
        <v>45799</v>
      </c>
      <c r="L2229" s="116">
        <v>5550000</v>
      </c>
      <c r="M2229" s="117" t="s">
        <v>1161</v>
      </c>
      <c r="N2229" s="34" t="s">
        <v>29</v>
      </c>
      <c r="O2229" s="11"/>
      <c r="P2229" s="113">
        <v>45988</v>
      </c>
      <c r="Q2229" s="113">
        <v>45988</v>
      </c>
      <c r="R2229" s="113">
        <v>45988</v>
      </c>
      <c r="S2229" s="37">
        <f t="shared" si="474"/>
        <v>5550000</v>
      </c>
      <c r="T2229" s="37">
        <f t="shared" si="475"/>
        <v>0</v>
      </c>
      <c r="U2229" s="10"/>
      <c r="V2229" s="10"/>
      <c r="W2229" s="10"/>
      <c r="X2229" s="10"/>
      <c r="Y2229" s="10"/>
      <c r="Z2229" s="10"/>
      <c r="AA2229" s="10"/>
      <c r="AB2229" s="10"/>
      <c r="AC2229" s="10"/>
      <c r="AD2229" s="10"/>
      <c r="AE2229" s="10"/>
    </row>
    <row r="2230" spans="1:31" ht="14.25" hidden="1" customHeight="1">
      <c r="A2230" s="277" t="s">
        <v>7854</v>
      </c>
      <c r="B2230" s="9" t="s">
        <v>21</v>
      </c>
      <c r="C2230" s="9">
        <v>2025</v>
      </c>
      <c r="D2230" s="9" t="s">
        <v>27</v>
      </c>
      <c r="E2230" s="90" t="s">
        <v>1147</v>
      </c>
      <c r="F2230" s="9" t="s">
        <v>1150</v>
      </c>
      <c r="G2230" s="10"/>
      <c r="H2230" s="96" t="s">
        <v>1162</v>
      </c>
      <c r="I2230" s="109" t="s">
        <v>1151</v>
      </c>
      <c r="J2230" s="115">
        <v>45822</v>
      </c>
      <c r="K2230" s="115">
        <v>45827</v>
      </c>
      <c r="L2230" s="116">
        <v>5550000</v>
      </c>
      <c r="M2230" s="117" t="s">
        <v>1163</v>
      </c>
      <c r="N2230" s="34" t="s">
        <v>29</v>
      </c>
      <c r="O2230" s="11"/>
      <c r="P2230" s="113">
        <v>46041</v>
      </c>
      <c r="Q2230" s="113">
        <v>46041</v>
      </c>
      <c r="R2230" s="113">
        <v>46041</v>
      </c>
      <c r="S2230" s="37">
        <f t="shared" si="474"/>
        <v>5550000</v>
      </c>
      <c r="T2230" s="37">
        <f t="shared" si="475"/>
        <v>0</v>
      </c>
      <c r="U2230" s="10"/>
      <c r="V2230" s="10"/>
      <c r="W2230" s="10"/>
      <c r="X2230" s="10"/>
      <c r="Y2230" s="10"/>
      <c r="Z2230" s="10"/>
      <c r="AA2230" s="10"/>
      <c r="AB2230" s="10"/>
      <c r="AC2230" s="10"/>
      <c r="AD2230" s="10"/>
      <c r="AE2230" s="10"/>
    </row>
    <row r="2231" spans="1:31" ht="14.25" hidden="1" customHeight="1">
      <c r="A2231" s="277" t="s">
        <v>7855</v>
      </c>
      <c r="B2231" s="9" t="s">
        <v>21</v>
      </c>
      <c r="C2231" s="9">
        <v>2025</v>
      </c>
      <c r="D2231" s="9" t="s">
        <v>27</v>
      </c>
      <c r="E2231" s="90" t="s">
        <v>1147</v>
      </c>
      <c r="F2231" s="9" t="s">
        <v>1150</v>
      </c>
      <c r="G2231" s="10"/>
      <c r="H2231" s="96" t="s">
        <v>1164</v>
      </c>
      <c r="I2231" s="109" t="s">
        <v>1151</v>
      </c>
      <c r="J2231" s="115">
        <v>45852</v>
      </c>
      <c r="K2231" s="115">
        <v>45855</v>
      </c>
      <c r="L2231" s="116">
        <v>5550000</v>
      </c>
      <c r="M2231" s="117" t="s">
        <v>1165</v>
      </c>
      <c r="N2231" s="34" t="s">
        <v>29</v>
      </c>
      <c r="O2231" s="31">
        <f>SUM(L2231:L2232)</f>
        <v>11100000</v>
      </c>
      <c r="P2231" s="113">
        <v>46195</v>
      </c>
      <c r="Q2231" s="113">
        <v>46195</v>
      </c>
      <c r="R2231" s="113">
        <v>46195</v>
      </c>
      <c r="S2231" s="37">
        <f t="shared" si="474"/>
        <v>5550000</v>
      </c>
      <c r="T2231" s="37">
        <f t="shared" si="475"/>
        <v>0</v>
      </c>
      <c r="U2231" s="10"/>
      <c r="V2231" s="10"/>
      <c r="W2231" s="10"/>
      <c r="X2231" s="10"/>
      <c r="Y2231" s="10"/>
      <c r="Z2231" s="10"/>
      <c r="AA2231" s="10"/>
      <c r="AB2231" s="10"/>
      <c r="AC2231" s="10"/>
      <c r="AD2231" s="10"/>
      <c r="AE2231" s="10"/>
    </row>
    <row r="2232" spans="1:31" ht="14.25" customHeight="1">
      <c r="A2232" s="277" t="s">
        <v>7856</v>
      </c>
      <c r="B2232" s="9" t="s">
        <v>21</v>
      </c>
      <c r="C2232" s="9">
        <v>2025</v>
      </c>
      <c r="D2232" s="9" t="s">
        <v>27</v>
      </c>
      <c r="E2232" s="90" t="s">
        <v>1147</v>
      </c>
      <c r="F2232" s="9" t="s">
        <v>1150</v>
      </c>
      <c r="G2232" s="10"/>
      <c r="H2232" s="96" t="s">
        <v>1166</v>
      </c>
      <c r="I2232" s="109" t="s">
        <v>1151</v>
      </c>
      <c r="J2232" s="115">
        <v>45883</v>
      </c>
      <c r="K2232" s="115">
        <v>45888</v>
      </c>
      <c r="L2232" s="116">
        <v>5550000</v>
      </c>
      <c r="M2232" s="117" t="s">
        <v>1167</v>
      </c>
      <c r="N2232" s="34" t="s">
        <v>29</v>
      </c>
      <c r="O2232" s="11"/>
      <c r="P2232" s="113">
        <v>46195</v>
      </c>
      <c r="Q2232" s="113">
        <v>46195</v>
      </c>
      <c r="R2232" s="113">
        <v>46195</v>
      </c>
      <c r="S2232" s="37">
        <f t="shared" si="474"/>
        <v>5550000</v>
      </c>
      <c r="T2232" s="37">
        <f t="shared" si="475"/>
        <v>0</v>
      </c>
      <c r="U2232" s="10"/>
      <c r="V2232" s="10"/>
      <c r="W2232" s="10"/>
      <c r="X2232" s="10"/>
      <c r="Y2232" s="10"/>
      <c r="Z2232" s="10"/>
      <c r="AA2232" s="10"/>
      <c r="AB2232" s="10"/>
      <c r="AC2232" s="10"/>
      <c r="AD2232" s="10"/>
      <c r="AE2232" s="10"/>
    </row>
    <row r="2233" spans="1:31" ht="14.25" customHeight="1">
      <c r="A2233" s="277" t="s">
        <v>7857</v>
      </c>
      <c r="B2233" s="9" t="s">
        <v>21</v>
      </c>
      <c r="C2233" s="9">
        <v>2025</v>
      </c>
      <c r="D2233" s="9" t="s">
        <v>27</v>
      </c>
      <c r="E2233" s="90" t="s">
        <v>1147</v>
      </c>
      <c r="F2233" s="9" t="s">
        <v>1150</v>
      </c>
      <c r="G2233" s="10"/>
      <c r="H2233" s="96" t="s">
        <v>1168</v>
      </c>
      <c r="I2233" s="109" t="s">
        <v>1151</v>
      </c>
      <c r="J2233" s="115">
        <v>45915</v>
      </c>
      <c r="K2233" s="115">
        <v>45918</v>
      </c>
      <c r="L2233" s="116">
        <v>5550000</v>
      </c>
      <c r="M2233" s="117" t="s">
        <v>1169</v>
      </c>
      <c r="N2233" s="34" t="s">
        <v>29</v>
      </c>
      <c r="O2233" s="11"/>
      <c r="P2233" s="113">
        <v>46229</v>
      </c>
      <c r="Q2233" s="113">
        <v>46229</v>
      </c>
      <c r="R2233" s="113">
        <v>46229</v>
      </c>
      <c r="S2233" s="37">
        <f t="shared" si="474"/>
        <v>5550000</v>
      </c>
      <c r="T2233" s="37">
        <f t="shared" si="475"/>
        <v>0</v>
      </c>
      <c r="U2233" s="10"/>
      <c r="V2233" s="10"/>
      <c r="W2233" s="10"/>
      <c r="X2233" s="10"/>
      <c r="Y2233" s="10"/>
      <c r="Z2233" s="10"/>
      <c r="AA2233" s="10"/>
      <c r="AB2233" s="10"/>
      <c r="AC2233" s="10"/>
      <c r="AD2233" s="10"/>
      <c r="AE2233" s="10"/>
    </row>
    <row r="2234" spans="1:31" ht="14.25" customHeight="1">
      <c r="A2234" s="277" t="s">
        <v>7858</v>
      </c>
      <c r="B2234" s="9" t="s">
        <v>21</v>
      </c>
      <c r="C2234" s="9">
        <v>2025</v>
      </c>
      <c r="D2234" s="9" t="s">
        <v>77</v>
      </c>
      <c r="E2234" s="90" t="s">
        <v>1147</v>
      </c>
      <c r="F2234" s="9" t="s">
        <v>1150</v>
      </c>
      <c r="G2234" s="10"/>
      <c r="H2234" s="9" t="s">
        <v>3823</v>
      </c>
      <c r="I2234" s="11" t="s">
        <v>1151</v>
      </c>
      <c r="J2234" s="12">
        <v>45939</v>
      </c>
      <c r="K2234" s="12">
        <v>45946</v>
      </c>
      <c r="L2234" s="27">
        <v>5550000</v>
      </c>
      <c r="M2234" s="10" t="s">
        <v>3824</v>
      </c>
      <c r="N2234" s="34">
        <f t="shared" ref="N2234:N2237" ca="1" si="476">$J$3-J2234</f>
        <v>301.46377638888953</v>
      </c>
      <c r="O2234" s="11"/>
      <c r="P2234" s="39"/>
      <c r="Q2234" s="39"/>
      <c r="R2234" s="39"/>
      <c r="S2234" s="37">
        <f t="shared" si="474"/>
        <v>0</v>
      </c>
      <c r="T2234" s="37">
        <f t="shared" si="475"/>
        <v>5550000</v>
      </c>
      <c r="U2234" s="10"/>
      <c r="V2234" s="10"/>
      <c r="W2234" s="10"/>
      <c r="X2234" s="10"/>
      <c r="Y2234" s="10"/>
      <c r="Z2234" s="10"/>
      <c r="AA2234" s="10"/>
      <c r="AB2234" s="10"/>
      <c r="AC2234" s="10"/>
      <c r="AD2234" s="10"/>
      <c r="AE2234" s="10"/>
    </row>
    <row r="2235" spans="1:31" ht="14.25" customHeight="1">
      <c r="A2235" s="277" t="s">
        <v>7859</v>
      </c>
      <c r="B2235" s="9" t="s">
        <v>21</v>
      </c>
      <c r="C2235" s="9">
        <v>2025</v>
      </c>
      <c r="D2235" s="9" t="s">
        <v>77</v>
      </c>
      <c r="E2235" s="90" t="s">
        <v>1147</v>
      </c>
      <c r="F2235" s="9" t="s">
        <v>1150</v>
      </c>
      <c r="G2235" s="10"/>
      <c r="H2235" s="9" t="s">
        <v>4002</v>
      </c>
      <c r="I2235" s="11" t="s">
        <v>1151</v>
      </c>
      <c r="J2235" s="12">
        <v>45974</v>
      </c>
      <c r="K2235" s="12">
        <v>45976</v>
      </c>
      <c r="L2235" s="27">
        <v>5550000</v>
      </c>
      <c r="M2235" s="10" t="s">
        <v>4003</v>
      </c>
      <c r="N2235" s="34">
        <f t="shared" ca="1" si="476"/>
        <v>266.46377638888953</v>
      </c>
      <c r="O2235" s="11"/>
      <c r="P2235" s="39"/>
      <c r="Q2235" s="39"/>
      <c r="R2235" s="39"/>
      <c r="S2235" s="37">
        <f t="shared" si="474"/>
        <v>0</v>
      </c>
      <c r="T2235" s="37">
        <f t="shared" si="475"/>
        <v>5550000</v>
      </c>
      <c r="U2235" s="10"/>
      <c r="V2235" s="10"/>
      <c r="W2235" s="10"/>
      <c r="X2235" s="10"/>
      <c r="Y2235" s="10"/>
      <c r="Z2235" s="10"/>
      <c r="AA2235" s="10"/>
      <c r="AB2235" s="10"/>
      <c r="AC2235" s="10"/>
      <c r="AD2235" s="10"/>
      <c r="AE2235" s="10"/>
    </row>
    <row r="2236" spans="1:31" ht="14.25" customHeight="1">
      <c r="A2236" s="277" t="s">
        <v>7860</v>
      </c>
      <c r="B2236" s="9" t="s">
        <v>21</v>
      </c>
      <c r="C2236" s="9">
        <v>2025</v>
      </c>
      <c r="D2236" s="9" t="s">
        <v>77</v>
      </c>
      <c r="E2236" s="90" t="s">
        <v>1147</v>
      </c>
      <c r="F2236" s="9" t="s">
        <v>1150</v>
      </c>
      <c r="G2236" s="10"/>
      <c r="H2236" s="9" t="s">
        <v>4250</v>
      </c>
      <c r="I2236" s="11" t="s">
        <v>1151</v>
      </c>
      <c r="J2236" s="12">
        <v>46003</v>
      </c>
      <c r="K2236" s="12">
        <v>46006</v>
      </c>
      <c r="L2236" s="27">
        <v>5550000</v>
      </c>
      <c r="M2236" s="10" t="s">
        <v>4261</v>
      </c>
      <c r="N2236" s="34">
        <f t="shared" ca="1" si="476"/>
        <v>237.46377638888953</v>
      </c>
      <c r="O2236" s="11"/>
      <c r="P2236" s="39"/>
      <c r="Q2236" s="39"/>
      <c r="R2236" s="39"/>
      <c r="S2236" s="37">
        <f t="shared" si="474"/>
        <v>0</v>
      </c>
      <c r="T2236" s="37">
        <f t="shared" si="475"/>
        <v>5550000</v>
      </c>
      <c r="U2236" s="10"/>
      <c r="V2236" s="10"/>
      <c r="W2236" s="10"/>
      <c r="X2236" s="10"/>
      <c r="Y2236" s="10"/>
      <c r="Z2236" s="10"/>
      <c r="AA2236" s="10"/>
      <c r="AB2236" s="10"/>
      <c r="AC2236" s="10"/>
      <c r="AD2236" s="10"/>
      <c r="AE2236" s="10"/>
    </row>
    <row r="2237" spans="1:31" ht="14.25" customHeight="1">
      <c r="A2237" s="277" t="s">
        <v>7861</v>
      </c>
      <c r="B2237" s="9" t="s">
        <v>21</v>
      </c>
      <c r="C2237" s="9">
        <v>2026</v>
      </c>
      <c r="D2237" s="9" t="s">
        <v>77</v>
      </c>
      <c r="E2237" s="90" t="s">
        <v>1147</v>
      </c>
      <c r="F2237" s="9" t="s">
        <v>1150</v>
      </c>
      <c r="G2237" s="10"/>
      <c r="H2237" s="9" t="s">
        <v>4254</v>
      </c>
      <c r="I2237" s="11" t="s">
        <v>1151</v>
      </c>
      <c r="J2237" s="12">
        <v>46036</v>
      </c>
      <c r="K2237" s="12">
        <v>46041</v>
      </c>
      <c r="L2237" s="27">
        <v>5550000</v>
      </c>
      <c r="M2237" s="10" t="s">
        <v>4251</v>
      </c>
      <c r="N2237" s="34">
        <f t="shared" ca="1" si="476"/>
        <v>204.46377638888953</v>
      </c>
      <c r="O2237" s="11"/>
      <c r="P2237" s="39"/>
      <c r="Q2237" s="39"/>
      <c r="R2237" s="39"/>
      <c r="S2237" s="37">
        <f t="shared" si="474"/>
        <v>0</v>
      </c>
      <c r="T2237" s="37">
        <f t="shared" si="475"/>
        <v>5550000</v>
      </c>
      <c r="U2237" s="10"/>
      <c r="V2237" s="10"/>
      <c r="W2237" s="10"/>
      <c r="X2237" s="10"/>
      <c r="Y2237" s="10"/>
      <c r="Z2237" s="10"/>
      <c r="AA2237" s="10"/>
      <c r="AB2237" s="10"/>
      <c r="AC2237" s="10"/>
      <c r="AD2237" s="10"/>
      <c r="AE2237" s="10"/>
    </row>
    <row r="2238" spans="1:31" ht="14.25" customHeight="1">
      <c r="A2238" s="277" t="s">
        <v>7862</v>
      </c>
      <c r="B2238" s="9" t="s">
        <v>21</v>
      </c>
      <c r="C2238" s="9">
        <v>2026</v>
      </c>
      <c r="D2238" s="9" t="s">
        <v>77</v>
      </c>
      <c r="E2238" s="90" t="s">
        <v>1147</v>
      </c>
      <c r="F2238" s="9" t="s">
        <v>1150</v>
      </c>
      <c r="G2238" s="10"/>
      <c r="H2238" s="9" t="s">
        <v>4377</v>
      </c>
      <c r="I2238" s="11" t="s">
        <v>1151</v>
      </c>
      <c r="J2238" s="12">
        <v>46067</v>
      </c>
      <c r="K2238" s="12">
        <v>46074</v>
      </c>
      <c r="L2238" s="27">
        <v>5550000</v>
      </c>
      <c r="M2238" s="10" t="s">
        <v>4378</v>
      </c>
      <c r="N2238" s="34">
        <f t="shared" ref="N2238:N2243" ca="1" si="477">$J$3-J2238</f>
        <v>173.46377638888953</v>
      </c>
      <c r="O2238" s="11"/>
      <c r="P2238" s="39"/>
      <c r="Q2238" s="39"/>
      <c r="R2238" s="39"/>
      <c r="S2238" s="37">
        <f t="shared" si="474"/>
        <v>0</v>
      </c>
      <c r="T2238" s="37">
        <f t="shared" si="475"/>
        <v>5550000</v>
      </c>
      <c r="U2238" s="10"/>
      <c r="V2238" s="10"/>
      <c r="W2238" s="10"/>
      <c r="X2238" s="10"/>
      <c r="Y2238" s="10"/>
      <c r="Z2238" s="10"/>
      <c r="AA2238" s="10"/>
      <c r="AB2238" s="10"/>
      <c r="AC2238" s="10"/>
      <c r="AD2238" s="10"/>
      <c r="AE2238" s="10"/>
    </row>
    <row r="2239" spans="1:31" ht="14.25" customHeight="1">
      <c r="A2239" s="277" t="s">
        <v>7863</v>
      </c>
      <c r="B2239" s="9" t="s">
        <v>21</v>
      </c>
      <c r="C2239" s="9">
        <v>2026</v>
      </c>
      <c r="D2239" s="9" t="s">
        <v>77</v>
      </c>
      <c r="E2239" s="90" t="s">
        <v>1147</v>
      </c>
      <c r="F2239" s="9" t="s">
        <v>1150</v>
      </c>
      <c r="G2239" s="10"/>
      <c r="H2239" s="9" t="s">
        <v>4471</v>
      </c>
      <c r="I2239" s="11" t="s">
        <v>1151</v>
      </c>
      <c r="J2239" s="12">
        <v>46095</v>
      </c>
      <c r="K2239" s="12">
        <v>46099</v>
      </c>
      <c r="L2239" s="27">
        <v>5550000</v>
      </c>
      <c r="M2239" s="10" t="s">
        <v>4472</v>
      </c>
      <c r="N2239" s="34">
        <f t="shared" ca="1" si="477"/>
        <v>145.46377638888953</v>
      </c>
      <c r="O2239" s="11"/>
      <c r="P2239" s="39"/>
      <c r="Q2239" s="39"/>
      <c r="R2239" s="39"/>
      <c r="S2239" s="37">
        <f t="shared" si="474"/>
        <v>0</v>
      </c>
      <c r="T2239" s="37">
        <f t="shared" si="475"/>
        <v>5550000</v>
      </c>
      <c r="U2239" s="10"/>
      <c r="V2239" s="10"/>
      <c r="W2239" s="10"/>
      <c r="X2239" s="10"/>
      <c r="Y2239" s="10"/>
      <c r="Z2239" s="10"/>
      <c r="AA2239" s="10"/>
      <c r="AB2239" s="10"/>
      <c r="AC2239" s="10"/>
      <c r="AD2239" s="10"/>
      <c r="AE2239" s="10"/>
    </row>
    <row r="2240" spans="1:31" ht="14.25" customHeight="1">
      <c r="A2240" s="277" t="s">
        <v>7864</v>
      </c>
      <c r="B2240" s="9" t="s">
        <v>21</v>
      </c>
      <c r="C2240" s="9">
        <v>2026</v>
      </c>
      <c r="D2240" s="9" t="s">
        <v>77</v>
      </c>
      <c r="E2240" s="90" t="s">
        <v>1147</v>
      </c>
      <c r="F2240" s="9" t="s">
        <v>1150</v>
      </c>
      <c r="G2240" s="10"/>
      <c r="H2240" s="9" t="s">
        <v>4534</v>
      </c>
      <c r="I2240" s="11" t="s">
        <v>1151</v>
      </c>
      <c r="J2240" s="12">
        <v>46126</v>
      </c>
      <c r="K2240" s="12">
        <v>46132</v>
      </c>
      <c r="L2240" s="27">
        <v>5550000</v>
      </c>
      <c r="M2240" s="10" t="s">
        <v>4535</v>
      </c>
      <c r="N2240" s="34">
        <f t="shared" ca="1" si="477"/>
        <v>114.46377638888953</v>
      </c>
      <c r="O2240" s="11"/>
      <c r="P2240" s="39"/>
      <c r="Q2240" s="39"/>
      <c r="R2240" s="39"/>
      <c r="S2240" s="37">
        <f t="shared" si="474"/>
        <v>0</v>
      </c>
      <c r="T2240" s="37">
        <f t="shared" si="475"/>
        <v>5550000</v>
      </c>
      <c r="U2240" s="10"/>
      <c r="V2240" s="10"/>
      <c r="W2240" s="10"/>
      <c r="X2240" s="10"/>
      <c r="Y2240" s="10"/>
      <c r="Z2240" s="10"/>
      <c r="AA2240" s="10"/>
      <c r="AB2240" s="10"/>
      <c r="AC2240" s="10"/>
      <c r="AD2240" s="10"/>
      <c r="AE2240" s="10"/>
    </row>
    <row r="2241" spans="1:31" ht="14.25" customHeight="1">
      <c r="A2241" s="277" t="s">
        <v>7865</v>
      </c>
      <c r="B2241" s="9" t="s">
        <v>21</v>
      </c>
      <c r="C2241" s="9">
        <v>2026</v>
      </c>
      <c r="D2241" s="9" t="s">
        <v>77</v>
      </c>
      <c r="E2241" s="90" t="s">
        <v>1147</v>
      </c>
      <c r="F2241" s="9" t="s">
        <v>1150</v>
      </c>
      <c r="G2241" s="10"/>
      <c r="H2241" s="9" t="s">
        <v>7049</v>
      </c>
      <c r="I2241" s="11" t="s">
        <v>1151</v>
      </c>
      <c r="J2241" s="12">
        <v>46157</v>
      </c>
      <c r="K2241" s="12">
        <v>46162</v>
      </c>
      <c r="L2241" s="27">
        <v>5550000</v>
      </c>
      <c r="M2241" s="10" t="s">
        <v>7050</v>
      </c>
      <c r="N2241" s="34">
        <f t="shared" ca="1" si="477"/>
        <v>83.463776388889528</v>
      </c>
      <c r="O2241" s="11"/>
      <c r="P2241" s="39"/>
      <c r="Q2241" s="39"/>
      <c r="R2241" s="39"/>
      <c r="S2241" s="37">
        <f t="shared" si="474"/>
        <v>0</v>
      </c>
      <c r="T2241" s="37">
        <f t="shared" si="475"/>
        <v>5550000</v>
      </c>
      <c r="U2241" s="10"/>
      <c r="V2241" s="10"/>
      <c r="W2241" s="10"/>
      <c r="X2241" s="10"/>
      <c r="Y2241" s="10"/>
      <c r="Z2241" s="10"/>
      <c r="AA2241" s="10"/>
      <c r="AB2241" s="10"/>
      <c r="AC2241" s="10"/>
      <c r="AD2241" s="10"/>
      <c r="AE2241" s="10"/>
    </row>
    <row r="2242" spans="1:31" ht="14.25" customHeight="1">
      <c r="A2242" s="277" t="s">
        <v>7866</v>
      </c>
      <c r="B2242" s="9" t="s">
        <v>21</v>
      </c>
      <c r="C2242" s="9">
        <v>2026</v>
      </c>
      <c r="D2242" s="9" t="s">
        <v>77</v>
      </c>
      <c r="E2242" s="90" t="s">
        <v>1147</v>
      </c>
      <c r="F2242" s="9" t="s">
        <v>1150</v>
      </c>
      <c r="G2242" s="10"/>
      <c r="H2242" s="9" t="s">
        <v>7201</v>
      </c>
      <c r="I2242" s="11" t="s">
        <v>1151</v>
      </c>
      <c r="J2242" s="12">
        <v>46198</v>
      </c>
      <c r="K2242" s="12">
        <v>46204</v>
      </c>
      <c r="L2242" s="27">
        <v>5550000</v>
      </c>
      <c r="M2242" s="10" t="s">
        <v>7202</v>
      </c>
      <c r="N2242" s="34">
        <f t="shared" ca="1" si="477"/>
        <v>42.463776388889528</v>
      </c>
      <c r="O2242" s="11"/>
      <c r="P2242" s="39"/>
      <c r="Q2242" s="39"/>
      <c r="R2242" s="39"/>
      <c r="S2242" s="37">
        <f t="shared" si="474"/>
        <v>0</v>
      </c>
      <c r="T2242" s="37">
        <f t="shared" si="475"/>
        <v>5550000</v>
      </c>
      <c r="U2242" s="10"/>
      <c r="V2242" s="10"/>
      <c r="W2242" s="10"/>
      <c r="X2242" s="10"/>
      <c r="Y2242" s="10"/>
      <c r="Z2242" s="10"/>
      <c r="AA2242" s="10"/>
      <c r="AB2242" s="10"/>
      <c r="AC2242" s="10"/>
      <c r="AD2242" s="10"/>
      <c r="AE2242" s="10"/>
    </row>
    <row r="2243" spans="1:31" ht="14.25" customHeight="1">
      <c r="A2243" s="277" t="s">
        <v>7867</v>
      </c>
      <c r="B2243" s="9" t="s">
        <v>21</v>
      </c>
      <c r="C2243" s="9"/>
      <c r="D2243" s="9"/>
      <c r="E2243" s="90"/>
      <c r="F2243" s="9"/>
      <c r="G2243" s="10"/>
      <c r="H2243" s="9"/>
      <c r="I2243" s="93"/>
      <c r="J2243" s="12"/>
      <c r="K2243" s="12"/>
      <c r="L2243" s="52"/>
      <c r="M2243" s="10"/>
      <c r="N2243" s="114">
        <f t="shared" ca="1" si="477"/>
        <v>46240.46377638889</v>
      </c>
      <c r="O2243" s="11"/>
      <c r="P2243" s="39"/>
      <c r="Q2243" s="39"/>
      <c r="R2243" s="39"/>
      <c r="S2243" s="37">
        <f t="shared" si="474"/>
        <v>0</v>
      </c>
      <c r="T2243" s="37">
        <f t="shared" si="475"/>
        <v>0</v>
      </c>
      <c r="U2243" s="10"/>
      <c r="V2243" s="10"/>
      <c r="W2243" s="10"/>
      <c r="X2243" s="10"/>
      <c r="Y2243" s="10"/>
      <c r="Z2243" s="10"/>
      <c r="AA2243" s="10"/>
      <c r="AB2243" s="10"/>
      <c r="AC2243" s="10"/>
      <c r="AD2243" s="10"/>
      <c r="AE2243" s="10"/>
    </row>
    <row r="2244" spans="1:31" ht="14.25" customHeight="1">
      <c r="A2244" s="277" t="s">
        <v>7868</v>
      </c>
      <c r="B2244" s="9" t="s">
        <v>21</v>
      </c>
      <c r="C2244" s="9"/>
      <c r="D2244" s="9"/>
      <c r="E2244" s="90"/>
      <c r="F2244" s="9"/>
      <c r="G2244" s="10"/>
      <c r="H2244" s="9"/>
      <c r="I2244" s="11"/>
      <c r="J2244" s="12"/>
      <c r="K2244" s="12"/>
      <c r="L2244" s="52"/>
      <c r="M2244" s="10"/>
      <c r="N2244" s="9"/>
      <c r="O2244" s="11"/>
      <c r="P2244" s="39"/>
      <c r="Q2244" s="39"/>
      <c r="R2244" s="39"/>
      <c r="S2244" s="37"/>
      <c r="T2244" s="37"/>
      <c r="U2244" s="10"/>
      <c r="V2244" s="10"/>
      <c r="W2244" s="10"/>
      <c r="X2244" s="10"/>
      <c r="Y2244" s="10"/>
      <c r="Z2244" s="10"/>
      <c r="AA2244" s="10"/>
      <c r="AB2244" s="10"/>
      <c r="AC2244" s="10"/>
      <c r="AD2244" s="10"/>
      <c r="AE2244" s="10"/>
    </row>
    <row r="2245" spans="1:31" ht="14.25" customHeight="1">
      <c r="A2245" s="277" t="s">
        <v>7869</v>
      </c>
      <c r="B2245" s="9" t="s">
        <v>21</v>
      </c>
      <c r="C2245" s="9"/>
      <c r="D2245" s="9"/>
      <c r="E2245" s="90"/>
      <c r="F2245" s="9"/>
      <c r="G2245" s="94" t="s">
        <v>24</v>
      </c>
      <c r="H2245" s="95" t="s">
        <v>1170</v>
      </c>
      <c r="I2245" s="104"/>
      <c r="J2245" s="105"/>
      <c r="K2245" s="105"/>
      <c r="L2245" s="106">
        <f>SUM(L2246:L2265)</f>
        <v>15810758</v>
      </c>
      <c r="M2245" s="107"/>
      <c r="N2245" s="108" t="s">
        <v>26</v>
      </c>
      <c r="O2245" s="108"/>
      <c r="P2245" s="108"/>
      <c r="Q2245" s="108"/>
      <c r="R2245" s="108"/>
      <c r="S2245" s="106">
        <f>SUM(S2246:S2265)</f>
        <v>14287585</v>
      </c>
      <c r="T2245" s="106">
        <f>SUM(T2246:T2265)</f>
        <v>1523173</v>
      </c>
      <c r="U2245" s="10"/>
      <c r="V2245" s="52">
        <f>L2245-S2245</f>
        <v>1523173</v>
      </c>
      <c r="W2245" s="52">
        <f>T2245-V2245</f>
        <v>0</v>
      </c>
      <c r="X2245" s="10"/>
      <c r="Y2245" s="10"/>
      <c r="Z2245" s="10"/>
      <c r="AA2245" s="10"/>
      <c r="AB2245" s="10"/>
      <c r="AC2245" s="10"/>
      <c r="AD2245" s="10"/>
      <c r="AE2245" s="10"/>
    </row>
    <row r="2246" spans="1:31" ht="14.25" hidden="1" customHeight="1">
      <c r="A2246" s="277" t="s">
        <v>7870</v>
      </c>
      <c r="B2246" s="9" t="s">
        <v>21</v>
      </c>
      <c r="C2246" s="9">
        <v>2025</v>
      </c>
      <c r="D2246" s="9" t="s">
        <v>27</v>
      </c>
      <c r="E2246" s="90" t="s">
        <v>1147</v>
      </c>
      <c r="F2246" s="9" t="s">
        <v>1150</v>
      </c>
      <c r="G2246" s="10"/>
      <c r="H2246" s="96"/>
      <c r="I2246" s="109" t="s">
        <v>1171</v>
      </c>
      <c r="J2246" s="115">
        <v>45695</v>
      </c>
      <c r="K2246" s="115">
        <v>45701</v>
      </c>
      <c r="L2246" s="183">
        <v>1251439</v>
      </c>
      <c r="M2246" s="147" t="s">
        <v>1172</v>
      </c>
      <c r="N2246" s="34" t="s">
        <v>29</v>
      </c>
      <c r="O2246" s="125">
        <f>SUM(L2246:L2248)</f>
        <v>3257768</v>
      </c>
      <c r="P2246" s="113">
        <v>45822</v>
      </c>
      <c r="Q2246" s="113">
        <v>45822</v>
      </c>
      <c r="R2246" s="113">
        <v>45822</v>
      </c>
      <c r="S2246" s="37">
        <f t="shared" ref="S2246:S2254" si="478">IF(R2246="",0,L2246)</f>
        <v>1251439</v>
      </c>
      <c r="T2246" s="37">
        <f t="shared" ref="T2246:T2254" si="479">L2246-S2246</f>
        <v>0</v>
      </c>
      <c r="U2246" s="10"/>
      <c r="V2246" s="10"/>
      <c r="W2246" s="10"/>
      <c r="X2246" s="10"/>
      <c r="Y2246" s="10"/>
      <c r="Z2246" s="10"/>
      <c r="AA2246" s="10"/>
      <c r="AB2246" s="10"/>
      <c r="AC2246" s="10"/>
      <c r="AD2246" s="10"/>
      <c r="AE2246" s="10"/>
    </row>
    <row r="2247" spans="1:31" ht="14.25" hidden="1" customHeight="1">
      <c r="A2247" s="277" t="s">
        <v>7871</v>
      </c>
      <c r="B2247" s="9" t="s">
        <v>21</v>
      </c>
      <c r="C2247" s="9">
        <v>2025</v>
      </c>
      <c r="D2247" s="9" t="s">
        <v>27</v>
      </c>
      <c r="E2247" s="90" t="s">
        <v>1147</v>
      </c>
      <c r="F2247" s="9" t="s">
        <v>1150</v>
      </c>
      <c r="G2247" s="10"/>
      <c r="H2247" s="96"/>
      <c r="I2247" s="109" t="s">
        <v>1171</v>
      </c>
      <c r="J2247" s="115">
        <v>45726</v>
      </c>
      <c r="K2247" s="115">
        <v>45730</v>
      </c>
      <c r="L2247" s="183">
        <v>889882</v>
      </c>
      <c r="M2247" s="147" t="s">
        <v>1173</v>
      </c>
      <c r="N2247" s="34" t="s">
        <v>29</v>
      </c>
      <c r="O2247" s="11"/>
      <c r="P2247" s="113">
        <v>45822</v>
      </c>
      <c r="Q2247" s="113">
        <v>45822</v>
      </c>
      <c r="R2247" s="113">
        <v>45822</v>
      </c>
      <c r="S2247" s="37">
        <f t="shared" si="478"/>
        <v>889882</v>
      </c>
      <c r="T2247" s="37">
        <f t="shared" si="479"/>
        <v>0</v>
      </c>
      <c r="U2247" s="10"/>
      <c r="V2247" s="10"/>
      <c r="W2247" s="10"/>
      <c r="X2247" s="10"/>
      <c r="Y2247" s="10"/>
      <c r="Z2247" s="10"/>
      <c r="AA2247" s="10"/>
      <c r="AB2247" s="10"/>
      <c r="AC2247" s="10"/>
      <c r="AD2247" s="10"/>
      <c r="AE2247" s="10"/>
    </row>
    <row r="2248" spans="1:31" ht="14.25" hidden="1" customHeight="1">
      <c r="A2248" s="277" t="s">
        <v>7872</v>
      </c>
      <c r="B2248" s="9" t="s">
        <v>21</v>
      </c>
      <c r="C2248" s="9">
        <v>2025</v>
      </c>
      <c r="D2248" s="9" t="s">
        <v>27</v>
      </c>
      <c r="E2248" s="90" t="s">
        <v>1147</v>
      </c>
      <c r="F2248" s="9" t="s">
        <v>1150</v>
      </c>
      <c r="G2248" s="10"/>
      <c r="H2248" s="96"/>
      <c r="I2248" s="109" t="s">
        <v>1171</v>
      </c>
      <c r="J2248" s="115">
        <v>45755</v>
      </c>
      <c r="K2248" s="115">
        <v>45762</v>
      </c>
      <c r="L2248" s="183">
        <v>1116447</v>
      </c>
      <c r="M2248" s="147" t="s">
        <v>1174</v>
      </c>
      <c r="N2248" s="34" t="s">
        <v>29</v>
      </c>
      <c r="O2248" s="11"/>
      <c r="P2248" s="113">
        <v>45822</v>
      </c>
      <c r="Q2248" s="113">
        <v>45822</v>
      </c>
      <c r="R2248" s="113">
        <v>45822</v>
      </c>
      <c r="S2248" s="37">
        <f t="shared" si="478"/>
        <v>1116447</v>
      </c>
      <c r="T2248" s="37">
        <f t="shared" si="479"/>
        <v>0</v>
      </c>
      <c r="U2248" s="10"/>
      <c r="V2248" s="10"/>
      <c r="W2248" s="10"/>
      <c r="X2248" s="10"/>
      <c r="Y2248" s="10"/>
      <c r="Z2248" s="10"/>
      <c r="AA2248" s="10"/>
      <c r="AB2248" s="10"/>
      <c r="AC2248" s="10"/>
      <c r="AD2248" s="10"/>
      <c r="AE2248" s="10"/>
    </row>
    <row r="2249" spans="1:31" ht="14.25" hidden="1" customHeight="1">
      <c r="A2249" s="277" t="s">
        <v>7873</v>
      </c>
      <c r="B2249" s="9" t="s">
        <v>21</v>
      </c>
      <c r="C2249" s="9">
        <v>2025</v>
      </c>
      <c r="D2249" s="9" t="s">
        <v>27</v>
      </c>
      <c r="E2249" s="90" t="s">
        <v>1147</v>
      </c>
      <c r="F2249" s="9" t="s">
        <v>1150</v>
      </c>
      <c r="G2249" s="10"/>
      <c r="H2249" s="96"/>
      <c r="I2249" s="109" t="s">
        <v>1171</v>
      </c>
      <c r="J2249" s="115">
        <v>45784</v>
      </c>
      <c r="K2249" s="115">
        <v>45791</v>
      </c>
      <c r="L2249" s="183">
        <v>1038195</v>
      </c>
      <c r="M2249" s="147" t="s">
        <v>1175</v>
      </c>
      <c r="N2249" s="34" t="s">
        <v>29</v>
      </c>
      <c r="O2249" s="125">
        <f>SUM(L2249:L2251)</f>
        <v>2748806</v>
      </c>
      <c r="P2249" s="113">
        <v>45887</v>
      </c>
      <c r="Q2249" s="113">
        <v>45887</v>
      </c>
      <c r="R2249" s="113">
        <v>45887</v>
      </c>
      <c r="S2249" s="37">
        <f t="shared" si="478"/>
        <v>1038195</v>
      </c>
      <c r="T2249" s="37">
        <f t="shared" si="479"/>
        <v>0</v>
      </c>
      <c r="U2249" s="10"/>
      <c r="V2249" s="10"/>
      <c r="W2249" s="10"/>
      <c r="X2249" s="10"/>
      <c r="Y2249" s="10"/>
      <c r="Z2249" s="10"/>
      <c r="AA2249" s="10"/>
      <c r="AB2249" s="10"/>
      <c r="AC2249" s="10"/>
      <c r="AD2249" s="10"/>
      <c r="AE2249" s="10"/>
    </row>
    <row r="2250" spans="1:31" ht="14.25" hidden="1" customHeight="1">
      <c r="A2250" s="277" t="s">
        <v>7874</v>
      </c>
      <c r="B2250" s="9" t="s">
        <v>21</v>
      </c>
      <c r="C2250" s="9">
        <v>2025</v>
      </c>
      <c r="D2250" s="9" t="s">
        <v>27</v>
      </c>
      <c r="E2250" s="90" t="s">
        <v>1147</v>
      </c>
      <c r="F2250" s="9" t="s">
        <v>1150</v>
      </c>
      <c r="G2250" s="10"/>
      <c r="H2250" s="96"/>
      <c r="I2250" s="109" t="s">
        <v>1171</v>
      </c>
      <c r="J2250" s="115">
        <v>45817</v>
      </c>
      <c r="K2250" s="115">
        <v>45822</v>
      </c>
      <c r="L2250" s="183">
        <v>1013628</v>
      </c>
      <c r="M2250" s="147" t="s">
        <v>1176</v>
      </c>
      <c r="N2250" s="34" t="s">
        <v>29</v>
      </c>
      <c r="O2250" s="11"/>
      <c r="P2250" s="113">
        <v>45887</v>
      </c>
      <c r="Q2250" s="113">
        <v>45887</v>
      </c>
      <c r="R2250" s="113">
        <v>45887</v>
      </c>
      <c r="S2250" s="37">
        <f t="shared" si="478"/>
        <v>1013628</v>
      </c>
      <c r="T2250" s="37">
        <f t="shared" si="479"/>
        <v>0</v>
      </c>
      <c r="U2250" s="10"/>
      <c r="V2250" s="10"/>
      <c r="W2250" s="10"/>
      <c r="X2250" s="10"/>
      <c r="Y2250" s="10"/>
      <c r="Z2250" s="10"/>
      <c r="AA2250" s="10"/>
      <c r="AB2250" s="10"/>
      <c r="AC2250" s="10"/>
      <c r="AD2250" s="10"/>
      <c r="AE2250" s="10"/>
    </row>
    <row r="2251" spans="1:31" ht="14.25" hidden="1" customHeight="1">
      <c r="A2251" s="277" t="s">
        <v>7875</v>
      </c>
      <c r="B2251" s="9" t="s">
        <v>21</v>
      </c>
      <c r="C2251" s="9">
        <v>2025</v>
      </c>
      <c r="D2251" s="9" t="s">
        <v>27</v>
      </c>
      <c r="E2251" s="90" t="s">
        <v>1147</v>
      </c>
      <c r="F2251" s="9" t="s">
        <v>1150</v>
      </c>
      <c r="G2251" s="10"/>
      <c r="H2251" s="96"/>
      <c r="I2251" s="109" t="s">
        <v>1171</v>
      </c>
      <c r="J2251" s="115">
        <v>45845</v>
      </c>
      <c r="K2251" s="115">
        <v>45848</v>
      </c>
      <c r="L2251" s="183">
        <v>696983</v>
      </c>
      <c r="M2251" s="147" t="s">
        <v>1177</v>
      </c>
      <c r="N2251" s="34" t="s">
        <v>29</v>
      </c>
      <c r="O2251" s="11"/>
      <c r="P2251" s="113">
        <v>45887</v>
      </c>
      <c r="Q2251" s="113">
        <v>45887</v>
      </c>
      <c r="R2251" s="113">
        <v>45887</v>
      </c>
      <c r="S2251" s="37">
        <f t="shared" si="478"/>
        <v>696983</v>
      </c>
      <c r="T2251" s="37">
        <f t="shared" si="479"/>
        <v>0</v>
      </c>
      <c r="U2251" s="10"/>
      <c r="V2251" s="10"/>
      <c r="W2251" s="10"/>
      <c r="X2251" s="10"/>
      <c r="Y2251" s="10"/>
      <c r="Z2251" s="10"/>
      <c r="AA2251" s="10"/>
      <c r="AB2251" s="10"/>
      <c r="AC2251" s="10"/>
      <c r="AD2251" s="10"/>
      <c r="AE2251" s="10"/>
    </row>
    <row r="2252" spans="1:31" ht="14.25" hidden="1" customHeight="1">
      <c r="A2252" s="277" t="s">
        <v>7876</v>
      </c>
      <c r="B2252" s="9" t="s">
        <v>21</v>
      </c>
      <c r="C2252" s="9">
        <v>2025</v>
      </c>
      <c r="D2252" s="9" t="s">
        <v>27</v>
      </c>
      <c r="E2252" s="90" t="s">
        <v>1147</v>
      </c>
      <c r="F2252" s="9" t="s">
        <v>1150</v>
      </c>
      <c r="G2252" s="10"/>
      <c r="H2252" s="96"/>
      <c r="I2252" s="109" t="s">
        <v>1171</v>
      </c>
      <c r="J2252" s="115">
        <v>45876</v>
      </c>
      <c r="K2252" s="115">
        <v>45883</v>
      </c>
      <c r="L2252" s="183">
        <v>908999</v>
      </c>
      <c r="M2252" s="147" t="s">
        <v>1178</v>
      </c>
      <c r="N2252" s="34" t="s">
        <v>29</v>
      </c>
      <c r="O2252" s="125">
        <f>SUM(L2252:L2253)</f>
        <v>1985411</v>
      </c>
      <c r="P2252" s="113">
        <v>45954</v>
      </c>
      <c r="Q2252" s="113">
        <v>45954</v>
      </c>
      <c r="R2252" s="113">
        <v>45954</v>
      </c>
      <c r="S2252" s="37">
        <f t="shared" si="478"/>
        <v>908999</v>
      </c>
      <c r="T2252" s="37">
        <f t="shared" si="479"/>
        <v>0</v>
      </c>
      <c r="U2252" s="10"/>
      <c r="V2252" s="10"/>
      <c r="W2252" s="10"/>
      <c r="X2252" s="10"/>
      <c r="Y2252" s="10"/>
      <c r="Z2252" s="10"/>
      <c r="AA2252" s="10"/>
      <c r="AB2252" s="10"/>
      <c r="AC2252" s="10"/>
      <c r="AD2252" s="10"/>
      <c r="AE2252" s="10"/>
    </row>
    <row r="2253" spans="1:31" ht="14.25" hidden="1" customHeight="1">
      <c r="A2253" s="277" t="s">
        <v>7877</v>
      </c>
      <c r="B2253" s="9" t="s">
        <v>21</v>
      </c>
      <c r="C2253" s="9">
        <v>2025</v>
      </c>
      <c r="D2253" s="9" t="s">
        <v>27</v>
      </c>
      <c r="E2253" s="90" t="s">
        <v>1147</v>
      </c>
      <c r="F2253" s="9" t="s">
        <v>1150</v>
      </c>
      <c r="G2253" s="10"/>
      <c r="H2253" s="96"/>
      <c r="I2253" s="109" t="s">
        <v>1171</v>
      </c>
      <c r="J2253" s="115">
        <v>45908</v>
      </c>
      <c r="K2253" s="115">
        <v>45911</v>
      </c>
      <c r="L2253" s="183">
        <v>1076412</v>
      </c>
      <c r="M2253" s="147" t="s">
        <v>1179</v>
      </c>
      <c r="N2253" s="34" t="s">
        <v>29</v>
      </c>
      <c r="O2253" s="11"/>
      <c r="P2253" s="113">
        <v>45954</v>
      </c>
      <c r="Q2253" s="113">
        <v>45954</v>
      </c>
      <c r="R2253" s="113">
        <v>45954</v>
      </c>
      <c r="S2253" s="37">
        <f t="shared" si="478"/>
        <v>1076412</v>
      </c>
      <c r="T2253" s="37">
        <f t="shared" si="479"/>
        <v>0</v>
      </c>
      <c r="U2253" s="10"/>
      <c r="V2253" s="10"/>
      <c r="W2253" s="10"/>
      <c r="X2253" s="10"/>
      <c r="Y2253" s="10"/>
      <c r="Z2253" s="10"/>
      <c r="AA2253" s="10"/>
      <c r="AB2253" s="10"/>
      <c r="AC2253" s="10"/>
      <c r="AD2253" s="10"/>
      <c r="AE2253" s="10"/>
    </row>
    <row r="2254" spans="1:31" ht="14.25" hidden="1" customHeight="1">
      <c r="A2254" s="277" t="s">
        <v>7878</v>
      </c>
      <c r="B2254" s="9" t="s">
        <v>21</v>
      </c>
      <c r="C2254" s="9">
        <v>2025</v>
      </c>
      <c r="D2254" s="9" t="s">
        <v>27</v>
      </c>
      <c r="E2254" s="90" t="s">
        <v>1147</v>
      </c>
      <c r="F2254" s="9" t="s">
        <v>1150</v>
      </c>
      <c r="G2254" s="10"/>
      <c r="H2254" s="96"/>
      <c r="I2254" s="109" t="s">
        <v>1171</v>
      </c>
      <c r="J2254" s="115">
        <v>45938</v>
      </c>
      <c r="K2254" s="115">
        <v>45943</v>
      </c>
      <c r="L2254" s="183">
        <v>930828</v>
      </c>
      <c r="M2254" s="147" t="s">
        <v>3794</v>
      </c>
      <c r="N2254" s="34" t="s">
        <v>29</v>
      </c>
      <c r="O2254" s="11"/>
      <c r="P2254" s="113">
        <v>45988</v>
      </c>
      <c r="Q2254" s="113">
        <v>45988</v>
      </c>
      <c r="R2254" s="113">
        <v>45988</v>
      </c>
      <c r="S2254" s="37">
        <f t="shared" si="478"/>
        <v>930828</v>
      </c>
      <c r="T2254" s="37">
        <f t="shared" si="479"/>
        <v>0</v>
      </c>
      <c r="U2254" s="10"/>
      <c r="V2254" s="10"/>
      <c r="W2254" s="10"/>
      <c r="X2254" s="10"/>
      <c r="Y2254" s="10"/>
      <c r="Z2254" s="10"/>
      <c r="AA2254" s="10"/>
      <c r="AB2254" s="10"/>
      <c r="AC2254" s="10"/>
      <c r="AD2254" s="10"/>
      <c r="AE2254" s="10"/>
    </row>
    <row r="2255" spans="1:31" ht="14.25" hidden="1" customHeight="1">
      <c r="A2255" s="277" t="s">
        <v>7879</v>
      </c>
      <c r="B2255" s="9" t="s">
        <v>21</v>
      </c>
      <c r="C2255" s="9">
        <v>2025</v>
      </c>
      <c r="D2255" s="9" t="s">
        <v>27</v>
      </c>
      <c r="E2255" s="90" t="s">
        <v>1147</v>
      </c>
      <c r="F2255" s="9" t="s">
        <v>1150</v>
      </c>
      <c r="G2255" s="10"/>
      <c r="H2255" s="96"/>
      <c r="I2255" s="109" t="s">
        <v>1171</v>
      </c>
      <c r="J2255" s="115">
        <v>45978</v>
      </c>
      <c r="K2255" s="115">
        <v>45986</v>
      </c>
      <c r="L2255" s="183">
        <v>1194699</v>
      </c>
      <c r="M2255" s="147" t="s">
        <v>4029</v>
      </c>
      <c r="N2255" s="34" t="s">
        <v>29</v>
      </c>
      <c r="O2255" s="125">
        <f>SUM(L2255:L2256)</f>
        <v>1964474</v>
      </c>
      <c r="P2255" s="113">
        <v>46049</v>
      </c>
      <c r="Q2255" s="113">
        <v>46049</v>
      </c>
      <c r="R2255" s="113">
        <v>46049</v>
      </c>
      <c r="S2255" s="37">
        <f t="shared" ref="S2255:S2260" si="480">IF(R2255="",0,L2255)</f>
        <v>1194699</v>
      </c>
      <c r="T2255" s="37">
        <f t="shared" ref="T2255:T2260" si="481">L2255-S2255</f>
        <v>0</v>
      </c>
      <c r="U2255" s="10"/>
      <c r="V2255" s="10"/>
      <c r="W2255" s="10"/>
      <c r="X2255" s="10"/>
      <c r="Y2255" s="10"/>
      <c r="Z2255" s="10"/>
      <c r="AA2255" s="10"/>
      <c r="AB2255" s="10"/>
      <c r="AC2255" s="10"/>
      <c r="AD2255" s="10"/>
      <c r="AE2255" s="10"/>
    </row>
    <row r="2256" spans="1:31" ht="14.25" hidden="1" customHeight="1">
      <c r="A2256" s="277" t="s">
        <v>7880</v>
      </c>
      <c r="B2256" s="9" t="s">
        <v>21</v>
      </c>
      <c r="C2256" s="9">
        <v>2025</v>
      </c>
      <c r="D2256" s="9" t="s">
        <v>27</v>
      </c>
      <c r="E2256" s="90" t="s">
        <v>1147</v>
      </c>
      <c r="F2256" s="9" t="s">
        <v>1150</v>
      </c>
      <c r="G2256" s="10"/>
      <c r="H2256" s="96"/>
      <c r="I2256" s="109" t="s">
        <v>1171</v>
      </c>
      <c r="J2256" s="115">
        <v>45999</v>
      </c>
      <c r="K2256" s="115">
        <v>46004</v>
      </c>
      <c r="L2256" s="183">
        <v>769775</v>
      </c>
      <c r="M2256" s="147" t="s">
        <v>4100</v>
      </c>
      <c r="N2256" s="34" t="s">
        <v>29</v>
      </c>
      <c r="O2256" s="11"/>
      <c r="P2256" s="113">
        <v>46049</v>
      </c>
      <c r="Q2256" s="113">
        <v>46049</v>
      </c>
      <c r="R2256" s="113">
        <v>46049</v>
      </c>
      <c r="S2256" s="37">
        <f t="shared" si="480"/>
        <v>769775</v>
      </c>
      <c r="T2256" s="37">
        <f t="shared" si="481"/>
        <v>0</v>
      </c>
      <c r="U2256" s="10"/>
      <c r="V2256" s="10"/>
      <c r="W2256" s="10"/>
      <c r="X2256" s="10"/>
      <c r="Y2256" s="10"/>
      <c r="Z2256" s="10"/>
      <c r="AA2256" s="10"/>
      <c r="AB2256" s="10"/>
      <c r="AC2256" s="10"/>
      <c r="AD2256" s="10"/>
      <c r="AE2256" s="10"/>
    </row>
    <row r="2257" spans="1:31" ht="14.25" hidden="1" customHeight="1">
      <c r="A2257" s="277" t="s">
        <v>7881</v>
      </c>
      <c r="B2257" s="9" t="s">
        <v>21</v>
      </c>
      <c r="C2257" s="9">
        <v>2026</v>
      </c>
      <c r="D2257" s="9" t="s">
        <v>27</v>
      </c>
      <c r="E2257" s="90" t="s">
        <v>1147</v>
      </c>
      <c r="F2257" s="9" t="s">
        <v>1150</v>
      </c>
      <c r="G2257" s="10"/>
      <c r="H2257" s="96"/>
      <c r="I2257" s="109" t="s">
        <v>1171</v>
      </c>
      <c r="J2257" s="115">
        <v>46031</v>
      </c>
      <c r="K2257" s="115">
        <v>46034</v>
      </c>
      <c r="L2257" s="183">
        <v>304817</v>
      </c>
      <c r="M2257" s="147" t="s">
        <v>4216</v>
      </c>
      <c r="N2257" s="34" t="s">
        <v>29</v>
      </c>
      <c r="O2257" s="125">
        <f>SUM(L2257:L2258)</f>
        <v>954486</v>
      </c>
      <c r="P2257" s="113">
        <v>46107</v>
      </c>
      <c r="Q2257" s="113">
        <v>46107</v>
      </c>
      <c r="R2257" s="113">
        <v>46107</v>
      </c>
      <c r="S2257" s="37">
        <f t="shared" si="480"/>
        <v>304817</v>
      </c>
      <c r="T2257" s="37">
        <f t="shared" si="481"/>
        <v>0</v>
      </c>
      <c r="U2257" s="10"/>
      <c r="V2257" s="10"/>
      <c r="W2257" s="10"/>
      <c r="X2257" s="10"/>
      <c r="Y2257" s="10"/>
      <c r="Z2257" s="10"/>
      <c r="AA2257" s="10"/>
      <c r="AB2257" s="10"/>
      <c r="AC2257" s="10"/>
      <c r="AD2257" s="10"/>
      <c r="AE2257" s="10"/>
    </row>
    <row r="2258" spans="1:31" ht="14.25" hidden="1" customHeight="1">
      <c r="A2258" s="277" t="s">
        <v>7882</v>
      </c>
      <c r="B2258" s="9" t="s">
        <v>21</v>
      </c>
      <c r="C2258" s="9">
        <v>2026</v>
      </c>
      <c r="D2258" s="9" t="s">
        <v>27</v>
      </c>
      <c r="E2258" s="90" t="s">
        <v>1147</v>
      </c>
      <c r="F2258" s="9" t="s">
        <v>1150</v>
      </c>
      <c r="G2258" s="10"/>
      <c r="H2258" s="96"/>
      <c r="I2258" s="109" t="s">
        <v>1171</v>
      </c>
      <c r="J2258" s="115">
        <v>46062</v>
      </c>
      <c r="K2258" s="115">
        <v>46065</v>
      </c>
      <c r="L2258" s="183">
        <v>649669</v>
      </c>
      <c r="M2258" s="147" t="s">
        <v>4346</v>
      </c>
      <c r="N2258" s="34" t="s">
        <v>29</v>
      </c>
      <c r="O2258" s="11"/>
      <c r="P2258" s="113">
        <v>46107</v>
      </c>
      <c r="Q2258" s="113">
        <v>46107</v>
      </c>
      <c r="R2258" s="113">
        <v>46107</v>
      </c>
      <c r="S2258" s="37">
        <f t="shared" si="480"/>
        <v>649669</v>
      </c>
      <c r="T2258" s="37">
        <f t="shared" si="481"/>
        <v>0</v>
      </c>
      <c r="U2258" s="10"/>
      <c r="V2258" s="10"/>
      <c r="W2258" s="10"/>
      <c r="X2258" s="10"/>
      <c r="Y2258" s="10"/>
      <c r="Z2258" s="10"/>
      <c r="AA2258" s="10"/>
      <c r="AB2258" s="10"/>
      <c r="AC2258" s="10"/>
      <c r="AD2258" s="10"/>
      <c r="AE2258" s="10"/>
    </row>
    <row r="2259" spans="1:31" ht="14.25" hidden="1" customHeight="1">
      <c r="A2259" s="277" t="s">
        <v>7883</v>
      </c>
      <c r="B2259" s="9" t="s">
        <v>21</v>
      </c>
      <c r="C2259" s="9">
        <v>2026</v>
      </c>
      <c r="D2259" s="9" t="s">
        <v>27</v>
      </c>
      <c r="E2259" s="90" t="s">
        <v>1147</v>
      </c>
      <c r="F2259" s="9" t="s">
        <v>1150</v>
      </c>
      <c r="G2259" s="10"/>
      <c r="H2259" s="9"/>
      <c r="I2259" s="109" t="s">
        <v>1171</v>
      </c>
      <c r="J2259" s="115">
        <v>46090</v>
      </c>
      <c r="K2259" s="115">
        <v>46094</v>
      </c>
      <c r="L2259" s="183">
        <v>680605</v>
      </c>
      <c r="M2259" s="147" t="s">
        <v>4458</v>
      </c>
      <c r="N2259" s="34" t="s">
        <v>29</v>
      </c>
      <c r="O2259" s="125">
        <f>SUM(L2259:L2261)</f>
        <v>2445812</v>
      </c>
      <c r="P2259" s="113">
        <v>46198</v>
      </c>
      <c r="Q2259" s="113">
        <v>46198</v>
      </c>
      <c r="R2259" s="113">
        <v>46198</v>
      </c>
      <c r="S2259" s="37">
        <f t="shared" si="480"/>
        <v>680605</v>
      </c>
      <c r="T2259" s="37">
        <f t="shared" si="481"/>
        <v>0</v>
      </c>
      <c r="U2259" s="10"/>
      <c r="V2259" s="10"/>
      <c r="W2259" s="10"/>
      <c r="X2259" s="10"/>
      <c r="Y2259" s="10"/>
      <c r="Z2259" s="10"/>
      <c r="AA2259" s="10"/>
      <c r="AB2259" s="10"/>
      <c r="AC2259" s="10"/>
      <c r="AD2259" s="10"/>
      <c r="AE2259" s="10"/>
    </row>
    <row r="2260" spans="1:31" ht="14.25" hidden="1" customHeight="1">
      <c r="A2260" s="277" t="s">
        <v>7884</v>
      </c>
      <c r="B2260" s="9" t="s">
        <v>21</v>
      </c>
      <c r="C2260" s="9">
        <v>2026</v>
      </c>
      <c r="D2260" s="9" t="s">
        <v>27</v>
      </c>
      <c r="E2260" s="90" t="s">
        <v>1147</v>
      </c>
      <c r="F2260" s="9" t="s">
        <v>1150</v>
      </c>
      <c r="G2260" s="10"/>
      <c r="H2260" s="9"/>
      <c r="I2260" s="109" t="s">
        <v>1171</v>
      </c>
      <c r="J2260" s="115">
        <v>46119</v>
      </c>
      <c r="K2260" s="115">
        <v>46122</v>
      </c>
      <c r="L2260" s="183">
        <v>768866</v>
      </c>
      <c r="M2260" s="147" t="s">
        <v>4514</v>
      </c>
      <c r="N2260" s="34" t="s">
        <v>29</v>
      </c>
      <c r="O2260" s="11"/>
      <c r="P2260" s="113">
        <v>46198</v>
      </c>
      <c r="Q2260" s="113">
        <v>46198</v>
      </c>
      <c r="R2260" s="113">
        <v>46198</v>
      </c>
      <c r="S2260" s="37">
        <f t="shared" si="480"/>
        <v>768866</v>
      </c>
      <c r="T2260" s="37">
        <f t="shared" si="481"/>
        <v>0</v>
      </c>
      <c r="U2260" s="10"/>
      <c r="V2260" s="10"/>
      <c r="W2260" s="10"/>
      <c r="X2260" s="10"/>
      <c r="Y2260" s="10"/>
      <c r="Z2260" s="10"/>
      <c r="AA2260" s="10"/>
      <c r="AB2260" s="10"/>
      <c r="AC2260" s="10"/>
      <c r="AD2260" s="10"/>
      <c r="AE2260" s="10"/>
    </row>
    <row r="2261" spans="1:31" ht="14.25" customHeight="1">
      <c r="A2261" s="277" t="s">
        <v>7885</v>
      </c>
      <c r="B2261" s="9" t="s">
        <v>21</v>
      </c>
      <c r="C2261" s="9">
        <v>2026</v>
      </c>
      <c r="D2261" s="9" t="s">
        <v>27</v>
      </c>
      <c r="E2261" s="90" t="s">
        <v>1147</v>
      </c>
      <c r="F2261" s="9" t="s">
        <v>1150</v>
      </c>
      <c r="G2261" s="10"/>
      <c r="H2261" s="9"/>
      <c r="I2261" s="109" t="s">
        <v>1171</v>
      </c>
      <c r="J2261" s="115">
        <v>46150</v>
      </c>
      <c r="K2261" s="115">
        <v>46155</v>
      </c>
      <c r="L2261" s="183">
        <v>996341</v>
      </c>
      <c r="M2261" s="147" t="s">
        <v>7043</v>
      </c>
      <c r="N2261" s="34" t="s">
        <v>29</v>
      </c>
      <c r="O2261" s="11"/>
      <c r="P2261" s="113">
        <v>46198</v>
      </c>
      <c r="Q2261" s="113">
        <v>46198</v>
      </c>
      <c r="R2261" s="113">
        <v>46198</v>
      </c>
      <c r="S2261" s="37">
        <f t="shared" ref="S2261:S2263" si="482">IF(R2261="",0,L2261)</f>
        <v>996341</v>
      </c>
      <c r="T2261" s="37">
        <f t="shared" ref="T2261:T2263" si="483">L2261-S2261</f>
        <v>0</v>
      </c>
      <c r="U2261" s="10"/>
      <c r="V2261" s="10"/>
      <c r="W2261" s="10"/>
      <c r="X2261" s="10"/>
      <c r="Y2261" s="10"/>
      <c r="Z2261" s="10"/>
      <c r="AA2261" s="10"/>
      <c r="AB2261" s="10"/>
      <c r="AC2261" s="10"/>
      <c r="AD2261" s="10"/>
      <c r="AE2261" s="10"/>
    </row>
    <row r="2262" spans="1:31" ht="14.25" customHeight="1">
      <c r="A2262" s="277" t="s">
        <v>7886</v>
      </c>
      <c r="B2262" s="9" t="s">
        <v>21</v>
      </c>
      <c r="C2262" s="9">
        <v>2026</v>
      </c>
      <c r="D2262" s="9" t="s">
        <v>77</v>
      </c>
      <c r="E2262" s="90" t="s">
        <v>1147</v>
      </c>
      <c r="F2262" s="9" t="s">
        <v>1150</v>
      </c>
      <c r="G2262" s="10"/>
      <c r="H2262" s="9"/>
      <c r="I2262" s="11" t="s">
        <v>1171</v>
      </c>
      <c r="J2262" s="12">
        <v>46181</v>
      </c>
      <c r="K2262" s="12">
        <v>46185</v>
      </c>
      <c r="L2262" s="130">
        <v>987242</v>
      </c>
      <c r="M2262" s="125" t="s">
        <v>7148</v>
      </c>
      <c r="N2262" s="34">
        <f ca="1">$J$3-J2262</f>
        <v>59.463776388889528</v>
      </c>
      <c r="O2262" s="11"/>
      <c r="P2262" s="39"/>
      <c r="Q2262" s="39"/>
      <c r="R2262" s="39"/>
      <c r="S2262" s="37">
        <f t="shared" si="482"/>
        <v>0</v>
      </c>
      <c r="T2262" s="37">
        <f t="shared" si="483"/>
        <v>987242</v>
      </c>
      <c r="U2262" s="10"/>
      <c r="V2262" s="10"/>
      <c r="W2262" s="10"/>
      <c r="X2262" s="10"/>
      <c r="Y2262" s="10"/>
      <c r="Z2262" s="10"/>
      <c r="AA2262" s="10"/>
      <c r="AB2262" s="10"/>
      <c r="AC2262" s="10"/>
      <c r="AD2262" s="10"/>
      <c r="AE2262" s="10"/>
    </row>
    <row r="2263" spans="1:31" ht="14.25" customHeight="1">
      <c r="A2263" s="277" t="s">
        <v>7887</v>
      </c>
      <c r="B2263" s="9" t="s">
        <v>21</v>
      </c>
      <c r="C2263" s="9">
        <v>2026</v>
      </c>
      <c r="D2263" s="9" t="s">
        <v>77</v>
      </c>
      <c r="E2263" s="90" t="s">
        <v>1147</v>
      </c>
      <c r="F2263" s="9" t="s">
        <v>1150</v>
      </c>
      <c r="G2263" s="10"/>
      <c r="H2263" s="9"/>
      <c r="I2263" s="11" t="s">
        <v>1171</v>
      </c>
      <c r="J2263" s="12">
        <v>46210</v>
      </c>
      <c r="K2263" s="12">
        <v>46218</v>
      </c>
      <c r="L2263" s="130">
        <v>535931</v>
      </c>
      <c r="M2263" s="125" t="s">
        <v>7391</v>
      </c>
      <c r="N2263" s="34">
        <f ca="1">$J$3-J2263</f>
        <v>30.463776388889528</v>
      </c>
      <c r="O2263" s="11"/>
      <c r="P2263" s="39"/>
      <c r="Q2263" s="39"/>
      <c r="R2263" s="39"/>
      <c r="S2263" s="37">
        <f t="shared" si="482"/>
        <v>0</v>
      </c>
      <c r="T2263" s="37">
        <f t="shared" si="483"/>
        <v>535931</v>
      </c>
      <c r="U2263" s="10"/>
      <c r="V2263" s="10"/>
      <c r="W2263" s="10"/>
      <c r="X2263" s="10"/>
      <c r="Y2263" s="10"/>
      <c r="Z2263" s="10"/>
      <c r="AA2263" s="10"/>
      <c r="AB2263" s="10"/>
      <c r="AC2263" s="10"/>
      <c r="AD2263" s="10"/>
      <c r="AE2263" s="10"/>
    </row>
    <row r="2264" spans="1:31" ht="14.25" customHeight="1">
      <c r="A2264" s="277" t="s">
        <v>7888</v>
      </c>
      <c r="B2264" s="9" t="s">
        <v>21</v>
      </c>
      <c r="C2264" s="9"/>
      <c r="D2264" s="9"/>
      <c r="E2264" s="90"/>
      <c r="F2264" s="9"/>
      <c r="G2264" s="10"/>
      <c r="H2264" s="9"/>
      <c r="I2264" s="11"/>
      <c r="J2264" s="12"/>
      <c r="K2264" s="12"/>
      <c r="L2264" s="52"/>
      <c r="M2264" s="10"/>
      <c r="N2264" s="114">
        <f ca="1">$J$3-J2264</f>
        <v>46240.46377638889</v>
      </c>
      <c r="O2264" s="10"/>
      <c r="P2264" s="39"/>
      <c r="Q2264" s="39"/>
      <c r="R2264" s="39"/>
      <c r="S2264" s="37">
        <f>IF(R2264="",0,L2264)</f>
        <v>0</v>
      </c>
      <c r="T2264" s="37">
        <f>L2264-S2264</f>
        <v>0</v>
      </c>
      <c r="U2264" s="10"/>
      <c r="V2264" s="10"/>
      <c r="W2264" s="10"/>
      <c r="X2264" s="10"/>
      <c r="Y2264" s="10"/>
      <c r="Z2264" s="10"/>
      <c r="AA2264" s="10"/>
      <c r="AB2264" s="10"/>
      <c r="AC2264" s="10"/>
      <c r="AD2264" s="10"/>
      <c r="AE2264" s="10"/>
    </row>
    <row r="2265" spans="1:31" ht="14.25" customHeight="1">
      <c r="A2265" s="277" t="s">
        <v>7889</v>
      </c>
      <c r="B2265" s="9" t="s">
        <v>21</v>
      </c>
      <c r="C2265" s="9"/>
      <c r="D2265" s="9"/>
      <c r="E2265" s="90"/>
      <c r="F2265" s="9"/>
      <c r="G2265" s="10"/>
      <c r="H2265" s="9"/>
      <c r="I2265" s="11"/>
      <c r="J2265" s="12"/>
      <c r="K2265" s="12"/>
      <c r="L2265" s="52"/>
      <c r="M2265" s="10"/>
      <c r="N2265" s="34"/>
      <c r="O2265" s="10"/>
      <c r="P2265" s="39"/>
      <c r="Q2265" s="39"/>
      <c r="R2265" s="39"/>
      <c r="S2265" s="37"/>
      <c r="T2265" s="37"/>
      <c r="U2265" s="10"/>
      <c r="V2265" s="10"/>
      <c r="W2265" s="10"/>
      <c r="X2265" s="10"/>
      <c r="Y2265" s="10"/>
      <c r="Z2265" s="10"/>
      <c r="AA2265" s="10"/>
      <c r="AB2265" s="10"/>
      <c r="AC2265" s="10"/>
      <c r="AD2265" s="10"/>
      <c r="AE2265" s="10"/>
    </row>
    <row r="2266" spans="1:31">
      <c r="A2266" s="277" t="s">
        <v>7890</v>
      </c>
      <c r="B2266" s="9" t="s">
        <v>21</v>
      </c>
      <c r="C2266" s="9"/>
      <c r="D2266" s="9"/>
      <c r="E2266" s="90"/>
      <c r="F2266" s="9"/>
      <c r="G2266" s="94" t="s">
        <v>24</v>
      </c>
      <c r="H2266" s="95" t="s">
        <v>1180</v>
      </c>
      <c r="I2266" s="104"/>
      <c r="J2266" s="105"/>
      <c r="K2266" s="105"/>
      <c r="L2266" s="106">
        <f>SUM(L2267:L2276)</f>
        <v>57933353</v>
      </c>
      <c r="M2266" s="107"/>
      <c r="N2266" s="108" t="s">
        <v>26</v>
      </c>
      <c r="O2266" s="108"/>
      <c r="P2266" s="108"/>
      <c r="Q2266" s="108"/>
      <c r="R2266" s="108"/>
      <c r="S2266" s="106">
        <f>SUM(S2267:S2276)</f>
        <v>48265336</v>
      </c>
      <c r="T2266" s="106">
        <f>SUM(T2267:T2276)</f>
        <v>9668017</v>
      </c>
      <c r="U2266" s="10"/>
      <c r="V2266" s="52">
        <f>L2266-S2266</f>
        <v>9668017</v>
      </c>
      <c r="W2266" s="52">
        <f>T2266-V2266</f>
        <v>0</v>
      </c>
      <c r="X2266" s="10"/>
      <c r="Y2266" s="10"/>
      <c r="Z2266" s="10"/>
      <c r="AA2266" s="10"/>
      <c r="AB2266" s="10"/>
      <c r="AC2266" s="10"/>
      <c r="AD2266" s="10"/>
      <c r="AE2266" s="10"/>
    </row>
    <row r="2267" spans="1:31" hidden="1">
      <c r="A2267" s="277" t="s">
        <v>7891</v>
      </c>
      <c r="B2267" s="9" t="s">
        <v>21</v>
      </c>
      <c r="C2267" s="9">
        <v>2025</v>
      </c>
      <c r="D2267" s="9" t="s">
        <v>27</v>
      </c>
      <c r="E2267" s="90" t="s">
        <v>1147</v>
      </c>
      <c r="F2267" s="9" t="s">
        <v>1150</v>
      </c>
      <c r="G2267" s="10"/>
      <c r="H2267" s="96"/>
      <c r="I2267" s="109" t="s">
        <v>1181</v>
      </c>
      <c r="J2267" s="115">
        <v>45654</v>
      </c>
      <c r="K2267" s="115">
        <v>45673</v>
      </c>
      <c r="L2267" s="131">
        <v>6291935</v>
      </c>
      <c r="M2267" s="109" t="s">
        <v>1182</v>
      </c>
      <c r="N2267" s="34" t="s">
        <v>29</v>
      </c>
      <c r="O2267" s="125">
        <f>SUM(L2267:L2268)</f>
        <v>18517197</v>
      </c>
      <c r="P2267" s="113">
        <v>45743</v>
      </c>
      <c r="Q2267" s="113">
        <v>45743</v>
      </c>
      <c r="R2267" s="113">
        <v>45743</v>
      </c>
      <c r="S2267" s="37">
        <f t="shared" ref="S2267:S2275" si="484">IF(R2267="",0,L2267)</f>
        <v>6291935</v>
      </c>
      <c r="T2267" s="37">
        <f t="shared" ref="T2267:T2275" si="485">L2267-S2267</f>
        <v>0</v>
      </c>
      <c r="U2267" s="10"/>
      <c r="V2267" s="10"/>
      <c r="W2267" s="10"/>
      <c r="X2267" s="10"/>
      <c r="Y2267" s="10"/>
      <c r="Z2267" s="10"/>
      <c r="AA2267" s="10"/>
      <c r="AB2267" s="10"/>
      <c r="AC2267" s="10"/>
      <c r="AD2267" s="10"/>
      <c r="AE2267" s="10"/>
    </row>
    <row r="2268" spans="1:31" hidden="1">
      <c r="A2268" s="277" t="s">
        <v>7892</v>
      </c>
      <c r="B2268" s="9" t="s">
        <v>21</v>
      </c>
      <c r="C2268" s="9">
        <v>2025</v>
      </c>
      <c r="D2268" s="9" t="s">
        <v>27</v>
      </c>
      <c r="E2268" s="90" t="s">
        <v>1147</v>
      </c>
      <c r="F2268" s="9" t="s">
        <v>1150</v>
      </c>
      <c r="G2268" s="10"/>
      <c r="H2268" s="96"/>
      <c r="I2268" s="109" t="s">
        <v>1181</v>
      </c>
      <c r="J2268" s="115">
        <v>45654</v>
      </c>
      <c r="K2268" s="115">
        <v>45673</v>
      </c>
      <c r="L2268" s="131">
        <v>12225262</v>
      </c>
      <c r="M2268" s="109" t="s">
        <v>1183</v>
      </c>
      <c r="N2268" s="34" t="s">
        <v>29</v>
      </c>
      <c r="O2268" s="11"/>
      <c r="P2268" s="113">
        <v>45743</v>
      </c>
      <c r="Q2268" s="113">
        <v>45743</v>
      </c>
      <c r="R2268" s="113">
        <v>45743</v>
      </c>
      <c r="S2268" s="37">
        <f t="shared" si="484"/>
        <v>12225262</v>
      </c>
      <c r="T2268" s="37">
        <f t="shared" si="485"/>
        <v>0</v>
      </c>
      <c r="U2268" s="10"/>
      <c r="V2268" s="10"/>
      <c r="W2268" s="10"/>
      <c r="X2268" s="10"/>
      <c r="Y2268" s="10"/>
      <c r="Z2268" s="10"/>
      <c r="AA2268" s="10"/>
      <c r="AB2268" s="10"/>
      <c r="AC2268" s="10"/>
      <c r="AD2268" s="10"/>
      <c r="AE2268" s="10"/>
    </row>
    <row r="2269" spans="1:31" ht="14.25" hidden="1" customHeight="1">
      <c r="A2269" s="277" t="s">
        <v>7893</v>
      </c>
      <c r="B2269" s="9" t="s">
        <v>21</v>
      </c>
      <c r="C2269" s="9">
        <v>2025</v>
      </c>
      <c r="D2269" s="9" t="s">
        <v>27</v>
      </c>
      <c r="E2269" s="90" t="s">
        <v>1147</v>
      </c>
      <c r="F2269" s="9" t="s">
        <v>1150</v>
      </c>
      <c r="G2269" s="10"/>
      <c r="H2269" s="96"/>
      <c r="I2269" s="109" t="s">
        <v>1181</v>
      </c>
      <c r="J2269" s="115">
        <v>45677</v>
      </c>
      <c r="K2269" s="115">
        <v>45730</v>
      </c>
      <c r="L2269" s="131">
        <v>17979286</v>
      </c>
      <c r="M2269" s="109" t="s">
        <v>1184</v>
      </c>
      <c r="N2269" s="34" t="s">
        <v>29</v>
      </c>
      <c r="O2269" s="11"/>
      <c r="P2269" s="113">
        <v>45798</v>
      </c>
      <c r="Q2269" s="113">
        <v>45798</v>
      </c>
      <c r="R2269" s="113">
        <v>45798</v>
      </c>
      <c r="S2269" s="37">
        <f t="shared" si="484"/>
        <v>17979286</v>
      </c>
      <c r="T2269" s="37">
        <f t="shared" si="485"/>
        <v>0</v>
      </c>
      <c r="U2269" s="10"/>
      <c r="V2269" s="10"/>
      <c r="W2269" s="10"/>
      <c r="X2269" s="10"/>
      <c r="Y2269" s="10"/>
      <c r="Z2269" s="10"/>
      <c r="AA2269" s="10"/>
      <c r="AB2269" s="10"/>
      <c r="AC2269" s="10"/>
      <c r="AD2269" s="10"/>
      <c r="AE2269" s="10"/>
    </row>
    <row r="2270" spans="1:31" ht="14.25" customHeight="1">
      <c r="A2270" s="277" t="s">
        <v>7894</v>
      </c>
      <c r="B2270" s="9" t="s">
        <v>21</v>
      </c>
      <c r="C2270" s="9">
        <v>2025</v>
      </c>
      <c r="D2270" s="9" t="s">
        <v>27</v>
      </c>
      <c r="E2270" s="90" t="s">
        <v>1147</v>
      </c>
      <c r="F2270" s="9" t="s">
        <v>1150</v>
      </c>
      <c r="G2270" s="10"/>
      <c r="H2270" s="96"/>
      <c r="I2270" s="109" t="s">
        <v>1181</v>
      </c>
      <c r="J2270" s="115">
        <v>45687</v>
      </c>
      <c r="K2270" s="115">
        <v>45730</v>
      </c>
      <c r="L2270" s="131">
        <v>11768853</v>
      </c>
      <c r="M2270" s="109" t="s">
        <v>1185</v>
      </c>
      <c r="N2270" s="34" t="s">
        <v>29</v>
      </c>
      <c r="O2270" s="11"/>
      <c r="P2270" s="113">
        <v>45867</v>
      </c>
      <c r="Q2270" s="113">
        <v>45867</v>
      </c>
      <c r="R2270" s="113">
        <v>45867</v>
      </c>
      <c r="S2270" s="37">
        <f t="shared" si="484"/>
        <v>11768853</v>
      </c>
      <c r="T2270" s="37">
        <f t="shared" si="485"/>
        <v>0</v>
      </c>
      <c r="U2270" s="10"/>
      <c r="V2270" s="10"/>
      <c r="W2270" s="10"/>
      <c r="X2270" s="10"/>
      <c r="Y2270" s="10"/>
      <c r="Z2270" s="10"/>
      <c r="AA2270" s="10"/>
      <c r="AB2270" s="10"/>
      <c r="AC2270" s="10"/>
      <c r="AD2270" s="10"/>
      <c r="AE2270" s="10"/>
    </row>
    <row r="2271" spans="1:31" ht="14.25" customHeight="1">
      <c r="A2271" s="277" t="s">
        <v>7895</v>
      </c>
      <c r="B2271" s="9" t="s">
        <v>21</v>
      </c>
      <c r="C2271" s="9">
        <v>2025</v>
      </c>
      <c r="D2271" s="9" t="s">
        <v>77</v>
      </c>
      <c r="E2271" s="90" t="s">
        <v>1147</v>
      </c>
      <c r="F2271" s="9" t="s">
        <v>1150</v>
      </c>
      <c r="G2271" s="10"/>
      <c r="H2271" s="9"/>
      <c r="I2271" s="11" t="s">
        <v>1181</v>
      </c>
      <c r="J2271" s="12">
        <v>45719</v>
      </c>
      <c r="K2271" s="12">
        <v>45772</v>
      </c>
      <c r="L2271" s="52">
        <v>2868862</v>
      </c>
      <c r="M2271" s="11" t="s">
        <v>1186</v>
      </c>
      <c r="N2271" s="34">
        <f ca="1">$J$3-J2271</f>
        <v>521.46377638888953</v>
      </c>
      <c r="O2271" s="11"/>
      <c r="P2271" s="39"/>
      <c r="Q2271" s="39"/>
      <c r="R2271" s="39"/>
      <c r="S2271" s="37">
        <f t="shared" si="484"/>
        <v>0</v>
      </c>
      <c r="T2271" s="37">
        <f t="shared" si="485"/>
        <v>2868862</v>
      </c>
      <c r="U2271" s="10"/>
      <c r="V2271" s="10"/>
      <c r="W2271" s="10"/>
      <c r="X2271" s="10"/>
      <c r="Y2271" s="10"/>
      <c r="Z2271" s="10"/>
      <c r="AA2271" s="10"/>
      <c r="AB2271" s="10"/>
      <c r="AC2271" s="10"/>
      <c r="AD2271" s="10"/>
      <c r="AE2271" s="10"/>
    </row>
    <row r="2272" spans="1:31" ht="14.25" customHeight="1">
      <c r="A2272" s="277" t="s">
        <v>7896</v>
      </c>
      <c r="B2272" s="9" t="s">
        <v>21</v>
      </c>
      <c r="C2272" s="9">
        <v>2025</v>
      </c>
      <c r="D2272" s="9" t="s">
        <v>77</v>
      </c>
      <c r="E2272" s="90" t="s">
        <v>1147</v>
      </c>
      <c r="F2272" s="9" t="s">
        <v>1150</v>
      </c>
      <c r="G2272" s="10"/>
      <c r="H2272" s="9"/>
      <c r="I2272" s="11" t="s">
        <v>1181</v>
      </c>
      <c r="J2272" s="12">
        <v>45761</v>
      </c>
      <c r="K2272" s="12">
        <v>45772</v>
      </c>
      <c r="L2272" s="52">
        <f>1434431-142151</f>
        <v>1292280</v>
      </c>
      <c r="M2272" s="11" t="s">
        <v>1187</v>
      </c>
      <c r="N2272" s="34">
        <f ca="1">$J$3-J2272</f>
        <v>479.46377638888953</v>
      </c>
      <c r="O2272" s="11"/>
      <c r="P2272" s="39"/>
      <c r="Q2272" s="39"/>
      <c r="R2272" s="39"/>
      <c r="S2272" s="37">
        <f t="shared" si="484"/>
        <v>0</v>
      </c>
      <c r="T2272" s="37">
        <f t="shared" si="485"/>
        <v>1292280</v>
      </c>
      <c r="U2272" s="10"/>
      <c r="V2272" s="10"/>
      <c r="W2272" s="10"/>
      <c r="X2272" s="10"/>
      <c r="Y2272" s="10"/>
      <c r="Z2272" s="10"/>
      <c r="AA2272" s="10"/>
      <c r="AB2272" s="10"/>
      <c r="AC2272" s="10"/>
      <c r="AD2272" s="10"/>
      <c r="AE2272" s="10"/>
    </row>
    <row r="2273" spans="1:31" ht="14.25" customHeight="1">
      <c r="A2273" s="277" t="s">
        <v>7897</v>
      </c>
      <c r="B2273" s="9" t="s">
        <v>21</v>
      </c>
      <c r="C2273" s="9">
        <v>2025</v>
      </c>
      <c r="D2273" s="9" t="s">
        <v>77</v>
      </c>
      <c r="E2273" s="90" t="s">
        <v>1147</v>
      </c>
      <c r="F2273" s="9" t="s">
        <v>1150</v>
      </c>
      <c r="G2273" s="10"/>
      <c r="H2273" s="9"/>
      <c r="I2273" s="11" t="s">
        <v>1181</v>
      </c>
      <c r="J2273" s="12">
        <v>45764</v>
      </c>
      <c r="K2273" s="12">
        <v>45772</v>
      </c>
      <c r="L2273" s="52">
        <f>1124724-111459</f>
        <v>1013265</v>
      </c>
      <c r="M2273" s="11" t="s">
        <v>1188</v>
      </c>
      <c r="N2273" s="34">
        <f ca="1">$J$3-J2273</f>
        <v>476.46377638888953</v>
      </c>
      <c r="O2273" s="11"/>
      <c r="P2273" s="39"/>
      <c r="Q2273" s="39"/>
      <c r="R2273" s="39"/>
      <c r="S2273" s="37">
        <f t="shared" si="484"/>
        <v>0</v>
      </c>
      <c r="T2273" s="37">
        <f t="shared" si="485"/>
        <v>1013265</v>
      </c>
      <c r="U2273" s="10"/>
      <c r="V2273" s="10"/>
      <c r="W2273" s="10"/>
      <c r="X2273" s="10"/>
      <c r="Y2273" s="10"/>
      <c r="Z2273" s="10"/>
      <c r="AA2273" s="10"/>
      <c r="AB2273" s="10"/>
      <c r="AC2273" s="10"/>
      <c r="AD2273" s="10"/>
      <c r="AE2273" s="10"/>
    </row>
    <row r="2274" spans="1:31" ht="14.25" customHeight="1">
      <c r="A2274" s="277" t="s">
        <v>7898</v>
      </c>
      <c r="B2274" s="9" t="s">
        <v>21</v>
      </c>
      <c r="C2274" s="9">
        <v>2025</v>
      </c>
      <c r="D2274" s="9" t="s">
        <v>77</v>
      </c>
      <c r="E2274" s="90" t="s">
        <v>1147</v>
      </c>
      <c r="F2274" s="9" t="s">
        <v>1150</v>
      </c>
      <c r="G2274" s="10"/>
      <c r="H2274" s="9"/>
      <c r="I2274" s="11" t="s">
        <v>1181</v>
      </c>
      <c r="J2274" s="12">
        <v>45765</v>
      </c>
      <c r="K2274" s="12">
        <v>45772</v>
      </c>
      <c r="L2274" s="52">
        <f>4987907-494297</f>
        <v>4493610</v>
      </c>
      <c r="M2274" s="11" t="s">
        <v>1189</v>
      </c>
      <c r="N2274" s="34">
        <f ca="1">$J$3-J2274</f>
        <v>475.46377638888953</v>
      </c>
      <c r="O2274" s="11"/>
      <c r="P2274" s="39"/>
      <c r="Q2274" s="39"/>
      <c r="R2274" s="39"/>
      <c r="S2274" s="37">
        <f t="shared" si="484"/>
        <v>0</v>
      </c>
      <c r="T2274" s="37">
        <f t="shared" si="485"/>
        <v>4493610</v>
      </c>
      <c r="U2274" s="10"/>
      <c r="V2274" s="10"/>
      <c r="W2274" s="10"/>
      <c r="X2274" s="10"/>
      <c r="Y2274" s="10"/>
      <c r="Z2274" s="10"/>
      <c r="AA2274" s="10"/>
      <c r="AB2274" s="10"/>
      <c r="AC2274" s="10"/>
      <c r="AD2274" s="10"/>
      <c r="AE2274" s="10"/>
    </row>
    <row r="2275" spans="1:31" ht="14.25" customHeight="1">
      <c r="A2275" s="277" t="s">
        <v>7899</v>
      </c>
      <c r="B2275" s="9" t="s">
        <v>21</v>
      </c>
      <c r="C2275" s="9"/>
      <c r="D2275" s="9"/>
      <c r="E2275" s="90"/>
      <c r="F2275" s="9"/>
      <c r="G2275" s="10"/>
      <c r="H2275" s="9"/>
      <c r="I2275" s="11"/>
      <c r="J2275" s="12"/>
      <c r="K2275" s="12"/>
      <c r="L2275" s="52"/>
      <c r="M2275" s="11"/>
      <c r="N2275" s="114">
        <f ca="1">$J$3-J2275</f>
        <v>46240.46377638889</v>
      </c>
      <c r="O2275" s="10"/>
      <c r="P2275" s="39"/>
      <c r="Q2275" s="39"/>
      <c r="R2275" s="39"/>
      <c r="S2275" s="37">
        <f t="shared" si="484"/>
        <v>0</v>
      </c>
      <c r="T2275" s="37">
        <f t="shared" si="485"/>
        <v>0</v>
      </c>
      <c r="U2275" s="10"/>
      <c r="V2275" s="10"/>
      <c r="W2275" s="10"/>
      <c r="X2275" s="10"/>
      <c r="Y2275" s="10"/>
      <c r="Z2275" s="10"/>
      <c r="AA2275" s="10"/>
      <c r="AB2275" s="10"/>
      <c r="AC2275" s="10"/>
      <c r="AD2275" s="10"/>
      <c r="AE2275" s="10"/>
    </row>
    <row r="2276" spans="1:31" ht="14.25" customHeight="1">
      <c r="A2276" s="277" t="s">
        <v>7900</v>
      </c>
      <c r="B2276" s="9" t="s">
        <v>21</v>
      </c>
      <c r="C2276" s="9"/>
      <c r="D2276" s="9"/>
      <c r="E2276" s="90"/>
      <c r="F2276" s="9"/>
      <c r="G2276" s="10"/>
      <c r="H2276" s="9"/>
      <c r="I2276" s="11"/>
      <c r="J2276" s="12"/>
      <c r="K2276" s="12"/>
      <c r="L2276" s="52"/>
      <c r="M2276" s="10"/>
      <c r="N2276" s="9"/>
      <c r="O2276" s="11"/>
      <c r="P2276" s="39"/>
      <c r="Q2276" s="39"/>
      <c r="R2276" s="39"/>
      <c r="S2276" s="37"/>
      <c r="T2276" s="37"/>
      <c r="U2276" s="10"/>
      <c r="V2276" s="10"/>
      <c r="W2276" s="10"/>
      <c r="X2276" s="10"/>
      <c r="Y2276" s="10"/>
      <c r="Z2276" s="10"/>
      <c r="AA2276" s="10"/>
      <c r="AB2276" s="10"/>
      <c r="AC2276" s="10"/>
      <c r="AD2276" s="10"/>
      <c r="AE2276" s="10"/>
    </row>
    <row r="2277" spans="1:31" ht="14.25" customHeight="1">
      <c r="A2277" s="277" t="s">
        <v>7901</v>
      </c>
      <c r="B2277" s="9" t="s">
        <v>21</v>
      </c>
      <c r="C2277" s="9"/>
      <c r="D2277" s="9"/>
      <c r="E2277" s="90"/>
      <c r="F2277" s="9"/>
      <c r="G2277" s="94" t="s">
        <v>24</v>
      </c>
      <c r="H2277" s="95" t="s">
        <v>1190</v>
      </c>
      <c r="I2277" s="104"/>
      <c r="J2277" s="105"/>
      <c r="K2277" s="105"/>
      <c r="L2277" s="106">
        <f>SUM(L2278:L2289)</f>
        <v>114165300</v>
      </c>
      <c r="M2277" s="107"/>
      <c r="N2277" s="108" t="s">
        <v>26</v>
      </c>
      <c r="O2277" s="108"/>
      <c r="P2277" s="108"/>
      <c r="Q2277" s="108"/>
      <c r="R2277" s="108"/>
      <c r="S2277" s="106">
        <f>SUM(S2278:S2289)</f>
        <v>68167500</v>
      </c>
      <c r="T2277" s="106">
        <f>SUM(T2278:T2289)</f>
        <v>45997800</v>
      </c>
      <c r="U2277" s="10"/>
      <c r="V2277" s="52">
        <f>L2277-S2277</f>
        <v>45997800</v>
      </c>
      <c r="W2277" s="52">
        <f>T2277-V2277</f>
        <v>0</v>
      </c>
      <c r="X2277" s="10"/>
      <c r="Y2277" s="10"/>
      <c r="Z2277" s="10"/>
      <c r="AA2277" s="10"/>
      <c r="AB2277" s="10"/>
      <c r="AC2277" s="10"/>
      <c r="AD2277" s="10"/>
      <c r="AE2277" s="10"/>
    </row>
    <row r="2278" spans="1:31" ht="14.25" customHeight="1">
      <c r="A2278" s="277" t="s">
        <v>7902</v>
      </c>
      <c r="B2278" s="9" t="s">
        <v>21</v>
      </c>
      <c r="C2278" s="9">
        <v>2024</v>
      </c>
      <c r="D2278" s="9" t="s">
        <v>27</v>
      </c>
      <c r="E2278" s="90" t="s">
        <v>1147</v>
      </c>
      <c r="F2278" s="9" t="s">
        <v>1150</v>
      </c>
      <c r="G2278" s="10"/>
      <c r="H2278" s="96" t="s">
        <v>1191</v>
      </c>
      <c r="I2278" s="109" t="s">
        <v>1192</v>
      </c>
      <c r="J2278" s="115">
        <v>45540</v>
      </c>
      <c r="K2278" s="115">
        <v>45544</v>
      </c>
      <c r="L2278" s="116">
        <v>24622500</v>
      </c>
      <c r="M2278" s="117" t="s">
        <v>1193</v>
      </c>
      <c r="N2278" s="34" t="s">
        <v>29</v>
      </c>
      <c r="O2278" s="11"/>
      <c r="P2278" s="113">
        <v>45721</v>
      </c>
      <c r="Q2278" s="113">
        <v>45721</v>
      </c>
      <c r="R2278" s="113">
        <v>45721</v>
      </c>
      <c r="S2278" s="37">
        <f>IF(R2278="",0,L2278)</f>
        <v>24622500</v>
      </c>
      <c r="T2278" s="37">
        <f>L2278-S2278</f>
        <v>0</v>
      </c>
      <c r="U2278" s="10"/>
      <c r="V2278" s="10"/>
      <c r="W2278" s="10"/>
      <c r="X2278" s="10"/>
      <c r="Y2278" s="10"/>
      <c r="Z2278" s="10"/>
      <c r="AA2278" s="10"/>
      <c r="AB2278" s="10"/>
      <c r="AC2278" s="10"/>
      <c r="AD2278" s="10"/>
      <c r="AE2278" s="10"/>
    </row>
    <row r="2279" spans="1:31" ht="14.25" customHeight="1">
      <c r="A2279" s="277" t="s">
        <v>7903</v>
      </c>
      <c r="B2279" s="9" t="s">
        <v>21</v>
      </c>
      <c r="C2279" s="9">
        <v>2024</v>
      </c>
      <c r="D2279" s="9" t="s">
        <v>27</v>
      </c>
      <c r="E2279" s="90" t="s">
        <v>1147</v>
      </c>
      <c r="F2279" s="9" t="s">
        <v>1150</v>
      </c>
      <c r="G2279" s="10"/>
      <c r="H2279" s="96" t="s">
        <v>1194</v>
      </c>
      <c r="I2279" s="109" t="s">
        <v>1192</v>
      </c>
      <c r="J2279" s="115">
        <v>45569</v>
      </c>
      <c r="K2279" s="115">
        <v>45573</v>
      </c>
      <c r="L2279" s="116">
        <v>13545000</v>
      </c>
      <c r="M2279" s="117" t="s">
        <v>1195</v>
      </c>
      <c r="N2279" s="34" t="s">
        <v>29</v>
      </c>
      <c r="O2279" s="11"/>
      <c r="P2279" s="113">
        <v>45959</v>
      </c>
      <c r="Q2279" s="113">
        <v>45959</v>
      </c>
      <c r="R2279" s="113">
        <v>45959</v>
      </c>
      <c r="S2279" s="37">
        <f>IF(R2279="",0,L2279)</f>
        <v>13545000</v>
      </c>
      <c r="T2279" s="37">
        <f>L2279-S2279</f>
        <v>0</v>
      </c>
      <c r="U2279" s="10"/>
      <c r="V2279" s="10"/>
      <c r="W2279" s="10"/>
      <c r="X2279" s="10"/>
      <c r="Y2279" s="10"/>
      <c r="Z2279" s="10"/>
      <c r="AA2279" s="10"/>
      <c r="AB2279" s="10"/>
      <c r="AC2279" s="10"/>
      <c r="AD2279" s="10"/>
      <c r="AE2279" s="10"/>
    </row>
    <row r="2280" spans="1:31" ht="14.25" customHeight="1">
      <c r="A2280" s="277" t="s">
        <v>7904</v>
      </c>
      <c r="B2280" s="9" t="s">
        <v>21</v>
      </c>
      <c r="C2280" s="9">
        <v>2024</v>
      </c>
      <c r="D2280" s="9" t="s">
        <v>27</v>
      </c>
      <c r="E2280" s="90" t="s">
        <v>1147</v>
      </c>
      <c r="F2280" s="9" t="s">
        <v>1150</v>
      </c>
      <c r="G2280" s="10"/>
      <c r="H2280" s="96" t="s">
        <v>1196</v>
      </c>
      <c r="I2280" s="109" t="s">
        <v>1192</v>
      </c>
      <c r="J2280" s="115">
        <v>45600</v>
      </c>
      <c r="K2280" s="115">
        <v>45603</v>
      </c>
      <c r="L2280" s="116">
        <v>15000000</v>
      </c>
      <c r="M2280" s="117" t="s">
        <v>7136</v>
      </c>
      <c r="N2280" s="34" t="s">
        <v>29</v>
      </c>
      <c r="O2280" s="31"/>
      <c r="P2280" s="113">
        <v>46188</v>
      </c>
      <c r="Q2280" s="113">
        <v>46188</v>
      </c>
      <c r="R2280" s="113">
        <v>46188</v>
      </c>
      <c r="S2280" s="37">
        <f t="shared" ref="S2280" si="486">IF(R2280="",0,L2280)</f>
        <v>15000000</v>
      </c>
      <c r="T2280" s="37">
        <f t="shared" ref="T2280" si="487">L2280-S2280</f>
        <v>0</v>
      </c>
      <c r="U2280" s="10"/>
      <c r="V2280" s="10"/>
      <c r="W2280" s="10"/>
      <c r="X2280" s="10"/>
      <c r="Y2280" s="10"/>
      <c r="Z2280" s="10"/>
      <c r="AA2280" s="10"/>
      <c r="AB2280" s="10"/>
      <c r="AC2280" s="10"/>
      <c r="AD2280" s="10"/>
      <c r="AE2280" s="10"/>
    </row>
    <row r="2281" spans="1:31" ht="14.25" customHeight="1">
      <c r="A2281" s="277" t="s">
        <v>7905</v>
      </c>
      <c r="B2281" s="9" t="s">
        <v>21</v>
      </c>
      <c r="C2281" s="9">
        <v>2024</v>
      </c>
      <c r="D2281" s="9" t="s">
        <v>27</v>
      </c>
      <c r="E2281" s="90" t="s">
        <v>1147</v>
      </c>
      <c r="F2281" s="9" t="s">
        <v>1150</v>
      </c>
      <c r="G2281" s="10"/>
      <c r="H2281" s="96" t="s">
        <v>1196</v>
      </c>
      <c r="I2281" s="109" t="s">
        <v>1192</v>
      </c>
      <c r="J2281" s="115">
        <v>45600</v>
      </c>
      <c r="K2281" s="115">
        <v>45603</v>
      </c>
      <c r="L2281" s="116">
        <v>15000000</v>
      </c>
      <c r="M2281" s="117" t="s">
        <v>7401</v>
      </c>
      <c r="N2281" s="34" t="s">
        <v>29</v>
      </c>
      <c r="O2281" s="31"/>
      <c r="P2281" s="113">
        <v>46229</v>
      </c>
      <c r="Q2281" s="113">
        <v>46229</v>
      </c>
      <c r="R2281" s="113">
        <v>46229</v>
      </c>
      <c r="S2281" s="37">
        <f t="shared" ref="S2281" si="488">IF(R2281="",0,L2281)</f>
        <v>15000000</v>
      </c>
      <c r="T2281" s="37">
        <f t="shared" ref="T2281" si="489">L2281-S2281</f>
        <v>0</v>
      </c>
      <c r="U2281" s="10"/>
      <c r="V2281" s="10"/>
      <c r="W2281" s="10"/>
      <c r="X2281" s="10"/>
      <c r="Y2281" s="10"/>
      <c r="Z2281" s="10"/>
      <c r="AA2281" s="10"/>
      <c r="AB2281" s="10"/>
      <c r="AC2281" s="10"/>
      <c r="AD2281" s="10"/>
      <c r="AE2281" s="10"/>
    </row>
    <row r="2282" spans="1:31" ht="14.25" customHeight="1">
      <c r="A2282" s="277" t="s">
        <v>7906</v>
      </c>
      <c r="B2282" s="9" t="s">
        <v>21</v>
      </c>
      <c r="C2282" s="9">
        <v>2024</v>
      </c>
      <c r="D2282" s="9" t="s">
        <v>77</v>
      </c>
      <c r="E2282" s="90" t="s">
        <v>1147</v>
      </c>
      <c r="F2282" s="9" t="s">
        <v>1150</v>
      </c>
      <c r="G2282" s="10"/>
      <c r="H2282" s="9" t="s">
        <v>1196</v>
      </c>
      <c r="I2282" s="11" t="s">
        <v>1192</v>
      </c>
      <c r="J2282" s="12">
        <v>45600</v>
      </c>
      <c r="K2282" s="12">
        <v>45603</v>
      </c>
      <c r="L2282" s="27">
        <f>53060000-15000000-15000000</f>
        <v>23060000</v>
      </c>
      <c r="M2282" s="10" t="s">
        <v>7137</v>
      </c>
      <c r="N2282" s="34">
        <f t="shared" ref="N2282:N2287" ca="1" si="490">$J$3-J2282</f>
        <v>640.46377638888953</v>
      </c>
      <c r="O2282" s="31"/>
      <c r="P2282" s="39"/>
      <c r="Q2282" s="39"/>
      <c r="R2282" s="39"/>
      <c r="S2282" s="37">
        <f t="shared" ref="S2282:S2287" si="491">IF(R2282="",0,L2282)</f>
        <v>0</v>
      </c>
      <c r="T2282" s="37">
        <f t="shared" ref="T2282:T2287" si="492">L2282-S2282</f>
        <v>23060000</v>
      </c>
      <c r="U2282" s="10"/>
      <c r="V2282" s="10"/>
      <c r="W2282" s="10"/>
      <c r="X2282" s="10"/>
      <c r="Y2282" s="10"/>
      <c r="Z2282" s="10"/>
      <c r="AA2282" s="10"/>
      <c r="AB2282" s="10"/>
      <c r="AC2282" s="10"/>
      <c r="AD2282" s="10"/>
      <c r="AE2282" s="10"/>
    </row>
    <row r="2283" spans="1:31" ht="14.25" customHeight="1">
      <c r="A2283" s="277" t="s">
        <v>7907</v>
      </c>
      <c r="B2283" s="9" t="s">
        <v>21</v>
      </c>
      <c r="C2283" s="9">
        <v>2024</v>
      </c>
      <c r="D2283" s="9" t="s">
        <v>77</v>
      </c>
      <c r="E2283" s="90" t="s">
        <v>1147</v>
      </c>
      <c r="F2283" s="9" t="s">
        <v>1150</v>
      </c>
      <c r="G2283" s="10"/>
      <c r="H2283" s="9" t="s">
        <v>1197</v>
      </c>
      <c r="I2283" s="11" t="s">
        <v>1192</v>
      </c>
      <c r="J2283" s="12">
        <v>45630</v>
      </c>
      <c r="K2283" s="12">
        <v>45632</v>
      </c>
      <c r="L2283" s="27">
        <v>17132500</v>
      </c>
      <c r="M2283" s="10" t="s">
        <v>1198</v>
      </c>
      <c r="N2283" s="34">
        <f t="shared" ca="1" si="490"/>
        <v>610.46377638888953</v>
      </c>
      <c r="O2283" s="11"/>
      <c r="P2283" s="39"/>
      <c r="Q2283" s="39"/>
      <c r="R2283" s="39"/>
      <c r="S2283" s="37">
        <f t="shared" si="491"/>
        <v>0</v>
      </c>
      <c r="T2283" s="37">
        <f t="shared" si="492"/>
        <v>17132500</v>
      </c>
      <c r="U2283" s="10"/>
      <c r="V2283" s="10"/>
      <c r="W2283" s="10"/>
      <c r="X2283" s="10"/>
      <c r="Y2283" s="10"/>
      <c r="Z2283" s="10"/>
      <c r="AA2283" s="10"/>
      <c r="AB2283" s="10"/>
      <c r="AC2283" s="10"/>
      <c r="AD2283" s="10"/>
      <c r="AE2283" s="10"/>
    </row>
    <row r="2284" spans="1:31" ht="14.25" customHeight="1">
      <c r="A2284" s="277" t="s">
        <v>7908</v>
      </c>
      <c r="B2284" s="9" t="s">
        <v>21</v>
      </c>
      <c r="C2284" s="9">
        <v>2025</v>
      </c>
      <c r="D2284" s="9" t="s">
        <v>77</v>
      </c>
      <c r="E2284" s="90" t="s">
        <v>1147</v>
      </c>
      <c r="F2284" s="9" t="s">
        <v>1150</v>
      </c>
      <c r="G2284" s="10"/>
      <c r="H2284" s="9" t="s">
        <v>1199</v>
      </c>
      <c r="I2284" s="11" t="s">
        <v>1192</v>
      </c>
      <c r="J2284" s="12">
        <v>45757</v>
      </c>
      <c r="K2284" s="12">
        <v>45768</v>
      </c>
      <c r="L2284" s="27">
        <v>1942500</v>
      </c>
      <c r="M2284" s="10" t="s">
        <v>1200</v>
      </c>
      <c r="N2284" s="34">
        <f t="shared" ca="1" si="490"/>
        <v>483.46377638888953</v>
      </c>
      <c r="O2284" s="11"/>
      <c r="P2284" s="39"/>
      <c r="Q2284" s="39"/>
      <c r="R2284" s="39"/>
      <c r="S2284" s="37">
        <f t="shared" si="491"/>
        <v>0</v>
      </c>
      <c r="T2284" s="37">
        <f t="shared" si="492"/>
        <v>1942500</v>
      </c>
      <c r="U2284" s="10"/>
      <c r="V2284" s="10"/>
      <c r="W2284" s="10"/>
      <c r="X2284" s="10"/>
      <c r="Y2284" s="10"/>
      <c r="Z2284" s="10"/>
      <c r="AA2284" s="10"/>
      <c r="AB2284" s="10"/>
      <c r="AC2284" s="10"/>
      <c r="AD2284" s="10"/>
      <c r="AE2284" s="10"/>
    </row>
    <row r="2285" spans="1:31" ht="14.25" customHeight="1">
      <c r="A2285" s="277" t="s">
        <v>7909</v>
      </c>
      <c r="B2285" s="9" t="s">
        <v>21</v>
      </c>
      <c r="C2285" s="9">
        <v>2025</v>
      </c>
      <c r="D2285" s="9" t="s">
        <v>77</v>
      </c>
      <c r="E2285" s="90" t="s">
        <v>1147</v>
      </c>
      <c r="F2285" s="9" t="s">
        <v>1150</v>
      </c>
      <c r="G2285" s="10"/>
      <c r="H2285" s="9" t="s">
        <v>1201</v>
      </c>
      <c r="I2285" s="11" t="s">
        <v>1192</v>
      </c>
      <c r="J2285" s="12">
        <v>45782</v>
      </c>
      <c r="K2285" s="12">
        <v>45783</v>
      </c>
      <c r="L2285" s="27">
        <v>2042400</v>
      </c>
      <c r="M2285" s="10" t="s">
        <v>1202</v>
      </c>
      <c r="N2285" s="34">
        <f t="shared" ca="1" si="490"/>
        <v>458.46377638888953</v>
      </c>
      <c r="O2285" s="11"/>
      <c r="P2285" s="39"/>
      <c r="Q2285" s="39"/>
      <c r="R2285" s="39"/>
      <c r="S2285" s="37">
        <f t="shared" si="491"/>
        <v>0</v>
      </c>
      <c r="T2285" s="37">
        <f t="shared" si="492"/>
        <v>2042400</v>
      </c>
      <c r="U2285" s="10"/>
      <c r="V2285" s="10"/>
      <c r="W2285" s="10"/>
      <c r="X2285" s="10"/>
      <c r="Y2285" s="10"/>
      <c r="Z2285" s="10"/>
      <c r="AA2285" s="10"/>
      <c r="AB2285" s="10"/>
      <c r="AC2285" s="10"/>
      <c r="AD2285" s="10"/>
      <c r="AE2285" s="10"/>
    </row>
    <row r="2286" spans="1:31" ht="14.25" customHeight="1">
      <c r="A2286" s="277" t="s">
        <v>7910</v>
      </c>
      <c r="B2286" s="9" t="s">
        <v>21</v>
      </c>
      <c r="C2286" s="9">
        <v>2025</v>
      </c>
      <c r="D2286" s="9" t="s">
        <v>77</v>
      </c>
      <c r="E2286" s="90" t="s">
        <v>1147</v>
      </c>
      <c r="F2286" s="9" t="s">
        <v>1150</v>
      </c>
      <c r="G2286" s="10"/>
      <c r="H2286" s="9" t="s">
        <v>1203</v>
      </c>
      <c r="I2286" s="11" t="s">
        <v>1192</v>
      </c>
      <c r="J2286" s="12">
        <v>45812</v>
      </c>
      <c r="K2286" s="12">
        <v>45813</v>
      </c>
      <c r="L2286" s="27">
        <v>577200</v>
      </c>
      <c r="M2286" s="10" t="s">
        <v>1204</v>
      </c>
      <c r="N2286" s="34">
        <f t="shared" ca="1" si="490"/>
        <v>428.46377638888953</v>
      </c>
      <c r="O2286" s="11"/>
      <c r="P2286" s="39"/>
      <c r="Q2286" s="39"/>
      <c r="R2286" s="39"/>
      <c r="S2286" s="37">
        <f t="shared" si="491"/>
        <v>0</v>
      </c>
      <c r="T2286" s="37">
        <f t="shared" si="492"/>
        <v>577200</v>
      </c>
      <c r="U2286" s="10"/>
      <c r="V2286" s="10"/>
      <c r="W2286" s="10"/>
      <c r="X2286" s="10"/>
      <c r="Y2286" s="10"/>
      <c r="Z2286" s="10"/>
      <c r="AA2286" s="10"/>
      <c r="AB2286" s="10"/>
      <c r="AC2286" s="10"/>
      <c r="AD2286" s="10"/>
      <c r="AE2286" s="10"/>
    </row>
    <row r="2287" spans="1:31" ht="14.25" customHeight="1">
      <c r="A2287" s="277" t="s">
        <v>7911</v>
      </c>
      <c r="B2287" s="9" t="s">
        <v>21</v>
      </c>
      <c r="C2287" s="9">
        <v>2025</v>
      </c>
      <c r="D2287" s="9" t="s">
        <v>77</v>
      </c>
      <c r="E2287" s="90" t="s">
        <v>1147</v>
      </c>
      <c r="F2287" s="9" t="s">
        <v>1150</v>
      </c>
      <c r="G2287" s="10"/>
      <c r="H2287" s="9" t="s">
        <v>1205</v>
      </c>
      <c r="I2287" s="11" t="s">
        <v>1192</v>
      </c>
      <c r="J2287" s="12">
        <v>45875</v>
      </c>
      <c r="K2287" s="12">
        <v>45880</v>
      </c>
      <c r="L2287" s="27">
        <v>1243200</v>
      </c>
      <c r="M2287" s="10" t="s">
        <v>1206</v>
      </c>
      <c r="N2287" s="34">
        <f t="shared" ca="1" si="490"/>
        <v>365.46377638888953</v>
      </c>
      <c r="O2287" s="11"/>
      <c r="P2287" s="39"/>
      <c r="Q2287" s="39"/>
      <c r="R2287" s="39"/>
      <c r="S2287" s="37">
        <f t="shared" si="491"/>
        <v>0</v>
      </c>
      <c r="T2287" s="37">
        <f t="shared" si="492"/>
        <v>1243200</v>
      </c>
      <c r="U2287" s="10"/>
      <c r="V2287" s="10"/>
      <c r="W2287" s="10"/>
      <c r="X2287" s="10"/>
      <c r="Y2287" s="10"/>
      <c r="Z2287" s="10"/>
      <c r="AA2287" s="10"/>
      <c r="AB2287" s="10"/>
      <c r="AC2287" s="10"/>
      <c r="AD2287" s="10"/>
      <c r="AE2287" s="10"/>
    </row>
    <row r="2288" spans="1:31" ht="14.25" customHeight="1">
      <c r="A2288" s="277" t="s">
        <v>6312</v>
      </c>
      <c r="B2288" s="9" t="s">
        <v>21</v>
      </c>
      <c r="C2288" s="9"/>
      <c r="D2288" s="9"/>
      <c r="E2288" s="90"/>
      <c r="F2288" s="9"/>
      <c r="G2288" s="10"/>
      <c r="H2288" s="9"/>
      <c r="I2288" s="11"/>
      <c r="J2288" s="12"/>
      <c r="K2288" s="12"/>
      <c r="L2288" s="52"/>
      <c r="M2288" s="10"/>
      <c r="N2288" s="114">
        <f ca="1">$J$3-J2288</f>
        <v>46240.46377638889</v>
      </c>
      <c r="O2288" s="11"/>
      <c r="P2288" s="39"/>
      <c r="Q2288" s="39"/>
      <c r="R2288" s="39"/>
      <c r="S2288" s="37">
        <f>IF(R2288="",0,L2288)</f>
        <v>0</v>
      </c>
      <c r="T2288" s="37">
        <f>L2288-S2288</f>
        <v>0</v>
      </c>
      <c r="U2288" s="10"/>
      <c r="V2288" s="10"/>
      <c r="W2288" s="10"/>
      <c r="X2288" s="10"/>
      <c r="Y2288" s="10"/>
      <c r="Z2288" s="10"/>
      <c r="AA2288" s="10"/>
      <c r="AB2288" s="10"/>
      <c r="AC2288" s="10"/>
      <c r="AD2288" s="10"/>
      <c r="AE2288" s="10"/>
    </row>
    <row r="2289" spans="1:31" ht="14.25" customHeight="1">
      <c r="A2289" s="277" t="s">
        <v>6313</v>
      </c>
      <c r="B2289" s="9" t="s">
        <v>21</v>
      </c>
      <c r="C2289" s="9"/>
      <c r="D2289" s="9"/>
      <c r="E2289" s="90"/>
      <c r="F2289" s="9"/>
      <c r="G2289" s="10"/>
      <c r="H2289" s="9"/>
      <c r="I2289" s="11"/>
      <c r="J2289" s="12"/>
      <c r="K2289" s="12"/>
      <c r="L2289" s="52"/>
      <c r="M2289" s="10"/>
      <c r="N2289" s="9"/>
      <c r="O2289" s="11"/>
      <c r="P2289" s="39"/>
      <c r="Q2289" s="39"/>
      <c r="R2289" s="39"/>
      <c r="S2289" s="37"/>
      <c r="T2289" s="37"/>
      <c r="U2289" s="10"/>
      <c r="V2289" s="10"/>
      <c r="W2289" s="10"/>
      <c r="X2289" s="10"/>
      <c r="Y2289" s="10"/>
      <c r="Z2289" s="10"/>
      <c r="AA2289" s="10"/>
      <c r="AB2289" s="10"/>
      <c r="AC2289" s="10"/>
      <c r="AD2289" s="10"/>
      <c r="AE2289" s="10"/>
    </row>
    <row r="2290" spans="1:31">
      <c r="A2290" s="277" t="s">
        <v>6314</v>
      </c>
      <c r="B2290" s="9" t="s">
        <v>21</v>
      </c>
      <c r="C2290" s="9"/>
      <c r="D2290" s="9"/>
      <c r="E2290" s="90"/>
      <c r="F2290" s="9"/>
      <c r="G2290" s="94" t="s">
        <v>24</v>
      </c>
      <c r="H2290" s="95" t="s">
        <v>1207</v>
      </c>
      <c r="I2290" s="104"/>
      <c r="J2290" s="105"/>
      <c r="K2290" s="105"/>
      <c r="L2290" s="106">
        <f>SUM(L2291:L2349)</f>
        <v>131124000</v>
      </c>
      <c r="M2290" s="107"/>
      <c r="N2290" s="108" t="s">
        <v>26</v>
      </c>
      <c r="O2290" s="108"/>
      <c r="P2290" s="108"/>
      <c r="Q2290" s="108"/>
      <c r="R2290" s="108"/>
      <c r="S2290" s="106">
        <f>SUM(S2291:S2349)</f>
        <v>46104000</v>
      </c>
      <c r="T2290" s="106">
        <f>SUM(T2291:T2349)</f>
        <v>85020000</v>
      </c>
      <c r="U2290" s="10"/>
      <c r="V2290" s="52">
        <f>L2290-S2290</f>
        <v>85020000</v>
      </c>
      <c r="W2290" s="52">
        <f>T2290-V2290</f>
        <v>0</v>
      </c>
      <c r="X2290" s="10"/>
      <c r="Y2290" s="10"/>
      <c r="Z2290" s="10"/>
      <c r="AA2290" s="10"/>
      <c r="AB2290" s="10"/>
      <c r="AC2290" s="10"/>
      <c r="AD2290" s="10"/>
      <c r="AE2290" s="10"/>
    </row>
    <row r="2291" spans="1:31" hidden="1">
      <c r="A2291" s="277" t="s">
        <v>6315</v>
      </c>
      <c r="B2291" s="9" t="s">
        <v>21</v>
      </c>
      <c r="C2291" s="9">
        <v>2025</v>
      </c>
      <c r="D2291" s="9" t="s">
        <v>27</v>
      </c>
      <c r="E2291" s="90" t="s">
        <v>1147</v>
      </c>
      <c r="F2291" s="9" t="s">
        <v>1150</v>
      </c>
      <c r="G2291" s="10"/>
      <c r="H2291" s="96" t="s">
        <v>1208</v>
      </c>
      <c r="I2291" s="109" t="s">
        <v>1209</v>
      </c>
      <c r="J2291" s="115">
        <v>45706</v>
      </c>
      <c r="K2291" s="115">
        <v>45712</v>
      </c>
      <c r="L2291" s="131">
        <v>9070000</v>
      </c>
      <c r="M2291" s="109" t="s">
        <v>1210</v>
      </c>
      <c r="N2291" s="34" t="s">
        <v>29</v>
      </c>
      <c r="O2291" s="27">
        <f>SUM(L2291:L2293)</f>
        <v>16104000</v>
      </c>
      <c r="P2291" s="181">
        <v>46176</v>
      </c>
      <c r="Q2291" s="181">
        <v>46176</v>
      </c>
      <c r="R2291" s="181">
        <v>46176</v>
      </c>
      <c r="S2291" s="37">
        <f t="shared" ref="S2291:S2323" si="493">IF(R2291="",0,L2291)</f>
        <v>9070000</v>
      </c>
      <c r="T2291" s="37">
        <f t="shared" ref="T2291:T2323" si="494">L2291-S2291</f>
        <v>0</v>
      </c>
      <c r="U2291" s="10"/>
      <c r="V2291" s="10"/>
      <c r="W2291" s="10"/>
      <c r="X2291" s="10"/>
      <c r="Y2291" s="10"/>
      <c r="Z2291" s="10"/>
      <c r="AA2291" s="10"/>
      <c r="AB2291" s="10"/>
      <c r="AC2291" s="10"/>
      <c r="AD2291" s="10"/>
      <c r="AE2291" s="10"/>
    </row>
    <row r="2292" spans="1:31" ht="14.25" hidden="1" customHeight="1">
      <c r="A2292" s="277" t="s">
        <v>6316</v>
      </c>
      <c r="B2292" s="9" t="s">
        <v>21</v>
      </c>
      <c r="C2292" s="9">
        <v>2025</v>
      </c>
      <c r="D2292" s="9" t="s">
        <v>27</v>
      </c>
      <c r="E2292" s="90" t="s">
        <v>1147</v>
      </c>
      <c r="F2292" s="9" t="s">
        <v>1150</v>
      </c>
      <c r="G2292" s="10"/>
      <c r="H2292" s="96" t="s">
        <v>1211</v>
      </c>
      <c r="I2292" s="109" t="s">
        <v>1209</v>
      </c>
      <c r="J2292" s="115">
        <v>45706</v>
      </c>
      <c r="K2292" s="115">
        <v>45712</v>
      </c>
      <c r="L2292" s="131">
        <f>2660000+2494000</f>
        <v>5154000</v>
      </c>
      <c r="M2292" s="109" t="s">
        <v>1212</v>
      </c>
      <c r="N2292" s="34" t="s">
        <v>29</v>
      </c>
      <c r="O2292" s="27"/>
      <c r="P2292" s="181">
        <v>46176</v>
      </c>
      <c r="Q2292" s="181">
        <v>46176</v>
      </c>
      <c r="R2292" s="181">
        <v>46176</v>
      </c>
      <c r="S2292" s="37">
        <f t="shared" si="493"/>
        <v>5154000</v>
      </c>
      <c r="T2292" s="37">
        <f t="shared" si="494"/>
        <v>0</v>
      </c>
      <c r="U2292" s="10"/>
      <c r="V2292" s="10"/>
      <c r="W2292" s="10"/>
      <c r="X2292" s="10"/>
      <c r="Y2292" s="10"/>
      <c r="Z2292" s="10"/>
      <c r="AA2292" s="10"/>
      <c r="AB2292" s="10"/>
      <c r="AC2292" s="10"/>
      <c r="AD2292" s="10"/>
      <c r="AE2292" s="10"/>
    </row>
    <row r="2293" spans="1:31" hidden="1">
      <c r="A2293" s="277" t="s">
        <v>6317</v>
      </c>
      <c r="B2293" s="9" t="s">
        <v>21</v>
      </c>
      <c r="C2293" s="9">
        <v>2025</v>
      </c>
      <c r="D2293" s="9" t="s">
        <v>27</v>
      </c>
      <c r="E2293" s="90" t="s">
        <v>1147</v>
      </c>
      <c r="F2293" s="9" t="s">
        <v>1150</v>
      </c>
      <c r="G2293" s="10"/>
      <c r="H2293" s="96" t="s">
        <v>1213</v>
      </c>
      <c r="I2293" s="109" t="s">
        <v>1209</v>
      </c>
      <c r="J2293" s="115">
        <v>45715</v>
      </c>
      <c r="K2293" s="115">
        <v>45721</v>
      </c>
      <c r="L2293" s="131">
        <v>1880000</v>
      </c>
      <c r="M2293" s="109" t="s">
        <v>1214</v>
      </c>
      <c r="N2293" s="34" t="s">
        <v>29</v>
      </c>
      <c r="O2293" s="27"/>
      <c r="P2293" s="181">
        <v>46176</v>
      </c>
      <c r="Q2293" s="181">
        <v>46176</v>
      </c>
      <c r="R2293" s="181">
        <v>46176</v>
      </c>
      <c r="S2293" s="37">
        <f t="shared" si="493"/>
        <v>1880000</v>
      </c>
      <c r="T2293" s="37">
        <f t="shared" si="494"/>
        <v>0</v>
      </c>
      <c r="U2293" s="10"/>
      <c r="V2293" s="10"/>
      <c r="W2293" s="10"/>
      <c r="X2293" s="10"/>
      <c r="Y2293" s="10"/>
      <c r="Z2293" s="10"/>
      <c r="AA2293" s="10"/>
      <c r="AB2293" s="10"/>
      <c r="AC2293" s="10"/>
      <c r="AD2293" s="10"/>
      <c r="AE2293" s="10"/>
    </row>
    <row r="2294" spans="1:31">
      <c r="A2294" s="277" t="s">
        <v>6318</v>
      </c>
      <c r="B2294" s="9" t="s">
        <v>21</v>
      </c>
      <c r="C2294" s="9">
        <v>2025</v>
      </c>
      <c r="D2294" s="9" t="s">
        <v>27</v>
      </c>
      <c r="E2294" s="90" t="s">
        <v>1147</v>
      </c>
      <c r="F2294" s="9" t="s">
        <v>1150</v>
      </c>
      <c r="G2294" s="10"/>
      <c r="H2294" s="96" t="s">
        <v>1213</v>
      </c>
      <c r="I2294" s="109" t="s">
        <v>1209</v>
      </c>
      <c r="J2294" s="115">
        <v>45715</v>
      </c>
      <c r="K2294" s="115">
        <v>45721</v>
      </c>
      <c r="L2294" s="131">
        <v>1460000</v>
      </c>
      <c r="M2294" s="109" t="s">
        <v>7097</v>
      </c>
      <c r="N2294" s="34" t="s">
        <v>29</v>
      </c>
      <c r="O2294" s="27">
        <f>SUM(L2294:L2301)</f>
        <v>15000000</v>
      </c>
      <c r="P2294" s="181">
        <v>46199</v>
      </c>
      <c r="Q2294" s="181">
        <v>46199</v>
      </c>
      <c r="R2294" s="181">
        <v>46199</v>
      </c>
      <c r="S2294" s="37">
        <f t="shared" si="493"/>
        <v>1460000</v>
      </c>
      <c r="T2294" s="37">
        <f t="shared" si="494"/>
        <v>0</v>
      </c>
      <c r="U2294" s="10"/>
      <c r="V2294" s="10"/>
      <c r="W2294" s="10"/>
      <c r="X2294" s="10"/>
      <c r="Y2294" s="10"/>
      <c r="Z2294" s="10"/>
      <c r="AA2294" s="10"/>
      <c r="AB2294" s="10"/>
      <c r="AC2294" s="10"/>
      <c r="AD2294" s="10"/>
      <c r="AE2294" s="10"/>
    </row>
    <row r="2295" spans="1:31">
      <c r="A2295" s="277" t="s">
        <v>6319</v>
      </c>
      <c r="B2295" s="9" t="s">
        <v>21</v>
      </c>
      <c r="C2295" s="9">
        <v>2025</v>
      </c>
      <c r="D2295" s="9" t="s">
        <v>27</v>
      </c>
      <c r="E2295" s="90" t="s">
        <v>1147</v>
      </c>
      <c r="F2295" s="9" t="s">
        <v>1150</v>
      </c>
      <c r="G2295" s="10"/>
      <c r="H2295" s="96" t="s">
        <v>1215</v>
      </c>
      <c r="I2295" s="109" t="s">
        <v>1209</v>
      </c>
      <c r="J2295" s="115">
        <v>45715</v>
      </c>
      <c r="K2295" s="115">
        <v>45721</v>
      </c>
      <c r="L2295" s="131">
        <v>800000</v>
      </c>
      <c r="M2295" s="109" t="s">
        <v>1216</v>
      </c>
      <c r="N2295" s="34" t="s">
        <v>29</v>
      </c>
      <c r="O2295" s="27"/>
      <c r="P2295" s="181">
        <v>46199</v>
      </c>
      <c r="Q2295" s="181">
        <v>46199</v>
      </c>
      <c r="R2295" s="181">
        <v>46199</v>
      </c>
      <c r="S2295" s="37">
        <f t="shared" si="493"/>
        <v>800000</v>
      </c>
      <c r="T2295" s="37">
        <f t="shared" si="494"/>
        <v>0</v>
      </c>
      <c r="U2295" s="10"/>
      <c r="V2295" s="10"/>
      <c r="W2295" s="10"/>
      <c r="X2295" s="10"/>
      <c r="Y2295" s="10"/>
      <c r="Z2295" s="10"/>
      <c r="AA2295" s="10"/>
      <c r="AB2295" s="10"/>
      <c r="AC2295" s="10"/>
      <c r="AD2295" s="10"/>
      <c r="AE2295" s="10"/>
    </row>
    <row r="2296" spans="1:31">
      <c r="A2296" s="277" t="s">
        <v>6320</v>
      </c>
      <c r="B2296" s="9" t="s">
        <v>21</v>
      </c>
      <c r="C2296" s="9">
        <v>2025</v>
      </c>
      <c r="D2296" s="9" t="s">
        <v>27</v>
      </c>
      <c r="E2296" s="90" t="s">
        <v>1147</v>
      </c>
      <c r="F2296" s="9" t="s">
        <v>1150</v>
      </c>
      <c r="G2296" s="10"/>
      <c r="H2296" s="96" t="s">
        <v>1217</v>
      </c>
      <c r="I2296" s="109" t="s">
        <v>1209</v>
      </c>
      <c r="J2296" s="115">
        <v>45731</v>
      </c>
      <c r="K2296" s="115">
        <v>45737</v>
      </c>
      <c r="L2296" s="131">
        <v>3780000</v>
      </c>
      <c r="M2296" s="109" t="s">
        <v>1218</v>
      </c>
      <c r="N2296" s="34" t="s">
        <v>29</v>
      </c>
      <c r="O2296" s="27"/>
      <c r="P2296" s="181">
        <v>46199</v>
      </c>
      <c r="Q2296" s="181">
        <v>46199</v>
      </c>
      <c r="R2296" s="181">
        <v>46199</v>
      </c>
      <c r="S2296" s="37">
        <f t="shared" si="493"/>
        <v>3780000</v>
      </c>
      <c r="T2296" s="37">
        <f t="shared" si="494"/>
        <v>0</v>
      </c>
      <c r="U2296" s="10"/>
      <c r="V2296" s="10"/>
      <c r="W2296" s="10"/>
      <c r="X2296" s="10"/>
      <c r="Y2296" s="10"/>
      <c r="Z2296" s="10"/>
      <c r="AA2296" s="10"/>
      <c r="AB2296" s="10"/>
      <c r="AC2296" s="10"/>
      <c r="AD2296" s="10"/>
      <c r="AE2296" s="10"/>
    </row>
    <row r="2297" spans="1:31">
      <c r="A2297" s="277" t="s">
        <v>6321</v>
      </c>
      <c r="B2297" s="9" t="s">
        <v>21</v>
      </c>
      <c r="C2297" s="9">
        <v>2025</v>
      </c>
      <c r="D2297" s="9" t="s">
        <v>27</v>
      </c>
      <c r="E2297" s="90" t="s">
        <v>1147</v>
      </c>
      <c r="F2297" s="9" t="s">
        <v>1150</v>
      </c>
      <c r="G2297" s="10"/>
      <c r="H2297" s="96" t="s">
        <v>1219</v>
      </c>
      <c r="I2297" s="109" t="s">
        <v>1209</v>
      </c>
      <c r="J2297" s="115">
        <v>45731</v>
      </c>
      <c r="K2297" s="115">
        <v>45737</v>
      </c>
      <c r="L2297" s="131">
        <v>3100000</v>
      </c>
      <c r="M2297" s="109" t="s">
        <v>1220</v>
      </c>
      <c r="N2297" s="34" t="s">
        <v>29</v>
      </c>
      <c r="O2297" s="27"/>
      <c r="P2297" s="181">
        <v>46199</v>
      </c>
      <c r="Q2297" s="181">
        <v>46199</v>
      </c>
      <c r="R2297" s="181">
        <v>46199</v>
      </c>
      <c r="S2297" s="37">
        <f t="shared" si="493"/>
        <v>3100000</v>
      </c>
      <c r="T2297" s="37">
        <f t="shared" si="494"/>
        <v>0</v>
      </c>
      <c r="U2297" s="10"/>
      <c r="V2297" s="10"/>
      <c r="W2297" s="10"/>
      <c r="X2297" s="10"/>
      <c r="Y2297" s="10"/>
      <c r="Z2297" s="10"/>
      <c r="AA2297" s="10"/>
      <c r="AB2297" s="10"/>
      <c r="AC2297" s="10"/>
      <c r="AD2297" s="10"/>
      <c r="AE2297" s="10"/>
    </row>
    <row r="2298" spans="1:31">
      <c r="A2298" s="277" t="s">
        <v>6322</v>
      </c>
      <c r="B2298" s="9" t="s">
        <v>21</v>
      </c>
      <c r="C2298" s="9">
        <v>2025</v>
      </c>
      <c r="D2298" s="9" t="s">
        <v>27</v>
      </c>
      <c r="E2298" s="90" t="s">
        <v>1147</v>
      </c>
      <c r="F2298" s="9" t="s">
        <v>1150</v>
      </c>
      <c r="G2298" s="10"/>
      <c r="H2298" s="96" t="s">
        <v>1221</v>
      </c>
      <c r="I2298" s="109" t="s">
        <v>1209</v>
      </c>
      <c r="J2298" s="115">
        <v>45736</v>
      </c>
      <c r="K2298" s="115">
        <v>45742</v>
      </c>
      <c r="L2298" s="131">
        <v>1920000</v>
      </c>
      <c r="M2298" s="109" t="s">
        <v>1222</v>
      </c>
      <c r="N2298" s="34" t="s">
        <v>29</v>
      </c>
      <c r="O2298" s="27"/>
      <c r="P2298" s="181">
        <v>46199</v>
      </c>
      <c r="Q2298" s="181">
        <v>46199</v>
      </c>
      <c r="R2298" s="181">
        <v>46199</v>
      </c>
      <c r="S2298" s="37">
        <f t="shared" si="493"/>
        <v>1920000</v>
      </c>
      <c r="T2298" s="37">
        <f t="shared" si="494"/>
        <v>0</v>
      </c>
      <c r="U2298" s="10"/>
      <c r="V2298" s="10"/>
      <c r="W2298" s="10"/>
      <c r="X2298" s="10"/>
      <c r="Y2298" s="10"/>
      <c r="Z2298" s="10"/>
      <c r="AA2298" s="10"/>
      <c r="AB2298" s="10"/>
      <c r="AC2298" s="10"/>
      <c r="AD2298" s="10"/>
      <c r="AE2298" s="10"/>
    </row>
    <row r="2299" spans="1:31">
      <c r="A2299" s="277" t="s">
        <v>6323</v>
      </c>
      <c r="B2299" s="9" t="s">
        <v>21</v>
      </c>
      <c r="C2299" s="9">
        <v>2025</v>
      </c>
      <c r="D2299" s="9" t="s">
        <v>27</v>
      </c>
      <c r="E2299" s="90" t="s">
        <v>1147</v>
      </c>
      <c r="F2299" s="9" t="s">
        <v>1150</v>
      </c>
      <c r="G2299" s="10"/>
      <c r="H2299" s="96" t="s">
        <v>1229</v>
      </c>
      <c r="I2299" s="109" t="s">
        <v>1209</v>
      </c>
      <c r="J2299" s="115">
        <v>45762</v>
      </c>
      <c r="K2299" s="115">
        <v>46151</v>
      </c>
      <c r="L2299" s="131">
        <v>680000</v>
      </c>
      <c r="M2299" s="109" t="s">
        <v>1230</v>
      </c>
      <c r="N2299" s="34" t="s">
        <v>29</v>
      </c>
      <c r="O2299" s="27"/>
      <c r="P2299" s="181">
        <v>46199</v>
      </c>
      <c r="Q2299" s="181">
        <v>46199</v>
      </c>
      <c r="R2299" s="181">
        <v>46199</v>
      </c>
      <c r="S2299" s="37">
        <f t="shared" si="493"/>
        <v>680000</v>
      </c>
      <c r="T2299" s="37">
        <f t="shared" si="494"/>
        <v>0</v>
      </c>
      <c r="U2299" s="10"/>
      <c r="V2299" s="10"/>
      <c r="W2299" s="10"/>
      <c r="X2299" s="10"/>
      <c r="Y2299" s="10"/>
      <c r="Z2299" s="10"/>
      <c r="AA2299" s="10"/>
      <c r="AB2299" s="10"/>
      <c r="AC2299" s="10"/>
      <c r="AD2299" s="10"/>
      <c r="AE2299" s="10"/>
    </row>
    <row r="2300" spans="1:31">
      <c r="A2300" s="277" t="s">
        <v>6324</v>
      </c>
      <c r="B2300" s="9" t="s">
        <v>21</v>
      </c>
      <c r="C2300" s="9">
        <v>2025</v>
      </c>
      <c r="D2300" s="9" t="s">
        <v>27</v>
      </c>
      <c r="E2300" s="90" t="s">
        <v>1147</v>
      </c>
      <c r="F2300" s="9" t="s">
        <v>1150</v>
      </c>
      <c r="G2300" s="10"/>
      <c r="H2300" s="96" t="s">
        <v>1232</v>
      </c>
      <c r="I2300" s="109" t="s">
        <v>1209</v>
      </c>
      <c r="J2300" s="115">
        <v>45764</v>
      </c>
      <c r="K2300" s="115">
        <v>46151</v>
      </c>
      <c r="L2300" s="131">
        <v>440000</v>
      </c>
      <c r="M2300" s="109" t="s">
        <v>1233</v>
      </c>
      <c r="N2300" s="34" t="s">
        <v>29</v>
      </c>
      <c r="O2300" s="27"/>
      <c r="P2300" s="181">
        <v>46199</v>
      </c>
      <c r="Q2300" s="181">
        <v>46199</v>
      </c>
      <c r="R2300" s="181">
        <v>46199</v>
      </c>
      <c r="S2300" s="37">
        <f t="shared" si="493"/>
        <v>440000</v>
      </c>
      <c r="T2300" s="37">
        <f t="shared" si="494"/>
        <v>0</v>
      </c>
      <c r="U2300" s="10"/>
      <c r="V2300" s="10"/>
      <c r="W2300" s="10"/>
      <c r="X2300" s="10"/>
      <c r="Y2300" s="10"/>
      <c r="Z2300" s="10"/>
      <c r="AA2300" s="10"/>
      <c r="AB2300" s="10"/>
      <c r="AC2300" s="10"/>
      <c r="AD2300" s="10"/>
      <c r="AE2300" s="10"/>
    </row>
    <row r="2301" spans="1:31">
      <c r="A2301" s="277" t="s">
        <v>6325</v>
      </c>
      <c r="B2301" s="9" t="s">
        <v>21</v>
      </c>
      <c r="C2301" s="9">
        <v>2025</v>
      </c>
      <c r="D2301" s="9" t="s">
        <v>27</v>
      </c>
      <c r="E2301" s="90" t="s">
        <v>1147</v>
      </c>
      <c r="F2301" s="9" t="s">
        <v>1150</v>
      </c>
      <c r="G2301" s="10"/>
      <c r="H2301" s="96" t="s">
        <v>1231</v>
      </c>
      <c r="I2301" s="109" t="s">
        <v>1209</v>
      </c>
      <c r="J2301" s="115">
        <v>45767</v>
      </c>
      <c r="K2301" s="115">
        <v>46151</v>
      </c>
      <c r="L2301" s="131">
        <f>3500000-680000</f>
        <v>2820000</v>
      </c>
      <c r="M2301" s="109" t="s">
        <v>7161</v>
      </c>
      <c r="N2301" s="34" t="s">
        <v>29</v>
      </c>
      <c r="O2301" s="27"/>
      <c r="P2301" s="181">
        <v>46199</v>
      </c>
      <c r="Q2301" s="181">
        <v>46199</v>
      </c>
      <c r="R2301" s="181">
        <v>46199</v>
      </c>
      <c r="S2301" s="37">
        <f t="shared" si="493"/>
        <v>2820000</v>
      </c>
      <c r="T2301" s="37">
        <f t="shared" si="494"/>
        <v>0</v>
      </c>
      <c r="U2301" s="10"/>
      <c r="V2301" s="10"/>
      <c r="W2301" s="10"/>
      <c r="X2301" s="10"/>
      <c r="Y2301" s="10"/>
      <c r="Z2301" s="10"/>
      <c r="AA2301" s="10"/>
      <c r="AB2301" s="10"/>
      <c r="AC2301" s="10"/>
      <c r="AD2301" s="10"/>
      <c r="AE2301" s="10"/>
    </row>
    <row r="2302" spans="1:31">
      <c r="A2302" s="277" t="s">
        <v>6326</v>
      </c>
      <c r="B2302" s="9" t="s">
        <v>21</v>
      </c>
      <c r="C2302" s="9">
        <v>2025</v>
      </c>
      <c r="D2302" s="9" t="s">
        <v>27</v>
      </c>
      <c r="E2302" s="90" t="s">
        <v>1147</v>
      </c>
      <c r="F2302" s="9" t="s">
        <v>1150</v>
      </c>
      <c r="G2302" s="10"/>
      <c r="H2302" s="96" t="s">
        <v>1231</v>
      </c>
      <c r="I2302" s="109" t="s">
        <v>1209</v>
      </c>
      <c r="J2302" s="115">
        <v>45767</v>
      </c>
      <c r="K2302" s="115">
        <v>46151</v>
      </c>
      <c r="L2302" s="131">
        <f>3500000-2820000</f>
        <v>680000</v>
      </c>
      <c r="M2302" s="109" t="s">
        <v>7162</v>
      </c>
      <c r="N2302" s="34" t="s">
        <v>29</v>
      </c>
      <c r="O2302" s="27">
        <f>SUM(L2302:L2310)</f>
        <v>15000000</v>
      </c>
      <c r="P2302" s="181">
        <v>46229</v>
      </c>
      <c r="Q2302" s="181">
        <v>46229</v>
      </c>
      <c r="R2302" s="181">
        <v>46229</v>
      </c>
      <c r="S2302" s="37">
        <f t="shared" si="493"/>
        <v>680000</v>
      </c>
      <c r="T2302" s="37">
        <f t="shared" si="494"/>
        <v>0</v>
      </c>
      <c r="U2302" s="10"/>
      <c r="V2302" s="10"/>
      <c r="W2302" s="10"/>
      <c r="X2302" s="10"/>
      <c r="Y2302" s="10"/>
      <c r="Z2302" s="10"/>
      <c r="AA2302" s="10"/>
      <c r="AB2302" s="10"/>
      <c r="AC2302" s="10"/>
      <c r="AD2302" s="10"/>
      <c r="AE2302" s="10"/>
    </row>
    <row r="2303" spans="1:31">
      <c r="A2303" s="277" t="s">
        <v>6327</v>
      </c>
      <c r="B2303" s="9" t="s">
        <v>21</v>
      </c>
      <c r="C2303" s="9">
        <v>2025</v>
      </c>
      <c r="D2303" s="9" t="s">
        <v>27</v>
      </c>
      <c r="E2303" s="90" t="s">
        <v>1147</v>
      </c>
      <c r="F2303" s="9" t="s">
        <v>1150</v>
      </c>
      <c r="G2303" s="10"/>
      <c r="H2303" s="96" t="s">
        <v>1223</v>
      </c>
      <c r="I2303" s="109" t="s">
        <v>1209</v>
      </c>
      <c r="J2303" s="115">
        <v>45770</v>
      </c>
      <c r="K2303" s="115">
        <v>45775</v>
      </c>
      <c r="L2303" s="131">
        <v>1640000</v>
      </c>
      <c r="M2303" s="109" t="s">
        <v>1224</v>
      </c>
      <c r="N2303" s="34" t="s">
        <v>29</v>
      </c>
      <c r="O2303" s="27"/>
      <c r="P2303" s="181">
        <v>46229</v>
      </c>
      <c r="Q2303" s="181">
        <v>46229</v>
      </c>
      <c r="R2303" s="181">
        <v>46229</v>
      </c>
      <c r="S2303" s="37">
        <f t="shared" si="493"/>
        <v>1640000</v>
      </c>
      <c r="T2303" s="37">
        <f t="shared" si="494"/>
        <v>0</v>
      </c>
      <c r="U2303" s="10"/>
      <c r="V2303" s="10"/>
      <c r="W2303" s="10"/>
      <c r="X2303" s="10"/>
      <c r="Y2303" s="10"/>
      <c r="Z2303" s="10"/>
      <c r="AA2303" s="10"/>
      <c r="AB2303" s="10"/>
      <c r="AC2303" s="10"/>
      <c r="AD2303" s="10"/>
      <c r="AE2303" s="10"/>
    </row>
    <row r="2304" spans="1:31">
      <c r="A2304" s="277" t="s">
        <v>6328</v>
      </c>
      <c r="B2304" s="9" t="s">
        <v>21</v>
      </c>
      <c r="C2304" s="9">
        <v>2025</v>
      </c>
      <c r="D2304" s="9" t="s">
        <v>27</v>
      </c>
      <c r="E2304" s="90" t="s">
        <v>1147</v>
      </c>
      <c r="F2304" s="9" t="s">
        <v>1150</v>
      </c>
      <c r="G2304" s="10"/>
      <c r="H2304" s="96" t="s">
        <v>1225</v>
      </c>
      <c r="I2304" s="109" t="s">
        <v>1209</v>
      </c>
      <c r="J2304" s="115">
        <v>45779</v>
      </c>
      <c r="K2304" s="115">
        <v>45783</v>
      </c>
      <c r="L2304" s="131">
        <v>920000</v>
      </c>
      <c r="M2304" s="109" t="s">
        <v>1226</v>
      </c>
      <c r="N2304" s="34" t="s">
        <v>29</v>
      </c>
      <c r="O2304" s="27"/>
      <c r="P2304" s="181">
        <v>46229</v>
      </c>
      <c r="Q2304" s="181">
        <v>46229</v>
      </c>
      <c r="R2304" s="181">
        <v>46229</v>
      </c>
      <c r="S2304" s="37">
        <f t="shared" si="493"/>
        <v>920000</v>
      </c>
      <c r="T2304" s="37">
        <f t="shared" si="494"/>
        <v>0</v>
      </c>
      <c r="U2304" s="10"/>
      <c r="V2304" s="10"/>
      <c r="W2304" s="10"/>
      <c r="X2304" s="10"/>
      <c r="Y2304" s="10"/>
      <c r="Z2304" s="10"/>
      <c r="AA2304" s="10"/>
      <c r="AB2304" s="10"/>
      <c r="AC2304" s="10"/>
      <c r="AD2304" s="10"/>
      <c r="AE2304" s="10"/>
    </row>
    <row r="2305" spans="1:31">
      <c r="A2305" s="277" t="s">
        <v>6329</v>
      </c>
      <c r="B2305" s="9" t="s">
        <v>21</v>
      </c>
      <c r="C2305" s="9">
        <v>2025</v>
      </c>
      <c r="D2305" s="9" t="s">
        <v>27</v>
      </c>
      <c r="E2305" s="90" t="s">
        <v>1147</v>
      </c>
      <c r="F2305" s="9" t="s">
        <v>1150</v>
      </c>
      <c r="G2305" s="10"/>
      <c r="H2305" s="96" t="s">
        <v>1227</v>
      </c>
      <c r="I2305" s="109" t="s">
        <v>1209</v>
      </c>
      <c r="J2305" s="115">
        <v>45779</v>
      </c>
      <c r="K2305" s="115">
        <v>45783</v>
      </c>
      <c r="L2305" s="131">
        <v>1680000</v>
      </c>
      <c r="M2305" s="109" t="s">
        <v>1228</v>
      </c>
      <c r="N2305" s="34" t="s">
        <v>29</v>
      </c>
      <c r="O2305" s="27"/>
      <c r="P2305" s="181">
        <v>46229</v>
      </c>
      <c r="Q2305" s="181">
        <v>46229</v>
      </c>
      <c r="R2305" s="181">
        <v>46229</v>
      </c>
      <c r="S2305" s="37">
        <f t="shared" si="493"/>
        <v>1680000</v>
      </c>
      <c r="T2305" s="37">
        <f t="shared" si="494"/>
        <v>0</v>
      </c>
      <c r="U2305" s="10"/>
      <c r="V2305" s="10"/>
      <c r="W2305" s="10"/>
      <c r="X2305" s="10"/>
      <c r="Y2305" s="10"/>
      <c r="Z2305" s="10"/>
      <c r="AA2305" s="10"/>
      <c r="AB2305" s="10"/>
      <c r="AC2305" s="10"/>
      <c r="AD2305" s="10"/>
      <c r="AE2305" s="10"/>
    </row>
    <row r="2306" spans="1:31">
      <c r="A2306" s="277" t="s">
        <v>6330</v>
      </c>
      <c r="B2306" s="9" t="s">
        <v>21</v>
      </c>
      <c r="C2306" s="9">
        <v>2025</v>
      </c>
      <c r="D2306" s="9" t="s">
        <v>27</v>
      </c>
      <c r="E2306" s="90" t="s">
        <v>1147</v>
      </c>
      <c r="F2306" s="9" t="s">
        <v>1150</v>
      </c>
      <c r="G2306" s="10"/>
      <c r="H2306" s="96" t="s">
        <v>1234</v>
      </c>
      <c r="I2306" s="109" t="s">
        <v>1209</v>
      </c>
      <c r="J2306" s="115">
        <v>45791</v>
      </c>
      <c r="K2306" s="115">
        <v>45796</v>
      </c>
      <c r="L2306" s="131">
        <v>1880000</v>
      </c>
      <c r="M2306" s="109" t="s">
        <v>1235</v>
      </c>
      <c r="N2306" s="34" t="s">
        <v>29</v>
      </c>
      <c r="O2306" s="27"/>
      <c r="P2306" s="181">
        <v>46229</v>
      </c>
      <c r="Q2306" s="181">
        <v>46229</v>
      </c>
      <c r="R2306" s="181">
        <v>46229</v>
      </c>
      <c r="S2306" s="37">
        <f t="shared" si="493"/>
        <v>1880000</v>
      </c>
      <c r="T2306" s="37">
        <f t="shared" si="494"/>
        <v>0</v>
      </c>
      <c r="U2306" s="10"/>
      <c r="V2306" s="10"/>
      <c r="W2306" s="10"/>
      <c r="X2306" s="10"/>
      <c r="Y2306" s="10"/>
      <c r="Z2306" s="10"/>
      <c r="AA2306" s="10"/>
      <c r="AB2306" s="10"/>
      <c r="AC2306" s="10"/>
      <c r="AD2306" s="10"/>
      <c r="AE2306" s="10"/>
    </row>
    <row r="2307" spans="1:31">
      <c r="A2307" s="277" t="s">
        <v>6331</v>
      </c>
      <c r="B2307" s="9" t="s">
        <v>21</v>
      </c>
      <c r="C2307" s="9">
        <v>2025</v>
      </c>
      <c r="D2307" s="9" t="s">
        <v>27</v>
      </c>
      <c r="E2307" s="90" t="s">
        <v>1147</v>
      </c>
      <c r="F2307" s="9" t="s">
        <v>1150</v>
      </c>
      <c r="G2307" s="10"/>
      <c r="H2307" s="96" t="s">
        <v>1236</v>
      </c>
      <c r="I2307" s="109" t="s">
        <v>1209</v>
      </c>
      <c r="J2307" s="115">
        <v>45799</v>
      </c>
      <c r="K2307" s="115">
        <v>45799</v>
      </c>
      <c r="L2307" s="131">
        <v>2180000</v>
      </c>
      <c r="M2307" s="109" t="s">
        <v>1237</v>
      </c>
      <c r="N2307" s="34" t="s">
        <v>29</v>
      </c>
      <c r="O2307" s="27"/>
      <c r="P2307" s="181">
        <v>46229</v>
      </c>
      <c r="Q2307" s="181">
        <v>46229</v>
      </c>
      <c r="R2307" s="181">
        <v>46229</v>
      </c>
      <c r="S2307" s="37">
        <f t="shared" si="493"/>
        <v>2180000</v>
      </c>
      <c r="T2307" s="37">
        <f t="shared" si="494"/>
        <v>0</v>
      </c>
      <c r="U2307" s="10"/>
      <c r="V2307" s="10"/>
      <c r="W2307" s="10"/>
      <c r="X2307" s="10"/>
      <c r="Y2307" s="10"/>
      <c r="Z2307" s="10"/>
      <c r="AA2307" s="10"/>
      <c r="AB2307" s="10"/>
      <c r="AC2307" s="10"/>
      <c r="AD2307" s="10"/>
      <c r="AE2307" s="10"/>
    </row>
    <row r="2308" spans="1:31">
      <c r="A2308" s="277" t="s">
        <v>6332</v>
      </c>
      <c r="B2308" s="9" t="s">
        <v>21</v>
      </c>
      <c r="C2308" s="9">
        <v>2025</v>
      </c>
      <c r="D2308" s="9" t="s">
        <v>27</v>
      </c>
      <c r="E2308" s="90" t="s">
        <v>1147</v>
      </c>
      <c r="F2308" s="9" t="s">
        <v>1150</v>
      </c>
      <c r="G2308" s="10"/>
      <c r="H2308" s="96" t="s">
        <v>1239</v>
      </c>
      <c r="I2308" s="109" t="s">
        <v>1209</v>
      </c>
      <c r="J2308" s="115">
        <v>45803</v>
      </c>
      <c r="K2308" s="115">
        <v>45807</v>
      </c>
      <c r="L2308" s="131">
        <v>3320000</v>
      </c>
      <c r="M2308" s="109" t="s">
        <v>1240</v>
      </c>
      <c r="N2308" s="34" t="s">
        <v>29</v>
      </c>
      <c r="O2308" s="27"/>
      <c r="P2308" s="181">
        <v>46229</v>
      </c>
      <c r="Q2308" s="181">
        <v>46229</v>
      </c>
      <c r="R2308" s="181">
        <v>46229</v>
      </c>
      <c r="S2308" s="37">
        <f t="shared" si="493"/>
        <v>3320000</v>
      </c>
      <c r="T2308" s="37">
        <f t="shared" si="494"/>
        <v>0</v>
      </c>
      <c r="U2308" s="10"/>
      <c r="V2308" s="10"/>
      <c r="W2308" s="10"/>
      <c r="X2308" s="10"/>
      <c r="Y2308" s="10"/>
      <c r="Z2308" s="10"/>
      <c r="AA2308" s="10"/>
      <c r="AB2308" s="10"/>
      <c r="AC2308" s="10"/>
      <c r="AD2308" s="10"/>
      <c r="AE2308" s="10"/>
    </row>
    <row r="2309" spans="1:31">
      <c r="A2309" s="277" t="s">
        <v>6333</v>
      </c>
      <c r="B2309" s="9" t="s">
        <v>21</v>
      </c>
      <c r="C2309" s="9">
        <v>2025</v>
      </c>
      <c r="D2309" s="9" t="s">
        <v>27</v>
      </c>
      <c r="E2309" s="90" t="s">
        <v>1147</v>
      </c>
      <c r="F2309" s="9" t="s">
        <v>1150</v>
      </c>
      <c r="G2309" s="10"/>
      <c r="H2309" s="96" t="s">
        <v>1241</v>
      </c>
      <c r="I2309" s="109" t="s">
        <v>1209</v>
      </c>
      <c r="J2309" s="115">
        <v>45819</v>
      </c>
      <c r="K2309" s="115">
        <v>45826</v>
      </c>
      <c r="L2309" s="131">
        <v>1860000</v>
      </c>
      <c r="M2309" s="109" t="s">
        <v>1242</v>
      </c>
      <c r="N2309" s="34" t="s">
        <v>29</v>
      </c>
      <c r="O2309" s="27"/>
      <c r="P2309" s="181">
        <v>46229</v>
      </c>
      <c r="Q2309" s="181">
        <v>46229</v>
      </c>
      <c r="R2309" s="181">
        <v>46229</v>
      </c>
      <c r="S2309" s="37">
        <f t="shared" si="493"/>
        <v>1860000</v>
      </c>
      <c r="T2309" s="37">
        <f t="shared" si="494"/>
        <v>0</v>
      </c>
      <c r="U2309" s="10"/>
      <c r="V2309" s="10"/>
      <c r="W2309" s="10"/>
      <c r="X2309" s="10"/>
      <c r="Y2309" s="10"/>
      <c r="Z2309" s="10"/>
      <c r="AA2309" s="10"/>
      <c r="AB2309" s="10"/>
      <c r="AC2309" s="10"/>
      <c r="AD2309" s="10"/>
      <c r="AE2309" s="10"/>
    </row>
    <row r="2310" spans="1:31" ht="14.25" customHeight="1">
      <c r="A2310" s="277" t="s">
        <v>6334</v>
      </c>
      <c r="B2310" s="9" t="s">
        <v>21</v>
      </c>
      <c r="C2310" s="9">
        <v>2025</v>
      </c>
      <c r="D2310" s="9" t="s">
        <v>27</v>
      </c>
      <c r="E2310" s="90" t="s">
        <v>1147</v>
      </c>
      <c r="F2310" s="9" t="s">
        <v>1150</v>
      </c>
      <c r="G2310" s="10"/>
      <c r="H2310" s="96" t="s">
        <v>1243</v>
      </c>
      <c r="I2310" s="109" t="s">
        <v>1209</v>
      </c>
      <c r="J2310" s="115">
        <v>45819</v>
      </c>
      <c r="K2310" s="115">
        <v>45826</v>
      </c>
      <c r="L2310" s="131">
        <v>840000</v>
      </c>
      <c r="M2310" s="109" t="s">
        <v>7399</v>
      </c>
      <c r="N2310" s="34" t="s">
        <v>29</v>
      </c>
      <c r="O2310" s="27"/>
      <c r="P2310" s="181">
        <v>46229</v>
      </c>
      <c r="Q2310" s="181">
        <v>46229</v>
      </c>
      <c r="R2310" s="181">
        <v>46229</v>
      </c>
      <c r="S2310" s="37">
        <f t="shared" ref="S2310" si="495">IF(R2310="",0,L2310)</f>
        <v>840000</v>
      </c>
      <c r="T2310" s="37">
        <f t="shared" ref="T2310" si="496">L2310-S2310</f>
        <v>0</v>
      </c>
      <c r="U2310" s="10"/>
      <c r="V2310" s="10"/>
      <c r="W2310" s="10"/>
      <c r="X2310" s="10"/>
      <c r="Y2310" s="10"/>
      <c r="Z2310" s="10"/>
      <c r="AA2310" s="10"/>
      <c r="AB2310" s="10"/>
      <c r="AC2310" s="10"/>
      <c r="AD2310" s="10"/>
      <c r="AE2310" s="10"/>
    </row>
    <row r="2311" spans="1:31" ht="14.25" customHeight="1">
      <c r="A2311" s="277" t="s">
        <v>6335</v>
      </c>
      <c r="B2311" s="9" t="s">
        <v>21</v>
      </c>
      <c r="C2311" s="9">
        <v>2025</v>
      </c>
      <c r="D2311" s="9" t="s">
        <v>77</v>
      </c>
      <c r="E2311" s="90" t="s">
        <v>1147</v>
      </c>
      <c r="F2311" s="9" t="s">
        <v>1150</v>
      </c>
      <c r="G2311" s="10"/>
      <c r="H2311" s="9" t="s">
        <v>1243</v>
      </c>
      <c r="I2311" s="11" t="s">
        <v>1209</v>
      </c>
      <c r="J2311" s="12">
        <v>45819</v>
      </c>
      <c r="K2311" s="12">
        <v>45826</v>
      </c>
      <c r="L2311" s="52">
        <f>2340000-840000</f>
        <v>1500000</v>
      </c>
      <c r="M2311" s="11" t="s">
        <v>7400</v>
      </c>
      <c r="N2311" s="34">
        <f t="shared" ref="N2311:N2326" ca="1" si="497">$J$3-J2311</f>
        <v>421.46377638888953</v>
      </c>
      <c r="O2311" s="27"/>
      <c r="P2311" s="49"/>
      <c r="Q2311" s="39"/>
      <c r="R2311" s="39"/>
      <c r="S2311" s="37">
        <f t="shared" si="493"/>
        <v>0</v>
      </c>
      <c r="T2311" s="37">
        <f t="shared" si="494"/>
        <v>1500000</v>
      </c>
      <c r="U2311" s="10"/>
      <c r="V2311" s="10"/>
      <c r="W2311" s="10"/>
      <c r="X2311" s="10"/>
      <c r="Y2311" s="10"/>
      <c r="Z2311" s="10"/>
      <c r="AA2311" s="10"/>
      <c r="AB2311" s="10"/>
      <c r="AC2311" s="10"/>
      <c r="AD2311" s="10"/>
      <c r="AE2311" s="10"/>
    </row>
    <row r="2312" spans="1:31" ht="14.25" customHeight="1">
      <c r="A2312" s="277" t="s">
        <v>6336</v>
      </c>
      <c r="B2312" s="9" t="s">
        <v>21</v>
      </c>
      <c r="C2312" s="9">
        <v>2025</v>
      </c>
      <c r="D2312" s="9" t="s">
        <v>77</v>
      </c>
      <c r="E2312" s="90" t="s">
        <v>1147</v>
      </c>
      <c r="F2312" s="9" t="s">
        <v>1150</v>
      </c>
      <c r="G2312" s="10"/>
      <c r="H2312" s="9" t="s">
        <v>1244</v>
      </c>
      <c r="I2312" s="11" t="s">
        <v>1209</v>
      </c>
      <c r="J2312" s="12">
        <v>45827</v>
      </c>
      <c r="K2312" s="12">
        <v>45831</v>
      </c>
      <c r="L2312" s="52">
        <v>1320000</v>
      </c>
      <c r="M2312" s="11" t="s">
        <v>1245</v>
      </c>
      <c r="N2312" s="34">
        <f t="shared" ca="1" si="497"/>
        <v>413.46377638888953</v>
      </c>
      <c r="O2312" s="27"/>
      <c r="P2312" s="49"/>
      <c r="Q2312" s="39"/>
      <c r="R2312" s="39"/>
      <c r="S2312" s="37">
        <f t="shared" si="493"/>
        <v>0</v>
      </c>
      <c r="T2312" s="37">
        <f t="shared" si="494"/>
        <v>1320000</v>
      </c>
      <c r="U2312" s="10"/>
      <c r="V2312" s="10"/>
      <c r="W2312" s="10"/>
      <c r="X2312" s="10"/>
      <c r="Y2312" s="10"/>
      <c r="Z2312" s="10"/>
      <c r="AA2312" s="10"/>
      <c r="AB2312" s="10"/>
      <c r="AC2312" s="10"/>
      <c r="AD2312" s="10"/>
      <c r="AE2312" s="10"/>
    </row>
    <row r="2313" spans="1:31" ht="14.25" customHeight="1">
      <c r="A2313" s="277" t="s">
        <v>6337</v>
      </c>
      <c r="B2313" s="9" t="s">
        <v>21</v>
      </c>
      <c r="C2313" s="9">
        <v>2025</v>
      </c>
      <c r="D2313" s="9" t="s">
        <v>77</v>
      </c>
      <c r="E2313" s="90" t="s">
        <v>1147</v>
      </c>
      <c r="F2313" s="9" t="s">
        <v>1150</v>
      </c>
      <c r="G2313" s="10"/>
      <c r="H2313" s="9" t="s">
        <v>1246</v>
      </c>
      <c r="I2313" s="11" t="s">
        <v>1209</v>
      </c>
      <c r="J2313" s="12">
        <v>45832</v>
      </c>
      <c r="K2313" s="12">
        <v>45838</v>
      </c>
      <c r="L2313" s="52">
        <v>1700000</v>
      </c>
      <c r="M2313" s="11" t="s">
        <v>1247</v>
      </c>
      <c r="N2313" s="34">
        <f t="shared" ca="1" si="497"/>
        <v>408.46377638888953</v>
      </c>
      <c r="O2313" s="27"/>
      <c r="P2313" s="49"/>
      <c r="Q2313" s="39"/>
      <c r="R2313" s="39"/>
      <c r="S2313" s="37">
        <f t="shared" si="493"/>
        <v>0</v>
      </c>
      <c r="T2313" s="37">
        <f t="shared" si="494"/>
        <v>1700000</v>
      </c>
      <c r="U2313" s="10"/>
      <c r="V2313" s="10"/>
      <c r="W2313" s="10"/>
      <c r="X2313" s="10"/>
      <c r="Y2313" s="10"/>
      <c r="Z2313" s="10"/>
      <c r="AA2313" s="10"/>
      <c r="AB2313" s="10"/>
      <c r="AC2313" s="10"/>
      <c r="AD2313" s="10"/>
      <c r="AE2313" s="10"/>
    </row>
    <row r="2314" spans="1:31" ht="14.25" customHeight="1">
      <c r="A2314" s="277" t="s">
        <v>6338</v>
      </c>
      <c r="B2314" s="9" t="s">
        <v>21</v>
      </c>
      <c r="C2314" s="9">
        <v>2025</v>
      </c>
      <c r="D2314" s="9" t="s">
        <v>77</v>
      </c>
      <c r="E2314" s="90" t="s">
        <v>1147</v>
      </c>
      <c r="F2314" s="9" t="s">
        <v>1150</v>
      </c>
      <c r="G2314" s="10"/>
      <c r="H2314" s="9" t="s">
        <v>1248</v>
      </c>
      <c r="I2314" s="11" t="s">
        <v>1209</v>
      </c>
      <c r="J2314" s="12">
        <v>45832</v>
      </c>
      <c r="K2314" s="12">
        <v>45838</v>
      </c>
      <c r="L2314" s="52">
        <v>980000</v>
      </c>
      <c r="M2314" s="11" t="s">
        <v>1249</v>
      </c>
      <c r="N2314" s="34">
        <f t="shared" ca="1" si="497"/>
        <v>408.46377638888953</v>
      </c>
      <c r="O2314" s="27"/>
      <c r="P2314" s="49"/>
      <c r="Q2314" s="39"/>
      <c r="R2314" s="39"/>
      <c r="S2314" s="37">
        <f t="shared" si="493"/>
        <v>0</v>
      </c>
      <c r="T2314" s="37">
        <f t="shared" si="494"/>
        <v>980000</v>
      </c>
      <c r="U2314" s="10"/>
      <c r="V2314" s="10"/>
      <c r="W2314" s="10"/>
      <c r="X2314" s="10"/>
      <c r="Y2314" s="10"/>
      <c r="Z2314" s="10"/>
      <c r="AA2314" s="10"/>
      <c r="AB2314" s="10"/>
      <c r="AC2314" s="10"/>
      <c r="AD2314" s="10"/>
      <c r="AE2314" s="10"/>
    </row>
    <row r="2315" spans="1:31" ht="14.25" customHeight="1">
      <c r="A2315" s="277" t="s">
        <v>6339</v>
      </c>
      <c r="B2315" s="9" t="s">
        <v>21</v>
      </c>
      <c r="C2315" s="9">
        <v>2025</v>
      </c>
      <c r="D2315" s="9" t="s">
        <v>77</v>
      </c>
      <c r="E2315" s="90" t="s">
        <v>1147</v>
      </c>
      <c r="F2315" s="9" t="s">
        <v>1150</v>
      </c>
      <c r="G2315" s="10"/>
      <c r="H2315" s="9" t="s">
        <v>1250</v>
      </c>
      <c r="I2315" s="11" t="s">
        <v>1209</v>
      </c>
      <c r="J2315" s="12">
        <v>45849</v>
      </c>
      <c r="K2315" s="12">
        <v>45856</v>
      </c>
      <c r="L2315" s="52">
        <v>900000</v>
      </c>
      <c r="M2315" s="11" t="s">
        <v>1251</v>
      </c>
      <c r="N2315" s="34">
        <f t="shared" ca="1" si="497"/>
        <v>391.46377638888953</v>
      </c>
      <c r="O2315" s="27"/>
      <c r="P2315" s="49"/>
      <c r="Q2315" s="39"/>
      <c r="R2315" s="39"/>
      <c r="S2315" s="37">
        <f t="shared" si="493"/>
        <v>0</v>
      </c>
      <c r="T2315" s="37">
        <f t="shared" si="494"/>
        <v>900000</v>
      </c>
      <c r="U2315" s="10"/>
      <c r="V2315" s="10"/>
      <c r="W2315" s="10"/>
      <c r="X2315" s="10"/>
      <c r="Y2315" s="10"/>
      <c r="Z2315" s="10"/>
      <c r="AA2315" s="10"/>
      <c r="AB2315" s="10"/>
      <c r="AC2315" s="10"/>
      <c r="AD2315" s="10"/>
      <c r="AE2315" s="10"/>
    </row>
    <row r="2316" spans="1:31" ht="14.25" customHeight="1">
      <c r="A2316" s="277" t="s">
        <v>6340</v>
      </c>
      <c r="B2316" s="9" t="s">
        <v>21</v>
      </c>
      <c r="C2316" s="9">
        <v>2025</v>
      </c>
      <c r="D2316" s="9" t="s">
        <v>77</v>
      </c>
      <c r="E2316" s="90" t="s">
        <v>1147</v>
      </c>
      <c r="F2316" s="9" t="s">
        <v>1150</v>
      </c>
      <c r="G2316" s="10"/>
      <c r="H2316" s="9" t="s">
        <v>1252</v>
      </c>
      <c r="I2316" s="11" t="s">
        <v>1209</v>
      </c>
      <c r="J2316" s="12">
        <v>45849</v>
      </c>
      <c r="K2316" s="12">
        <v>45856</v>
      </c>
      <c r="L2316" s="52">
        <v>1580000</v>
      </c>
      <c r="M2316" s="11" t="s">
        <v>1253</v>
      </c>
      <c r="N2316" s="34">
        <f t="shared" ca="1" si="497"/>
        <v>391.46377638888953</v>
      </c>
      <c r="O2316" s="27"/>
      <c r="P2316" s="49"/>
      <c r="Q2316" s="39"/>
      <c r="R2316" s="39"/>
      <c r="S2316" s="37">
        <f t="shared" si="493"/>
        <v>0</v>
      </c>
      <c r="T2316" s="37">
        <f t="shared" si="494"/>
        <v>1580000</v>
      </c>
      <c r="U2316" s="10"/>
      <c r="V2316" s="10"/>
      <c r="W2316" s="10"/>
      <c r="X2316" s="10"/>
      <c r="Y2316" s="10"/>
      <c r="Z2316" s="10"/>
      <c r="AA2316" s="10"/>
      <c r="AB2316" s="10"/>
      <c r="AC2316" s="10"/>
      <c r="AD2316" s="10"/>
      <c r="AE2316" s="10"/>
    </row>
    <row r="2317" spans="1:31" ht="14.25" customHeight="1">
      <c r="A2317" s="277" t="s">
        <v>6341</v>
      </c>
      <c r="B2317" s="9" t="s">
        <v>21</v>
      </c>
      <c r="C2317" s="9">
        <v>2025</v>
      </c>
      <c r="D2317" s="9" t="s">
        <v>77</v>
      </c>
      <c r="E2317" s="90" t="s">
        <v>1147</v>
      </c>
      <c r="F2317" s="9" t="s">
        <v>1150</v>
      </c>
      <c r="G2317" s="10"/>
      <c r="H2317" s="9" t="s">
        <v>1254</v>
      </c>
      <c r="I2317" s="11" t="s">
        <v>1209</v>
      </c>
      <c r="J2317" s="12">
        <v>45854</v>
      </c>
      <c r="K2317" s="12">
        <v>45859</v>
      </c>
      <c r="L2317" s="52">
        <v>2760000</v>
      </c>
      <c r="M2317" s="11" t="s">
        <v>1255</v>
      </c>
      <c r="N2317" s="34">
        <f t="shared" ca="1" si="497"/>
        <v>386.46377638888953</v>
      </c>
      <c r="O2317" s="27"/>
      <c r="P2317" s="49"/>
      <c r="Q2317" s="39"/>
      <c r="R2317" s="39"/>
      <c r="S2317" s="37">
        <f t="shared" si="493"/>
        <v>0</v>
      </c>
      <c r="T2317" s="37">
        <f t="shared" si="494"/>
        <v>2760000</v>
      </c>
      <c r="U2317" s="10"/>
      <c r="V2317" s="10"/>
      <c r="W2317" s="10"/>
      <c r="X2317" s="10"/>
      <c r="Y2317" s="10"/>
      <c r="Z2317" s="10"/>
      <c r="AA2317" s="10"/>
      <c r="AB2317" s="10"/>
      <c r="AC2317" s="10"/>
      <c r="AD2317" s="10"/>
      <c r="AE2317" s="10"/>
    </row>
    <row r="2318" spans="1:31" ht="14.25" customHeight="1">
      <c r="A2318" s="277" t="s">
        <v>6342</v>
      </c>
      <c r="B2318" s="9" t="s">
        <v>21</v>
      </c>
      <c r="C2318" s="9">
        <v>2025</v>
      </c>
      <c r="D2318" s="9" t="s">
        <v>77</v>
      </c>
      <c r="E2318" s="90" t="s">
        <v>1147</v>
      </c>
      <c r="F2318" s="9" t="s">
        <v>1150</v>
      </c>
      <c r="G2318" s="10"/>
      <c r="H2318" s="9" t="s">
        <v>1256</v>
      </c>
      <c r="I2318" s="11" t="s">
        <v>1209</v>
      </c>
      <c r="J2318" s="12">
        <v>45854</v>
      </c>
      <c r="K2318" s="12">
        <v>45859</v>
      </c>
      <c r="L2318" s="52">
        <v>1900000</v>
      </c>
      <c r="M2318" s="11" t="s">
        <v>1257</v>
      </c>
      <c r="N2318" s="34">
        <f t="shared" ca="1" si="497"/>
        <v>386.46377638888953</v>
      </c>
      <c r="O2318" s="27"/>
      <c r="P2318" s="49"/>
      <c r="Q2318" s="39"/>
      <c r="R2318" s="39"/>
      <c r="S2318" s="37">
        <f t="shared" si="493"/>
        <v>0</v>
      </c>
      <c r="T2318" s="37">
        <f t="shared" si="494"/>
        <v>1900000</v>
      </c>
      <c r="U2318" s="10"/>
      <c r="V2318" s="10"/>
      <c r="W2318" s="10"/>
      <c r="X2318" s="10"/>
      <c r="Y2318" s="10"/>
      <c r="Z2318" s="10"/>
      <c r="AA2318" s="10"/>
      <c r="AB2318" s="10"/>
      <c r="AC2318" s="10"/>
      <c r="AD2318" s="10"/>
      <c r="AE2318" s="10"/>
    </row>
    <row r="2319" spans="1:31" ht="14.25" customHeight="1">
      <c r="A2319" s="277" t="s">
        <v>6343</v>
      </c>
      <c r="B2319" s="9" t="s">
        <v>21</v>
      </c>
      <c r="C2319" s="9">
        <v>2025</v>
      </c>
      <c r="D2319" s="9" t="s">
        <v>77</v>
      </c>
      <c r="E2319" s="90" t="s">
        <v>1147</v>
      </c>
      <c r="F2319" s="9" t="s">
        <v>1150</v>
      </c>
      <c r="G2319" s="10"/>
      <c r="H2319" s="9" t="s">
        <v>1258</v>
      </c>
      <c r="I2319" s="11" t="s">
        <v>1209</v>
      </c>
      <c r="J2319" s="12">
        <v>45855</v>
      </c>
      <c r="K2319" s="12">
        <v>45859</v>
      </c>
      <c r="L2319" s="52">
        <v>2960000</v>
      </c>
      <c r="M2319" s="11" t="s">
        <v>1259</v>
      </c>
      <c r="N2319" s="34">
        <f t="shared" ca="1" si="497"/>
        <v>385.46377638888953</v>
      </c>
      <c r="O2319" s="27"/>
      <c r="P2319" s="49"/>
      <c r="Q2319" s="39"/>
      <c r="R2319" s="39"/>
      <c r="S2319" s="37">
        <f t="shared" si="493"/>
        <v>0</v>
      </c>
      <c r="T2319" s="37">
        <f t="shared" si="494"/>
        <v>2960000</v>
      </c>
      <c r="U2319" s="10"/>
      <c r="V2319" s="10"/>
      <c r="W2319" s="10"/>
      <c r="X2319" s="10"/>
      <c r="Y2319" s="10"/>
      <c r="Z2319" s="10"/>
      <c r="AA2319" s="10"/>
      <c r="AB2319" s="10"/>
      <c r="AC2319" s="10"/>
      <c r="AD2319" s="10"/>
      <c r="AE2319" s="10"/>
    </row>
    <row r="2320" spans="1:31" ht="14.25" customHeight="1">
      <c r="A2320" s="277" t="s">
        <v>6344</v>
      </c>
      <c r="B2320" s="9" t="s">
        <v>21</v>
      </c>
      <c r="C2320" s="9">
        <v>2025</v>
      </c>
      <c r="D2320" s="9" t="s">
        <v>77</v>
      </c>
      <c r="E2320" s="90" t="s">
        <v>1147</v>
      </c>
      <c r="F2320" s="9" t="s">
        <v>1150</v>
      </c>
      <c r="G2320" s="10"/>
      <c r="H2320" s="9" t="s">
        <v>1260</v>
      </c>
      <c r="I2320" s="11" t="s">
        <v>1209</v>
      </c>
      <c r="J2320" s="12">
        <v>45863</v>
      </c>
      <c r="K2320" s="12">
        <v>45870</v>
      </c>
      <c r="L2320" s="52">
        <v>2360000</v>
      </c>
      <c r="M2320" s="11" t="s">
        <v>1261</v>
      </c>
      <c r="N2320" s="34">
        <f t="shared" ca="1" si="497"/>
        <v>377.46377638888953</v>
      </c>
      <c r="O2320" s="27"/>
      <c r="P2320" s="49"/>
      <c r="Q2320" s="39"/>
      <c r="R2320" s="39"/>
      <c r="S2320" s="37">
        <f t="shared" si="493"/>
        <v>0</v>
      </c>
      <c r="T2320" s="37">
        <f t="shared" si="494"/>
        <v>2360000</v>
      </c>
      <c r="U2320" s="10"/>
      <c r="V2320" s="10"/>
      <c r="W2320" s="10"/>
      <c r="X2320" s="10"/>
      <c r="Y2320" s="10"/>
      <c r="Z2320" s="10"/>
      <c r="AA2320" s="10"/>
      <c r="AB2320" s="10"/>
      <c r="AC2320" s="10"/>
      <c r="AD2320" s="10"/>
      <c r="AE2320" s="10"/>
    </row>
    <row r="2321" spans="1:31" ht="14.25" customHeight="1">
      <c r="A2321" s="277" t="s">
        <v>6345</v>
      </c>
      <c r="B2321" s="9" t="s">
        <v>21</v>
      </c>
      <c r="C2321" s="9">
        <v>2025</v>
      </c>
      <c r="D2321" s="9" t="s">
        <v>77</v>
      </c>
      <c r="E2321" s="90" t="s">
        <v>1147</v>
      </c>
      <c r="F2321" s="9" t="s">
        <v>1150</v>
      </c>
      <c r="G2321" s="10"/>
      <c r="H2321" s="9" t="s">
        <v>1262</v>
      </c>
      <c r="I2321" s="11" t="s">
        <v>1209</v>
      </c>
      <c r="J2321" s="12">
        <v>45881</v>
      </c>
      <c r="K2321" s="12">
        <v>45888</v>
      </c>
      <c r="L2321" s="52">
        <v>1640000</v>
      </c>
      <c r="M2321" s="11" t="s">
        <v>1263</v>
      </c>
      <c r="N2321" s="34">
        <f t="shared" ca="1" si="497"/>
        <v>359.46377638888953</v>
      </c>
      <c r="O2321" s="27"/>
      <c r="P2321" s="49"/>
      <c r="Q2321" s="39"/>
      <c r="R2321" s="39"/>
      <c r="S2321" s="37">
        <f t="shared" si="493"/>
        <v>0</v>
      </c>
      <c r="T2321" s="37">
        <f t="shared" si="494"/>
        <v>1640000</v>
      </c>
      <c r="U2321" s="10"/>
      <c r="V2321" s="10"/>
      <c r="W2321" s="10"/>
      <c r="X2321" s="10"/>
      <c r="Y2321" s="10"/>
      <c r="Z2321" s="10"/>
      <c r="AA2321" s="10"/>
      <c r="AB2321" s="10"/>
      <c r="AC2321" s="10"/>
      <c r="AD2321" s="10"/>
      <c r="AE2321" s="10"/>
    </row>
    <row r="2322" spans="1:31" ht="14.25" customHeight="1">
      <c r="A2322" s="277" t="s">
        <v>6346</v>
      </c>
      <c r="B2322" s="9" t="s">
        <v>21</v>
      </c>
      <c r="C2322" s="9">
        <v>2025</v>
      </c>
      <c r="D2322" s="9" t="s">
        <v>77</v>
      </c>
      <c r="E2322" s="90" t="s">
        <v>1147</v>
      </c>
      <c r="F2322" s="9" t="s">
        <v>1150</v>
      </c>
      <c r="G2322" s="10"/>
      <c r="H2322" s="9" t="s">
        <v>1264</v>
      </c>
      <c r="I2322" s="11" t="s">
        <v>1209</v>
      </c>
      <c r="J2322" s="12">
        <v>45881</v>
      </c>
      <c r="K2322" s="12">
        <v>45888</v>
      </c>
      <c r="L2322" s="52">
        <v>2260000</v>
      </c>
      <c r="M2322" s="11" t="s">
        <v>1265</v>
      </c>
      <c r="N2322" s="34">
        <f t="shared" ca="1" si="497"/>
        <v>359.46377638888953</v>
      </c>
      <c r="O2322" s="27"/>
      <c r="P2322" s="49"/>
      <c r="Q2322" s="39"/>
      <c r="R2322" s="39"/>
      <c r="S2322" s="37">
        <f t="shared" si="493"/>
        <v>0</v>
      </c>
      <c r="T2322" s="37">
        <f t="shared" si="494"/>
        <v>2260000</v>
      </c>
      <c r="U2322" s="10"/>
      <c r="V2322" s="10"/>
      <c r="W2322" s="10"/>
      <c r="X2322" s="10"/>
      <c r="Y2322" s="10"/>
      <c r="Z2322" s="10"/>
      <c r="AA2322" s="10"/>
      <c r="AB2322" s="10"/>
      <c r="AC2322" s="10"/>
      <c r="AD2322" s="10"/>
      <c r="AE2322" s="10"/>
    </row>
    <row r="2323" spans="1:31" ht="14.25" customHeight="1">
      <c r="A2323" s="277" t="s">
        <v>6347</v>
      </c>
      <c r="B2323" s="9" t="s">
        <v>21</v>
      </c>
      <c r="C2323" s="9">
        <v>2025</v>
      </c>
      <c r="D2323" s="9" t="s">
        <v>77</v>
      </c>
      <c r="E2323" s="90" t="s">
        <v>1147</v>
      </c>
      <c r="F2323" s="9" t="s">
        <v>1150</v>
      </c>
      <c r="G2323" s="10"/>
      <c r="H2323" s="9" t="s">
        <v>1266</v>
      </c>
      <c r="I2323" s="11" t="s">
        <v>1209</v>
      </c>
      <c r="J2323" s="12">
        <v>45884</v>
      </c>
      <c r="K2323" s="12">
        <v>45899</v>
      </c>
      <c r="L2323" s="52">
        <v>2560000</v>
      </c>
      <c r="M2323" s="11" t="s">
        <v>1267</v>
      </c>
      <c r="N2323" s="34">
        <f t="shared" ca="1" si="497"/>
        <v>356.46377638888953</v>
      </c>
      <c r="O2323" s="27"/>
      <c r="P2323" s="49"/>
      <c r="Q2323" s="39"/>
      <c r="R2323" s="39"/>
      <c r="S2323" s="37">
        <f t="shared" si="493"/>
        <v>0</v>
      </c>
      <c r="T2323" s="37">
        <f t="shared" si="494"/>
        <v>2560000</v>
      </c>
      <c r="U2323" s="10"/>
      <c r="V2323" s="10"/>
      <c r="W2323" s="10"/>
      <c r="X2323" s="10"/>
      <c r="Y2323" s="10"/>
      <c r="Z2323" s="10"/>
      <c r="AA2323" s="10"/>
      <c r="AB2323" s="10"/>
      <c r="AC2323" s="10"/>
      <c r="AD2323" s="10"/>
      <c r="AE2323" s="10"/>
    </row>
    <row r="2324" spans="1:31" ht="14.25" customHeight="1">
      <c r="A2324" s="277" t="s">
        <v>6348</v>
      </c>
      <c r="B2324" s="9" t="s">
        <v>21</v>
      </c>
      <c r="C2324" s="9">
        <v>2025</v>
      </c>
      <c r="D2324" s="9" t="s">
        <v>77</v>
      </c>
      <c r="E2324" s="90" t="s">
        <v>1147</v>
      </c>
      <c r="F2324" s="9" t="s">
        <v>1150</v>
      </c>
      <c r="G2324" s="10"/>
      <c r="H2324" s="9" t="s">
        <v>1268</v>
      </c>
      <c r="I2324" s="11" t="s">
        <v>1209</v>
      </c>
      <c r="J2324" s="12">
        <v>45897</v>
      </c>
      <c r="K2324" s="12">
        <v>45899</v>
      </c>
      <c r="L2324" s="52">
        <v>1180000</v>
      </c>
      <c r="M2324" s="11" t="s">
        <v>1269</v>
      </c>
      <c r="N2324" s="34">
        <f t="shared" ca="1" si="497"/>
        <v>343.46377638888953</v>
      </c>
      <c r="O2324" s="27"/>
      <c r="P2324" s="49"/>
      <c r="Q2324" s="39"/>
      <c r="R2324" s="39"/>
      <c r="S2324" s="37">
        <f t="shared" ref="S2324:S2347" si="498">IF(R2324="",0,L2324)</f>
        <v>0</v>
      </c>
      <c r="T2324" s="37">
        <f t="shared" ref="T2324:T2347" si="499">L2324-S2324</f>
        <v>1180000</v>
      </c>
      <c r="U2324" s="10"/>
      <c r="V2324" s="10"/>
      <c r="W2324" s="10"/>
      <c r="X2324" s="10"/>
      <c r="Y2324" s="10"/>
      <c r="Z2324" s="10"/>
      <c r="AA2324" s="10"/>
      <c r="AB2324" s="10"/>
      <c r="AC2324" s="10"/>
      <c r="AD2324" s="10"/>
      <c r="AE2324" s="10"/>
    </row>
    <row r="2325" spans="1:31" ht="14.25" customHeight="1">
      <c r="A2325" s="277" t="s">
        <v>6349</v>
      </c>
      <c r="B2325" s="9" t="s">
        <v>21</v>
      </c>
      <c r="C2325" s="9">
        <v>2025</v>
      </c>
      <c r="D2325" s="9" t="s">
        <v>77</v>
      </c>
      <c r="E2325" s="90" t="s">
        <v>1147</v>
      </c>
      <c r="F2325" s="9" t="s">
        <v>1150</v>
      </c>
      <c r="G2325" s="10"/>
      <c r="H2325" s="9" t="s">
        <v>1270</v>
      </c>
      <c r="I2325" s="11" t="s">
        <v>1209</v>
      </c>
      <c r="J2325" s="12">
        <v>45909</v>
      </c>
      <c r="K2325" s="12">
        <v>45912</v>
      </c>
      <c r="L2325" s="52">
        <v>2400000</v>
      </c>
      <c r="M2325" s="11" t="s">
        <v>1271</v>
      </c>
      <c r="N2325" s="34">
        <f t="shared" ca="1" si="497"/>
        <v>331.46377638888953</v>
      </c>
      <c r="O2325" s="27"/>
      <c r="P2325" s="49"/>
      <c r="Q2325" s="39"/>
      <c r="R2325" s="39"/>
      <c r="S2325" s="37">
        <f t="shared" si="498"/>
        <v>0</v>
      </c>
      <c r="T2325" s="37">
        <f t="shared" si="499"/>
        <v>2400000</v>
      </c>
      <c r="U2325" s="10"/>
      <c r="V2325" s="10"/>
      <c r="W2325" s="10"/>
      <c r="X2325" s="10"/>
      <c r="Y2325" s="10"/>
      <c r="Z2325" s="10"/>
      <c r="AA2325" s="10"/>
      <c r="AB2325" s="10"/>
      <c r="AC2325" s="10"/>
      <c r="AD2325" s="10"/>
      <c r="AE2325" s="10"/>
    </row>
    <row r="2326" spans="1:31" ht="14.25" customHeight="1">
      <c r="A2326" s="277" t="s">
        <v>6350</v>
      </c>
      <c r="B2326" s="9" t="s">
        <v>21</v>
      </c>
      <c r="C2326" s="9">
        <v>2025</v>
      </c>
      <c r="D2326" s="9" t="s">
        <v>77</v>
      </c>
      <c r="E2326" s="90" t="s">
        <v>1147</v>
      </c>
      <c r="F2326" s="9" t="s">
        <v>1150</v>
      </c>
      <c r="G2326" s="10"/>
      <c r="H2326" s="9" t="s">
        <v>1272</v>
      </c>
      <c r="I2326" s="11" t="s">
        <v>1209</v>
      </c>
      <c r="J2326" s="12">
        <v>45909</v>
      </c>
      <c r="K2326" s="12">
        <v>45912</v>
      </c>
      <c r="L2326" s="52">
        <v>2220000</v>
      </c>
      <c r="M2326" s="11" t="s">
        <v>1273</v>
      </c>
      <c r="N2326" s="34">
        <f t="shared" ca="1" si="497"/>
        <v>331.46377638888953</v>
      </c>
      <c r="O2326" s="27"/>
      <c r="P2326" s="49"/>
      <c r="Q2326" s="39"/>
      <c r="R2326" s="39"/>
      <c r="S2326" s="37">
        <f t="shared" si="498"/>
        <v>0</v>
      </c>
      <c r="T2326" s="37">
        <f t="shared" si="499"/>
        <v>2220000</v>
      </c>
      <c r="U2326" s="10"/>
      <c r="V2326" s="10"/>
      <c r="W2326" s="10"/>
      <c r="X2326" s="10"/>
      <c r="Y2326" s="10"/>
      <c r="Z2326" s="10"/>
      <c r="AA2326" s="10"/>
      <c r="AB2326" s="10"/>
      <c r="AC2326" s="10"/>
      <c r="AD2326" s="10"/>
      <c r="AE2326" s="10"/>
    </row>
    <row r="2327" spans="1:31" ht="14.25" customHeight="1">
      <c r="A2327" s="277" t="s">
        <v>6351</v>
      </c>
      <c r="B2327" s="9" t="s">
        <v>21</v>
      </c>
      <c r="C2327" s="9">
        <v>2025</v>
      </c>
      <c r="D2327" s="9" t="s">
        <v>77</v>
      </c>
      <c r="E2327" s="90" t="s">
        <v>1147</v>
      </c>
      <c r="F2327" s="9" t="s">
        <v>1150</v>
      </c>
      <c r="G2327" s="10"/>
      <c r="H2327" s="9" t="s">
        <v>1274</v>
      </c>
      <c r="I2327" s="11" t="s">
        <v>1209</v>
      </c>
      <c r="J2327" s="12">
        <v>45909</v>
      </c>
      <c r="K2327" s="12">
        <v>45912</v>
      </c>
      <c r="L2327" s="52">
        <v>2040000</v>
      </c>
      <c r="M2327" s="11" t="s">
        <v>1275</v>
      </c>
      <c r="N2327" s="34">
        <f t="shared" ref="N2327:N2347" ca="1" si="500">$J$3-J2327</f>
        <v>331.46377638888953</v>
      </c>
      <c r="O2327" s="27"/>
      <c r="P2327" s="49"/>
      <c r="Q2327" s="39"/>
      <c r="R2327" s="39"/>
      <c r="S2327" s="37">
        <f t="shared" si="498"/>
        <v>0</v>
      </c>
      <c r="T2327" s="37">
        <f t="shared" si="499"/>
        <v>2040000</v>
      </c>
      <c r="U2327" s="10"/>
      <c r="V2327" s="10"/>
      <c r="W2327" s="10"/>
      <c r="X2327" s="10"/>
      <c r="Y2327" s="10"/>
      <c r="Z2327" s="10"/>
      <c r="AA2327" s="10"/>
      <c r="AB2327" s="10"/>
      <c r="AC2327" s="10"/>
      <c r="AD2327" s="10"/>
      <c r="AE2327" s="10"/>
    </row>
    <row r="2328" spans="1:31" ht="14.25" customHeight="1">
      <c r="A2328" s="277" t="s">
        <v>6352</v>
      </c>
      <c r="B2328" s="9" t="s">
        <v>21</v>
      </c>
      <c r="C2328" s="9">
        <v>2025</v>
      </c>
      <c r="D2328" s="9" t="s">
        <v>77</v>
      </c>
      <c r="E2328" s="90" t="s">
        <v>1147</v>
      </c>
      <c r="F2328" s="9" t="s">
        <v>1150</v>
      </c>
      <c r="G2328" s="10"/>
      <c r="H2328" s="9" t="s">
        <v>1276</v>
      </c>
      <c r="I2328" s="11" t="s">
        <v>1209</v>
      </c>
      <c r="J2328" s="12">
        <v>45912</v>
      </c>
      <c r="K2328" s="12">
        <v>45917</v>
      </c>
      <c r="L2328" s="52">
        <v>3940000</v>
      </c>
      <c r="M2328" s="11" t="s">
        <v>1277</v>
      </c>
      <c r="N2328" s="34">
        <f t="shared" ca="1" si="500"/>
        <v>328.46377638888953</v>
      </c>
      <c r="O2328" s="27"/>
      <c r="P2328" s="49"/>
      <c r="Q2328" s="39"/>
      <c r="R2328" s="39"/>
      <c r="S2328" s="37">
        <f t="shared" si="498"/>
        <v>0</v>
      </c>
      <c r="T2328" s="37">
        <f t="shared" si="499"/>
        <v>3940000</v>
      </c>
      <c r="U2328" s="10"/>
      <c r="V2328" s="10"/>
      <c r="W2328" s="10"/>
      <c r="X2328" s="10"/>
      <c r="Y2328" s="10"/>
      <c r="Z2328" s="10"/>
      <c r="AA2328" s="10"/>
      <c r="AB2328" s="10"/>
      <c r="AC2328" s="10"/>
      <c r="AD2328" s="10"/>
      <c r="AE2328" s="10"/>
    </row>
    <row r="2329" spans="1:31" ht="14.25" customHeight="1">
      <c r="A2329" s="277" t="s">
        <v>6353</v>
      </c>
      <c r="B2329" s="9" t="s">
        <v>21</v>
      </c>
      <c r="C2329" s="9">
        <v>2025</v>
      </c>
      <c r="D2329" s="9" t="s">
        <v>77</v>
      </c>
      <c r="E2329" s="90" t="s">
        <v>1147</v>
      </c>
      <c r="F2329" s="9" t="s">
        <v>1150</v>
      </c>
      <c r="G2329" s="10"/>
      <c r="H2329" s="9" t="s">
        <v>3716</v>
      </c>
      <c r="I2329" s="11" t="s">
        <v>1209</v>
      </c>
      <c r="J2329" s="12">
        <v>45925</v>
      </c>
      <c r="K2329" s="12">
        <v>45932</v>
      </c>
      <c r="L2329" s="52">
        <v>3820000</v>
      </c>
      <c r="M2329" s="11" t="s">
        <v>3717</v>
      </c>
      <c r="N2329" s="34">
        <f t="shared" ca="1" si="500"/>
        <v>315.46377638888953</v>
      </c>
      <c r="O2329" s="27"/>
      <c r="P2329" s="49"/>
      <c r="Q2329" s="39"/>
      <c r="R2329" s="39"/>
      <c r="S2329" s="37">
        <f t="shared" si="498"/>
        <v>0</v>
      </c>
      <c r="T2329" s="37">
        <f t="shared" si="499"/>
        <v>3820000</v>
      </c>
      <c r="U2329" s="10"/>
      <c r="V2329" s="10"/>
      <c r="W2329" s="10"/>
      <c r="X2329" s="10"/>
      <c r="Y2329" s="10"/>
      <c r="Z2329" s="10"/>
      <c r="AA2329" s="10"/>
      <c r="AB2329" s="10"/>
      <c r="AC2329" s="10"/>
      <c r="AD2329" s="10"/>
      <c r="AE2329" s="10"/>
    </row>
    <row r="2330" spans="1:31" ht="14.25" customHeight="1">
      <c r="A2330" s="277" t="s">
        <v>6354</v>
      </c>
      <c r="B2330" s="9" t="s">
        <v>21</v>
      </c>
      <c r="C2330" s="9">
        <v>2025</v>
      </c>
      <c r="D2330" s="9" t="s">
        <v>77</v>
      </c>
      <c r="E2330" s="90" t="s">
        <v>1147</v>
      </c>
      <c r="F2330" s="9" t="s">
        <v>1150</v>
      </c>
      <c r="G2330" s="10"/>
      <c r="H2330" s="9" t="s">
        <v>3795</v>
      </c>
      <c r="I2330" s="11" t="s">
        <v>1209</v>
      </c>
      <c r="J2330" s="12">
        <v>45937</v>
      </c>
      <c r="K2330" s="12">
        <v>45943</v>
      </c>
      <c r="L2330" s="52">
        <v>6740000</v>
      </c>
      <c r="M2330" s="11" t="s">
        <v>3796</v>
      </c>
      <c r="N2330" s="34">
        <f t="shared" ca="1" si="500"/>
        <v>303.46377638888953</v>
      </c>
      <c r="O2330" s="27"/>
      <c r="P2330" s="49"/>
      <c r="Q2330" s="39"/>
      <c r="R2330" s="39"/>
      <c r="S2330" s="37">
        <f t="shared" si="498"/>
        <v>0</v>
      </c>
      <c r="T2330" s="37">
        <f t="shared" si="499"/>
        <v>6740000</v>
      </c>
      <c r="U2330" s="10"/>
      <c r="V2330" s="10"/>
      <c r="W2330" s="10"/>
      <c r="X2330" s="10"/>
      <c r="Y2330" s="10"/>
      <c r="Z2330" s="10"/>
      <c r="AA2330" s="10"/>
      <c r="AB2330" s="10"/>
      <c r="AC2330" s="10"/>
      <c r="AD2330" s="10"/>
      <c r="AE2330" s="10"/>
    </row>
    <row r="2331" spans="1:31" ht="14.25" customHeight="1">
      <c r="A2331" s="277" t="s">
        <v>6355</v>
      </c>
      <c r="B2331" s="9" t="s">
        <v>21</v>
      </c>
      <c r="C2331" s="9">
        <v>2025</v>
      </c>
      <c r="D2331" s="9" t="s">
        <v>77</v>
      </c>
      <c r="E2331" s="90" t="s">
        <v>1147</v>
      </c>
      <c r="F2331" s="9" t="s">
        <v>1150</v>
      </c>
      <c r="G2331" s="10"/>
      <c r="H2331" s="9" t="s">
        <v>3877</v>
      </c>
      <c r="I2331" s="11" t="s">
        <v>1209</v>
      </c>
      <c r="J2331" s="12">
        <v>45951</v>
      </c>
      <c r="K2331" s="12">
        <v>45954</v>
      </c>
      <c r="L2331" s="52">
        <v>5380000</v>
      </c>
      <c r="M2331" s="11" t="s">
        <v>3878</v>
      </c>
      <c r="N2331" s="34">
        <f t="shared" ca="1" si="500"/>
        <v>289.46377638888953</v>
      </c>
      <c r="O2331" s="27"/>
      <c r="P2331" s="49"/>
      <c r="Q2331" s="39"/>
      <c r="R2331" s="39"/>
      <c r="S2331" s="37">
        <f t="shared" si="498"/>
        <v>0</v>
      </c>
      <c r="T2331" s="37">
        <f t="shared" si="499"/>
        <v>5380000</v>
      </c>
      <c r="U2331" s="10"/>
      <c r="V2331" s="10"/>
      <c r="W2331" s="10"/>
      <c r="X2331" s="10"/>
      <c r="Y2331" s="10"/>
      <c r="Z2331" s="10"/>
      <c r="AA2331" s="10"/>
      <c r="AB2331" s="10"/>
      <c r="AC2331" s="10"/>
      <c r="AD2331" s="10"/>
      <c r="AE2331" s="10"/>
    </row>
    <row r="2332" spans="1:31" ht="14.25" customHeight="1">
      <c r="A2332" s="277" t="s">
        <v>6356</v>
      </c>
      <c r="B2332" s="9" t="s">
        <v>21</v>
      </c>
      <c r="C2332" s="9">
        <v>2025</v>
      </c>
      <c r="D2332" s="9" t="s">
        <v>77</v>
      </c>
      <c r="E2332" s="90" t="s">
        <v>1147</v>
      </c>
      <c r="F2332" s="9" t="s">
        <v>1150</v>
      </c>
      <c r="G2332" s="10"/>
      <c r="H2332" s="9" t="s">
        <v>3998</v>
      </c>
      <c r="I2332" s="11" t="s">
        <v>1209</v>
      </c>
      <c r="J2332" s="12">
        <v>45972</v>
      </c>
      <c r="K2332" s="12">
        <v>45976</v>
      </c>
      <c r="L2332" s="52">
        <v>4020000</v>
      </c>
      <c r="M2332" s="11" t="s">
        <v>4000</v>
      </c>
      <c r="N2332" s="34">
        <f t="shared" ca="1" si="500"/>
        <v>268.46377638888953</v>
      </c>
      <c r="O2332" s="27"/>
      <c r="P2332" s="49"/>
      <c r="Q2332" s="39"/>
      <c r="R2332" s="39"/>
      <c r="S2332" s="37">
        <f t="shared" si="498"/>
        <v>0</v>
      </c>
      <c r="T2332" s="37">
        <f t="shared" si="499"/>
        <v>4020000</v>
      </c>
      <c r="U2332" s="10"/>
      <c r="V2332" s="10"/>
      <c r="W2332" s="10"/>
      <c r="X2332" s="10"/>
      <c r="Y2332" s="10"/>
      <c r="Z2332" s="10"/>
      <c r="AA2332" s="10"/>
      <c r="AB2332" s="10"/>
      <c r="AC2332" s="10"/>
      <c r="AD2332" s="10"/>
      <c r="AE2332" s="10"/>
    </row>
    <row r="2333" spans="1:31" ht="14.25" customHeight="1">
      <c r="A2333" s="277" t="s">
        <v>6357</v>
      </c>
      <c r="B2333" s="9" t="s">
        <v>21</v>
      </c>
      <c r="C2333" s="9">
        <v>2025</v>
      </c>
      <c r="D2333" s="9" t="s">
        <v>77</v>
      </c>
      <c r="E2333" s="90" t="s">
        <v>1147</v>
      </c>
      <c r="F2333" s="9" t="s">
        <v>1150</v>
      </c>
      <c r="G2333" s="10"/>
      <c r="H2333" s="9" t="s">
        <v>3999</v>
      </c>
      <c r="I2333" s="11" t="s">
        <v>1209</v>
      </c>
      <c r="J2333" s="12">
        <v>45972</v>
      </c>
      <c r="K2333" s="12">
        <v>45976</v>
      </c>
      <c r="L2333" s="52">
        <v>2000000</v>
      </c>
      <c r="M2333" s="11" t="s">
        <v>4001</v>
      </c>
      <c r="N2333" s="34">
        <f t="shared" ca="1" si="500"/>
        <v>268.46377638888953</v>
      </c>
      <c r="O2333" s="27"/>
      <c r="P2333" s="49"/>
      <c r="Q2333" s="39"/>
      <c r="R2333" s="39"/>
      <c r="S2333" s="37">
        <f t="shared" si="498"/>
        <v>0</v>
      </c>
      <c r="T2333" s="37">
        <f t="shared" si="499"/>
        <v>2000000</v>
      </c>
      <c r="U2333" s="10"/>
      <c r="V2333" s="10"/>
      <c r="W2333" s="10"/>
      <c r="X2333" s="10"/>
      <c r="Y2333" s="10"/>
      <c r="Z2333" s="10"/>
      <c r="AA2333" s="10"/>
      <c r="AB2333" s="10"/>
      <c r="AC2333" s="10"/>
      <c r="AD2333" s="10"/>
      <c r="AE2333" s="10"/>
    </row>
    <row r="2334" spans="1:31" ht="14.25" customHeight="1">
      <c r="A2334" s="277" t="s">
        <v>6358</v>
      </c>
      <c r="B2334" s="9" t="s">
        <v>21</v>
      </c>
      <c r="C2334" s="9">
        <v>2025</v>
      </c>
      <c r="D2334" s="9" t="s">
        <v>77</v>
      </c>
      <c r="E2334" s="90" t="s">
        <v>1147</v>
      </c>
      <c r="F2334" s="9" t="s">
        <v>1150</v>
      </c>
      <c r="G2334" s="10"/>
      <c r="H2334" s="9" t="s">
        <v>4034</v>
      </c>
      <c r="I2334" s="11" t="s">
        <v>1209</v>
      </c>
      <c r="J2334" s="12">
        <v>45987</v>
      </c>
      <c r="K2334" s="12">
        <v>45992</v>
      </c>
      <c r="L2334" s="52">
        <v>1300000</v>
      </c>
      <c r="M2334" s="11" t="s">
        <v>4035</v>
      </c>
      <c r="N2334" s="34">
        <f t="shared" ca="1" si="500"/>
        <v>253.46377638888953</v>
      </c>
      <c r="O2334" s="27"/>
      <c r="P2334" s="49"/>
      <c r="Q2334" s="39"/>
      <c r="R2334" s="39"/>
      <c r="S2334" s="37">
        <f t="shared" si="498"/>
        <v>0</v>
      </c>
      <c r="T2334" s="37">
        <f t="shared" si="499"/>
        <v>1300000</v>
      </c>
      <c r="U2334" s="10"/>
      <c r="V2334" s="10"/>
      <c r="W2334" s="10"/>
      <c r="X2334" s="10"/>
      <c r="Y2334" s="10"/>
      <c r="Z2334" s="10"/>
      <c r="AA2334" s="10"/>
      <c r="AB2334" s="10"/>
      <c r="AC2334" s="10"/>
      <c r="AD2334" s="10"/>
      <c r="AE2334" s="10"/>
    </row>
    <row r="2335" spans="1:31" ht="14.25" customHeight="1">
      <c r="A2335" s="277" t="s">
        <v>6359</v>
      </c>
      <c r="B2335" s="9" t="s">
        <v>21</v>
      </c>
      <c r="C2335" s="9">
        <v>2025</v>
      </c>
      <c r="D2335" s="9" t="s">
        <v>77</v>
      </c>
      <c r="E2335" s="90" t="s">
        <v>1147</v>
      </c>
      <c r="F2335" s="9" t="s">
        <v>1150</v>
      </c>
      <c r="G2335" s="10"/>
      <c r="H2335" s="9" t="s">
        <v>4098</v>
      </c>
      <c r="I2335" s="11" t="s">
        <v>1209</v>
      </c>
      <c r="J2335" s="12">
        <v>46000</v>
      </c>
      <c r="K2335" s="12">
        <v>46004</v>
      </c>
      <c r="L2335" s="52">
        <v>660000</v>
      </c>
      <c r="M2335" s="11" t="s">
        <v>4099</v>
      </c>
      <c r="N2335" s="34">
        <f t="shared" ca="1" si="500"/>
        <v>240.46377638888953</v>
      </c>
      <c r="O2335" s="27"/>
      <c r="P2335" s="49"/>
      <c r="Q2335" s="39"/>
      <c r="R2335" s="39"/>
      <c r="S2335" s="37">
        <f t="shared" si="498"/>
        <v>0</v>
      </c>
      <c r="T2335" s="37">
        <f t="shared" si="499"/>
        <v>660000</v>
      </c>
      <c r="U2335" s="10"/>
      <c r="V2335" s="10"/>
      <c r="W2335" s="10"/>
      <c r="X2335" s="10"/>
      <c r="Y2335" s="10"/>
      <c r="Z2335" s="10"/>
      <c r="AA2335" s="10"/>
      <c r="AB2335" s="10"/>
      <c r="AC2335" s="10"/>
      <c r="AD2335" s="10"/>
      <c r="AE2335" s="10"/>
    </row>
    <row r="2336" spans="1:31" ht="14.25" customHeight="1">
      <c r="A2336" s="277" t="s">
        <v>6360</v>
      </c>
      <c r="B2336" s="9" t="s">
        <v>21</v>
      </c>
      <c r="C2336" s="9">
        <v>2025</v>
      </c>
      <c r="D2336" s="9" t="s">
        <v>77</v>
      </c>
      <c r="E2336" s="90" t="s">
        <v>1147</v>
      </c>
      <c r="F2336" s="9" t="s">
        <v>1150</v>
      </c>
      <c r="G2336" s="10"/>
      <c r="H2336" s="9" t="s">
        <v>4143</v>
      </c>
      <c r="I2336" s="11" t="s">
        <v>1209</v>
      </c>
      <c r="J2336" s="12">
        <v>46017</v>
      </c>
      <c r="K2336" s="12">
        <v>46022</v>
      </c>
      <c r="L2336" s="52">
        <v>660000</v>
      </c>
      <c r="M2336" s="11" t="s">
        <v>4148</v>
      </c>
      <c r="N2336" s="34">
        <f t="shared" ca="1" si="500"/>
        <v>223.46377638888953</v>
      </c>
      <c r="O2336" s="27"/>
      <c r="P2336" s="49"/>
      <c r="Q2336" s="39"/>
      <c r="R2336" s="39"/>
      <c r="S2336" s="37">
        <f t="shared" si="498"/>
        <v>0</v>
      </c>
      <c r="T2336" s="37">
        <f t="shared" si="499"/>
        <v>660000</v>
      </c>
      <c r="U2336" s="10"/>
      <c r="V2336" s="10"/>
      <c r="W2336" s="10"/>
      <c r="X2336" s="10"/>
      <c r="Y2336" s="10"/>
      <c r="Z2336" s="10"/>
      <c r="AA2336" s="10"/>
      <c r="AB2336" s="10"/>
      <c r="AC2336" s="10"/>
      <c r="AD2336" s="10"/>
      <c r="AE2336" s="10"/>
    </row>
    <row r="2337" spans="1:31" ht="14.25" customHeight="1">
      <c r="A2337" s="277" t="s">
        <v>6361</v>
      </c>
      <c r="B2337" s="9" t="s">
        <v>21</v>
      </c>
      <c r="C2337" s="9">
        <v>2025</v>
      </c>
      <c r="D2337" s="9" t="s">
        <v>77</v>
      </c>
      <c r="E2337" s="90" t="s">
        <v>1147</v>
      </c>
      <c r="F2337" s="9" t="s">
        <v>1150</v>
      </c>
      <c r="G2337" s="10"/>
      <c r="H2337" s="9" t="s">
        <v>4144</v>
      </c>
      <c r="I2337" s="11" t="s">
        <v>1209</v>
      </c>
      <c r="J2337" s="12">
        <v>46017</v>
      </c>
      <c r="K2337" s="12">
        <v>46022</v>
      </c>
      <c r="L2337" s="52">
        <v>560000</v>
      </c>
      <c r="M2337" s="11" t="s">
        <v>4149</v>
      </c>
      <c r="N2337" s="34">
        <f t="shared" ca="1" si="500"/>
        <v>223.46377638888953</v>
      </c>
      <c r="O2337" s="27"/>
      <c r="P2337" s="49"/>
      <c r="Q2337" s="39"/>
      <c r="R2337" s="39"/>
      <c r="S2337" s="37">
        <f t="shared" si="498"/>
        <v>0</v>
      </c>
      <c r="T2337" s="37">
        <f t="shared" si="499"/>
        <v>560000</v>
      </c>
      <c r="U2337" s="10"/>
      <c r="V2337" s="10"/>
      <c r="W2337" s="10"/>
      <c r="X2337" s="10"/>
      <c r="Y2337" s="10"/>
      <c r="Z2337" s="10"/>
      <c r="AA2337" s="10"/>
      <c r="AB2337" s="10"/>
      <c r="AC2337" s="10"/>
      <c r="AD2337" s="10"/>
      <c r="AE2337" s="10"/>
    </row>
    <row r="2338" spans="1:31" ht="14.25" customHeight="1">
      <c r="A2338" s="277" t="s">
        <v>6362</v>
      </c>
      <c r="B2338" s="9" t="s">
        <v>21</v>
      </c>
      <c r="C2338" s="9">
        <v>2025</v>
      </c>
      <c r="D2338" s="9" t="s">
        <v>77</v>
      </c>
      <c r="E2338" s="90" t="s">
        <v>1147</v>
      </c>
      <c r="F2338" s="9" t="s">
        <v>1150</v>
      </c>
      <c r="G2338" s="10"/>
      <c r="H2338" s="9" t="s">
        <v>4145</v>
      </c>
      <c r="I2338" s="11" t="s">
        <v>1209</v>
      </c>
      <c r="J2338" s="12">
        <v>46017</v>
      </c>
      <c r="K2338" s="12">
        <v>46022</v>
      </c>
      <c r="L2338" s="52">
        <v>1880000</v>
      </c>
      <c r="M2338" s="11" t="s">
        <v>4150</v>
      </c>
      <c r="N2338" s="34">
        <f t="shared" ca="1" si="500"/>
        <v>223.46377638888953</v>
      </c>
      <c r="O2338" s="27"/>
      <c r="P2338" s="49"/>
      <c r="Q2338" s="39"/>
      <c r="R2338" s="39"/>
      <c r="S2338" s="37">
        <f t="shared" si="498"/>
        <v>0</v>
      </c>
      <c r="T2338" s="37">
        <f t="shared" si="499"/>
        <v>1880000</v>
      </c>
      <c r="U2338" s="10"/>
      <c r="V2338" s="10"/>
      <c r="W2338" s="10"/>
      <c r="X2338" s="10"/>
      <c r="Y2338" s="10"/>
      <c r="Z2338" s="10"/>
      <c r="AA2338" s="10"/>
      <c r="AB2338" s="10"/>
      <c r="AC2338" s="10"/>
      <c r="AD2338" s="10"/>
      <c r="AE2338" s="10"/>
    </row>
    <row r="2339" spans="1:31" ht="14.25" customHeight="1">
      <c r="A2339" s="277" t="s">
        <v>6363</v>
      </c>
      <c r="B2339" s="9" t="s">
        <v>21</v>
      </c>
      <c r="C2339" s="9">
        <v>2025</v>
      </c>
      <c r="D2339" s="9" t="s">
        <v>77</v>
      </c>
      <c r="E2339" s="90" t="s">
        <v>1147</v>
      </c>
      <c r="F2339" s="9" t="s">
        <v>1150</v>
      </c>
      <c r="G2339" s="10"/>
      <c r="H2339" s="9" t="s">
        <v>4146</v>
      </c>
      <c r="I2339" s="11" t="s">
        <v>1209</v>
      </c>
      <c r="J2339" s="12">
        <v>46020</v>
      </c>
      <c r="K2339" s="12">
        <v>46022</v>
      </c>
      <c r="L2339" s="52">
        <v>840000</v>
      </c>
      <c r="M2339" s="11" t="s">
        <v>4151</v>
      </c>
      <c r="N2339" s="34">
        <f t="shared" ca="1" si="500"/>
        <v>220.46377638888953</v>
      </c>
      <c r="O2339" s="27"/>
      <c r="P2339" s="49"/>
      <c r="Q2339" s="39"/>
      <c r="R2339" s="39"/>
      <c r="S2339" s="37">
        <f t="shared" si="498"/>
        <v>0</v>
      </c>
      <c r="T2339" s="37">
        <f t="shared" si="499"/>
        <v>840000</v>
      </c>
      <c r="U2339" s="10"/>
      <c r="V2339" s="10"/>
      <c r="W2339" s="10"/>
      <c r="X2339" s="10"/>
      <c r="Y2339" s="10"/>
      <c r="Z2339" s="10"/>
      <c r="AA2339" s="10"/>
      <c r="AB2339" s="10"/>
      <c r="AC2339" s="10"/>
      <c r="AD2339" s="10"/>
      <c r="AE2339" s="10"/>
    </row>
    <row r="2340" spans="1:31" ht="14.25" customHeight="1">
      <c r="A2340" s="277" t="s">
        <v>6364</v>
      </c>
      <c r="B2340" s="9" t="s">
        <v>21</v>
      </c>
      <c r="C2340" s="9">
        <v>2025</v>
      </c>
      <c r="D2340" s="9" t="s">
        <v>77</v>
      </c>
      <c r="E2340" s="90" t="s">
        <v>1147</v>
      </c>
      <c r="F2340" s="9" t="s">
        <v>1150</v>
      </c>
      <c r="G2340" s="10"/>
      <c r="H2340" s="9" t="s">
        <v>4147</v>
      </c>
      <c r="I2340" s="11" t="s">
        <v>1209</v>
      </c>
      <c r="J2340" s="12">
        <v>46020</v>
      </c>
      <c r="K2340" s="12">
        <v>46022</v>
      </c>
      <c r="L2340" s="52">
        <v>1360000</v>
      </c>
      <c r="M2340" s="11" t="s">
        <v>4152</v>
      </c>
      <c r="N2340" s="34">
        <f t="shared" ca="1" si="500"/>
        <v>220.46377638888953</v>
      </c>
      <c r="O2340" s="27"/>
      <c r="P2340" s="49"/>
      <c r="Q2340" s="39"/>
      <c r="R2340" s="39"/>
      <c r="S2340" s="37">
        <f t="shared" si="498"/>
        <v>0</v>
      </c>
      <c r="T2340" s="37">
        <f t="shared" si="499"/>
        <v>1360000</v>
      </c>
      <c r="U2340" s="10"/>
      <c r="V2340" s="10"/>
      <c r="W2340" s="10"/>
      <c r="X2340" s="10"/>
      <c r="Y2340" s="10"/>
      <c r="Z2340" s="10"/>
      <c r="AA2340" s="10"/>
      <c r="AB2340" s="10"/>
      <c r="AC2340" s="10"/>
      <c r="AD2340" s="10"/>
      <c r="AE2340" s="10"/>
    </row>
    <row r="2341" spans="1:31" ht="14.25" customHeight="1">
      <c r="A2341" s="277" t="s">
        <v>6365</v>
      </c>
      <c r="B2341" s="9" t="s">
        <v>21</v>
      </c>
      <c r="C2341" s="9">
        <v>2026</v>
      </c>
      <c r="D2341" s="9" t="s">
        <v>77</v>
      </c>
      <c r="E2341" s="90" t="s">
        <v>1147</v>
      </c>
      <c r="F2341" s="9" t="s">
        <v>1150</v>
      </c>
      <c r="G2341" s="10"/>
      <c r="H2341" s="9" t="s">
        <v>4252</v>
      </c>
      <c r="I2341" s="11" t="s">
        <v>1209</v>
      </c>
      <c r="J2341" s="12">
        <v>46036</v>
      </c>
      <c r="K2341" s="12">
        <v>46041</v>
      </c>
      <c r="L2341" s="52">
        <v>2440000</v>
      </c>
      <c r="M2341" s="11" t="s">
        <v>4253</v>
      </c>
      <c r="N2341" s="34">
        <f t="shared" ca="1" si="500"/>
        <v>204.46377638888953</v>
      </c>
      <c r="O2341" s="27"/>
      <c r="P2341" s="49"/>
      <c r="Q2341" s="39"/>
      <c r="R2341" s="39"/>
      <c r="S2341" s="37">
        <f t="shared" si="498"/>
        <v>0</v>
      </c>
      <c r="T2341" s="37">
        <f t="shared" si="499"/>
        <v>2440000</v>
      </c>
      <c r="U2341" s="10"/>
      <c r="V2341" s="10"/>
      <c r="W2341" s="10"/>
      <c r="X2341" s="10"/>
      <c r="Y2341" s="10"/>
      <c r="Z2341" s="10"/>
      <c r="AA2341" s="10"/>
      <c r="AB2341" s="10"/>
      <c r="AC2341" s="10"/>
      <c r="AD2341" s="10"/>
      <c r="AE2341" s="10"/>
    </row>
    <row r="2342" spans="1:31" ht="14.25" customHeight="1">
      <c r="A2342" s="277" t="s">
        <v>6366</v>
      </c>
      <c r="B2342" s="9" t="s">
        <v>21</v>
      </c>
      <c r="C2342" s="9">
        <v>2026</v>
      </c>
      <c r="D2342" s="9" t="s">
        <v>77</v>
      </c>
      <c r="E2342" s="90" t="s">
        <v>1147</v>
      </c>
      <c r="F2342" s="9" t="s">
        <v>1150</v>
      </c>
      <c r="G2342" s="10"/>
      <c r="H2342" s="9" t="s">
        <v>4348</v>
      </c>
      <c r="I2342" s="11" t="s">
        <v>1209</v>
      </c>
      <c r="J2342" s="12">
        <v>46062</v>
      </c>
      <c r="K2342" s="12">
        <v>46066</v>
      </c>
      <c r="L2342" s="52">
        <v>1620000</v>
      </c>
      <c r="M2342" s="11" t="s">
        <v>4350</v>
      </c>
      <c r="N2342" s="34">
        <f t="shared" ca="1" si="500"/>
        <v>178.46377638888953</v>
      </c>
      <c r="O2342" s="27"/>
      <c r="P2342" s="49"/>
      <c r="Q2342" s="39"/>
      <c r="R2342" s="39"/>
      <c r="S2342" s="37">
        <f t="shared" si="498"/>
        <v>0</v>
      </c>
      <c r="T2342" s="37">
        <f t="shared" si="499"/>
        <v>1620000</v>
      </c>
      <c r="U2342" s="10"/>
      <c r="V2342" s="10"/>
      <c r="W2342" s="10"/>
      <c r="X2342" s="10"/>
      <c r="Y2342" s="10"/>
      <c r="Z2342" s="10"/>
      <c r="AA2342" s="10"/>
      <c r="AB2342" s="10"/>
      <c r="AC2342" s="10"/>
      <c r="AD2342" s="10"/>
      <c r="AE2342" s="10"/>
    </row>
    <row r="2343" spans="1:31" ht="14.25" customHeight="1">
      <c r="A2343" s="277" t="s">
        <v>6367</v>
      </c>
      <c r="B2343" s="9" t="s">
        <v>21</v>
      </c>
      <c r="C2343" s="9">
        <v>2026</v>
      </c>
      <c r="D2343" s="9" t="s">
        <v>77</v>
      </c>
      <c r="E2343" s="90" t="s">
        <v>1147</v>
      </c>
      <c r="F2343" s="9" t="s">
        <v>1150</v>
      </c>
      <c r="G2343" s="10"/>
      <c r="H2343" s="9" t="s">
        <v>4349</v>
      </c>
      <c r="I2343" s="11" t="s">
        <v>1209</v>
      </c>
      <c r="J2343" s="12">
        <v>46062</v>
      </c>
      <c r="K2343" s="12">
        <v>46066</v>
      </c>
      <c r="L2343" s="52">
        <v>1200000</v>
      </c>
      <c r="M2343" s="11" t="s">
        <v>4351</v>
      </c>
      <c r="N2343" s="34">
        <f t="shared" ca="1" si="500"/>
        <v>178.46377638888953</v>
      </c>
      <c r="O2343" s="27"/>
      <c r="P2343" s="49"/>
      <c r="Q2343" s="39"/>
      <c r="R2343" s="39"/>
      <c r="S2343" s="37">
        <f t="shared" si="498"/>
        <v>0</v>
      </c>
      <c r="T2343" s="37">
        <f t="shared" si="499"/>
        <v>1200000</v>
      </c>
      <c r="U2343" s="10"/>
      <c r="V2343" s="10"/>
      <c r="W2343" s="10"/>
      <c r="X2343" s="10"/>
      <c r="Y2343" s="10"/>
      <c r="Z2343" s="10"/>
      <c r="AA2343" s="10"/>
      <c r="AB2343" s="10"/>
      <c r="AC2343" s="10"/>
      <c r="AD2343" s="10"/>
      <c r="AE2343" s="10"/>
    </row>
    <row r="2344" spans="1:31" ht="14.25" customHeight="1">
      <c r="A2344" s="277" t="s">
        <v>6368</v>
      </c>
      <c r="B2344" s="9" t="s">
        <v>21</v>
      </c>
      <c r="C2344" s="9">
        <v>2026</v>
      </c>
      <c r="D2344" s="9" t="s">
        <v>77</v>
      </c>
      <c r="E2344" s="90" t="s">
        <v>1147</v>
      </c>
      <c r="F2344" s="9" t="s">
        <v>1150</v>
      </c>
      <c r="G2344" s="10"/>
      <c r="H2344" s="9" t="s">
        <v>4359</v>
      </c>
      <c r="I2344" s="11" t="s">
        <v>1209</v>
      </c>
      <c r="J2344" s="12">
        <v>46065</v>
      </c>
      <c r="K2344" s="12">
        <v>46071</v>
      </c>
      <c r="L2344" s="52">
        <v>1340000</v>
      </c>
      <c r="M2344" s="11" t="s">
        <v>4361</v>
      </c>
      <c r="N2344" s="34">
        <f t="shared" ca="1" si="500"/>
        <v>175.46377638888953</v>
      </c>
      <c r="O2344" s="27"/>
      <c r="P2344" s="49"/>
      <c r="Q2344" s="39"/>
      <c r="R2344" s="39"/>
      <c r="S2344" s="37">
        <f t="shared" si="498"/>
        <v>0</v>
      </c>
      <c r="T2344" s="37">
        <f t="shared" si="499"/>
        <v>1340000</v>
      </c>
      <c r="U2344" s="10"/>
      <c r="V2344" s="10"/>
      <c r="W2344" s="10"/>
      <c r="X2344" s="10"/>
      <c r="Y2344" s="10"/>
      <c r="Z2344" s="10"/>
      <c r="AA2344" s="10"/>
      <c r="AB2344" s="10"/>
      <c r="AC2344" s="10"/>
      <c r="AD2344" s="10"/>
      <c r="AE2344" s="10"/>
    </row>
    <row r="2345" spans="1:31" ht="14.25" customHeight="1">
      <c r="A2345" s="277" t="s">
        <v>6369</v>
      </c>
      <c r="B2345" s="9" t="s">
        <v>21</v>
      </c>
      <c r="C2345" s="9">
        <v>2026</v>
      </c>
      <c r="D2345" s="9" t="s">
        <v>77</v>
      </c>
      <c r="E2345" s="90" t="s">
        <v>1147</v>
      </c>
      <c r="F2345" s="9" t="s">
        <v>1150</v>
      </c>
      <c r="G2345" s="10"/>
      <c r="H2345" s="9" t="s">
        <v>4360</v>
      </c>
      <c r="I2345" s="11" t="s">
        <v>1209</v>
      </c>
      <c r="J2345" s="12">
        <v>46065</v>
      </c>
      <c r="K2345" s="12">
        <v>46071</v>
      </c>
      <c r="L2345" s="52">
        <v>980000</v>
      </c>
      <c r="M2345" s="11" t="s">
        <v>4362</v>
      </c>
      <c r="N2345" s="34">
        <f t="shared" ca="1" si="500"/>
        <v>175.46377638888953</v>
      </c>
      <c r="O2345" s="27"/>
      <c r="P2345" s="49"/>
      <c r="Q2345" s="39"/>
      <c r="R2345" s="39"/>
      <c r="S2345" s="37">
        <f t="shared" si="498"/>
        <v>0</v>
      </c>
      <c r="T2345" s="37">
        <f t="shared" si="499"/>
        <v>980000</v>
      </c>
      <c r="U2345" s="10"/>
      <c r="V2345" s="10"/>
      <c r="W2345" s="10"/>
      <c r="X2345" s="10"/>
      <c r="Y2345" s="10"/>
      <c r="Z2345" s="10"/>
      <c r="AA2345" s="10"/>
      <c r="AB2345" s="10"/>
      <c r="AC2345" s="10"/>
      <c r="AD2345" s="10"/>
      <c r="AE2345" s="10"/>
    </row>
    <row r="2346" spans="1:31" ht="14.25" customHeight="1">
      <c r="A2346" s="277" t="s">
        <v>6370</v>
      </c>
      <c r="B2346" s="9" t="s">
        <v>21</v>
      </c>
      <c r="C2346" s="9">
        <v>2026</v>
      </c>
      <c r="D2346" s="9" t="s">
        <v>77</v>
      </c>
      <c r="E2346" s="90" t="s">
        <v>1147</v>
      </c>
      <c r="F2346" s="9" t="s">
        <v>1150</v>
      </c>
      <c r="G2346" s="10"/>
      <c r="H2346" s="9" t="s">
        <v>4442</v>
      </c>
      <c r="I2346" s="11" t="s">
        <v>1209</v>
      </c>
      <c r="J2346" s="12">
        <v>46083</v>
      </c>
      <c r="K2346" s="12">
        <v>46087</v>
      </c>
      <c r="L2346" s="52">
        <v>1560000</v>
      </c>
      <c r="M2346" s="11" t="s">
        <v>4443</v>
      </c>
      <c r="N2346" s="34">
        <f t="shared" ca="1" si="500"/>
        <v>157.46377638888953</v>
      </c>
      <c r="O2346" s="27"/>
      <c r="P2346" s="49"/>
      <c r="Q2346" s="39"/>
      <c r="R2346" s="39"/>
      <c r="S2346" s="37">
        <f t="shared" si="498"/>
        <v>0</v>
      </c>
      <c r="T2346" s="37">
        <f t="shared" si="499"/>
        <v>1560000</v>
      </c>
      <c r="U2346" s="10"/>
      <c r="V2346" s="10"/>
      <c r="W2346" s="10"/>
      <c r="X2346" s="10"/>
      <c r="Y2346" s="10"/>
      <c r="Z2346" s="10"/>
      <c r="AA2346" s="10"/>
      <c r="AB2346" s="10"/>
      <c r="AC2346" s="10"/>
      <c r="AD2346" s="10"/>
      <c r="AE2346" s="10"/>
    </row>
    <row r="2347" spans="1:31" ht="14.25" customHeight="1">
      <c r="A2347" s="277" t="s">
        <v>6371</v>
      </c>
      <c r="B2347" s="9" t="s">
        <v>21</v>
      </c>
      <c r="C2347" s="9">
        <v>2026</v>
      </c>
      <c r="D2347" s="9" t="s">
        <v>77</v>
      </c>
      <c r="E2347" s="90" t="s">
        <v>1147</v>
      </c>
      <c r="F2347" s="9" t="s">
        <v>1150</v>
      </c>
      <c r="G2347" s="10"/>
      <c r="H2347" s="9" t="s">
        <v>7350</v>
      </c>
      <c r="I2347" s="11" t="s">
        <v>1209</v>
      </c>
      <c r="J2347" s="12">
        <v>46210</v>
      </c>
      <c r="K2347" s="12">
        <v>46212</v>
      </c>
      <c r="L2347" s="52">
        <v>10460000</v>
      </c>
      <c r="M2347" s="11" t="s">
        <v>7351</v>
      </c>
      <c r="N2347" s="34">
        <f t="shared" ca="1" si="500"/>
        <v>30.463776388889528</v>
      </c>
      <c r="O2347" s="27"/>
      <c r="P2347" s="49"/>
      <c r="Q2347" s="39"/>
      <c r="R2347" s="39"/>
      <c r="S2347" s="37">
        <f t="shared" si="498"/>
        <v>0</v>
      </c>
      <c r="T2347" s="37">
        <f t="shared" si="499"/>
        <v>10460000</v>
      </c>
      <c r="U2347" s="10"/>
      <c r="V2347" s="10"/>
      <c r="W2347" s="10"/>
      <c r="X2347" s="10"/>
      <c r="Y2347" s="10"/>
      <c r="Z2347" s="10"/>
      <c r="AA2347" s="10"/>
      <c r="AB2347" s="10"/>
      <c r="AC2347" s="10"/>
      <c r="AD2347" s="10"/>
      <c r="AE2347" s="10"/>
    </row>
    <row r="2348" spans="1:31" ht="14.25" customHeight="1">
      <c r="A2348" s="277" t="s">
        <v>6372</v>
      </c>
      <c r="B2348" s="9" t="s">
        <v>21</v>
      </c>
      <c r="C2348" s="9"/>
      <c r="D2348" s="9"/>
      <c r="E2348" s="90"/>
      <c r="F2348" s="9"/>
      <c r="G2348" s="10"/>
      <c r="H2348" s="9"/>
      <c r="I2348" s="11"/>
      <c r="J2348" s="12"/>
      <c r="K2348" s="12"/>
      <c r="L2348" s="52" t="s">
        <v>1278</v>
      </c>
      <c r="M2348" s="10"/>
      <c r="N2348" s="114">
        <f ca="1">$J$3-K2348</f>
        <v>46240.46377638889</v>
      </c>
      <c r="O2348" s="11"/>
      <c r="P2348" s="39"/>
      <c r="Q2348" s="39"/>
      <c r="R2348" s="39"/>
      <c r="S2348" s="37">
        <f t="shared" ref="S2348:S2349" si="501">IF(R2348="",0,L2348)</f>
        <v>0</v>
      </c>
      <c r="T2348" s="37"/>
      <c r="U2348" s="10"/>
      <c r="V2348" s="10"/>
      <c r="W2348" s="10"/>
      <c r="X2348" s="10"/>
      <c r="Y2348" s="10"/>
      <c r="Z2348" s="10"/>
      <c r="AA2348" s="10"/>
      <c r="AB2348" s="10"/>
      <c r="AC2348" s="10"/>
      <c r="AD2348" s="10"/>
      <c r="AE2348" s="10"/>
    </row>
    <row r="2349" spans="1:31" ht="14.25" customHeight="1">
      <c r="A2349" s="277" t="s">
        <v>6373</v>
      </c>
      <c r="B2349" s="9" t="s">
        <v>21</v>
      </c>
      <c r="C2349" s="9"/>
      <c r="D2349" s="9"/>
      <c r="E2349" s="90"/>
      <c r="F2349" s="9"/>
      <c r="G2349" s="10"/>
      <c r="H2349" s="9"/>
      <c r="I2349" s="11"/>
      <c r="J2349" s="12"/>
      <c r="K2349" s="12"/>
      <c r="L2349" s="52"/>
      <c r="M2349" s="10"/>
      <c r="N2349" s="9"/>
      <c r="O2349" s="11"/>
      <c r="P2349" s="39"/>
      <c r="Q2349" s="39"/>
      <c r="R2349" s="39"/>
      <c r="S2349" s="37">
        <f t="shared" si="501"/>
        <v>0</v>
      </c>
      <c r="T2349" s="37">
        <f>L2349-S2349</f>
        <v>0</v>
      </c>
      <c r="U2349" s="10"/>
      <c r="V2349" s="10"/>
      <c r="W2349" s="10"/>
      <c r="X2349" s="10"/>
      <c r="Y2349" s="10"/>
      <c r="Z2349" s="10"/>
      <c r="AA2349" s="10"/>
      <c r="AB2349" s="10"/>
      <c r="AC2349" s="10"/>
      <c r="AD2349" s="10"/>
      <c r="AE2349" s="10"/>
    </row>
    <row r="2350" spans="1:31">
      <c r="A2350" s="277" t="s">
        <v>6374</v>
      </c>
      <c r="B2350" s="9" t="s">
        <v>21</v>
      </c>
      <c r="C2350" s="9"/>
      <c r="D2350" s="9"/>
      <c r="E2350" s="90"/>
      <c r="F2350" s="9"/>
      <c r="G2350" s="94" t="s">
        <v>24</v>
      </c>
      <c r="H2350" s="95" t="s">
        <v>1279</v>
      </c>
      <c r="I2350" s="104"/>
      <c r="J2350" s="105"/>
      <c r="K2350" s="105"/>
      <c r="L2350" s="106">
        <f>SUM(L2351:L2371)</f>
        <v>285930000</v>
      </c>
      <c r="M2350" s="107"/>
      <c r="N2350" s="108" t="s">
        <v>26</v>
      </c>
      <c r="O2350" s="106">
        <f>SUM(O2351:O2370)</f>
        <v>57240000</v>
      </c>
      <c r="P2350" s="184"/>
      <c r="Q2350" s="108"/>
      <c r="R2350" s="108"/>
      <c r="S2350" s="106">
        <f>SUM(S2351:S2371)</f>
        <v>133700000</v>
      </c>
      <c r="T2350" s="106">
        <f>SUM(T2351:T2371)</f>
        <v>152230000</v>
      </c>
      <c r="U2350" s="41"/>
      <c r="V2350" s="52">
        <f>L2350-S2350</f>
        <v>152230000</v>
      </c>
      <c r="W2350" s="52">
        <f>T2350-V2350</f>
        <v>0</v>
      </c>
      <c r="X2350" s="41"/>
      <c r="Y2350" s="41"/>
      <c r="Z2350" s="41"/>
      <c r="AA2350" s="41"/>
      <c r="AB2350" s="41"/>
      <c r="AC2350" s="41"/>
      <c r="AD2350" s="41"/>
      <c r="AE2350" s="41"/>
    </row>
    <row r="2351" spans="1:31" ht="14.25" hidden="1" customHeight="1">
      <c r="A2351" s="277" t="s">
        <v>6375</v>
      </c>
      <c r="B2351" s="9" t="s">
        <v>21</v>
      </c>
      <c r="C2351" s="9">
        <v>2024</v>
      </c>
      <c r="D2351" s="9" t="s">
        <v>27</v>
      </c>
      <c r="E2351" s="90" t="s">
        <v>1147</v>
      </c>
      <c r="F2351" s="9" t="s">
        <v>1150</v>
      </c>
      <c r="G2351" s="10"/>
      <c r="H2351" s="96" t="s">
        <v>1281</v>
      </c>
      <c r="I2351" s="109" t="s">
        <v>1280</v>
      </c>
      <c r="J2351" s="115">
        <v>45663</v>
      </c>
      <c r="K2351" s="115">
        <v>45666</v>
      </c>
      <c r="L2351" s="116">
        <v>21560000</v>
      </c>
      <c r="M2351" s="117" t="s">
        <v>1282</v>
      </c>
      <c r="N2351" s="34" t="s">
        <v>29</v>
      </c>
      <c r="O2351" s="10"/>
      <c r="P2351" s="113">
        <v>45893</v>
      </c>
      <c r="Q2351" s="113">
        <v>45893</v>
      </c>
      <c r="R2351" s="113">
        <v>45893</v>
      </c>
      <c r="S2351" s="37">
        <f t="shared" ref="S2351:S2356" si="502">IF(R2351="",0,L2351)</f>
        <v>21560000</v>
      </c>
      <c r="T2351" s="37">
        <f t="shared" ref="T2351:T2356" si="503">L2351-S2351</f>
        <v>0</v>
      </c>
      <c r="U2351" s="10"/>
      <c r="V2351" s="10"/>
      <c r="W2351" s="10"/>
      <c r="X2351" s="10"/>
      <c r="Y2351" s="10"/>
      <c r="Z2351" s="10"/>
      <c r="AA2351" s="10"/>
      <c r="AB2351" s="10"/>
      <c r="AC2351" s="10"/>
      <c r="AD2351" s="10"/>
      <c r="AE2351" s="10"/>
    </row>
    <row r="2352" spans="1:31" ht="14.25" hidden="1" customHeight="1">
      <c r="A2352" s="277" t="s">
        <v>6376</v>
      </c>
      <c r="B2352" s="9" t="s">
        <v>21</v>
      </c>
      <c r="C2352" s="9">
        <v>2025</v>
      </c>
      <c r="D2352" s="9" t="s">
        <v>27</v>
      </c>
      <c r="E2352" s="90" t="s">
        <v>1147</v>
      </c>
      <c r="F2352" s="9" t="s">
        <v>1150</v>
      </c>
      <c r="G2352" s="10"/>
      <c r="H2352" s="96" t="s">
        <v>1283</v>
      </c>
      <c r="I2352" s="109" t="s">
        <v>1280</v>
      </c>
      <c r="J2352" s="115">
        <v>45693</v>
      </c>
      <c r="K2352" s="115">
        <v>45695</v>
      </c>
      <c r="L2352" s="116">
        <v>31170000</v>
      </c>
      <c r="M2352" s="117" t="s">
        <v>1284</v>
      </c>
      <c r="N2352" s="34" t="s">
        <v>29</v>
      </c>
      <c r="O2352" s="10"/>
      <c r="P2352" s="113">
        <v>45919</v>
      </c>
      <c r="Q2352" s="113">
        <v>45919</v>
      </c>
      <c r="R2352" s="113">
        <v>45919</v>
      </c>
      <c r="S2352" s="37">
        <f t="shared" si="502"/>
        <v>31170000</v>
      </c>
      <c r="T2352" s="37">
        <f t="shared" si="503"/>
        <v>0</v>
      </c>
      <c r="U2352" s="10"/>
      <c r="V2352" s="10"/>
      <c r="W2352" s="10"/>
      <c r="X2352" s="10"/>
      <c r="Y2352" s="10"/>
      <c r="Z2352" s="10"/>
      <c r="AA2352" s="10"/>
      <c r="AB2352" s="10"/>
      <c r="AC2352" s="10"/>
      <c r="AD2352" s="10"/>
      <c r="AE2352" s="10"/>
    </row>
    <row r="2353" spans="1:31" ht="14.25" hidden="1" customHeight="1">
      <c r="A2353" s="277" t="s">
        <v>6377</v>
      </c>
      <c r="B2353" s="9" t="s">
        <v>21</v>
      </c>
      <c r="C2353" s="9">
        <v>2025</v>
      </c>
      <c r="D2353" s="9" t="s">
        <v>27</v>
      </c>
      <c r="E2353" s="90" t="s">
        <v>1147</v>
      </c>
      <c r="F2353" s="9" t="s">
        <v>1150</v>
      </c>
      <c r="G2353" s="10"/>
      <c r="H2353" s="96" t="s">
        <v>1285</v>
      </c>
      <c r="I2353" s="109" t="s">
        <v>1280</v>
      </c>
      <c r="J2353" s="115">
        <v>45722</v>
      </c>
      <c r="K2353" s="115">
        <v>45727</v>
      </c>
      <c r="L2353" s="116">
        <v>16860000</v>
      </c>
      <c r="M2353" s="117" t="s">
        <v>1286</v>
      </c>
      <c r="N2353" s="34" t="s">
        <v>29</v>
      </c>
      <c r="O2353" s="27">
        <f>SUM(L2353:L2354)</f>
        <v>36070000</v>
      </c>
      <c r="P2353" s="113">
        <v>45988</v>
      </c>
      <c r="Q2353" s="113">
        <v>45988</v>
      </c>
      <c r="R2353" s="113">
        <v>45988</v>
      </c>
      <c r="S2353" s="37">
        <f t="shared" si="502"/>
        <v>16860000</v>
      </c>
      <c r="T2353" s="37">
        <f t="shared" si="503"/>
        <v>0</v>
      </c>
      <c r="U2353" s="10"/>
      <c r="V2353" s="10"/>
      <c r="W2353" s="10"/>
      <c r="X2353" s="10"/>
      <c r="Y2353" s="10"/>
      <c r="Z2353" s="10"/>
      <c r="AA2353" s="10"/>
      <c r="AB2353" s="10"/>
      <c r="AC2353" s="10"/>
      <c r="AD2353" s="10"/>
      <c r="AE2353" s="10"/>
    </row>
    <row r="2354" spans="1:31" ht="14.25" hidden="1" customHeight="1">
      <c r="A2354" s="277" t="s">
        <v>6378</v>
      </c>
      <c r="B2354" s="9" t="s">
        <v>21</v>
      </c>
      <c r="C2354" s="9">
        <v>2025</v>
      </c>
      <c r="D2354" s="9" t="s">
        <v>27</v>
      </c>
      <c r="E2354" s="90" t="s">
        <v>1147</v>
      </c>
      <c r="F2354" s="9" t="s">
        <v>1150</v>
      </c>
      <c r="G2354" s="10"/>
      <c r="H2354" s="96" t="s">
        <v>1287</v>
      </c>
      <c r="I2354" s="109" t="s">
        <v>1280</v>
      </c>
      <c r="J2354" s="115">
        <v>45758</v>
      </c>
      <c r="K2354" s="115">
        <v>45762</v>
      </c>
      <c r="L2354" s="116">
        <v>19210000</v>
      </c>
      <c r="M2354" s="117" t="s">
        <v>1288</v>
      </c>
      <c r="N2354" s="34" t="s">
        <v>29</v>
      </c>
      <c r="O2354" s="10"/>
      <c r="P2354" s="113">
        <v>45988</v>
      </c>
      <c r="Q2354" s="113">
        <v>45988</v>
      </c>
      <c r="R2354" s="113">
        <v>45988</v>
      </c>
      <c r="S2354" s="37">
        <f t="shared" si="502"/>
        <v>19210000</v>
      </c>
      <c r="T2354" s="37">
        <f t="shared" si="503"/>
        <v>0</v>
      </c>
      <c r="U2354" s="10"/>
      <c r="V2354" s="10"/>
      <c r="W2354" s="10"/>
      <c r="X2354" s="10"/>
      <c r="Y2354" s="10"/>
      <c r="Z2354" s="10"/>
      <c r="AA2354" s="10"/>
      <c r="AB2354" s="10"/>
      <c r="AC2354" s="10"/>
      <c r="AD2354" s="10"/>
      <c r="AE2354" s="10"/>
    </row>
    <row r="2355" spans="1:31" ht="14.25" hidden="1" customHeight="1">
      <c r="A2355" s="277" t="s">
        <v>6379</v>
      </c>
      <c r="B2355" s="9" t="s">
        <v>21</v>
      </c>
      <c r="C2355" s="9">
        <v>2025</v>
      </c>
      <c r="D2355" s="9" t="s">
        <v>27</v>
      </c>
      <c r="E2355" s="90" t="s">
        <v>1147</v>
      </c>
      <c r="F2355" s="9" t="s">
        <v>1150</v>
      </c>
      <c r="G2355" s="10"/>
      <c r="H2355" s="96" t="s">
        <v>1289</v>
      </c>
      <c r="I2355" s="109" t="s">
        <v>1280</v>
      </c>
      <c r="J2355" s="115">
        <v>45783</v>
      </c>
      <c r="K2355" s="115">
        <v>45785</v>
      </c>
      <c r="L2355" s="116">
        <v>21170000</v>
      </c>
      <c r="M2355" s="117" t="s">
        <v>1290</v>
      </c>
      <c r="N2355" s="34" t="s">
        <v>29</v>
      </c>
      <c r="O2355" s="27">
        <f>+L2355</f>
        <v>21170000</v>
      </c>
      <c r="P2355" s="113">
        <v>46111</v>
      </c>
      <c r="Q2355" s="113">
        <v>46111</v>
      </c>
      <c r="R2355" s="113">
        <v>46111</v>
      </c>
      <c r="S2355" s="37">
        <f t="shared" si="502"/>
        <v>21170000</v>
      </c>
      <c r="T2355" s="37">
        <f t="shared" si="503"/>
        <v>0</v>
      </c>
      <c r="U2355" s="10"/>
      <c r="V2355" s="10"/>
      <c r="W2355" s="10"/>
      <c r="X2355" s="10"/>
      <c r="Y2355" s="10"/>
      <c r="Z2355" s="10"/>
      <c r="AA2355" s="10"/>
      <c r="AB2355" s="10"/>
      <c r="AC2355" s="10"/>
      <c r="AD2355" s="10"/>
      <c r="AE2355" s="10"/>
    </row>
    <row r="2356" spans="1:31" ht="14.25" customHeight="1">
      <c r="A2356" s="277" t="s">
        <v>6380</v>
      </c>
      <c r="B2356" s="9" t="s">
        <v>21</v>
      </c>
      <c r="C2356" s="9">
        <v>2025</v>
      </c>
      <c r="D2356" s="9" t="s">
        <v>27</v>
      </c>
      <c r="E2356" s="90" t="s">
        <v>1147</v>
      </c>
      <c r="F2356" s="9" t="s">
        <v>1150</v>
      </c>
      <c r="G2356" s="10"/>
      <c r="H2356" s="96" t="s">
        <v>1291</v>
      </c>
      <c r="I2356" s="109" t="s">
        <v>1280</v>
      </c>
      <c r="J2356" s="115">
        <v>45812</v>
      </c>
      <c r="K2356" s="115">
        <v>45813</v>
      </c>
      <c r="L2356" s="116">
        <v>15000000</v>
      </c>
      <c r="M2356" s="117" t="s">
        <v>1292</v>
      </c>
      <c r="N2356" s="34" t="s">
        <v>29</v>
      </c>
      <c r="O2356" s="10"/>
      <c r="P2356" s="113">
        <v>46195</v>
      </c>
      <c r="Q2356" s="113">
        <v>46195</v>
      </c>
      <c r="R2356" s="113">
        <v>46195</v>
      </c>
      <c r="S2356" s="37">
        <f t="shared" si="502"/>
        <v>15000000</v>
      </c>
      <c r="T2356" s="37">
        <f t="shared" si="503"/>
        <v>0</v>
      </c>
      <c r="U2356" s="10"/>
      <c r="V2356" s="10"/>
      <c r="W2356" s="10"/>
      <c r="X2356" s="10"/>
      <c r="Y2356" s="10"/>
      <c r="Z2356" s="10"/>
      <c r="AA2356" s="10"/>
      <c r="AB2356" s="10"/>
      <c r="AC2356" s="10"/>
      <c r="AD2356" s="10"/>
      <c r="AE2356" s="10"/>
    </row>
    <row r="2357" spans="1:31" ht="14.25" customHeight="1">
      <c r="A2357" s="277" t="s">
        <v>6381</v>
      </c>
      <c r="B2357" s="9" t="s">
        <v>21</v>
      </c>
      <c r="C2357" s="9">
        <v>2025</v>
      </c>
      <c r="D2357" s="9" t="s">
        <v>27</v>
      </c>
      <c r="E2357" s="90" t="s">
        <v>1147</v>
      </c>
      <c r="F2357" s="9" t="s">
        <v>1150</v>
      </c>
      <c r="G2357" s="10"/>
      <c r="H2357" s="96" t="s">
        <v>1293</v>
      </c>
      <c r="I2357" s="109" t="s">
        <v>1280</v>
      </c>
      <c r="J2357" s="115">
        <v>45842</v>
      </c>
      <c r="K2357" s="115">
        <v>45848</v>
      </c>
      <c r="L2357" s="116">
        <v>8730000</v>
      </c>
      <c r="M2357" s="117" t="s">
        <v>1294</v>
      </c>
      <c r="N2357" s="34" t="s">
        <v>29</v>
      </c>
      <c r="O2357" s="10"/>
      <c r="P2357" s="113">
        <v>46229</v>
      </c>
      <c r="Q2357" s="113">
        <v>46229</v>
      </c>
      <c r="R2357" s="113">
        <v>46229</v>
      </c>
      <c r="S2357" s="37">
        <f t="shared" ref="S2357:S2365" si="504">IF(R2357="",0,L2357)</f>
        <v>8730000</v>
      </c>
      <c r="T2357" s="37">
        <f t="shared" ref="T2357:T2365" si="505">L2357-S2357</f>
        <v>0</v>
      </c>
      <c r="U2357" s="10"/>
      <c r="V2357" s="10"/>
      <c r="W2357" s="10"/>
      <c r="X2357" s="10"/>
      <c r="Y2357" s="10"/>
      <c r="Z2357" s="10"/>
      <c r="AA2357" s="10"/>
      <c r="AB2357" s="10"/>
      <c r="AC2357" s="10"/>
      <c r="AD2357" s="10"/>
      <c r="AE2357" s="10"/>
    </row>
    <row r="2358" spans="1:31" ht="14.25" customHeight="1">
      <c r="A2358" s="277" t="s">
        <v>6382</v>
      </c>
      <c r="B2358" s="9" t="s">
        <v>21</v>
      </c>
      <c r="C2358" s="9">
        <v>2025</v>
      </c>
      <c r="D2358" s="9" t="s">
        <v>77</v>
      </c>
      <c r="E2358" s="90" t="s">
        <v>1147</v>
      </c>
      <c r="F2358" s="9" t="s">
        <v>1150</v>
      </c>
      <c r="G2358" s="10"/>
      <c r="H2358" s="9" t="s">
        <v>1295</v>
      </c>
      <c r="I2358" s="11" t="s">
        <v>1280</v>
      </c>
      <c r="J2358" s="12">
        <v>45871</v>
      </c>
      <c r="K2358" s="12">
        <v>45876</v>
      </c>
      <c r="L2358" s="27">
        <v>11270000</v>
      </c>
      <c r="M2358" s="10" t="s">
        <v>1296</v>
      </c>
      <c r="N2358" s="34">
        <f t="shared" ref="N2358:N2369" ca="1" si="506">$J$3-J2358</f>
        <v>369.46377638888953</v>
      </c>
      <c r="O2358" s="10"/>
      <c r="P2358" s="39"/>
      <c r="Q2358" s="39"/>
      <c r="R2358" s="39"/>
      <c r="S2358" s="37">
        <f t="shared" si="504"/>
        <v>0</v>
      </c>
      <c r="T2358" s="37">
        <f t="shared" si="505"/>
        <v>11270000</v>
      </c>
      <c r="U2358" s="10"/>
      <c r="V2358" s="10"/>
      <c r="W2358" s="10"/>
      <c r="X2358" s="10"/>
      <c r="Y2358" s="10"/>
      <c r="Z2358" s="10"/>
      <c r="AA2358" s="10"/>
      <c r="AB2358" s="10"/>
      <c r="AC2358" s="10"/>
      <c r="AD2358" s="10"/>
      <c r="AE2358" s="10"/>
    </row>
    <row r="2359" spans="1:31" ht="14.25" customHeight="1">
      <c r="A2359" s="277" t="s">
        <v>6383</v>
      </c>
      <c r="B2359" s="9" t="s">
        <v>21</v>
      </c>
      <c r="C2359" s="9">
        <v>2025</v>
      </c>
      <c r="D2359" s="9" t="s">
        <v>77</v>
      </c>
      <c r="E2359" s="90" t="s">
        <v>1147</v>
      </c>
      <c r="F2359" s="9" t="s">
        <v>1150</v>
      </c>
      <c r="G2359" s="10"/>
      <c r="H2359" s="9" t="s">
        <v>1297</v>
      </c>
      <c r="I2359" s="11" t="s">
        <v>1280</v>
      </c>
      <c r="J2359" s="12">
        <v>45904</v>
      </c>
      <c r="K2359" s="12">
        <v>45909</v>
      </c>
      <c r="L2359" s="27">
        <v>8330000</v>
      </c>
      <c r="M2359" s="10" t="s">
        <v>1298</v>
      </c>
      <c r="N2359" s="34">
        <f t="shared" ca="1" si="506"/>
        <v>336.46377638888953</v>
      </c>
      <c r="O2359" s="10"/>
      <c r="P2359" s="39"/>
      <c r="Q2359" s="39"/>
      <c r="R2359" s="39"/>
      <c r="S2359" s="37">
        <f t="shared" si="504"/>
        <v>0</v>
      </c>
      <c r="T2359" s="37">
        <f t="shared" si="505"/>
        <v>8330000</v>
      </c>
      <c r="U2359" s="10"/>
      <c r="V2359" s="10"/>
      <c r="W2359" s="10"/>
      <c r="X2359" s="10"/>
      <c r="Y2359" s="10"/>
      <c r="Z2359" s="10"/>
      <c r="AA2359" s="10"/>
      <c r="AB2359" s="10"/>
      <c r="AC2359" s="10"/>
      <c r="AD2359" s="10"/>
      <c r="AE2359" s="10"/>
    </row>
    <row r="2360" spans="1:31" ht="14.25" customHeight="1">
      <c r="A2360" s="277" t="s">
        <v>6384</v>
      </c>
      <c r="B2360" s="9" t="s">
        <v>21</v>
      </c>
      <c r="C2360" s="9">
        <v>2025</v>
      </c>
      <c r="D2360" s="9" t="s">
        <v>77</v>
      </c>
      <c r="E2360" s="90" t="s">
        <v>1147</v>
      </c>
      <c r="F2360" s="9" t="s">
        <v>1150</v>
      </c>
      <c r="G2360" s="10"/>
      <c r="H2360" s="9" t="s">
        <v>3752</v>
      </c>
      <c r="I2360" s="11" t="s">
        <v>1280</v>
      </c>
      <c r="J2360" s="12">
        <v>45931</v>
      </c>
      <c r="K2360" s="12">
        <v>45937</v>
      </c>
      <c r="L2360" s="27">
        <v>12650000</v>
      </c>
      <c r="M2360" s="10" t="s">
        <v>3753</v>
      </c>
      <c r="N2360" s="34">
        <f t="shared" ca="1" si="506"/>
        <v>309.46377638888953</v>
      </c>
      <c r="O2360" s="10"/>
      <c r="P2360" s="39"/>
      <c r="Q2360" s="39"/>
      <c r="R2360" s="39"/>
      <c r="S2360" s="37">
        <f t="shared" si="504"/>
        <v>0</v>
      </c>
      <c r="T2360" s="37">
        <f t="shared" si="505"/>
        <v>12650000</v>
      </c>
      <c r="U2360" s="10"/>
      <c r="V2360" s="10"/>
      <c r="W2360" s="10"/>
      <c r="X2360" s="10"/>
      <c r="Y2360" s="10"/>
      <c r="Z2360" s="10"/>
      <c r="AA2360" s="10"/>
      <c r="AB2360" s="10"/>
      <c r="AC2360" s="10"/>
      <c r="AD2360" s="10"/>
      <c r="AE2360" s="10"/>
    </row>
    <row r="2361" spans="1:31" ht="14.25" customHeight="1">
      <c r="A2361" s="277" t="s">
        <v>6385</v>
      </c>
      <c r="B2361" s="9" t="s">
        <v>21</v>
      </c>
      <c r="C2361" s="9">
        <v>2025</v>
      </c>
      <c r="D2361" s="9" t="s">
        <v>77</v>
      </c>
      <c r="E2361" s="90" t="s">
        <v>1147</v>
      </c>
      <c r="F2361" s="9" t="s">
        <v>1150</v>
      </c>
      <c r="G2361" s="10"/>
      <c r="H2361" s="9" t="s">
        <v>3938</v>
      </c>
      <c r="I2361" s="11" t="s">
        <v>1280</v>
      </c>
      <c r="J2361" s="12">
        <v>45965</v>
      </c>
      <c r="K2361" s="12">
        <v>45967</v>
      </c>
      <c r="L2361" s="27">
        <v>11760000</v>
      </c>
      <c r="M2361" s="10" t="s">
        <v>3939</v>
      </c>
      <c r="N2361" s="34">
        <f t="shared" ca="1" si="506"/>
        <v>275.46377638888953</v>
      </c>
      <c r="O2361" s="10"/>
      <c r="P2361" s="39"/>
      <c r="Q2361" s="39"/>
      <c r="R2361" s="39"/>
      <c r="S2361" s="37">
        <f t="shared" si="504"/>
        <v>0</v>
      </c>
      <c r="T2361" s="37">
        <f t="shared" si="505"/>
        <v>11760000</v>
      </c>
      <c r="U2361" s="10"/>
      <c r="V2361" s="10"/>
      <c r="W2361" s="10"/>
      <c r="X2361" s="10"/>
      <c r="Y2361" s="10"/>
      <c r="Z2361" s="10"/>
      <c r="AA2361" s="10"/>
      <c r="AB2361" s="10"/>
      <c r="AC2361" s="10"/>
      <c r="AD2361" s="10"/>
      <c r="AE2361" s="10"/>
    </row>
    <row r="2362" spans="1:31" ht="14.25" customHeight="1">
      <c r="A2362" s="277" t="s">
        <v>6386</v>
      </c>
      <c r="B2362" s="9" t="s">
        <v>21</v>
      </c>
      <c r="C2362" s="9">
        <v>2025</v>
      </c>
      <c r="D2362" s="9" t="s">
        <v>77</v>
      </c>
      <c r="E2362" s="90" t="s">
        <v>1147</v>
      </c>
      <c r="F2362" s="9" t="s">
        <v>1150</v>
      </c>
      <c r="G2362" s="10"/>
      <c r="H2362" s="9" t="s">
        <v>4080</v>
      </c>
      <c r="I2362" s="11" t="s">
        <v>1280</v>
      </c>
      <c r="J2362" s="12">
        <v>45992</v>
      </c>
      <c r="K2362" s="12">
        <v>45994</v>
      </c>
      <c r="L2362" s="27">
        <v>7550000</v>
      </c>
      <c r="M2362" s="10" t="s">
        <v>4081</v>
      </c>
      <c r="N2362" s="34">
        <f t="shared" ca="1" si="506"/>
        <v>248.46377638888953</v>
      </c>
      <c r="O2362" s="10"/>
      <c r="P2362" s="39"/>
      <c r="Q2362" s="39"/>
      <c r="R2362" s="39"/>
      <c r="S2362" s="37">
        <f t="shared" si="504"/>
        <v>0</v>
      </c>
      <c r="T2362" s="37">
        <f t="shared" si="505"/>
        <v>7550000</v>
      </c>
      <c r="U2362" s="10"/>
      <c r="V2362" s="10"/>
      <c r="W2362" s="10"/>
      <c r="X2362" s="10"/>
      <c r="Y2362" s="10"/>
      <c r="Z2362" s="10"/>
      <c r="AA2362" s="10"/>
      <c r="AB2362" s="10"/>
      <c r="AC2362" s="10"/>
      <c r="AD2362" s="10"/>
      <c r="AE2362" s="10"/>
    </row>
    <row r="2363" spans="1:31" ht="14.25" customHeight="1">
      <c r="A2363" s="277" t="s">
        <v>6387</v>
      </c>
      <c r="B2363" s="9" t="s">
        <v>21</v>
      </c>
      <c r="C2363" s="9">
        <v>2025</v>
      </c>
      <c r="D2363" s="9" t="s">
        <v>77</v>
      </c>
      <c r="E2363" s="90" t="s">
        <v>1147</v>
      </c>
      <c r="F2363" s="9" t="s">
        <v>1150</v>
      </c>
      <c r="G2363" s="10"/>
      <c r="H2363" s="9" t="s">
        <v>4231</v>
      </c>
      <c r="I2363" s="11" t="s">
        <v>1280</v>
      </c>
      <c r="J2363" s="12">
        <v>46035</v>
      </c>
      <c r="K2363" s="12">
        <v>46036</v>
      </c>
      <c r="L2363" s="27">
        <v>17250000</v>
      </c>
      <c r="M2363" s="10" t="s">
        <v>4232</v>
      </c>
      <c r="N2363" s="34">
        <f t="shared" ca="1" si="506"/>
        <v>205.46377638888953</v>
      </c>
      <c r="O2363" s="10"/>
      <c r="P2363" s="39"/>
      <c r="Q2363" s="39"/>
      <c r="R2363" s="39"/>
      <c r="S2363" s="37">
        <f t="shared" si="504"/>
        <v>0</v>
      </c>
      <c r="T2363" s="37">
        <f t="shared" si="505"/>
        <v>17250000</v>
      </c>
      <c r="U2363" s="10"/>
      <c r="V2363" s="10"/>
      <c r="W2363" s="10"/>
      <c r="X2363" s="10"/>
      <c r="Y2363" s="10"/>
      <c r="Z2363" s="10"/>
      <c r="AA2363" s="10"/>
      <c r="AB2363" s="10"/>
      <c r="AC2363" s="10"/>
      <c r="AD2363" s="10"/>
      <c r="AE2363" s="10"/>
    </row>
    <row r="2364" spans="1:31" ht="14.25" customHeight="1">
      <c r="A2364" s="277" t="s">
        <v>6388</v>
      </c>
      <c r="B2364" s="9" t="s">
        <v>21</v>
      </c>
      <c r="C2364" s="9">
        <v>2026</v>
      </c>
      <c r="D2364" s="9" t="s">
        <v>77</v>
      </c>
      <c r="E2364" s="90" t="s">
        <v>1147</v>
      </c>
      <c r="F2364" s="9" t="s">
        <v>1150</v>
      </c>
      <c r="G2364" s="10"/>
      <c r="H2364" s="9" t="s">
        <v>4364</v>
      </c>
      <c r="I2364" s="11" t="s">
        <v>1280</v>
      </c>
      <c r="J2364" s="12">
        <v>46031</v>
      </c>
      <c r="K2364" s="12">
        <v>46072</v>
      </c>
      <c r="L2364" s="27">
        <v>12450000</v>
      </c>
      <c r="M2364" s="10" t="s">
        <v>4365</v>
      </c>
      <c r="N2364" s="34">
        <f t="shared" ca="1" si="506"/>
        <v>209.46377638888953</v>
      </c>
      <c r="O2364" s="10"/>
      <c r="P2364" s="39"/>
      <c r="Q2364" s="39"/>
      <c r="R2364" s="39"/>
      <c r="S2364" s="37">
        <f t="shared" si="504"/>
        <v>0</v>
      </c>
      <c r="T2364" s="37">
        <f t="shared" si="505"/>
        <v>12450000</v>
      </c>
      <c r="U2364" s="10"/>
      <c r="V2364" s="10"/>
      <c r="W2364" s="10"/>
      <c r="X2364" s="10"/>
      <c r="Y2364" s="10"/>
      <c r="Z2364" s="10"/>
      <c r="AA2364" s="10"/>
      <c r="AB2364" s="10"/>
      <c r="AC2364" s="10"/>
      <c r="AD2364" s="10"/>
      <c r="AE2364" s="10"/>
    </row>
    <row r="2365" spans="1:31" ht="14.25" customHeight="1">
      <c r="A2365" s="277" t="s">
        <v>6389</v>
      </c>
      <c r="B2365" s="9" t="s">
        <v>21</v>
      </c>
      <c r="C2365" s="9">
        <v>2026</v>
      </c>
      <c r="D2365" s="9" t="s">
        <v>77</v>
      </c>
      <c r="E2365" s="90" t="s">
        <v>1147</v>
      </c>
      <c r="F2365" s="9" t="s">
        <v>1150</v>
      </c>
      <c r="G2365" s="10"/>
      <c r="H2365" s="9" t="s">
        <v>4454</v>
      </c>
      <c r="I2365" s="11" t="s">
        <v>1280</v>
      </c>
      <c r="J2365" s="12">
        <v>46084</v>
      </c>
      <c r="K2365" s="12">
        <v>46086</v>
      </c>
      <c r="L2365" s="27">
        <v>11180000</v>
      </c>
      <c r="M2365" s="10" t="s">
        <v>4455</v>
      </c>
      <c r="N2365" s="34">
        <f t="shared" ca="1" si="506"/>
        <v>156.46377638888953</v>
      </c>
      <c r="O2365" s="10"/>
      <c r="P2365" s="39"/>
      <c r="Q2365" s="39"/>
      <c r="R2365" s="39"/>
      <c r="S2365" s="37">
        <f t="shared" si="504"/>
        <v>0</v>
      </c>
      <c r="T2365" s="37">
        <f t="shared" si="505"/>
        <v>11180000</v>
      </c>
      <c r="U2365" s="10"/>
      <c r="V2365" s="10"/>
      <c r="W2365" s="10"/>
      <c r="X2365" s="10"/>
      <c r="Y2365" s="10"/>
      <c r="Z2365" s="10"/>
      <c r="AA2365" s="10"/>
      <c r="AB2365" s="10"/>
      <c r="AC2365" s="10"/>
      <c r="AD2365" s="10"/>
      <c r="AE2365" s="10"/>
    </row>
    <row r="2366" spans="1:31" ht="14.25" customHeight="1">
      <c r="A2366" s="277" t="s">
        <v>6390</v>
      </c>
      <c r="B2366" s="9" t="s">
        <v>21</v>
      </c>
      <c r="C2366" s="9">
        <v>2026</v>
      </c>
      <c r="D2366" s="9" t="s">
        <v>77</v>
      </c>
      <c r="E2366" s="90" t="s">
        <v>1147</v>
      </c>
      <c r="F2366" s="9" t="s">
        <v>1150</v>
      </c>
      <c r="G2366" s="10"/>
      <c r="H2366" s="9" t="s">
        <v>4494</v>
      </c>
      <c r="I2366" s="11" t="s">
        <v>1280</v>
      </c>
      <c r="J2366" s="12">
        <v>46113</v>
      </c>
      <c r="K2366" s="12">
        <v>46119</v>
      </c>
      <c r="L2366" s="27">
        <v>18620000</v>
      </c>
      <c r="M2366" s="10" t="s">
        <v>4495</v>
      </c>
      <c r="N2366" s="34">
        <f t="shared" ca="1" si="506"/>
        <v>127.46377638888953</v>
      </c>
      <c r="O2366" s="10"/>
      <c r="P2366" s="39"/>
      <c r="Q2366" s="39"/>
      <c r="R2366" s="39"/>
      <c r="S2366" s="37">
        <f>IF(R2366="",0,L2366)</f>
        <v>0</v>
      </c>
      <c r="T2366" s="37">
        <f>L2366-S2366</f>
        <v>18620000</v>
      </c>
      <c r="U2366" s="10"/>
      <c r="V2366" s="10"/>
      <c r="W2366" s="10"/>
      <c r="X2366" s="10"/>
      <c r="Y2366" s="10"/>
      <c r="Z2366" s="10"/>
      <c r="AA2366" s="10"/>
      <c r="AB2366" s="10"/>
      <c r="AC2366" s="10"/>
      <c r="AD2366" s="10"/>
      <c r="AE2366" s="10"/>
    </row>
    <row r="2367" spans="1:31" ht="14.25" customHeight="1">
      <c r="A2367" s="277" t="s">
        <v>6391</v>
      </c>
      <c r="B2367" s="9" t="s">
        <v>21</v>
      </c>
      <c r="C2367" s="9">
        <v>2026</v>
      </c>
      <c r="D2367" s="9" t="s">
        <v>77</v>
      </c>
      <c r="E2367" s="90" t="s">
        <v>1147</v>
      </c>
      <c r="F2367" s="9" t="s">
        <v>1150</v>
      </c>
      <c r="G2367" s="10"/>
      <c r="H2367" s="9" t="s">
        <v>7029</v>
      </c>
      <c r="I2367" s="11" t="s">
        <v>1280</v>
      </c>
      <c r="J2367" s="12">
        <v>46146</v>
      </c>
      <c r="K2367" s="12">
        <v>46154</v>
      </c>
      <c r="L2367" s="27">
        <v>9800000</v>
      </c>
      <c r="M2367" s="10" t="s">
        <v>7030</v>
      </c>
      <c r="N2367" s="34">
        <f t="shared" ca="1" si="506"/>
        <v>94.463776388889528</v>
      </c>
      <c r="O2367" s="10"/>
      <c r="P2367" s="39"/>
      <c r="Q2367" s="39"/>
      <c r="R2367" s="39"/>
      <c r="S2367" s="37">
        <f>IF(R2367="",0,L2367)</f>
        <v>0</v>
      </c>
      <c r="T2367" s="37">
        <f>L2367-S2367</f>
        <v>9800000</v>
      </c>
      <c r="U2367" s="10"/>
      <c r="V2367" s="10"/>
      <c r="W2367" s="10"/>
      <c r="X2367" s="10"/>
      <c r="Y2367" s="10"/>
      <c r="Z2367" s="10"/>
      <c r="AA2367" s="10"/>
      <c r="AB2367" s="10"/>
      <c r="AC2367" s="10"/>
      <c r="AD2367" s="10"/>
      <c r="AE2367" s="10"/>
    </row>
    <row r="2368" spans="1:31" ht="14.25" customHeight="1">
      <c r="A2368" s="277" t="s">
        <v>6392</v>
      </c>
      <c r="B2368" s="9" t="s">
        <v>21</v>
      </c>
      <c r="C2368" s="9">
        <v>2026</v>
      </c>
      <c r="D2368" s="9" t="s">
        <v>77</v>
      </c>
      <c r="E2368" s="90" t="s">
        <v>1147</v>
      </c>
      <c r="F2368" s="9" t="s">
        <v>1150</v>
      </c>
      <c r="G2368" s="10"/>
      <c r="H2368" s="9" t="s">
        <v>7117</v>
      </c>
      <c r="I2368" s="11" t="s">
        <v>1280</v>
      </c>
      <c r="J2368" s="12">
        <v>46175</v>
      </c>
      <c r="K2368" s="12">
        <v>46182</v>
      </c>
      <c r="L2368" s="27">
        <v>17550000</v>
      </c>
      <c r="M2368" s="10" t="s">
        <v>7118</v>
      </c>
      <c r="N2368" s="34">
        <f t="shared" ca="1" si="506"/>
        <v>65.463776388889528</v>
      </c>
      <c r="O2368" s="10"/>
      <c r="P2368" s="39"/>
      <c r="Q2368" s="39"/>
      <c r="R2368" s="39"/>
      <c r="S2368" s="37">
        <f>IF(R2368="",0,L2368)</f>
        <v>0</v>
      </c>
      <c r="T2368" s="37">
        <f>L2368-S2368</f>
        <v>17550000</v>
      </c>
      <c r="U2368" s="10"/>
      <c r="V2368" s="10"/>
      <c r="W2368" s="10"/>
      <c r="X2368" s="10"/>
      <c r="Y2368" s="10"/>
      <c r="Z2368" s="10"/>
      <c r="AA2368" s="10"/>
      <c r="AB2368" s="10"/>
      <c r="AC2368" s="10"/>
      <c r="AD2368" s="10"/>
      <c r="AE2368" s="10"/>
    </row>
    <row r="2369" spans="1:31" ht="14.25" customHeight="1">
      <c r="A2369" s="277" t="s">
        <v>6393</v>
      </c>
      <c r="B2369" s="9" t="s">
        <v>21</v>
      </c>
      <c r="C2369" s="9">
        <v>2026</v>
      </c>
      <c r="D2369" s="9" t="s">
        <v>77</v>
      </c>
      <c r="E2369" s="90" t="s">
        <v>1147</v>
      </c>
      <c r="F2369" s="9" t="s">
        <v>1150</v>
      </c>
      <c r="G2369" s="10"/>
      <c r="H2369" s="9" t="s">
        <v>7324</v>
      </c>
      <c r="I2369" s="11" t="s">
        <v>1280</v>
      </c>
      <c r="J2369" s="12">
        <v>46205</v>
      </c>
      <c r="K2369" s="12">
        <v>46210</v>
      </c>
      <c r="L2369" s="27">
        <v>13820000</v>
      </c>
      <c r="M2369" s="10" t="s">
        <v>7325</v>
      </c>
      <c r="N2369" s="34">
        <f t="shared" ca="1" si="506"/>
        <v>35.463776388889528</v>
      </c>
      <c r="O2369" s="10"/>
      <c r="P2369" s="39"/>
      <c r="Q2369" s="39"/>
      <c r="R2369" s="39"/>
      <c r="S2369" s="37">
        <f>IF(R2369="",0,L2369)</f>
        <v>0</v>
      </c>
      <c r="T2369" s="37">
        <f>L2369-S2369</f>
        <v>13820000</v>
      </c>
      <c r="U2369" s="10"/>
      <c r="V2369" s="10"/>
      <c r="W2369" s="10"/>
      <c r="X2369" s="10"/>
      <c r="Y2369" s="10"/>
      <c r="Z2369" s="10"/>
      <c r="AA2369" s="10"/>
      <c r="AB2369" s="10"/>
      <c r="AC2369" s="10"/>
      <c r="AD2369" s="10"/>
      <c r="AE2369" s="10"/>
    </row>
    <row r="2370" spans="1:31" ht="14.25" customHeight="1">
      <c r="A2370" s="277" t="s">
        <v>6394</v>
      </c>
      <c r="B2370" s="9" t="s">
        <v>21</v>
      </c>
      <c r="C2370" s="9"/>
      <c r="D2370" s="9"/>
      <c r="E2370" s="90"/>
      <c r="F2370" s="9"/>
      <c r="G2370" s="10"/>
      <c r="H2370" s="9"/>
      <c r="I2370" s="11"/>
      <c r="J2370" s="12"/>
      <c r="K2370" s="12"/>
      <c r="L2370" s="27"/>
      <c r="M2370" s="10"/>
      <c r="N2370" s="114">
        <f ca="1">$J$3-J2370</f>
        <v>46240.46377638889</v>
      </c>
      <c r="O2370" s="10"/>
      <c r="P2370" s="39"/>
      <c r="Q2370" s="39"/>
      <c r="R2370" s="39"/>
      <c r="S2370" s="37">
        <f>IF(R2370="",0,L2370)</f>
        <v>0</v>
      </c>
      <c r="T2370" s="37">
        <f>L2370-S2370</f>
        <v>0</v>
      </c>
      <c r="U2370" s="10"/>
      <c r="V2370" s="10"/>
      <c r="W2370" s="10"/>
      <c r="X2370" s="10"/>
      <c r="Y2370" s="10"/>
      <c r="Z2370" s="10"/>
      <c r="AA2370" s="10"/>
      <c r="AB2370" s="10"/>
      <c r="AC2370" s="10"/>
      <c r="AD2370" s="10"/>
      <c r="AE2370" s="10"/>
    </row>
    <row r="2371" spans="1:31" ht="14.25" customHeight="1">
      <c r="A2371" s="277" t="s">
        <v>6395</v>
      </c>
      <c r="B2371" s="9" t="s">
        <v>21</v>
      </c>
      <c r="C2371" s="9"/>
      <c r="D2371" s="9"/>
      <c r="E2371" s="90"/>
      <c r="F2371" s="9"/>
      <c r="G2371" s="10"/>
      <c r="H2371" s="9"/>
      <c r="I2371" s="11"/>
      <c r="J2371" s="12"/>
      <c r="K2371" s="12"/>
      <c r="L2371" s="52"/>
      <c r="M2371" s="10"/>
      <c r="N2371" s="9"/>
      <c r="O2371" s="11"/>
      <c r="P2371" s="39"/>
      <c r="Q2371" s="39"/>
      <c r="R2371" s="39"/>
      <c r="S2371" s="37"/>
      <c r="T2371" s="37"/>
      <c r="U2371" s="10"/>
      <c r="V2371" s="10"/>
      <c r="W2371" s="10"/>
      <c r="X2371" s="10"/>
      <c r="Y2371" s="10"/>
      <c r="Z2371" s="10"/>
      <c r="AA2371" s="10"/>
      <c r="AB2371" s="10"/>
      <c r="AC2371" s="10"/>
      <c r="AD2371" s="10"/>
      <c r="AE2371" s="10"/>
    </row>
    <row r="2372" spans="1:31">
      <c r="A2372" s="277" t="s">
        <v>6396</v>
      </c>
      <c r="B2372" s="9" t="s">
        <v>21</v>
      </c>
      <c r="C2372" s="9"/>
      <c r="D2372" s="9"/>
      <c r="E2372" s="90"/>
      <c r="F2372" s="9"/>
      <c r="G2372" s="94" t="s">
        <v>24</v>
      </c>
      <c r="H2372" s="95" t="s">
        <v>1299</v>
      </c>
      <c r="I2372" s="104"/>
      <c r="J2372" s="105"/>
      <c r="K2372" s="105"/>
      <c r="L2372" s="106">
        <f>SUM(L2373:L2398)</f>
        <v>101120000</v>
      </c>
      <c r="M2372" s="107"/>
      <c r="N2372" s="108" t="s">
        <v>26</v>
      </c>
      <c r="O2372" s="108"/>
      <c r="P2372" s="108"/>
      <c r="Q2372" s="108"/>
      <c r="R2372" s="108"/>
      <c r="S2372" s="106">
        <f>SUM(S2373:S2398)</f>
        <v>59100000</v>
      </c>
      <c r="T2372" s="106">
        <f>SUM(T2373:T2398)</f>
        <v>42020000</v>
      </c>
      <c r="U2372" s="10"/>
      <c r="V2372" s="52">
        <f>L2372-S2372</f>
        <v>42020000</v>
      </c>
      <c r="W2372" s="52">
        <f>T2372-V2372</f>
        <v>0</v>
      </c>
      <c r="X2372" s="10"/>
      <c r="Y2372" s="10"/>
      <c r="Z2372" s="10"/>
      <c r="AA2372" s="10"/>
      <c r="AB2372" s="10"/>
      <c r="AC2372" s="10"/>
      <c r="AD2372" s="10"/>
      <c r="AE2372" s="10"/>
    </row>
    <row r="2373" spans="1:31" hidden="1">
      <c r="A2373" s="277" t="s">
        <v>6397</v>
      </c>
      <c r="B2373" s="9" t="s">
        <v>21</v>
      </c>
      <c r="C2373" s="9">
        <v>2024</v>
      </c>
      <c r="D2373" s="9" t="s">
        <v>27</v>
      </c>
      <c r="E2373" s="90" t="s">
        <v>1147</v>
      </c>
      <c r="F2373" s="9" t="s">
        <v>1150</v>
      </c>
      <c r="G2373" s="10"/>
      <c r="H2373" s="9"/>
      <c r="I2373" s="109" t="s">
        <v>1300</v>
      </c>
      <c r="J2373" s="115">
        <v>45742</v>
      </c>
      <c r="K2373" s="115">
        <v>45773</v>
      </c>
      <c r="L2373" s="183">
        <v>3750000</v>
      </c>
      <c r="M2373" s="147" t="s">
        <v>1301</v>
      </c>
      <c r="N2373" s="34" t="s">
        <v>29</v>
      </c>
      <c r="O2373" s="52">
        <f>SUM(L2373:L2375)</f>
        <v>14050000</v>
      </c>
      <c r="P2373" s="113">
        <v>45898</v>
      </c>
      <c r="Q2373" s="113">
        <v>45898</v>
      </c>
      <c r="R2373" s="113">
        <v>45898</v>
      </c>
      <c r="S2373" s="37">
        <f t="shared" ref="S2373:S2383" si="507">IF(R2373="",0,L2373)</f>
        <v>3750000</v>
      </c>
      <c r="T2373" s="37">
        <f t="shared" ref="T2373:T2383" si="508">L2373-S2373</f>
        <v>0</v>
      </c>
      <c r="U2373" s="10"/>
      <c r="V2373" s="10"/>
      <c r="W2373" s="10"/>
      <c r="X2373" s="10"/>
      <c r="Y2373" s="10"/>
      <c r="Z2373" s="10"/>
      <c r="AA2373" s="10"/>
      <c r="AB2373" s="10"/>
      <c r="AC2373" s="10"/>
      <c r="AD2373" s="10"/>
      <c r="AE2373" s="10"/>
    </row>
    <row r="2374" spans="1:31" hidden="1">
      <c r="A2374" s="277" t="s">
        <v>6398</v>
      </c>
      <c r="B2374" s="9" t="s">
        <v>21</v>
      </c>
      <c r="C2374" s="9">
        <v>2024</v>
      </c>
      <c r="D2374" s="9" t="s">
        <v>27</v>
      </c>
      <c r="E2374" s="90" t="s">
        <v>1147</v>
      </c>
      <c r="F2374" s="9" t="s">
        <v>1150</v>
      </c>
      <c r="G2374" s="10"/>
      <c r="H2374" s="9"/>
      <c r="I2374" s="109" t="s">
        <v>1300</v>
      </c>
      <c r="J2374" s="115">
        <v>45742</v>
      </c>
      <c r="K2374" s="115">
        <v>45773</v>
      </c>
      <c r="L2374" s="183">
        <v>5600000</v>
      </c>
      <c r="M2374" s="147" t="s">
        <v>1302</v>
      </c>
      <c r="N2374" s="34" t="s">
        <v>29</v>
      </c>
      <c r="O2374" s="10"/>
      <c r="P2374" s="113">
        <v>45898</v>
      </c>
      <c r="Q2374" s="113">
        <v>45898</v>
      </c>
      <c r="R2374" s="113">
        <v>45898</v>
      </c>
      <c r="S2374" s="37">
        <f t="shared" si="507"/>
        <v>5600000</v>
      </c>
      <c r="T2374" s="37">
        <f t="shared" si="508"/>
        <v>0</v>
      </c>
      <c r="U2374" s="10"/>
      <c r="V2374" s="10"/>
      <c r="W2374" s="10"/>
      <c r="X2374" s="10"/>
      <c r="Y2374" s="10"/>
      <c r="Z2374" s="10"/>
      <c r="AA2374" s="10"/>
      <c r="AB2374" s="10"/>
      <c r="AC2374" s="10"/>
      <c r="AD2374" s="10"/>
      <c r="AE2374" s="10"/>
    </row>
    <row r="2375" spans="1:31" hidden="1">
      <c r="A2375" s="277" t="s">
        <v>6399</v>
      </c>
      <c r="B2375" s="9" t="s">
        <v>21</v>
      </c>
      <c r="C2375" s="9">
        <v>2024</v>
      </c>
      <c r="D2375" s="9" t="s">
        <v>27</v>
      </c>
      <c r="E2375" s="90" t="s">
        <v>1147</v>
      </c>
      <c r="F2375" s="9" t="s">
        <v>1150</v>
      </c>
      <c r="G2375" s="10"/>
      <c r="H2375" s="9"/>
      <c r="I2375" s="109" t="s">
        <v>1300</v>
      </c>
      <c r="J2375" s="115">
        <v>45742</v>
      </c>
      <c r="K2375" s="115">
        <v>45773</v>
      </c>
      <c r="L2375" s="183">
        <v>4700000</v>
      </c>
      <c r="M2375" s="147" t="s">
        <v>1303</v>
      </c>
      <c r="N2375" s="34" t="s">
        <v>29</v>
      </c>
      <c r="O2375" s="10"/>
      <c r="P2375" s="113">
        <v>45898</v>
      </c>
      <c r="Q2375" s="113">
        <v>45898</v>
      </c>
      <c r="R2375" s="113">
        <v>45898</v>
      </c>
      <c r="S2375" s="37">
        <f t="shared" si="507"/>
        <v>4700000</v>
      </c>
      <c r="T2375" s="37">
        <f t="shared" si="508"/>
        <v>0</v>
      </c>
      <c r="U2375" s="10"/>
      <c r="V2375" s="10"/>
      <c r="W2375" s="10"/>
      <c r="X2375" s="10"/>
      <c r="Y2375" s="10"/>
      <c r="Z2375" s="10"/>
      <c r="AA2375" s="10"/>
      <c r="AB2375" s="10"/>
      <c r="AC2375" s="10"/>
      <c r="AD2375" s="10"/>
      <c r="AE2375" s="10"/>
    </row>
    <row r="2376" spans="1:31" hidden="1">
      <c r="A2376" s="277" t="s">
        <v>6400</v>
      </c>
      <c r="B2376" s="9" t="s">
        <v>21</v>
      </c>
      <c r="C2376" s="9">
        <v>2024</v>
      </c>
      <c r="D2376" s="9" t="s">
        <v>27</v>
      </c>
      <c r="E2376" s="90" t="s">
        <v>1147</v>
      </c>
      <c r="F2376" s="9" t="s">
        <v>1150</v>
      </c>
      <c r="G2376" s="10"/>
      <c r="H2376" s="9"/>
      <c r="I2376" s="109" t="s">
        <v>1300</v>
      </c>
      <c r="J2376" s="115">
        <v>45742</v>
      </c>
      <c r="K2376" s="115">
        <v>45773</v>
      </c>
      <c r="L2376" s="183">
        <v>5600000</v>
      </c>
      <c r="M2376" s="147" t="s">
        <v>1304</v>
      </c>
      <c r="N2376" s="34" t="s">
        <v>29</v>
      </c>
      <c r="O2376" s="52"/>
      <c r="P2376" s="113">
        <v>45959</v>
      </c>
      <c r="Q2376" s="113">
        <v>45959</v>
      </c>
      <c r="R2376" s="113">
        <v>45959</v>
      </c>
      <c r="S2376" s="37">
        <f t="shared" si="507"/>
        <v>5600000</v>
      </c>
      <c r="T2376" s="37">
        <f t="shared" si="508"/>
        <v>0</v>
      </c>
      <c r="U2376" s="10"/>
      <c r="V2376" s="10"/>
      <c r="W2376" s="10"/>
      <c r="X2376" s="10"/>
      <c r="Y2376" s="10"/>
      <c r="Z2376" s="10"/>
      <c r="AA2376" s="10"/>
      <c r="AB2376" s="10"/>
      <c r="AC2376" s="10"/>
      <c r="AD2376" s="10"/>
      <c r="AE2376" s="10"/>
    </row>
    <row r="2377" spans="1:31" hidden="1">
      <c r="A2377" s="277" t="s">
        <v>6401</v>
      </c>
      <c r="B2377" s="9" t="s">
        <v>21</v>
      </c>
      <c r="C2377" s="9">
        <v>2024</v>
      </c>
      <c r="D2377" s="9" t="s">
        <v>27</v>
      </c>
      <c r="E2377" s="90" t="s">
        <v>1147</v>
      </c>
      <c r="F2377" s="9" t="s">
        <v>1150</v>
      </c>
      <c r="G2377" s="10"/>
      <c r="H2377" s="9"/>
      <c r="I2377" s="109" t="s">
        <v>1300</v>
      </c>
      <c r="J2377" s="115">
        <v>45742</v>
      </c>
      <c r="K2377" s="115">
        <v>45773</v>
      </c>
      <c r="L2377" s="183">
        <v>8700000</v>
      </c>
      <c r="M2377" s="147" t="s">
        <v>1305</v>
      </c>
      <c r="N2377" s="34" t="s">
        <v>29</v>
      </c>
      <c r="O2377" s="52">
        <f>SUM(L2377:L2379)</f>
        <v>19700000</v>
      </c>
      <c r="P2377" s="113">
        <v>45988</v>
      </c>
      <c r="Q2377" s="113">
        <v>45988</v>
      </c>
      <c r="R2377" s="113">
        <v>45988</v>
      </c>
      <c r="S2377" s="37">
        <f t="shared" si="507"/>
        <v>8700000</v>
      </c>
      <c r="T2377" s="37">
        <f t="shared" si="508"/>
        <v>0</v>
      </c>
      <c r="U2377" s="10"/>
      <c r="V2377" s="10"/>
      <c r="W2377" s="10"/>
      <c r="X2377" s="10"/>
      <c r="Y2377" s="10"/>
      <c r="Z2377" s="10"/>
      <c r="AA2377" s="10"/>
      <c r="AB2377" s="10"/>
      <c r="AC2377" s="10"/>
      <c r="AD2377" s="10"/>
      <c r="AE2377" s="10"/>
    </row>
    <row r="2378" spans="1:31" hidden="1">
      <c r="A2378" s="277" t="s">
        <v>6402</v>
      </c>
      <c r="B2378" s="9" t="s">
        <v>21</v>
      </c>
      <c r="C2378" s="9">
        <v>2024</v>
      </c>
      <c r="D2378" s="9" t="s">
        <v>27</v>
      </c>
      <c r="E2378" s="90" t="s">
        <v>1147</v>
      </c>
      <c r="F2378" s="9" t="s">
        <v>1150</v>
      </c>
      <c r="G2378" s="10"/>
      <c r="H2378" s="9"/>
      <c r="I2378" s="109" t="s">
        <v>1300</v>
      </c>
      <c r="J2378" s="115">
        <v>45742</v>
      </c>
      <c r="K2378" s="115">
        <v>45773</v>
      </c>
      <c r="L2378" s="183">
        <v>5800000</v>
      </c>
      <c r="M2378" s="147" t="s">
        <v>1306</v>
      </c>
      <c r="N2378" s="34" t="s">
        <v>29</v>
      </c>
      <c r="O2378" s="10"/>
      <c r="P2378" s="113">
        <v>45988</v>
      </c>
      <c r="Q2378" s="113">
        <v>45988</v>
      </c>
      <c r="R2378" s="113">
        <v>45988</v>
      </c>
      <c r="S2378" s="37">
        <f t="shared" si="507"/>
        <v>5800000</v>
      </c>
      <c r="T2378" s="37">
        <f t="shared" si="508"/>
        <v>0</v>
      </c>
      <c r="U2378" s="10"/>
      <c r="V2378" s="10"/>
      <c r="W2378" s="10"/>
      <c r="X2378" s="10"/>
      <c r="Y2378" s="10"/>
      <c r="Z2378" s="10"/>
      <c r="AA2378" s="10"/>
      <c r="AB2378" s="10"/>
      <c r="AC2378" s="10"/>
      <c r="AD2378" s="10"/>
      <c r="AE2378" s="10"/>
    </row>
    <row r="2379" spans="1:31" hidden="1">
      <c r="A2379" s="277" t="s">
        <v>6403</v>
      </c>
      <c r="B2379" s="9" t="s">
        <v>21</v>
      </c>
      <c r="C2379" s="9">
        <v>2025</v>
      </c>
      <c r="D2379" s="9" t="s">
        <v>27</v>
      </c>
      <c r="E2379" s="90" t="s">
        <v>1147</v>
      </c>
      <c r="F2379" s="9" t="s">
        <v>1150</v>
      </c>
      <c r="G2379" s="10"/>
      <c r="H2379" s="9"/>
      <c r="I2379" s="109" t="s">
        <v>1300</v>
      </c>
      <c r="J2379" s="115">
        <v>45742</v>
      </c>
      <c r="K2379" s="115">
        <v>45773</v>
      </c>
      <c r="L2379" s="183">
        <v>5200000</v>
      </c>
      <c r="M2379" s="147" t="s">
        <v>1307</v>
      </c>
      <c r="N2379" s="34" t="s">
        <v>29</v>
      </c>
      <c r="O2379" s="10"/>
      <c r="P2379" s="113">
        <v>45988</v>
      </c>
      <c r="Q2379" s="113">
        <v>45988</v>
      </c>
      <c r="R2379" s="113">
        <v>45988</v>
      </c>
      <c r="S2379" s="37">
        <f t="shared" si="507"/>
        <v>5200000</v>
      </c>
      <c r="T2379" s="37">
        <f t="shared" si="508"/>
        <v>0</v>
      </c>
      <c r="U2379" s="10"/>
      <c r="V2379" s="10"/>
      <c r="W2379" s="10"/>
      <c r="X2379" s="10"/>
      <c r="Y2379" s="10"/>
      <c r="Z2379" s="10"/>
      <c r="AA2379" s="10"/>
      <c r="AB2379" s="10"/>
      <c r="AC2379" s="10"/>
      <c r="AD2379" s="10"/>
      <c r="AE2379" s="10"/>
    </row>
    <row r="2380" spans="1:31" ht="14.25" hidden="1" customHeight="1">
      <c r="A2380" s="277" t="s">
        <v>6404</v>
      </c>
      <c r="B2380" s="9" t="s">
        <v>21</v>
      </c>
      <c r="C2380" s="9">
        <v>2025</v>
      </c>
      <c r="D2380" s="9" t="s">
        <v>27</v>
      </c>
      <c r="E2380" s="90" t="s">
        <v>1147</v>
      </c>
      <c r="F2380" s="9" t="s">
        <v>1150</v>
      </c>
      <c r="G2380" s="10"/>
      <c r="H2380" s="9"/>
      <c r="I2380" s="109" t="s">
        <v>1300</v>
      </c>
      <c r="J2380" s="115">
        <v>45742</v>
      </c>
      <c r="K2380" s="115">
        <v>45773</v>
      </c>
      <c r="L2380" s="183">
        <v>4550000</v>
      </c>
      <c r="M2380" s="147" t="s">
        <v>1308</v>
      </c>
      <c r="N2380" s="34" t="s">
        <v>29</v>
      </c>
      <c r="O2380" s="52">
        <f>SUM(L2380:L2381)</f>
        <v>8750000</v>
      </c>
      <c r="P2380" s="113">
        <v>46091</v>
      </c>
      <c r="Q2380" s="113">
        <v>46091</v>
      </c>
      <c r="R2380" s="113">
        <v>46091</v>
      </c>
      <c r="S2380" s="37">
        <f t="shared" si="507"/>
        <v>4550000</v>
      </c>
      <c r="T2380" s="37">
        <f t="shared" si="508"/>
        <v>0</v>
      </c>
      <c r="U2380" s="10"/>
      <c r="V2380" s="10"/>
      <c r="W2380" s="10"/>
      <c r="X2380" s="10"/>
      <c r="Y2380" s="10"/>
      <c r="Z2380" s="10"/>
      <c r="AA2380" s="10"/>
      <c r="AB2380" s="10"/>
      <c r="AC2380" s="10"/>
      <c r="AD2380" s="10"/>
      <c r="AE2380" s="10"/>
    </row>
    <row r="2381" spans="1:31" ht="14.25" hidden="1" customHeight="1">
      <c r="A2381" s="277" t="s">
        <v>6405</v>
      </c>
      <c r="B2381" s="9" t="s">
        <v>21</v>
      </c>
      <c r="C2381" s="9">
        <v>2025</v>
      </c>
      <c r="D2381" s="9" t="s">
        <v>27</v>
      </c>
      <c r="E2381" s="90" t="s">
        <v>1147</v>
      </c>
      <c r="F2381" s="9" t="s">
        <v>1150</v>
      </c>
      <c r="G2381" s="10"/>
      <c r="H2381" s="9"/>
      <c r="I2381" s="109" t="s">
        <v>1300</v>
      </c>
      <c r="J2381" s="115">
        <v>45742</v>
      </c>
      <c r="K2381" s="115">
        <v>45773</v>
      </c>
      <c r="L2381" s="183">
        <v>4200000</v>
      </c>
      <c r="M2381" s="147" t="s">
        <v>1309</v>
      </c>
      <c r="N2381" s="34" t="s">
        <v>29</v>
      </c>
      <c r="O2381" s="10"/>
      <c r="P2381" s="113">
        <v>46091</v>
      </c>
      <c r="Q2381" s="113">
        <v>46091</v>
      </c>
      <c r="R2381" s="113">
        <v>46091</v>
      </c>
      <c r="S2381" s="37">
        <f t="shared" si="507"/>
        <v>4200000</v>
      </c>
      <c r="T2381" s="37">
        <f t="shared" si="508"/>
        <v>0</v>
      </c>
      <c r="U2381" s="10"/>
      <c r="V2381" s="10"/>
      <c r="W2381" s="10"/>
      <c r="X2381" s="10"/>
      <c r="Y2381" s="10"/>
      <c r="Z2381" s="10"/>
      <c r="AA2381" s="10"/>
      <c r="AB2381" s="10"/>
      <c r="AC2381" s="10"/>
      <c r="AD2381" s="10"/>
      <c r="AE2381" s="10"/>
    </row>
    <row r="2382" spans="1:31" ht="14.25" hidden="1" customHeight="1">
      <c r="A2382" s="277" t="s">
        <v>6406</v>
      </c>
      <c r="B2382" s="9" t="s">
        <v>21</v>
      </c>
      <c r="C2382" s="9">
        <v>2025</v>
      </c>
      <c r="D2382" s="9" t="s">
        <v>27</v>
      </c>
      <c r="E2382" s="90" t="s">
        <v>1147</v>
      </c>
      <c r="F2382" s="9" t="s">
        <v>1150</v>
      </c>
      <c r="G2382" s="10"/>
      <c r="H2382" s="9"/>
      <c r="I2382" s="109" t="s">
        <v>1300</v>
      </c>
      <c r="J2382" s="115">
        <v>45787</v>
      </c>
      <c r="K2382" s="115">
        <v>45787</v>
      </c>
      <c r="L2382" s="183">
        <v>2500000</v>
      </c>
      <c r="M2382" s="147" t="s">
        <v>1310</v>
      </c>
      <c r="N2382" s="34" t="s">
        <v>29</v>
      </c>
      <c r="O2382" s="10"/>
      <c r="P2382" s="113">
        <v>46124</v>
      </c>
      <c r="Q2382" s="113">
        <v>46124</v>
      </c>
      <c r="R2382" s="113">
        <v>46124</v>
      </c>
      <c r="S2382" s="37">
        <f t="shared" si="507"/>
        <v>2500000</v>
      </c>
      <c r="T2382" s="37">
        <f t="shared" si="508"/>
        <v>0</v>
      </c>
      <c r="U2382" s="10"/>
      <c r="V2382" s="10"/>
      <c r="W2382" s="10"/>
      <c r="X2382" s="10"/>
      <c r="Y2382" s="10"/>
      <c r="Z2382" s="10"/>
      <c r="AA2382" s="10"/>
      <c r="AB2382" s="10"/>
      <c r="AC2382" s="10"/>
      <c r="AD2382" s="10"/>
      <c r="AE2382" s="10"/>
    </row>
    <row r="2383" spans="1:31" ht="14.25" hidden="1" customHeight="1">
      <c r="A2383" s="277" t="s">
        <v>6407</v>
      </c>
      <c r="B2383" s="9" t="s">
        <v>21</v>
      </c>
      <c r="C2383" s="9">
        <v>2025</v>
      </c>
      <c r="D2383" s="9" t="s">
        <v>27</v>
      </c>
      <c r="E2383" s="90" t="s">
        <v>1147</v>
      </c>
      <c r="F2383" s="9" t="s">
        <v>1150</v>
      </c>
      <c r="G2383" s="10"/>
      <c r="H2383" s="9"/>
      <c r="I2383" s="109" t="s">
        <v>1300</v>
      </c>
      <c r="J2383" s="115">
        <v>45811</v>
      </c>
      <c r="K2383" s="115">
        <v>45811</v>
      </c>
      <c r="L2383" s="183">
        <v>2850000</v>
      </c>
      <c r="M2383" s="147" t="s">
        <v>1311</v>
      </c>
      <c r="N2383" s="34" t="s">
        <v>29</v>
      </c>
      <c r="O2383" s="10"/>
      <c r="P2383" s="113">
        <v>46182</v>
      </c>
      <c r="Q2383" s="113">
        <v>46182</v>
      </c>
      <c r="R2383" s="113">
        <v>46182</v>
      </c>
      <c r="S2383" s="37">
        <f t="shared" si="507"/>
        <v>2850000</v>
      </c>
      <c r="T2383" s="37">
        <f t="shared" si="508"/>
        <v>0</v>
      </c>
      <c r="U2383" s="10"/>
      <c r="V2383" s="10"/>
      <c r="W2383" s="10"/>
      <c r="X2383" s="10"/>
      <c r="Y2383" s="10"/>
      <c r="Z2383" s="10"/>
      <c r="AA2383" s="10"/>
      <c r="AB2383" s="10"/>
      <c r="AC2383" s="10"/>
      <c r="AD2383" s="10"/>
      <c r="AE2383" s="10"/>
    </row>
    <row r="2384" spans="1:31" ht="14.25" hidden="1" customHeight="1">
      <c r="A2384" s="277" t="s">
        <v>6408</v>
      </c>
      <c r="B2384" s="9" t="s">
        <v>21</v>
      </c>
      <c r="C2384" s="9">
        <v>2025</v>
      </c>
      <c r="D2384" s="9" t="s">
        <v>27</v>
      </c>
      <c r="E2384" s="90" t="s">
        <v>1147</v>
      </c>
      <c r="F2384" s="9" t="s">
        <v>1150</v>
      </c>
      <c r="G2384" s="10"/>
      <c r="H2384" s="9"/>
      <c r="I2384" s="109" t="s">
        <v>1300</v>
      </c>
      <c r="J2384" s="115">
        <v>45873</v>
      </c>
      <c r="K2384" s="115">
        <v>45873</v>
      </c>
      <c r="L2384" s="183">
        <v>2450000</v>
      </c>
      <c r="M2384" s="147" t="s">
        <v>1312</v>
      </c>
      <c r="N2384" s="34" t="s">
        <v>29</v>
      </c>
      <c r="O2384" s="10"/>
      <c r="P2384" s="113">
        <v>46182</v>
      </c>
      <c r="Q2384" s="113">
        <v>46182</v>
      </c>
      <c r="R2384" s="113">
        <v>46182</v>
      </c>
      <c r="S2384" s="37">
        <f>IF(R2384="",0,L2384)</f>
        <v>2450000</v>
      </c>
      <c r="T2384" s="37">
        <f>L2384-S2384</f>
        <v>0</v>
      </c>
      <c r="U2384" s="10"/>
      <c r="V2384" s="10"/>
      <c r="W2384" s="10"/>
      <c r="X2384" s="10"/>
      <c r="Y2384" s="10"/>
      <c r="Z2384" s="10"/>
      <c r="AA2384" s="10"/>
      <c r="AB2384" s="10"/>
      <c r="AC2384" s="10"/>
      <c r="AD2384" s="10"/>
      <c r="AE2384" s="10"/>
    </row>
    <row r="2385" spans="1:31" ht="14.25" customHeight="1">
      <c r="A2385" s="277" t="s">
        <v>6409</v>
      </c>
      <c r="B2385" s="9" t="s">
        <v>21</v>
      </c>
      <c r="C2385" s="9">
        <v>2025</v>
      </c>
      <c r="D2385" s="9" t="s">
        <v>27</v>
      </c>
      <c r="E2385" s="90" t="s">
        <v>1147</v>
      </c>
      <c r="F2385" s="9" t="s">
        <v>1150</v>
      </c>
      <c r="G2385" s="10"/>
      <c r="H2385" s="9"/>
      <c r="I2385" s="109" t="s">
        <v>1300</v>
      </c>
      <c r="J2385" s="115">
        <v>45873</v>
      </c>
      <c r="K2385" s="115">
        <v>45873</v>
      </c>
      <c r="L2385" s="183">
        <v>3200000</v>
      </c>
      <c r="M2385" s="147" t="s">
        <v>1313</v>
      </c>
      <c r="N2385" s="34" t="s">
        <v>29</v>
      </c>
      <c r="O2385" s="10"/>
      <c r="P2385" s="113">
        <v>46182</v>
      </c>
      <c r="Q2385" s="113">
        <v>46182</v>
      </c>
      <c r="R2385" s="113">
        <v>46182</v>
      </c>
      <c r="S2385" s="37">
        <f>IF(R2385="",0,L2385)</f>
        <v>3200000</v>
      </c>
      <c r="T2385" s="37">
        <f>L2385-S2385</f>
        <v>0</v>
      </c>
      <c r="U2385" s="10"/>
      <c r="V2385" s="10"/>
      <c r="W2385" s="10"/>
      <c r="X2385" s="10"/>
      <c r="Y2385" s="10"/>
      <c r="Z2385" s="10"/>
      <c r="AA2385" s="10"/>
      <c r="AB2385" s="10"/>
      <c r="AC2385" s="10"/>
      <c r="AD2385" s="10"/>
      <c r="AE2385" s="10"/>
    </row>
    <row r="2386" spans="1:31" ht="14.25" customHeight="1">
      <c r="A2386" s="277" t="s">
        <v>6410</v>
      </c>
      <c r="B2386" s="9" t="s">
        <v>21</v>
      </c>
      <c r="C2386" s="9">
        <v>2025</v>
      </c>
      <c r="D2386" s="9" t="s">
        <v>77</v>
      </c>
      <c r="E2386" s="90" t="s">
        <v>1147</v>
      </c>
      <c r="F2386" s="9" t="s">
        <v>1150</v>
      </c>
      <c r="G2386" s="10"/>
      <c r="H2386" s="9"/>
      <c r="I2386" s="11" t="s">
        <v>1300</v>
      </c>
      <c r="J2386" s="12">
        <v>45946</v>
      </c>
      <c r="K2386" s="12">
        <v>45946</v>
      </c>
      <c r="L2386" s="130">
        <v>3500000</v>
      </c>
      <c r="M2386" s="125" t="s">
        <v>3818</v>
      </c>
      <c r="N2386" s="34">
        <f t="shared" ref="N2386:N2396" ca="1" si="509">$J$3-J2386</f>
        <v>294.46377638888953</v>
      </c>
      <c r="O2386" s="10"/>
      <c r="P2386" s="39"/>
      <c r="Q2386" s="39"/>
      <c r="R2386" s="39"/>
      <c r="S2386" s="37">
        <f>IF(R2386="",0,L2386)</f>
        <v>0</v>
      </c>
      <c r="T2386" s="37">
        <f>L2386-S2386</f>
        <v>3500000</v>
      </c>
      <c r="U2386" s="10"/>
      <c r="V2386" s="10"/>
      <c r="W2386" s="10"/>
      <c r="X2386" s="10"/>
      <c r="Y2386" s="10"/>
      <c r="Z2386" s="10"/>
      <c r="AA2386" s="10"/>
      <c r="AB2386" s="10"/>
      <c r="AC2386" s="10"/>
      <c r="AD2386" s="10"/>
      <c r="AE2386" s="10"/>
    </row>
    <row r="2387" spans="1:31" ht="14.25" customHeight="1">
      <c r="A2387" s="277" t="s">
        <v>6411</v>
      </c>
      <c r="B2387" s="9" t="s">
        <v>21</v>
      </c>
      <c r="C2387" s="9">
        <v>2025</v>
      </c>
      <c r="D2387" s="9" t="s">
        <v>77</v>
      </c>
      <c r="E2387" s="90" t="s">
        <v>1147</v>
      </c>
      <c r="F2387" s="9" t="s">
        <v>1150</v>
      </c>
      <c r="G2387" s="10"/>
      <c r="H2387" s="9"/>
      <c r="I2387" s="11" t="s">
        <v>1300</v>
      </c>
      <c r="J2387" s="12">
        <v>45946</v>
      </c>
      <c r="K2387" s="12">
        <v>45946</v>
      </c>
      <c r="L2387" s="130">
        <v>5100000</v>
      </c>
      <c r="M2387" s="125" t="s">
        <v>3819</v>
      </c>
      <c r="N2387" s="34">
        <f t="shared" ca="1" si="509"/>
        <v>294.46377638888953</v>
      </c>
      <c r="O2387" s="10"/>
      <c r="P2387" s="39"/>
      <c r="Q2387" s="39"/>
      <c r="R2387" s="39"/>
      <c r="S2387" s="37">
        <f>IF(R2387="",0,L2387)</f>
        <v>0</v>
      </c>
      <c r="T2387" s="37">
        <f>L2387-S2387</f>
        <v>5100000</v>
      </c>
      <c r="U2387" s="10"/>
      <c r="V2387" s="10"/>
      <c r="W2387" s="10"/>
      <c r="X2387" s="10"/>
      <c r="Y2387" s="10"/>
      <c r="Z2387" s="10"/>
      <c r="AA2387" s="10"/>
      <c r="AB2387" s="10"/>
      <c r="AC2387" s="10"/>
      <c r="AD2387" s="10"/>
      <c r="AE2387" s="10"/>
    </row>
    <row r="2388" spans="1:31" ht="14.25" customHeight="1">
      <c r="A2388" s="277" t="s">
        <v>6412</v>
      </c>
      <c r="B2388" s="9" t="s">
        <v>21</v>
      </c>
      <c r="C2388" s="9">
        <v>2025</v>
      </c>
      <c r="D2388" s="9" t="s">
        <v>77</v>
      </c>
      <c r="E2388" s="90" t="s">
        <v>1147</v>
      </c>
      <c r="F2388" s="9" t="s">
        <v>1150</v>
      </c>
      <c r="G2388" s="10"/>
      <c r="H2388" s="9"/>
      <c r="I2388" s="11" t="s">
        <v>1300</v>
      </c>
      <c r="J2388" s="12">
        <v>45931</v>
      </c>
      <c r="K2388" s="12">
        <v>46205</v>
      </c>
      <c r="L2388" s="130">
        <f>950000+1050000+750000+750000+900000</f>
        <v>4400000</v>
      </c>
      <c r="M2388" s="125" t="s">
        <v>7313</v>
      </c>
      <c r="N2388" s="34">
        <f t="shared" ca="1" si="509"/>
        <v>309.46377638888953</v>
      </c>
      <c r="O2388" s="10"/>
      <c r="P2388" s="39"/>
      <c r="Q2388" s="39"/>
      <c r="R2388" s="39"/>
      <c r="S2388" s="37">
        <f>IF(R2388="",0,L2388)</f>
        <v>0</v>
      </c>
      <c r="T2388" s="37">
        <f>L2388-S2388</f>
        <v>4400000</v>
      </c>
      <c r="U2388" s="10"/>
      <c r="V2388" s="10"/>
      <c r="W2388" s="10"/>
      <c r="X2388" s="10"/>
      <c r="Y2388" s="10"/>
      <c r="Z2388" s="10"/>
      <c r="AA2388" s="10"/>
      <c r="AB2388" s="10"/>
      <c r="AC2388" s="10"/>
      <c r="AD2388" s="10"/>
      <c r="AE2388" s="10"/>
    </row>
    <row r="2389" spans="1:31" ht="14.25" customHeight="1">
      <c r="A2389" s="277" t="s">
        <v>6413</v>
      </c>
      <c r="B2389" s="9" t="s">
        <v>21</v>
      </c>
      <c r="C2389" s="9">
        <v>2025</v>
      </c>
      <c r="D2389" s="9" t="s">
        <v>77</v>
      </c>
      <c r="E2389" s="90" t="s">
        <v>1147</v>
      </c>
      <c r="F2389" s="9" t="s">
        <v>1150</v>
      </c>
      <c r="G2389" s="10"/>
      <c r="H2389" s="9"/>
      <c r="I2389" s="11" t="s">
        <v>1300</v>
      </c>
      <c r="J2389" s="12">
        <v>45969</v>
      </c>
      <c r="K2389" s="12">
        <v>46205</v>
      </c>
      <c r="L2389" s="130">
        <f>900000+1350000</f>
        <v>2250000</v>
      </c>
      <c r="M2389" s="125" t="s">
        <v>7314</v>
      </c>
      <c r="N2389" s="34">
        <f t="shared" ca="1" si="509"/>
        <v>271.46377638888953</v>
      </c>
      <c r="O2389" s="10"/>
      <c r="P2389" s="39"/>
      <c r="Q2389" s="39"/>
      <c r="R2389" s="39"/>
      <c r="S2389" s="37">
        <f t="shared" ref="S2389:S2397" si="510">IF(R2389="",0,L2389)</f>
        <v>0</v>
      </c>
      <c r="T2389" s="37">
        <f t="shared" ref="T2389:T2397" si="511">L2389-S2389</f>
        <v>2250000</v>
      </c>
      <c r="U2389" s="10"/>
      <c r="V2389" s="10"/>
      <c r="W2389" s="10"/>
      <c r="X2389" s="10"/>
      <c r="Y2389" s="10"/>
      <c r="Z2389" s="10"/>
      <c r="AA2389" s="10"/>
      <c r="AB2389" s="10"/>
      <c r="AC2389" s="10"/>
      <c r="AD2389" s="10"/>
      <c r="AE2389" s="10"/>
    </row>
    <row r="2390" spans="1:31" ht="14.25" customHeight="1">
      <c r="A2390" s="277" t="s">
        <v>6414</v>
      </c>
      <c r="B2390" s="9" t="s">
        <v>21</v>
      </c>
      <c r="C2390" s="9">
        <v>2025</v>
      </c>
      <c r="D2390" s="9" t="s">
        <v>77</v>
      </c>
      <c r="E2390" s="90" t="s">
        <v>1147</v>
      </c>
      <c r="F2390" s="9" t="s">
        <v>1150</v>
      </c>
      <c r="G2390" s="10"/>
      <c r="H2390" s="9"/>
      <c r="I2390" s="11" t="s">
        <v>1300</v>
      </c>
      <c r="J2390" s="12">
        <v>45993</v>
      </c>
      <c r="K2390" s="12">
        <v>46205</v>
      </c>
      <c r="L2390" s="130">
        <f>750000+1050000+1100000+1050000+1150000</f>
        <v>5100000</v>
      </c>
      <c r="M2390" s="125" t="s">
        <v>7315</v>
      </c>
      <c r="N2390" s="34">
        <f t="shared" ca="1" si="509"/>
        <v>247.46377638888953</v>
      </c>
      <c r="O2390" s="10"/>
      <c r="P2390" s="39"/>
      <c r="Q2390" s="39"/>
      <c r="R2390" s="39"/>
      <c r="S2390" s="37">
        <f t="shared" si="510"/>
        <v>0</v>
      </c>
      <c r="T2390" s="37">
        <f t="shared" si="511"/>
        <v>5100000</v>
      </c>
      <c r="U2390" s="10"/>
      <c r="V2390" s="10"/>
      <c r="W2390" s="10"/>
      <c r="X2390" s="10"/>
      <c r="Y2390" s="10"/>
      <c r="Z2390" s="10"/>
      <c r="AA2390" s="10"/>
      <c r="AB2390" s="10"/>
      <c r="AC2390" s="10"/>
      <c r="AD2390" s="10"/>
      <c r="AE2390" s="10"/>
    </row>
    <row r="2391" spans="1:31" ht="14.25" customHeight="1">
      <c r="A2391" s="277" t="s">
        <v>6415</v>
      </c>
      <c r="B2391" s="9" t="s">
        <v>21</v>
      </c>
      <c r="C2391" s="9">
        <v>2026</v>
      </c>
      <c r="D2391" s="9" t="s">
        <v>77</v>
      </c>
      <c r="E2391" s="90" t="s">
        <v>1147</v>
      </c>
      <c r="F2391" s="9" t="s">
        <v>1150</v>
      </c>
      <c r="G2391" s="10"/>
      <c r="H2391" s="9"/>
      <c r="I2391" s="11" t="s">
        <v>1300</v>
      </c>
      <c r="J2391" s="12">
        <v>46028</v>
      </c>
      <c r="K2391" s="12">
        <v>46205</v>
      </c>
      <c r="L2391" s="130">
        <f>900000+1100000+900000+700000+1000000</f>
        <v>4600000</v>
      </c>
      <c r="M2391" s="125" t="s">
        <v>7316</v>
      </c>
      <c r="N2391" s="34">
        <f t="shared" ca="1" si="509"/>
        <v>212.46377638888953</v>
      </c>
      <c r="O2391" s="10"/>
      <c r="P2391" s="39"/>
      <c r="Q2391" s="39"/>
      <c r="R2391" s="39"/>
      <c r="S2391" s="37">
        <f t="shared" si="510"/>
        <v>0</v>
      </c>
      <c r="T2391" s="37">
        <f t="shared" si="511"/>
        <v>4600000</v>
      </c>
      <c r="U2391" s="10"/>
      <c r="V2391" s="10"/>
      <c r="W2391" s="10"/>
      <c r="X2391" s="10"/>
      <c r="Y2391" s="10"/>
      <c r="Z2391" s="10"/>
      <c r="AA2391" s="10"/>
      <c r="AB2391" s="10"/>
      <c r="AC2391" s="10"/>
      <c r="AD2391" s="10"/>
      <c r="AE2391" s="10"/>
    </row>
    <row r="2392" spans="1:31" ht="14.25" customHeight="1">
      <c r="A2392" s="277" t="s">
        <v>6416</v>
      </c>
      <c r="B2392" s="9" t="s">
        <v>21</v>
      </c>
      <c r="C2392" s="9">
        <v>2026</v>
      </c>
      <c r="D2392" s="9" t="s">
        <v>77</v>
      </c>
      <c r="E2392" s="90" t="s">
        <v>1147</v>
      </c>
      <c r="F2392" s="9" t="s">
        <v>1150</v>
      </c>
      <c r="G2392" s="10"/>
      <c r="H2392" s="9"/>
      <c r="I2392" s="11" t="s">
        <v>1300</v>
      </c>
      <c r="J2392" s="12">
        <v>46058</v>
      </c>
      <c r="K2392" s="12">
        <v>46205</v>
      </c>
      <c r="L2392" s="130">
        <f>1000000+1150000+750000+900000</f>
        <v>3800000</v>
      </c>
      <c r="M2392" s="125" t="s">
        <v>7317</v>
      </c>
      <c r="N2392" s="34">
        <f t="shared" ca="1" si="509"/>
        <v>182.46377638888953</v>
      </c>
      <c r="O2392" s="10"/>
      <c r="P2392" s="39"/>
      <c r="Q2392" s="39"/>
      <c r="R2392" s="39"/>
      <c r="S2392" s="37">
        <f t="shared" si="510"/>
        <v>0</v>
      </c>
      <c r="T2392" s="37">
        <f t="shared" si="511"/>
        <v>3800000</v>
      </c>
      <c r="U2392" s="10"/>
      <c r="V2392" s="10"/>
      <c r="W2392" s="10"/>
      <c r="X2392" s="10"/>
      <c r="Y2392" s="10"/>
      <c r="Z2392" s="10"/>
      <c r="AA2392" s="10"/>
      <c r="AB2392" s="10"/>
      <c r="AC2392" s="10"/>
      <c r="AD2392" s="10"/>
      <c r="AE2392" s="10"/>
    </row>
    <row r="2393" spans="1:31" ht="14.25" customHeight="1">
      <c r="A2393" s="277" t="s">
        <v>6417</v>
      </c>
      <c r="B2393" s="9" t="s">
        <v>21</v>
      </c>
      <c r="C2393" s="9">
        <v>2026</v>
      </c>
      <c r="D2393" s="9" t="s">
        <v>77</v>
      </c>
      <c r="E2393" s="90" t="s">
        <v>1147</v>
      </c>
      <c r="F2393" s="9" t="s">
        <v>1150</v>
      </c>
      <c r="G2393" s="10"/>
      <c r="H2393" s="9"/>
      <c r="I2393" s="11" t="s">
        <v>1300</v>
      </c>
      <c r="J2393" s="12">
        <v>46088</v>
      </c>
      <c r="K2393" s="12">
        <v>46205</v>
      </c>
      <c r="L2393" s="130">
        <f>750000+1050000</f>
        <v>1800000</v>
      </c>
      <c r="M2393" s="125" t="s">
        <v>7318</v>
      </c>
      <c r="N2393" s="34">
        <f t="shared" ca="1" si="509"/>
        <v>152.46377638888953</v>
      </c>
      <c r="O2393" s="10"/>
      <c r="P2393" s="39"/>
      <c r="Q2393" s="39"/>
      <c r="R2393" s="39"/>
      <c r="S2393" s="37">
        <f t="shared" si="510"/>
        <v>0</v>
      </c>
      <c r="T2393" s="37">
        <f t="shared" si="511"/>
        <v>1800000</v>
      </c>
      <c r="U2393" s="10"/>
      <c r="V2393" s="10"/>
      <c r="W2393" s="10"/>
      <c r="X2393" s="10"/>
      <c r="Y2393" s="10"/>
      <c r="Z2393" s="10"/>
      <c r="AA2393" s="10"/>
      <c r="AB2393" s="10"/>
      <c r="AC2393" s="10"/>
      <c r="AD2393" s="10"/>
      <c r="AE2393" s="10"/>
    </row>
    <row r="2394" spans="1:31" ht="14.25" customHeight="1">
      <c r="A2394" s="277" t="s">
        <v>6418</v>
      </c>
      <c r="B2394" s="9" t="s">
        <v>21</v>
      </c>
      <c r="C2394" s="9">
        <v>2026</v>
      </c>
      <c r="D2394" s="9" t="s">
        <v>77</v>
      </c>
      <c r="E2394" s="90" t="s">
        <v>1147</v>
      </c>
      <c r="F2394" s="9" t="s">
        <v>1150</v>
      </c>
      <c r="G2394" s="10"/>
      <c r="H2394" s="9"/>
      <c r="I2394" s="11" t="s">
        <v>1300</v>
      </c>
      <c r="J2394" s="12">
        <v>46114</v>
      </c>
      <c r="K2394" s="12">
        <v>46205</v>
      </c>
      <c r="L2394" s="130">
        <f>850000+900000+950000+1200000</f>
        <v>3900000</v>
      </c>
      <c r="M2394" s="125" t="s">
        <v>7319</v>
      </c>
      <c r="N2394" s="34">
        <f t="shared" ca="1" si="509"/>
        <v>126.46377638888953</v>
      </c>
      <c r="O2394" s="10"/>
      <c r="P2394" s="39"/>
      <c r="Q2394" s="39"/>
      <c r="R2394" s="39"/>
      <c r="S2394" s="37">
        <f t="shared" si="510"/>
        <v>0</v>
      </c>
      <c r="T2394" s="37">
        <f t="shared" si="511"/>
        <v>3900000</v>
      </c>
      <c r="U2394" s="10"/>
      <c r="V2394" s="10"/>
      <c r="W2394" s="10"/>
      <c r="X2394" s="10"/>
      <c r="Y2394" s="10"/>
      <c r="Z2394" s="10"/>
      <c r="AA2394" s="10"/>
      <c r="AB2394" s="10"/>
      <c r="AC2394" s="10"/>
      <c r="AD2394" s="10"/>
      <c r="AE2394" s="10"/>
    </row>
    <row r="2395" spans="1:31" ht="14.25" customHeight="1">
      <c r="A2395" s="277" t="s">
        <v>6419</v>
      </c>
      <c r="B2395" s="9" t="s">
        <v>21</v>
      </c>
      <c r="C2395" s="9">
        <v>2026</v>
      </c>
      <c r="D2395" s="9" t="s">
        <v>77</v>
      </c>
      <c r="E2395" s="90" t="s">
        <v>1147</v>
      </c>
      <c r="F2395" s="9" t="s">
        <v>1150</v>
      </c>
      <c r="G2395" s="10"/>
      <c r="H2395" s="9"/>
      <c r="I2395" s="11" t="s">
        <v>1300</v>
      </c>
      <c r="J2395" s="12">
        <v>46149</v>
      </c>
      <c r="K2395" s="12">
        <v>46205</v>
      </c>
      <c r="L2395" s="130">
        <f>1280000+1060000+750000</f>
        <v>3090000</v>
      </c>
      <c r="M2395" s="125" t="s">
        <v>7320</v>
      </c>
      <c r="N2395" s="34">
        <f t="shared" ca="1" si="509"/>
        <v>91.463776388889528</v>
      </c>
      <c r="O2395" s="10"/>
      <c r="P2395" s="39"/>
      <c r="Q2395" s="39"/>
      <c r="R2395" s="39"/>
      <c r="S2395" s="37">
        <f t="shared" si="510"/>
        <v>0</v>
      </c>
      <c r="T2395" s="37">
        <f t="shared" si="511"/>
        <v>3090000</v>
      </c>
      <c r="U2395" s="10"/>
      <c r="V2395" s="10"/>
      <c r="W2395" s="10"/>
      <c r="X2395" s="10"/>
      <c r="Y2395" s="10"/>
      <c r="Z2395" s="10"/>
      <c r="AA2395" s="10"/>
      <c r="AB2395" s="10"/>
      <c r="AC2395" s="10"/>
      <c r="AD2395" s="10"/>
      <c r="AE2395" s="10"/>
    </row>
    <row r="2396" spans="1:31" ht="14.25" customHeight="1">
      <c r="A2396" s="277" t="s">
        <v>6420</v>
      </c>
      <c r="B2396" s="9" t="s">
        <v>21</v>
      </c>
      <c r="C2396" s="9">
        <v>2026</v>
      </c>
      <c r="D2396" s="9" t="s">
        <v>77</v>
      </c>
      <c r="E2396" s="90" t="s">
        <v>1147</v>
      </c>
      <c r="F2396" s="9" t="s">
        <v>1150</v>
      </c>
      <c r="G2396" s="10"/>
      <c r="H2396" s="9"/>
      <c r="I2396" s="11" t="s">
        <v>1300</v>
      </c>
      <c r="J2396" s="12">
        <v>46178</v>
      </c>
      <c r="K2396" s="12">
        <v>46205</v>
      </c>
      <c r="L2396" s="130">
        <f>1430000+900000+1400000+750000</f>
        <v>4480000</v>
      </c>
      <c r="M2396" s="125" t="s">
        <v>7321</v>
      </c>
      <c r="N2396" s="34">
        <f t="shared" ca="1" si="509"/>
        <v>62.463776388889528</v>
      </c>
      <c r="O2396" s="10"/>
      <c r="P2396" s="39"/>
      <c r="Q2396" s="39"/>
      <c r="R2396" s="39"/>
      <c r="S2396" s="37">
        <f t="shared" si="510"/>
        <v>0</v>
      </c>
      <c r="T2396" s="37">
        <f t="shared" si="511"/>
        <v>4480000</v>
      </c>
      <c r="U2396" s="10"/>
      <c r="V2396" s="10"/>
      <c r="W2396" s="10"/>
      <c r="X2396" s="10"/>
      <c r="Y2396" s="10"/>
      <c r="Z2396" s="10"/>
      <c r="AA2396" s="10"/>
      <c r="AB2396" s="10"/>
      <c r="AC2396" s="10"/>
      <c r="AD2396" s="10"/>
      <c r="AE2396" s="10"/>
    </row>
    <row r="2397" spans="1:31" ht="14.25" customHeight="1">
      <c r="A2397" s="277" t="s">
        <v>6421</v>
      </c>
      <c r="B2397" s="9" t="s">
        <v>21</v>
      </c>
      <c r="C2397" s="9"/>
      <c r="D2397" s="9"/>
      <c r="E2397" s="90"/>
      <c r="F2397" s="9"/>
      <c r="G2397" s="10"/>
      <c r="H2397" s="9"/>
      <c r="I2397" s="11"/>
      <c r="J2397" s="12"/>
      <c r="K2397" s="12"/>
      <c r="L2397" s="52"/>
      <c r="M2397" s="10"/>
      <c r="N2397" s="114">
        <f t="shared" ref="N2397" ca="1" si="512">$J$3-J2397</f>
        <v>46240.46377638889</v>
      </c>
      <c r="O2397" s="11"/>
      <c r="P2397" s="39"/>
      <c r="Q2397" s="39"/>
      <c r="R2397" s="39"/>
      <c r="S2397" s="37">
        <f t="shared" si="510"/>
        <v>0</v>
      </c>
      <c r="T2397" s="37">
        <f t="shared" si="511"/>
        <v>0</v>
      </c>
      <c r="U2397" s="10"/>
      <c r="V2397" s="10"/>
      <c r="W2397" s="10"/>
      <c r="X2397" s="10"/>
      <c r="Y2397" s="10"/>
      <c r="Z2397" s="10"/>
      <c r="AA2397" s="10"/>
      <c r="AB2397" s="10"/>
      <c r="AC2397" s="10"/>
      <c r="AD2397" s="10"/>
      <c r="AE2397" s="10"/>
    </row>
    <row r="2398" spans="1:31" ht="14.25" customHeight="1">
      <c r="A2398" s="277" t="s">
        <v>6422</v>
      </c>
      <c r="B2398" s="9" t="s">
        <v>21</v>
      </c>
      <c r="C2398" s="9"/>
      <c r="D2398" s="9"/>
      <c r="E2398" s="90"/>
      <c r="F2398" s="9"/>
      <c r="G2398" s="10"/>
      <c r="H2398" s="33"/>
      <c r="I2398" s="11"/>
      <c r="J2398" s="182"/>
      <c r="K2398" s="182"/>
      <c r="L2398" s="103"/>
      <c r="M2398" s="103"/>
      <c r="N2398" s="33"/>
      <c r="O2398" s="93"/>
      <c r="P2398" s="10"/>
      <c r="Q2398" s="10"/>
      <c r="R2398" s="10"/>
      <c r="S2398" s="10"/>
      <c r="T2398" s="10"/>
      <c r="U2398" s="10"/>
      <c r="V2398" s="10"/>
      <c r="W2398" s="10"/>
      <c r="X2398" s="10"/>
      <c r="Y2398" s="10"/>
      <c r="Z2398" s="10"/>
      <c r="AA2398" s="10"/>
      <c r="AB2398" s="10"/>
      <c r="AC2398" s="10"/>
      <c r="AD2398" s="10"/>
      <c r="AE2398" s="10"/>
    </row>
    <row r="2399" spans="1:31" ht="14.25" customHeight="1">
      <c r="A2399" s="277" t="s">
        <v>6423</v>
      </c>
      <c r="B2399" s="9" t="s">
        <v>21</v>
      </c>
      <c r="C2399" s="9"/>
      <c r="D2399" s="9"/>
      <c r="E2399" s="90"/>
      <c r="F2399" s="9"/>
      <c r="G2399" s="94" t="s">
        <v>24</v>
      </c>
      <c r="H2399" s="95" t="s">
        <v>1314</v>
      </c>
      <c r="I2399" s="104"/>
      <c r="J2399" s="105"/>
      <c r="K2399" s="105"/>
      <c r="L2399" s="106">
        <f>SUM(L2400)</f>
        <v>0</v>
      </c>
      <c r="M2399" s="107"/>
      <c r="N2399" s="108" t="s">
        <v>26</v>
      </c>
      <c r="O2399" s="108"/>
      <c r="P2399" s="108"/>
      <c r="Q2399" s="108"/>
      <c r="R2399" s="108"/>
      <c r="S2399" s="106">
        <f>SUM(S2400)</f>
        <v>0</v>
      </c>
      <c r="T2399" s="106">
        <f>SUM(T2400)</f>
        <v>0</v>
      </c>
      <c r="U2399" s="10"/>
      <c r="V2399" s="52">
        <f>L2399-S2399</f>
        <v>0</v>
      </c>
      <c r="W2399" s="52">
        <f>T2399-V2399</f>
        <v>0</v>
      </c>
      <c r="X2399" s="10"/>
      <c r="Y2399" s="10"/>
      <c r="Z2399" s="10"/>
      <c r="AA2399" s="10"/>
      <c r="AB2399" s="10"/>
      <c r="AC2399" s="10"/>
      <c r="AD2399" s="10"/>
      <c r="AE2399" s="10"/>
    </row>
    <row r="2400" spans="1:31" ht="14.25" customHeight="1">
      <c r="A2400" s="277" t="s">
        <v>6424</v>
      </c>
      <c r="B2400" s="9" t="s">
        <v>21</v>
      </c>
      <c r="C2400" s="9"/>
      <c r="D2400" s="9"/>
      <c r="E2400" s="90"/>
      <c r="F2400" s="9"/>
      <c r="G2400" s="10"/>
      <c r="H2400" s="9"/>
      <c r="I2400" s="11"/>
      <c r="J2400" s="12"/>
      <c r="K2400" s="12"/>
      <c r="L2400" s="27"/>
      <c r="M2400" s="10"/>
      <c r="N2400" s="9"/>
      <c r="O2400" s="10"/>
      <c r="P2400" s="39"/>
      <c r="Q2400" s="39"/>
      <c r="R2400" s="39"/>
      <c r="S2400" s="37"/>
      <c r="T2400" s="37"/>
      <c r="U2400" s="10"/>
      <c r="V2400" s="10"/>
      <c r="W2400" s="10"/>
      <c r="X2400" s="10"/>
      <c r="Y2400" s="10"/>
      <c r="Z2400" s="10"/>
      <c r="AA2400" s="10"/>
      <c r="AB2400" s="10"/>
      <c r="AC2400" s="10"/>
      <c r="AD2400" s="10"/>
      <c r="AE2400" s="10"/>
    </row>
    <row r="2401" spans="1:31" ht="14.25" customHeight="1">
      <c r="A2401" s="277" t="s">
        <v>6425</v>
      </c>
      <c r="B2401" s="9" t="s">
        <v>21</v>
      </c>
      <c r="C2401" s="9"/>
      <c r="D2401" s="9"/>
      <c r="E2401" s="90"/>
      <c r="F2401" s="9"/>
      <c r="G2401" s="91" t="s">
        <v>22</v>
      </c>
      <c r="H2401" s="92" t="s">
        <v>1315</v>
      </c>
      <c r="I2401" s="159"/>
      <c r="J2401" s="160"/>
      <c r="K2401" s="160"/>
      <c r="L2401" s="161">
        <f>L2414+L2420+L2425+L2465+L2475++L2520+L2481+L2495+L2500+L2517+L2616+L2630+L2646+L2652+L2550+L2643+L2626+L2576+L2542+L2403+L2667</f>
        <v>677273569</v>
      </c>
      <c r="M2401" s="162"/>
      <c r="N2401" s="163"/>
      <c r="O2401" s="159"/>
      <c r="P2401" s="164"/>
      <c r="Q2401" s="164"/>
      <c r="R2401" s="164"/>
      <c r="S2401" s="161">
        <f>S2414+S2420+S2425+S2465+S2475++S2520+S2481+S2495+S2500+S2517+S2616+S2630+S2646+S2652+S2550+S2643+S2626+S2576+S2542+S2403+S2667</f>
        <v>573917965</v>
      </c>
      <c r="T2401" s="161">
        <f>T2414+T2420+T2425+T2465+T2475++T2520+T2481+T2495+T2500+T2517+T2616+T2630+T2646+T2652+T2550+T2643+T2626+T2576+T2542+T2403+T2667</f>
        <v>103355604</v>
      </c>
      <c r="U2401" s="171"/>
      <c r="V2401" s="52">
        <f>L2401-S2401</f>
        <v>103355604</v>
      </c>
      <c r="W2401" s="52">
        <f>T2401-V2401</f>
        <v>0</v>
      </c>
      <c r="X2401" s="171"/>
      <c r="Y2401" s="171"/>
      <c r="Z2401" s="171"/>
      <c r="AA2401" s="171"/>
      <c r="AB2401" s="171"/>
      <c r="AC2401" s="171"/>
      <c r="AD2401" s="171"/>
      <c r="AE2401" s="171"/>
    </row>
    <row r="2402" spans="1:31" ht="14.25" customHeight="1">
      <c r="A2402" s="277" t="s">
        <v>6426</v>
      </c>
      <c r="B2402" s="9" t="s">
        <v>21</v>
      </c>
      <c r="C2402" s="9"/>
      <c r="D2402" s="9"/>
      <c r="E2402" s="90"/>
      <c r="F2402" s="9"/>
      <c r="G2402" s="9"/>
      <c r="H2402" s="93"/>
      <c r="I2402" s="11"/>
      <c r="J2402" s="12"/>
      <c r="K2402" s="12"/>
      <c r="L2402" s="118"/>
      <c r="M2402" s="103"/>
      <c r="N2402" s="33"/>
      <c r="O2402" s="33"/>
      <c r="P2402" s="33"/>
      <c r="Q2402" s="33"/>
      <c r="R2402" s="33"/>
      <c r="S2402" s="118"/>
      <c r="T2402" s="118"/>
      <c r="U2402" s="10"/>
      <c r="V2402" s="10"/>
      <c r="W2402" s="10"/>
      <c r="X2402" s="10"/>
      <c r="Y2402" s="10"/>
      <c r="Z2402" s="10"/>
      <c r="AA2402" s="10"/>
      <c r="AB2402" s="10"/>
      <c r="AC2402" s="10"/>
      <c r="AD2402" s="10"/>
      <c r="AE2402" s="10"/>
    </row>
    <row r="2403" spans="1:31" ht="15.75" customHeight="1">
      <c r="A2403" s="277" t="s">
        <v>6427</v>
      </c>
      <c r="B2403" s="9" t="s">
        <v>21</v>
      </c>
      <c r="C2403" s="9"/>
      <c r="D2403" s="9"/>
      <c r="E2403" s="90"/>
      <c r="F2403" s="9"/>
      <c r="G2403" s="94" t="s">
        <v>24</v>
      </c>
      <c r="H2403" s="95" t="s">
        <v>4294</v>
      </c>
      <c r="I2403" s="104"/>
      <c r="J2403" s="105"/>
      <c r="K2403" s="105"/>
      <c r="L2403" s="106">
        <f>SUM(L2404:L2412)</f>
        <v>161100000</v>
      </c>
      <c r="M2403" s="107"/>
      <c r="N2403" s="108" t="s">
        <v>26</v>
      </c>
      <c r="O2403" s="108"/>
      <c r="P2403" s="108"/>
      <c r="Q2403" s="108"/>
      <c r="R2403" s="108"/>
      <c r="S2403" s="106">
        <f>SUM(S2404:S2412)</f>
        <v>145457500</v>
      </c>
      <c r="T2403" s="106">
        <f>SUM(T2404:T2412)</f>
        <v>15642500</v>
      </c>
      <c r="U2403" s="10"/>
      <c r="V2403" s="52">
        <f>L2403-S2403</f>
        <v>15642500</v>
      </c>
      <c r="W2403" s="52">
        <f>T2403-V2403</f>
        <v>0</v>
      </c>
      <c r="X2403" s="10"/>
      <c r="Y2403" s="10"/>
      <c r="Z2403" s="10"/>
      <c r="AA2403" s="10"/>
      <c r="AB2403" s="10"/>
      <c r="AC2403" s="10"/>
      <c r="AD2403" s="10"/>
      <c r="AE2403" s="10"/>
    </row>
    <row r="2404" spans="1:31" ht="14.25" customHeight="1">
      <c r="A2404" s="277" t="s">
        <v>6428</v>
      </c>
      <c r="B2404" s="9" t="s">
        <v>21</v>
      </c>
      <c r="C2404" s="9">
        <v>2025</v>
      </c>
      <c r="D2404" s="9" t="s">
        <v>27</v>
      </c>
      <c r="E2404" s="90" t="s">
        <v>1315</v>
      </c>
      <c r="F2404" s="9" t="s">
        <v>1317</v>
      </c>
      <c r="G2404" s="10"/>
      <c r="H2404" s="9"/>
      <c r="I2404" s="109" t="s">
        <v>4294</v>
      </c>
      <c r="J2404" s="115">
        <v>46022</v>
      </c>
      <c r="K2404" s="115">
        <v>45707</v>
      </c>
      <c r="L2404" s="260">
        <v>25292500</v>
      </c>
      <c r="M2404" s="261" t="s">
        <v>4295</v>
      </c>
      <c r="N2404" s="34" t="s">
        <v>29</v>
      </c>
      <c r="O2404" s="27"/>
      <c r="P2404" s="181">
        <v>46074</v>
      </c>
      <c r="Q2404" s="181">
        <v>46074</v>
      </c>
      <c r="R2404" s="181">
        <v>46074</v>
      </c>
      <c r="S2404" s="37">
        <f t="shared" ref="S2404:S2412" si="513">IF(R2404="",0,L2404)</f>
        <v>25292500</v>
      </c>
      <c r="T2404" s="37">
        <f t="shared" ref="T2404:T2412" si="514">L2404-S2404</f>
        <v>0</v>
      </c>
      <c r="U2404" s="10"/>
      <c r="V2404" s="10"/>
      <c r="W2404" s="10"/>
      <c r="X2404" s="10"/>
      <c r="Y2404" s="10"/>
      <c r="Z2404" s="10"/>
      <c r="AA2404" s="10"/>
      <c r="AB2404" s="10"/>
      <c r="AC2404" s="10"/>
      <c r="AD2404" s="10"/>
      <c r="AE2404" s="10"/>
    </row>
    <row r="2405" spans="1:31" ht="14.25" customHeight="1">
      <c r="A2405" s="277" t="s">
        <v>6429</v>
      </c>
      <c r="B2405" s="9" t="s">
        <v>21</v>
      </c>
      <c r="C2405" s="9">
        <v>2026</v>
      </c>
      <c r="D2405" s="9" t="s">
        <v>27</v>
      </c>
      <c r="E2405" s="90" t="s">
        <v>1315</v>
      </c>
      <c r="F2405" s="9" t="s">
        <v>1317</v>
      </c>
      <c r="G2405" s="10"/>
      <c r="H2405" s="9"/>
      <c r="I2405" s="109" t="s">
        <v>4294</v>
      </c>
      <c r="J2405" s="115">
        <v>46069</v>
      </c>
      <c r="K2405" s="115">
        <v>45708</v>
      </c>
      <c r="L2405" s="260">
        <v>23825000</v>
      </c>
      <c r="M2405" s="261" t="s">
        <v>4357</v>
      </c>
      <c r="N2405" s="34" t="s">
        <v>29</v>
      </c>
      <c r="O2405" s="27"/>
      <c r="P2405" s="181">
        <v>46099</v>
      </c>
      <c r="Q2405" s="181">
        <v>46099</v>
      </c>
      <c r="R2405" s="181">
        <v>46099</v>
      </c>
      <c r="S2405" s="37">
        <f t="shared" si="513"/>
        <v>23825000</v>
      </c>
      <c r="T2405" s="37">
        <f t="shared" si="514"/>
        <v>0</v>
      </c>
      <c r="U2405" s="10"/>
      <c r="V2405" s="10"/>
      <c r="W2405" s="10"/>
      <c r="X2405" s="10"/>
      <c r="Y2405" s="10"/>
      <c r="Z2405" s="10"/>
      <c r="AA2405" s="10"/>
      <c r="AB2405" s="10"/>
      <c r="AC2405" s="10"/>
      <c r="AD2405" s="10"/>
      <c r="AE2405" s="10"/>
    </row>
    <row r="2406" spans="1:31" ht="14.25" customHeight="1">
      <c r="A2406" s="277" t="s">
        <v>6430</v>
      </c>
      <c r="B2406" s="9" t="s">
        <v>21</v>
      </c>
      <c r="C2406" s="9">
        <v>2026</v>
      </c>
      <c r="D2406" s="9" t="s">
        <v>27</v>
      </c>
      <c r="E2406" s="90" t="s">
        <v>1315</v>
      </c>
      <c r="F2406" s="9" t="s">
        <v>1317</v>
      </c>
      <c r="G2406" s="10"/>
      <c r="H2406" s="9"/>
      <c r="I2406" s="109" t="s">
        <v>4294</v>
      </c>
      <c r="J2406" s="115">
        <v>46084</v>
      </c>
      <c r="K2406" s="115">
        <v>46107</v>
      </c>
      <c r="L2406" s="116">
        <v>18932500</v>
      </c>
      <c r="M2406" s="117" t="s">
        <v>4473</v>
      </c>
      <c r="N2406" s="34" t="s">
        <v>29</v>
      </c>
      <c r="O2406" s="27"/>
      <c r="P2406" s="181">
        <v>46124</v>
      </c>
      <c r="Q2406" s="181">
        <v>46124</v>
      </c>
      <c r="R2406" s="181">
        <v>46124</v>
      </c>
      <c r="S2406" s="37">
        <f t="shared" si="513"/>
        <v>18932500</v>
      </c>
      <c r="T2406" s="37">
        <f t="shared" si="514"/>
        <v>0</v>
      </c>
      <c r="U2406" s="10"/>
      <c r="V2406" s="10"/>
      <c r="W2406" s="10"/>
      <c r="X2406" s="10"/>
      <c r="Y2406" s="10"/>
      <c r="Z2406" s="10"/>
      <c r="AA2406" s="10"/>
      <c r="AB2406" s="10"/>
      <c r="AC2406" s="10"/>
      <c r="AD2406" s="10"/>
      <c r="AE2406" s="10"/>
    </row>
    <row r="2407" spans="1:31" ht="14.25" customHeight="1">
      <c r="A2407" s="277" t="s">
        <v>6431</v>
      </c>
      <c r="B2407" s="9" t="s">
        <v>21</v>
      </c>
      <c r="C2407" s="9">
        <v>2026</v>
      </c>
      <c r="D2407" s="9" t="s">
        <v>27</v>
      </c>
      <c r="E2407" s="90" t="s">
        <v>1315</v>
      </c>
      <c r="F2407" s="9" t="s">
        <v>1317</v>
      </c>
      <c r="G2407" s="10"/>
      <c r="H2407" s="9"/>
      <c r="I2407" s="109" t="s">
        <v>4294</v>
      </c>
      <c r="J2407" s="115">
        <v>46111</v>
      </c>
      <c r="K2407" s="115">
        <v>46140</v>
      </c>
      <c r="L2407" s="116">
        <v>21880000</v>
      </c>
      <c r="M2407" s="116" t="s">
        <v>6983</v>
      </c>
      <c r="N2407" s="34" t="s">
        <v>29</v>
      </c>
      <c r="O2407" s="27"/>
      <c r="P2407" s="181">
        <v>46148</v>
      </c>
      <c r="Q2407" s="181">
        <v>46148</v>
      </c>
      <c r="R2407" s="181">
        <v>46148</v>
      </c>
      <c r="S2407" s="37">
        <f t="shared" si="513"/>
        <v>21880000</v>
      </c>
      <c r="T2407" s="37">
        <f t="shared" si="514"/>
        <v>0</v>
      </c>
      <c r="U2407" s="10"/>
      <c r="V2407" s="10"/>
      <c r="W2407" s="10"/>
      <c r="X2407" s="10"/>
      <c r="Y2407" s="10"/>
      <c r="Z2407" s="10"/>
      <c r="AA2407" s="10"/>
      <c r="AB2407" s="10"/>
      <c r="AC2407" s="10"/>
      <c r="AD2407" s="10"/>
      <c r="AE2407" s="10"/>
    </row>
    <row r="2408" spans="1:31" ht="14.25" customHeight="1">
      <c r="A2408" s="277" t="s">
        <v>6432</v>
      </c>
      <c r="B2408" s="9" t="s">
        <v>21</v>
      </c>
      <c r="C2408" s="9">
        <v>2026</v>
      </c>
      <c r="D2408" s="9" t="s">
        <v>27</v>
      </c>
      <c r="E2408" s="90" t="s">
        <v>1315</v>
      </c>
      <c r="F2408" s="9" t="s">
        <v>1317</v>
      </c>
      <c r="G2408" s="10"/>
      <c r="H2408" s="9"/>
      <c r="I2408" s="109" t="s">
        <v>4294</v>
      </c>
      <c r="J2408" s="115">
        <v>46142</v>
      </c>
      <c r="K2408" s="115">
        <v>46161</v>
      </c>
      <c r="L2408" s="116">
        <v>28197500</v>
      </c>
      <c r="M2408" s="116" t="s">
        <v>7096</v>
      </c>
      <c r="N2408" s="34" t="s">
        <v>29</v>
      </c>
      <c r="O2408" s="27"/>
      <c r="P2408" s="181">
        <v>46182</v>
      </c>
      <c r="Q2408" s="181">
        <v>46182</v>
      </c>
      <c r="R2408" s="181">
        <v>46182</v>
      </c>
      <c r="S2408" s="37">
        <f t="shared" si="513"/>
        <v>28197500</v>
      </c>
      <c r="T2408" s="37">
        <f t="shared" si="514"/>
        <v>0</v>
      </c>
      <c r="U2408" s="10"/>
      <c r="V2408" s="10"/>
      <c r="W2408" s="10"/>
      <c r="X2408" s="10"/>
      <c r="Y2408" s="10"/>
      <c r="Z2408" s="10"/>
      <c r="AA2408" s="10"/>
      <c r="AB2408" s="10"/>
      <c r="AC2408" s="10"/>
      <c r="AD2408" s="10"/>
      <c r="AE2408" s="10"/>
    </row>
    <row r="2409" spans="1:31" ht="14.25" customHeight="1">
      <c r="A2409" s="277" t="s">
        <v>6433</v>
      </c>
      <c r="B2409" s="9" t="s">
        <v>21</v>
      </c>
      <c r="C2409" s="9">
        <v>2026</v>
      </c>
      <c r="D2409" s="9" t="s">
        <v>27</v>
      </c>
      <c r="E2409" s="90" t="s">
        <v>1315</v>
      </c>
      <c r="F2409" s="9" t="s">
        <v>1317</v>
      </c>
      <c r="G2409" s="10"/>
      <c r="H2409" s="9"/>
      <c r="I2409" s="109" t="s">
        <v>4294</v>
      </c>
      <c r="J2409" s="115">
        <v>46172</v>
      </c>
      <c r="K2409" s="115">
        <v>46184</v>
      </c>
      <c r="L2409" s="116">
        <v>20330000</v>
      </c>
      <c r="M2409" s="116" t="s">
        <v>7132</v>
      </c>
      <c r="N2409" s="34" t="s">
        <v>29</v>
      </c>
      <c r="O2409" s="27"/>
      <c r="P2409" s="181">
        <v>46209</v>
      </c>
      <c r="Q2409" s="181">
        <v>46209</v>
      </c>
      <c r="R2409" s="181">
        <v>46209</v>
      </c>
      <c r="S2409" s="37">
        <f t="shared" si="513"/>
        <v>20330000</v>
      </c>
      <c r="T2409" s="37">
        <f t="shared" si="514"/>
        <v>0</v>
      </c>
      <c r="U2409" s="10"/>
      <c r="V2409" s="10"/>
      <c r="W2409" s="10"/>
      <c r="X2409" s="10"/>
      <c r="Y2409" s="10"/>
      <c r="Z2409" s="10"/>
      <c r="AA2409" s="10"/>
      <c r="AB2409" s="10"/>
      <c r="AC2409" s="10"/>
      <c r="AD2409" s="10"/>
      <c r="AE2409" s="10"/>
    </row>
    <row r="2410" spans="1:31" ht="14.25" customHeight="1">
      <c r="A2410" s="277" t="s">
        <v>6434</v>
      </c>
      <c r="B2410" s="9" t="s">
        <v>21</v>
      </c>
      <c r="C2410" s="9">
        <v>2026</v>
      </c>
      <c r="D2410" s="9" t="s">
        <v>27</v>
      </c>
      <c r="E2410" s="90" t="s">
        <v>1315</v>
      </c>
      <c r="F2410" s="9" t="s">
        <v>1317</v>
      </c>
      <c r="G2410" s="10"/>
      <c r="H2410" s="9"/>
      <c r="I2410" s="109" t="s">
        <v>4294</v>
      </c>
      <c r="J2410" s="115">
        <v>46209</v>
      </c>
      <c r="K2410" s="115">
        <v>46226</v>
      </c>
      <c r="L2410" s="116">
        <v>7000000</v>
      </c>
      <c r="M2410" s="116" t="s">
        <v>7931</v>
      </c>
      <c r="N2410" s="34" t="s">
        <v>29</v>
      </c>
      <c r="O2410" s="27"/>
      <c r="P2410" s="181">
        <v>46265</v>
      </c>
      <c r="Q2410" s="181">
        <v>46265</v>
      </c>
      <c r="R2410" s="181">
        <v>46265</v>
      </c>
      <c r="S2410" s="37">
        <f t="shared" si="513"/>
        <v>7000000</v>
      </c>
      <c r="T2410" s="37">
        <f t="shared" si="514"/>
        <v>0</v>
      </c>
      <c r="U2410" s="10"/>
      <c r="V2410" s="10"/>
      <c r="W2410" s="10"/>
      <c r="X2410" s="10"/>
      <c r="Y2410" s="10"/>
      <c r="Z2410" s="10"/>
      <c r="AA2410" s="10"/>
      <c r="AB2410" s="10"/>
      <c r="AC2410" s="10"/>
      <c r="AD2410" s="10"/>
      <c r="AE2410" s="10"/>
    </row>
    <row r="2411" spans="1:31" ht="14.25" customHeight="1">
      <c r="A2411" s="277" t="s">
        <v>6434</v>
      </c>
      <c r="B2411" s="9" t="s">
        <v>21</v>
      </c>
      <c r="C2411" s="9">
        <v>2026</v>
      </c>
      <c r="D2411" s="9" t="s">
        <v>77</v>
      </c>
      <c r="E2411" s="90" t="s">
        <v>1315</v>
      </c>
      <c r="F2411" s="9" t="s">
        <v>1317</v>
      </c>
      <c r="G2411" s="10"/>
      <c r="H2411" s="9"/>
      <c r="I2411" s="11" t="s">
        <v>4294</v>
      </c>
      <c r="J2411" s="12">
        <v>46209</v>
      </c>
      <c r="K2411" s="12">
        <v>46226</v>
      </c>
      <c r="L2411" s="27">
        <f>22642500-7000000</f>
        <v>15642500</v>
      </c>
      <c r="M2411" s="27" t="s">
        <v>7398</v>
      </c>
      <c r="N2411" s="34">
        <f t="shared" ref="N2411" ca="1" si="515">$J$3-J2411</f>
        <v>31.463776388889528</v>
      </c>
      <c r="O2411" s="27"/>
      <c r="P2411" s="49"/>
      <c r="Q2411" s="49"/>
      <c r="R2411" s="49"/>
      <c r="S2411" s="37">
        <f t="shared" ref="S2411" si="516">IF(R2411="",0,L2411)</f>
        <v>0</v>
      </c>
      <c r="T2411" s="37">
        <f t="shared" ref="T2411" si="517">L2411-S2411</f>
        <v>15642500</v>
      </c>
      <c r="U2411" s="10"/>
      <c r="V2411" s="10"/>
      <c r="W2411" s="10"/>
      <c r="X2411" s="10"/>
      <c r="Y2411" s="10"/>
      <c r="Z2411" s="10"/>
      <c r="AA2411" s="10"/>
      <c r="AB2411" s="10"/>
      <c r="AC2411" s="10"/>
      <c r="AD2411" s="10"/>
      <c r="AE2411" s="10"/>
    </row>
    <row r="2412" spans="1:31" ht="14.25" customHeight="1">
      <c r="A2412" s="277" t="s">
        <v>6435</v>
      </c>
      <c r="B2412" s="9" t="s">
        <v>21</v>
      </c>
      <c r="C2412" s="9"/>
      <c r="D2412" s="9"/>
      <c r="E2412" s="90"/>
      <c r="F2412" s="9"/>
      <c r="G2412" s="9"/>
      <c r="H2412" s="93"/>
      <c r="I2412" s="11"/>
      <c r="J2412" s="12"/>
      <c r="K2412" s="12"/>
      <c r="L2412" s="118"/>
      <c r="M2412" s="103"/>
      <c r="N2412" s="114">
        <f ca="1">$J$3-J2412</f>
        <v>46240.46377638889</v>
      </c>
      <c r="O2412" s="33"/>
      <c r="P2412" s="33"/>
      <c r="Q2412" s="33"/>
      <c r="R2412" s="33"/>
      <c r="S2412" s="37">
        <f t="shared" si="513"/>
        <v>0</v>
      </c>
      <c r="T2412" s="37">
        <f t="shared" si="514"/>
        <v>0</v>
      </c>
      <c r="U2412" s="10"/>
      <c r="V2412" s="10"/>
      <c r="W2412" s="10"/>
      <c r="X2412" s="10"/>
      <c r="Y2412" s="10"/>
      <c r="Z2412" s="10"/>
      <c r="AA2412" s="10"/>
      <c r="AB2412" s="10"/>
      <c r="AC2412" s="10"/>
      <c r="AD2412" s="10"/>
      <c r="AE2412" s="10"/>
    </row>
    <row r="2413" spans="1:31" ht="14.25" customHeight="1">
      <c r="A2413" s="277" t="s">
        <v>6436</v>
      </c>
      <c r="B2413" s="9" t="s">
        <v>21</v>
      </c>
      <c r="C2413" s="9"/>
      <c r="D2413" s="9"/>
      <c r="E2413" s="90"/>
      <c r="F2413" s="9"/>
      <c r="G2413" s="9"/>
      <c r="H2413" s="93"/>
      <c r="I2413" s="11"/>
      <c r="J2413" s="12"/>
      <c r="K2413" s="12"/>
      <c r="L2413" s="118"/>
      <c r="M2413" s="103"/>
      <c r="N2413" s="34"/>
      <c r="O2413" s="33"/>
      <c r="P2413" s="33"/>
      <c r="Q2413" s="33"/>
      <c r="R2413" s="33"/>
      <c r="S2413" s="37"/>
      <c r="T2413" s="37"/>
      <c r="U2413" s="10"/>
      <c r="V2413" s="10"/>
      <c r="W2413" s="10"/>
      <c r="X2413" s="10"/>
      <c r="Y2413" s="10"/>
      <c r="Z2413" s="10"/>
      <c r="AA2413" s="10"/>
      <c r="AB2413" s="10"/>
      <c r="AC2413" s="10"/>
      <c r="AD2413" s="10"/>
      <c r="AE2413" s="10"/>
    </row>
    <row r="2414" spans="1:31" ht="15.75" customHeight="1">
      <c r="A2414" s="277" t="s">
        <v>6437</v>
      </c>
      <c r="B2414" s="9" t="s">
        <v>21</v>
      </c>
      <c r="C2414" s="9"/>
      <c r="D2414" s="9"/>
      <c r="E2414" s="90"/>
      <c r="F2414" s="9"/>
      <c r="G2414" s="94" t="s">
        <v>24</v>
      </c>
      <c r="H2414" s="95" t="s">
        <v>1316</v>
      </c>
      <c r="I2414" s="104"/>
      <c r="J2414" s="105"/>
      <c r="K2414" s="105"/>
      <c r="L2414" s="106">
        <f>SUM(L2415:L2418)</f>
        <v>1353000</v>
      </c>
      <c r="M2414" s="107"/>
      <c r="N2414" s="108" t="s">
        <v>26</v>
      </c>
      <c r="O2414" s="108"/>
      <c r="P2414" s="108"/>
      <c r="Q2414" s="108"/>
      <c r="R2414" s="108"/>
      <c r="S2414" s="106">
        <f>SUM(S2415:S2418)</f>
        <v>1353000</v>
      </c>
      <c r="T2414" s="106">
        <f>SUM(T2415:T2418)</f>
        <v>0</v>
      </c>
      <c r="U2414" s="10"/>
      <c r="V2414" s="52">
        <f>L2414-S2414</f>
        <v>0</v>
      </c>
      <c r="W2414" s="52">
        <f>T2414-V2414</f>
        <v>0</v>
      </c>
      <c r="X2414" s="10"/>
      <c r="Y2414" s="10"/>
      <c r="Z2414" s="10"/>
      <c r="AA2414" s="10"/>
      <c r="AB2414" s="10"/>
      <c r="AC2414" s="10"/>
      <c r="AD2414" s="10"/>
      <c r="AE2414" s="10"/>
    </row>
    <row r="2415" spans="1:31" ht="14.25" customHeight="1">
      <c r="A2415" s="277" t="s">
        <v>6438</v>
      </c>
      <c r="B2415" s="9" t="s">
        <v>21</v>
      </c>
      <c r="C2415" s="9">
        <v>2025</v>
      </c>
      <c r="D2415" s="9" t="s">
        <v>27</v>
      </c>
      <c r="E2415" s="90" t="s">
        <v>1315</v>
      </c>
      <c r="F2415" s="9" t="s">
        <v>1317</v>
      </c>
      <c r="G2415" s="10"/>
      <c r="H2415" s="96"/>
      <c r="I2415" s="109" t="s">
        <v>1316</v>
      </c>
      <c r="J2415" s="115">
        <v>45665</v>
      </c>
      <c r="K2415" s="115">
        <v>45672</v>
      </c>
      <c r="L2415" s="116">
        <v>525000</v>
      </c>
      <c r="M2415" s="109" t="s">
        <v>1318</v>
      </c>
      <c r="N2415" s="34" t="s">
        <v>29</v>
      </c>
      <c r="O2415" s="27">
        <f>SUM(L2415:L2417)</f>
        <v>1353000</v>
      </c>
      <c r="P2415" s="181">
        <v>45787</v>
      </c>
      <c r="Q2415" s="181">
        <v>45787</v>
      </c>
      <c r="R2415" s="181">
        <v>45787</v>
      </c>
      <c r="S2415" s="37">
        <f>IF(R2415="",0,L2415)</f>
        <v>525000</v>
      </c>
      <c r="T2415" s="37">
        <f>L2415-S2415</f>
        <v>0</v>
      </c>
      <c r="U2415" s="10"/>
      <c r="V2415" s="10"/>
      <c r="W2415" s="10"/>
      <c r="X2415" s="10"/>
      <c r="Y2415" s="10"/>
      <c r="Z2415" s="10"/>
      <c r="AA2415" s="10"/>
      <c r="AB2415" s="10"/>
      <c r="AC2415" s="10"/>
      <c r="AD2415" s="10"/>
      <c r="AE2415" s="10"/>
    </row>
    <row r="2416" spans="1:31" ht="14.25" customHeight="1">
      <c r="A2416" s="277" t="s">
        <v>6439</v>
      </c>
      <c r="B2416" s="9" t="s">
        <v>21</v>
      </c>
      <c r="C2416" s="9">
        <v>2025</v>
      </c>
      <c r="D2416" s="9" t="s">
        <v>27</v>
      </c>
      <c r="E2416" s="90" t="s">
        <v>1315</v>
      </c>
      <c r="F2416" s="9" t="s">
        <v>1317</v>
      </c>
      <c r="G2416" s="10"/>
      <c r="H2416" s="96"/>
      <c r="I2416" s="109" t="s">
        <v>1316</v>
      </c>
      <c r="J2416" s="115">
        <v>45695</v>
      </c>
      <c r="K2416" s="115">
        <v>45698</v>
      </c>
      <c r="L2416" s="116">
        <v>202000</v>
      </c>
      <c r="M2416" s="109" t="s">
        <v>1319</v>
      </c>
      <c r="N2416" s="34" t="s">
        <v>29</v>
      </c>
      <c r="O2416" s="27"/>
      <c r="P2416" s="181">
        <v>45787</v>
      </c>
      <c r="Q2416" s="181">
        <v>45787</v>
      </c>
      <c r="R2416" s="181">
        <v>45787</v>
      </c>
      <c r="S2416" s="37">
        <f>IF(R2416="",0,L2416)</f>
        <v>202000</v>
      </c>
      <c r="T2416" s="37">
        <f>L2416-S2416</f>
        <v>0</v>
      </c>
      <c r="U2416" s="10"/>
      <c r="V2416" s="10"/>
      <c r="W2416" s="10"/>
      <c r="X2416" s="10"/>
      <c r="Y2416" s="10"/>
      <c r="Z2416" s="10"/>
      <c r="AA2416" s="10"/>
      <c r="AB2416" s="10"/>
      <c r="AC2416" s="10"/>
      <c r="AD2416" s="10"/>
      <c r="AE2416" s="10"/>
    </row>
    <row r="2417" spans="1:31" ht="14.25" customHeight="1">
      <c r="A2417" s="277" t="s">
        <v>6440</v>
      </c>
      <c r="B2417" s="9" t="s">
        <v>21</v>
      </c>
      <c r="C2417" s="9">
        <v>2025</v>
      </c>
      <c r="D2417" s="9" t="s">
        <v>27</v>
      </c>
      <c r="E2417" s="90" t="s">
        <v>1315</v>
      </c>
      <c r="F2417" s="9" t="s">
        <v>1317</v>
      </c>
      <c r="G2417" s="10"/>
      <c r="H2417" s="96"/>
      <c r="I2417" s="109" t="s">
        <v>1316</v>
      </c>
      <c r="J2417" s="115">
        <v>45702</v>
      </c>
      <c r="K2417" s="115">
        <v>45707</v>
      </c>
      <c r="L2417" s="116">
        <v>626000</v>
      </c>
      <c r="M2417" s="109" t="s">
        <v>1320</v>
      </c>
      <c r="N2417" s="34" t="s">
        <v>29</v>
      </c>
      <c r="O2417" s="27"/>
      <c r="P2417" s="181">
        <v>45787</v>
      </c>
      <c r="Q2417" s="181">
        <v>45787</v>
      </c>
      <c r="R2417" s="181">
        <v>45787</v>
      </c>
      <c r="S2417" s="37">
        <f>IF(R2417="",0,L2417)</f>
        <v>626000</v>
      </c>
      <c r="T2417" s="37">
        <f>L2417-S2417</f>
        <v>0</v>
      </c>
      <c r="U2417" s="10"/>
      <c r="V2417" s="10"/>
      <c r="W2417" s="10"/>
      <c r="X2417" s="10"/>
      <c r="Y2417" s="10"/>
      <c r="Z2417" s="10"/>
      <c r="AA2417" s="10"/>
      <c r="AB2417" s="10"/>
      <c r="AC2417" s="10"/>
      <c r="AD2417" s="10"/>
      <c r="AE2417" s="10"/>
    </row>
    <row r="2418" spans="1:31" ht="14.25" customHeight="1">
      <c r="A2418" s="277" t="s">
        <v>6441</v>
      </c>
      <c r="B2418" s="9" t="s">
        <v>21</v>
      </c>
      <c r="C2418" s="9"/>
      <c r="D2418" s="9"/>
      <c r="E2418" s="90"/>
      <c r="F2418" s="9"/>
      <c r="G2418" s="10"/>
      <c r="H2418" s="33"/>
      <c r="I2418" s="11"/>
      <c r="J2418" s="182"/>
      <c r="K2418" s="182"/>
      <c r="L2418" s="103"/>
      <c r="M2418" s="103"/>
      <c r="N2418" s="114">
        <f ca="1">$J$3-J2418</f>
        <v>46240.46377638889</v>
      </c>
      <c r="O2418" s="93"/>
      <c r="P2418" s="10"/>
      <c r="Q2418" s="10"/>
      <c r="R2418" s="10"/>
      <c r="S2418" s="37">
        <f>IF(R2418="",0,L2418)</f>
        <v>0</v>
      </c>
      <c r="T2418" s="37">
        <f>L2418-S2418</f>
        <v>0</v>
      </c>
      <c r="U2418" s="10"/>
      <c r="V2418" s="10"/>
      <c r="W2418" s="10"/>
      <c r="X2418" s="10"/>
      <c r="Y2418" s="10"/>
      <c r="Z2418" s="10"/>
      <c r="AA2418" s="10"/>
      <c r="AB2418" s="10"/>
      <c r="AC2418" s="10"/>
      <c r="AD2418" s="10"/>
      <c r="AE2418" s="10"/>
    </row>
    <row r="2419" spans="1:31" ht="14.25" customHeight="1">
      <c r="A2419" s="277" t="s">
        <v>6442</v>
      </c>
      <c r="B2419" s="9" t="s">
        <v>21</v>
      </c>
      <c r="C2419" s="9"/>
      <c r="D2419" s="9"/>
      <c r="E2419" s="90"/>
      <c r="F2419" s="9"/>
      <c r="G2419" s="10"/>
      <c r="H2419" s="9"/>
      <c r="I2419" s="11"/>
      <c r="J2419" s="12"/>
      <c r="K2419" s="12"/>
      <c r="L2419" s="27"/>
      <c r="M2419" s="10"/>
      <c r="N2419" s="9"/>
      <c r="O2419" s="10"/>
      <c r="P2419" s="39"/>
      <c r="Q2419" s="39"/>
      <c r="R2419" s="39"/>
      <c r="S2419" s="37"/>
      <c r="T2419" s="37"/>
      <c r="U2419" s="10"/>
      <c r="V2419" s="10"/>
      <c r="W2419" s="10"/>
      <c r="X2419" s="10"/>
      <c r="Y2419" s="10"/>
      <c r="Z2419" s="10"/>
      <c r="AA2419" s="10"/>
      <c r="AB2419" s="10"/>
      <c r="AC2419" s="10"/>
      <c r="AD2419" s="10"/>
      <c r="AE2419" s="10"/>
    </row>
    <row r="2420" spans="1:31" ht="14.25" customHeight="1">
      <c r="A2420" s="277" t="s">
        <v>6443</v>
      </c>
      <c r="B2420" s="9" t="s">
        <v>21</v>
      </c>
      <c r="C2420" s="9"/>
      <c r="D2420" s="9"/>
      <c r="E2420" s="90"/>
      <c r="F2420" s="9"/>
      <c r="G2420" s="94" t="s">
        <v>24</v>
      </c>
      <c r="H2420" s="95" t="s">
        <v>1321</v>
      </c>
      <c r="I2420" s="104"/>
      <c r="J2420" s="105"/>
      <c r="K2420" s="105"/>
      <c r="L2420" s="106">
        <f>SUM(L2421:L2424)</f>
        <v>10600000</v>
      </c>
      <c r="M2420" s="107"/>
      <c r="N2420" s="108" t="s">
        <v>26</v>
      </c>
      <c r="O2420" s="108"/>
      <c r="P2420" s="108"/>
      <c r="Q2420" s="108"/>
      <c r="R2420" s="108"/>
      <c r="S2420" s="106">
        <f>SUM(S2421:S2424)</f>
        <v>10600000</v>
      </c>
      <c r="T2420" s="106">
        <f>SUM(T2421:T2424)</f>
        <v>0</v>
      </c>
      <c r="U2420" s="10"/>
      <c r="V2420" s="52">
        <f>L2420-S2420</f>
        <v>0</v>
      </c>
      <c r="W2420" s="52">
        <f>T2420-V2420</f>
        <v>0</v>
      </c>
      <c r="X2420" s="10"/>
      <c r="Y2420" s="10"/>
      <c r="Z2420" s="10"/>
      <c r="AA2420" s="10"/>
      <c r="AB2420" s="10"/>
      <c r="AC2420" s="10"/>
      <c r="AD2420" s="10"/>
      <c r="AE2420" s="10"/>
    </row>
    <row r="2421" spans="1:31" ht="14.25" customHeight="1">
      <c r="A2421" s="277" t="s">
        <v>6444</v>
      </c>
      <c r="B2421" s="9" t="s">
        <v>21</v>
      </c>
      <c r="C2421" s="9">
        <v>2024</v>
      </c>
      <c r="D2421" s="9" t="s">
        <v>27</v>
      </c>
      <c r="E2421" s="90" t="s">
        <v>1315</v>
      </c>
      <c r="F2421" s="9" t="s">
        <v>1317</v>
      </c>
      <c r="G2421" s="10"/>
      <c r="H2421" s="96"/>
      <c r="I2421" s="121" t="s">
        <v>1322</v>
      </c>
      <c r="J2421" s="115">
        <v>45628</v>
      </c>
      <c r="K2421" s="115">
        <v>45628</v>
      </c>
      <c r="L2421" s="183">
        <v>5300000</v>
      </c>
      <c r="M2421" s="147" t="s">
        <v>1323</v>
      </c>
      <c r="N2421" s="34" t="s">
        <v>29</v>
      </c>
      <c r="O2421" s="27"/>
      <c r="P2421" s="181">
        <v>45697</v>
      </c>
      <c r="Q2421" s="181">
        <v>45697</v>
      </c>
      <c r="R2421" s="181">
        <v>45697</v>
      </c>
      <c r="S2421" s="37">
        <f>IF(R2421="",0,L2421)</f>
        <v>5300000</v>
      </c>
      <c r="T2421" s="37">
        <f>L2421-S2421</f>
        <v>0</v>
      </c>
      <c r="U2421" s="10"/>
      <c r="V2421" s="10"/>
      <c r="W2421" s="10"/>
      <c r="X2421" s="10"/>
      <c r="Y2421" s="10"/>
      <c r="Z2421" s="10"/>
      <c r="AA2421" s="10"/>
      <c r="AB2421" s="10"/>
      <c r="AC2421" s="10"/>
      <c r="AD2421" s="10"/>
      <c r="AE2421" s="10"/>
    </row>
    <row r="2422" spans="1:31" ht="14.25" customHeight="1">
      <c r="A2422" s="277" t="s">
        <v>6445</v>
      </c>
      <c r="B2422" s="9" t="s">
        <v>21</v>
      </c>
      <c r="C2422" s="9">
        <v>2025</v>
      </c>
      <c r="D2422" s="9" t="s">
        <v>27</v>
      </c>
      <c r="E2422" s="90" t="s">
        <v>1315</v>
      </c>
      <c r="F2422" s="9" t="s">
        <v>1317</v>
      </c>
      <c r="G2422" s="10"/>
      <c r="H2422" s="96"/>
      <c r="I2422" s="121" t="s">
        <v>1322</v>
      </c>
      <c r="J2422" s="115">
        <v>45703</v>
      </c>
      <c r="K2422" s="115">
        <v>45707</v>
      </c>
      <c r="L2422" s="183">
        <v>5300000</v>
      </c>
      <c r="M2422" s="147" t="s">
        <v>1324</v>
      </c>
      <c r="N2422" s="34" t="s">
        <v>29</v>
      </c>
      <c r="O2422" s="27"/>
      <c r="P2422" s="181">
        <v>45792</v>
      </c>
      <c r="Q2422" s="181">
        <v>45792</v>
      </c>
      <c r="R2422" s="181">
        <v>45792</v>
      </c>
      <c r="S2422" s="37">
        <f>IF(R2422="",0,L2422)</f>
        <v>5300000</v>
      </c>
      <c r="T2422" s="37">
        <f>L2422-S2422</f>
        <v>0</v>
      </c>
      <c r="U2422" s="10"/>
      <c r="V2422" s="10"/>
      <c r="W2422" s="10"/>
      <c r="X2422" s="10"/>
      <c r="Y2422" s="10"/>
      <c r="Z2422" s="10"/>
      <c r="AA2422" s="10"/>
      <c r="AB2422" s="10"/>
      <c r="AC2422" s="10"/>
      <c r="AD2422" s="10"/>
      <c r="AE2422" s="10"/>
    </row>
    <row r="2423" spans="1:31" ht="14.25" customHeight="1">
      <c r="A2423" s="277" t="s">
        <v>6446</v>
      </c>
      <c r="B2423" s="9" t="s">
        <v>21</v>
      </c>
      <c r="C2423" s="9"/>
      <c r="D2423" s="9"/>
      <c r="E2423" s="90"/>
      <c r="F2423" s="9"/>
      <c r="G2423" s="10"/>
      <c r="H2423" s="9"/>
      <c r="I2423" s="11"/>
      <c r="J2423" s="12"/>
      <c r="K2423" s="12"/>
      <c r="L2423" s="52"/>
      <c r="M2423" s="10"/>
      <c r="N2423" s="114">
        <f ca="1">$J$3-J2423</f>
        <v>46240.46377638889</v>
      </c>
      <c r="O2423" s="10"/>
      <c r="P2423" s="39"/>
      <c r="Q2423" s="39"/>
      <c r="R2423" s="39"/>
      <c r="S2423" s="37">
        <f>IF(R2423="",0,L2423)</f>
        <v>0</v>
      </c>
      <c r="T2423" s="37">
        <f>L2423-S2423</f>
        <v>0</v>
      </c>
      <c r="U2423" s="10"/>
      <c r="V2423" s="10"/>
      <c r="W2423" s="10"/>
      <c r="X2423" s="10"/>
      <c r="Y2423" s="10"/>
      <c r="Z2423" s="10"/>
      <c r="AA2423" s="10"/>
      <c r="AB2423" s="10"/>
      <c r="AC2423" s="10"/>
      <c r="AD2423" s="10"/>
      <c r="AE2423" s="10"/>
    </row>
    <row r="2424" spans="1:31" ht="14.25" customHeight="1">
      <c r="A2424" s="277" t="s">
        <v>6447</v>
      </c>
      <c r="B2424" s="9" t="s">
        <v>21</v>
      </c>
      <c r="C2424" s="9"/>
      <c r="D2424" s="9"/>
      <c r="E2424" s="90"/>
      <c r="F2424" s="9"/>
      <c r="G2424" s="9"/>
      <c r="H2424" s="93"/>
      <c r="I2424" s="11"/>
      <c r="J2424" s="12"/>
      <c r="K2424" s="12"/>
      <c r="L2424" s="118"/>
      <c r="M2424" s="103"/>
      <c r="N2424" s="33"/>
      <c r="O2424" s="33"/>
      <c r="P2424" s="33"/>
      <c r="Q2424" s="33"/>
      <c r="R2424" s="33"/>
      <c r="S2424" s="118"/>
      <c r="T2424" s="118"/>
      <c r="U2424" s="10"/>
      <c r="V2424" s="10"/>
      <c r="W2424" s="10"/>
      <c r="X2424" s="10"/>
      <c r="Y2424" s="10"/>
      <c r="Z2424" s="10"/>
      <c r="AA2424" s="10"/>
      <c r="AB2424" s="10"/>
      <c r="AC2424" s="10"/>
      <c r="AD2424" s="10"/>
      <c r="AE2424" s="10"/>
    </row>
    <row r="2425" spans="1:31">
      <c r="A2425" s="277" t="s">
        <v>6448</v>
      </c>
      <c r="B2425" s="9" t="s">
        <v>21</v>
      </c>
      <c r="C2425" s="9"/>
      <c r="D2425" s="9"/>
      <c r="E2425" s="90"/>
      <c r="F2425" s="9"/>
      <c r="G2425" s="94" t="s">
        <v>24</v>
      </c>
      <c r="H2425" s="95" t="s">
        <v>1325</v>
      </c>
      <c r="I2425" s="104"/>
      <c r="J2425" s="105"/>
      <c r="K2425" s="105"/>
      <c r="L2425" s="106">
        <f>SUM(L2426:L2464)</f>
        <v>33395000</v>
      </c>
      <c r="M2425" s="107"/>
      <c r="N2425" s="108" t="s">
        <v>26</v>
      </c>
      <c r="O2425" s="108"/>
      <c r="P2425" s="108"/>
      <c r="Q2425" s="108"/>
      <c r="R2425" s="108"/>
      <c r="S2425" s="106">
        <f>SUM(S2426:S2464)</f>
        <v>21071000</v>
      </c>
      <c r="T2425" s="106">
        <f>SUM(T2426:T2464)</f>
        <v>12324000</v>
      </c>
      <c r="U2425" s="10"/>
      <c r="V2425" s="52">
        <f>L2425-S2425</f>
        <v>12324000</v>
      </c>
      <c r="W2425" s="52">
        <f>T2425-V2425</f>
        <v>0</v>
      </c>
      <c r="X2425" s="10"/>
      <c r="Y2425" s="10"/>
      <c r="Z2425" s="10"/>
      <c r="AA2425" s="10"/>
      <c r="AB2425" s="10"/>
      <c r="AC2425" s="10"/>
      <c r="AD2425" s="10"/>
      <c r="AE2425" s="10"/>
    </row>
    <row r="2426" spans="1:31" hidden="1">
      <c r="A2426" s="277" t="s">
        <v>6449</v>
      </c>
      <c r="B2426" s="9" t="s">
        <v>21</v>
      </c>
      <c r="C2426" s="9">
        <v>2024</v>
      </c>
      <c r="D2426" s="9" t="s">
        <v>27</v>
      </c>
      <c r="E2426" s="90" t="s">
        <v>1315</v>
      </c>
      <c r="F2426" s="9" t="s">
        <v>1317</v>
      </c>
      <c r="G2426" s="10"/>
      <c r="H2426" s="96" t="s">
        <v>1327</v>
      </c>
      <c r="I2426" s="109" t="s">
        <v>1326</v>
      </c>
      <c r="J2426" s="115">
        <v>45595</v>
      </c>
      <c r="K2426" s="119">
        <v>45687</v>
      </c>
      <c r="L2426" s="116">
        <v>385000</v>
      </c>
      <c r="M2426" s="116" t="s">
        <v>1328</v>
      </c>
      <c r="N2426" s="34" t="s">
        <v>29</v>
      </c>
      <c r="O2426" s="31">
        <f>SUM(L2426:L2440)</f>
        <v>10119500</v>
      </c>
      <c r="P2426" s="113">
        <v>46023</v>
      </c>
      <c r="Q2426" s="113">
        <v>46023</v>
      </c>
      <c r="R2426" s="113">
        <v>46023</v>
      </c>
      <c r="S2426" s="37">
        <f t="shared" ref="S2426:S2438" si="518">IF(R2426="",0,L2426)</f>
        <v>385000</v>
      </c>
      <c r="T2426" s="37">
        <f t="shared" ref="T2426:T2438" si="519">L2426-S2426</f>
        <v>0</v>
      </c>
      <c r="U2426" s="10"/>
      <c r="V2426" s="10"/>
      <c r="W2426" s="10"/>
      <c r="X2426" s="10"/>
      <c r="Y2426" s="10"/>
      <c r="Z2426" s="10"/>
      <c r="AA2426" s="10"/>
      <c r="AB2426" s="10"/>
      <c r="AC2426" s="10"/>
      <c r="AD2426" s="10"/>
      <c r="AE2426" s="10"/>
    </row>
    <row r="2427" spans="1:31" hidden="1">
      <c r="A2427" s="277" t="s">
        <v>6450</v>
      </c>
      <c r="B2427" s="9" t="s">
        <v>21</v>
      </c>
      <c r="C2427" s="9">
        <v>2024</v>
      </c>
      <c r="D2427" s="9" t="s">
        <v>27</v>
      </c>
      <c r="E2427" s="90" t="s">
        <v>1315</v>
      </c>
      <c r="F2427" s="9" t="s">
        <v>1317</v>
      </c>
      <c r="G2427" s="10"/>
      <c r="H2427" s="96" t="s">
        <v>1329</v>
      </c>
      <c r="I2427" s="109" t="s">
        <v>1326</v>
      </c>
      <c r="J2427" s="115">
        <v>45601</v>
      </c>
      <c r="K2427" s="119">
        <v>45687</v>
      </c>
      <c r="L2427" s="116">
        <v>1200000</v>
      </c>
      <c r="M2427" s="116" t="s">
        <v>1330</v>
      </c>
      <c r="N2427" s="34" t="s">
        <v>29</v>
      </c>
      <c r="O2427" s="11"/>
      <c r="P2427" s="113">
        <v>46023</v>
      </c>
      <c r="Q2427" s="113">
        <v>46023</v>
      </c>
      <c r="R2427" s="113">
        <v>46023</v>
      </c>
      <c r="S2427" s="37">
        <f t="shared" si="518"/>
        <v>1200000</v>
      </c>
      <c r="T2427" s="37">
        <f t="shared" si="519"/>
        <v>0</v>
      </c>
      <c r="U2427" s="10"/>
      <c r="V2427" s="10"/>
      <c r="W2427" s="10"/>
      <c r="X2427" s="10"/>
      <c r="Y2427" s="10"/>
      <c r="Z2427" s="10"/>
      <c r="AA2427" s="10"/>
      <c r="AB2427" s="10"/>
      <c r="AC2427" s="10"/>
      <c r="AD2427" s="10"/>
      <c r="AE2427" s="10"/>
    </row>
    <row r="2428" spans="1:31" hidden="1">
      <c r="A2428" s="277" t="s">
        <v>6451</v>
      </c>
      <c r="B2428" s="9" t="s">
        <v>21</v>
      </c>
      <c r="C2428" s="9">
        <v>2024</v>
      </c>
      <c r="D2428" s="9" t="s">
        <v>27</v>
      </c>
      <c r="E2428" s="90" t="s">
        <v>1315</v>
      </c>
      <c r="F2428" s="9" t="s">
        <v>1317</v>
      </c>
      <c r="G2428" s="10"/>
      <c r="H2428" s="96" t="s">
        <v>1331</v>
      </c>
      <c r="I2428" s="109" t="s">
        <v>1326</v>
      </c>
      <c r="J2428" s="115">
        <v>45602</v>
      </c>
      <c r="K2428" s="119">
        <v>45687</v>
      </c>
      <c r="L2428" s="116">
        <v>560000</v>
      </c>
      <c r="M2428" s="116" t="s">
        <v>1332</v>
      </c>
      <c r="N2428" s="34" t="s">
        <v>29</v>
      </c>
      <c r="O2428" s="11"/>
      <c r="P2428" s="113">
        <v>46023</v>
      </c>
      <c r="Q2428" s="113">
        <v>46023</v>
      </c>
      <c r="R2428" s="113">
        <v>46023</v>
      </c>
      <c r="S2428" s="37">
        <f t="shared" si="518"/>
        <v>560000</v>
      </c>
      <c r="T2428" s="37">
        <f t="shared" si="519"/>
        <v>0</v>
      </c>
      <c r="U2428" s="10"/>
      <c r="V2428" s="10"/>
      <c r="W2428" s="10"/>
      <c r="X2428" s="10"/>
      <c r="Y2428" s="10"/>
      <c r="Z2428" s="10"/>
      <c r="AA2428" s="10"/>
      <c r="AB2428" s="10"/>
      <c r="AC2428" s="10"/>
      <c r="AD2428" s="10"/>
      <c r="AE2428" s="10"/>
    </row>
    <row r="2429" spans="1:31" hidden="1">
      <c r="A2429" s="277" t="s">
        <v>7912</v>
      </c>
      <c r="B2429" s="9" t="s">
        <v>21</v>
      </c>
      <c r="C2429" s="9">
        <v>2024</v>
      </c>
      <c r="D2429" s="9" t="s">
        <v>27</v>
      </c>
      <c r="E2429" s="90" t="s">
        <v>1315</v>
      </c>
      <c r="F2429" s="9" t="s">
        <v>1317</v>
      </c>
      <c r="G2429" s="10"/>
      <c r="H2429" s="96" t="s">
        <v>1333</v>
      </c>
      <c r="I2429" s="109" t="s">
        <v>1326</v>
      </c>
      <c r="J2429" s="115">
        <v>45609</v>
      </c>
      <c r="K2429" s="119">
        <v>45687</v>
      </c>
      <c r="L2429" s="116">
        <v>555000</v>
      </c>
      <c r="M2429" s="116" t="s">
        <v>1334</v>
      </c>
      <c r="N2429" s="34" t="s">
        <v>29</v>
      </c>
      <c r="O2429" s="11"/>
      <c r="P2429" s="113">
        <v>46023</v>
      </c>
      <c r="Q2429" s="113">
        <v>46023</v>
      </c>
      <c r="R2429" s="113">
        <v>46023</v>
      </c>
      <c r="S2429" s="37">
        <f t="shared" si="518"/>
        <v>555000</v>
      </c>
      <c r="T2429" s="37">
        <f t="shared" si="519"/>
        <v>0</v>
      </c>
      <c r="U2429" s="10"/>
      <c r="V2429" s="10"/>
      <c r="W2429" s="10"/>
      <c r="X2429" s="10"/>
      <c r="Y2429" s="10"/>
      <c r="Z2429" s="10"/>
      <c r="AA2429" s="10"/>
      <c r="AB2429" s="10"/>
      <c r="AC2429" s="10"/>
      <c r="AD2429" s="10"/>
      <c r="AE2429" s="10"/>
    </row>
    <row r="2430" spans="1:31" hidden="1">
      <c r="A2430" s="277" t="s">
        <v>7913</v>
      </c>
      <c r="B2430" s="9" t="s">
        <v>21</v>
      </c>
      <c r="C2430" s="9">
        <v>2024</v>
      </c>
      <c r="D2430" s="9" t="s">
        <v>27</v>
      </c>
      <c r="E2430" s="90" t="s">
        <v>1315</v>
      </c>
      <c r="F2430" s="9" t="s">
        <v>1317</v>
      </c>
      <c r="G2430" s="10"/>
      <c r="H2430" s="96" t="s">
        <v>1335</v>
      </c>
      <c r="I2430" s="109" t="s">
        <v>1326</v>
      </c>
      <c r="J2430" s="115">
        <v>45612</v>
      </c>
      <c r="K2430" s="119">
        <v>45687</v>
      </c>
      <c r="L2430" s="116">
        <v>700000</v>
      </c>
      <c r="M2430" s="116" t="s">
        <v>1336</v>
      </c>
      <c r="N2430" s="34" t="s">
        <v>29</v>
      </c>
      <c r="O2430" s="11"/>
      <c r="P2430" s="113">
        <v>46023</v>
      </c>
      <c r="Q2430" s="113">
        <v>46023</v>
      </c>
      <c r="R2430" s="113">
        <v>46023</v>
      </c>
      <c r="S2430" s="37">
        <f t="shared" si="518"/>
        <v>700000</v>
      </c>
      <c r="T2430" s="37">
        <f t="shared" si="519"/>
        <v>0</v>
      </c>
      <c r="U2430" s="10"/>
      <c r="V2430" s="10"/>
      <c r="W2430" s="10"/>
      <c r="X2430" s="10"/>
      <c r="Y2430" s="10"/>
      <c r="Z2430" s="10"/>
      <c r="AA2430" s="10"/>
      <c r="AB2430" s="10"/>
      <c r="AC2430" s="10"/>
      <c r="AD2430" s="10"/>
      <c r="AE2430" s="10"/>
    </row>
    <row r="2431" spans="1:31" hidden="1">
      <c r="A2431" s="277" t="s">
        <v>7914</v>
      </c>
      <c r="B2431" s="9" t="s">
        <v>21</v>
      </c>
      <c r="C2431" s="9">
        <v>2024</v>
      </c>
      <c r="D2431" s="9" t="s">
        <v>27</v>
      </c>
      <c r="E2431" s="90" t="s">
        <v>1315</v>
      </c>
      <c r="F2431" s="9" t="s">
        <v>1317</v>
      </c>
      <c r="G2431" s="10"/>
      <c r="H2431" s="96" t="s">
        <v>1337</v>
      </c>
      <c r="I2431" s="109" t="s">
        <v>1326</v>
      </c>
      <c r="J2431" s="115">
        <v>45618</v>
      </c>
      <c r="K2431" s="119">
        <v>45687</v>
      </c>
      <c r="L2431" s="116">
        <v>688500</v>
      </c>
      <c r="M2431" s="116" t="s">
        <v>1338</v>
      </c>
      <c r="N2431" s="34" t="s">
        <v>29</v>
      </c>
      <c r="O2431" s="11"/>
      <c r="P2431" s="113">
        <v>46023</v>
      </c>
      <c r="Q2431" s="113">
        <v>46023</v>
      </c>
      <c r="R2431" s="113">
        <v>46023</v>
      </c>
      <c r="S2431" s="37">
        <f t="shared" si="518"/>
        <v>688500</v>
      </c>
      <c r="T2431" s="37">
        <f t="shared" si="519"/>
        <v>0</v>
      </c>
      <c r="U2431" s="10"/>
      <c r="V2431" s="10"/>
      <c r="W2431" s="10"/>
      <c r="X2431" s="10"/>
      <c r="Y2431" s="10"/>
      <c r="Z2431" s="10"/>
      <c r="AA2431" s="10"/>
      <c r="AB2431" s="10"/>
      <c r="AC2431" s="10"/>
      <c r="AD2431" s="10"/>
      <c r="AE2431" s="10"/>
    </row>
    <row r="2432" spans="1:31" hidden="1">
      <c r="A2432" s="277" t="s">
        <v>7915</v>
      </c>
      <c r="B2432" s="9" t="s">
        <v>21</v>
      </c>
      <c r="C2432" s="9">
        <v>2024</v>
      </c>
      <c r="D2432" s="9" t="s">
        <v>27</v>
      </c>
      <c r="E2432" s="90" t="s">
        <v>1315</v>
      </c>
      <c r="F2432" s="9" t="s">
        <v>1317</v>
      </c>
      <c r="G2432" s="10"/>
      <c r="H2432" s="96" t="s">
        <v>1339</v>
      </c>
      <c r="I2432" s="109" t="s">
        <v>1326</v>
      </c>
      <c r="J2432" s="115">
        <v>45619</v>
      </c>
      <c r="K2432" s="119">
        <v>45687</v>
      </c>
      <c r="L2432" s="116">
        <v>247000</v>
      </c>
      <c r="M2432" s="116" t="s">
        <v>1340</v>
      </c>
      <c r="N2432" s="34" t="s">
        <v>29</v>
      </c>
      <c r="O2432" s="11"/>
      <c r="P2432" s="113">
        <v>46023</v>
      </c>
      <c r="Q2432" s="113">
        <v>46023</v>
      </c>
      <c r="R2432" s="113">
        <v>46023</v>
      </c>
      <c r="S2432" s="37">
        <f t="shared" si="518"/>
        <v>247000</v>
      </c>
      <c r="T2432" s="37">
        <f t="shared" si="519"/>
        <v>0</v>
      </c>
      <c r="U2432" s="10"/>
      <c r="V2432" s="10"/>
      <c r="W2432" s="10"/>
      <c r="X2432" s="10"/>
      <c r="Y2432" s="10"/>
      <c r="Z2432" s="10"/>
      <c r="AA2432" s="10"/>
      <c r="AB2432" s="10"/>
      <c r="AC2432" s="10"/>
      <c r="AD2432" s="10"/>
      <c r="AE2432" s="10"/>
    </row>
    <row r="2433" spans="1:31" hidden="1">
      <c r="A2433" s="277" t="s">
        <v>7916</v>
      </c>
      <c r="B2433" s="9" t="s">
        <v>21</v>
      </c>
      <c r="C2433" s="9">
        <v>2024</v>
      </c>
      <c r="D2433" s="9" t="s">
        <v>27</v>
      </c>
      <c r="E2433" s="90" t="s">
        <v>1315</v>
      </c>
      <c r="F2433" s="9" t="s">
        <v>1317</v>
      </c>
      <c r="G2433" s="10"/>
      <c r="H2433" s="96" t="s">
        <v>1341</v>
      </c>
      <c r="I2433" s="109" t="s">
        <v>1326</v>
      </c>
      <c r="J2433" s="115">
        <v>45619</v>
      </c>
      <c r="K2433" s="119">
        <v>45687</v>
      </c>
      <c r="L2433" s="116">
        <v>600000</v>
      </c>
      <c r="M2433" s="116" t="s">
        <v>1342</v>
      </c>
      <c r="N2433" s="34" t="s">
        <v>29</v>
      </c>
      <c r="O2433" s="11"/>
      <c r="P2433" s="113">
        <v>46023</v>
      </c>
      <c r="Q2433" s="113">
        <v>46023</v>
      </c>
      <c r="R2433" s="113">
        <v>46023</v>
      </c>
      <c r="S2433" s="37">
        <f t="shared" si="518"/>
        <v>600000</v>
      </c>
      <c r="T2433" s="37">
        <f t="shared" si="519"/>
        <v>0</v>
      </c>
      <c r="U2433" s="10"/>
      <c r="V2433" s="10"/>
      <c r="W2433" s="10"/>
      <c r="X2433" s="10"/>
      <c r="Y2433" s="10"/>
      <c r="Z2433" s="10"/>
      <c r="AA2433" s="10"/>
      <c r="AB2433" s="10"/>
      <c r="AC2433" s="10"/>
      <c r="AD2433" s="10"/>
      <c r="AE2433" s="10"/>
    </row>
    <row r="2434" spans="1:31" hidden="1">
      <c r="A2434" s="277" t="s">
        <v>7917</v>
      </c>
      <c r="B2434" s="9" t="s">
        <v>21</v>
      </c>
      <c r="C2434" s="9">
        <v>2024</v>
      </c>
      <c r="D2434" s="9" t="s">
        <v>27</v>
      </c>
      <c r="E2434" s="90" t="s">
        <v>1315</v>
      </c>
      <c r="F2434" s="9" t="s">
        <v>1317</v>
      </c>
      <c r="G2434" s="10"/>
      <c r="H2434" s="96" t="s">
        <v>1343</v>
      </c>
      <c r="I2434" s="109" t="s">
        <v>1326</v>
      </c>
      <c r="J2434" s="115">
        <v>45629</v>
      </c>
      <c r="K2434" s="119">
        <v>45687</v>
      </c>
      <c r="L2434" s="116">
        <v>600000</v>
      </c>
      <c r="M2434" s="116" t="s">
        <v>1344</v>
      </c>
      <c r="N2434" s="34" t="s">
        <v>29</v>
      </c>
      <c r="O2434" s="11"/>
      <c r="P2434" s="113">
        <v>46023</v>
      </c>
      <c r="Q2434" s="113">
        <v>46023</v>
      </c>
      <c r="R2434" s="113">
        <v>46023</v>
      </c>
      <c r="S2434" s="37">
        <f t="shared" si="518"/>
        <v>600000</v>
      </c>
      <c r="T2434" s="37">
        <f t="shared" si="519"/>
        <v>0</v>
      </c>
      <c r="U2434" s="10"/>
      <c r="V2434" s="10"/>
      <c r="W2434" s="10"/>
      <c r="X2434" s="10"/>
      <c r="Y2434" s="10"/>
      <c r="Z2434" s="10"/>
      <c r="AA2434" s="10"/>
      <c r="AB2434" s="10"/>
      <c r="AC2434" s="10"/>
      <c r="AD2434" s="10"/>
      <c r="AE2434" s="10"/>
    </row>
    <row r="2435" spans="1:31" hidden="1">
      <c r="A2435" s="277" t="s">
        <v>7918</v>
      </c>
      <c r="B2435" s="9" t="s">
        <v>21</v>
      </c>
      <c r="C2435" s="9">
        <v>2024</v>
      </c>
      <c r="D2435" s="9" t="s">
        <v>27</v>
      </c>
      <c r="E2435" s="90" t="s">
        <v>1315</v>
      </c>
      <c r="F2435" s="9" t="s">
        <v>1317</v>
      </c>
      <c r="G2435" s="10"/>
      <c r="H2435" s="96" t="s">
        <v>1345</v>
      </c>
      <c r="I2435" s="109" t="s">
        <v>1326</v>
      </c>
      <c r="J2435" s="115">
        <v>45632</v>
      </c>
      <c r="K2435" s="119">
        <v>45687</v>
      </c>
      <c r="L2435" s="116">
        <v>1100000</v>
      </c>
      <c r="M2435" s="116" t="s">
        <v>1346</v>
      </c>
      <c r="N2435" s="34" t="s">
        <v>29</v>
      </c>
      <c r="O2435" s="11"/>
      <c r="P2435" s="113">
        <v>46023</v>
      </c>
      <c r="Q2435" s="113">
        <v>46023</v>
      </c>
      <c r="R2435" s="113">
        <v>46023</v>
      </c>
      <c r="S2435" s="37">
        <f t="shared" si="518"/>
        <v>1100000</v>
      </c>
      <c r="T2435" s="37">
        <f t="shared" si="519"/>
        <v>0</v>
      </c>
      <c r="U2435" s="10"/>
      <c r="V2435" s="10"/>
      <c r="W2435" s="10"/>
      <c r="X2435" s="10"/>
      <c r="Y2435" s="10"/>
      <c r="Z2435" s="10"/>
      <c r="AA2435" s="10"/>
      <c r="AB2435" s="10"/>
      <c r="AC2435" s="10"/>
      <c r="AD2435" s="10"/>
      <c r="AE2435" s="10"/>
    </row>
    <row r="2436" spans="1:31" hidden="1">
      <c r="A2436" s="277" t="s">
        <v>7919</v>
      </c>
      <c r="B2436" s="9" t="s">
        <v>21</v>
      </c>
      <c r="C2436" s="9">
        <v>2024</v>
      </c>
      <c r="D2436" s="9" t="s">
        <v>27</v>
      </c>
      <c r="E2436" s="90" t="s">
        <v>1315</v>
      </c>
      <c r="F2436" s="9" t="s">
        <v>1317</v>
      </c>
      <c r="G2436" s="10"/>
      <c r="H2436" s="96" t="s">
        <v>1345</v>
      </c>
      <c r="I2436" s="109" t="s">
        <v>1326</v>
      </c>
      <c r="J2436" s="115">
        <v>45632</v>
      </c>
      <c r="K2436" s="119">
        <v>45687</v>
      </c>
      <c r="L2436" s="116">
        <f>370000+250000</f>
        <v>620000</v>
      </c>
      <c r="M2436" s="116" t="s">
        <v>1347</v>
      </c>
      <c r="N2436" s="34" t="s">
        <v>29</v>
      </c>
      <c r="O2436" s="11"/>
      <c r="P2436" s="113">
        <v>46023</v>
      </c>
      <c r="Q2436" s="113">
        <v>46023</v>
      </c>
      <c r="R2436" s="113">
        <v>46023</v>
      </c>
      <c r="S2436" s="37">
        <f t="shared" si="518"/>
        <v>620000</v>
      </c>
      <c r="T2436" s="37">
        <f t="shared" si="519"/>
        <v>0</v>
      </c>
      <c r="U2436" s="10"/>
      <c r="V2436" s="10"/>
      <c r="W2436" s="10"/>
      <c r="X2436" s="10"/>
      <c r="Y2436" s="10"/>
      <c r="Z2436" s="10"/>
      <c r="AA2436" s="10"/>
      <c r="AB2436" s="10"/>
      <c r="AC2436" s="10"/>
      <c r="AD2436" s="10"/>
      <c r="AE2436" s="10"/>
    </row>
    <row r="2437" spans="1:31" hidden="1">
      <c r="A2437" s="277" t="s">
        <v>7920</v>
      </c>
      <c r="B2437" s="9" t="s">
        <v>21</v>
      </c>
      <c r="C2437" s="9">
        <v>2024</v>
      </c>
      <c r="D2437" s="9" t="s">
        <v>27</v>
      </c>
      <c r="E2437" s="90" t="s">
        <v>1315</v>
      </c>
      <c r="F2437" s="9" t="s">
        <v>1317</v>
      </c>
      <c r="G2437" s="10"/>
      <c r="H2437" s="96" t="s">
        <v>1345</v>
      </c>
      <c r="I2437" s="109" t="s">
        <v>1326</v>
      </c>
      <c r="J2437" s="115">
        <v>45632</v>
      </c>
      <c r="K2437" s="119">
        <v>45687</v>
      </c>
      <c r="L2437" s="116">
        <f>3010000-L2435-L2436</f>
        <v>1290000</v>
      </c>
      <c r="M2437" s="116" t="s">
        <v>1348</v>
      </c>
      <c r="N2437" s="34" t="s">
        <v>29</v>
      </c>
      <c r="O2437" s="11"/>
      <c r="P2437" s="113">
        <v>46023</v>
      </c>
      <c r="Q2437" s="113">
        <v>46023</v>
      </c>
      <c r="R2437" s="113">
        <v>46023</v>
      </c>
      <c r="S2437" s="37">
        <f t="shared" si="518"/>
        <v>1290000</v>
      </c>
      <c r="T2437" s="37">
        <f t="shared" si="519"/>
        <v>0</v>
      </c>
      <c r="U2437" s="10"/>
      <c r="V2437" s="10"/>
      <c r="W2437" s="10"/>
      <c r="X2437" s="10"/>
      <c r="Y2437" s="10"/>
      <c r="Z2437" s="10"/>
      <c r="AA2437" s="10"/>
      <c r="AB2437" s="10"/>
      <c r="AC2437" s="10"/>
      <c r="AD2437" s="10"/>
      <c r="AE2437" s="10"/>
    </row>
    <row r="2438" spans="1:31" hidden="1">
      <c r="A2438" s="277" t="s">
        <v>7921</v>
      </c>
      <c r="B2438" s="9" t="s">
        <v>21</v>
      </c>
      <c r="C2438" s="9">
        <v>2024</v>
      </c>
      <c r="D2438" s="9" t="s">
        <v>27</v>
      </c>
      <c r="E2438" s="90" t="s">
        <v>1315</v>
      </c>
      <c r="F2438" s="9" t="s">
        <v>1317</v>
      </c>
      <c r="G2438" s="10"/>
      <c r="H2438" s="96" t="s">
        <v>1349</v>
      </c>
      <c r="I2438" s="109" t="s">
        <v>1326</v>
      </c>
      <c r="J2438" s="115">
        <v>45632</v>
      </c>
      <c r="K2438" s="119">
        <v>45687</v>
      </c>
      <c r="L2438" s="116">
        <v>19000</v>
      </c>
      <c r="M2438" s="116" t="s">
        <v>1350</v>
      </c>
      <c r="N2438" s="34" t="s">
        <v>29</v>
      </c>
      <c r="O2438" s="11"/>
      <c r="P2438" s="113">
        <v>46023</v>
      </c>
      <c r="Q2438" s="113">
        <v>46023</v>
      </c>
      <c r="R2438" s="113">
        <v>46023</v>
      </c>
      <c r="S2438" s="37">
        <f t="shared" si="518"/>
        <v>19000</v>
      </c>
      <c r="T2438" s="37">
        <f t="shared" si="519"/>
        <v>0</v>
      </c>
      <c r="U2438" s="10"/>
      <c r="V2438" s="10"/>
      <c r="W2438" s="10"/>
      <c r="X2438" s="10"/>
      <c r="Y2438" s="10"/>
      <c r="Z2438" s="10"/>
      <c r="AA2438" s="10"/>
      <c r="AB2438" s="10"/>
      <c r="AC2438" s="10"/>
      <c r="AD2438" s="10"/>
      <c r="AE2438" s="10"/>
    </row>
    <row r="2439" spans="1:31" hidden="1">
      <c r="A2439" s="277" t="s">
        <v>7922</v>
      </c>
      <c r="B2439" s="9" t="s">
        <v>21</v>
      </c>
      <c r="C2439" s="9">
        <v>2024</v>
      </c>
      <c r="D2439" s="9" t="s">
        <v>27</v>
      </c>
      <c r="E2439" s="90" t="s">
        <v>1315</v>
      </c>
      <c r="F2439" s="9" t="s">
        <v>1317</v>
      </c>
      <c r="G2439" s="10"/>
      <c r="H2439" s="96" t="s">
        <v>1351</v>
      </c>
      <c r="I2439" s="109" t="s">
        <v>1326</v>
      </c>
      <c r="J2439" s="115">
        <v>45636</v>
      </c>
      <c r="K2439" s="119">
        <v>45687</v>
      </c>
      <c r="L2439" s="131">
        <v>730000</v>
      </c>
      <c r="M2439" s="117" t="s">
        <v>1352</v>
      </c>
      <c r="N2439" s="34" t="s">
        <v>29</v>
      </c>
      <c r="O2439" s="11"/>
      <c r="P2439" s="113">
        <v>46023</v>
      </c>
      <c r="Q2439" s="113">
        <v>46023</v>
      </c>
      <c r="R2439" s="113">
        <v>46023</v>
      </c>
      <c r="S2439" s="37">
        <f>IF(R2439="",0,L2439)</f>
        <v>730000</v>
      </c>
      <c r="T2439" s="37">
        <f>L2439-S2439</f>
        <v>0</v>
      </c>
      <c r="U2439" s="10"/>
      <c r="V2439" s="10"/>
      <c r="W2439" s="10"/>
      <c r="X2439" s="10"/>
      <c r="Y2439" s="10"/>
      <c r="Z2439" s="10"/>
      <c r="AA2439" s="10"/>
      <c r="AB2439" s="10"/>
      <c r="AC2439" s="10"/>
      <c r="AD2439" s="10"/>
      <c r="AE2439" s="10"/>
    </row>
    <row r="2440" spans="1:31" hidden="1">
      <c r="A2440" s="277" t="s">
        <v>7923</v>
      </c>
      <c r="B2440" s="9" t="s">
        <v>21</v>
      </c>
      <c r="C2440" s="9">
        <v>2024</v>
      </c>
      <c r="D2440" s="9" t="s">
        <v>27</v>
      </c>
      <c r="E2440" s="90" t="s">
        <v>1315</v>
      </c>
      <c r="F2440" s="9" t="s">
        <v>1317</v>
      </c>
      <c r="G2440" s="10"/>
      <c r="H2440" s="96" t="s">
        <v>1353</v>
      </c>
      <c r="I2440" s="109" t="s">
        <v>1326</v>
      </c>
      <c r="J2440" s="115">
        <v>45636</v>
      </c>
      <c r="K2440" s="119">
        <v>45687</v>
      </c>
      <c r="L2440" s="131">
        <v>825000</v>
      </c>
      <c r="M2440" s="117" t="s">
        <v>1354</v>
      </c>
      <c r="N2440" s="34" t="s">
        <v>29</v>
      </c>
      <c r="O2440" s="11"/>
      <c r="P2440" s="113">
        <v>46023</v>
      </c>
      <c r="Q2440" s="113">
        <v>46023</v>
      </c>
      <c r="R2440" s="113">
        <v>46023</v>
      </c>
      <c r="S2440" s="37">
        <f t="shared" ref="S2440:S2464" si="520">IF(R2440="",0,L2440)</f>
        <v>825000</v>
      </c>
      <c r="T2440" s="37">
        <f t="shared" ref="T2440:T2464" si="521">L2440-S2440</f>
        <v>0</v>
      </c>
      <c r="U2440" s="10"/>
      <c r="V2440" s="10"/>
      <c r="W2440" s="10"/>
      <c r="X2440" s="10"/>
      <c r="Y2440" s="10"/>
      <c r="Z2440" s="10"/>
      <c r="AA2440" s="10"/>
      <c r="AB2440" s="10"/>
      <c r="AC2440" s="10"/>
      <c r="AD2440" s="10"/>
      <c r="AE2440" s="10"/>
    </row>
    <row r="2441" spans="1:31" hidden="1">
      <c r="A2441" s="277" t="s">
        <v>7924</v>
      </c>
      <c r="B2441" s="9" t="s">
        <v>21</v>
      </c>
      <c r="C2441" s="9">
        <v>2024</v>
      </c>
      <c r="D2441" s="9" t="s">
        <v>27</v>
      </c>
      <c r="E2441" s="90" t="s">
        <v>1315</v>
      </c>
      <c r="F2441" s="9" t="s">
        <v>1317</v>
      </c>
      <c r="G2441" s="10"/>
      <c r="H2441" s="96" t="s">
        <v>1355</v>
      </c>
      <c r="I2441" s="109" t="s">
        <v>1326</v>
      </c>
      <c r="J2441" s="115">
        <v>45644</v>
      </c>
      <c r="K2441" s="119">
        <v>45687</v>
      </c>
      <c r="L2441" s="131">
        <f>2200000</f>
        <v>2200000</v>
      </c>
      <c r="M2441" s="117" t="s">
        <v>4369</v>
      </c>
      <c r="N2441" s="34" t="s">
        <v>29</v>
      </c>
      <c r="O2441" s="125">
        <f>SUM(L2441:L2451)</f>
        <v>10951500</v>
      </c>
      <c r="P2441" s="113">
        <v>46053</v>
      </c>
      <c r="Q2441" s="113">
        <v>46053</v>
      </c>
      <c r="R2441" s="113">
        <v>46053</v>
      </c>
      <c r="S2441" s="37">
        <f t="shared" si="520"/>
        <v>2200000</v>
      </c>
      <c r="T2441" s="37">
        <f t="shared" si="521"/>
        <v>0</v>
      </c>
      <c r="U2441" s="10"/>
      <c r="V2441" s="10"/>
      <c r="W2441" s="10"/>
      <c r="X2441" s="10"/>
      <c r="Y2441" s="10"/>
      <c r="Z2441" s="10"/>
      <c r="AA2441" s="10"/>
      <c r="AB2441" s="10"/>
      <c r="AC2441" s="10"/>
      <c r="AD2441" s="10"/>
      <c r="AE2441" s="10"/>
    </row>
    <row r="2442" spans="1:31" hidden="1">
      <c r="A2442" s="277" t="s">
        <v>7925</v>
      </c>
      <c r="B2442" s="9" t="s">
        <v>21</v>
      </c>
      <c r="C2442" s="9">
        <v>2024</v>
      </c>
      <c r="D2442" s="9" t="s">
        <v>27</v>
      </c>
      <c r="E2442" s="90" t="s">
        <v>1315</v>
      </c>
      <c r="F2442" s="9" t="s">
        <v>1317</v>
      </c>
      <c r="G2442" s="10"/>
      <c r="H2442" s="96" t="s">
        <v>1355</v>
      </c>
      <c r="I2442" s="109" t="s">
        <v>1326</v>
      </c>
      <c r="J2442" s="115">
        <v>45644</v>
      </c>
      <c r="K2442" s="119">
        <v>45687</v>
      </c>
      <c r="L2442" s="131">
        <f>505000+42000</f>
        <v>547000</v>
      </c>
      <c r="M2442" s="117" t="s">
        <v>4370</v>
      </c>
      <c r="N2442" s="34" t="s">
        <v>29</v>
      </c>
      <c r="O2442" s="11"/>
      <c r="P2442" s="113">
        <v>46053</v>
      </c>
      <c r="Q2442" s="113">
        <v>46053</v>
      </c>
      <c r="R2442" s="113">
        <v>46053</v>
      </c>
      <c r="S2442" s="37">
        <f t="shared" si="520"/>
        <v>547000</v>
      </c>
      <c r="T2442" s="37">
        <f t="shared" si="521"/>
        <v>0</v>
      </c>
      <c r="U2442" s="10"/>
      <c r="V2442" s="10"/>
      <c r="W2442" s="10"/>
      <c r="X2442" s="10"/>
      <c r="Y2442" s="10"/>
      <c r="Z2442" s="10"/>
      <c r="AA2442" s="10"/>
      <c r="AB2442" s="10"/>
      <c r="AC2442" s="10"/>
      <c r="AD2442" s="10"/>
      <c r="AE2442" s="10"/>
    </row>
    <row r="2443" spans="1:31" hidden="1">
      <c r="A2443" s="277" t="s">
        <v>7926</v>
      </c>
      <c r="B2443" s="9" t="s">
        <v>21</v>
      </c>
      <c r="C2443" s="9">
        <v>2024</v>
      </c>
      <c r="D2443" s="9" t="s">
        <v>27</v>
      </c>
      <c r="E2443" s="90" t="s">
        <v>1315</v>
      </c>
      <c r="F2443" s="9" t="s">
        <v>1317</v>
      </c>
      <c r="G2443" s="10"/>
      <c r="H2443" s="96" t="s">
        <v>1356</v>
      </c>
      <c r="I2443" s="109" t="s">
        <v>1326</v>
      </c>
      <c r="J2443" s="115">
        <v>45645</v>
      </c>
      <c r="K2443" s="119">
        <v>45687</v>
      </c>
      <c r="L2443" s="131">
        <v>2050000</v>
      </c>
      <c r="M2443" s="117" t="s">
        <v>4371</v>
      </c>
      <c r="N2443" s="34" t="s">
        <v>29</v>
      </c>
      <c r="O2443" s="11"/>
      <c r="P2443" s="113">
        <v>46053</v>
      </c>
      <c r="Q2443" s="113">
        <v>46053</v>
      </c>
      <c r="R2443" s="113">
        <v>46053</v>
      </c>
      <c r="S2443" s="37">
        <f t="shared" si="520"/>
        <v>2050000</v>
      </c>
      <c r="T2443" s="37">
        <f t="shared" si="521"/>
        <v>0</v>
      </c>
      <c r="U2443" s="10"/>
      <c r="V2443" s="10"/>
      <c r="W2443" s="10"/>
      <c r="X2443" s="10"/>
      <c r="Y2443" s="10"/>
      <c r="Z2443" s="10"/>
      <c r="AA2443" s="10"/>
      <c r="AB2443" s="10"/>
      <c r="AC2443" s="10"/>
      <c r="AD2443" s="10"/>
      <c r="AE2443" s="10"/>
    </row>
    <row r="2444" spans="1:31" hidden="1">
      <c r="A2444" s="277" t="s">
        <v>6452</v>
      </c>
      <c r="B2444" s="9" t="s">
        <v>21</v>
      </c>
      <c r="C2444" s="9">
        <v>2024</v>
      </c>
      <c r="D2444" s="9" t="s">
        <v>27</v>
      </c>
      <c r="E2444" s="90" t="s">
        <v>1315</v>
      </c>
      <c r="F2444" s="9" t="s">
        <v>1317</v>
      </c>
      <c r="G2444" s="10"/>
      <c r="H2444" s="96" t="s">
        <v>1356</v>
      </c>
      <c r="I2444" s="109" t="s">
        <v>1326</v>
      </c>
      <c r="J2444" s="115">
        <v>45645</v>
      </c>
      <c r="K2444" s="119">
        <v>45687</v>
      </c>
      <c r="L2444" s="131">
        <v>115000</v>
      </c>
      <c r="M2444" s="117" t="s">
        <v>4372</v>
      </c>
      <c r="N2444" s="34" t="s">
        <v>29</v>
      </c>
      <c r="O2444" s="11"/>
      <c r="P2444" s="113">
        <v>46053</v>
      </c>
      <c r="Q2444" s="113">
        <v>46053</v>
      </c>
      <c r="R2444" s="113">
        <v>46053</v>
      </c>
      <c r="S2444" s="37">
        <f t="shared" si="520"/>
        <v>115000</v>
      </c>
      <c r="T2444" s="37">
        <f t="shared" si="521"/>
        <v>0</v>
      </c>
      <c r="U2444" s="10"/>
      <c r="V2444" s="10"/>
      <c r="W2444" s="10"/>
      <c r="X2444" s="10"/>
      <c r="Y2444" s="10"/>
      <c r="Z2444" s="10"/>
      <c r="AA2444" s="10"/>
      <c r="AB2444" s="10"/>
      <c r="AC2444" s="10"/>
      <c r="AD2444" s="10"/>
      <c r="AE2444" s="10"/>
    </row>
    <row r="2445" spans="1:31" hidden="1">
      <c r="A2445" s="277" t="s">
        <v>6453</v>
      </c>
      <c r="B2445" s="9" t="s">
        <v>21</v>
      </c>
      <c r="C2445" s="9">
        <v>2024</v>
      </c>
      <c r="D2445" s="9" t="s">
        <v>27</v>
      </c>
      <c r="E2445" s="90" t="s">
        <v>1315</v>
      </c>
      <c r="F2445" s="9" t="s">
        <v>1317</v>
      </c>
      <c r="G2445" s="10"/>
      <c r="H2445" s="96" t="s">
        <v>1357</v>
      </c>
      <c r="I2445" s="109" t="s">
        <v>1326</v>
      </c>
      <c r="J2445" s="115">
        <v>45647</v>
      </c>
      <c r="K2445" s="119">
        <v>45687</v>
      </c>
      <c r="L2445" s="131">
        <v>165000</v>
      </c>
      <c r="M2445" s="117" t="s">
        <v>1358</v>
      </c>
      <c r="N2445" s="34" t="s">
        <v>29</v>
      </c>
      <c r="O2445" s="11"/>
      <c r="P2445" s="113">
        <v>46053</v>
      </c>
      <c r="Q2445" s="113">
        <v>46053</v>
      </c>
      <c r="R2445" s="113">
        <v>46053</v>
      </c>
      <c r="S2445" s="37">
        <f t="shared" si="520"/>
        <v>165000</v>
      </c>
      <c r="T2445" s="37">
        <f t="shared" si="521"/>
        <v>0</v>
      </c>
      <c r="U2445" s="10"/>
      <c r="V2445" s="10"/>
      <c r="W2445" s="10"/>
      <c r="X2445" s="10"/>
      <c r="Y2445" s="10"/>
      <c r="Z2445" s="10"/>
      <c r="AA2445" s="10"/>
      <c r="AB2445" s="10"/>
      <c r="AC2445" s="10"/>
      <c r="AD2445" s="10"/>
      <c r="AE2445" s="10"/>
    </row>
    <row r="2446" spans="1:31" hidden="1">
      <c r="A2446" s="277" t="s">
        <v>6454</v>
      </c>
      <c r="B2446" s="9" t="s">
        <v>21</v>
      </c>
      <c r="C2446" s="9">
        <v>2024</v>
      </c>
      <c r="D2446" s="9" t="s">
        <v>27</v>
      </c>
      <c r="E2446" s="90" t="s">
        <v>1315</v>
      </c>
      <c r="F2446" s="9" t="s">
        <v>1317</v>
      </c>
      <c r="G2446" s="10"/>
      <c r="H2446" s="96" t="s">
        <v>1357</v>
      </c>
      <c r="I2446" s="109" t="s">
        <v>1326</v>
      </c>
      <c r="J2446" s="115">
        <v>45647</v>
      </c>
      <c r="K2446" s="119">
        <v>45687</v>
      </c>
      <c r="L2446" s="131">
        <f>1013000-L2445</f>
        <v>848000</v>
      </c>
      <c r="M2446" s="117" t="s">
        <v>1359</v>
      </c>
      <c r="N2446" s="34" t="s">
        <v>29</v>
      </c>
      <c r="O2446" s="11"/>
      <c r="P2446" s="113">
        <v>46053</v>
      </c>
      <c r="Q2446" s="113">
        <v>46053</v>
      </c>
      <c r="R2446" s="113">
        <v>46053</v>
      </c>
      <c r="S2446" s="37">
        <f t="shared" si="520"/>
        <v>848000</v>
      </c>
      <c r="T2446" s="37">
        <f t="shared" si="521"/>
        <v>0</v>
      </c>
      <c r="U2446" s="10"/>
      <c r="V2446" s="10"/>
      <c r="W2446" s="10"/>
      <c r="X2446" s="10"/>
      <c r="Y2446" s="10"/>
      <c r="Z2446" s="10"/>
      <c r="AA2446" s="10"/>
      <c r="AB2446" s="10"/>
      <c r="AC2446" s="10"/>
      <c r="AD2446" s="10"/>
      <c r="AE2446" s="10"/>
    </row>
    <row r="2447" spans="1:31" hidden="1">
      <c r="A2447" s="277" t="s">
        <v>6455</v>
      </c>
      <c r="B2447" s="9" t="s">
        <v>21</v>
      </c>
      <c r="C2447" s="9">
        <v>2024</v>
      </c>
      <c r="D2447" s="9" t="s">
        <v>27</v>
      </c>
      <c r="E2447" s="90" t="s">
        <v>1315</v>
      </c>
      <c r="F2447" s="9" t="s">
        <v>1317</v>
      </c>
      <c r="G2447" s="10"/>
      <c r="H2447" s="96" t="s">
        <v>1360</v>
      </c>
      <c r="I2447" s="109" t="s">
        <v>1326</v>
      </c>
      <c r="J2447" s="115">
        <v>45653</v>
      </c>
      <c r="K2447" s="119">
        <v>45687</v>
      </c>
      <c r="L2447" s="131">
        <v>2134000</v>
      </c>
      <c r="M2447" s="117" t="s">
        <v>1361</v>
      </c>
      <c r="N2447" s="34" t="s">
        <v>29</v>
      </c>
      <c r="O2447" s="11"/>
      <c r="P2447" s="113">
        <v>46053</v>
      </c>
      <c r="Q2447" s="113">
        <v>46053</v>
      </c>
      <c r="R2447" s="113">
        <v>46053</v>
      </c>
      <c r="S2447" s="37">
        <f t="shared" si="520"/>
        <v>2134000</v>
      </c>
      <c r="T2447" s="37">
        <f t="shared" si="521"/>
        <v>0</v>
      </c>
      <c r="U2447" s="10"/>
      <c r="V2447" s="10"/>
      <c r="W2447" s="10"/>
      <c r="X2447" s="10"/>
      <c r="Y2447" s="10"/>
      <c r="Z2447" s="10"/>
      <c r="AA2447" s="10"/>
      <c r="AB2447" s="10"/>
      <c r="AC2447" s="10"/>
      <c r="AD2447" s="10"/>
      <c r="AE2447" s="10"/>
    </row>
    <row r="2448" spans="1:31" hidden="1">
      <c r="A2448" s="277" t="s">
        <v>6456</v>
      </c>
      <c r="B2448" s="9" t="s">
        <v>21</v>
      </c>
      <c r="C2448" s="9">
        <v>2025</v>
      </c>
      <c r="D2448" s="9" t="s">
        <v>27</v>
      </c>
      <c r="E2448" s="90" t="s">
        <v>1315</v>
      </c>
      <c r="F2448" s="9" t="s">
        <v>1317</v>
      </c>
      <c r="G2448" s="10"/>
      <c r="H2448" s="96" t="s">
        <v>1362</v>
      </c>
      <c r="I2448" s="109" t="s">
        <v>1326</v>
      </c>
      <c r="J2448" s="115">
        <v>45672</v>
      </c>
      <c r="K2448" s="119">
        <v>45687</v>
      </c>
      <c r="L2448" s="131">
        <v>739000</v>
      </c>
      <c r="M2448" s="117" t="s">
        <v>1363</v>
      </c>
      <c r="N2448" s="34" t="s">
        <v>29</v>
      </c>
      <c r="O2448" s="11"/>
      <c r="P2448" s="113">
        <v>46053</v>
      </c>
      <c r="Q2448" s="113">
        <v>46053</v>
      </c>
      <c r="R2448" s="113">
        <v>46053</v>
      </c>
      <c r="S2448" s="37">
        <f t="shared" si="520"/>
        <v>739000</v>
      </c>
      <c r="T2448" s="37">
        <f t="shared" si="521"/>
        <v>0</v>
      </c>
      <c r="U2448" s="10"/>
      <c r="V2448" s="10"/>
      <c r="W2448" s="10"/>
      <c r="X2448" s="10"/>
      <c r="Y2448" s="10"/>
      <c r="Z2448" s="10"/>
      <c r="AA2448" s="10"/>
      <c r="AB2448" s="10"/>
      <c r="AC2448" s="10"/>
      <c r="AD2448" s="10"/>
      <c r="AE2448" s="10"/>
    </row>
    <row r="2449" spans="1:31" hidden="1">
      <c r="A2449" s="277" t="s">
        <v>6457</v>
      </c>
      <c r="B2449" s="9" t="s">
        <v>21</v>
      </c>
      <c r="C2449" s="9">
        <v>2025</v>
      </c>
      <c r="D2449" s="9" t="s">
        <v>27</v>
      </c>
      <c r="E2449" s="90" t="s">
        <v>1315</v>
      </c>
      <c r="F2449" s="9" t="s">
        <v>1317</v>
      </c>
      <c r="G2449" s="10"/>
      <c r="H2449" s="96" t="s">
        <v>1364</v>
      </c>
      <c r="I2449" s="109" t="s">
        <v>1326</v>
      </c>
      <c r="J2449" s="115">
        <v>45680</v>
      </c>
      <c r="K2449" s="119">
        <v>45687</v>
      </c>
      <c r="L2449" s="131">
        <v>385000</v>
      </c>
      <c r="M2449" s="117" t="s">
        <v>1365</v>
      </c>
      <c r="N2449" s="34" t="s">
        <v>29</v>
      </c>
      <c r="O2449" s="11"/>
      <c r="P2449" s="113">
        <v>46053</v>
      </c>
      <c r="Q2449" s="113">
        <v>46053</v>
      </c>
      <c r="R2449" s="113">
        <v>46053</v>
      </c>
      <c r="S2449" s="37">
        <f t="shared" si="520"/>
        <v>385000</v>
      </c>
      <c r="T2449" s="37">
        <f t="shared" si="521"/>
        <v>0</v>
      </c>
      <c r="U2449" s="10"/>
      <c r="V2449" s="10"/>
      <c r="W2449" s="10"/>
      <c r="X2449" s="10"/>
      <c r="Y2449" s="10"/>
      <c r="Z2449" s="10"/>
      <c r="AA2449" s="10"/>
      <c r="AB2449" s="10"/>
      <c r="AC2449" s="10"/>
      <c r="AD2449" s="10"/>
      <c r="AE2449" s="10"/>
    </row>
    <row r="2450" spans="1:31" hidden="1">
      <c r="A2450" s="277" t="s">
        <v>6458</v>
      </c>
      <c r="B2450" s="9" t="s">
        <v>21</v>
      </c>
      <c r="C2450" s="9">
        <v>2025</v>
      </c>
      <c r="D2450" s="9" t="s">
        <v>27</v>
      </c>
      <c r="E2450" s="90" t="s">
        <v>1315</v>
      </c>
      <c r="F2450" s="9" t="s">
        <v>1317</v>
      </c>
      <c r="G2450" s="10"/>
      <c r="H2450" s="96" t="s">
        <v>3756</v>
      </c>
      <c r="I2450" s="109" t="s">
        <v>1326</v>
      </c>
      <c r="J2450" s="115">
        <v>45688</v>
      </c>
      <c r="K2450" s="119">
        <v>45937</v>
      </c>
      <c r="L2450" s="131">
        <f>500000+580000</f>
        <v>1080000</v>
      </c>
      <c r="M2450" s="117" t="s">
        <v>3768</v>
      </c>
      <c r="N2450" s="34" t="s">
        <v>29</v>
      </c>
      <c r="O2450" s="11"/>
      <c r="P2450" s="113">
        <v>46053</v>
      </c>
      <c r="Q2450" s="113">
        <v>46053</v>
      </c>
      <c r="R2450" s="113">
        <v>46053</v>
      </c>
      <c r="S2450" s="37">
        <f t="shared" ref="S2450:S2462" si="522">IF(R2450="",0,L2450)</f>
        <v>1080000</v>
      </c>
      <c r="T2450" s="37">
        <f t="shared" ref="T2450:T2462" si="523">L2450-S2450</f>
        <v>0</v>
      </c>
      <c r="U2450" s="10"/>
      <c r="V2450" s="10"/>
      <c r="W2450" s="10"/>
      <c r="X2450" s="10"/>
      <c r="Y2450" s="10"/>
      <c r="Z2450" s="10"/>
      <c r="AA2450" s="10"/>
      <c r="AB2450" s="10"/>
      <c r="AC2450" s="10"/>
      <c r="AD2450" s="10"/>
      <c r="AE2450" s="10"/>
    </row>
    <row r="2451" spans="1:31">
      <c r="A2451" s="277" t="s">
        <v>6459</v>
      </c>
      <c r="B2451" s="9" t="s">
        <v>21</v>
      </c>
      <c r="C2451" s="9">
        <v>2025</v>
      </c>
      <c r="D2451" s="9" t="s">
        <v>27</v>
      </c>
      <c r="E2451" s="90" t="s">
        <v>1315</v>
      </c>
      <c r="F2451" s="9" t="s">
        <v>1317</v>
      </c>
      <c r="G2451" s="10"/>
      <c r="H2451" s="96" t="s">
        <v>3757</v>
      </c>
      <c r="I2451" s="109" t="s">
        <v>1326</v>
      </c>
      <c r="J2451" s="115">
        <v>45688</v>
      </c>
      <c r="K2451" s="119">
        <v>45937</v>
      </c>
      <c r="L2451" s="131">
        <v>688500</v>
      </c>
      <c r="M2451" s="117" t="s">
        <v>3769</v>
      </c>
      <c r="N2451" s="34" t="s">
        <v>29</v>
      </c>
      <c r="O2451" s="11"/>
      <c r="P2451" s="113">
        <v>46053</v>
      </c>
      <c r="Q2451" s="113">
        <v>46053</v>
      </c>
      <c r="R2451" s="113">
        <v>46053</v>
      </c>
      <c r="S2451" s="37">
        <f t="shared" si="522"/>
        <v>688500</v>
      </c>
      <c r="T2451" s="37">
        <f t="shared" si="523"/>
        <v>0</v>
      </c>
      <c r="U2451" s="10"/>
      <c r="V2451" s="10"/>
      <c r="W2451" s="10"/>
      <c r="X2451" s="10"/>
      <c r="Y2451" s="10"/>
      <c r="Z2451" s="10"/>
      <c r="AA2451" s="10"/>
      <c r="AB2451" s="10"/>
      <c r="AC2451" s="10"/>
      <c r="AD2451" s="10"/>
      <c r="AE2451" s="10"/>
    </row>
    <row r="2452" spans="1:31">
      <c r="A2452" s="277" t="s">
        <v>6460</v>
      </c>
      <c r="B2452" s="9" t="s">
        <v>21</v>
      </c>
      <c r="C2452" s="9">
        <v>2025</v>
      </c>
      <c r="D2452" s="9" t="s">
        <v>77</v>
      </c>
      <c r="E2452" s="90" t="s">
        <v>1315</v>
      </c>
      <c r="F2452" s="9" t="s">
        <v>1317</v>
      </c>
      <c r="G2452" s="10"/>
      <c r="H2452" s="9" t="s">
        <v>3758</v>
      </c>
      <c r="I2452" s="11" t="s">
        <v>1326</v>
      </c>
      <c r="J2452" s="12">
        <v>45693</v>
      </c>
      <c r="K2452" s="122">
        <v>45937</v>
      </c>
      <c r="L2452" s="52">
        <v>140000</v>
      </c>
      <c r="M2452" s="10" t="s">
        <v>3770</v>
      </c>
      <c r="N2452" s="34">
        <f t="shared" ref="N2452:N2462" ca="1" si="524">$J$3-J2452</f>
        <v>547.46377638888953</v>
      </c>
      <c r="O2452" s="11"/>
      <c r="P2452" s="39"/>
      <c r="Q2452" s="39"/>
      <c r="R2452" s="39"/>
      <c r="S2452" s="37">
        <f t="shared" si="522"/>
        <v>0</v>
      </c>
      <c r="T2452" s="37">
        <f t="shared" si="523"/>
        <v>140000</v>
      </c>
      <c r="U2452" s="10"/>
      <c r="V2452" s="10"/>
      <c r="W2452" s="10"/>
      <c r="X2452" s="10"/>
      <c r="Y2452" s="10"/>
      <c r="Z2452" s="10"/>
      <c r="AA2452" s="10"/>
      <c r="AB2452" s="10"/>
      <c r="AC2452" s="10"/>
      <c r="AD2452" s="10"/>
      <c r="AE2452" s="10"/>
    </row>
    <row r="2453" spans="1:31" ht="14.25" customHeight="1">
      <c r="A2453" s="277" t="s">
        <v>6461</v>
      </c>
      <c r="B2453" s="9" t="s">
        <v>21</v>
      </c>
      <c r="C2453" s="9">
        <v>2025</v>
      </c>
      <c r="D2453" s="9" t="s">
        <v>77</v>
      </c>
      <c r="E2453" s="90" t="s">
        <v>1315</v>
      </c>
      <c r="F2453" s="9" t="s">
        <v>1317</v>
      </c>
      <c r="G2453" s="10"/>
      <c r="H2453" s="9" t="s">
        <v>3759</v>
      </c>
      <c r="I2453" s="11" t="s">
        <v>1326</v>
      </c>
      <c r="J2453" s="12">
        <v>45706</v>
      </c>
      <c r="K2453" s="122">
        <v>45937</v>
      </c>
      <c r="L2453" s="52">
        <v>3219000</v>
      </c>
      <c r="M2453" s="10" t="s">
        <v>3771</v>
      </c>
      <c r="N2453" s="34">
        <f t="shared" ca="1" si="524"/>
        <v>534.46377638888953</v>
      </c>
      <c r="O2453" s="11"/>
      <c r="P2453" s="39"/>
      <c r="Q2453" s="39"/>
      <c r="R2453" s="39"/>
      <c r="S2453" s="37">
        <f t="shared" si="522"/>
        <v>0</v>
      </c>
      <c r="T2453" s="37">
        <f t="shared" si="523"/>
        <v>3219000</v>
      </c>
      <c r="U2453" s="10"/>
      <c r="V2453" s="10"/>
      <c r="W2453" s="10"/>
      <c r="X2453" s="10"/>
      <c r="Y2453" s="10"/>
      <c r="Z2453" s="10"/>
      <c r="AA2453" s="10"/>
      <c r="AB2453" s="10"/>
      <c r="AC2453" s="10"/>
      <c r="AD2453" s="10"/>
      <c r="AE2453" s="10"/>
    </row>
    <row r="2454" spans="1:31" ht="14.25" customHeight="1">
      <c r="A2454" s="277" t="s">
        <v>6462</v>
      </c>
      <c r="B2454" s="9" t="s">
        <v>21</v>
      </c>
      <c r="C2454" s="9">
        <v>2025</v>
      </c>
      <c r="D2454" s="9" t="s">
        <v>77</v>
      </c>
      <c r="E2454" s="90" t="s">
        <v>1315</v>
      </c>
      <c r="F2454" s="9" t="s">
        <v>1317</v>
      </c>
      <c r="G2454" s="10"/>
      <c r="H2454" s="9" t="s">
        <v>3760</v>
      </c>
      <c r="I2454" s="11" t="s">
        <v>1326</v>
      </c>
      <c r="J2454" s="12">
        <v>45715</v>
      </c>
      <c r="K2454" s="122">
        <v>45937</v>
      </c>
      <c r="L2454" s="52">
        <v>2800000</v>
      </c>
      <c r="M2454" s="10" t="s">
        <v>3772</v>
      </c>
      <c r="N2454" s="34">
        <f t="shared" ca="1" si="524"/>
        <v>525.46377638888953</v>
      </c>
      <c r="O2454" s="11"/>
      <c r="P2454" s="39"/>
      <c r="Q2454" s="39"/>
      <c r="R2454" s="39"/>
      <c r="S2454" s="37">
        <f t="shared" si="522"/>
        <v>0</v>
      </c>
      <c r="T2454" s="37">
        <f t="shared" si="523"/>
        <v>2800000</v>
      </c>
      <c r="U2454" s="10"/>
      <c r="V2454" s="10"/>
      <c r="W2454" s="10"/>
      <c r="X2454" s="10"/>
      <c r="Y2454" s="10"/>
      <c r="Z2454" s="10"/>
      <c r="AA2454" s="10"/>
      <c r="AB2454" s="10"/>
      <c r="AC2454" s="10"/>
      <c r="AD2454" s="10"/>
      <c r="AE2454" s="10"/>
    </row>
    <row r="2455" spans="1:31" ht="14.25" customHeight="1">
      <c r="A2455" s="277" t="s">
        <v>6463</v>
      </c>
      <c r="B2455" s="9" t="s">
        <v>21</v>
      </c>
      <c r="C2455" s="9">
        <v>2025</v>
      </c>
      <c r="D2455" s="9" t="s">
        <v>77</v>
      </c>
      <c r="E2455" s="90" t="s">
        <v>1315</v>
      </c>
      <c r="F2455" s="9" t="s">
        <v>1317</v>
      </c>
      <c r="G2455" s="10"/>
      <c r="H2455" s="9" t="s">
        <v>3761</v>
      </c>
      <c r="I2455" s="11" t="s">
        <v>1326</v>
      </c>
      <c r="J2455" s="12">
        <v>45716</v>
      </c>
      <c r="K2455" s="122">
        <v>45937</v>
      </c>
      <c r="L2455" s="52">
        <v>1070000</v>
      </c>
      <c r="M2455" s="10" t="s">
        <v>3773</v>
      </c>
      <c r="N2455" s="34">
        <f t="shared" ca="1" si="524"/>
        <v>524.46377638888953</v>
      </c>
      <c r="O2455" s="11"/>
      <c r="P2455" s="39"/>
      <c r="Q2455" s="39"/>
      <c r="R2455" s="39"/>
      <c r="S2455" s="37">
        <f t="shared" si="522"/>
        <v>0</v>
      </c>
      <c r="T2455" s="37">
        <f t="shared" si="523"/>
        <v>1070000</v>
      </c>
      <c r="U2455" s="10"/>
      <c r="V2455" s="10"/>
      <c r="W2455" s="10"/>
      <c r="X2455" s="10"/>
      <c r="Y2455" s="10"/>
      <c r="Z2455" s="10"/>
      <c r="AA2455" s="10"/>
      <c r="AB2455" s="10"/>
      <c r="AC2455" s="10"/>
      <c r="AD2455" s="10"/>
      <c r="AE2455" s="10"/>
    </row>
    <row r="2456" spans="1:31" ht="14.25" customHeight="1">
      <c r="A2456" s="277" t="s">
        <v>6464</v>
      </c>
      <c r="B2456" s="9" t="s">
        <v>21</v>
      </c>
      <c r="C2456" s="9">
        <v>2025</v>
      </c>
      <c r="D2456" s="9" t="s">
        <v>77</v>
      </c>
      <c r="E2456" s="90" t="s">
        <v>1315</v>
      </c>
      <c r="F2456" s="9" t="s">
        <v>1317</v>
      </c>
      <c r="G2456" s="10"/>
      <c r="H2456" s="9" t="s">
        <v>3762</v>
      </c>
      <c r="I2456" s="11" t="s">
        <v>1326</v>
      </c>
      <c r="J2456" s="12">
        <v>45722</v>
      </c>
      <c r="K2456" s="122">
        <v>45937</v>
      </c>
      <c r="L2456" s="52">
        <v>195000</v>
      </c>
      <c r="M2456" s="10" t="s">
        <v>3774</v>
      </c>
      <c r="N2456" s="34">
        <f t="shared" ca="1" si="524"/>
        <v>518.46377638888953</v>
      </c>
      <c r="O2456" s="11"/>
      <c r="P2456" s="39"/>
      <c r="Q2456" s="39"/>
      <c r="R2456" s="39"/>
      <c r="S2456" s="37">
        <f t="shared" si="522"/>
        <v>0</v>
      </c>
      <c r="T2456" s="37">
        <f t="shared" si="523"/>
        <v>195000</v>
      </c>
      <c r="U2456" s="10"/>
      <c r="V2456" s="10"/>
      <c r="W2456" s="10"/>
      <c r="X2456" s="10"/>
      <c r="Y2456" s="10"/>
      <c r="Z2456" s="10"/>
      <c r="AA2456" s="10"/>
      <c r="AB2456" s="10"/>
      <c r="AC2456" s="10"/>
      <c r="AD2456" s="10"/>
      <c r="AE2456" s="10"/>
    </row>
    <row r="2457" spans="1:31" ht="14.25" customHeight="1">
      <c r="A2457" s="277" t="s">
        <v>6465</v>
      </c>
      <c r="B2457" s="9" t="s">
        <v>21</v>
      </c>
      <c r="C2457" s="9">
        <v>2025</v>
      </c>
      <c r="D2457" s="9" t="s">
        <v>77</v>
      </c>
      <c r="E2457" s="90" t="s">
        <v>1315</v>
      </c>
      <c r="F2457" s="9" t="s">
        <v>1317</v>
      </c>
      <c r="G2457" s="10"/>
      <c r="H2457" s="9" t="s">
        <v>3763</v>
      </c>
      <c r="I2457" s="11" t="s">
        <v>1326</v>
      </c>
      <c r="J2457" s="12">
        <v>45731</v>
      </c>
      <c r="K2457" s="122">
        <v>45937</v>
      </c>
      <c r="L2457" s="52">
        <v>799000</v>
      </c>
      <c r="M2457" s="10" t="s">
        <v>3775</v>
      </c>
      <c r="N2457" s="34">
        <f t="shared" ca="1" si="524"/>
        <v>509.46377638888953</v>
      </c>
      <c r="O2457" s="11"/>
      <c r="P2457" s="39"/>
      <c r="Q2457" s="39"/>
      <c r="R2457" s="39"/>
      <c r="S2457" s="37">
        <f t="shared" si="522"/>
        <v>0</v>
      </c>
      <c r="T2457" s="37">
        <f t="shared" si="523"/>
        <v>799000</v>
      </c>
      <c r="U2457" s="10"/>
      <c r="V2457" s="10"/>
      <c r="W2457" s="10"/>
      <c r="X2457" s="10"/>
      <c r="Y2457" s="10"/>
      <c r="Z2457" s="10"/>
      <c r="AA2457" s="10"/>
      <c r="AB2457" s="10"/>
      <c r="AC2457" s="10"/>
      <c r="AD2457" s="10"/>
      <c r="AE2457" s="10"/>
    </row>
    <row r="2458" spans="1:31" ht="14.25" customHeight="1">
      <c r="A2458" s="277" t="s">
        <v>6466</v>
      </c>
      <c r="B2458" s="9" t="s">
        <v>21</v>
      </c>
      <c r="C2458" s="9">
        <v>2025</v>
      </c>
      <c r="D2458" s="9" t="s">
        <v>77</v>
      </c>
      <c r="E2458" s="90" t="s">
        <v>1315</v>
      </c>
      <c r="F2458" s="9" t="s">
        <v>1317</v>
      </c>
      <c r="G2458" s="10"/>
      <c r="H2458" s="9" t="s">
        <v>3764</v>
      </c>
      <c r="I2458" s="11" t="s">
        <v>1326</v>
      </c>
      <c r="J2458" s="12">
        <v>45738</v>
      </c>
      <c r="K2458" s="122">
        <v>45937</v>
      </c>
      <c r="L2458" s="52">
        <v>337000</v>
      </c>
      <c r="M2458" s="10" t="s">
        <v>3776</v>
      </c>
      <c r="N2458" s="34">
        <f t="shared" ca="1" si="524"/>
        <v>502.46377638888953</v>
      </c>
      <c r="O2458" s="11"/>
      <c r="P2458" s="39"/>
      <c r="Q2458" s="39"/>
      <c r="R2458" s="39"/>
      <c r="S2458" s="37">
        <f t="shared" si="522"/>
        <v>0</v>
      </c>
      <c r="T2458" s="37">
        <f t="shared" si="523"/>
        <v>337000</v>
      </c>
      <c r="U2458" s="10"/>
      <c r="V2458" s="10"/>
      <c r="W2458" s="10"/>
      <c r="X2458" s="10"/>
      <c r="Y2458" s="10"/>
      <c r="Z2458" s="10"/>
      <c r="AA2458" s="10"/>
      <c r="AB2458" s="10"/>
      <c r="AC2458" s="10"/>
      <c r="AD2458" s="10"/>
      <c r="AE2458" s="10"/>
    </row>
    <row r="2459" spans="1:31" ht="14.25" customHeight="1">
      <c r="A2459" s="277" t="s">
        <v>6467</v>
      </c>
      <c r="B2459" s="9" t="s">
        <v>21</v>
      </c>
      <c r="C2459" s="9">
        <v>2025</v>
      </c>
      <c r="D2459" s="9" t="s">
        <v>77</v>
      </c>
      <c r="E2459" s="90" t="s">
        <v>1315</v>
      </c>
      <c r="F2459" s="9" t="s">
        <v>1317</v>
      </c>
      <c r="G2459" s="10"/>
      <c r="H2459" s="9" t="s">
        <v>3765</v>
      </c>
      <c r="I2459" s="11" t="s">
        <v>1326</v>
      </c>
      <c r="J2459" s="12">
        <v>45743</v>
      </c>
      <c r="K2459" s="122">
        <v>45937</v>
      </c>
      <c r="L2459" s="52">
        <v>1290000</v>
      </c>
      <c r="M2459" s="10" t="s">
        <v>3777</v>
      </c>
      <c r="N2459" s="34">
        <f t="shared" ca="1" si="524"/>
        <v>497.46377638888953</v>
      </c>
      <c r="O2459" s="11"/>
      <c r="P2459" s="39"/>
      <c r="Q2459" s="39"/>
      <c r="R2459" s="39"/>
      <c r="S2459" s="37">
        <f t="shared" si="522"/>
        <v>0</v>
      </c>
      <c r="T2459" s="37">
        <f t="shared" si="523"/>
        <v>1290000</v>
      </c>
      <c r="U2459" s="10"/>
      <c r="V2459" s="10"/>
      <c r="W2459" s="10"/>
      <c r="X2459" s="10"/>
      <c r="Y2459" s="10"/>
      <c r="Z2459" s="10"/>
      <c r="AA2459" s="10"/>
      <c r="AB2459" s="10"/>
      <c r="AC2459" s="10"/>
      <c r="AD2459" s="10"/>
      <c r="AE2459" s="10"/>
    </row>
    <row r="2460" spans="1:31" ht="14.25" customHeight="1">
      <c r="A2460" s="277" t="s">
        <v>6468</v>
      </c>
      <c r="B2460" s="9" t="s">
        <v>21</v>
      </c>
      <c r="C2460" s="9">
        <v>2025</v>
      </c>
      <c r="D2460" s="9" t="s">
        <v>77</v>
      </c>
      <c r="E2460" s="90" t="s">
        <v>1315</v>
      </c>
      <c r="F2460" s="9" t="s">
        <v>1317</v>
      </c>
      <c r="G2460" s="10"/>
      <c r="H2460" s="9" t="s">
        <v>3766</v>
      </c>
      <c r="I2460" s="11" t="s">
        <v>1326</v>
      </c>
      <c r="J2460" s="12">
        <v>45758</v>
      </c>
      <c r="K2460" s="122">
        <v>45937</v>
      </c>
      <c r="L2460" s="52">
        <f>500000+114000</f>
        <v>614000</v>
      </c>
      <c r="M2460" s="10" t="s">
        <v>3779</v>
      </c>
      <c r="N2460" s="34">
        <f t="shared" ca="1" si="524"/>
        <v>482.46377638888953</v>
      </c>
      <c r="O2460" s="11"/>
      <c r="P2460" s="39"/>
      <c r="Q2460" s="39"/>
      <c r="R2460" s="39"/>
      <c r="S2460" s="37">
        <f t="shared" si="522"/>
        <v>0</v>
      </c>
      <c r="T2460" s="37">
        <f t="shared" si="523"/>
        <v>614000</v>
      </c>
      <c r="U2460" s="10"/>
      <c r="V2460" s="10"/>
      <c r="W2460" s="10"/>
      <c r="X2460" s="10"/>
      <c r="Y2460" s="10"/>
      <c r="Z2460" s="10"/>
      <c r="AA2460" s="10"/>
      <c r="AB2460" s="10"/>
      <c r="AC2460" s="10"/>
      <c r="AD2460" s="10"/>
      <c r="AE2460" s="10"/>
    </row>
    <row r="2461" spans="1:31" ht="14.25" customHeight="1">
      <c r="A2461" s="277" t="s">
        <v>6469</v>
      </c>
      <c r="B2461" s="9" t="s">
        <v>21</v>
      </c>
      <c r="C2461" s="9">
        <v>2025</v>
      </c>
      <c r="D2461" s="9" t="s">
        <v>77</v>
      </c>
      <c r="E2461" s="90" t="s">
        <v>1315</v>
      </c>
      <c r="F2461" s="9" t="s">
        <v>1317</v>
      </c>
      <c r="G2461" s="10"/>
      <c r="H2461" s="9" t="s">
        <v>3767</v>
      </c>
      <c r="I2461" s="11" t="s">
        <v>1326</v>
      </c>
      <c r="J2461" s="12">
        <v>45758</v>
      </c>
      <c r="K2461" s="122">
        <v>45937</v>
      </c>
      <c r="L2461" s="52">
        <f>65000+60000+225000</f>
        <v>350000</v>
      </c>
      <c r="M2461" s="10" t="s">
        <v>3778</v>
      </c>
      <c r="N2461" s="34">
        <f t="shared" ca="1" si="524"/>
        <v>482.46377638888953</v>
      </c>
      <c r="O2461" s="11"/>
      <c r="P2461" s="39"/>
      <c r="Q2461" s="39"/>
      <c r="R2461" s="39"/>
      <c r="S2461" s="37">
        <f t="shared" si="522"/>
        <v>0</v>
      </c>
      <c r="T2461" s="37">
        <f t="shared" si="523"/>
        <v>350000</v>
      </c>
      <c r="U2461" s="10"/>
      <c r="V2461" s="10"/>
      <c r="W2461" s="10"/>
      <c r="X2461" s="10"/>
      <c r="Y2461" s="10"/>
      <c r="Z2461" s="10"/>
      <c r="AA2461" s="10"/>
      <c r="AB2461" s="10"/>
      <c r="AC2461" s="10"/>
      <c r="AD2461" s="10"/>
      <c r="AE2461" s="10"/>
    </row>
    <row r="2462" spans="1:31" ht="14.25" customHeight="1">
      <c r="A2462" s="277" t="s">
        <v>6470</v>
      </c>
      <c r="B2462" s="9" t="s">
        <v>21</v>
      </c>
      <c r="C2462" s="9">
        <v>2025</v>
      </c>
      <c r="D2462" s="9" t="s">
        <v>77</v>
      </c>
      <c r="E2462" s="90" t="s">
        <v>1315</v>
      </c>
      <c r="F2462" s="9" t="s">
        <v>1317</v>
      </c>
      <c r="G2462" s="10"/>
      <c r="H2462" s="9" t="s">
        <v>7395</v>
      </c>
      <c r="I2462" s="11" t="s">
        <v>1326</v>
      </c>
      <c r="J2462" s="12">
        <v>45769</v>
      </c>
      <c r="K2462" s="122">
        <v>46223</v>
      </c>
      <c r="L2462" s="52">
        <v>1510000</v>
      </c>
      <c r="M2462" s="10" t="s">
        <v>7396</v>
      </c>
      <c r="N2462" s="34">
        <f t="shared" ca="1" si="524"/>
        <v>471.46377638888953</v>
      </c>
      <c r="O2462" s="11"/>
      <c r="P2462" s="39"/>
      <c r="Q2462" s="39"/>
      <c r="R2462" s="39"/>
      <c r="S2462" s="37">
        <f t="shared" si="522"/>
        <v>0</v>
      </c>
      <c r="T2462" s="37">
        <f t="shared" si="523"/>
        <v>1510000</v>
      </c>
      <c r="U2462" s="10"/>
      <c r="V2462" s="10"/>
      <c r="W2462" s="10"/>
      <c r="X2462" s="10"/>
      <c r="Y2462" s="10"/>
      <c r="Z2462" s="10"/>
      <c r="AA2462" s="10"/>
      <c r="AB2462" s="10"/>
      <c r="AC2462" s="10"/>
      <c r="AD2462" s="10"/>
      <c r="AE2462" s="10"/>
    </row>
    <row r="2463" spans="1:31" ht="14.25" customHeight="1">
      <c r="A2463" s="277" t="s">
        <v>6471</v>
      </c>
      <c r="B2463" s="9" t="s">
        <v>21</v>
      </c>
      <c r="C2463" s="9"/>
      <c r="D2463" s="9"/>
      <c r="E2463" s="90"/>
      <c r="F2463" s="9"/>
      <c r="G2463" s="10"/>
      <c r="H2463" s="9"/>
      <c r="I2463" s="11"/>
      <c r="J2463" s="12"/>
      <c r="K2463" s="122"/>
      <c r="L2463" s="52"/>
      <c r="M2463" s="10"/>
      <c r="N2463" s="114"/>
      <c r="O2463" s="11"/>
      <c r="P2463" s="39"/>
      <c r="Q2463" s="39"/>
      <c r="R2463" s="39"/>
      <c r="S2463" s="37">
        <f t="shared" si="520"/>
        <v>0</v>
      </c>
      <c r="T2463" s="37">
        <f t="shared" si="521"/>
        <v>0</v>
      </c>
      <c r="U2463" s="10"/>
      <c r="V2463" s="10"/>
      <c r="W2463" s="10"/>
      <c r="X2463" s="10"/>
      <c r="Y2463" s="10"/>
      <c r="Z2463" s="10"/>
      <c r="AA2463" s="10"/>
      <c r="AB2463" s="10"/>
      <c r="AC2463" s="10"/>
      <c r="AD2463" s="10"/>
      <c r="AE2463" s="10"/>
    </row>
    <row r="2464" spans="1:31" ht="14.25" customHeight="1">
      <c r="A2464" s="277" t="s">
        <v>6472</v>
      </c>
      <c r="B2464" s="9" t="s">
        <v>21</v>
      </c>
      <c r="C2464" s="9"/>
      <c r="D2464" s="9"/>
      <c r="E2464" s="90"/>
      <c r="F2464" s="9"/>
      <c r="G2464" s="10"/>
      <c r="H2464" s="9"/>
      <c r="I2464" s="11"/>
      <c r="J2464" s="12"/>
      <c r="K2464" s="12"/>
      <c r="L2464" s="52"/>
      <c r="M2464" s="10"/>
      <c r="N2464" s="9"/>
      <c r="O2464" s="11"/>
      <c r="P2464" s="39"/>
      <c r="Q2464" s="39"/>
      <c r="R2464" s="39"/>
      <c r="S2464" s="37">
        <f t="shared" si="520"/>
        <v>0</v>
      </c>
      <c r="T2464" s="37">
        <f t="shared" si="521"/>
        <v>0</v>
      </c>
      <c r="U2464" s="10"/>
      <c r="V2464" s="10"/>
      <c r="W2464" s="10"/>
      <c r="X2464" s="10"/>
      <c r="Y2464" s="10"/>
      <c r="Z2464" s="10"/>
      <c r="AA2464" s="10"/>
      <c r="AB2464" s="10"/>
      <c r="AC2464" s="10"/>
      <c r="AD2464" s="10"/>
      <c r="AE2464" s="10"/>
    </row>
    <row r="2465" spans="1:31">
      <c r="A2465" s="277" t="s">
        <v>6473</v>
      </c>
      <c r="B2465" s="9" t="s">
        <v>21</v>
      </c>
      <c r="C2465" s="9"/>
      <c r="D2465" s="9"/>
      <c r="E2465" s="90"/>
      <c r="F2465" s="9"/>
      <c r="G2465" s="94" t="s">
        <v>24</v>
      </c>
      <c r="H2465" s="95" t="s">
        <v>1366</v>
      </c>
      <c r="I2465" s="104"/>
      <c r="J2465" s="105"/>
      <c r="K2465" s="105"/>
      <c r="L2465" s="106">
        <f>SUM(L2466:L2474)</f>
        <v>23307000</v>
      </c>
      <c r="M2465" s="107"/>
      <c r="N2465" s="108" t="s">
        <v>26</v>
      </c>
      <c r="O2465" s="108"/>
      <c r="P2465" s="108"/>
      <c r="Q2465" s="108"/>
      <c r="R2465" s="108"/>
      <c r="S2465" s="106">
        <f>SUM(S2466:S2474)</f>
        <v>23307000</v>
      </c>
      <c r="T2465" s="106">
        <f>SUM(T2466:T2474)</f>
        <v>0</v>
      </c>
      <c r="U2465" s="41"/>
      <c r="V2465" s="52">
        <f>L2465-S2465</f>
        <v>0</v>
      </c>
      <c r="W2465" s="52">
        <f>T2465-V2465</f>
        <v>0</v>
      </c>
      <c r="X2465" s="41"/>
      <c r="Y2465" s="41"/>
      <c r="Z2465" s="41"/>
      <c r="AA2465" s="41"/>
      <c r="AB2465" s="41"/>
      <c r="AC2465" s="41"/>
      <c r="AD2465" s="41"/>
      <c r="AE2465" s="41"/>
    </row>
    <row r="2466" spans="1:31" hidden="1">
      <c r="A2466" s="277" t="s">
        <v>6474</v>
      </c>
      <c r="B2466" s="9" t="s">
        <v>21</v>
      </c>
      <c r="C2466" s="9">
        <v>2024</v>
      </c>
      <c r="D2466" s="9" t="s">
        <v>27</v>
      </c>
      <c r="E2466" s="90" t="s">
        <v>1315</v>
      </c>
      <c r="F2466" s="9" t="s">
        <v>1317</v>
      </c>
      <c r="G2466" s="10"/>
      <c r="H2466" s="96" t="s">
        <v>1367</v>
      </c>
      <c r="I2466" s="109" t="s">
        <v>1368</v>
      </c>
      <c r="J2466" s="115">
        <v>45526</v>
      </c>
      <c r="K2466" s="115">
        <v>45528</v>
      </c>
      <c r="L2466" s="183">
        <v>3465000</v>
      </c>
      <c r="M2466" s="147" t="s">
        <v>1369</v>
      </c>
      <c r="N2466" s="34" t="s">
        <v>29</v>
      </c>
      <c r="O2466" s="125">
        <f>SUM(L2466:L2467)</f>
        <v>8229000</v>
      </c>
      <c r="P2466" s="113">
        <v>45663</v>
      </c>
      <c r="Q2466" s="113">
        <v>45663</v>
      </c>
      <c r="R2466" s="113">
        <v>45663</v>
      </c>
      <c r="S2466" s="37">
        <f t="shared" ref="S2466:S2473" si="525">IF(R2466="",0,L2466)</f>
        <v>3465000</v>
      </c>
      <c r="T2466" s="37">
        <f t="shared" ref="T2466:T2473" si="526">L2466-S2466</f>
        <v>0</v>
      </c>
      <c r="U2466" s="10"/>
      <c r="V2466" s="10"/>
      <c r="W2466" s="10"/>
      <c r="X2466" s="10"/>
      <c r="Y2466" s="10"/>
      <c r="Z2466" s="10"/>
      <c r="AA2466" s="10"/>
      <c r="AB2466" s="10"/>
      <c r="AC2466" s="10"/>
      <c r="AD2466" s="10"/>
      <c r="AE2466" s="10"/>
    </row>
    <row r="2467" spans="1:31" hidden="1">
      <c r="A2467" s="277" t="s">
        <v>6475</v>
      </c>
      <c r="B2467" s="9" t="s">
        <v>21</v>
      </c>
      <c r="C2467" s="9">
        <v>2024</v>
      </c>
      <c r="D2467" s="9" t="s">
        <v>27</v>
      </c>
      <c r="E2467" s="90" t="s">
        <v>1315</v>
      </c>
      <c r="F2467" s="9" t="s">
        <v>1317</v>
      </c>
      <c r="G2467" s="10"/>
      <c r="H2467" s="96" t="s">
        <v>1370</v>
      </c>
      <c r="I2467" s="109" t="s">
        <v>1368</v>
      </c>
      <c r="J2467" s="115">
        <v>45526</v>
      </c>
      <c r="K2467" s="115">
        <v>45528</v>
      </c>
      <c r="L2467" s="183">
        <v>4764000</v>
      </c>
      <c r="M2467" s="147" t="s">
        <v>1371</v>
      </c>
      <c r="N2467" s="34" t="s">
        <v>29</v>
      </c>
      <c r="O2467" s="125"/>
      <c r="P2467" s="113">
        <v>45663</v>
      </c>
      <c r="Q2467" s="113">
        <v>45663</v>
      </c>
      <c r="R2467" s="113">
        <v>45663</v>
      </c>
      <c r="S2467" s="37">
        <f t="shared" si="525"/>
        <v>4764000</v>
      </c>
      <c r="T2467" s="37">
        <f t="shared" si="526"/>
        <v>0</v>
      </c>
      <c r="U2467" s="10"/>
      <c r="V2467" s="10"/>
      <c r="W2467" s="10"/>
      <c r="X2467" s="10"/>
      <c r="Y2467" s="10"/>
      <c r="Z2467" s="10"/>
      <c r="AA2467" s="10"/>
      <c r="AB2467" s="10"/>
      <c r="AC2467" s="10"/>
      <c r="AD2467" s="10"/>
      <c r="AE2467" s="10"/>
    </row>
    <row r="2468" spans="1:31" hidden="1">
      <c r="A2468" s="277" t="s">
        <v>6476</v>
      </c>
      <c r="B2468" s="9" t="s">
        <v>21</v>
      </c>
      <c r="C2468" s="9">
        <v>2025</v>
      </c>
      <c r="D2468" s="9" t="s">
        <v>27</v>
      </c>
      <c r="E2468" s="90" t="s">
        <v>1315</v>
      </c>
      <c r="F2468" s="9" t="s">
        <v>1317</v>
      </c>
      <c r="G2468" s="10"/>
      <c r="H2468" s="96" t="s">
        <v>1372</v>
      </c>
      <c r="I2468" s="109" t="s">
        <v>1368</v>
      </c>
      <c r="J2468" s="115">
        <v>45764</v>
      </c>
      <c r="K2468" s="115">
        <v>45768</v>
      </c>
      <c r="L2468" s="183">
        <v>1139000</v>
      </c>
      <c r="M2468" s="147" t="s">
        <v>1373</v>
      </c>
      <c r="N2468" s="34" t="s">
        <v>29</v>
      </c>
      <c r="O2468" s="125">
        <f>SUM(L2468:L2469)</f>
        <v>3208000</v>
      </c>
      <c r="P2468" s="113">
        <v>45869</v>
      </c>
      <c r="Q2468" s="113">
        <v>45869</v>
      </c>
      <c r="R2468" s="113">
        <v>45869</v>
      </c>
      <c r="S2468" s="37">
        <f t="shared" si="525"/>
        <v>1139000</v>
      </c>
      <c r="T2468" s="37">
        <f t="shared" si="526"/>
        <v>0</v>
      </c>
      <c r="U2468" s="10"/>
      <c r="V2468" s="10"/>
      <c r="W2468" s="10"/>
      <c r="X2468" s="10"/>
      <c r="Y2468" s="10"/>
      <c r="Z2468" s="10"/>
      <c r="AA2468" s="10"/>
      <c r="AB2468" s="10"/>
      <c r="AC2468" s="10"/>
      <c r="AD2468" s="10"/>
      <c r="AE2468" s="10"/>
    </row>
    <row r="2469" spans="1:31" hidden="1">
      <c r="A2469" s="277" t="s">
        <v>6477</v>
      </c>
      <c r="B2469" s="9" t="s">
        <v>21</v>
      </c>
      <c r="C2469" s="9">
        <v>2025</v>
      </c>
      <c r="D2469" s="9" t="s">
        <v>27</v>
      </c>
      <c r="E2469" s="90" t="s">
        <v>1315</v>
      </c>
      <c r="F2469" s="9" t="s">
        <v>1317</v>
      </c>
      <c r="G2469" s="10"/>
      <c r="H2469" s="96" t="s">
        <v>1372</v>
      </c>
      <c r="I2469" s="109" t="s">
        <v>1368</v>
      </c>
      <c r="J2469" s="115">
        <v>45764</v>
      </c>
      <c r="K2469" s="115">
        <v>45768</v>
      </c>
      <c r="L2469" s="183">
        <v>2069000</v>
      </c>
      <c r="M2469" s="147" t="s">
        <v>1374</v>
      </c>
      <c r="N2469" s="34" t="s">
        <v>29</v>
      </c>
      <c r="P2469" s="113">
        <v>45869</v>
      </c>
      <c r="Q2469" s="113">
        <v>45869</v>
      </c>
      <c r="R2469" s="113">
        <v>45869</v>
      </c>
      <c r="S2469" s="37">
        <f t="shared" si="525"/>
        <v>2069000</v>
      </c>
      <c r="T2469" s="37">
        <f t="shared" si="526"/>
        <v>0</v>
      </c>
      <c r="U2469" s="10"/>
      <c r="V2469" s="10"/>
      <c r="W2469" s="10"/>
      <c r="X2469" s="10"/>
      <c r="Y2469" s="10"/>
      <c r="Z2469" s="10"/>
      <c r="AA2469" s="10"/>
      <c r="AB2469" s="10"/>
      <c r="AC2469" s="10"/>
      <c r="AD2469" s="10"/>
      <c r="AE2469" s="10"/>
    </row>
    <row r="2470" spans="1:31" hidden="1">
      <c r="A2470" s="277" t="s">
        <v>6478</v>
      </c>
      <c r="B2470" s="9" t="s">
        <v>21</v>
      </c>
      <c r="C2470" s="9">
        <v>2025</v>
      </c>
      <c r="D2470" s="9" t="s">
        <v>27</v>
      </c>
      <c r="E2470" s="90" t="s">
        <v>1315</v>
      </c>
      <c r="F2470" s="9" t="s">
        <v>1317</v>
      </c>
      <c r="G2470" s="10"/>
      <c r="H2470" s="96" t="s">
        <v>1372</v>
      </c>
      <c r="I2470" s="109" t="s">
        <v>1368</v>
      </c>
      <c r="J2470" s="115">
        <v>45764</v>
      </c>
      <c r="K2470" s="115">
        <v>45768</v>
      </c>
      <c r="L2470" s="183">
        <f>3000000+3660000</f>
        <v>6660000</v>
      </c>
      <c r="M2470" s="147" t="s">
        <v>1375</v>
      </c>
      <c r="N2470" s="34" t="s">
        <v>29</v>
      </c>
      <c r="O2470" s="11"/>
      <c r="P2470" s="113">
        <v>45869</v>
      </c>
      <c r="Q2470" s="113">
        <v>45869</v>
      </c>
      <c r="R2470" s="113">
        <v>45869</v>
      </c>
      <c r="S2470" s="37">
        <f t="shared" si="525"/>
        <v>6660000</v>
      </c>
      <c r="T2470" s="37">
        <f t="shared" si="526"/>
        <v>0</v>
      </c>
      <c r="U2470" s="10"/>
      <c r="V2470" s="10"/>
      <c r="W2470" s="10"/>
      <c r="X2470" s="10"/>
      <c r="Y2470" s="10"/>
      <c r="Z2470" s="10"/>
      <c r="AA2470" s="10"/>
      <c r="AB2470" s="10"/>
      <c r="AC2470" s="10"/>
      <c r="AD2470" s="10"/>
      <c r="AE2470" s="10"/>
    </row>
    <row r="2471" spans="1:31" ht="14.25" hidden="1" customHeight="1">
      <c r="A2471" s="277" t="s">
        <v>6479</v>
      </c>
      <c r="B2471" s="9" t="s">
        <v>21</v>
      </c>
      <c r="C2471" s="9">
        <v>2025</v>
      </c>
      <c r="D2471" s="9" t="s">
        <v>27</v>
      </c>
      <c r="E2471" s="90" t="s">
        <v>1315</v>
      </c>
      <c r="F2471" s="9" t="s">
        <v>1317</v>
      </c>
      <c r="G2471" s="10"/>
      <c r="H2471" s="96" t="s">
        <v>1372</v>
      </c>
      <c r="I2471" s="109" t="s">
        <v>1368</v>
      </c>
      <c r="J2471" s="115">
        <v>45764</v>
      </c>
      <c r="K2471" s="115">
        <v>45768</v>
      </c>
      <c r="L2471" s="183">
        <v>2069000</v>
      </c>
      <c r="M2471" s="147" t="s">
        <v>1376</v>
      </c>
      <c r="N2471" s="34" t="s">
        <v>29</v>
      </c>
      <c r="O2471" s="11"/>
      <c r="P2471" s="113">
        <v>45869</v>
      </c>
      <c r="Q2471" s="113">
        <v>45869</v>
      </c>
      <c r="R2471" s="113">
        <v>45869</v>
      </c>
      <c r="S2471" s="37">
        <f t="shared" si="525"/>
        <v>2069000</v>
      </c>
      <c r="T2471" s="37">
        <f t="shared" si="526"/>
        <v>0</v>
      </c>
      <c r="U2471" s="10"/>
      <c r="V2471" s="10"/>
      <c r="W2471" s="10"/>
      <c r="X2471" s="10"/>
      <c r="Y2471" s="10"/>
      <c r="Z2471" s="10"/>
      <c r="AA2471" s="10"/>
      <c r="AB2471" s="10"/>
      <c r="AC2471" s="10"/>
      <c r="AD2471" s="10"/>
      <c r="AE2471" s="10"/>
    </row>
    <row r="2472" spans="1:31" ht="14.25" customHeight="1">
      <c r="A2472" s="277" t="s">
        <v>6480</v>
      </c>
      <c r="B2472" s="9" t="s">
        <v>21</v>
      </c>
      <c r="C2472" s="9">
        <v>2025</v>
      </c>
      <c r="D2472" s="9" t="s">
        <v>27</v>
      </c>
      <c r="E2472" s="90" t="s">
        <v>1315</v>
      </c>
      <c r="F2472" s="9" t="s">
        <v>1317</v>
      </c>
      <c r="G2472" s="10"/>
      <c r="H2472" s="96" t="s">
        <v>1377</v>
      </c>
      <c r="I2472" s="109" t="s">
        <v>1368</v>
      </c>
      <c r="J2472" s="115">
        <v>45772</v>
      </c>
      <c r="K2472" s="115">
        <v>45775</v>
      </c>
      <c r="L2472" s="183">
        <f>5210000-2069000</f>
        <v>3141000</v>
      </c>
      <c r="M2472" s="147" t="s">
        <v>1378</v>
      </c>
      <c r="N2472" s="34" t="s">
        <v>29</v>
      </c>
      <c r="O2472" s="11"/>
      <c r="P2472" s="113">
        <v>45896</v>
      </c>
      <c r="Q2472" s="113">
        <v>45896</v>
      </c>
      <c r="R2472" s="113">
        <v>45896</v>
      </c>
      <c r="S2472" s="37">
        <f t="shared" si="525"/>
        <v>3141000</v>
      </c>
      <c r="T2472" s="37">
        <f t="shared" si="526"/>
        <v>0</v>
      </c>
      <c r="U2472" s="10"/>
      <c r="V2472" s="10"/>
      <c r="W2472" s="10"/>
      <c r="X2472" s="10"/>
      <c r="Y2472" s="10"/>
      <c r="Z2472" s="10"/>
      <c r="AA2472" s="10"/>
      <c r="AB2472" s="10"/>
      <c r="AC2472" s="10"/>
      <c r="AD2472" s="10"/>
      <c r="AE2472" s="10"/>
    </row>
    <row r="2473" spans="1:31" ht="14.25" customHeight="1">
      <c r="A2473" s="277" t="s">
        <v>6481</v>
      </c>
      <c r="B2473" s="9" t="s">
        <v>21</v>
      </c>
      <c r="C2473" s="9"/>
      <c r="D2473" s="9"/>
      <c r="E2473" s="90"/>
      <c r="F2473" s="9"/>
      <c r="G2473" s="10"/>
      <c r="H2473" s="9"/>
      <c r="I2473" s="11"/>
      <c r="J2473" s="12"/>
      <c r="K2473" s="12"/>
      <c r="L2473" s="103"/>
      <c r="M2473" s="103"/>
      <c r="N2473" s="114">
        <f ca="1">$J$3-J2473</f>
        <v>46240.46377638889</v>
      </c>
      <c r="O2473" s="93"/>
      <c r="P2473" s="33"/>
      <c r="Q2473" s="33"/>
      <c r="R2473" s="33"/>
      <c r="S2473" s="37">
        <f t="shared" si="525"/>
        <v>0</v>
      </c>
      <c r="T2473" s="37">
        <f t="shared" si="526"/>
        <v>0</v>
      </c>
      <c r="U2473" s="10"/>
      <c r="V2473" s="10"/>
      <c r="W2473" s="10"/>
      <c r="X2473" s="10"/>
      <c r="Y2473" s="10"/>
      <c r="Z2473" s="10"/>
      <c r="AA2473" s="10"/>
      <c r="AB2473" s="10"/>
      <c r="AC2473" s="10"/>
      <c r="AD2473" s="10"/>
      <c r="AE2473" s="10"/>
    </row>
    <row r="2474" spans="1:31" ht="14.25" customHeight="1">
      <c r="A2474" s="277" t="s">
        <v>6482</v>
      </c>
      <c r="B2474" s="9" t="s">
        <v>21</v>
      </c>
      <c r="C2474" s="9"/>
      <c r="D2474" s="9"/>
      <c r="E2474" s="90"/>
      <c r="F2474" s="9"/>
      <c r="G2474" s="10"/>
      <c r="H2474" s="9"/>
      <c r="I2474" s="11"/>
      <c r="J2474" s="12"/>
      <c r="K2474" s="12"/>
      <c r="L2474" s="52"/>
      <c r="M2474" s="10"/>
      <c r="N2474" s="9"/>
      <c r="O2474" s="11"/>
      <c r="P2474" s="39"/>
      <c r="Q2474" s="39"/>
      <c r="R2474" s="39"/>
      <c r="S2474" s="37"/>
      <c r="T2474" s="37"/>
      <c r="U2474" s="10"/>
      <c r="V2474" s="10"/>
      <c r="W2474" s="10"/>
      <c r="X2474" s="10"/>
      <c r="Y2474" s="10"/>
      <c r="Z2474" s="10"/>
      <c r="AA2474" s="10"/>
      <c r="AB2474" s="10"/>
      <c r="AC2474" s="10"/>
      <c r="AD2474" s="10"/>
      <c r="AE2474" s="10"/>
    </row>
    <row r="2475" spans="1:31" ht="14.25" customHeight="1">
      <c r="A2475" s="277" t="s">
        <v>6483</v>
      </c>
      <c r="B2475" s="9" t="s">
        <v>21</v>
      </c>
      <c r="C2475" s="9"/>
      <c r="D2475" s="9"/>
      <c r="E2475" s="90"/>
      <c r="F2475" s="9"/>
      <c r="G2475" s="94" t="s">
        <v>24</v>
      </c>
      <c r="H2475" s="95" t="s">
        <v>1379</v>
      </c>
      <c r="I2475" s="104"/>
      <c r="J2475" s="105"/>
      <c r="K2475" s="105"/>
      <c r="L2475" s="106">
        <f>SUM(L2476:L2479)</f>
        <v>15146000</v>
      </c>
      <c r="M2475" s="107"/>
      <c r="N2475" s="108" t="s">
        <v>26</v>
      </c>
      <c r="O2475" s="108"/>
      <c r="P2475" s="108"/>
      <c r="Q2475" s="108"/>
      <c r="R2475" s="108"/>
      <c r="S2475" s="106">
        <f>SUM(S2476:S2479)</f>
        <v>15146000</v>
      </c>
      <c r="T2475" s="106">
        <f>SUM(T2476:T2479)</f>
        <v>0</v>
      </c>
      <c r="U2475" s="10"/>
      <c r="V2475" s="52">
        <f>L2475-S2475</f>
        <v>0</v>
      </c>
      <c r="W2475" s="52">
        <f>T2475-V2475</f>
        <v>0</v>
      </c>
      <c r="X2475" s="10"/>
      <c r="Y2475" s="10"/>
      <c r="Z2475" s="10"/>
      <c r="AA2475" s="10"/>
      <c r="AB2475" s="10"/>
      <c r="AC2475" s="10"/>
      <c r="AD2475" s="10"/>
      <c r="AE2475" s="10"/>
    </row>
    <row r="2476" spans="1:31" ht="14.25" customHeight="1">
      <c r="A2476" s="277" t="s">
        <v>6484</v>
      </c>
      <c r="B2476" s="9" t="s">
        <v>21</v>
      </c>
      <c r="C2476" s="9">
        <v>2025</v>
      </c>
      <c r="D2476" s="9" t="s">
        <v>27</v>
      </c>
      <c r="E2476" s="90" t="s">
        <v>1315</v>
      </c>
      <c r="F2476" s="9" t="s">
        <v>1317</v>
      </c>
      <c r="G2476" s="10"/>
      <c r="H2476" s="96"/>
      <c r="I2476" s="109" t="s">
        <v>1380</v>
      </c>
      <c r="J2476" s="115">
        <v>45671</v>
      </c>
      <c r="K2476" s="115">
        <v>45672</v>
      </c>
      <c r="L2476" s="183">
        <v>1550000</v>
      </c>
      <c r="M2476" s="147" t="s">
        <v>1381</v>
      </c>
      <c r="N2476" s="34" t="s">
        <v>29</v>
      </c>
      <c r="O2476" s="11"/>
      <c r="P2476" s="113">
        <v>45721</v>
      </c>
      <c r="Q2476" s="113">
        <v>45721</v>
      </c>
      <c r="R2476" s="113">
        <v>45721</v>
      </c>
      <c r="S2476" s="37">
        <f>IF(R2476="",0,L2476)</f>
        <v>1550000</v>
      </c>
      <c r="T2476" s="37">
        <f>L2476-S2476</f>
        <v>0</v>
      </c>
      <c r="U2476" s="10"/>
      <c r="V2476" s="10"/>
      <c r="W2476" s="10"/>
      <c r="X2476" s="10"/>
      <c r="Y2476" s="10"/>
      <c r="Z2476" s="10"/>
      <c r="AA2476" s="10"/>
      <c r="AB2476" s="10"/>
      <c r="AC2476" s="10"/>
      <c r="AD2476" s="10"/>
      <c r="AE2476" s="10"/>
    </row>
    <row r="2477" spans="1:31" ht="14.25" customHeight="1">
      <c r="A2477" s="277" t="s">
        <v>6485</v>
      </c>
      <c r="B2477" s="9" t="s">
        <v>21</v>
      </c>
      <c r="C2477" s="9">
        <v>2025</v>
      </c>
      <c r="D2477" s="9" t="s">
        <v>27</v>
      </c>
      <c r="E2477" s="90" t="s">
        <v>1315</v>
      </c>
      <c r="F2477" s="9" t="s">
        <v>1317</v>
      </c>
      <c r="G2477" s="10"/>
      <c r="H2477" s="96"/>
      <c r="I2477" s="109" t="s">
        <v>1380</v>
      </c>
      <c r="J2477" s="115">
        <v>45761</v>
      </c>
      <c r="K2477" s="115">
        <v>45761</v>
      </c>
      <c r="L2477" s="183">
        <v>9620000</v>
      </c>
      <c r="M2477" s="147" t="s">
        <v>1382</v>
      </c>
      <c r="N2477" s="34" t="s">
        <v>29</v>
      </c>
      <c r="O2477" s="11"/>
      <c r="P2477" s="113">
        <v>45822</v>
      </c>
      <c r="Q2477" s="113">
        <v>45822</v>
      </c>
      <c r="R2477" s="113">
        <v>45822</v>
      </c>
      <c r="S2477" s="37">
        <f>IF(R2477="",0,L2477)</f>
        <v>9620000</v>
      </c>
      <c r="T2477" s="37">
        <f>L2477-S2477</f>
        <v>0</v>
      </c>
      <c r="U2477" s="10"/>
      <c r="V2477" s="10"/>
      <c r="W2477" s="10"/>
      <c r="X2477" s="10"/>
      <c r="Y2477" s="10"/>
      <c r="Z2477" s="10"/>
      <c r="AA2477" s="10"/>
      <c r="AB2477" s="10"/>
      <c r="AC2477" s="10"/>
      <c r="AD2477" s="10"/>
      <c r="AE2477" s="10"/>
    </row>
    <row r="2478" spans="1:31" ht="14.25" customHeight="1">
      <c r="A2478" s="277" t="s">
        <v>6486</v>
      </c>
      <c r="B2478" s="9" t="s">
        <v>21</v>
      </c>
      <c r="C2478" s="9">
        <v>2025</v>
      </c>
      <c r="D2478" s="9" t="s">
        <v>27</v>
      </c>
      <c r="E2478" s="90" t="s">
        <v>1315</v>
      </c>
      <c r="F2478" s="9" t="s">
        <v>1317</v>
      </c>
      <c r="G2478" s="10"/>
      <c r="H2478" s="96"/>
      <c r="I2478" s="109" t="s">
        <v>1380</v>
      </c>
      <c r="J2478" s="115">
        <v>45871</v>
      </c>
      <c r="K2478" s="115">
        <v>45876</v>
      </c>
      <c r="L2478" s="183">
        <v>3976000</v>
      </c>
      <c r="M2478" s="147" t="s">
        <v>1383</v>
      </c>
      <c r="N2478" s="34" t="s">
        <v>29</v>
      </c>
      <c r="O2478" s="11"/>
      <c r="P2478" s="113">
        <v>45904</v>
      </c>
      <c r="Q2478" s="113">
        <v>45904</v>
      </c>
      <c r="R2478" s="113">
        <v>45904</v>
      </c>
      <c r="S2478" s="37">
        <f>IF(R2478="",0,L2478)</f>
        <v>3976000</v>
      </c>
      <c r="T2478" s="37">
        <f>L2478-S2478</f>
        <v>0</v>
      </c>
      <c r="U2478" s="10"/>
      <c r="V2478" s="10"/>
      <c r="W2478" s="10"/>
      <c r="X2478" s="10"/>
      <c r="Y2478" s="10"/>
      <c r="Z2478" s="10"/>
      <c r="AA2478" s="10"/>
      <c r="AB2478" s="10"/>
      <c r="AC2478" s="10"/>
      <c r="AD2478" s="10"/>
      <c r="AE2478" s="10"/>
    </row>
    <row r="2479" spans="1:31" ht="14.25" customHeight="1">
      <c r="A2479" s="277" t="s">
        <v>6487</v>
      </c>
      <c r="B2479" s="9" t="s">
        <v>21</v>
      </c>
      <c r="C2479" s="9"/>
      <c r="D2479" s="9"/>
      <c r="E2479" s="90"/>
      <c r="F2479" s="9"/>
      <c r="G2479" s="10"/>
      <c r="H2479" s="9"/>
      <c r="I2479" s="11"/>
      <c r="J2479" s="12"/>
      <c r="K2479" s="12"/>
      <c r="L2479" s="52"/>
      <c r="M2479" s="10"/>
      <c r="N2479" s="114">
        <f ca="1">$J$3-J2479</f>
        <v>46240.46377638889</v>
      </c>
      <c r="O2479" s="11"/>
      <c r="P2479" s="39"/>
      <c r="Q2479" s="39"/>
      <c r="R2479" s="39"/>
      <c r="S2479" s="37">
        <f>IF(R2479="",0,L2479)</f>
        <v>0</v>
      </c>
      <c r="T2479" s="37">
        <f>L2479-S2479</f>
        <v>0</v>
      </c>
      <c r="U2479" s="10"/>
      <c r="V2479" s="10"/>
      <c r="W2479" s="10"/>
      <c r="X2479" s="10"/>
      <c r="Y2479" s="10"/>
      <c r="Z2479" s="10"/>
      <c r="AA2479" s="10"/>
      <c r="AB2479" s="10"/>
      <c r="AC2479" s="10"/>
      <c r="AD2479" s="10"/>
      <c r="AE2479" s="10"/>
    </row>
    <row r="2480" spans="1:31" ht="14.25" customHeight="1">
      <c r="A2480" s="277" t="s">
        <v>6488</v>
      </c>
      <c r="B2480" s="9" t="s">
        <v>21</v>
      </c>
      <c r="C2480" s="9"/>
      <c r="D2480" s="9"/>
      <c r="E2480" s="90"/>
      <c r="F2480" s="9"/>
      <c r="G2480" s="10"/>
      <c r="H2480" s="9"/>
      <c r="I2480" s="11"/>
      <c r="J2480" s="12"/>
      <c r="K2480" s="12"/>
      <c r="L2480" s="52"/>
      <c r="M2480" s="10"/>
      <c r="N2480" s="34"/>
      <c r="O2480" s="11"/>
      <c r="P2480" s="39"/>
      <c r="Q2480" s="39"/>
      <c r="R2480" s="39"/>
      <c r="S2480" s="37"/>
      <c r="T2480" s="37"/>
      <c r="U2480" s="10"/>
      <c r="V2480" s="10"/>
      <c r="W2480" s="10"/>
      <c r="X2480" s="10"/>
      <c r="Y2480" s="10"/>
      <c r="Z2480" s="10"/>
      <c r="AA2480" s="10"/>
      <c r="AB2480" s="10"/>
      <c r="AC2480" s="10"/>
      <c r="AD2480" s="10"/>
      <c r="AE2480" s="10"/>
    </row>
    <row r="2481" spans="1:31" ht="14.25" customHeight="1">
      <c r="A2481" s="277" t="s">
        <v>6489</v>
      </c>
      <c r="B2481" s="9" t="s">
        <v>21</v>
      </c>
      <c r="C2481" s="9"/>
      <c r="D2481" s="9"/>
      <c r="E2481" s="90"/>
      <c r="F2481" s="9"/>
      <c r="G2481" s="94" t="s">
        <v>24</v>
      </c>
      <c r="H2481" s="95" t="s">
        <v>1384</v>
      </c>
      <c r="I2481" s="104"/>
      <c r="J2481" s="105"/>
      <c r="K2481" s="105"/>
      <c r="L2481" s="106">
        <f>SUM(L2482:L2493)</f>
        <v>81088000</v>
      </c>
      <c r="M2481" s="107"/>
      <c r="N2481" s="108" t="s">
        <v>26</v>
      </c>
      <c r="O2481" s="108"/>
      <c r="P2481" s="108"/>
      <c r="Q2481" s="108"/>
      <c r="R2481" s="108"/>
      <c r="S2481" s="106">
        <f>SUM(S2482:S2493)</f>
        <v>56863000</v>
      </c>
      <c r="T2481" s="106">
        <f>SUM(T2482:T2493)</f>
        <v>24225000</v>
      </c>
      <c r="U2481" s="10"/>
      <c r="V2481" s="52">
        <f>L2481-S2481</f>
        <v>24225000</v>
      </c>
      <c r="W2481" s="52">
        <f>T2481-V2481</f>
        <v>0</v>
      </c>
      <c r="X2481" s="10"/>
      <c r="Y2481" s="10"/>
      <c r="Z2481" s="10"/>
      <c r="AA2481" s="10"/>
      <c r="AB2481" s="10"/>
      <c r="AC2481" s="10"/>
      <c r="AD2481" s="10"/>
      <c r="AE2481" s="10"/>
    </row>
    <row r="2482" spans="1:31" hidden="1">
      <c r="A2482" s="277" t="s">
        <v>7927</v>
      </c>
      <c r="B2482" s="9" t="s">
        <v>21</v>
      </c>
      <c r="C2482" s="9">
        <v>2025</v>
      </c>
      <c r="D2482" s="9" t="s">
        <v>27</v>
      </c>
      <c r="E2482" s="90" t="s">
        <v>1315</v>
      </c>
      <c r="F2482" s="9" t="s">
        <v>1317</v>
      </c>
      <c r="G2482" s="10"/>
      <c r="H2482" s="96" t="s">
        <v>1386</v>
      </c>
      <c r="I2482" s="109" t="s">
        <v>1385</v>
      </c>
      <c r="J2482" s="115">
        <v>45667</v>
      </c>
      <c r="K2482" s="115">
        <v>45672</v>
      </c>
      <c r="L2482" s="116">
        <v>7167000</v>
      </c>
      <c r="M2482" s="117" t="s">
        <v>1387</v>
      </c>
      <c r="N2482" s="34">
        <v>0</v>
      </c>
      <c r="O2482" s="11"/>
      <c r="P2482" s="113">
        <v>45713</v>
      </c>
      <c r="Q2482" s="113">
        <v>45713</v>
      </c>
      <c r="R2482" s="113">
        <v>45713</v>
      </c>
      <c r="S2482" s="37">
        <f t="shared" ref="S2482:S2493" si="527">IF(R2482="",0,L2482)</f>
        <v>7167000</v>
      </c>
      <c r="T2482" s="37">
        <f t="shared" ref="T2482:T2493" si="528">L2482-S2482</f>
        <v>0</v>
      </c>
      <c r="U2482" s="10"/>
      <c r="V2482" s="10"/>
      <c r="W2482" s="10"/>
      <c r="X2482" s="10"/>
      <c r="Y2482" s="10"/>
      <c r="Z2482" s="10"/>
      <c r="AA2482" s="10"/>
      <c r="AB2482" s="10"/>
      <c r="AC2482" s="10"/>
      <c r="AD2482" s="10"/>
      <c r="AE2482" s="10"/>
    </row>
    <row r="2483" spans="1:31" hidden="1">
      <c r="A2483" s="277" t="s">
        <v>7928</v>
      </c>
      <c r="B2483" s="9" t="s">
        <v>21</v>
      </c>
      <c r="C2483" s="9">
        <v>2025</v>
      </c>
      <c r="D2483" s="9" t="s">
        <v>27</v>
      </c>
      <c r="E2483" s="90" t="s">
        <v>1315</v>
      </c>
      <c r="F2483" s="9" t="s">
        <v>1317</v>
      </c>
      <c r="G2483" s="10"/>
      <c r="H2483" s="96" t="s">
        <v>1388</v>
      </c>
      <c r="I2483" s="109" t="s">
        <v>1385</v>
      </c>
      <c r="J2483" s="115">
        <v>45698</v>
      </c>
      <c r="K2483" s="115">
        <v>45702</v>
      </c>
      <c r="L2483" s="116">
        <v>6206000</v>
      </c>
      <c r="M2483" s="117" t="s">
        <v>1389</v>
      </c>
      <c r="N2483" s="34">
        <v>0</v>
      </c>
      <c r="O2483" s="11"/>
      <c r="P2483" s="113">
        <v>45734</v>
      </c>
      <c r="Q2483" s="113">
        <v>45734</v>
      </c>
      <c r="R2483" s="113">
        <v>45734</v>
      </c>
      <c r="S2483" s="37">
        <f t="shared" si="527"/>
        <v>6206000</v>
      </c>
      <c r="T2483" s="37">
        <f t="shared" si="528"/>
        <v>0</v>
      </c>
      <c r="U2483" s="10"/>
      <c r="V2483" s="10"/>
      <c r="W2483" s="10"/>
      <c r="X2483" s="10"/>
      <c r="Y2483" s="10"/>
      <c r="Z2483" s="10"/>
      <c r="AA2483" s="10"/>
      <c r="AB2483" s="10"/>
      <c r="AC2483" s="10"/>
      <c r="AD2483" s="10"/>
      <c r="AE2483" s="10"/>
    </row>
    <row r="2484" spans="1:31" hidden="1">
      <c r="A2484" s="277" t="s">
        <v>7929</v>
      </c>
      <c r="B2484" s="9" t="s">
        <v>21</v>
      </c>
      <c r="C2484" s="9">
        <v>2025</v>
      </c>
      <c r="D2484" s="9" t="s">
        <v>27</v>
      </c>
      <c r="E2484" s="90" t="s">
        <v>1315</v>
      </c>
      <c r="F2484" s="9" t="s">
        <v>1317</v>
      </c>
      <c r="G2484" s="10"/>
      <c r="H2484" s="96" t="s">
        <v>1390</v>
      </c>
      <c r="I2484" s="109" t="s">
        <v>1385</v>
      </c>
      <c r="J2484" s="115">
        <v>45741</v>
      </c>
      <c r="K2484" s="115">
        <v>45743</v>
      </c>
      <c r="L2484" s="116">
        <v>8740000</v>
      </c>
      <c r="M2484" s="117" t="s">
        <v>1391</v>
      </c>
      <c r="N2484" s="34">
        <v>0</v>
      </c>
      <c r="O2484" s="31">
        <f>SUM(L2484:L2485)</f>
        <v>12889000</v>
      </c>
      <c r="P2484" s="113">
        <v>45846</v>
      </c>
      <c r="Q2484" s="113">
        <v>45846</v>
      </c>
      <c r="R2484" s="113">
        <v>45846</v>
      </c>
      <c r="S2484" s="37">
        <f t="shared" si="527"/>
        <v>8740000</v>
      </c>
      <c r="T2484" s="37">
        <f t="shared" si="528"/>
        <v>0</v>
      </c>
      <c r="U2484" s="10"/>
      <c r="V2484" s="10"/>
      <c r="W2484" s="10"/>
      <c r="X2484" s="10"/>
      <c r="Y2484" s="10"/>
      <c r="Z2484" s="10"/>
      <c r="AA2484" s="10"/>
      <c r="AB2484" s="10"/>
      <c r="AC2484" s="10"/>
      <c r="AD2484" s="10"/>
      <c r="AE2484" s="10"/>
    </row>
    <row r="2485" spans="1:31" hidden="1">
      <c r="A2485" s="277" t="s">
        <v>6490</v>
      </c>
      <c r="B2485" s="9" t="s">
        <v>21</v>
      </c>
      <c r="C2485" s="9">
        <v>2025</v>
      </c>
      <c r="D2485" s="9" t="s">
        <v>27</v>
      </c>
      <c r="E2485" s="90" t="s">
        <v>1315</v>
      </c>
      <c r="F2485" s="9" t="s">
        <v>1317</v>
      </c>
      <c r="G2485" s="10"/>
      <c r="H2485" s="96" t="s">
        <v>1392</v>
      </c>
      <c r="I2485" s="109" t="s">
        <v>1385</v>
      </c>
      <c r="J2485" s="115">
        <v>45741</v>
      </c>
      <c r="K2485" s="115">
        <v>45743</v>
      </c>
      <c r="L2485" s="116">
        <v>4149000</v>
      </c>
      <c r="M2485" s="117" t="s">
        <v>1393</v>
      </c>
      <c r="N2485" s="34">
        <v>0</v>
      </c>
      <c r="O2485" s="11"/>
      <c r="P2485" s="113">
        <v>45853</v>
      </c>
      <c r="Q2485" s="113">
        <v>45853</v>
      </c>
      <c r="R2485" s="113">
        <v>45853</v>
      </c>
      <c r="S2485" s="37">
        <f t="shared" si="527"/>
        <v>4149000</v>
      </c>
      <c r="T2485" s="37">
        <f t="shared" si="528"/>
        <v>0</v>
      </c>
      <c r="U2485" s="10"/>
      <c r="V2485" s="10"/>
      <c r="W2485" s="10"/>
      <c r="X2485" s="10"/>
      <c r="Y2485" s="10"/>
      <c r="Z2485" s="10"/>
      <c r="AA2485" s="10"/>
      <c r="AB2485" s="10"/>
      <c r="AC2485" s="10"/>
      <c r="AD2485" s="10"/>
      <c r="AE2485" s="10"/>
    </row>
    <row r="2486" spans="1:31" hidden="1">
      <c r="A2486" s="277" t="s">
        <v>6491</v>
      </c>
      <c r="B2486" s="9" t="s">
        <v>21</v>
      </c>
      <c r="C2486" s="9">
        <v>2025</v>
      </c>
      <c r="D2486" s="9" t="s">
        <v>27</v>
      </c>
      <c r="E2486" s="90" t="s">
        <v>1315</v>
      </c>
      <c r="F2486" s="9" t="s">
        <v>1317</v>
      </c>
      <c r="G2486" s="10"/>
      <c r="H2486" s="96" t="s">
        <v>1394</v>
      </c>
      <c r="I2486" s="109" t="s">
        <v>1385</v>
      </c>
      <c r="J2486" s="115">
        <v>45773</v>
      </c>
      <c r="K2486" s="115">
        <v>45783</v>
      </c>
      <c r="L2486" s="116">
        <v>5701000</v>
      </c>
      <c r="M2486" s="117" t="s">
        <v>1395</v>
      </c>
      <c r="N2486" s="34">
        <v>0</v>
      </c>
      <c r="O2486" s="11"/>
      <c r="P2486" s="113">
        <v>45898</v>
      </c>
      <c r="Q2486" s="113">
        <v>45898</v>
      </c>
      <c r="R2486" s="113">
        <v>45898</v>
      </c>
      <c r="S2486" s="37">
        <f t="shared" si="527"/>
        <v>5701000</v>
      </c>
      <c r="T2486" s="37">
        <f t="shared" si="528"/>
        <v>0</v>
      </c>
      <c r="U2486" s="10"/>
      <c r="V2486" s="10"/>
      <c r="W2486" s="10"/>
      <c r="X2486" s="10"/>
      <c r="Y2486" s="10"/>
      <c r="Z2486" s="10"/>
      <c r="AA2486" s="10"/>
      <c r="AB2486" s="10"/>
      <c r="AC2486" s="10"/>
      <c r="AD2486" s="10"/>
      <c r="AE2486" s="10"/>
    </row>
    <row r="2487" spans="1:31" hidden="1">
      <c r="A2487" s="277" t="s">
        <v>6492</v>
      </c>
      <c r="B2487" s="9" t="s">
        <v>21</v>
      </c>
      <c r="C2487" s="9">
        <v>2025</v>
      </c>
      <c r="D2487" s="9" t="s">
        <v>27</v>
      </c>
      <c r="E2487" s="90" t="s">
        <v>1315</v>
      </c>
      <c r="F2487" s="9" t="s">
        <v>1317</v>
      </c>
      <c r="G2487" s="10"/>
      <c r="H2487" s="96" t="s">
        <v>1396</v>
      </c>
      <c r="I2487" s="109" t="s">
        <v>1385</v>
      </c>
      <c r="J2487" s="115">
        <v>45808</v>
      </c>
      <c r="K2487" s="115">
        <v>45810</v>
      </c>
      <c r="L2487" s="116">
        <v>5965000</v>
      </c>
      <c r="M2487" s="117" t="s">
        <v>1397</v>
      </c>
      <c r="N2487" s="34">
        <v>0</v>
      </c>
      <c r="O2487" s="31"/>
      <c r="P2487" s="113">
        <v>45958</v>
      </c>
      <c r="Q2487" s="113">
        <v>45958</v>
      </c>
      <c r="R2487" s="113">
        <v>45958</v>
      </c>
      <c r="S2487" s="37">
        <f t="shared" si="527"/>
        <v>5965000</v>
      </c>
      <c r="T2487" s="37">
        <f t="shared" si="528"/>
        <v>0</v>
      </c>
      <c r="U2487" s="10"/>
      <c r="V2487" s="10"/>
      <c r="W2487" s="10"/>
      <c r="X2487" s="10"/>
      <c r="Y2487" s="10"/>
      <c r="Z2487" s="10"/>
      <c r="AA2487" s="10"/>
      <c r="AB2487" s="10"/>
      <c r="AC2487" s="10"/>
      <c r="AD2487" s="10"/>
      <c r="AE2487" s="10"/>
    </row>
    <row r="2488" spans="1:31" hidden="1">
      <c r="A2488" s="277" t="s">
        <v>6493</v>
      </c>
      <c r="B2488" s="9" t="s">
        <v>21</v>
      </c>
      <c r="C2488" s="9">
        <v>2025</v>
      </c>
      <c r="D2488" s="9" t="s">
        <v>27</v>
      </c>
      <c r="E2488" s="90" t="s">
        <v>1315</v>
      </c>
      <c r="F2488" s="9" t="s">
        <v>1317</v>
      </c>
      <c r="G2488" s="10"/>
      <c r="H2488" s="96" t="s">
        <v>1398</v>
      </c>
      <c r="I2488" s="109" t="s">
        <v>1385</v>
      </c>
      <c r="J2488" s="115">
        <v>45868</v>
      </c>
      <c r="K2488" s="115">
        <v>45875</v>
      </c>
      <c r="L2488" s="116">
        <v>8615000</v>
      </c>
      <c r="M2488" s="117" t="s">
        <v>1399</v>
      </c>
      <c r="N2488" s="34">
        <v>0</v>
      </c>
      <c r="O2488" s="11"/>
      <c r="P2488" s="113">
        <v>45971</v>
      </c>
      <c r="Q2488" s="113">
        <v>45971</v>
      </c>
      <c r="R2488" s="113">
        <v>45971</v>
      </c>
      <c r="S2488" s="37">
        <f t="shared" si="527"/>
        <v>8615000</v>
      </c>
      <c r="T2488" s="37">
        <f t="shared" si="528"/>
        <v>0</v>
      </c>
      <c r="U2488" s="10"/>
      <c r="V2488" s="10"/>
      <c r="W2488" s="10"/>
      <c r="X2488" s="10"/>
      <c r="Y2488" s="10"/>
      <c r="Z2488" s="10"/>
      <c r="AA2488" s="10"/>
      <c r="AB2488" s="10"/>
      <c r="AC2488" s="10"/>
      <c r="AD2488" s="10"/>
      <c r="AE2488" s="10"/>
    </row>
    <row r="2489" spans="1:31" ht="14.25" customHeight="1">
      <c r="A2489" s="277" t="s">
        <v>6494</v>
      </c>
      <c r="B2489" s="9" t="s">
        <v>21</v>
      </c>
      <c r="C2489" s="9">
        <v>2025</v>
      </c>
      <c r="D2489" s="9" t="s">
        <v>77</v>
      </c>
      <c r="E2489" s="90" t="s">
        <v>1315</v>
      </c>
      <c r="F2489" s="9" t="s">
        <v>1317</v>
      </c>
      <c r="G2489" s="10"/>
      <c r="H2489" s="96" t="s">
        <v>3882</v>
      </c>
      <c r="I2489" s="109" t="s">
        <v>1385</v>
      </c>
      <c r="J2489" s="115">
        <v>45897</v>
      </c>
      <c r="K2489" s="115">
        <v>45909</v>
      </c>
      <c r="L2489" s="116">
        <v>10320000</v>
      </c>
      <c r="M2489" s="117" t="s">
        <v>1400</v>
      </c>
      <c r="N2489" s="34">
        <v>0</v>
      </c>
      <c r="O2489" s="11"/>
      <c r="P2489" s="113">
        <v>46032</v>
      </c>
      <c r="Q2489" s="113">
        <v>46032</v>
      </c>
      <c r="R2489" s="113">
        <v>46032</v>
      </c>
      <c r="S2489" s="37">
        <f t="shared" si="527"/>
        <v>10320000</v>
      </c>
      <c r="T2489" s="37">
        <f t="shared" si="528"/>
        <v>0</v>
      </c>
      <c r="U2489" s="10"/>
      <c r="V2489" s="10"/>
      <c r="W2489" s="10"/>
      <c r="X2489" s="10"/>
      <c r="Y2489" s="10"/>
      <c r="Z2489" s="10"/>
      <c r="AA2489" s="10"/>
      <c r="AB2489" s="10"/>
      <c r="AC2489" s="10"/>
      <c r="AD2489" s="10"/>
      <c r="AE2489" s="10"/>
    </row>
    <row r="2490" spans="1:31" ht="14.25" customHeight="1">
      <c r="A2490" s="277" t="s">
        <v>6495</v>
      </c>
      <c r="B2490" s="9" t="s">
        <v>21</v>
      </c>
      <c r="C2490" s="9">
        <v>2025</v>
      </c>
      <c r="D2490" s="9" t="s">
        <v>77</v>
      </c>
      <c r="E2490" s="90" t="s">
        <v>1315</v>
      </c>
      <c r="F2490" s="9" t="s">
        <v>1317</v>
      </c>
      <c r="G2490" s="10"/>
      <c r="H2490" s="9" t="s">
        <v>3883</v>
      </c>
      <c r="I2490" s="11" t="s">
        <v>1385</v>
      </c>
      <c r="J2490" s="12">
        <v>45945</v>
      </c>
      <c r="K2490" s="12">
        <v>45957</v>
      </c>
      <c r="L2490" s="27">
        <v>5790000</v>
      </c>
      <c r="M2490" s="10" t="s">
        <v>3884</v>
      </c>
      <c r="N2490" s="34">
        <f ca="1">$J$3-J2490</f>
        <v>295.46377638888953</v>
      </c>
      <c r="O2490" s="31">
        <f>SUM(L2490:L2491)</f>
        <v>15099000</v>
      </c>
      <c r="P2490" s="39"/>
      <c r="Q2490" s="39"/>
      <c r="R2490" s="39"/>
      <c r="S2490" s="37">
        <f t="shared" si="527"/>
        <v>0</v>
      </c>
      <c r="T2490" s="37">
        <f t="shared" si="528"/>
        <v>5790000</v>
      </c>
      <c r="U2490" s="10"/>
      <c r="V2490" s="10"/>
      <c r="W2490" s="10"/>
      <c r="X2490" s="10"/>
      <c r="Y2490" s="10"/>
      <c r="Z2490" s="10"/>
      <c r="AA2490" s="10"/>
      <c r="AB2490" s="10"/>
      <c r="AC2490" s="10"/>
      <c r="AD2490" s="10"/>
      <c r="AE2490" s="10"/>
    </row>
    <row r="2491" spans="1:31" ht="14.25" customHeight="1">
      <c r="A2491" s="277" t="s">
        <v>6496</v>
      </c>
      <c r="B2491" s="9" t="s">
        <v>21</v>
      </c>
      <c r="C2491" s="9">
        <v>2025</v>
      </c>
      <c r="D2491" s="9" t="s">
        <v>77</v>
      </c>
      <c r="E2491" s="90" t="s">
        <v>1315</v>
      </c>
      <c r="F2491" s="9" t="s">
        <v>1317</v>
      </c>
      <c r="G2491" s="10"/>
      <c r="H2491" s="9" t="s">
        <v>4102</v>
      </c>
      <c r="I2491" s="11" t="s">
        <v>1385</v>
      </c>
      <c r="J2491" s="12">
        <v>45990</v>
      </c>
      <c r="K2491" s="12">
        <v>46007</v>
      </c>
      <c r="L2491" s="27">
        <v>9309000</v>
      </c>
      <c r="M2491" s="10" t="s">
        <v>4103</v>
      </c>
      <c r="N2491" s="34">
        <f ca="1">$J$3-J2491</f>
        <v>250.46377638888953</v>
      </c>
      <c r="O2491" s="11"/>
      <c r="P2491" s="39"/>
      <c r="Q2491" s="39"/>
      <c r="R2491" s="39"/>
      <c r="S2491" s="37">
        <f t="shared" si="527"/>
        <v>0</v>
      </c>
      <c r="T2491" s="37">
        <f t="shared" si="528"/>
        <v>9309000</v>
      </c>
      <c r="U2491" s="10"/>
      <c r="V2491" s="10"/>
      <c r="W2491" s="10"/>
      <c r="X2491" s="10"/>
      <c r="Y2491" s="10"/>
      <c r="Z2491" s="10"/>
      <c r="AA2491" s="10"/>
      <c r="AB2491" s="10"/>
      <c r="AC2491" s="10"/>
      <c r="AD2491" s="10"/>
      <c r="AE2491" s="10"/>
    </row>
    <row r="2492" spans="1:31" ht="14.25" customHeight="1">
      <c r="A2492" s="277" t="s">
        <v>6497</v>
      </c>
      <c r="B2492" s="9" t="s">
        <v>21</v>
      </c>
      <c r="C2492" s="9">
        <v>2025</v>
      </c>
      <c r="D2492" s="9" t="s">
        <v>77</v>
      </c>
      <c r="E2492" s="90" t="s">
        <v>1315</v>
      </c>
      <c r="F2492" s="9" t="s">
        <v>1317</v>
      </c>
      <c r="G2492" s="10"/>
      <c r="H2492" s="9" t="s">
        <v>4102</v>
      </c>
      <c r="I2492" s="11" t="s">
        <v>1385</v>
      </c>
      <c r="J2492" s="12">
        <v>46063</v>
      </c>
      <c r="K2492" s="12">
        <v>46069</v>
      </c>
      <c r="L2492" s="27">
        <v>9126000</v>
      </c>
      <c r="M2492" s="10" t="s">
        <v>4352</v>
      </c>
      <c r="N2492" s="34">
        <f ca="1">$J$3-J2492</f>
        <v>177.46377638888953</v>
      </c>
      <c r="O2492" s="11"/>
      <c r="P2492" s="39"/>
      <c r="Q2492" s="39"/>
      <c r="R2492" s="39"/>
      <c r="S2492" s="37">
        <f t="shared" si="527"/>
        <v>0</v>
      </c>
      <c r="T2492" s="37">
        <f t="shared" si="528"/>
        <v>9126000</v>
      </c>
      <c r="U2492" s="10"/>
      <c r="V2492" s="10"/>
      <c r="W2492" s="10"/>
      <c r="X2492" s="10"/>
      <c r="Y2492" s="10"/>
      <c r="Z2492" s="10"/>
      <c r="AA2492" s="10"/>
      <c r="AB2492" s="10"/>
      <c r="AC2492" s="10"/>
      <c r="AD2492" s="10"/>
      <c r="AE2492" s="10"/>
    </row>
    <row r="2493" spans="1:31" ht="14.25" customHeight="1">
      <c r="A2493" s="277" t="s">
        <v>6498</v>
      </c>
      <c r="B2493" s="9" t="s">
        <v>21</v>
      </c>
      <c r="C2493" s="9"/>
      <c r="D2493" s="9"/>
      <c r="E2493" s="90"/>
      <c r="F2493" s="9"/>
      <c r="G2493" s="10"/>
      <c r="H2493" s="9"/>
      <c r="I2493" s="11"/>
      <c r="J2493" s="12"/>
      <c r="K2493" s="12"/>
      <c r="L2493" s="52"/>
      <c r="M2493" s="10"/>
      <c r="N2493" s="114">
        <f ca="1">$J$3-J2493</f>
        <v>46240.46377638889</v>
      </c>
      <c r="O2493" s="11"/>
      <c r="P2493" s="39"/>
      <c r="Q2493" s="39"/>
      <c r="R2493" s="39"/>
      <c r="S2493" s="37">
        <f t="shared" si="527"/>
        <v>0</v>
      </c>
      <c r="T2493" s="37">
        <f t="shared" si="528"/>
        <v>0</v>
      </c>
      <c r="U2493" s="10"/>
      <c r="V2493" s="10"/>
      <c r="W2493" s="10"/>
      <c r="X2493" s="10"/>
      <c r="Y2493" s="10"/>
      <c r="Z2493" s="10"/>
      <c r="AA2493" s="10"/>
      <c r="AB2493" s="10"/>
      <c r="AC2493" s="10"/>
      <c r="AD2493" s="10"/>
      <c r="AE2493" s="10"/>
    </row>
    <row r="2494" spans="1:31" ht="14.25" customHeight="1">
      <c r="A2494" s="277" t="s">
        <v>6499</v>
      </c>
      <c r="B2494" s="9" t="s">
        <v>21</v>
      </c>
      <c r="C2494" s="9"/>
      <c r="D2494" s="9"/>
      <c r="E2494" s="90"/>
      <c r="F2494" s="9"/>
      <c r="G2494" s="10"/>
      <c r="H2494" s="9"/>
      <c r="I2494" s="11"/>
      <c r="J2494" s="12"/>
      <c r="K2494" s="12"/>
      <c r="L2494" s="52"/>
      <c r="M2494" s="10"/>
      <c r="N2494" s="9"/>
      <c r="O2494" s="11"/>
      <c r="P2494" s="39"/>
      <c r="Q2494" s="39"/>
      <c r="R2494" s="39"/>
      <c r="S2494" s="37"/>
      <c r="T2494" s="37"/>
      <c r="U2494" s="10"/>
      <c r="V2494" s="10"/>
      <c r="W2494" s="10"/>
      <c r="X2494" s="10"/>
      <c r="Y2494" s="10"/>
      <c r="Z2494" s="10"/>
      <c r="AA2494" s="10"/>
      <c r="AB2494" s="10"/>
      <c r="AC2494" s="10"/>
      <c r="AD2494" s="10"/>
      <c r="AE2494" s="10"/>
    </row>
    <row r="2495" spans="1:31" ht="14.25" customHeight="1">
      <c r="A2495" s="277" t="s">
        <v>6500</v>
      </c>
      <c r="B2495" s="9" t="s">
        <v>21</v>
      </c>
      <c r="C2495" s="9"/>
      <c r="D2495" s="9"/>
      <c r="E2495" s="90"/>
      <c r="F2495" s="9"/>
      <c r="G2495" s="94" t="s">
        <v>24</v>
      </c>
      <c r="H2495" s="95" t="s">
        <v>1401</v>
      </c>
      <c r="I2495" s="104"/>
      <c r="J2495" s="105"/>
      <c r="K2495" s="105"/>
      <c r="L2495" s="106">
        <f>SUM(L2496:L2499)</f>
        <v>2231640</v>
      </c>
      <c r="M2495" s="107"/>
      <c r="N2495" s="108" t="s">
        <v>26</v>
      </c>
      <c r="O2495" s="108"/>
      <c r="P2495" s="108"/>
      <c r="Q2495" s="108"/>
      <c r="R2495" s="108"/>
      <c r="S2495" s="106">
        <f>SUM(S2496:S2499)</f>
        <v>2231640</v>
      </c>
      <c r="T2495" s="106">
        <f>SUM(T2496:T2499)</f>
        <v>0</v>
      </c>
      <c r="U2495" s="10"/>
      <c r="V2495" s="52">
        <f>L2495-S2495</f>
        <v>0</v>
      </c>
      <c r="W2495" s="52">
        <f>T2495-V2495</f>
        <v>0</v>
      </c>
      <c r="X2495" s="10"/>
      <c r="Y2495" s="10"/>
      <c r="Z2495" s="10"/>
      <c r="AA2495" s="10"/>
      <c r="AB2495" s="10"/>
      <c r="AC2495" s="10"/>
      <c r="AD2495" s="10"/>
      <c r="AE2495" s="10"/>
    </row>
    <row r="2496" spans="1:31" ht="14.25" customHeight="1">
      <c r="A2496" s="277" t="s">
        <v>6501</v>
      </c>
      <c r="B2496" s="9" t="s">
        <v>21</v>
      </c>
      <c r="C2496" s="9">
        <v>2025</v>
      </c>
      <c r="D2496" s="9" t="s">
        <v>27</v>
      </c>
      <c r="E2496" s="90" t="s">
        <v>1315</v>
      </c>
      <c r="F2496" s="9" t="s">
        <v>1317</v>
      </c>
      <c r="G2496" s="120"/>
      <c r="H2496" s="121"/>
      <c r="I2496" s="121" t="s">
        <v>1401</v>
      </c>
      <c r="J2496" s="110">
        <v>45693</v>
      </c>
      <c r="K2496" s="110">
        <v>45703</v>
      </c>
      <c r="L2496" s="111">
        <v>1046160</v>
      </c>
      <c r="M2496" s="112" t="s">
        <v>1402</v>
      </c>
      <c r="N2496" s="34" t="s">
        <v>29</v>
      </c>
      <c r="O2496" s="120"/>
      <c r="P2496" s="124">
        <v>45734</v>
      </c>
      <c r="Q2496" s="124">
        <v>45734</v>
      </c>
      <c r="R2496" s="124">
        <v>45734</v>
      </c>
      <c r="S2496" s="37">
        <f>IF(R2496="",0,L2496)</f>
        <v>1046160</v>
      </c>
      <c r="T2496" s="37">
        <f>L2496-S2496</f>
        <v>0</v>
      </c>
      <c r="U2496" s="10"/>
      <c r="V2496" s="52"/>
      <c r="W2496" s="52"/>
      <c r="X2496" s="10"/>
      <c r="Y2496" s="10"/>
      <c r="Z2496" s="10"/>
      <c r="AA2496" s="10"/>
      <c r="AB2496" s="10"/>
      <c r="AC2496" s="10"/>
      <c r="AD2496" s="10"/>
      <c r="AE2496" s="10"/>
    </row>
    <row r="2497" spans="1:31" ht="14.25" customHeight="1">
      <c r="A2497" s="277" t="s">
        <v>6502</v>
      </c>
      <c r="B2497" s="9" t="s">
        <v>21</v>
      </c>
      <c r="C2497" s="9">
        <v>2025</v>
      </c>
      <c r="D2497" s="9" t="s">
        <v>27</v>
      </c>
      <c r="E2497" s="90" t="s">
        <v>1315</v>
      </c>
      <c r="F2497" s="9" t="s">
        <v>1317</v>
      </c>
      <c r="G2497" s="120"/>
      <c r="H2497" s="121"/>
      <c r="I2497" s="121" t="s">
        <v>1401</v>
      </c>
      <c r="J2497" s="110">
        <v>45880</v>
      </c>
      <c r="K2497" s="110">
        <v>45890</v>
      </c>
      <c r="L2497" s="111">
        <v>1185480</v>
      </c>
      <c r="M2497" s="112" t="s">
        <v>1403</v>
      </c>
      <c r="N2497" s="34" t="s">
        <v>29</v>
      </c>
      <c r="O2497" s="120"/>
      <c r="P2497" s="124">
        <v>45931</v>
      </c>
      <c r="Q2497" s="124">
        <v>45931</v>
      </c>
      <c r="R2497" s="124">
        <v>45931</v>
      </c>
      <c r="S2497" s="37">
        <f>IF(R2497="",0,L2497)</f>
        <v>1185480</v>
      </c>
      <c r="T2497" s="37">
        <f>L2497-S2497</f>
        <v>0</v>
      </c>
      <c r="U2497" s="10"/>
      <c r="V2497" s="52"/>
      <c r="W2497" s="52"/>
      <c r="X2497" s="10"/>
      <c r="Y2497" s="10"/>
      <c r="Z2497" s="10"/>
      <c r="AA2497" s="10"/>
      <c r="AB2497" s="10"/>
      <c r="AC2497" s="10"/>
      <c r="AD2497" s="10"/>
      <c r="AE2497" s="10"/>
    </row>
    <row r="2498" spans="1:31" ht="14.25" customHeight="1">
      <c r="A2498" s="277" t="s">
        <v>6503</v>
      </c>
      <c r="B2498" s="9" t="s">
        <v>21</v>
      </c>
      <c r="C2498" s="9"/>
      <c r="D2498" s="9"/>
      <c r="E2498" s="90"/>
      <c r="F2498" s="9"/>
      <c r="G2498" s="10"/>
      <c r="H2498" s="9"/>
      <c r="I2498" s="11"/>
      <c r="J2498" s="12"/>
      <c r="K2498" s="12"/>
      <c r="L2498" s="52"/>
      <c r="M2498" s="10"/>
      <c r="N2498" s="114">
        <f ca="1">$J$3-J2498</f>
        <v>46240.46377638889</v>
      </c>
      <c r="O2498" s="11"/>
      <c r="P2498" s="39"/>
      <c r="Q2498" s="39"/>
      <c r="R2498" s="39"/>
      <c r="S2498" s="37">
        <f>IF(R2498="",0,L2498)</f>
        <v>0</v>
      </c>
      <c r="T2498" s="37">
        <f>L2498-S2498</f>
        <v>0</v>
      </c>
      <c r="U2498" s="10"/>
      <c r="V2498" s="10"/>
      <c r="W2498" s="10"/>
      <c r="X2498" s="10"/>
      <c r="Y2498" s="10"/>
      <c r="Z2498" s="10"/>
      <c r="AA2498" s="10"/>
      <c r="AB2498" s="10"/>
      <c r="AC2498" s="10"/>
      <c r="AD2498" s="10"/>
      <c r="AE2498" s="10"/>
    </row>
    <row r="2499" spans="1:31" ht="14.25" customHeight="1">
      <c r="A2499" s="277" t="s">
        <v>6504</v>
      </c>
      <c r="B2499" s="9" t="s">
        <v>21</v>
      </c>
      <c r="C2499" s="9"/>
      <c r="D2499" s="9"/>
      <c r="E2499" s="90"/>
      <c r="F2499" s="9"/>
      <c r="G2499" s="9"/>
      <c r="H2499" s="93"/>
      <c r="I2499" s="11"/>
      <c r="J2499" s="12"/>
      <c r="K2499" s="12"/>
      <c r="L2499" s="118"/>
      <c r="M2499" s="103"/>
      <c r="N2499" s="33"/>
      <c r="O2499" s="33"/>
      <c r="P2499" s="33"/>
      <c r="Q2499" s="33"/>
      <c r="R2499" s="33"/>
      <c r="S2499" s="118"/>
      <c r="T2499" s="118"/>
      <c r="U2499" s="10"/>
      <c r="V2499" s="10"/>
      <c r="W2499" s="10"/>
      <c r="X2499" s="10"/>
      <c r="Y2499" s="10"/>
      <c r="Z2499" s="10"/>
      <c r="AA2499" s="10"/>
      <c r="AB2499" s="10"/>
      <c r="AC2499" s="10"/>
      <c r="AD2499" s="10"/>
      <c r="AE2499" s="10"/>
    </row>
    <row r="2500" spans="1:31">
      <c r="A2500" s="277" t="s">
        <v>6505</v>
      </c>
      <c r="B2500" s="9" t="s">
        <v>21</v>
      </c>
      <c r="C2500" s="9"/>
      <c r="D2500" s="9"/>
      <c r="E2500" s="90"/>
      <c r="F2500" s="9"/>
      <c r="G2500" s="94" t="s">
        <v>24</v>
      </c>
      <c r="H2500" s="95" t="s">
        <v>1404</v>
      </c>
      <c r="I2500" s="104"/>
      <c r="J2500" s="105"/>
      <c r="K2500" s="105"/>
      <c r="L2500" s="106">
        <f>SUM(L2501:L2515)</f>
        <v>7000000</v>
      </c>
      <c r="M2500" s="107"/>
      <c r="N2500" s="108" t="s">
        <v>26</v>
      </c>
      <c r="O2500" s="108"/>
      <c r="P2500" s="108"/>
      <c r="Q2500" s="108"/>
      <c r="R2500" s="108"/>
      <c r="S2500" s="106">
        <f>SUM(S2501:S2515)</f>
        <v>6000000</v>
      </c>
      <c r="T2500" s="106">
        <f>SUM(T2501:T2515)</f>
        <v>1000000</v>
      </c>
      <c r="U2500" s="10"/>
      <c r="V2500" s="52">
        <f>L2500-S2500</f>
        <v>1000000</v>
      </c>
      <c r="W2500" s="52">
        <f>T2500-V2500</f>
        <v>0</v>
      </c>
      <c r="X2500" s="10"/>
      <c r="Y2500" s="10"/>
      <c r="Z2500" s="10"/>
      <c r="AA2500" s="10"/>
      <c r="AB2500" s="10"/>
      <c r="AC2500" s="10"/>
      <c r="AD2500" s="10"/>
      <c r="AE2500" s="10"/>
    </row>
    <row r="2501" spans="1:31" ht="14.25" hidden="1" customHeight="1">
      <c r="A2501" s="277" t="s">
        <v>6506</v>
      </c>
      <c r="B2501" s="9" t="s">
        <v>21</v>
      </c>
      <c r="C2501" s="9">
        <v>2024</v>
      </c>
      <c r="D2501" s="9" t="s">
        <v>27</v>
      </c>
      <c r="E2501" s="90" t="s">
        <v>1315</v>
      </c>
      <c r="F2501" s="9" t="s">
        <v>1317</v>
      </c>
      <c r="G2501" s="10"/>
      <c r="H2501" s="96" t="s">
        <v>1406</v>
      </c>
      <c r="I2501" s="109" t="s">
        <v>1405</v>
      </c>
      <c r="J2501" s="115">
        <v>45678</v>
      </c>
      <c r="K2501" s="115">
        <v>45694</v>
      </c>
      <c r="L2501" s="116">
        <v>500000</v>
      </c>
      <c r="M2501" s="117" t="s">
        <v>1407</v>
      </c>
      <c r="N2501" s="34">
        <v>0</v>
      </c>
      <c r="O2501" s="27"/>
      <c r="P2501" s="181">
        <v>45743</v>
      </c>
      <c r="Q2501" s="181">
        <v>45743</v>
      </c>
      <c r="R2501" s="181">
        <v>45743</v>
      </c>
      <c r="S2501" s="37">
        <f t="shared" ref="S2501:S2503" si="529">IF(R2501="",0,L2501)</f>
        <v>500000</v>
      </c>
      <c r="T2501" s="37">
        <f t="shared" ref="T2501:T2503" si="530">L2501-S2501</f>
        <v>0</v>
      </c>
      <c r="U2501" s="10"/>
      <c r="V2501" s="10"/>
      <c r="W2501" s="10"/>
      <c r="X2501" s="10"/>
      <c r="Y2501" s="10"/>
      <c r="Z2501" s="10"/>
      <c r="AA2501" s="10"/>
      <c r="AB2501" s="10"/>
      <c r="AC2501" s="10"/>
      <c r="AD2501" s="10"/>
      <c r="AE2501" s="10"/>
    </row>
    <row r="2502" spans="1:31" ht="14.25" hidden="1" customHeight="1">
      <c r="A2502" s="277" t="s">
        <v>6507</v>
      </c>
      <c r="B2502" s="9" t="s">
        <v>21</v>
      </c>
      <c r="C2502" s="9">
        <v>2025</v>
      </c>
      <c r="D2502" s="9" t="s">
        <v>27</v>
      </c>
      <c r="E2502" s="90" t="s">
        <v>1315</v>
      </c>
      <c r="F2502" s="9" t="s">
        <v>1317</v>
      </c>
      <c r="G2502" s="10"/>
      <c r="H2502" s="96" t="s">
        <v>1408</v>
      </c>
      <c r="I2502" s="109" t="s">
        <v>1405</v>
      </c>
      <c r="J2502" s="115">
        <v>45702</v>
      </c>
      <c r="K2502" s="115">
        <v>45713</v>
      </c>
      <c r="L2502" s="116">
        <v>500000</v>
      </c>
      <c r="M2502" s="117" t="s">
        <v>1409</v>
      </c>
      <c r="N2502" s="34">
        <v>0</v>
      </c>
      <c r="O2502" s="27"/>
      <c r="P2502" s="181">
        <v>45743</v>
      </c>
      <c r="Q2502" s="181">
        <v>45743</v>
      </c>
      <c r="R2502" s="181">
        <v>45743</v>
      </c>
      <c r="S2502" s="37">
        <f t="shared" si="529"/>
        <v>500000</v>
      </c>
      <c r="T2502" s="37">
        <f t="shared" si="530"/>
        <v>0</v>
      </c>
      <c r="U2502" s="10"/>
      <c r="V2502" s="10"/>
      <c r="W2502" s="10"/>
      <c r="X2502" s="10"/>
      <c r="Y2502" s="10"/>
      <c r="Z2502" s="10"/>
      <c r="AA2502" s="10"/>
      <c r="AB2502" s="10"/>
      <c r="AC2502" s="10"/>
      <c r="AD2502" s="10"/>
      <c r="AE2502" s="10"/>
    </row>
    <row r="2503" spans="1:31" ht="14.25" hidden="1" customHeight="1">
      <c r="A2503" s="277" t="s">
        <v>6508</v>
      </c>
      <c r="B2503" s="9" t="s">
        <v>21</v>
      </c>
      <c r="C2503" s="9">
        <v>2025</v>
      </c>
      <c r="D2503" s="9" t="s">
        <v>27</v>
      </c>
      <c r="E2503" s="90" t="s">
        <v>1315</v>
      </c>
      <c r="F2503" s="9" t="s">
        <v>1317</v>
      </c>
      <c r="G2503" s="10"/>
      <c r="H2503" s="96" t="s">
        <v>1410</v>
      </c>
      <c r="I2503" s="109" t="s">
        <v>1405</v>
      </c>
      <c r="J2503" s="115">
        <v>45735</v>
      </c>
      <c r="K2503" s="115">
        <v>45757</v>
      </c>
      <c r="L2503" s="116">
        <v>500000</v>
      </c>
      <c r="M2503" s="117" t="s">
        <v>1411</v>
      </c>
      <c r="N2503" s="34">
        <v>0</v>
      </c>
      <c r="O2503" s="31">
        <f>SUM(L2503:L2504)</f>
        <v>1000000</v>
      </c>
      <c r="P2503" s="113">
        <v>45824</v>
      </c>
      <c r="Q2503" s="113">
        <v>45824</v>
      </c>
      <c r="R2503" s="113">
        <v>45824</v>
      </c>
      <c r="S2503" s="37">
        <f t="shared" si="529"/>
        <v>500000</v>
      </c>
      <c r="T2503" s="37">
        <f t="shared" si="530"/>
        <v>0</v>
      </c>
      <c r="U2503" s="10"/>
      <c r="V2503" s="10"/>
      <c r="W2503" s="10"/>
      <c r="X2503" s="10"/>
      <c r="Y2503" s="10"/>
      <c r="Z2503" s="10"/>
      <c r="AA2503" s="10"/>
      <c r="AB2503" s="10"/>
      <c r="AC2503" s="10"/>
      <c r="AD2503" s="10"/>
      <c r="AE2503" s="10"/>
    </row>
    <row r="2504" spans="1:31" ht="14.25" hidden="1" customHeight="1">
      <c r="A2504" s="277" t="s">
        <v>6509</v>
      </c>
      <c r="B2504" s="9" t="s">
        <v>21</v>
      </c>
      <c r="C2504" s="9">
        <v>2025</v>
      </c>
      <c r="D2504" s="9" t="s">
        <v>27</v>
      </c>
      <c r="E2504" s="90" t="s">
        <v>1315</v>
      </c>
      <c r="F2504" s="9" t="s">
        <v>1317</v>
      </c>
      <c r="G2504" s="10"/>
      <c r="H2504" s="96" t="s">
        <v>1412</v>
      </c>
      <c r="I2504" s="109" t="s">
        <v>1405</v>
      </c>
      <c r="J2504" s="115">
        <v>45764</v>
      </c>
      <c r="K2504" s="115">
        <v>45780</v>
      </c>
      <c r="L2504" s="116">
        <v>500000</v>
      </c>
      <c r="M2504" s="117" t="s">
        <v>1413</v>
      </c>
      <c r="N2504" s="34">
        <v>0</v>
      </c>
      <c r="O2504" s="11"/>
      <c r="P2504" s="113">
        <v>45824</v>
      </c>
      <c r="Q2504" s="113">
        <v>45824</v>
      </c>
      <c r="R2504" s="113">
        <v>45824</v>
      </c>
      <c r="S2504" s="37">
        <f t="shared" ref="S2504:S2514" si="531">IF(R2504="",0,L2504)</f>
        <v>500000</v>
      </c>
      <c r="T2504" s="37">
        <f t="shared" ref="T2504:T2514" si="532">L2504-S2504</f>
        <v>0</v>
      </c>
      <c r="U2504" s="10"/>
      <c r="V2504" s="10"/>
      <c r="W2504" s="10"/>
      <c r="X2504" s="10"/>
      <c r="Y2504" s="10"/>
      <c r="Z2504" s="10"/>
      <c r="AA2504" s="10"/>
      <c r="AB2504" s="10"/>
      <c r="AC2504" s="10"/>
      <c r="AD2504" s="10"/>
      <c r="AE2504" s="10"/>
    </row>
    <row r="2505" spans="1:31" ht="14.25" hidden="1" customHeight="1">
      <c r="A2505" s="277" t="s">
        <v>6510</v>
      </c>
      <c r="B2505" s="9" t="s">
        <v>21</v>
      </c>
      <c r="C2505" s="9">
        <v>2025</v>
      </c>
      <c r="D2505" s="9" t="s">
        <v>27</v>
      </c>
      <c r="E2505" s="90" t="s">
        <v>1315</v>
      </c>
      <c r="F2505" s="9" t="s">
        <v>1317</v>
      </c>
      <c r="G2505" s="10"/>
      <c r="H2505" s="96" t="s">
        <v>1414</v>
      </c>
      <c r="I2505" s="109" t="s">
        <v>1405</v>
      </c>
      <c r="J2505" s="115">
        <v>45796</v>
      </c>
      <c r="K2505" s="115">
        <v>45811</v>
      </c>
      <c r="L2505" s="116">
        <v>500000</v>
      </c>
      <c r="M2505" s="117" t="s">
        <v>1415</v>
      </c>
      <c r="N2505" s="34">
        <v>0</v>
      </c>
      <c r="O2505" s="31">
        <f>SUM(L2505:L2506)</f>
        <v>1000000</v>
      </c>
      <c r="P2505" s="113">
        <v>45889</v>
      </c>
      <c r="Q2505" s="113">
        <v>45889</v>
      </c>
      <c r="R2505" s="113">
        <v>45889</v>
      </c>
      <c r="S2505" s="37">
        <f t="shared" si="531"/>
        <v>500000</v>
      </c>
      <c r="T2505" s="37">
        <f t="shared" si="532"/>
        <v>0</v>
      </c>
      <c r="U2505" s="10"/>
      <c r="V2505" s="10"/>
      <c r="W2505" s="10"/>
      <c r="X2505" s="10"/>
      <c r="Y2505" s="10"/>
      <c r="Z2505" s="10"/>
      <c r="AA2505" s="10"/>
      <c r="AB2505" s="10"/>
      <c r="AC2505" s="10"/>
      <c r="AD2505" s="10"/>
      <c r="AE2505" s="10"/>
    </row>
    <row r="2506" spans="1:31" ht="14.25" hidden="1" customHeight="1">
      <c r="A2506" s="277" t="s">
        <v>6511</v>
      </c>
      <c r="B2506" s="9" t="s">
        <v>21</v>
      </c>
      <c r="C2506" s="9">
        <v>2025</v>
      </c>
      <c r="D2506" s="9" t="s">
        <v>27</v>
      </c>
      <c r="E2506" s="90" t="s">
        <v>1315</v>
      </c>
      <c r="F2506" s="9" t="s">
        <v>1317</v>
      </c>
      <c r="G2506" s="10"/>
      <c r="H2506" s="96" t="s">
        <v>1416</v>
      </c>
      <c r="I2506" s="109" t="s">
        <v>1405</v>
      </c>
      <c r="J2506" s="115">
        <v>45825</v>
      </c>
      <c r="K2506" s="115">
        <v>45847</v>
      </c>
      <c r="L2506" s="116">
        <v>500000</v>
      </c>
      <c r="M2506" s="117" t="s">
        <v>1417</v>
      </c>
      <c r="N2506" s="34">
        <v>0</v>
      </c>
      <c r="O2506" s="11"/>
      <c r="P2506" s="113">
        <v>45889</v>
      </c>
      <c r="Q2506" s="113">
        <v>45889</v>
      </c>
      <c r="R2506" s="113">
        <v>45889</v>
      </c>
      <c r="S2506" s="37">
        <f t="shared" si="531"/>
        <v>500000</v>
      </c>
      <c r="T2506" s="37">
        <f t="shared" si="532"/>
        <v>0</v>
      </c>
      <c r="U2506" s="10"/>
      <c r="V2506" s="10"/>
      <c r="W2506" s="10"/>
      <c r="X2506" s="10"/>
      <c r="Y2506" s="10"/>
      <c r="Z2506" s="10"/>
      <c r="AA2506" s="10"/>
      <c r="AB2506" s="10"/>
      <c r="AC2506" s="10"/>
      <c r="AD2506" s="10"/>
      <c r="AE2506" s="10"/>
    </row>
    <row r="2507" spans="1:31" ht="14.25" hidden="1" customHeight="1">
      <c r="A2507" s="277" t="s">
        <v>6512</v>
      </c>
      <c r="B2507" s="9" t="s">
        <v>21</v>
      </c>
      <c r="C2507" s="9">
        <v>2025</v>
      </c>
      <c r="D2507" s="9" t="s">
        <v>27</v>
      </c>
      <c r="E2507" s="90" t="s">
        <v>1315</v>
      </c>
      <c r="F2507" s="9" t="s">
        <v>1317</v>
      </c>
      <c r="G2507" s="10"/>
      <c r="H2507" s="96" t="s">
        <v>1418</v>
      </c>
      <c r="I2507" s="109" t="s">
        <v>1405</v>
      </c>
      <c r="J2507" s="115">
        <v>45854</v>
      </c>
      <c r="K2507" s="115">
        <v>45881</v>
      </c>
      <c r="L2507" s="116">
        <v>500000</v>
      </c>
      <c r="M2507" s="117" t="s">
        <v>1419</v>
      </c>
      <c r="N2507" s="34">
        <v>0</v>
      </c>
      <c r="O2507" s="31">
        <f>SUM(L2507:L2508)</f>
        <v>1000000</v>
      </c>
      <c r="P2507" s="113">
        <v>45945</v>
      </c>
      <c r="Q2507" s="113">
        <v>45945</v>
      </c>
      <c r="R2507" s="113">
        <v>45945</v>
      </c>
      <c r="S2507" s="37">
        <f t="shared" si="531"/>
        <v>500000</v>
      </c>
      <c r="T2507" s="37">
        <f t="shared" si="532"/>
        <v>0</v>
      </c>
      <c r="U2507" s="10"/>
      <c r="V2507" s="10"/>
      <c r="W2507" s="10"/>
      <c r="X2507" s="10"/>
      <c r="Y2507" s="10"/>
      <c r="Z2507" s="10"/>
      <c r="AA2507" s="10"/>
      <c r="AB2507" s="10"/>
      <c r="AC2507" s="10"/>
      <c r="AD2507" s="10"/>
      <c r="AE2507" s="10"/>
    </row>
    <row r="2508" spans="1:31" ht="14.25" hidden="1" customHeight="1">
      <c r="A2508" s="277" t="s">
        <v>6513</v>
      </c>
      <c r="B2508" s="9" t="s">
        <v>21</v>
      </c>
      <c r="C2508" s="9">
        <v>2025</v>
      </c>
      <c r="D2508" s="9" t="s">
        <v>27</v>
      </c>
      <c r="E2508" s="90" t="s">
        <v>1315</v>
      </c>
      <c r="F2508" s="9" t="s">
        <v>1317</v>
      </c>
      <c r="G2508" s="10"/>
      <c r="H2508" s="96" t="s">
        <v>1420</v>
      </c>
      <c r="I2508" s="109" t="s">
        <v>1405</v>
      </c>
      <c r="J2508" s="115">
        <v>45894</v>
      </c>
      <c r="K2508" s="115">
        <v>45916</v>
      </c>
      <c r="L2508" s="116">
        <v>500000</v>
      </c>
      <c r="M2508" s="117" t="s">
        <v>1421</v>
      </c>
      <c r="N2508" s="34">
        <v>0</v>
      </c>
      <c r="O2508" s="11"/>
      <c r="P2508" s="113">
        <v>45945</v>
      </c>
      <c r="Q2508" s="113">
        <v>45945</v>
      </c>
      <c r="R2508" s="113">
        <v>45945</v>
      </c>
      <c r="S2508" s="37">
        <f t="shared" si="531"/>
        <v>500000</v>
      </c>
      <c r="T2508" s="37">
        <f t="shared" si="532"/>
        <v>0</v>
      </c>
      <c r="U2508" s="10"/>
      <c r="V2508" s="10"/>
      <c r="W2508" s="10"/>
      <c r="X2508" s="10"/>
      <c r="Y2508" s="10"/>
      <c r="Z2508" s="10"/>
      <c r="AA2508" s="10"/>
      <c r="AB2508" s="10"/>
      <c r="AC2508" s="10"/>
      <c r="AD2508" s="10"/>
      <c r="AE2508" s="10"/>
    </row>
    <row r="2509" spans="1:31" ht="14.25" hidden="1" customHeight="1">
      <c r="A2509" s="277" t="s">
        <v>6514</v>
      </c>
      <c r="B2509" s="9" t="s">
        <v>21</v>
      </c>
      <c r="C2509" s="9">
        <v>2025</v>
      </c>
      <c r="D2509" s="9" t="s">
        <v>27</v>
      </c>
      <c r="E2509" s="90" t="s">
        <v>1315</v>
      </c>
      <c r="F2509" s="9" t="s">
        <v>1317</v>
      </c>
      <c r="G2509" s="10"/>
      <c r="H2509" s="96" t="s">
        <v>3879</v>
      </c>
      <c r="I2509" s="109" t="s">
        <v>1405</v>
      </c>
      <c r="J2509" s="115">
        <v>45918</v>
      </c>
      <c r="K2509" s="115">
        <v>45955</v>
      </c>
      <c r="L2509" s="116">
        <v>500000</v>
      </c>
      <c r="M2509" s="117" t="s">
        <v>3881</v>
      </c>
      <c r="N2509" s="34">
        <v>0</v>
      </c>
      <c r="O2509" s="31">
        <f>SUM(L2509:L2510)</f>
        <v>1000000</v>
      </c>
      <c r="P2509" s="113">
        <v>45982</v>
      </c>
      <c r="Q2509" s="113">
        <v>45982</v>
      </c>
      <c r="R2509" s="113">
        <v>45982</v>
      </c>
      <c r="S2509" s="37">
        <f t="shared" si="531"/>
        <v>500000</v>
      </c>
      <c r="T2509" s="37">
        <f t="shared" si="532"/>
        <v>0</v>
      </c>
      <c r="U2509" s="10"/>
      <c r="V2509" s="10"/>
      <c r="W2509" s="10"/>
      <c r="X2509" s="10"/>
      <c r="Y2509" s="10"/>
      <c r="Z2509" s="10"/>
      <c r="AA2509" s="10"/>
      <c r="AB2509" s="10"/>
      <c r="AC2509" s="10"/>
      <c r="AD2509" s="10"/>
      <c r="AE2509" s="10"/>
    </row>
    <row r="2510" spans="1:31" ht="14.25" hidden="1" customHeight="1">
      <c r="A2510" s="277" t="s">
        <v>6515</v>
      </c>
      <c r="B2510" s="9" t="s">
        <v>21</v>
      </c>
      <c r="C2510" s="9">
        <v>2025</v>
      </c>
      <c r="D2510" s="9" t="s">
        <v>27</v>
      </c>
      <c r="E2510" s="90" t="s">
        <v>1315</v>
      </c>
      <c r="F2510" s="9" t="s">
        <v>1317</v>
      </c>
      <c r="G2510" s="10"/>
      <c r="H2510" s="96" t="s">
        <v>3880</v>
      </c>
      <c r="I2510" s="109" t="s">
        <v>1405</v>
      </c>
      <c r="J2510" s="115">
        <v>45950</v>
      </c>
      <c r="K2510" s="115">
        <v>45955</v>
      </c>
      <c r="L2510" s="116">
        <v>500000</v>
      </c>
      <c r="M2510" s="117" t="s">
        <v>3948</v>
      </c>
      <c r="N2510" s="34">
        <v>0</v>
      </c>
      <c r="O2510" s="11"/>
      <c r="P2510" s="113">
        <v>45982</v>
      </c>
      <c r="Q2510" s="113">
        <v>45982</v>
      </c>
      <c r="R2510" s="113">
        <v>45982</v>
      </c>
      <c r="S2510" s="37">
        <f t="shared" si="531"/>
        <v>500000</v>
      </c>
      <c r="T2510" s="37">
        <f t="shared" si="532"/>
        <v>0</v>
      </c>
      <c r="U2510" s="10"/>
      <c r="V2510" s="10"/>
      <c r="W2510" s="10"/>
      <c r="X2510" s="10"/>
      <c r="Y2510" s="10"/>
      <c r="Z2510" s="10"/>
      <c r="AA2510" s="10"/>
      <c r="AB2510" s="10"/>
      <c r="AC2510" s="10"/>
      <c r="AD2510" s="10"/>
      <c r="AE2510" s="10"/>
    </row>
    <row r="2511" spans="1:31" ht="14.25" hidden="1" customHeight="1">
      <c r="A2511" s="277" t="s">
        <v>7203</v>
      </c>
      <c r="B2511" s="9" t="s">
        <v>21</v>
      </c>
      <c r="C2511" s="9">
        <v>2025</v>
      </c>
      <c r="D2511" s="9" t="s">
        <v>27</v>
      </c>
      <c r="E2511" s="90" t="s">
        <v>1315</v>
      </c>
      <c r="F2511" s="9" t="s">
        <v>1317</v>
      </c>
      <c r="G2511" s="10"/>
      <c r="H2511" s="96" t="s">
        <v>4083</v>
      </c>
      <c r="I2511" s="109" t="s">
        <v>1405</v>
      </c>
      <c r="J2511" s="115">
        <v>45979</v>
      </c>
      <c r="K2511" s="115">
        <v>46000</v>
      </c>
      <c r="L2511" s="116">
        <v>500000</v>
      </c>
      <c r="M2511" s="117" t="s">
        <v>4084</v>
      </c>
      <c r="N2511" s="34">
        <v>0</v>
      </c>
      <c r="O2511" s="11"/>
      <c r="P2511" s="113">
        <v>46107</v>
      </c>
      <c r="Q2511" s="113">
        <v>46107</v>
      </c>
      <c r="R2511" s="113">
        <v>46107</v>
      </c>
      <c r="S2511" s="37">
        <f t="shared" si="531"/>
        <v>500000</v>
      </c>
      <c r="T2511" s="37">
        <f t="shared" si="532"/>
        <v>0</v>
      </c>
      <c r="U2511" s="10"/>
      <c r="V2511" s="10"/>
      <c r="W2511" s="10"/>
      <c r="X2511" s="10"/>
      <c r="Y2511" s="10"/>
      <c r="Z2511" s="10"/>
      <c r="AA2511" s="10"/>
      <c r="AB2511" s="10"/>
      <c r="AC2511" s="10"/>
      <c r="AD2511" s="10"/>
      <c r="AE2511" s="10"/>
    </row>
    <row r="2512" spans="1:31" ht="14.25" customHeight="1">
      <c r="A2512" s="277" t="s">
        <v>7204</v>
      </c>
      <c r="B2512" s="9" t="s">
        <v>21</v>
      </c>
      <c r="C2512" s="9">
        <v>2025</v>
      </c>
      <c r="D2512" s="9" t="s">
        <v>27</v>
      </c>
      <c r="E2512" s="90" t="s">
        <v>1315</v>
      </c>
      <c r="F2512" s="9" t="s">
        <v>1317</v>
      </c>
      <c r="G2512" s="10"/>
      <c r="H2512" s="96" t="s">
        <v>4258</v>
      </c>
      <c r="I2512" s="109" t="s">
        <v>1405</v>
      </c>
      <c r="J2512" s="115">
        <v>46008</v>
      </c>
      <c r="K2512" s="115">
        <v>46042</v>
      </c>
      <c r="L2512" s="116">
        <v>500000</v>
      </c>
      <c r="M2512" s="117" t="s">
        <v>4259</v>
      </c>
      <c r="N2512" s="34">
        <v>0</v>
      </c>
      <c r="O2512" s="11"/>
      <c r="P2512" s="113">
        <v>46107</v>
      </c>
      <c r="Q2512" s="113">
        <v>46107</v>
      </c>
      <c r="R2512" s="113">
        <v>46107</v>
      </c>
      <c r="S2512" s="37">
        <f t="shared" si="531"/>
        <v>500000</v>
      </c>
      <c r="T2512" s="37">
        <f t="shared" si="532"/>
        <v>0</v>
      </c>
      <c r="U2512" s="10"/>
      <c r="V2512" s="10"/>
      <c r="W2512" s="10"/>
      <c r="X2512" s="10"/>
      <c r="Y2512" s="10"/>
      <c r="Z2512" s="10"/>
      <c r="AA2512" s="10"/>
      <c r="AB2512" s="10"/>
      <c r="AC2512" s="10"/>
      <c r="AD2512" s="10"/>
      <c r="AE2512" s="10"/>
    </row>
    <row r="2513" spans="1:31" ht="14.25" customHeight="1">
      <c r="A2513" s="277" t="s">
        <v>7205</v>
      </c>
      <c r="B2513" s="9" t="s">
        <v>21</v>
      </c>
      <c r="C2513" s="9">
        <v>2026</v>
      </c>
      <c r="D2513" s="9" t="s">
        <v>77</v>
      </c>
      <c r="E2513" s="90" t="s">
        <v>1315</v>
      </c>
      <c r="F2513" s="9" t="s">
        <v>1317</v>
      </c>
      <c r="G2513" s="10"/>
      <c r="H2513" s="9" t="s">
        <v>4395</v>
      </c>
      <c r="I2513" s="11" t="s">
        <v>1405</v>
      </c>
      <c r="J2513" s="12">
        <v>46043</v>
      </c>
      <c r="K2513" s="12">
        <v>46077</v>
      </c>
      <c r="L2513" s="27">
        <v>500000</v>
      </c>
      <c r="M2513" s="10" t="s">
        <v>4396</v>
      </c>
      <c r="N2513" s="34">
        <f ca="1">$J$3-J2513</f>
        <v>197.46377638888953</v>
      </c>
      <c r="O2513" s="11"/>
      <c r="P2513" s="39"/>
      <c r="Q2513" s="39"/>
      <c r="R2513" s="39"/>
      <c r="S2513" s="37">
        <f t="shared" si="531"/>
        <v>0</v>
      </c>
      <c r="T2513" s="37">
        <f t="shared" si="532"/>
        <v>500000</v>
      </c>
      <c r="U2513" s="10"/>
      <c r="V2513" s="10"/>
      <c r="W2513" s="10"/>
      <c r="X2513" s="10"/>
      <c r="Y2513" s="10"/>
      <c r="Z2513" s="10"/>
      <c r="AA2513" s="10"/>
      <c r="AB2513" s="10"/>
      <c r="AC2513" s="10"/>
      <c r="AD2513" s="10"/>
      <c r="AE2513" s="10"/>
    </row>
    <row r="2514" spans="1:31" ht="14.25" customHeight="1">
      <c r="A2514" s="277" t="s">
        <v>7206</v>
      </c>
      <c r="B2514" s="9" t="s">
        <v>21</v>
      </c>
      <c r="C2514" s="9">
        <v>2026</v>
      </c>
      <c r="D2514" s="9" t="s">
        <v>77</v>
      </c>
      <c r="E2514" s="90" t="s">
        <v>1315</v>
      </c>
      <c r="F2514" s="9" t="s">
        <v>1317</v>
      </c>
      <c r="G2514" s="10"/>
      <c r="H2514" s="9" t="s">
        <v>7084</v>
      </c>
      <c r="I2514" s="11" t="s">
        <v>1405</v>
      </c>
      <c r="J2514" s="12">
        <v>46079</v>
      </c>
      <c r="K2514" s="12">
        <v>46168</v>
      </c>
      <c r="L2514" s="27">
        <v>500000</v>
      </c>
      <c r="M2514" s="10" t="s">
        <v>7085</v>
      </c>
      <c r="N2514" s="34">
        <f ca="1">$J$3-J2514</f>
        <v>161.46377638888953</v>
      </c>
      <c r="O2514" s="11"/>
      <c r="P2514" s="39"/>
      <c r="Q2514" s="39"/>
      <c r="R2514" s="39"/>
      <c r="S2514" s="37">
        <f t="shared" si="531"/>
        <v>0</v>
      </c>
      <c r="T2514" s="37">
        <f t="shared" si="532"/>
        <v>500000</v>
      </c>
      <c r="U2514" s="10"/>
      <c r="V2514" s="10"/>
      <c r="W2514" s="10"/>
      <c r="X2514" s="10"/>
      <c r="Y2514" s="10"/>
      <c r="Z2514" s="10"/>
      <c r="AA2514" s="10"/>
      <c r="AB2514" s="10"/>
      <c r="AC2514" s="10"/>
      <c r="AD2514" s="10"/>
      <c r="AE2514" s="10"/>
    </row>
    <row r="2515" spans="1:31" ht="14.25" customHeight="1">
      <c r="A2515" s="277" t="s">
        <v>7207</v>
      </c>
      <c r="B2515" s="9" t="s">
        <v>21</v>
      </c>
      <c r="C2515" s="9"/>
      <c r="D2515" s="9"/>
      <c r="E2515" s="90"/>
      <c r="F2515" s="9"/>
      <c r="G2515" s="10"/>
      <c r="H2515" s="9"/>
      <c r="I2515" s="11"/>
      <c r="J2515" s="12"/>
      <c r="K2515" s="12"/>
      <c r="L2515" s="52"/>
      <c r="M2515" s="10"/>
      <c r="N2515" s="114">
        <f ca="1">$J$3-J2515</f>
        <v>46240.46377638889</v>
      </c>
      <c r="O2515" s="10"/>
      <c r="P2515" s="39"/>
      <c r="Q2515" s="39"/>
      <c r="R2515" s="39"/>
      <c r="S2515" s="37">
        <f>IF(R2515="",0,L2515)</f>
        <v>0</v>
      </c>
      <c r="T2515" s="37">
        <f>L2515-S2515</f>
        <v>0</v>
      </c>
      <c r="U2515" s="10"/>
      <c r="V2515" s="10"/>
      <c r="W2515" s="10"/>
      <c r="X2515" s="10"/>
      <c r="Y2515" s="10"/>
      <c r="Z2515" s="10"/>
      <c r="AA2515" s="10"/>
      <c r="AB2515" s="10"/>
      <c r="AC2515" s="10"/>
      <c r="AD2515" s="10"/>
      <c r="AE2515" s="10"/>
    </row>
    <row r="2516" spans="1:31" ht="14.25" customHeight="1">
      <c r="A2516" s="277" t="s">
        <v>7208</v>
      </c>
      <c r="B2516" s="9" t="s">
        <v>21</v>
      </c>
      <c r="C2516" s="9"/>
      <c r="D2516" s="9"/>
      <c r="E2516" s="90"/>
      <c r="F2516" s="9"/>
      <c r="G2516" s="10"/>
      <c r="H2516" s="9"/>
      <c r="I2516" s="11"/>
      <c r="J2516" s="12"/>
      <c r="K2516" s="12"/>
      <c r="L2516" s="52"/>
      <c r="M2516" s="10"/>
      <c r="N2516" s="9"/>
      <c r="O2516" s="11"/>
      <c r="P2516" s="39"/>
      <c r="Q2516" s="39"/>
      <c r="R2516" s="39"/>
      <c r="S2516" s="37"/>
      <c r="T2516" s="37"/>
      <c r="U2516" s="10"/>
      <c r="V2516" s="10"/>
      <c r="W2516" s="10"/>
      <c r="X2516" s="10"/>
      <c r="Y2516" s="10"/>
      <c r="Z2516" s="10"/>
      <c r="AA2516" s="10"/>
      <c r="AB2516" s="10"/>
      <c r="AC2516" s="10"/>
      <c r="AD2516" s="10"/>
      <c r="AE2516" s="10"/>
    </row>
    <row r="2517" spans="1:31" ht="14.25" customHeight="1">
      <c r="A2517" s="277" t="s">
        <v>7209</v>
      </c>
      <c r="B2517" s="9" t="s">
        <v>21</v>
      </c>
      <c r="C2517" s="9"/>
      <c r="D2517" s="9"/>
      <c r="E2517" s="90"/>
      <c r="F2517" s="9"/>
      <c r="G2517" s="94" t="s">
        <v>24</v>
      </c>
      <c r="H2517" s="95" t="s">
        <v>1422</v>
      </c>
      <c r="I2517" s="104"/>
      <c r="J2517" s="105"/>
      <c r="K2517" s="105"/>
      <c r="L2517" s="106">
        <f>SUM(L2518)</f>
        <v>0</v>
      </c>
      <c r="M2517" s="107"/>
      <c r="N2517" s="108" t="s">
        <v>26</v>
      </c>
      <c r="O2517" s="108"/>
      <c r="P2517" s="108"/>
      <c r="Q2517" s="108"/>
      <c r="R2517" s="108"/>
      <c r="S2517" s="106">
        <f>SUM(S2518)</f>
        <v>0</v>
      </c>
      <c r="T2517" s="106">
        <f>SUM(T2518)</f>
        <v>0</v>
      </c>
      <c r="U2517" s="10"/>
      <c r="V2517" s="52">
        <f>L2517-S2517</f>
        <v>0</v>
      </c>
      <c r="W2517" s="52">
        <f>T2517-V2517</f>
        <v>0</v>
      </c>
      <c r="X2517" s="10"/>
      <c r="Y2517" s="10"/>
      <c r="Z2517" s="10"/>
      <c r="AA2517" s="10"/>
      <c r="AB2517" s="10"/>
      <c r="AC2517" s="10"/>
      <c r="AD2517" s="10"/>
      <c r="AE2517" s="10"/>
    </row>
    <row r="2518" spans="1:31" ht="14.25" customHeight="1">
      <c r="A2518" s="277" t="s">
        <v>7210</v>
      </c>
      <c r="B2518" s="9" t="s">
        <v>21</v>
      </c>
      <c r="C2518" s="9"/>
      <c r="D2518" s="9"/>
      <c r="E2518" s="90"/>
      <c r="F2518" s="9"/>
      <c r="G2518" s="10"/>
      <c r="H2518" s="9"/>
      <c r="I2518" s="11"/>
      <c r="J2518" s="12"/>
      <c r="K2518" s="12"/>
      <c r="L2518" s="52"/>
      <c r="M2518" s="10"/>
      <c r="N2518" s="114">
        <f ca="1">$J$3-J2518</f>
        <v>46240.46377638889</v>
      </c>
      <c r="O2518" s="11"/>
      <c r="P2518" s="39"/>
      <c r="Q2518" s="39"/>
      <c r="R2518" s="39"/>
      <c r="S2518" s="37">
        <f>IF(R2518="",0,L2518)</f>
        <v>0</v>
      </c>
      <c r="T2518" s="37">
        <f>L2518-S2518</f>
        <v>0</v>
      </c>
      <c r="U2518" s="10"/>
      <c r="V2518" s="10"/>
      <c r="W2518" s="10"/>
      <c r="X2518" s="10"/>
      <c r="Y2518" s="10"/>
      <c r="Z2518" s="10"/>
      <c r="AA2518" s="10"/>
      <c r="AB2518" s="10"/>
      <c r="AC2518" s="10"/>
      <c r="AD2518" s="10"/>
      <c r="AE2518" s="10"/>
    </row>
    <row r="2519" spans="1:31" ht="14.25" customHeight="1">
      <c r="A2519" s="277" t="s">
        <v>7211</v>
      </c>
      <c r="B2519" s="9" t="s">
        <v>21</v>
      </c>
      <c r="C2519" s="9"/>
      <c r="D2519" s="9"/>
      <c r="E2519" s="90"/>
      <c r="F2519" s="9"/>
      <c r="G2519" s="10"/>
      <c r="H2519" s="9"/>
      <c r="I2519" s="11"/>
      <c r="J2519" s="12"/>
      <c r="K2519" s="12"/>
      <c r="L2519" s="52"/>
      <c r="M2519" s="10"/>
      <c r="N2519" s="9"/>
      <c r="O2519" s="11"/>
      <c r="P2519" s="39"/>
      <c r="Q2519" s="39"/>
      <c r="R2519" s="39"/>
      <c r="S2519" s="37"/>
      <c r="T2519" s="37"/>
      <c r="U2519" s="10"/>
      <c r="V2519" s="10"/>
      <c r="W2519" s="10"/>
      <c r="X2519" s="10"/>
      <c r="Y2519" s="10"/>
      <c r="Z2519" s="10"/>
      <c r="AA2519" s="10"/>
      <c r="AB2519" s="10"/>
      <c r="AC2519" s="10"/>
      <c r="AD2519" s="10"/>
      <c r="AE2519" s="10"/>
    </row>
    <row r="2520" spans="1:31" ht="14.25" customHeight="1">
      <c r="A2520" s="277" t="s">
        <v>7212</v>
      </c>
      <c r="B2520" s="9" t="s">
        <v>21</v>
      </c>
      <c r="C2520" s="9"/>
      <c r="D2520" s="9"/>
      <c r="E2520" s="90"/>
      <c r="F2520" s="9"/>
      <c r="G2520" s="94" t="s">
        <v>24</v>
      </c>
      <c r="H2520" s="95" t="s">
        <v>1423</v>
      </c>
      <c r="I2520" s="104"/>
      <c r="J2520" s="105"/>
      <c r="K2520" s="105"/>
      <c r="L2520" s="106">
        <f>SUM(L2521:L2540)</f>
        <v>14882000</v>
      </c>
      <c r="M2520" s="107"/>
      <c r="N2520" s="108" t="s">
        <v>26</v>
      </c>
      <c r="O2520" s="108"/>
      <c r="P2520" s="108"/>
      <c r="Q2520" s="108"/>
      <c r="R2520" s="108"/>
      <c r="S2520" s="106">
        <f>SUM(S2521:S2540)</f>
        <v>13594000</v>
      </c>
      <c r="T2520" s="106">
        <f>SUM(T2521:T2540)</f>
        <v>1288000</v>
      </c>
      <c r="U2520" s="10"/>
      <c r="V2520" s="52">
        <f>L2520-S2520</f>
        <v>1288000</v>
      </c>
      <c r="W2520" s="52">
        <f>T2520-V2520</f>
        <v>0</v>
      </c>
      <c r="X2520" s="10"/>
      <c r="Y2520" s="10"/>
      <c r="Z2520" s="10"/>
      <c r="AA2520" s="10"/>
      <c r="AB2520" s="10"/>
      <c r="AC2520" s="10"/>
      <c r="AD2520" s="10"/>
      <c r="AE2520" s="10"/>
    </row>
    <row r="2521" spans="1:31" ht="14.25" hidden="1" customHeight="1">
      <c r="A2521" s="277" t="s">
        <v>7213</v>
      </c>
      <c r="B2521" s="9" t="s">
        <v>21</v>
      </c>
      <c r="C2521" s="9">
        <v>2025</v>
      </c>
      <c r="D2521" s="9" t="s">
        <v>27</v>
      </c>
      <c r="E2521" s="90" t="s">
        <v>1315</v>
      </c>
      <c r="F2521" s="9" t="s">
        <v>1317</v>
      </c>
      <c r="G2521" s="10"/>
      <c r="H2521" s="9"/>
      <c r="I2521" s="109" t="s">
        <v>1424</v>
      </c>
      <c r="J2521" s="115">
        <v>45687</v>
      </c>
      <c r="K2521" s="115">
        <v>45687</v>
      </c>
      <c r="L2521" s="183">
        <v>1029000</v>
      </c>
      <c r="M2521" s="147" t="s">
        <v>1425</v>
      </c>
      <c r="N2521" s="34" t="s">
        <v>29</v>
      </c>
      <c r="O2521" s="11"/>
      <c r="P2521" s="113">
        <v>45721</v>
      </c>
      <c r="Q2521" s="113">
        <v>45721</v>
      </c>
      <c r="R2521" s="113">
        <v>45721</v>
      </c>
      <c r="S2521" s="37">
        <f t="shared" ref="S2521:S2540" si="533">IF(R2521="",0,L2521)</f>
        <v>1029000</v>
      </c>
      <c r="T2521" s="37">
        <f t="shared" ref="T2521:T2540" si="534">L2521-S2521</f>
        <v>0</v>
      </c>
      <c r="U2521" s="10"/>
      <c r="V2521" s="10"/>
      <c r="W2521" s="10"/>
      <c r="X2521" s="10"/>
      <c r="Y2521" s="10"/>
      <c r="Z2521" s="10"/>
      <c r="AA2521" s="10"/>
      <c r="AB2521" s="10"/>
      <c r="AC2521" s="10"/>
      <c r="AD2521" s="10"/>
      <c r="AE2521" s="10"/>
    </row>
    <row r="2522" spans="1:31" ht="14.25" hidden="1" customHeight="1">
      <c r="A2522" s="277" t="s">
        <v>7214</v>
      </c>
      <c r="B2522" s="9" t="s">
        <v>21</v>
      </c>
      <c r="C2522" s="9">
        <v>2025</v>
      </c>
      <c r="D2522" s="9" t="s">
        <v>27</v>
      </c>
      <c r="E2522" s="90" t="s">
        <v>1315</v>
      </c>
      <c r="F2522" s="9" t="s">
        <v>1317</v>
      </c>
      <c r="G2522" s="10"/>
      <c r="H2522" s="9"/>
      <c r="I2522" s="109" t="s">
        <v>1424</v>
      </c>
      <c r="J2522" s="115">
        <v>45717</v>
      </c>
      <c r="K2522" s="115">
        <v>45717</v>
      </c>
      <c r="L2522" s="183">
        <v>973000</v>
      </c>
      <c r="M2522" s="147" t="s">
        <v>1426</v>
      </c>
      <c r="N2522" s="34" t="s">
        <v>29</v>
      </c>
      <c r="O2522" s="11"/>
      <c r="P2522" s="113">
        <v>45754</v>
      </c>
      <c r="Q2522" s="113">
        <v>45754</v>
      </c>
      <c r="R2522" s="113">
        <v>45754</v>
      </c>
      <c r="S2522" s="37">
        <f t="shared" si="533"/>
        <v>973000</v>
      </c>
      <c r="T2522" s="37">
        <f t="shared" si="534"/>
        <v>0</v>
      </c>
      <c r="U2522" s="10"/>
      <c r="V2522" s="10"/>
      <c r="W2522" s="10"/>
      <c r="X2522" s="10"/>
      <c r="Y2522" s="10"/>
      <c r="Z2522" s="10"/>
      <c r="AA2522" s="10"/>
      <c r="AB2522" s="10"/>
      <c r="AC2522" s="10"/>
      <c r="AD2522" s="10"/>
      <c r="AE2522" s="10"/>
    </row>
    <row r="2523" spans="1:31" ht="14.25" hidden="1" customHeight="1">
      <c r="A2523" s="277" t="s">
        <v>7215</v>
      </c>
      <c r="B2523" s="9" t="s">
        <v>21</v>
      </c>
      <c r="C2523" s="9">
        <v>2025</v>
      </c>
      <c r="D2523" s="9" t="s">
        <v>27</v>
      </c>
      <c r="E2523" s="90" t="s">
        <v>1315</v>
      </c>
      <c r="F2523" s="9" t="s">
        <v>1317</v>
      </c>
      <c r="G2523" s="10"/>
      <c r="H2523" s="9"/>
      <c r="I2523" s="109" t="s">
        <v>1424</v>
      </c>
      <c r="J2523" s="115">
        <v>45751</v>
      </c>
      <c r="K2523" s="115">
        <v>45752</v>
      </c>
      <c r="L2523" s="183">
        <v>588000</v>
      </c>
      <c r="M2523" s="147" t="s">
        <v>1427</v>
      </c>
      <c r="N2523" s="34" t="s">
        <v>29</v>
      </c>
      <c r="O2523" s="11"/>
      <c r="P2523" s="113">
        <v>45787</v>
      </c>
      <c r="Q2523" s="113">
        <v>45787</v>
      </c>
      <c r="R2523" s="113">
        <v>45787</v>
      </c>
      <c r="S2523" s="37">
        <f t="shared" si="533"/>
        <v>588000</v>
      </c>
      <c r="T2523" s="37">
        <f t="shared" si="534"/>
        <v>0</v>
      </c>
      <c r="U2523" s="10"/>
      <c r="V2523" s="10"/>
      <c r="W2523" s="10"/>
      <c r="X2523" s="10"/>
      <c r="Y2523" s="10"/>
      <c r="Z2523" s="10"/>
      <c r="AA2523" s="10"/>
      <c r="AB2523" s="10"/>
      <c r="AC2523" s="10"/>
      <c r="AD2523" s="10"/>
      <c r="AE2523" s="10"/>
    </row>
    <row r="2524" spans="1:31" ht="14.25" hidden="1" customHeight="1">
      <c r="A2524" s="277" t="s">
        <v>7216</v>
      </c>
      <c r="B2524" s="9" t="s">
        <v>21</v>
      </c>
      <c r="C2524" s="9">
        <v>2025</v>
      </c>
      <c r="D2524" s="9" t="s">
        <v>27</v>
      </c>
      <c r="E2524" s="90" t="s">
        <v>1315</v>
      </c>
      <c r="F2524" s="9" t="s">
        <v>1317</v>
      </c>
      <c r="G2524" s="10"/>
      <c r="H2524" s="9"/>
      <c r="I2524" s="109" t="s">
        <v>1424</v>
      </c>
      <c r="J2524" s="115">
        <v>45776</v>
      </c>
      <c r="K2524" s="115">
        <v>45776</v>
      </c>
      <c r="L2524" s="183">
        <v>791000</v>
      </c>
      <c r="M2524" s="147" t="s">
        <v>1428</v>
      </c>
      <c r="N2524" s="34" t="s">
        <v>29</v>
      </c>
      <c r="O2524" s="11"/>
      <c r="P2524" s="113">
        <v>45815</v>
      </c>
      <c r="Q2524" s="113">
        <v>45815</v>
      </c>
      <c r="R2524" s="113">
        <v>45815</v>
      </c>
      <c r="S2524" s="37">
        <f t="shared" si="533"/>
        <v>791000</v>
      </c>
      <c r="T2524" s="37">
        <f t="shared" si="534"/>
        <v>0</v>
      </c>
      <c r="U2524" s="10"/>
      <c r="V2524" s="10"/>
      <c r="W2524" s="10"/>
      <c r="X2524" s="10"/>
      <c r="Y2524" s="10"/>
      <c r="Z2524" s="10"/>
      <c r="AA2524" s="10"/>
      <c r="AB2524" s="10"/>
      <c r="AC2524" s="10"/>
      <c r="AD2524" s="10"/>
      <c r="AE2524" s="10"/>
    </row>
    <row r="2525" spans="1:31" ht="14.25" hidden="1" customHeight="1">
      <c r="A2525" s="277" t="s">
        <v>6516</v>
      </c>
      <c r="B2525" s="9" t="s">
        <v>21</v>
      </c>
      <c r="C2525" s="9">
        <v>2025</v>
      </c>
      <c r="D2525" s="9" t="s">
        <v>27</v>
      </c>
      <c r="E2525" s="90" t="s">
        <v>1315</v>
      </c>
      <c r="F2525" s="9" t="s">
        <v>1317</v>
      </c>
      <c r="G2525" s="10"/>
      <c r="H2525" s="9"/>
      <c r="I2525" s="109" t="s">
        <v>1424</v>
      </c>
      <c r="J2525" s="115">
        <v>45805</v>
      </c>
      <c r="K2525" s="115">
        <v>45805</v>
      </c>
      <c r="L2525" s="183">
        <v>833000</v>
      </c>
      <c r="M2525" s="147" t="s">
        <v>1429</v>
      </c>
      <c r="N2525" s="34" t="s">
        <v>29</v>
      </c>
      <c r="O2525" s="11"/>
      <c r="P2525" s="113">
        <v>45843</v>
      </c>
      <c r="Q2525" s="113">
        <v>45843</v>
      </c>
      <c r="R2525" s="113">
        <v>45843</v>
      </c>
      <c r="S2525" s="37">
        <f t="shared" si="533"/>
        <v>833000</v>
      </c>
      <c r="T2525" s="37">
        <f t="shared" si="534"/>
        <v>0</v>
      </c>
      <c r="U2525" s="10"/>
      <c r="V2525" s="10"/>
      <c r="W2525" s="10"/>
      <c r="X2525" s="10"/>
      <c r="Y2525" s="10"/>
      <c r="Z2525" s="10"/>
      <c r="AA2525" s="10"/>
      <c r="AB2525" s="10"/>
      <c r="AC2525" s="10"/>
      <c r="AD2525" s="10"/>
      <c r="AE2525" s="10"/>
    </row>
    <row r="2526" spans="1:31" ht="14.25" hidden="1" customHeight="1">
      <c r="A2526" s="277" t="s">
        <v>6517</v>
      </c>
      <c r="B2526" s="9" t="s">
        <v>21</v>
      </c>
      <c r="C2526" s="9">
        <v>2025</v>
      </c>
      <c r="D2526" s="9" t="s">
        <v>27</v>
      </c>
      <c r="E2526" s="90" t="s">
        <v>1315</v>
      </c>
      <c r="F2526" s="9" t="s">
        <v>1317</v>
      </c>
      <c r="G2526" s="10"/>
      <c r="H2526" s="9"/>
      <c r="I2526" s="109" t="s">
        <v>1424</v>
      </c>
      <c r="J2526" s="115">
        <v>45838</v>
      </c>
      <c r="K2526" s="115">
        <v>45838</v>
      </c>
      <c r="L2526" s="183">
        <v>812000</v>
      </c>
      <c r="M2526" s="147" t="s">
        <v>1430</v>
      </c>
      <c r="N2526" s="34" t="s">
        <v>29</v>
      </c>
      <c r="O2526" s="11"/>
      <c r="P2526" s="113">
        <v>45876</v>
      </c>
      <c r="Q2526" s="113">
        <v>45876</v>
      </c>
      <c r="R2526" s="113">
        <v>45876</v>
      </c>
      <c r="S2526" s="37">
        <f t="shared" si="533"/>
        <v>812000</v>
      </c>
      <c r="T2526" s="37">
        <f t="shared" si="534"/>
        <v>0</v>
      </c>
      <c r="U2526" s="10"/>
      <c r="V2526" s="10"/>
      <c r="W2526" s="10"/>
      <c r="X2526" s="10"/>
      <c r="Y2526" s="10"/>
      <c r="Z2526" s="10"/>
      <c r="AA2526" s="10"/>
      <c r="AB2526" s="10"/>
      <c r="AC2526" s="10"/>
      <c r="AD2526" s="10"/>
      <c r="AE2526" s="10"/>
    </row>
    <row r="2527" spans="1:31" ht="14.25" hidden="1" customHeight="1">
      <c r="A2527" s="277" t="s">
        <v>6518</v>
      </c>
      <c r="B2527" s="9" t="s">
        <v>21</v>
      </c>
      <c r="C2527" s="9">
        <v>2025</v>
      </c>
      <c r="D2527" s="9" t="s">
        <v>27</v>
      </c>
      <c r="E2527" s="90" t="s">
        <v>1315</v>
      </c>
      <c r="F2527" s="9" t="s">
        <v>1317</v>
      </c>
      <c r="G2527" s="10"/>
      <c r="H2527" s="9"/>
      <c r="I2527" s="109" t="s">
        <v>1424</v>
      </c>
      <c r="J2527" s="115">
        <v>45868</v>
      </c>
      <c r="K2527" s="115">
        <v>45869</v>
      </c>
      <c r="L2527" s="183">
        <v>875000</v>
      </c>
      <c r="M2527" s="147" t="s">
        <v>1431</v>
      </c>
      <c r="N2527" s="34" t="s">
        <v>29</v>
      </c>
      <c r="O2527" s="11"/>
      <c r="P2527" s="113">
        <v>45898</v>
      </c>
      <c r="Q2527" s="113">
        <v>45898</v>
      </c>
      <c r="R2527" s="113">
        <v>45898</v>
      </c>
      <c r="S2527" s="37">
        <f t="shared" si="533"/>
        <v>875000</v>
      </c>
      <c r="T2527" s="37">
        <f t="shared" si="534"/>
        <v>0</v>
      </c>
      <c r="U2527" s="10"/>
      <c r="V2527" s="10"/>
      <c r="W2527" s="10"/>
      <c r="X2527" s="10"/>
      <c r="Y2527" s="10"/>
      <c r="Z2527" s="10"/>
      <c r="AA2527" s="10"/>
      <c r="AB2527" s="10"/>
      <c r="AC2527" s="10"/>
      <c r="AD2527" s="10"/>
      <c r="AE2527" s="10"/>
    </row>
    <row r="2528" spans="1:31" ht="14.25" hidden="1" customHeight="1">
      <c r="A2528" s="277" t="s">
        <v>6519</v>
      </c>
      <c r="B2528" s="9" t="s">
        <v>21</v>
      </c>
      <c r="C2528" s="9">
        <v>2025</v>
      </c>
      <c r="D2528" s="9" t="s">
        <v>27</v>
      </c>
      <c r="E2528" s="90" t="s">
        <v>1315</v>
      </c>
      <c r="F2528" s="9" t="s">
        <v>1317</v>
      </c>
      <c r="G2528" s="10"/>
      <c r="H2528" s="9"/>
      <c r="I2528" s="109" t="s">
        <v>1424</v>
      </c>
      <c r="J2528" s="115">
        <v>45895</v>
      </c>
      <c r="K2528" s="115">
        <v>45896</v>
      </c>
      <c r="L2528" s="183">
        <v>742000</v>
      </c>
      <c r="M2528" s="147" t="s">
        <v>1432</v>
      </c>
      <c r="N2528" s="34" t="s">
        <v>29</v>
      </c>
      <c r="O2528" s="11"/>
      <c r="P2528" s="113">
        <v>45932</v>
      </c>
      <c r="Q2528" s="113">
        <v>45932</v>
      </c>
      <c r="R2528" s="113">
        <v>45932</v>
      </c>
      <c r="S2528" s="37">
        <f t="shared" si="533"/>
        <v>742000</v>
      </c>
      <c r="T2528" s="37">
        <f t="shared" si="534"/>
        <v>0</v>
      </c>
      <c r="U2528" s="10"/>
      <c r="V2528" s="10"/>
      <c r="W2528" s="10"/>
      <c r="X2528" s="10"/>
      <c r="Y2528" s="10"/>
      <c r="Z2528" s="10"/>
      <c r="AA2528" s="10"/>
      <c r="AB2528" s="10"/>
      <c r="AC2528" s="10"/>
      <c r="AD2528" s="10"/>
      <c r="AE2528" s="10"/>
    </row>
    <row r="2529" spans="1:31" ht="14.25" hidden="1" customHeight="1">
      <c r="A2529" s="277" t="s">
        <v>6520</v>
      </c>
      <c r="B2529" s="9" t="s">
        <v>21</v>
      </c>
      <c r="C2529" s="9">
        <v>2025</v>
      </c>
      <c r="D2529" s="9" t="s">
        <v>27</v>
      </c>
      <c r="E2529" s="90" t="s">
        <v>1315</v>
      </c>
      <c r="F2529" s="9" t="s">
        <v>1317</v>
      </c>
      <c r="G2529" s="10"/>
      <c r="H2529" s="9"/>
      <c r="I2529" s="109" t="s">
        <v>1424</v>
      </c>
      <c r="J2529" s="115">
        <v>45924</v>
      </c>
      <c r="K2529" s="115">
        <v>45924</v>
      </c>
      <c r="L2529" s="183">
        <v>812000</v>
      </c>
      <c r="M2529" s="147" t="s">
        <v>3701</v>
      </c>
      <c r="N2529" s="34" t="s">
        <v>29</v>
      </c>
      <c r="O2529" s="11"/>
      <c r="P2529" s="113">
        <v>45958</v>
      </c>
      <c r="Q2529" s="113">
        <v>45958</v>
      </c>
      <c r="R2529" s="113">
        <v>45958</v>
      </c>
      <c r="S2529" s="37">
        <f t="shared" si="533"/>
        <v>812000</v>
      </c>
      <c r="T2529" s="37">
        <f t="shared" si="534"/>
        <v>0</v>
      </c>
      <c r="U2529" s="10"/>
      <c r="V2529" s="10"/>
      <c r="W2529" s="10"/>
      <c r="X2529" s="10"/>
      <c r="Y2529" s="10"/>
      <c r="Z2529" s="10"/>
      <c r="AA2529" s="10"/>
      <c r="AB2529" s="10"/>
      <c r="AC2529" s="10"/>
      <c r="AD2529" s="10"/>
      <c r="AE2529" s="10"/>
    </row>
    <row r="2530" spans="1:31" ht="14.25" hidden="1" customHeight="1">
      <c r="A2530" s="277" t="s">
        <v>6521</v>
      </c>
      <c r="B2530" s="9" t="s">
        <v>21</v>
      </c>
      <c r="C2530" s="9">
        <v>2025</v>
      </c>
      <c r="D2530" s="9" t="s">
        <v>27</v>
      </c>
      <c r="E2530" s="90" t="s">
        <v>1315</v>
      </c>
      <c r="F2530" s="9" t="s">
        <v>1317</v>
      </c>
      <c r="G2530" s="10"/>
      <c r="H2530" s="9"/>
      <c r="I2530" s="109" t="s">
        <v>1424</v>
      </c>
      <c r="J2530" s="115">
        <v>45957</v>
      </c>
      <c r="K2530" s="115">
        <v>45957</v>
      </c>
      <c r="L2530" s="183">
        <v>980000</v>
      </c>
      <c r="M2530" s="147" t="s">
        <v>3886</v>
      </c>
      <c r="N2530" s="34" t="s">
        <v>29</v>
      </c>
      <c r="O2530" s="11"/>
      <c r="P2530" s="113">
        <v>45996</v>
      </c>
      <c r="Q2530" s="113">
        <v>45996</v>
      </c>
      <c r="R2530" s="113">
        <v>45996</v>
      </c>
      <c r="S2530" s="37">
        <f t="shared" si="533"/>
        <v>980000</v>
      </c>
      <c r="T2530" s="37">
        <f t="shared" si="534"/>
        <v>0</v>
      </c>
      <c r="U2530" s="10"/>
      <c r="V2530" s="10"/>
      <c r="W2530" s="10"/>
      <c r="X2530" s="10"/>
      <c r="Y2530" s="10"/>
      <c r="Z2530" s="10"/>
      <c r="AA2530" s="10"/>
      <c r="AB2530" s="10"/>
      <c r="AC2530" s="10"/>
      <c r="AD2530" s="10"/>
      <c r="AE2530" s="10"/>
    </row>
    <row r="2531" spans="1:31" hidden="1">
      <c r="A2531" s="277" t="s">
        <v>6522</v>
      </c>
      <c r="B2531" s="9" t="s">
        <v>21</v>
      </c>
      <c r="C2531" s="9">
        <v>2025</v>
      </c>
      <c r="D2531" s="9" t="s">
        <v>27</v>
      </c>
      <c r="E2531" s="90" t="s">
        <v>1315</v>
      </c>
      <c r="F2531" s="9" t="s">
        <v>1317</v>
      </c>
      <c r="G2531" s="10"/>
      <c r="H2531" s="9"/>
      <c r="I2531" s="109" t="s">
        <v>1424</v>
      </c>
      <c r="J2531" s="115">
        <v>45991</v>
      </c>
      <c r="K2531" s="115">
        <v>45992</v>
      </c>
      <c r="L2531" s="183">
        <v>896000</v>
      </c>
      <c r="M2531" s="147" t="s">
        <v>4033</v>
      </c>
      <c r="N2531" s="34" t="s">
        <v>29</v>
      </c>
      <c r="O2531" s="11"/>
      <c r="P2531" s="262">
        <v>46023</v>
      </c>
      <c r="Q2531" s="262">
        <v>46023</v>
      </c>
      <c r="R2531" s="262">
        <v>46023</v>
      </c>
      <c r="S2531" s="37">
        <f t="shared" si="533"/>
        <v>896000</v>
      </c>
      <c r="T2531" s="37">
        <f t="shared" si="534"/>
        <v>0</v>
      </c>
      <c r="U2531" s="10"/>
      <c r="V2531" s="10"/>
      <c r="W2531" s="10"/>
      <c r="X2531" s="10"/>
      <c r="Y2531" s="10"/>
      <c r="Z2531" s="10"/>
      <c r="AA2531" s="10"/>
      <c r="AB2531" s="10"/>
      <c r="AC2531" s="10"/>
      <c r="AD2531" s="10"/>
      <c r="AE2531" s="10"/>
    </row>
    <row r="2532" spans="1:31" hidden="1">
      <c r="A2532" s="277" t="s">
        <v>6523</v>
      </c>
      <c r="B2532" s="9" t="s">
        <v>21</v>
      </c>
      <c r="C2532" s="9">
        <v>2025</v>
      </c>
      <c r="D2532" s="9" t="s">
        <v>27</v>
      </c>
      <c r="E2532" s="90" t="s">
        <v>1315</v>
      </c>
      <c r="F2532" s="9" t="s">
        <v>1317</v>
      </c>
      <c r="G2532" s="10"/>
      <c r="H2532" s="9"/>
      <c r="I2532" s="109" t="s">
        <v>1424</v>
      </c>
      <c r="J2532" s="115">
        <v>46017</v>
      </c>
      <c r="K2532" s="115">
        <v>46018</v>
      </c>
      <c r="L2532" s="183">
        <v>665000</v>
      </c>
      <c r="M2532" s="147" t="s">
        <v>4132</v>
      </c>
      <c r="N2532" s="34" t="s">
        <v>29</v>
      </c>
      <c r="O2532" s="11"/>
      <c r="P2532" s="262">
        <v>46052</v>
      </c>
      <c r="Q2532" s="262">
        <v>46052</v>
      </c>
      <c r="R2532" s="262">
        <v>46052</v>
      </c>
      <c r="S2532" s="37">
        <f t="shared" si="533"/>
        <v>665000</v>
      </c>
      <c r="T2532" s="37">
        <f t="shared" si="534"/>
        <v>0</v>
      </c>
      <c r="U2532" s="10"/>
      <c r="V2532" s="10"/>
      <c r="W2532" s="10"/>
      <c r="X2532" s="10"/>
      <c r="Y2532" s="10"/>
      <c r="Z2532" s="10"/>
      <c r="AA2532" s="10"/>
      <c r="AB2532" s="10"/>
      <c r="AC2532" s="10"/>
      <c r="AD2532" s="10"/>
      <c r="AE2532" s="10"/>
    </row>
    <row r="2533" spans="1:31" hidden="1">
      <c r="A2533" s="277" t="s">
        <v>6524</v>
      </c>
      <c r="B2533" s="9" t="s">
        <v>21</v>
      </c>
      <c r="C2533" s="9">
        <v>2026</v>
      </c>
      <c r="D2533" s="9" t="s">
        <v>27</v>
      </c>
      <c r="E2533" s="90" t="s">
        <v>1315</v>
      </c>
      <c r="F2533" s="9" t="s">
        <v>1317</v>
      </c>
      <c r="G2533" s="10"/>
      <c r="H2533" s="9"/>
      <c r="I2533" s="109" t="s">
        <v>1424</v>
      </c>
      <c r="J2533" s="115">
        <v>46049</v>
      </c>
      <c r="K2533" s="115">
        <v>46049</v>
      </c>
      <c r="L2533" s="183">
        <v>819000</v>
      </c>
      <c r="M2533" s="147" t="s">
        <v>4280</v>
      </c>
      <c r="N2533" s="34" t="s">
        <v>29</v>
      </c>
      <c r="O2533" s="11"/>
      <c r="P2533" s="262">
        <v>46091</v>
      </c>
      <c r="Q2533" s="262">
        <v>46091</v>
      </c>
      <c r="R2533" s="262">
        <v>46091</v>
      </c>
      <c r="S2533" s="37">
        <f t="shared" si="533"/>
        <v>819000</v>
      </c>
      <c r="T2533" s="37">
        <f t="shared" si="534"/>
        <v>0</v>
      </c>
      <c r="U2533" s="10"/>
      <c r="V2533" s="10"/>
      <c r="W2533" s="10"/>
      <c r="X2533" s="10"/>
      <c r="Y2533" s="10"/>
      <c r="Z2533" s="10"/>
      <c r="AA2533" s="10"/>
      <c r="AB2533" s="10"/>
      <c r="AC2533" s="10"/>
      <c r="AD2533" s="10"/>
      <c r="AE2533" s="10"/>
    </row>
    <row r="2534" spans="1:31" hidden="1">
      <c r="A2534" s="277" t="s">
        <v>6525</v>
      </c>
      <c r="B2534" s="9" t="s">
        <v>21</v>
      </c>
      <c r="C2534" s="9">
        <v>2026</v>
      </c>
      <c r="D2534" s="9" t="s">
        <v>27</v>
      </c>
      <c r="E2534" s="90" t="s">
        <v>1315</v>
      </c>
      <c r="F2534" s="9" t="s">
        <v>1317</v>
      </c>
      <c r="G2534" s="10"/>
      <c r="H2534" s="9"/>
      <c r="I2534" s="109" t="s">
        <v>1424</v>
      </c>
      <c r="J2534" s="115">
        <v>46080</v>
      </c>
      <c r="K2534" s="115">
        <v>46080</v>
      </c>
      <c r="L2534" s="183">
        <v>609000</v>
      </c>
      <c r="M2534" s="147" t="s">
        <v>4412</v>
      </c>
      <c r="N2534" s="34" t="s">
        <v>29</v>
      </c>
      <c r="O2534" s="11"/>
      <c r="P2534" s="262">
        <v>46124</v>
      </c>
      <c r="Q2534" s="262">
        <v>46124</v>
      </c>
      <c r="R2534" s="262">
        <v>46124</v>
      </c>
      <c r="S2534" s="37">
        <f t="shared" si="533"/>
        <v>609000</v>
      </c>
      <c r="T2534" s="37">
        <f t="shared" si="534"/>
        <v>0</v>
      </c>
      <c r="U2534" s="10"/>
      <c r="V2534" s="10"/>
      <c r="W2534" s="10"/>
      <c r="X2534" s="10"/>
      <c r="Y2534" s="10"/>
      <c r="Z2534" s="10"/>
      <c r="AA2534" s="10"/>
      <c r="AB2534" s="10"/>
      <c r="AC2534" s="10"/>
      <c r="AD2534" s="10"/>
      <c r="AE2534" s="10"/>
    </row>
    <row r="2535" spans="1:31" ht="14.25" hidden="1" customHeight="1">
      <c r="A2535" s="277" t="s">
        <v>6526</v>
      </c>
      <c r="B2535" s="9" t="s">
        <v>21</v>
      </c>
      <c r="C2535" s="9">
        <v>2026</v>
      </c>
      <c r="D2535" s="9" t="s">
        <v>27</v>
      </c>
      <c r="E2535" s="90" t="s">
        <v>1315</v>
      </c>
      <c r="F2535" s="9" t="s">
        <v>1317</v>
      </c>
      <c r="G2535" s="10"/>
      <c r="H2535" s="9"/>
      <c r="I2535" s="109" t="s">
        <v>1424</v>
      </c>
      <c r="J2535" s="115">
        <v>46112</v>
      </c>
      <c r="K2535" s="115">
        <v>46112</v>
      </c>
      <c r="L2535" s="183">
        <v>546000</v>
      </c>
      <c r="M2535" s="147" t="s">
        <v>4482</v>
      </c>
      <c r="N2535" s="34" t="s">
        <v>29</v>
      </c>
      <c r="O2535" s="11"/>
      <c r="P2535" s="262">
        <v>46147</v>
      </c>
      <c r="Q2535" s="262">
        <v>46147</v>
      </c>
      <c r="R2535" s="262">
        <v>46147</v>
      </c>
      <c r="S2535" s="37">
        <f t="shared" si="533"/>
        <v>546000</v>
      </c>
      <c r="T2535" s="37">
        <f t="shared" si="534"/>
        <v>0</v>
      </c>
      <c r="U2535" s="10"/>
      <c r="V2535" s="10"/>
      <c r="W2535" s="10"/>
      <c r="X2535" s="10"/>
      <c r="Y2535" s="10"/>
      <c r="Z2535" s="10"/>
      <c r="AA2535" s="10"/>
      <c r="AB2535" s="10"/>
      <c r="AC2535" s="10"/>
      <c r="AD2535" s="10"/>
      <c r="AE2535" s="10"/>
    </row>
    <row r="2536" spans="1:31" ht="14.25" customHeight="1">
      <c r="A2536" s="277" t="s">
        <v>6527</v>
      </c>
      <c r="B2536" s="9" t="s">
        <v>21</v>
      </c>
      <c r="C2536" s="9">
        <v>2026</v>
      </c>
      <c r="D2536" s="9" t="s">
        <v>27</v>
      </c>
      <c r="E2536" s="90" t="s">
        <v>1315</v>
      </c>
      <c r="F2536" s="9" t="s">
        <v>1317</v>
      </c>
      <c r="G2536" s="10"/>
      <c r="H2536" s="9"/>
      <c r="I2536" s="109" t="s">
        <v>1424</v>
      </c>
      <c r="J2536" s="115">
        <v>46140</v>
      </c>
      <c r="K2536" s="115">
        <v>46141</v>
      </c>
      <c r="L2536" s="183">
        <v>826000</v>
      </c>
      <c r="M2536" s="147" t="s">
        <v>6982</v>
      </c>
      <c r="N2536" s="34" t="s">
        <v>29</v>
      </c>
      <c r="O2536" s="11"/>
      <c r="P2536" s="262">
        <v>46182</v>
      </c>
      <c r="Q2536" s="262">
        <v>46182</v>
      </c>
      <c r="R2536" s="262">
        <v>46182</v>
      </c>
      <c r="S2536" s="37">
        <f t="shared" si="533"/>
        <v>826000</v>
      </c>
      <c r="T2536" s="37">
        <f t="shared" si="534"/>
        <v>0</v>
      </c>
      <c r="U2536" s="10"/>
      <c r="V2536" s="10"/>
      <c r="W2536" s="10"/>
      <c r="X2536" s="10"/>
      <c r="Y2536" s="10"/>
      <c r="Z2536" s="10"/>
      <c r="AA2536" s="10"/>
      <c r="AB2536" s="10"/>
      <c r="AC2536" s="10"/>
      <c r="AD2536" s="10"/>
      <c r="AE2536" s="10"/>
    </row>
    <row r="2537" spans="1:31" ht="14.25" customHeight="1">
      <c r="A2537" s="277" t="s">
        <v>6528</v>
      </c>
      <c r="B2537" s="9" t="s">
        <v>21</v>
      </c>
      <c r="C2537" s="9">
        <v>2026</v>
      </c>
      <c r="D2537" s="9" t="s">
        <v>27</v>
      </c>
      <c r="E2537" s="90" t="s">
        <v>1315</v>
      </c>
      <c r="F2537" s="9" t="s">
        <v>1317</v>
      </c>
      <c r="G2537" s="10"/>
      <c r="H2537" s="9"/>
      <c r="I2537" s="109" t="s">
        <v>1424</v>
      </c>
      <c r="J2537" s="115">
        <v>46172</v>
      </c>
      <c r="K2537" s="115">
        <v>46176</v>
      </c>
      <c r="L2537" s="183">
        <v>798000</v>
      </c>
      <c r="M2537" s="147" t="s">
        <v>7106</v>
      </c>
      <c r="N2537" s="34" t="s">
        <v>29</v>
      </c>
      <c r="O2537" s="11"/>
      <c r="P2537" s="262">
        <v>46218</v>
      </c>
      <c r="Q2537" s="262">
        <v>46218</v>
      </c>
      <c r="R2537" s="262">
        <v>46218</v>
      </c>
      <c r="S2537" s="37">
        <f t="shared" si="533"/>
        <v>798000</v>
      </c>
      <c r="T2537" s="37">
        <f t="shared" si="534"/>
        <v>0</v>
      </c>
      <c r="U2537" s="10"/>
      <c r="V2537" s="10"/>
      <c r="W2537" s="10"/>
      <c r="X2537" s="10"/>
      <c r="Y2537" s="10"/>
      <c r="Z2537" s="10"/>
      <c r="AA2537" s="10"/>
      <c r="AB2537" s="10"/>
      <c r="AC2537" s="10"/>
      <c r="AD2537" s="10"/>
      <c r="AE2537" s="10"/>
    </row>
    <row r="2538" spans="1:31" ht="14.25" customHeight="1">
      <c r="A2538" s="277" t="s">
        <v>6529</v>
      </c>
      <c r="B2538" s="9" t="s">
        <v>21</v>
      </c>
      <c r="C2538" s="9">
        <v>2026</v>
      </c>
      <c r="D2538" s="9" t="s">
        <v>77</v>
      </c>
      <c r="E2538" s="90" t="s">
        <v>1315</v>
      </c>
      <c r="F2538" s="9" t="s">
        <v>1317</v>
      </c>
      <c r="G2538" s="10"/>
      <c r="H2538" s="9"/>
      <c r="I2538" s="11" t="s">
        <v>1424</v>
      </c>
      <c r="J2538" s="12">
        <v>46202</v>
      </c>
      <c r="K2538" s="12">
        <v>46203</v>
      </c>
      <c r="L2538" s="130">
        <v>609000</v>
      </c>
      <c r="M2538" s="125" t="s">
        <v>7185</v>
      </c>
      <c r="N2538" s="34">
        <f ca="1">$J$3-J2538</f>
        <v>38.463776388889528</v>
      </c>
      <c r="O2538" s="11"/>
      <c r="P2538" s="279"/>
      <c r="Q2538" s="279"/>
      <c r="R2538" s="279"/>
      <c r="S2538" s="37">
        <f t="shared" si="533"/>
        <v>0</v>
      </c>
      <c r="T2538" s="37">
        <f t="shared" si="534"/>
        <v>609000</v>
      </c>
      <c r="U2538" s="10"/>
      <c r="V2538" s="10"/>
      <c r="W2538" s="10"/>
      <c r="X2538" s="10"/>
      <c r="Y2538" s="10"/>
      <c r="Z2538" s="10"/>
      <c r="AA2538" s="10"/>
      <c r="AB2538" s="10"/>
      <c r="AC2538" s="10"/>
      <c r="AD2538" s="10"/>
      <c r="AE2538" s="10"/>
    </row>
    <row r="2539" spans="1:31" ht="14.25" customHeight="1">
      <c r="A2539" s="277" t="s">
        <v>6530</v>
      </c>
      <c r="B2539" s="9" t="s">
        <v>21</v>
      </c>
      <c r="C2539" s="9">
        <v>2026</v>
      </c>
      <c r="D2539" s="9" t="s">
        <v>77</v>
      </c>
      <c r="E2539" s="90" t="s">
        <v>1315</v>
      </c>
      <c r="F2539" s="9" t="s">
        <v>1317</v>
      </c>
      <c r="G2539" s="10"/>
      <c r="H2539" s="9"/>
      <c r="I2539" s="11" t="s">
        <v>1424</v>
      </c>
      <c r="J2539" s="12">
        <v>46230</v>
      </c>
      <c r="K2539" s="12">
        <v>46231</v>
      </c>
      <c r="L2539" s="130">
        <v>679000</v>
      </c>
      <c r="M2539" s="125" t="s">
        <v>7450</v>
      </c>
      <c r="N2539" s="34">
        <f ca="1">$J$3-J2539</f>
        <v>10.463776388889528</v>
      </c>
      <c r="O2539" s="11"/>
      <c r="P2539" s="279"/>
      <c r="Q2539" s="279"/>
      <c r="R2539" s="279"/>
      <c r="S2539" s="37">
        <f t="shared" si="533"/>
        <v>0</v>
      </c>
      <c r="T2539" s="37">
        <f t="shared" si="534"/>
        <v>679000</v>
      </c>
      <c r="U2539" s="10"/>
      <c r="V2539" s="10"/>
      <c r="W2539" s="10"/>
      <c r="X2539" s="10"/>
      <c r="Y2539" s="10"/>
      <c r="Z2539" s="10"/>
      <c r="AA2539" s="10"/>
      <c r="AB2539" s="10"/>
      <c r="AC2539" s="10"/>
      <c r="AD2539" s="10"/>
      <c r="AE2539" s="10"/>
    </row>
    <row r="2540" spans="1:31" ht="14.25" customHeight="1">
      <c r="A2540" s="277" t="s">
        <v>6531</v>
      </c>
      <c r="B2540" s="9" t="s">
        <v>21</v>
      </c>
      <c r="C2540" s="9"/>
      <c r="D2540" s="9"/>
      <c r="E2540" s="90"/>
      <c r="F2540" s="9"/>
      <c r="G2540" s="10"/>
      <c r="H2540" s="9"/>
      <c r="I2540" s="11"/>
      <c r="J2540" s="12"/>
      <c r="K2540" s="12"/>
      <c r="L2540" s="52"/>
      <c r="M2540" s="10"/>
      <c r="N2540" s="114">
        <f ca="1">$J$3-J2540</f>
        <v>46240.46377638889</v>
      </c>
      <c r="O2540" s="11"/>
      <c r="P2540" s="39"/>
      <c r="Q2540" s="39"/>
      <c r="R2540" s="39"/>
      <c r="S2540" s="37">
        <f t="shared" si="533"/>
        <v>0</v>
      </c>
      <c r="T2540" s="37">
        <f t="shared" si="534"/>
        <v>0</v>
      </c>
      <c r="U2540" s="10"/>
      <c r="V2540" s="10"/>
      <c r="W2540" s="10"/>
      <c r="X2540" s="10"/>
      <c r="Y2540" s="10"/>
      <c r="Z2540" s="10"/>
      <c r="AA2540" s="10"/>
      <c r="AB2540" s="10"/>
      <c r="AC2540" s="10"/>
      <c r="AD2540" s="10"/>
      <c r="AE2540" s="10"/>
    </row>
    <row r="2541" spans="1:31" ht="14.25" customHeight="1">
      <c r="A2541" s="277" t="s">
        <v>6532</v>
      </c>
      <c r="B2541" s="9" t="s">
        <v>21</v>
      </c>
      <c r="C2541" s="9"/>
      <c r="D2541" s="9"/>
      <c r="E2541" s="90"/>
      <c r="F2541" s="9"/>
      <c r="G2541" s="10"/>
      <c r="H2541" s="9"/>
      <c r="I2541" s="11"/>
      <c r="J2541" s="12"/>
      <c r="K2541" s="12"/>
      <c r="L2541" s="52"/>
      <c r="M2541" s="10"/>
      <c r="N2541" s="9"/>
      <c r="O2541" s="11"/>
      <c r="P2541" s="39"/>
      <c r="Q2541" s="39"/>
      <c r="R2541" s="39"/>
      <c r="S2541" s="37"/>
      <c r="T2541" s="37"/>
      <c r="U2541" s="10"/>
      <c r="V2541" s="10"/>
      <c r="W2541" s="10"/>
      <c r="X2541" s="10"/>
      <c r="Y2541" s="10"/>
      <c r="Z2541" s="10"/>
      <c r="AA2541" s="10"/>
      <c r="AB2541" s="10"/>
      <c r="AC2541" s="10"/>
      <c r="AD2541" s="10"/>
      <c r="AE2541" s="10"/>
    </row>
    <row r="2542" spans="1:31" ht="14.25" customHeight="1">
      <c r="A2542" s="277" t="s">
        <v>6533</v>
      </c>
      <c r="B2542" s="9" t="s">
        <v>21</v>
      </c>
      <c r="C2542" s="9"/>
      <c r="D2542" s="9"/>
      <c r="E2542" s="90"/>
      <c r="F2542" s="9"/>
      <c r="G2542" s="94" t="s">
        <v>24</v>
      </c>
      <c r="H2542" s="95" t="s">
        <v>1433</v>
      </c>
      <c r="I2542" s="104"/>
      <c r="J2542" s="105"/>
      <c r="K2542" s="105"/>
      <c r="L2542" s="106">
        <f>SUM(L2543:L2549)</f>
        <v>9160224</v>
      </c>
      <c r="M2542" s="107"/>
      <c r="N2542" s="108" t="s">
        <v>26</v>
      </c>
      <c r="O2542" s="108"/>
      <c r="P2542" s="108"/>
      <c r="Q2542" s="108"/>
      <c r="R2542" s="108"/>
      <c r="S2542" s="106">
        <f>SUM(S2543:S2549)</f>
        <v>7041120</v>
      </c>
      <c r="T2542" s="106">
        <f>SUM(T2543:T2549)</f>
        <v>2119104</v>
      </c>
      <c r="U2542" s="10"/>
      <c r="V2542" s="52">
        <f>L2542-S2542</f>
        <v>2119104</v>
      </c>
      <c r="W2542" s="52">
        <f>T2542-V2542</f>
        <v>0</v>
      </c>
      <c r="X2542" s="10"/>
      <c r="Y2542" s="10"/>
      <c r="Z2542" s="10"/>
      <c r="AA2542" s="10"/>
      <c r="AB2542" s="10"/>
      <c r="AC2542" s="10"/>
      <c r="AD2542" s="10"/>
      <c r="AE2542" s="10"/>
    </row>
    <row r="2543" spans="1:31" ht="14.25" customHeight="1">
      <c r="A2543" s="277" t="s">
        <v>6534</v>
      </c>
      <c r="B2543" s="9" t="s">
        <v>21</v>
      </c>
      <c r="C2543" s="9">
        <v>2025</v>
      </c>
      <c r="D2543" s="9" t="s">
        <v>27</v>
      </c>
      <c r="E2543" s="90" t="s">
        <v>1315</v>
      </c>
      <c r="F2543" s="9" t="s">
        <v>1317</v>
      </c>
      <c r="G2543" s="10"/>
      <c r="H2543" s="9"/>
      <c r="I2543" s="109" t="s">
        <v>1434</v>
      </c>
      <c r="J2543" s="115">
        <v>45820</v>
      </c>
      <c r="K2543" s="115">
        <v>45839</v>
      </c>
      <c r="L2543" s="131">
        <v>2185000</v>
      </c>
      <c r="M2543" s="117" t="s">
        <v>1435</v>
      </c>
      <c r="N2543" s="34" t="s">
        <v>29</v>
      </c>
      <c r="O2543" s="11"/>
      <c r="P2543" s="113">
        <v>45887</v>
      </c>
      <c r="Q2543" s="113">
        <v>45887</v>
      </c>
      <c r="R2543" s="113">
        <v>45887</v>
      </c>
      <c r="S2543" s="37">
        <f t="shared" ref="S2543:S2548" si="535">IF(R2543="",0,L2543)</f>
        <v>2185000</v>
      </c>
      <c r="T2543" s="37">
        <f t="shared" ref="T2543:T2548" si="536">L2543-S2543</f>
        <v>0</v>
      </c>
      <c r="U2543" s="10"/>
      <c r="V2543" s="10"/>
      <c r="W2543" s="10"/>
      <c r="X2543" s="10"/>
      <c r="Y2543" s="10"/>
      <c r="Z2543" s="10"/>
      <c r="AA2543" s="10"/>
      <c r="AB2543" s="10"/>
      <c r="AC2543" s="10"/>
      <c r="AD2543" s="10"/>
      <c r="AE2543" s="10"/>
    </row>
    <row r="2544" spans="1:31" ht="14.25" customHeight="1">
      <c r="A2544" s="277" t="s">
        <v>6535</v>
      </c>
      <c r="B2544" s="9" t="s">
        <v>21</v>
      </c>
      <c r="C2544" s="9">
        <v>2025</v>
      </c>
      <c r="D2544" s="9" t="s">
        <v>27</v>
      </c>
      <c r="E2544" s="90" t="s">
        <v>1315</v>
      </c>
      <c r="F2544" s="9" t="s">
        <v>1317</v>
      </c>
      <c r="G2544" s="10"/>
      <c r="H2544" s="9"/>
      <c r="I2544" s="109" t="s">
        <v>1434</v>
      </c>
      <c r="J2544" s="115">
        <v>45854</v>
      </c>
      <c r="K2544" s="115">
        <v>45866</v>
      </c>
      <c r="L2544" s="131">
        <v>167040</v>
      </c>
      <c r="M2544" s="117" t="s">
        <v>1436</v>
      </c>
      <c r="N2544" s="34" t="s">
        <v>29</v>
      </c>
      <c r="O2544" s="125">
        <f>SUM(L2544:L2545)</f>
        <v>3226040</v>
      </c>
      <c r="P2544" s="113">
        <v>45898</v>
      </c>
      <c r="Q2544" s="113">
        <v>45898</v>
      </c>
      <c r="R2544" s="113">
        <v>45898</v>
      </c>
      <c r="S2544" s="37">
        <f t="shared" si="535"/>
        <v>167040</v>
      </c>
      <c r="T2544" s="37">
        <f t="shared" si="536"/>
        <v>0</v>
      </c>
      <c r="U2544" s="10"/>
      <c r="V2544" s="10"/>
      <c r="W2544" s="10"/>
      <c r="X2544" s="10"/>
      <c r="Y2544" s="10"/>
      <c r="Z2544" s="10"/>
      <c r="AA2544" s="10"/>
      <c r="AB2544" s="10"/>
      <c r="AC2544" s="10"/>
      <c r="AD2544" s="10"/>
      <c r="AE2544" s="10"/>
    </row>
    <row r="2545" spans="1:31" ht="14.25" customHeight="1">
      <c r="A2545" s="277" t="s">
        <v>6536</v>
      </c>
      <c r="B2545" s="9" t="s">
        <v>21</v>
      </c>
      <c r="C2545" s="9">
        <v>2025</v>
      </c>
      <c r="D2545" s="9" t="s">
        <v>27</v>
      </c>
      <c r="E2545" s="90" t="s">
        <v>1315</v>
      </c>
      <c r="F2545" s="9" t="s">
        <v>1317</v>
      </c>
      <c r="G2545" s="10"/>
      <c r="H2545" s="9"/>
      <c r="I2545" s="109" t="s">
        <v>1434</v>
      </c>
      <c r="J2545" s="115">
        <v>45862</v>
      </c>
      <c r="K2545" s="115">
        <v>45876</v>
      </c>
      <c r="L2545" s="131">
        <v>3059000</v>
      </c>
      <c r="M2545" s="117" t="s">
        <v>1437</v>
      </c>
      <c r="N2545" s="34" t="s">
        <v>29</v>
      </c>
      <c r="O2545" s="11"/>
      <c r="P2545" s="113">
        <v>45898</v>
      </c>
      <c r="Q2545" s="113">
        <v>45898</v>
      </c>
      <c r="R2545" s="113">
        <v>45898</v>
      </c>
      <c r="S2545" s="37">
        <f t="shared" si="535"/>
        <v>3059000</v>
      </c>
      <c r="T2545" s="37">
        <f t="shared" si="536"/>
        <v>0</v>
      </c>
      <c r="U2545" s="10"/>
      <c r="V2545" s="10"/>
      <c r="W2545" s="10"/>
      <c r="X2545" s="10"/>
      <c r="Y2545" s="10"/>
      <c r="Z2545" s="10"/>
      <c r="AA2545" s="10"/>
      <c r="AB2545" s="10"/>
      <c r="AC2545" s="10"/>
      <c r="AD2545" s="10"/>
      <c r="AE2545" s="10"/>
    </row>
    <row r="2546" spans="1:31" ht="14.25" customHeight="1">
      <c r="A2546" s="277" t="s">
        <v>6537</v>
      </c>
      <c r="B2546" s="9" t="s">
        <v>21</v>
      </c>
      <c r="C2546" s="9">
        <v>2025</v>
      </c>
      <c r="D2546" s="9" t="s">
        <v>27</v>
      </c>
      <c r="E2546" s="90" t="s">
        <v>1315</v>
      </c>
      <c r="F2546" s="9" t="s">
        <v>1317</v>
      </c>
      <c r="G2546" s="10"/>
      <c r="H2546" s="9"/>
      <c r="I2546" s="109" t="s">
        <v>1434</v>
      </c>
      <c r="J2546" s="115">
        <v>46009</v>
      </c>
      <c r="K2546" s="115">
        <v>46035</v>
      </c>
      <c r="L2546" s="131">
        <v>1630080</v>
      </c>
      <c r="M2546" s="117" t="s">
        <v>4217</v>
      </c>
      <c r="N2546" s="34" t="s">
        <v>29</v>
      </c>
      <c r="O2546" s="11"/>
      <c r="P2546" s="113">
        <v>46066</v>
      </c>
      <c r="Q2546" s="113">
        <v>46066</v>
      </c>
      <c r="R2546" s="113">
        <v>46066</v>
      </c>
      <c r="S2546" s="37">
        <f t="shared" si="535"/>
        <v>1630080</v>
      </c>
      <c r="T2546" s="37">
        <f t="shared" si="536"/>
        <v>0</v>
      </c>
      <c r="U2546" s="10"/>
      <c r="V2546" s="10"/>
      <c r="W2546" s="10"/>
      <c r="X2546" s="10"/>
      <c r="Y2546" s="10"/>
      <c r="Z2546" s="10"/>
      <c r="AA2546" s="10"/>
      <c r="AB2546" s="10"/>
      <c r="AC2546" s="10"/>
      <c r="AD2546" s="10"/>
      <c r="AE2546" s="10"/>
    </row>
    <row r="2547" spans="1:31" ht="14.25" customHeight="1">
      <c r="A2547" s="277" t="s">
        <v>6538</v>
      </c>
      <c r="B2547" s="9" t="s">
        <v>21</v>
      </c>
      <c r="C2547" s="9">
        <v>2026</v>
      </c>
      <c r="D2547" s="9" t="s">
        <v>77</v>
      </c>
      <c r="E2547" s="90" t="s">
        <v>1315</v>
      </c>
      <c r="F2547" s="9" t="s">
        <v>1317</v>
      </c>
      <c r="G2547" s="10"/>
      <c r="H2547" s="9"/>
      <c r="I2547" s="11" t="s">
        <v>1434</v>
      </c>
      <c r="J2547" s="12">
        <v>46198</v>
      </c>
      <c r="K2547" s="12">
        <v>46217</v>
      </c>
      <c r="L2547" s="52">
        <v>2119104</v>
      </c>
      <c r="M2547" s="10" t="s">
        <v>7384</v>
      </c>
      <c r="N2547" s="34">
        <f ca="1">$J$3-J2547</f>
        <v>42.463776388889528</v>
      </c>
      <c r="O2547" s="11"/>
      <c r="P2547" s="39"/>
      <c r="Q2547" s="39"/>
      <c r="R2547" s="39"/>
      <c r="S2547" s="37">
        <f t="shared" si="535"/>
        <v>0</v>
      </c>
      <c r="T2547" s="37">
        <f t="shared" si="536"/>
        <v>2119104</v>
      </c>
      <c r="U2547" s="10"/>
      <c r="V2547" s="10"/>
      <c r="W2547" s="10"/>
      <c r="X2547" s="10"/>
      <c r="Y2547" s="10"/>
      <c r="Z2547" s="10"/>
      <c r="AA2547" s="10"/>
      <c r="AB2547" s="10"/>
      <c r="AC2547" s="10"/>
      <c r="AD2547" s="10"/>
      <c r="AE2547" s="10"/>
    </row>
    <row r="2548" spans="1:31" ht="14.25" customHeight="1">
      <c r="A2548" s="277" t="s">
        <v>6539</v>
      </c>
      <c r="B2548" s="9" t="s">
        <v>21</v>
      </c>
      <c r="C2548" s="9"/>
      <c r="D2548" s="9"/>
      <c r="E2548" s="90"/>
      <c r="F2548" s="9"/>
      <c r="G2548" s="10"/>
      <c r="H2548" s="9"/>
      <c r="I2548" s="11"/>
      <c r="J2548" s="12"/>
      <c r="K2548" s="12"/>
      <c r="L2548" s="52"/>
      <c r="M2548" s="10"/>
      <c r="N2548" s="114">
        <f ca="1">$J$3-J2548</f>
        <v>46240.46377638889</v>
      </c>
      <c r="O2548" s="11"/>
      <c r="P2548" s="39"/>
      <c r="Q2548" s="39"/>
      <c r="R2548" s="39"/>
      <c r="S2548" s="37">
        <f t="shared" si="535"/>
        <v>0</v>
      </c>
      <c r="T2548" s="37">
        <f t="shared" si="536"/>
        <v>0</v>
      </c>
      <c r="U2548" s="10"/>
      <c r="V2548" s="10"/>
      <c r="W2548" s="10"/>
      <c r="X2548" s="10"/>
      <c r="Y2548" s="10"/>
      <c r="Z2548" s="10"/>
      <c r="AA2548" s="10"/>
      <c r="AB2548" s="10"/>
      <c r="AC2548" s="10"/>
      <c r="AD2548" s="10"/>
      <c r="AE2548" s="10"/>
    </row>
    <row r="2549" spans="1:31" ht="14.25" customHeight="1">
      <c r="A2549" s="277" t="s">
        <v>6540</v>
      </c>
      <c r="B2549" s="9" t="s">
        <v>21</v>
      </c>
      <c r="C2549" s="9"/>
      <c r="D2549" s="9"/>
      <c r="E2549" s="90"/>
      <c r="F2549" s="9"/>
      <c r="G2549" s="10"/>
      <c r="H2549" s="9"/>
      <c r="I2549" s="11"/>
      <c r="J2549" s="12"/>
      <c r="K2549" s="12"/>
      <c r="L2549" s="52"/>
      <c r="M2549" s="10"/>
      <c r="N2549" s="9"/>
      <c r="O2549" s="11"/>
      <c r="P2549" s="39"/>
      <c r="Q2549" s="39"/>
      <c r="R2549" s="39"/>
      <c r="S2549" s="37"/>
      <c r="T2549" s="37"/>
      <c r="U2549" s="10"/>
      <c r="V2549" s="10"/>
      <c r="W2549" s="10"/>
      <c r="X2549" s="10"/>
      <c r="Y2549" s="10"/>
      <c r="Z2549" s="10"/>
      <c r="AA2549" s="10"/>
      <c r="AB2549" s="10"/>
      <c r="AC2549" s="10"/>
      <c r="AD2549" s="10"/>
      <c r="AE2549" s="10"/>
    </row>
    <row r="2550" spans="1:31">
      <c r="A2550" s="277" t="s">
        <v>6541</v>
      </c>
      <c r="B2550" s="9" t="s">
        <v>21</v>
      </c>
      <c r="C2550" s="9"/>
      <c r="D2550" s="9"/>
      <c r="E2550" s="90"/>
      <c r="F2550" s="9"/>
      <c r="G2550" s="94" t="s">
        <v>24</v>
      </c>
      <c r="H2550" s="95" t="s">
        <v>1438</v>
      </c>
      <c r="I2550" s="104"/>
      <c r="J2550" s="105"/>
      <c r="K2550" s="105"/>
      <c r="L2550" s="106">
        <f>SUM(L2551:L2574)</f>
        <v>50738500</v>
      </c>
      <c r="M2550" s="107"/>
      <c r="N2550" s="108" t="s">
        <v>26</v>
      </c>
      <c r="O2550" s="108"/>
      <c r="P2550" s="108"/>
      <c r="Q2550" s="108"/>
      <c r="R2550" s="108"/>
      <c r="S2550" s="106">
        <f>SUM(S2551:S2574)</f>
        <v>32401500</v>
      </c>
      <c r="T2550" s="106">
        <f>SUM(T2551:T2574)</f>
        <v>18337000</v>
      </c>
      <c r="U2550" s="10"/>
      <c r="V2550" s="52">
        <f>L2550-S2550</f>
        <v>18337000</v>
      </c>
      <c r="W2550" s="52">
        <f>T2550-V2550</f>
        <v>0</v>
      </c>
      <c r="X2550" s="10"/>
      <c r="Y2550" s="10"/>
      <c r="Z2550" s="10"/>
      <c r="AA2550" s="10"/>
      <c r="AB2550" s="10"/>
      <c r="AC2550" s="10"/>
      <c r="AD2550" s="10"/>
      <c r="AE2550" s="10"/>
    </row>
    <row r="2551" spans="1:31" ht="14.25" hidden="1" customHeight="1">
      <c r="A2551" s="277" t="s">
        <v>6542</v>
      </c>
      <c r="B2551" s="9" t="s">
        <v>21</v>
      </c>
      <c r="C2551" s="9">
        <v>2025</v>
      </c>
      <c r="D2551" s="9" t="s">
        <v>27</v>
      </c>
      <c r="E2551" s="90" t="s">
        <v>1315</v>
      </c>
      <c r="F2551" s="9" t="s">
        <v>1317</v>
      </c>
      <c r="G2551" s="10"/>
      <c r="H2551" s="9"/>
      <c r="I2551" s="109" t="s">
        <v>1439</v>
      </c>
      <c r="J2551" s="115">
        <v>45665</v>
      </c>
      <c r="K2551" s="115">
        <v>45667</v>
      </c>
      <c r="L2551" s="131">
        <f>447000+766500</f>
        <v>1213500</v>
      </c>
      <c r="M2551" s="109" t="s">
        <v>1440</v>
      </c>
      <c r="N2551" s="34" t="s">
        <v>29</v>
      </c>
      <c r="O2551" s="11"/>
      <c r="P2551" s="113">
        <v>45754</v>
      </c>
      <c r="Q2551" s="113">
        <v>45754</v>
      </c>
      <c r="R2551" s="113">
        <v>45754</v>
      </c>
      <c r="S2551" s="37">
        <f t="shared" ref="S2551:S2574" si="537">IF(R2551="",0,L2551)</f>
        <v>1213500</v>
      </c>
      <c r="T2551" s="37">
        <f t="shared" ref="T2551:T2574" si="538">L2551-S2551</f>
        <v>0</v>
      </c>
      <c r="U2551" s="10"/>
      <c r="V2551" s="10"/>
      <c r="W2551" s="10"/>
      <c r="X2551" s="10"/>
      <c r="Y2551" s="10"/>
      <c r="Z2551" s="10"/>
      <c r="AA2551" s="10"/>
      <c r="AB2551" s="10"/>
      <c r="AC2551" s="10"/>
      <c r="AD2551" s="10"/>
      <c r="AE2551" s="10"/>
    </row>
    <row r="2552" spans="1:31" ht="14.25" hidden="1" customHeight="1">
      <c r="A2552" s="277" t="s">
        <v>6543</v>
      </c>
      <c r="B2552" s="9" t="s">
        <v>21</v>
      </c>
      <c r="C2552" s="9">
        <v>2025</v>
      </c>
      <c r="D2552" s="9" t="s">
        <v>27</v>
      </c>
      <c r="E2552" s="90" t="s">
        <v>1315</v>
      </c>
      <c r="F2552" s="9" t="s">
        <v>1317</v>
      </c>
      <c r="G2552" s="10"/>
      <c r="H2552" s="9"/>
      <c r="I2552" s="109" t="s">
        <v>1439</v>
      </c>
      <c r="J2552" s="115">
        <v>45678</v>
      </c>
      <c r="K2552" s="115">
        <v>45698</v>
      </c>
      <c r="L2552" s="131">
        <f>699000+525000+625000</f>
        <v>1849000</v>
      </c>
      <c r="M2552" s="109" t="s">
        <v>1441</v>
      </c>
      <c r="N2552" s="34" t="s">
        <v>29</v>
      </c>
      <c r="O2552" s="11"/>
      <c r="P2552" s="113">
        <v>45754</v>
      </c>
      <c r="Q2552" s="113">
        <v>45754</v>
      </c>
      <c r="R2552" s="113">
        <v>45754</v>
      </c>
      <c r="S2552" s="37">
        <f t="shared" si="537"/>
        <v>1849000</v>
      </c>
      <c r="T2552" s="37">
        <f t="shared" si="538"/>
        <v>0</v>
      </c>
      <c r="U2552" s="10"/>
      <c r="V2552" s="10"/>
      <c r="W2552" s="10"/>
      <c r="X2552" s="10"/>
      <c r="Y2552" s="10"/>
      <c r="Z2552" s="10"/>
      <c r="AA2552" s="10"/>
      <c r="AB2552" s="10"/>
      <c r="AC2552" s="10"/>
      <c r="AD2552" s="10"/>
      <c r="AE2552" s="10"/>
    </row>
    <row r="2553" spans="1:31" ht="14.25" hidden="1" customHeight="1">
      <c r="A2553" s="277" t="s">
        <v>6544</v>
      </c>
      <c r="B2553" s="9" t="s">
        <v>21</v>
      </c>
      <c r="C2553" s="9">
        <v>2025</v>
      </c>
      <c r="D2553" s="9" t="s">
        <v>27</v>
      </c>
      <c r="E2553" s="90" t="s">
        <v>1315</v>
      </c>
      <c r="F2553" s="9" t="s">
        <v>1317</v>
      </c>
      <c r="G2553" s="10"/>
      <c r="H2553" s="9"/>
      <c r="I2553" s="109" t="s">
        <v>1439</v>
      </c>
      <c r="J2553" s="115">
        <v>45705</v>
      </c>
      <c r="K2553" s="115">
        <v>45707</v>
      </c>
      <c r="L2553" s="131">
        <f>190500+685000</f>
        <v>875500</v>
      </c>
      <c r="M2553" s="109" t="s">
        <v>1442</v>
      </c>
      <c r="N2553" s="34" t="s">
        <v>29</v>
      </c>
      <c r="O2553" s="125">
        <f>SUM(L2553:L2561)</f>
        <v>13488000</v>
      </c>
      <c r="P2553" s="113">
        <v>45887</v>
      </c>
      <c r="Q2553" s="113">
        <v>45887</v>
      </c>
      <c r="R2553" s="113">
        <v>45887</v>
      </c>
      <c r="S2553" s="37">
        <f t="shared" si="537"/>
        <v>875500</v>
      </c>
      <c r="T2553" s="37">
        <f t="shared" si="538"/>
        <v>0</v>
      </c>
      <c r="U2553" s="10"/>
      <c r="V2553" s="10"/>
      <c r="W2553" s="10"/>
      <c r="X2553" s="10"/>
      <c r="Y2553" s="10"/>
      <c r="Z2553" s="10"/>
      <c r="AA2553" s="10"/>
      <c r="AB2553" s="10"/>
      <c r="AC2553" s="10"/>
      <c r="AD2553" s="10"/>
      <c r="AE2553" s="10"/>
    </row>
    <row r="2554" spans="1:31" ht="14.25" hidden="1" customHeight="1">
      <c r="A2554" s="277" t="s">
        <v>6545</v>
      </c>
      <c r="B2554" s="9" t="s">
        <v>21</v>
      </c>
      <c r="C2554" s="9">
        <v>2025</v>
      </c>
      <c r="D2554" s="9" t="s">
        <v>27</v>
      </c>
      <c r="E2554" s="90" t="s">
        <v>1315</v>
      </c>
      <c r="F2554" s="9" t="s">
        <v>1317</v>
      </c>
      <c r="G2554" s="10"/>
      <c r="H2554" s="9"/>
      <c r="I2554" s="109" t="s">
        <v>1439</v>
      </c>
      <c r="J2554" s="115">
        <v>45707</v>
      </c>
      <c r="K2554" s="115">
        <v>45728</v>
      </c>
      <c r="L2554" s="131">
        <f>533500+322500+674000</f>
        <v>1530000</v>
      </c>
      <c r="M2554" s="109" t="s">
        <v>1443</v>
      </c>
      <c r="N2554" s="34" t="s">
        <v>29</v>
      </c>
      <c r="O2554" s="11"/>
      <c r="P2554" s="113">
        <v>45887</v>
      </c>
      <c r="Q2554" s="113">
        <v>45887</v>
      </c>
      <c r="R2554" s="113">
        <v>45887</v>
      </c>
      <c r="S2554" s="37">
        <f t="shared" si="537"/>
        <v>1530000</v>
      </c>
      <c r="T2554" s="37">
        <f t="shared" si="538"/>
        <v>0</v>
      </c>
      <c r="U2554" s="10"/>
      <c r="V2554" s="10"/>
      <c r="W2554" s="10"/>
      <c r="X2554" s="10"/>
      <c r="Y2554" s="10"/>
      <c r="Z2554" s="10"/>
      <c r="AA2554" s="10"/>
      <c r="AB2554" s="10"/>
      <c r="AC2554" s="10"/>
      <c r="AD2554" s="10"/>
      <c r="AE2554" s="10"/>
    </row>
    <row r="2555" spans="1:31" ht="14.25" hidden="1" customHeight="1">
      <c r="A2555" s="277" t="s">
        <v>7217</v>
      </c>
      <c r="B2555" s="9" t="s">
        <v>21</v>
      </c>
      <c r="C2555" s="9">
        <v>2025</v>
      </c>
      <c r="D2555" s="9" t="s">
        <v>27</v>
      </c>
      <c r="E2555" s="90" t="s">
        <v>1315</v>
      </c>
      <c r="F2555" s="9" t="s">
        <v>1317</v>
      </c>
      <c r="G2555" s="10"/>
      <c r="H2555" s="9"/>
      <c r="I2555" s="109" t="s">
        <v>1439</v>
      </c>
      <c r="J2555" s="115">
        <v>45735</v>
      </c>
      <c r="K2555" s="115">
        <v>45735</v>
      </c>
      <c r="L2555" s="131">
        <v>311500</v>
      </c>
      <c r="M2555" s="109" t="s">
        <v>1444</v>
      </c>
      <c r="N2555" s="34" t="s">
        <v>29</v>
      </c>
      <c r="O2555" s="11"/>
      <c r="P2555" s="113">
        <v>45887</v>
      </c>
      <c r="Q2555" s="113">
        <v>45887</v>
      </c>
      <c r="R2555" s="113">
        <v>45887</v>
      </c>
      <c r="S2555" s="37">
        <f t="shared" si="537"/>
        <v>311500</v>
      </c>
      <c r="T2555" s="37">
        <f t="shared" si="538"/>
        <v>0</v>
      </c>
      <c r="U2555" s="10"/>
      <c r="V2555" s="10"/>
      <c r="W2555" s="10"/>
      <c r="X2555" s="10"/>
      <c r="Y2555" s="10"/>
      <c r="Z2555" s="10"/>
      <c r="AA2555" s="10"/>
      <c r="AB2555" s="10"/>
      <c r="AC2555" s="10"/>
      <c r="AD2555" s="10"/>
      <c r="AE2555" s="10"/>
    </row>
    <row r="2556" spans="1:31" ht="14.25" hidden="1" customHeight="1">
      <c r="A2556" s="277" t="s">
        <v>7218</v>
      </c>
      <c r="B2556" s="9" t="s">
        <v>21</v>
      </c>
      <c r="C2556" s="9">
        <v>2025</v>
      </c>
      <c r="D2556" s="9" t="s">
        <v>27</v>
      </c>
      <c r="E2556" s="90" t="s">
        <v>1315</v>
      </c>
      <c r="F2556" s="9" t="s">
        <v>1317</v>
      </c>
      <c r="G2556" s="10"/>
      <c r="H2556" s="9"/>
      <c r="I2556" s="109" t="s">
        <v>1439</v>
      </c>
      <c r="J2556" s="115">
        <v>45755</v>
      </c>
      <c r="K2556" s="115">
        <v>45756</v>
      </c>
      <c r="L2556" s="131">
        <v>538500</v>
      </c>
      <c r="M2556" s="109" t="s">
        <v>1445</v>
      </c>
      <c r="N2556" s="34" t="s">
        <v>29</v>
      </c>
      <c r="O2556" s="11"/>
      <c r="P2556" s="113">
        <v>45887</v>
      </c>
      <c r="Q2556" s="113">
        <v>45887</v>
      </c>
      <c r="R2556" s="113">
        <v>45887</v>
      </c>
      <c r="S2556" s="37">
        <f t="shared" si="537"/>
        <v>538500</v>
      </c>
      <c r="T2556" s="37">
        <f t="shared" si="538"/>
        <v>0</v>
      </c>
      <c r="U2556" s="10"/>
      <c r="V2556" s="10"/>
      <c r="W2556" s="10"/>
      <c r="X2556" s="10"/>
      <c r="Y2556" s="10"/>
      <c r="Z2556" s="10"/>
      <c r="AA2556" s="10"/>
      <c r="AB2556" s="10"/>
      <c r="AC2556" s="10"/>
      <c r="AD2556" s="10"/>
      <c r="AE2556" s="10"/>
    </row>
    <row r="2557" spans="1:31" ht="14.25" hidden="1" customHeight="1">
      <c r="A2557" s="277" t="s">
        <v>7219</v>
      </c>
      <c r="B2557" s="9" t="s">
        <v>21</v>
      </c>
      <c r="C2557" s="9">
        <v>2025</v>
      </c>
      <c r="D2557" s="9" t="s">
        <v>27</v>
      </c>
      <c r="E2557" s="90" t="s">
        <v>1315</v>
      </c>
      <c r="F2557" s="9" t="s">
        <v>1317</v>
      </c>
      <c r="G2557" s="10"/>
      <c r="H2557" s="9"/>
      <c r="I2557" s="109" t="s">
        <v>1439</v>
      </c>
      <c r="J2557" s="115">
        <v>45764</v>
      </c>
      <c r="K2557" s="115">
        <v>45775</v>
      </c>
      <c r="L2557" s="131">
        <f>315000+153000</f>
        <v>468000</v>
      </c>
      <c r="M2557" s="109" t="s">
        <v>1446</v>
      </c>
      <c r="N2557" s="34" t="s">
        <v>29</v>
      </c>
      <c r="O2557" s="11"/>
      <c r="P2557" s="113">
        <v>45887</v>
      </c>
      <c r="Q2557" s="113">
        <v>45887</v>
      </c>
      <c r="R2557" s="113">
        <v>45887</v>
      </c>
      <c r="S2557" s="37">
        <f t="shared" si="537"/>
        <v>468000</v>
      </c>
      <c r="T2557" s="37">
        <f t="shared" si="538"/>
        <v>0</v>
      </c>
      <c r="U2557" s="10"/>
      <c r="V2557" s="10"/>
      <c r="W2557" s="10"/>
      <c r="X2557" s="10"/>
      <c r="Y2557" s="10"/>
      <c r="Z2557" s="10"/>
      <c r="AA2557" s="10"/>
      <c r="AB2557" s="10"/>
      <c r="AC2557" s="10"/>
      <c r="AD2557" s="10"/>
      <c r="AE2557" s="10"/>
    </row>
    <row r="2558" spans="1:31" ht="14.25" hidden="1" customHeight="1">
      <c r="A2558" s="277" t="s">
        <v>7220</v>
      </c>
      <c r="B2558" s="9" t="s">
        <v>21</v>
      </c>
      <c r="C2558" s="9">
        <v>2025</v>
      </c>
      <c r="D2558" s="9" t="s">
        <v>27</v>
      </c>
      <c r="E2558" s="90" t="s">
        <v>1315</v>
      </c>
      <c r="F2558" s="9" t="s">
        <v>1317</v>
      </c>
      <c r="G2558" s="10"/>
      <c r="H2558" s="9"/>
      <c r="I2558" s="109" t="s">
        <v>1439</v>
      </c>
      <c r="J2558" s="115">
        <v>45791</v>
      </c>
      <c r="K2558" s="115">
        <v>45800</v>
      </c>
      <c r="L2558" s="131">
        <f>595000+773000</f>
        <v>1368000</v>
      </c>
      <c r="M2558" s="109" t="s">
        <v>1447</v>
      </c>
      <c r="N2558" s="34" t="s">
        <v>29</v>
      </c>
      <c r="O2558" s="11"/>
      <c r="P2558" s="113">
        <v>45887</v>
      </c>
      <c r="Q2558" s="113">
        <v>45887</v>
      </c>
      <c r="R2558" s="113">
        <v>45887</v>
      </c>
      <c r="S2558" s="37">
        <f t="shared" si="537"/>
        <v>1368000</v>
      </c>
      <c r="T2558" s="37">
        <f t="shared" si="538"/>
        <v>0</v>
      </c>
      <c r="U2558" s="10"/>
      <c r="V2558" s="10"/>
      <c r="W2558" s="10"/>
      <c r="X2558" s="10"/>
      <c r="Y2558" s="10"/>
      <c r="Z2558" s="10"/>
      <c r="AA2558" s="10"/>
      <c r="AB2558" s="10"/>
      <c r="AC2558" s="10"/>
      <c r="AD2558" s="10"/>
      <c r="AE2558" s="10"/>
    </row>
    <row r="2559" spans="1:31" ht="14.25" hidden="1" customHeight="1">
      <c r="A2559" s="277" t="s">
        <v>6546</v>
      </c>
      <c r="B2559" s="9" t="s">
        <v>21</v>
      </c>
      <c r="C2559" s="9">
        <v>2025</v>
      </c>
      <c r="D2559" s="9" t="s">
        <v>27</v>
      </c>
      <c r="E2559" s="90" t="s">
        <v>1315</v>
      </c>
      <c r="F2559" s="9" t="s">
        <v>1317</v>
      </c>
      <c r="G2559" s="10"/>
      <c r="H2559" s="9"/>
      <c r="I2559" s="109" t="s">
        <v>1439</v>
      </c>
      <c r="J2559" s="115">
        <v>45810</v>
      </c>
      <c r="K2559" s="115">
        <v>45810</v>
      </c>
      <c r="L2559" s="131">
        <f>984500+306500+967000</f>
        <v>2258000</v>
      </c>
      <c r="M2559" s="109" t="s">
        <v>1448</v>
      </c>
      <c r="N2559" s="34" t="s">
        <v>29</v>
      </c>
      <c r="O2559" s="11"/>
      <c r="P2559" s="113">
        <v>45887</v>
      </c>
      <c r="Q2559" s="113">
        <v>45887</v>
      </c>
      <c r="R2559" s="113">
        <v>45887</v>
      </c>
      <c r="S2559" s="37">
        <f t="shared" si="537"/>
        <v>2258000</v>
      </c>
      <c r="T2559" s="37">
        <f t="shared" si="538"/>
        <v>0</v>
      </c>
      <c r="U2559" s="10"/>
      <c r="V2559" s="10"/>
      <c r="W2559" s="10"/>
      <c r="X2559" s="10"/>
      <c r="Y2559" s="10"/>
      <c r="Z2559" s="10"/>
      <c r="AA2559" s="10"/>
      <c r="AB2559" s="10"/>
      <c r="AC2559" s="10"/>
      <c r="AD2559" s="10"/>
      <c r="AE2559" s="10"/>
    </row>
    <row r="2560" spans="1:31" ht="14.25" hidden="1" customHeight="1">
      <c r="A2560" s="277" t="s">
        <v>6547</v>
      </c>
      <c r="B2560" s="9" t="s">
        <v>21</v>
      </c>
      <c r="C2560" s="9">
        <v>2025</v>
      </c>
      <c r="D2560" s="9" t="s">
        <v>27</v>
      </c>
      <c r="E2560" s="90" t="s">
        <v>1315</v>
      </c>
      <c r="F2560" s="9" t="s">
        <v>1317</v>
      </c>
      <c r="G2560" s="10"/>
      <c r="H2560" s="9"/>
      <c r="I2560" s="109" t="s">
        <v>1439</v>
      </c>
      <c r="J2560" s="115">
        <v>45820</v>
      </c>
      <c r="K2560" s="115">
        <v>45824</v>
      </c>
      <c r="L2560" s="131">
        <v>115000</v>
      </c>
      <c r="M2560" s="109" t="s">
        <v>1449</v>
      </c>
      <c r="N2560" s="34" t="s">
        <v>29</v>
      </c>
      <c r="O2560" s="11"/>
      <c r="P2560" s="113">
        <v>45887</v>
      </c>
      <c r="Q2560" s="113">
        <v>45887</v>
      </c>
      <c r="R2560" s="113">
        <v>45887</v>
      </c>
      <c r="S2560" s="37">
        <f t="shared" si="537"/>
        <v>115000</v>
      </c>
      <c r="T2560" s="37">
        <f t="shared" si="538"/>
        <v>0</v>
      </c>
      <c r="U2560" s="10"/>
      <c r="V2560" s="10"/>
      <c r="W2560" s="10"/>
      <c r="X2560" s="10"/>
      <c r="Y2560" s="10"/>
      <c r="Z2560" s="10"/>
      <c r="AA2560" s="10"/>
      <c r="AB2560" s="10"/>
      <c r="AC2560" s="10"/>
      <c r="AD2560" s="10"/>
      <c r="AE2560" s="10"/>
    </row>
    <row r="2561" spans="1:31" ht="14.25" hidden="1" customHeight="1">
      <c r="A2561" s="277" t="s">
        <v>6548</v>
      </c>
      <c r="B2561" s="9" t="s">
        <v>21</v>
      </c>
      <c r="C2561" s="9">
        <v>2025</v>
      </c>
      <c r="D2561" s="9" t="s">
        <v>27</v>
      </c>
      <c r="E2561" s="90" t="s">
        <v>1315</v>
      </c>
      <c r="F2561" s="9" t="s">
        <v>1317</v>
      </c>
      <c r="G2561" s="10"/>
      <c r="H2561" s="9"/>
      <c r="I2561" s="109" t="s">
        <v>1439</v>
      </c>
      <c r="J2561" s="115">
        <v>45836</v>
      </c>
      <c r="K2561" s="115">
        <v>45839</v>
      </c>
      <c r="L2561" s="131">
        <f>5891000+132500</f>
        <v>6023500</v>
      </c>
      <c r="M2561" s="109" t="s">
        <v>1450</v>
      </c>
      <c r="N2561" s="34" t="s">
        <v>29</v>
      </c>
      <c r="O2561" s="11"/>
      <c r="P2561" s="113">
        <v>45887</v>
      </c>
      <c r="Q2561" s="113">
        <v>45887</v>
      </c>
      <c r="R2561" s="113">
        <v>45887</v>
      </c>
      <c r="S2561" s="37">
        <f t="shared" si="537"/>
        <v>6023500</v>
      </c>
      <c r="T2561" s="37">
        <f t="shared" si="538"/>
        <v>0</v>
      </c>
      <c r="U2561" s="10"/>
      <c r="V2561" s="10"/>
      <c r="W2561" s="10"/>
      <c r="X2561" s="10"/>
      <c r="Y2561" s="10"/>
      <c r="Z2561" s="10"/>
      <c r="AA2561" s="10"/>
      <c r="AB2561" s="10"/>
      <c r="AC2561" s="10"/>
      <c r="AD2561" s="10"/>
      <c r="AE2561" s="10"/>
    </row>
    <row r="2562" spans="1:31" ht="14.25" hidden="1" customHeight="1">
      <c r="A2562" s="277" t="s">
        <v>6549</v>
      </c>
      <c r="B2562" s="9" t="s">
        <v>21</v>
      </c>
      <c r="C2562" s="9">
        <v>2025</v>
      </c>
      <c r="D2562" s="9" t="s">
        <v>27</v>
      </c>
      <c r="E2562" s="90" t="s">
        <v>1315</v>
      </c>
      <c r="F2562" s="9" t="s">
        <v>1317</v>
      </c>
      <c r="G2562" s="10"/>
      <c r="H2562" s="9"/>
      <c r="I2562" s="109" t="s">
        <v>1439</v>
      </c>
      <c r="J2562" s="115">
        <v>45855</v>
      </c>
      <c r="K2562" s="115">
        <v>45862</v>
      </c>
      <c r="L2562" s="131">
        <f>414000+468000+527500+291000</f>
        <v>1700500</v>
      </c>
      <c r="M2562" s="109" t="s">
        <v>1451</v>
      </c>
      <c r="N2562" s="34" t="s">
        <v>29</v>
      </c>
      <c r="O2562" s="125">
        <f>SUM(L2562:L2563)</f>
        <v>4056000</v>
      </c>
      <c r="P2562" s="113">
        <v>45958</v>
      </c>
      <c r="Q2562" s="113">
        <v>45958</v>
      </c>
      <c r="R2562" s="113">
        <v>45958</v>
      </c>
      <c r="S2562" s="37">
        <f t="shared" si="537"/>
        <v>1700500</v>
      </c>
      <c r="T2562" s="37">
        <f t="shared" si="538"/>
        <v>0</v>
      </c>
      <c r="U2562" s="10"/>
      <c r="V2562" s="10"/>
      <c r="W2562" s="10"/>
      <c r="X2562" s="10"/>
      <c r="Y2562" s="10"/>
      <c r="Z2562" s="10"/>
      <c r="AA2562" s="10"/>
      <c r="AB2562" s="10"/>
      <c r="AC2562" s="10"/>
      <c r="AD2562" s="10"/>
      <c r="AE2562" s="10"/>
    </row>
    <row r="2563" spans="1:31" ht="14.25" hidden="1" customHeight="1">
      <c r="A2563" s="277" t="s">
        <v>6550</v>
      </c>
      <c r="B2563" s="9" t="s">
        <v>21</v>
      </c>
      <c r="C2563" s="9">
        <v>2025</v>
      </c>
      <c r="D2563" s="9" t="s">
        <v>27</v>
      </c>
      <c r="E2563" s="90" t="s">
        <v>1315</v>
      </c>
      <c r="F2563" s="9" t="s">
        <v>1317</v>
      </c>
      <c r="G2563" s="10"/>
      <c r="H2563" s="9"/>
      <c r="I2563" s="109" t="s">
        <v>1439</v>
      </c>
      <c r="J2563" s="115">
        <v>45888</v>
      </c>
      <c r="K2563" s="115">
        <v>45899</v>
      </c>
      <c r="L2563" s="131">
        <f>1743500+612000</f>
        <v>2355500</v>
      </c>
      <c r="M2563" s="109" t="s">
        <v>1452</v>
      </c>
      <c r="N2563" s="34" t="s">
        <v>29</v>
      </c>
      <c r="O2563" s="11"/>
      <c r="P2563" s="113">
        <v>45958</v>
      </c>
      <c r="Q2563" s="113">
        <v>45958</v>
      </c>
      <c r="R2563" s="113">
        <v>45958</v>
      </c>
      <c r="S2563" s="37">
        <f t="shared" si="537"/>
        <v>2355500</v>
      </c>
      <c r="T2563" s="37">
        <f t="shared" si="538"/>
        <v>0</v>
      </c>
      <c r="U2563" s="10"/>
      <c r="V2563" s="10"/>
      <c r="W2563" s="10"/>
      <c r="X2563" s="10"/>
      <c r="Y2563" s="10"/>
      <c r="Z2563" s="10"/>
      <c r="AA2563" s="10"/>
      <c r="AB2563" s="10"/>
      <c r="AC2563" s="10"/>
      <c r="AD2563" s="10"/>
      <c r="AE2563" s="10"/>
    </row>
    <row r="2564" spans="1:31" ht="14.25" hidden="1" customHeight="1">
      <c r="A2564" s="277" t="s">
        <v>6551</v>
      </c>
      <c r="B2564" s="9" t="s">
        <v>21</v>
      </c>
      <c r="C2564" s="9">
        <v>2025</v>
      </c>
      <c r="D2564" s="9" t="s">
        <v>27</v>
      </c>
      <c r="E2564" s="90" t="s">
        <v>1315</v>
      </c>
      <c r="F2564" s="9" t="s">
        <v>1317</v>
      </c>
      <c r="G2564" s="10"/>
      <c r="H2564" s="9"/>
      <c r="I2564" s="109" t="s">
        <v>1439</v>
      </c>
      <c r="J2564" s="115">
        <v>45915</v>
      </c>
      <c r="K2564" s="115">
        <v>45915</v>
      </c>
      <c r="L2564" s="131">
        <v>1323000</v>
      </c>
      <c r="M2564" s="109" t="s">
        <v>1453</v>
      </c>
      <c r="N2564" s="34" t="s">
        <v>29</v>
      </c>
      <c r="O2564" s="125">
        <f>SUM(L2564:L2567)</f>
        <v>11795000</v>
      </c>
      <c r="P2564" s="113">
        <v>46048</v>
      </c>
      <c r="Q2564" s="113">
        <v>46048</v>
      </c>
      <c r="R2564" s="113">
        <v>46048</v>
      </c>
      <c r="S2564" s="37">
        <f t="shared" si="537"/>
        <v>1323000</v>
      </c>
      <c r="T2564" s="37">
        <f t="shared" si="538"/>
        <v>0</v>
      </c>
      <c r="U2564" s="10"/>
      <c r="V2564" s="10"/>
      <c r="W2564" s="10"/>
      <c r="X2564" s="10"/>
      <c r="Y2564" s="10"/>
      <c r="Z2564" s="10"/>
      <c r="AA2564" s="10"/>
      <c r="AB2564" s="10"/>
      <c r="AC2564" s="10"/>
      <c r="AD2564" s="10"/>
      <c r="AE2564" s="10"/>
    </row>
    <row r="2565" spans="1:31" ht="14.25" hidden="1" customHeight="1">
      <c r="A2565" s="277" t="s">
        <v>6552</v>
      </c>
      <c r="B2565" s="9" t="s">
        <v>21</v>
      </c>
      <c r="C2565" s="9">
        <v>2025</v>
      </c>
      <c r="D2565" s="9" t="s">
        <v>27</v>
      </c>
      <c r="E2565" s="90" t="s">
        <v>1315</v>
      </c>
      <c r="F2565" s="9" t="s">
        <v>1317</v>
      </c>
      <c r="G2565" s="10"/>
      <c r="H2565" s="9"/>
      <c r="I2565" s="109" t="s">
        <v>1439</v>
      </c>
      <c r="J2565" s="115">
        <v>45920</v>
      </c>
      <c r="K2565" s="115">
        <v>45924</v>
      </c>
      <c r="L2565" s="131">
        <f>115000+861000+310000</f>
        <v>1286000</v>
      </c>
      <c r="M2565" s="109" t="s">
        <v>3698</v>
      </c>
      <c r="N2565" s="34" t="s">
        <v>29</v>
      </c>
      <c r="O2565" s="11"/>
      <c r="P2565" s="113">
        <v>46048</v>
      </c>
      <c r="Q2565" s="113">
        <v>46048</v>
      </c>
      <c r="R2565" s="113">
        <v>46048</v>
      </c>
      <c r="S2565" s="37">
        <f t="shared" si="537"/>
        <v>1286000</v>
      </c>
      <c r="T2565" s="37">
        <f t="shared" si="538"/>
        <v>0</v>
      </c>
      <c r="U2565" s="10"/>
      <c r="V2565" s="10"/>
      <c r="W2565" s="10"/>
      <c r="X2565" s="10"/>
      <c r="Y2565" s="10"/>
      <c r="Z2565" s="10"/>
      <c r="AA2565" s="10"/>
      <c r="AB2565" s="10"/>
      <c r="AC2565" s="10"/>
      <c r="AD2565" s="10"/>
      <c r="AE2565" s="10"/>
    </row>
    <row r="2566" spans="1:31" ht="14.25" hidden="1" customHeight="1">
      <c r="A2566" s="277" t="s">
        <v>6553</v>
      </c>
      <c r="B2566" s="9" t="s">
        <v>21</v>
      </c>
      <c r="C2566" s="9">
        <v>2025</v>
      </c>
      <c r="D2566" s="9" t="s">
        <v>27</v>
      </c>
      <c r="E2566" s="90" t="s">
        <v>1315</v>
      </c>
      <c r="F2566" s="9" t="s">
        <v>1317</v>
      </c>
      <c r="G2566" s="10"/>
      <c r="H2566" s="9"/>
      <c r="I2566" s="109" t="s">
        <v>1439</v>
      </c>
      <c r="J2566" s="115">
        <v>45927</v>
      </c>
      <c r="K2566" s="115">
        <v>45943</v>
      </c>
      <c r="L2566" s="131">
        <f>3298000+362000+466000</f>
        <v>4126000</v>
      </c>
      <c r="M2566" s="109" t="s">
        <v>3797</v>
      </c>
      <c r="N2566" s="34" t="s">
        <v>29</v>
      </c>
      <c r="O2566" s="11"/>
      <c r="P2566" s="113">
        <v>46048</v>
      </c>
      <c r="Q2566" s="113">
        <v>46048</v>
      </c>
      <c r="R2566" s="113">
        <v>46048</v>
      </c>
      <c r="S2566" s="37">
        <f t="shared" si="537"/>
        <v>4126000</v>
      </c>
      <c r="T2566" s="37">
        <f t="shared" si="538"/>
        <v>0</v>
      </c>
      <c r="U2566" s="10"/>
      <c r="V2566" s="10"/>
      <c r="W2566" s="10"/>
      <c r="X2566" s="10"/>
      <c r="Y2566" s="10"/>
      <c r="Z2566" s="10"/>
      <c r="AA2566" s="10"/>
      <c r="AB2566" s="10"/>
      <c r="AC2566" s="10"/>
      <c r="AD2566" s="10"/>
      <c r="AE2566" s="10"/>
    </row>
    <row r="2567" spans="1:31" ht="14.25" customHeight="1">
      <c r="A2567" s="277" t="s">
        <v>6554</v>
      </c>
      <c r="B2567" s="9" t="s">
        <v>21</v>
      </c>
      <c r="C2567" s="9">
        <v>2025</v>
      </c>
      <c r="D2567" s="9" t="s">
        <v>27</v>
      </c>
      <c r="E2567" s="90" t="s">
        <v>1315</v>
      </c>
      <c r="F2567" s="9" t="s">
        <v>1317</v>
      </c>
      <c r="G2567" s="10"/>
      <c r="H2567" s="9"/>
      <c r="I2567" s="109" t="s">
        <v>1439</v>
      </c>
      <c r="J2567" s="115">
        <v>45961</v>
      </c>
      <c r="K2567" s="115">
        <v>45971</v>
      </c>
      <c r="L2567" s="131">
        <v>5060000</v>
      </c>
      <c r="M2567" s="109" t="s">
        <v>3946</v>
      </c>
      <c r="N2567" s="34" t="s">
        <v>29</v>
      </c>
      <c r="O2567" s="11"/>
      <c r="P2567" s="113">
        <v>46048</v>
      </c>
      <c r="Q2567" s="113">
        <v>46048</v>
      </c>
      <c r="R2567" s="113">
        <v>46048</v>
      </c>
      <c r="S2567" s="37">
        <f t="shared" si="537"/>
        <v>5060000</v>
      </c>
      <c r="T2567" s="37">
        <f t="shared" si="538"/>
        <v>0</v>
      </c>
      <c r="U2567" s="10"/>
      <c r="V2567" s="10"/>
      <c r="W2567" s="10"/>
      <c r="X2567" s="10"/>
      <c r="Y2567" s="10"/>
      <c r="Z2567" s="10"/>
      <c r="AA2567" s="10"/>
      <c r="AB2567" s="10"/>
      <c r="AC2567" s="10"/>
      <c r="AD2567" s="10"/>
      <c r="AE2567" s="10"/>
    </row>
    <row r="2568" spans="1:31" ht="14.25" customHeight="1">
      <c r="A2568" s="277" t="s">
        <v>6555</v>
      </c>
      <c r="B2568" s="9" t="s">
        <v>21</v>
      </c>
      <c r="C2568" s="9">
        <v>2025</v>
      </c>
      <c r="D2568" s="9" t="s">
        <v>77</v>
      </c>
      <c r="E2568" s="90" t="s">
        <v>1315</v>
      </c>
      <c r="F2568" s="9" t="s">
        <v>1317</v>
      </c>
      <c r="G2568" s="10"/>
      <c r="H2568" s="9"/>
      <c r="I2568" s="11" t="s">
        <v>1439</v>
      </c>
      <c r="J2568" s="12">
        <v>45983</v>
      </c>
      <c r="K2568" s="12">
        <v>45988</v>
      </c>
      <c r="L2568" s="52">
        <f>8150000+2595000</f>
        <v>10745000</v>
      </c>
      <c r="M2568" s="11" t="s">
        <v>4030</v>
      </c>
      <c r="N2568" s="34">
        <f t="shared" ref="N2568:N2573" ca="1" si="539">$J$3-J2568</f>
        <v>257.46377638888953</v>
      </c>
      <c r="O2568" s="11"/>
      <c r="P2568" s="39"/>
      <c r="Q2568" s="39"/>
      <c r="R2568" s="39"/>
      <c r="S2568" s="37">
        <f t="shared" si="537"/>
        <v>0</v>
      </c>
      <c r="T2568" s="37">
        <f t="shared" si="538"/>
        <v>10745000</v>
      </c>
      <c r="U2568" s="10"/>
      <c r="V2568" s="10"/>
      <c r="W2568" s="10"/>
      <c r="X2568" s="10"/>
      <c r="Y2568" s="10"/>
      <c r="Z2568" s="10"/>
      <c r="AA2568" s="10"/>
      <c r="AB2568" s="10"/>
      <c r="AC2568" s="10"/>
      <c r="AD2568" s="10"/>
      <c r="AE2568" s="10"/>
    </row>
    <row r="2569" spans="1:31" ht="14.25" customHeight="1">
      <c r="A2569" s="277" t="s">
        <v>6556</v>
      </c>
      <c r="B2569" s="9" t="s">
        <v>21</v>
      </c>
      <c r="C2569" s="9">
        <v>2025</v>
      </c>
      <c r="D2569" s="9" t="s">
        <v>77</v>
      </c>
      <c r="E2569" s="90" t="s">
        <v>1315</v>
      </c>
      <c r="F2569" s="9" t="s">
        <v>1317</v>
      </c>
      <c r="G2569" s="10"/>
      <c r="H2569" s="9"/>
      <c r="I2569" s="11" t="s">
        <v>1439</v>
      </c>
      <c r="J2569" s="12">
        <v>45995</v>
      </c>
      <c r="K2569" s="12">
        <v>46001</v>
      </c>
      <c r="L2569" s="52">
        <f>425500+2795000+295000</f>
        <v>3515500</v>
      </c>
      <c r="M2569" s="11" t="s">
        <v>4077</v>
      </c>
      <c r="N2569" s="34">
        <f t="shared" ca="1" si="539"/>
        <v>245.46377638888953</v>
      </c>
      <c r="O2569" s="11"/>
      <c r="P2569" s="39"/>
      <c r="Q2569" s="39"/>
      <c r="R2569" s="39"/>
      <c r="S2569" s="37">
        <f t="shared" si="537"/>
        <v>0</v>
      </c>
      <c r="T2569" s="37">
        <f t="shared" si="538"/>
        <v>3515500</v>
      </c>
      <c r="U2569" s="10"/>
      <c r="V2569" s="10"/>
      <c r="W2569" s="10"/>
      <c r="X2569" s="10"/>
      <c r="Y2569" s="10"/>
      <c r="Z2569" s="10"/>
      <c r="AA2569" s="10"/>
      <c r="AB2569" s="10"/>
      <c r="AC2569" s="10"/>
      <c r="AD2569" s="10"/>
      <c r="AE2569" s="10"/>
    </row>
    <row r="2570" spans="1:31" ht="14.25" customHeight="1">
      <c r="A2570" s="277" t="s">
        <v>6557</v>
      </c>
      <c r="B2570" s="9" t="s">
        <v>21</v>
      </c>
      <c r="C2570" s="9">
        <v>2025</v>
      </c>
      <c r="D2570" s="9" t="s">
        <v>77</v>
      </c>
      <c r="E2570" s="90" t="s">
        <v>1315</v>
      </c>
      <c r="F2570" s="9" t="s">
        <v>1317</v>
      </c>
      <c r="G2570" s="10"/>
      <c r="H2570" s="9"/>
      <c r="I2570" s="11" t="s">
        <v>1439</v>
      </c>
      <c r="J2570" s="12">
        <v>46004</v>
      </c>
      <c r="K2570" s="12">
        <v>46007</v>
      </c>
      <c r="L2570" s="52">
        <v>685500</v>
      </c>
      <c r="M2570" s="11" t="s">
        <v>4101</v>
      </c>
      <c r="N2570" s="34">
        <f t="shared" ca="1" si="539"/>
        <v>236.46377638888953</v>
      </c>
      <c r="O2570" s="11"/>
      <c r="P2570" s="39"/>
      <c r="Q2570" s="39"/>
      <c r="R2570" s="39"/>
      <c r="S2570" s="37">
        <f t="shared" si="537"/>
        <v>0</v>
      </c>
      <c r="T2570" s="37">
        <f t="shared" si="538"/>
        <v>685500</v>
      </c>
      <c r="U2570" s="10"/>
      <c r="V2570" s="10"/>
      <c r="W2570" s="10"/>
      <c r="X2570" s="10"/>
      <c r="Y2570" s="10"/>
      <c r="Z2570" s="10"/>
      <c r="AA2570" s="10"/>
      <c r="AB2570" s="10"/>
      <c r="AC2570" s="10"/>
      <c r="AD2570" s="10"/>
      <c r="AE2570" s="10"/>
    </row>
    <row r="2571" spans="1:31" ht="14.25" customHeight="1">
      <c r="A2571" s="277" t="s">
        <v>6558</v>
      </c>
      <c r="B2571" s="9" t="s">
        <v>21</v>
      </c>
      <c r="C2571" s="9">
        <v>2025</v>
      </c>
      <c r="D2571" s="9" t="s">
        <v>77</v>
      </c>
      <c r="E2571" s="90" t="s">
        <v>1315</v>
      </c>
      <c r="F2571" s="9" t="s">
        <v>1317</v>
      </c>
      <c r="G2571" s="10"/>
      <c r="H2571" s="9"/>
      <c r="I2571" s="11" t="s">
        <v>1439</v>
      </c>
      <c r="J2571" s="12">
        <v>46021</v>
      </c>
      <c r="K2571" s="12">
        <v>46021</v>
      </c>
      <c r="L2571" s="52">
        <f>213000+2140000</f>
        <v>2353000</v>
      </c>
      <c r="M2571" s="11" t="s">
        <v>4133</v>
      </c>
      <c r="N2571" s="34">
        <f t="shared" ca="1" si="539"/>
        <v>219.46377638888953</v>
      </c>
      <c r="O2571" s="11"/>
      <c r="P2571" s="39"/>
      <c r="Q2571" s="39"/>
      <c r="R2571" s="39"/>
      <c r="S2571" s="37">
        <f t="shared" si="537"/>
        <v>0</v>
      </c>
      <c r="T2571" s="37">
        <f t="shared" si="538"/>
        <v>2353000</v>
      </c>
      <c r="U2571" s="10"/>
      <c r="V2571" s="10"/>
      <c r="W2571" s="10"/>
      <c r="X2571" s="10"/>
      <c r="Y2571" s="10"/>
      <c r="Z2571" s="10"/>
      <c r="AA2571" s="10"/>
      <c r="AB2571" s="10"/>
      <c r="AC2571" s="10"/>
      <c r="AD2571" s="10"/>
      <c r="AE2571" s="10"/>
    </row>
    <row r="2572" spans="1:31" ht="14.25" customHeight="1">
      <c r="A2572" s="277" t="s">
        <v>6559</v>
      </c>
      <c r="B2572" s="9" t="s">
        <v>21</v>
      </c>
      <c r="C2572" s="9">
        <v>2026</v>
      </c>
      <c r="D2572" s="9" t="s">
        <v>77</v>
      </c>
      <c r="E2572" s="90" t="s">
        <v>1315</v>
      </c>
      <c r="F2572" s="9" t="s">
        <v>1317</v>
      </c>
      <c r="G2572" s="10"/>
      <c r="H2572" s="9"/>
      <c r="I2572" s="11" t="s">
        <v>1439</v>
      </c>
      <c r="J2572" s="12">
        <v>46064</v>
      </c>
      <c r="K2572" s="12">
        <v>46064</v>
      </c>
      <c r="L2572" s="52">
        <v>471000</v>
      </c>
      <c r="M2572" s="11" t="s">
        <v>4330</v>
      </c>
      <c r="N2572" s="34">
        <f t="shared" ca="1" si="539"/>
        <v>176.46377638888953</v>
      </c>
      <c r="O2572" s="11"/>
      <c r="P2572" s="39"/>
      <c r="Q2572" s="39"/>
      <c r="R2572" s="39"/>
      <c r="S2572" s="37">
        <f t="shared" si="537"/>
        <v>0</v>
      </c>
      <c r="T2572" s="37">
        <f t="shared" si="538"/>
        <v>471000</v>
      </c>
      <c r="U2572" s="10"/>
      <c r="V2572" s="10"/>
      <c r="W2572" s="10"/>
      <c r="X2572" s="10"/>
      <c r="Y2572" s="10"/>
      <c r="Z2572" s="10"/>
      <c r="AA2572" s="10"/>
      <c r="AB2572" s="10"/>
      <c r="AC2572" s="10"/>
      <c r="AD2572" s="10"/>
      <c r="AE2572" s="10"/>
    </row>
    <row r="2573" spans="1:31" ht="14.25" customHeight="1">
      <c r="A2573" s="277" t="s">
        <v>6560</v>
      </c>
      <c r="B2573" s="9" t="s">
        <v>21</v>
      </c>
      <c r="C2573" s="9">
        <v>2026</v>
      </c>
      <c r="D2573" s="9" t="s">
        <v>77</v>
      </c>
      <c r="E2573" s="90" t="s">
        <v>1315</v>
      </c>
      <c r="F2573" s="9" t="s">
        <v>1317</v>
      </c>
      <c r="G2573" s="10"/>
      <c r="H2573" s="9"/>
      <c r="I2573" s="11" t="s">
        <v>1439</v>
      </c>
      <c r="J2573" s="12">
        <v>46074</v>
      </c>
      <c r="K2573" s="12">
        <v>46081</v>
      </c>
      <c r="L2573" s="52">
        <v>567000</v>
      </c>
      <c r="M2573" s="11" t="s">
        <v>4413</v>
      </c>
      <c r="N2573" s="34">
        <f t="shared" ca="1" si="539"/>
        <v>166.46377638888953</v>
      </c>
      <c r="O2573" s="11"/>
      <c r="P2573" s="39"/>
      <c r="Q2573" s="39"/>
      <c r="R2573" s="39"/>
      <c r="S2573" s="37">
        <f t="shared" si="537"/>
        <v>0</v>
      </c>
      <c r="T2573" s="37">
        <f t="shared" si="538"/>
        <v>567000</v>
      </c>
      <c r="U2573" s="10"/>
      <c r="V2573" s="10"/>
      <c r="W2573" s="10"/>
      <c r="X2573" s="10"/>
      <c r="Y2573" s="10"/>
      <c r="Z2573" s="10"/>
      <c r="AA2573" s="10"/>
      <c r="AB2573" s="10"/>
      <c r="AC2573" s="10"/>
      <c r="AD2573" s="10"/>
      <c r="AE2573" s="10"/>
    </row>
    <row r="2574" spans="1:31" ht="14.25" customHeight="1">
      <c r="A2574" s="277" t="s">
        <v>6561</v>
      </c>
      <c r="B2574" s="9" t="s">
        <v>21</v>
      </c>
      <c r="C2574" s="9"/>
      <c r="D2574" s="9"/>
      <c r="E2574" s="90"/>
      <c r="F2574" s="9"/>
      <c r="G2574" s="10"/>
      <c r="H2574" s="9"/>
      <c r="I2574" s="11"/>
      <c r="J2574" s="12"/>
      <c r="K2574" s="12"/>
      <c r="L2574" s="52"/>
      <c r="M2574" s="10"/>
      <c r="N2574" s="114">
        <f ca="1">$J$3-J2574</f>
        <v>46240.46377638889</v>
      </c>
      <c r="O2574" s="11"/>
      <c r="P2574" s="39"/>
      <c r="Q2574" s="39"/>
      <c r="R2574" s="39"/>
      <c r="S2574" s="37">
        <f t="shared" si="537"/>
        <v>0</v>
      </c>
      <c r="T2574" s="37">
        <f t="shared" si="538"/>
        <v>0</v>
      </c>
      <c r="U2574" s="10"/>
      <c r="V2574" s="10"/>
      <c r="W2574" s="10"/>
      <c r="X2574" s="10"/>
      <c r="Y2574" s="10"/>
      <c r="Z2574" s="10"/>
      <c r="AA2574" s="10"/>
      <c r="AB2574" s="10"/>
      <c r="AC2574" s="10"/>
      <c r="AD2574" s="10"/>
      <c r="AE2574" s="10"/>
    </row>
    <row r="2575" spans="1:31" ht="14.25" customHeight="1">
      <c r="A2575" s="277" t="s">
        <v>6562</v>
      </c>
      <c r="B2575" s="9" t="s">
        <v>21</v>
      </c>
      <c r="C2575" s="9"/>
      <c r="D2575" s="9"/>
      <c r="E2575" s="90"/>
      <c r="F2575" s="9"/>
      <c r="G2575" s="10"/>
      <c r="H2575" s="9"/>
      <c r="I2575" s="11"/>
      <c r="J2575" s="12"/>
      <c r="K2575" s="12"/>
      <c r="L2575" s="52"/>
      <c r="M2575" s="10"/>
      <c r="N2575" s="9"/>
      <c r="O2575" s="11"/>
      <c r="P2575" s="39"/>
      <c r="Q2575" s="39"/>
      <c r="R2575" s="39"/>
      <c r="S2575" s="37"/>
      <c r="T2575" s="37"/>
      <c r="U2575" s="10"/>
      <c r="V2575" s="10"/>
      <c r="W2575" s="10"/>
      <c r="X2575" s="10"/>
      <c r="Y2575" s="10"/>
      <c r="Z2575" s="10"/>
      <c r="AA2575" s="10"/>
      <c r="AB2575" s="10"/>
      <c r="AC2575" s="10"/>
      <c r="AD2575" s="10"/>
      <c r="AE2575" s="10"/>
    </row>
    <row r="2576" spans="1:31" ht="14.25" customHeight="1">
      <c r="A2576" s="277" t="s">
        <v>6563</v>
      </c>
      <c r="B2576" s="9" t="s">
        <v>21</v>
      </c>
      <c r="C2576" s="9"/>
      <c r="D2576" s="9"/>
      <c r="E2576" s="90"/>
      <c r="F2576" s="9"/>
      <c r="G2576" s="94" t="s">
        <v>24</v>
      </c>
      <c r="H2576" s="95" t="s">
        <v>1454</v>
      </c>
      <c r="I2576" s="104"/>
      <c r="J2576" s="105"/>
      <c r="K2576" s="105"/>
      <c r="L2576" s="106">
        <f>SUM(L2577:L2614)</f>
        <v>169088000</v>
      </c>
      <c r="M2576" s="107"/>
      <c r="N2576" s="108" t="s">
        <v>26</v>
      </c>
      <c r="O2576" s="108"/>
      <c r="P2576" s="108"/>
      <c r="Q2576" s="108"/>
      <c r="R2576" s="108"/>
      <c r="S2576" s="106">
        <f>SUM(S2577:S2614)</f>
        <v>140668000</v>
      </c>
      <c r="T2576" s="106">
        <f>SUM(T2577:T2614)</f>
        <v>28420000</v>
      </c>
      <c r="U2576" s="10"/>
      <c r="V2576" s="52">
        <f>L2576-S2576</f>
        <v>28420000</v>
      </c>
      <c r="W2576" s="52">
        <f>T2576-V2576</f>
        <v>0</v>
      </c>
      <c r="X2576" s="10"/>
      <c r="Y2576" s="10"/>
      <c r="Z2576" s="10"/>
      <c r="AA2576" s="10"/>
      <c r="AB2576" s="10"/>
      <c r="AC2576" s="10"/>
      <c r="AD2576" s="10"/>
      <c r="AE2576" s="10"/>
    </row>
    <row r="2577" spans="1:31" ht="14.25" hidden="1" customHeight="1">
      <c r="A2577" s="277" t="s">
        <v>6564</v>
      </c>
      <c r="B2577" s="9" t="s">
        <v>21</v>
      </c>
      <c r="C2577" s="9">
        <v>2025</v>
      </c>
      <c r="D2577" s="9" t="s">
        <v>27</v>
      </c>
      <c r="E2577" s="90" t="s">
        <v>1315</v>
      </c>
      <c r="F2577" s="9" t="s">
        <v>1317</v>
      </c>
      <c r="G2577" s="10"/>
      <c r="H2577" s="9"/>
      <c r="I2577" s="109" t="s">
        <v>1455</v>
      </c>
      <c r="J2577" s="115">
        <v>45666</v>
      </c>
      <c r="K2577" s="115">
        <v>45666</v>
      </c>
      <c r="L2577" s="131">
        <v>6575000</v>
      </c>
      <c r="M2577" s="109" t="s">
        <v>1456</v>
      </c>
      <c r="N2577" s="34" t="s">
        <v>29</v>
      </c>
      <c r="O2577" s="11"/>
      <c r="P2577" s="119">
        <v>45721</v>
      </c>
      <c r="Q2577" s="119">
        <v>45721</v>
      </c>
      <c r="R2577" s="119">
        <v>45721</v>
      </c>
      <c r="S2577" s="37">
        <f t="shared" ref="S2577:S2587" si="540">IF(R2577="",0,L2577)</f>
        <v>6575000</v>
      </c>
      <c r="T2577" s="37">
        <f t="shared" ref="T2577:T2587" si="541">L2577-S2577</f>
        <v>0</v>
      </c>
      <c r="U2577" s="10"/>
      <c r="V2577" s="10"/>
      <c r="W2577" s="10"/>
      <c r="X2577" s="10"/>
      <c r="Y2577" s="10"/>
      <c r="Z2577" s="10"/>
      <c r="AA2577" s="10"/>
      <c r="AB2577" s="10"/>
      <c r="AC2577" s="10"/>
      <c r="AD2577" s="10"/>
      <c r="AE2577" s="10"/>
    </row>
    <row r="2578" spans="1:31" ht="14.25" hidden="1" customHeight="1">
      <c r="A2578" s="277" t="s">
        <v>6565</v>
      </c>
      <c r="B2578" s="9" t="s">
        <v>21</v>
      </c>
      <c r="C2578" s="9">
        <v>2025</v>
      </c>
      <c r="D2578" s="9" t="s">
        <v>27</v>
      </c>
      <c r="E2578" s="90" t="s">
        <v>1315</v>
      </c>
      <c r="F2578" s="9" t="s">
        <v>1317</v>
      </c>
      <c r="G2578" s="10"/>
      <c r="H2578" s="9"/>
      <c r="I2578" s="109" t="s">
        <v>1455</v>
      </c>
      <c r="J2578" s="115">
        <v>45666</v>
      </c>
      <c r="K2578" s="115">
        <v>45666</v>
      </c>
      <c r="L2578" s="131">
        <v>6650000</v>
      </c>
      <c r="M2578" s="109" t="s">
        <v>1457</v>
      </c>
      <c r="N2578" s="34" t="s">
        <v>29</v>
      </c>
      <c r="O2578" s="11"/>
      <c r="P2578" s="119">
        <v>45721</v>
      </c>
      <c r="Q2578" s="119">
        <v>45721</v>
      </c>
      <c r="R2578" s="119">
        <v>45721</v>
      </c>
      <c r="S2578" s="37">
        <f t="shared" si="540"/>
        <v>6650000</v>
      </c>
      <c r="T2578" s="37">
        <f t="shared" si="541"/>
        <v>0</v>
      </c>
      <c r="U2578" s="10"/>
      <c r="V2578" s="10"/>
      <c r="W2578" s="10"/>
      <c r="X2578" s="10"/>
      <c r="Y2578" s="10"/>
      <c r="Z2578" s="10"/>
      <c r="AA2578" s="10"/>
      <c r="AB2578" s="10"/>
      <c r="AC2578" s="10"/>
      <c r="AD2578" s="10"/>
      <c r="AE2578" s="10"/>
    </row>
    <row r="2579" spans="1:31" ht="14.25" hidden="1" customHeight="1">
      <c r="A2579" s="277" t="s">
        <v>7221</v>
      </c>
      <c r="B2579" s="9" t="s">
        <v>21</v>
      </c>
      <c r="C2579" s="9">
        <v>2025</v>
      </c>
      <c r="D2579" s="9" t="s">
        <v>27</v>
      </c>
      <c r="E2579" s="90" t="s">
        <v>1315</v>
      </c>
      <c r="F2579" s="9" t="s">
        <v>1317</v>
      </c>
      <c r="G2579" s="10"/>
      <c r="H2579" s="9"/>
      <c r="I2579" s="109" t="s">
        <v>1455</v>
      </c>
      <c r="J2579" s="115">
        <v>45666</v>
      </c>
      <c r="K2579" s="115">
        <v>45666</v>
      </c>
      <c r="L2579" s="131">
        <v>4950000</v>
      </c>
      <c r="M2579" s="109" t="s">
        <v>1458</v>
      </c>
      <c r="N2579" s="34" t="s">
        <v>29</v>
      </c>
      <c r="O2579" s="11"/>
      <c r="P2579" s="119">
        <v>45721</v>
      </c>
      <c r="Q2579" s="119">
        <v>45721</v>
      </c>
      <c r="R2579" s="119">
        <v>45721</v>
      </c>
      <c r="S2579" s="37">
        <f t="shared" si="540"/>
        <v>4950000</v>
      </c>
      <c r="T2579" s="37">
        <f t="shared" si="541"/>
        <v>0</v>
      </c>
      <c r="U2579" s="10"/>
      <c r="V2579" s="10"/>
      <c r="W2579" s="10"/>
      <c r="X2579" s="10"/>
      <c r="Y2579" s="10"/>
      <c r="Z2579" s="10"/>
      <c r="AA2579" s="10"/>
      <c r="AB2579" s="10"/>
      <c r="AC2579" s="10"/>
      <c r="AD2579" s="10"/>
      <c r="AE2579" s="10"/>
    </row>
    <row r="2580" spans="1:31" ht="14.25" hidden="1" customHeight="1">
      <c r="A2580" s="277" t="s">
        <v>7222</v>
      </c>
      <c r="B2580" s="9" t="s">
        <v>21</v>
      </c>
      <c r="C2580" s="9">
        <v>2025</v>
      </c>
      <c r="D2580" s="9" t="s">
        <v>27</v>
      </c>
      <c r="E2580" s="90" t="s">
        <v>1315</v>
      </c>
      <c r="F2580" s="9" t="s">
        <v>1317</v>
      </c>
      <c r="G2580" s="10"/>
      <c r="H2580" s="9"/>
      <c r="I2580" s="109" t="s">
        <v>1455</v>
      </c>
      <c r="J2580" s="115">
        <v>45666</v>
      </c>
      <c r="K2580" s="115">
        <v>45666</v>
      </c>
      <c r="L2580" s="131">
        <v>6010000</v>
      </c>
      <c r="M2580" s="109" t="s">
        <v>1459</v>
      </c>
      <c r="N2580" s="34" t="s">
        <v>29</v>
      </c>
      <c r="O2580" s="11"/>
      <c r="P2580" s="119">
        <v>45721</v>
      </c>
      <c r="Q2580" s="119">
        <v>45721</v>
      </c>
      <c r="R2580" s="119">
        <v>45721</v>
      </c>
      <c r="S2580" s="37">
        <f t="shared" si="540"/>
        <v>6010000</v>
      </c>
      <c r="T2580" s="37">
        <f t="shared" si="541"/>
        <v>0</v>
      </c>
      <c r="U2580" s="10"/>
      <c r="V2580" s="10"/>
      <c r="W2580" s="10"/>
      <c r="X2580" s="10"/>
      <c r="Y2580" s="10"/>
      <c r="Z2580" s="10"/>
      <c r="AA2580" s="10"/>
      <c r="AB2580" s="10"/>
      <c r="AC2580" s="10"/>
      <c r="AD2580" s="10"/>
      <c r="AE2580" s="10"/>
    </row>
    <row r="2581" spans="1:31" ht="14.25" hidden="1" customHeight="1">
      <c r="A2581" s="277" t="s">
        <v>7223</v>
      </c>
      <c r="B2581" s="9" t="s">
        <v>21</v>
      </c>
      <c r="C2581" s="9">
        <v>2025</v>
      </c>
      <c r="D2581" s="9" t="s">
        <v>27</v>
      </c>
      <c r="E2581" s="90" t="s">
        <v>1315</v>
      </c>
      <c r="F2581" s="9" t="s">
        <v>1317</v>
      </c>
      <c r="G2581" s="10"/>
      <c r="H2581" s="9"/>
      <c r="I2581" s="109" t="s">
        <v>1455</v>
      </c>
      <c r="J2581" s="115">
        <v>45722</v>
      </c>
      <c r="K2581" s="115">
        <v>45722</v>
      </c>
      <c r="L2581" s="131">
        <v>5250000</v>
      </c>
      <c r="M2581" s="109" t="s">
        <v>1460</v>
      </c>
      <c r="N2581" s="34" t="s">
        <v>29</v>
      </c>
      <c r="O2581" s="125">
        <f>SUM(L2581:L2584)</f>
        <v>14500000</v>
      </c>
      <c r="P2581" s="119">
        <v>45815</v>
      </c>
      <c r="Q2581" s="119">
        <v>45815</v>
      </c>
      <c r="R2581" s="119">
        <v>45815</v>
      </c>
      <c r="S2581" s="37">
        <f t="shared" si="540"/>
        <v>5250000</v>
      </c>
      <c r="T2581" s="37">
        <f t="shared" si="541"/>
        <v>0</v>
      </c>
      <c r="U2581" s="10"/>
      <c r="V2581" s="10"/>
      <c r="W2581" s="10"/>
      <c r="X2581" s="10"/>
      <c r="Y2581" s="10"/>
      <c r="Z2581" s="10"/>
      <c r="AA2581" s="10"/>
      <c r="AB2581" s="10"/>
      <c r="AC2581" s="10"/>
      <c r="AD2581" s="10"/>
      <c r="AE2581" s="10"/>
    </row>
    <row r="2582" spans="1:31" ht="14.25" hidden="1" customHeight="1">
      <c r="A2582" s="277" t="s">
        <v>7224</v>
      </c>
      <c r="B2582" s="9" t="s">
        <v>21</v>
      </c>
      <c r="C2582" s="9">
        <v>2025</v>
      </c>
      <c r="D2582" s="9" t="s">
        <v>27</v>
      </c>
      <c r="E2582" s="90" t="s">
        <v>1315</v>
      </c>
      <c r="F2582" s="9" t="s">
        <v>1317</v>
      </c>
      <c r="G2582" s="10"/>
      <c r="H2582" s="9"/>
      <c r="I2582" s="109" t="s">
        <v>1455</v>
      </c>
      <c r="J2582" s="115">
        <v>45722</v>
      </c>
      <c r="K2582" s="115">
        <v>45722</v>
      </c>
      <c r="L2582" s="131">
        <v>3250000</v>
      </c>
      <c r="M2582" s="109" t="s">
        <v>1461</v>
      </c>
      <c r="N2582" s="34" t="s">
        <v>29</v>
      </c>
      <c r="O2582" s="11"/>
      <c r="P2582" s="119">
        <v>45815</v>
      </c>
      <c r="Q2582" s="119">
        <v>45815</v>
      </c>
      <c r="R2582" s="119">
        <v>45815</v>
      </c>
      <c r="S2582" s="37">
        <f t="shared" si="540"/>
        <v>3250000</v>
      </c>
      <c r="T2582" s="37">
        <f t="shared" si="541"/>
        <v>0</v>
      </c>
      <c r="U2582" s="10"/>
      <c r="V2582" s="10"/>
      <c r="W2582" s="10"/>
      <c r="X2582" s="10"/>
      <c r="Y2582" s="10"/>
      <c r="Z2582" s="10"/>
      <c r="AA2582" s="10"/>
      <c r="AB2582" s="10"/>
      <c r="AC2582" s="10"/>
      <c r="AD2582" s="10"/>
      <c r="AE2582" s="10"/>
    </row>
    <row r="2583" spans="1:31" ht="14.25" hidden="1" customHeight="1">
      <c r="A2583" s="277" t="s">
        <v>6566</v>
      </c>
      <c r="B2583" s="9" t="s">
        <v>21</v>
      </c>
      <c r="C2583" s="9">
        <v>2025</v>
      </c>
      <c r="D2583" s="9" t="s">
        <v>27</v>
      </c>
      <c r="E2583" s="90" t="s">
        <v>1315</v>
      </c>
      <c r="F2583" s="9" t="s">
        <v>1317</v>
      </c>
      <c r="G2583" s="10"/>
      <c r="H2583" s="9"/>
      <c r="I2583" s="109" t="s">
        <v>1455</v>
      </c>
      <c r="J2583" s="115">
        <v>45728</v>
      </c>
      <c r="K2583" s="115">
        <v>45734</v>
      </c>
      <c r="L2583" s="131">
        <v>5100000</v>
      </c>
      <c r="M2583" s="109" t="s">
        <v>1462</v>
      </c>
      <c r="N2583" s="34" t="s">
        <v>29</v>
      </c>
      <c r="O2583" s="11"/>
      <c r="P2583" s="119">
        <v>45815</v>
      </c>
      <c r="Q2583" s="119">
        <v>45815</v>
      </c>
      <c r="R2583" s="119">
        <v>45815</v>
      </c>
      <c r="S2583" s="37">
        <f t="shared" si="540"/>
        <v>5100000</v>
      </c>
      <c r="T2583" s="37">
        <f t="shared" si="541"/>
        <v>0</v>
      </c>
      <c r="U2583" s="10"/>
      <c r="V2583" s="10"/>
      <c r="W2583" s="10"/>
      <c r="X2583" s="10"/>
      <c r="Y2583" s="10"/>
      <c r="Z2583" s="10"/>
      <c r="AA2583" s="10"/>
      <c r="AB2583" s="10"/>
      <c r="AC2583" s="10"/>
      <c r="AD2583" s="10"/>
      <c r="AE2583" s="10"/>
    </row>
    <row r="2584" spans="1:31" ht="14.25" hidden="1" customHeight="1">
      <c r="A2584" s="277" t="s">
        <v>6567</v>
      </c>
      <c r="B2584" s="9" t="s">
        <v>21</v>
      </c>
      <c r="C2584" s="9">
        <v>2025</v>
      </c>
      <c r="D2584" s="9" t="s">
        <v>27</v>
      </c>
      <c r="E2584" s="90" t="s">
        <v>1315</v>
      </c>
      <c r="F2584" s="9" t="s">
        <v>1317</v>
      </c>
      <c r="G2584" s="10"/>
      <c r="H2584" s="9"/>
      <c r="I2584" s="109" t="s">
        <v>1455</v>
      </c>
      <c r="J2584" s="115">
        <v>45762</v>
      </c>
      <c r="K2584" s="115">
        <v>45762</v>
      </c>
      <c r="L2584" s="131">
        <v>900000</v>
      </c>
      <c r="M2584" s="109" t="s">
        <v>1463</v>
      </c>
      <c r="N2584" s="34" t="s">
        <v>29</v>
      </c>
      <c r="O2584" s="11"/>
      <c r="P2584" s="119">
        <v>45815</v>
      </c>
      <c r="Q2584" s="119">
        <v>45815</v>
      </c>
      <c r="R2584" s="119">
        <v>45815</v>
      </c>
      <c r="S2584" s="37">
        <f t="shared" si="540"/>
        <v>900000</v>
      </c>
      <c r="T2584" s="37">
        <f t="shared" si="541"/>
        <v>0</v>
      </c>
      <c r="U2584" s="10"/>
      <c r="V2584" s="10"/>
      <c r="W2584" s="10"/>
      <c r="X2584" s="10"/>
      <c r="Y2584" s="10"/>
      <c r="Z2584" s="10"/>
      <c r="AA2584" s="10"/>
      <c r="AB2584" s="10"/>
      <c r="AC2584" s="10"/>
      <c r="AD2584" s="10"/>
      <c r="AE2584" s="10"/>
    </row>
    <row r="2585" spans="1:31" ht="14.25" hidden="1" customHeight="1">
      <c r="A2585" s="277" t="s">
        <v>6568</v>
      </c>
      <c r="B2585" s="9" t="s">
        <v>21</v>
      </c>
      <c r="C2585" s="9">
        <v>2025</v>
      </c>
      <c r="D2585" s="9" t="s">
        <v>27</v>
      </c>
      <c r="E2585" s="90" t="s">
        <v>1315</v>
      </c>
      <c r="F2585" s="9" t="s">
        <v>1317</v>
      </c>
      <c r="G2585" s="10"/>
      <c r="H2585" s="9"/>
      <c r="I2585" s="109" t="s">
        <v>1455</v>
      </c>
      <c r="J2585" s="115">
        <v>45810</v>
      </c>
      <c r="K2585" s="115">
        <v>45811</v>
      </c>
      <c r="L2585" s="131">
        <v>6300000</v>
      </c>
      <c r="M2585" s="109" t="s">
        <v>1464</v>
      </c>
      <c r="N2585" s="34" t="s">
        <v>29</v>
      </c>
      <c r="O2585" s="125">
        <f>SUM(L2585:L2586)</f>
        <v>11400000</v>
      </c>
      <c r="P2585" s="113">
        <v>45888</v>
      </c>
      <c r="Q2585" s="113">
        <v>45888</v>
      </c>
      <c r="R2585" s="113">
        <v>45888</v>
      </c>
      <c r="S2585" s="37">
        <f t="shared" si="540"/>
        <v>6300000</v>
      </c>
      <c r="T2585" s="37">
        <f t="shared" si="541"/>
        <v>0</v>
      </c>
      <c r="U2585" s="10"/>
      <c r="V2585" s="10"/>
      <c r="W2585" s="10"/>
      <c r="X2585" s="10"/>
      <c r="Y2585" s="10"/>
      <c r="Z2585" s="10"/>
      <c r="AA2585" s="10"/>
      <c r="AB2585" s="10"/>
      <c r="AC2585" s="10"/>
      <c r="AD2585" s="10"/>
      <c r="AE2585" s="10"/>
    </row>
    <row r="2586" spans="1:31" hidden="1">
      <c r="A2586" s="277" t="s">
        <v>6569</v>
      </c>
      <c r="B2586" s="9" t="s">
        <v>21</v>
      </c>
      <c r="C2586" s="9">
        <v>2025</v>
      </c>
      <c r="D2586" s="9" t="s">
        <v>27</v>
      </c>
      <c r="E2586" s="90" t="s">
        <v>1315</v>
      </c>
      <c r="F2586" s="9" t="s">
        <v>1317</v>
      </c>
      <c r="G2586" s="10"/>
      <c r="H2586" s="9"/>
      <c r="I2586" s="109" t="s">
        <v>1455</v>
      </c>
      <c r="J2586" s="115">
        <v>45827</v>
      </c>
      <c r="K2586" s="115">
        <v>45827</v>
      </c>
      <c r="L2586" s="131">
        <v>5100000</v>
      </c>
      <c r="M2586" s="109" t="s">
        <v>3950</v>
      </c>
      <c r="N2586" s="34" t="s">
        <v>29</v>
      </c>
      <c r="O2586" s="125">
        <f>SUM(L2586:L2588)</f>
        <v>11350000</v>
      </c>
      <c r="P2586" s="113">
        <v>45902</v>
      </c>
      <c r="Q2586" s="113">
        <v>45902</v>
      </c>
      <c r="R2586" s="113">
        <v>45902</v>
      </c>
      <c r="S2586" s="37">
        <f t="shared" si="540"/>
        <v>5100000</v>
      </c>
      <c r="T2586" s="37">
        <f t="shared" si="541"/>
        <v>0</v>
      </c>
      <c r="U2586" s="10"/>
      <c r="V2586" s="10"/>
      <c r="W2586" s="10"/>
      <c r="X2586" s="10"/>
      <c r="Y2586" s="10"/>
      <c r="Z2586" s="10"/>
      <c r="AA2586" s="10"/>
      <c r="AB2586" s="10"/>
      <c r="AC2586" s="10"/>
      <c r="AD2586" s="10"/>
      <c r="AE2586" s="10"/>
    </row>
    <row r="2587" spans="1:31" hidden="1">
      <c r="A2587" s="277" t="s">
        <v>6570</v>
      </c>
      <c r="B2587" s="9" t="s">
        <v>21</v>
      </c>
      <c r="C2587" s="9">
        <v>2025</v>
      </c>
      <c r="D2587" s="9" t="s">
        <v>27</v>
      </c>
      <c r="E2587" s="90" t="s">
        <v>1315</v>
      </c>
      <c r="F2587" s="9" t="s">
        <v>1317</v>
      </c>
      <c r="G2587" s="10"/>
      <c r="H2587" s="9"/>
      <c r="I2587" s="109" t="s">
        <v>1455</v>
      </c>
      <c r="J2587" s="115">
        <v>45841</v>
      </c>
      <c r="K2587" s="115">
        <v>45841</v>
      </c>
      <c r="L2587" s="131">
        <v>1300000</v>
      </c>
      <c r="M2587" s="109" t="s">
        <v>1465</v>
      </c>
      <c r="N2587" s="34" t="s">
        <v>29</v>
      </c>
      <c r="O2587" s="11"/>
      <c r="P2587" s="113">
        <v>45902</v>
      </c>
      <c r="Q2587" s="113">
        <v>45902</v>
      </c>
      <c r="R2587" s="113">
        <v>45902</v>
      </c>
      <c r="S2587" s="37">
        <f t="shared" si="540"/>
        <v>1300000</v>
      </c>
      <c r="T2587" s="37">
        <f t="shared" si="541"/>
        <v>0</v>
      </c>
      <c r="U2587" s="10"/>
      <c r="V2587" s="10"/>
      <c r="W2587" s="10"/>
      <c r="X2587" s="10"/>
      <c r="Y2587" s="10"/>
      <c r="Z2587" s="10"/>
      <c r="AA2587" s="10"/>
      <c r="AB2587" s="10"/>
      <c r="AC2587" s="10"/>
      <c r="AD2587" s="10"/>
      <c r="AE2587" s="10"/>
    </row>
    <row r="2588" spans="1:31" ht="14.25" hidden="1" customHeight="1">
      <c r="A2588" s="277" t="s">
        <v>6571</v>
      </c>
      <c r="B2588" s="9" t="s">
        <v>21</v>
      </c>
      <c r="C2588" s="9">
        <v>2025</v>
      </c>
      <c r="D2588" s="9" t="s">
        <v>27</v>
      </c>
      <c r="E2588" s="90" t="s">
        <v>1315</v>
      </c>
      <c r="F2588" s="9" t="s">
        <v>1317</v>
      </c>
      <c r="G2588" s="10"/>
      <c r="H2588" s="9"/>
      <c r="I2588" s="109" t="s">
        <v>1455</v>
      </c>
      <c r="J2588" s="115">
        <v>45846</v>
      </c>
      <c r="K2588" s="115">
        <v>45846</v>
      </c>
      <c r="L2588" s="131">
        <v>4950000</v>
      </c>
      <c r="M2588" s="109" t="s">
        <v>1466</v>
      </c>
      <c r="N2588" s="34" t="s">
        <v>29</v>
      </c>
      <c r="O2588" s="11"/>
      <c r="P2588" s="113">
        <v>45902</v>
      </c>
      <c r="Q2588" s="113">
        <v>45902</v>
      </c>
      <c r="R2588" s="113">
        <v>45902</v>
      </c>
      <c r="S2588" s="37">
        <f t="shared" ref="S2588:S2606" si="542">IF(R2588="",0,L2588)</f>
        <v>4950000</v>
      </c>
      <c r="T2588" s="37">
        <f t="shared" ref="T2588:T2606" si="543">L2588-S2588</f>
        <v>0</v>
      </c>
      <c r="U2588" s="10"/>
      <c r="V2588" s="10"/>
      <c r="W2588" s="10"/>
      <c r="X2588" s="10"/>
      <c r="Y2588" s="10"/>
      <c r="Z2588" s="10"/>
      <c r="AA2588" s="10"/>
      <c r="AB2588" s="10"/>
      <c r="AC2588" s="10"/>
      <c r="AD2588" s="10"/>
      <c r="AE2588" s="10"/>
    </row>
    <row r="2589" spans="1:31" ht="14.25" hidden="1" customHeight="1">
      <c r="A2589" s="277" t="s">
        <v>6572</v>
      </c>
      <c r="B2589" s="9" t="s">
        <v>21</v>
      </c>
      <c r="C2589" s="9">
        <v>2025</v>
      </c>
      <c r="D2589" s="9" t="s">
        <v>27</v>
      </c>
      <c r="E2589" s="90" t="s">
        <v>1315</v>
      </c>
      <c r="F2589" s="9" t="s">
        <v>1317</v>
      </c>
      <c r="G2589" s="10"/>
      <c r="H2589" s="9"/>
      <c r="I2589" s="109" t="s">
        <v>1455</v>
      </c>
      <c r="J2589" s="115">
        <v>45854</v>
      </c>
      <c r="K2589" s="115">
        <v>45855</v>
      </c>
      <c r="L2589" s="131">
        <v>7350000</v>
      </c>
      <c r="M2589" s="109" t="s">
        <v>1467</v>
      </c>
      <c r="N2589" s="34" t="s">
        <v>29</v>
      </c>
      <c r="O2589" s="125">
        <f>SUM(L2589:L2590)</f>
        <v>9250000</v>
      </c>
      <c r="P2589" s="113">
        <v>45940</v>
      </c>
      <c r="Q2589" s="113">
        <v>45940</v>
      </c>
      <c r="R2589" s="113">
        <v>45940</v>
      </c>
      <c r="S2589" s="37">
        <f t="shared" si="542"/>
        <v>7350000</v>
      </c>
      <c r="T2589" s="37">
        <f t="shared" si="543"/>
        <v>0</v>
      </c>
      <c r="U2589" s="10"/>
      <c r="V2589" s="10"/>
      <c r="W2589" s="10"/>
      <c r="X2589" s="10"/>
      <c r="Y2589" s="10"/>
      <c r="Z2589" s="10"/>
      <c r="AA2589" s="10"/>
      <c r="AB2589" s="10"/>
      <c r="AC2589" s="10"/>
      <c r="AD2589" s="10"/>
      <c r="AE2589" s="10"/>
    </row>
    <row r="2590" spans="1:31" hidden="1">
      <c r="A2590" s="277" t="s">
        <v>6573</v>
      </c>
      <c r="B2590" s="9" t="s">
        <v>21</v>
      </c>
      <c r="C2590" s="9">
        <v>2025</v>
      </c>
      <c r="D2590" s="9" t="s">
        <v>27</v>
      </c>
      <c r="E2590" s="90" t="s">
        <v>1315</v>
      </c>
      <c r="F2590" s="9" t="s">
        <v>1317</v>
      </c>
      <c r="G2590" s="10"/>
      <c r="H2590" s="9"/>
      <c r="I2590" s="109" t="s">
        <v>1455</v>
      </c>
      <c r="J2590" s="115">
        <v>45874</v>
      </c>
      <c r="K2590" s="115">
        <v>45874</v>
      </c>
      <c r="L2590" s="131">
        <v>1900000</v>
      </c>
      <c r="M2590" s="109" t="s">
        <v>1468</v>
      </c>
      <c r="N2590" s="34" t="s">
        <v>29</v>
      </c>
      <c r="O2590" s="11"/>
      <c r="P2590" s="113">
        <v>45940</v>
      </c>
      <c r="Q2590" s="113">
        <v>45940</v>
      </c>
      <c r="R2590" s="113">
        <v>45940</v>
      </c>
      <c r="S2590" s="37">
        <f t="shared" si="542"/>
        <v>1900000</v>
      </c>
      <c r="T2590" s="37">
        <f t="shared" si="543"/>
        <v>0</v>
      </c>
      <c r="U2590" s="10"/>
      <c r="V2590" s="10"/>
      <c r="W2590" s="10"/>
      <c r="X2590" s="10"/>
      <c r="Y2590" s="10"/>
      <c r="Z2590" s="10"/>
      <c r="AA2590" s="10"/>
      <c r="AB2590" s="10"/>
      <c r="AC2590" s="10"/>
      <c r="AD2590" s="10"/>
      <c r="AE2590" s="10"/>
    </row>
    <row r="2591" spans="1:31" hidden="1">
      <c r="A2591" s="277" t="s">
        <v>6574</v>
      </c>
      <c r="B2591" s="9" t="s">
        <v>21</v>
      </c>
      <c r="C2591" s="9">
        <v>2025</v>
      </c>
      <c r="D2591" s="9" t="s">
        <v>27</v>
      </c>
      <c r="E2591" s="90" t="s">
        <v>1315</v>
      </c>
      <c r="F2591" s="9" t="s">
        <v>1317</v>
      </c>
      <c r="G2591" s="10"/>
      <c r="H2591" s="9"/>
      <c r="I2591" s="109" t="s">
        <v>1455</v>
      </c>
      <c r="J2591" s="115">
        <v>45903</v>
      </c>
      <c r="K2591" s="115">
        <v>45903</v>
      </c>
      <c r="L2591" s="131">
        <v>4990000</v>
      </c>
      <c r="M2591" s="109" t="s">
        <v>1469</v>
      </c>
      <c r="N2591" s="34" t="s">
        <v>29</v>
      </c>
      <c r="O2591" s="125">
        <f>SUM(L2591:L2592)</f>
        <v>15940000</v>
      </c>
      <c r="P2591" s="113">
        <v>45982</v>
      </c>
      <c r="Q2591" s="113">
        <v>45982</v>
      </c>
      <c r="R2591" s="113">
        <v>45982</v>
      </c>
      <c r="S2591" s="37">
        <f t="shared" si="542"/>
        <v>4990000</v>
      </c>
      <c r="T2591" s="37">
        <f t="shared" si="543"/>
        <v>0</v>
      </c>
      <c r="U2591" s="10"/>
      <c r="V2591" s="10"/>
      <c r="W2591" s="10"/>
      <c r="X2591" s="10"/>
      <c r="Y2591" s="10"/>
      <c r="Z2591" s="10"/>
      <c r="AA2591" s="10"/>
      <c r="AB2591" s="10"/>
      <c r="AC2591" s="10"/>
      <c r="AD2591" s="10"/>
      <c r="AE2591" s="10"/>
    </row>
    <row r="2592" spans="1:31" ht="14.25" hidden="1" customHeight="1">
      <c r="A2592" s="277" t="s">
        <v>6575</v>
      </c>
      <c r="B2592" s="9" t="s">
        <v>21</v>
      </c>
      <c r="C2592" s="9">
        <v>2025</v>
      </c>
      <c r="D2592" s="9" t="s">
        <v>27</v>
      </c>
      <c r="E2592" s="90" t="s">
        <v>1315</v>
      </c>
      <c r="F2592" s="9" t="s">
        <v>1317</v>
      </c>
      <c r="G2592" s="10"/>
      <c r="H2592" s="9"/>
      <c r="I2592" s="109" t="s">
        <v>1455</v>
      </c>
      <c r="J2592" s="115">
        <v>45911</v>
      </c>
      <c r="K2592" s="115">
        <v>45911</v>
      </c>
      <c r="L2592" s="131">
        <v>10950000</v>
      </c>
      <c r="M2592" s="109" t="s">
        <v>1470</v>
      </c>
      <c r="N2592" s="34" t="s">
        <v>29</v>
      </c>
      <c r="O2592" s="11"/>
      <c r="P2592" s="113">
        <v>45982</v>
      </c>
      <c r="Q2592" s="113">
        <v>45982</v>
      </c>
      <c r="R2592" s="113">
        <v>45982</v>
      </c>
      <c r="S2592" s="37">
        <f t="shared" si="542"/>
        <v>10950000</v>
      </c>
      <c r="T2592" s="37">
        <f t="shared" si="543"/>
        <v>0</v>
      </c>
      <c r="U2592" s="10"/>
      <c r="V2592" s="10"/>
      <c r="W2592" s="10"/>
      <c r="X2592" s="10"/>
      <c r="Y2592" s="10"/>
      <c r="Z2592" s="10"/>
      <c r="AA2592" s="10"/>
      <c r="AB2592" s="10"/>
      <c r="AC2592" s="10"/>
      <c r="AD2592" s="10"/>
      <c r="AE2592" s="10"/>
    </row>
    <row r="2593" spans="1:31" ht="14.25" hidden="1" customHeight="1">
      <c r="A2593" s="277" t="s">
        <v>6576</v>
      </c>
      <c r="B2593" s="9" t="s">
        <v>21</v>
      </c>
      <c r="C2593" s="9">
        <v>2025</v>
      </c>
      <c r="D2593" s="9" t="s">
        <v>27</v>
      </c>
      <c r="E2593" s="90" t="s">
        <v>1315</v>
      </c>
      <c r="F2593" s="9" t="s">
        <v>1317</v>
      </c>
      <c r="G2593" s="10"/>
      <c r="H2593" s="9"/>
      <c r="I2593" s="109" t="s">
        <v>1455</v>
      </c>
      <c r="J2593" s="115">
        <v>45930</v>
      </c>
      <c r="K2593" s="115">
        <v>45930</v>
      </c>
      <c r="L2593" s="131">
        <v>7025000</v>
      </c>
      <c r="M2593" s="109" t="s">
        <v>4373</v>
      </c>
      <c r="N2593" s="34" t="s">
        <v>29</v>
      </c>
      <c r="O2593" s="125">
        <f>SUM(L2593:L2595)</f>
        <v>14975000</v>
      </c>
      <c r="P2593" s="113">
        <v>46048</v>
      </c>
      <c r="Q2593" s="113">
        <v>46048</v>
      </c>
      <c r="R2593" s="113">
        <v>46048</v>
      </c>
      <c r="S2593" s="37">
        <f t="shared" si="542"/>
        <v>7025000</v>
      </c>
      <c r="T2593" s="37">
        <f t="shared" si="543"/>
        <v>0</v>
      </c>
      <c r="U2593" s="10"/>
      <c r="V2593" s="10"/>
      <c r="W2593" s="10"/>
      <c r="X2593" s="10"/>
      <c r="Y2593" s="10"/>
      <c r="Z2593" s="10"/>
      <c r="AA2593" s="10"/>
      <c r="AB2593" s="10"/>
      <c r="AC2593" s="10"/>
      <c r="AD2593" s="10"/>
      <c r="AE2593" s="10"/>
    </row>
    <row r="2594" spans="1:31" ht="14.25" hidden="1" customHeight="1">
      <c r="A2594" s="277" t="s">
        <v>6577</v>
      </c>
      <c r="B2594" s="9" t="s">
        <v>21</v>
      </c>
      <c r="C2594" s="9">
        <v>2025</v>
      </c>
      <c r="D2594" s="9" t="s">
        <v>27</v>
      </c>
      <c r="E2594" s="90" t="s">
        <v>1315</v>
      </c>
      <c r="F2594" s="9" t="s">
        <v>1317</v>
      </c>
      <c r="G2594" s="10"/>
      <c r="H2594" s="9"/>
      <c r="I2594" s="109" t="s">
        <v>1455</v>
      </c>
      <c r="J2594" s="115">
        <v>45960</v>
      </c>
      <c r="K2594" s="115">
        <v>45965</v>
      </c>
      <c r="L2594" s="131">
        <v>6950000</v>
      </c>
      <c r="M2594" s="109" t="s">
        <v>3919</v>
      </c>
      <c r="N2594" s="34" t="s">
        <v>29</v>
      </c>
      <c r="O2594" s="11"/>
      <c r="P2594" s="113">
        <v>46048</v>
      </c>
      <c r="Q2594" s="113">
        <v>46048</v>
      </c>
      <c r="R2594" s="113">
        <v>46048</v>
      </c>
      <c r="S2594" s="37">
        <f t="shared" si="542"/>
        <v>6950000</v>
      </c>
      <c r="T2594" s="37">
        <f t="shared" si="543"/>
        <v>0</v>
      </c>
      <c r="U2594" s="10"/>
      <c r="V2594" s="10"/>
      <c r="W2594" s="10"/>
      <c r="X2594" s="10"/>
      <c r="Y2594" s="10"/>
      <c r="Z2594" s="10"/>
      <c r="AA2594" s="10"/>
      <c r="AB2594" s="10"/>
      <c r="AC2594" s="10"/>
      <c r="AD2594" s="10"/>
      <c r="AE2594" s="10"/>
    </row>
    <row r="2595" spans="1:31" ht="14.25" hidden="1" customHeight="1">
      <c r="A2595" s="277" t="s">
        <v>6578</v>
      </c>
      <c r="B2595" s="9" t="s">
        <v>21</v>
      </c>
      <c r="C2595" s="9">
        <v>2025</v>
      </c>
      <c r="D2595" s="9" t="s">
        <v>27</v>
      </c>
      <c r="E2595" s="90" t="s">
        <v>1315</v>
      </c>
      <c r="F2595" s="9" t="s">
        <v>1317</v>
      </c>
      <c r="G2595" s="10"/>
      <c r="H2595" s="9"/>
      <c r="I2595" s="109" t="s">
        <v>1455</v>
      </c>
      <c r="J2595" s="115">
        <v>45967</v>
      </c>
      <c r="K2595" s="115">
        <v>45967</v>
      </c>
      <c r="L2595" s="131">
        <v>1000000</v>
      </c>
      <c r="M2595" s="109" t="s">
        <v>3941</v>
      </c>
      <c r="N2595" s="34" t="s">
        <v>29</v>
      </c>
      <c r="O2595" s="11"/>
      <c r="P2595" s="113">
        <v>46048</v>
      </c>
      <c r="Q2595" s="113">
        <v>46048</v>
      </c>
      <c r="R2595" s="113">
        <v>46048</v>
      </c>
      <c r="S2595" s="37">
        <f t="shared" si="542"/>
        <v>1000000</v>
      </c>
      <c r="T2595" s="37">
        <f t="shared" si="543"/>
        <v>0</v>
      </c>
      <c r="U2595" s="10"/>
      <c r="V2595" s="10"/>
      <c r="W2595" s="10"/>
      <c r="X2595" s="10"/>
      <c r="Y2595" s="10"/>
      <c r="Z2595" s="10"/>
      <c r="AA2595" s="10"/>
      <c r="AB2595" s="10"/>
      <c r="AC2595" s="10"/>
      <c r="AD2595" s="10"/>
      <c r="AE2595" s="10"/>
    </row>
    <row r="2596" spans="1:31" ht="14.25" hidden="1" customHeight="1">
      <c r="A2596" s="277" t="s">
        <v>6579</v>
      </c>
      <c r="B2596" s="9" t="s">
        <v>21</v>
      </c>
      <c r="C2596" s="9">
        <v>2025</v>
      </c>
      <c r="D2596" s="9" t="s">
        <v>27</v>
      </c>
      <c r="E2596" s="90" t="s">
        <v>1315</v>
      </c>
      <c r="F2596" s="9" t="s">
        <v>1317</v>
      </c>
      <c r="G2596" s="10"/>
      <c r="H2596" s="9"/>
      <c r="I2596" s="109" t="s">
        <v>1455</v>
      </c>
      <c r="J2596" s="115">
        <v>45988</v>
      </c>
      <c r="K2596" s="115">
        <v>45988</v>
      </c>
      <c r="L2596" s="131">
        <v>4100000</v>
      </c>
      <c r="M2596" s="109" t="s">
        <v>4031</v>
      </c>
      <c r="N2596" s="34" t="s">
        <v>29</v>
      </c>
      <c r="O2596" s="11"/>
      <c r="P2596" s="113">
        <v>46124</v>
      </c>
      <c r="Q2596" s="113">
        <v>46124</v>
      </c>
      <c r="R2596" s="113">
        <v>46124</v>
      </c>
      <c r="S2596" s="37">
        <f t="shared" si="542"/>
        <v>4100000</v>
      </c>
      <c r="T2596" s="37">
        <f t="shared" si="543"/>
        <v>0</v>
      </c>
      <c r="U2596" s="10"/>
      <c r="V2596" s="10"/>
      <c r="W2596" s="10"/>
      <c r="X2596" s="10"/>
      <c r="Y2596" s="10"/>
      <c r="Z2596" s="10"/>
      <c r="AA2596" s="10"/>
      <c r="AB2596" s="10"/>
      <c r="AC2596" s="10"/>
      <c r="AD2596" s="10"/>
      <c r="AE2596" s="10"/>
    </row>
    <row r="2597" spans="1:31" ht="14.25" hidden="1" customHeight="1">
      <c r="A2597" s="277" t="s">
        <v>6580</v>
      </c>
      <c r="B2597" s="9" t="s">
        <v>21</v>
      </c>
      <c r="C2597" s="9">
        <v>2025</v>
      </c>
      <c r="D2597" s="9" t="s">
        <v>27</v>
      </c>
      <c r="E2597" s="90" t="s">
        <v>1315</v>
      </c>
      <c r="F2597" s="9" t="s">
        <v>1317</v>
      </c>
      <c r="G2597" s="10"/>
      <c r="H2597" s="9"/>
      <c r="I2597" s="109" t="s">
        <v>1455</v>
      </c>
      <c r="J2597" s="115">
        <v>46003</v>
      </c>
      <c r="K2597" s="115">
        <v>46009</v>
      </c>
      <c r="L2597" s="131">
        <v>6200000</v>
      </c>
      <c r="M2597" s="109" t="s">
        <v>4158</v>
      </c>
      <c r="N2597" s="34" t="s">
        <v>29</v>
      </c>
      <c r="O2597" s="125">
        <f>SUM(L2597:L2601)</f>
        <v>25068000</v>
      </c>
      <c r="P2597" s="113">
        <v>46147</v>
      </c>
      <c r="Q2597" s="113">
        <v>46147</v>
      </c>
      <c r="R2597" s="113">
        <v>46147</v>
      </c>
      <c r="S2597" s="37">
        <f t="shared" si="542"/>
        <v>6200000</v>
      </c>
      <c r="T2597" s="37">
        <f t="shared" si="543"/>
        <v>0</v>
      </c>
      <c r="U2597" s="10"/>
      <c r="V2597" s="10"/>
      <c r="W2597" s="10"/>
      <c r="X2597" s="10"/>
      <c r="Y2597" s="10"/>
      <c r="Z2597" s="10"/>
      <c r="AA2597" s="10"/>
      <c r="AB2597" s="10"/>
      <c r="AC2597" s="10"/>
      <c r="AD2597" s="10"/>
      <c r="AE2597" s="10"/>
    </row>
    <row r="2598" spans="1:31" ht="14.25" hidden="1" customHeight="1">
      <c r="A2598" s="277" t="s">
        <v>6581</v>
      </c>
      <c r="B2598" s="9" t="s">
        <v>21</v>
      </c>
      <c r="C2598" s="9">
        <v>2025</v>
      </c>
      <c r="D2598" s="9" t="s">
        <v>27</v>
      </c>
      <c r="E2598" s="90" t="s">
        <v>1315</v>
      </c>
      <c r="F2598" s="9" t="s">
        <v>1317</v>
      </c>
      <c r="G2598" s="10"/>
      <c r="H2598" s="9"/>
      <c r="I2598" s="109" t="s">
        <v>1455</v>
      </c>
      <c r="J2598" s="115">
        <v>46014</v>
      </c>
      <c r="K2598" s="115">
        <v>46014</v>
      </c>
      <c r="L2598" s="131">
        <v>2278000</v>
      </c>
      <c r="M2598" s="109" t="s">
        <v>4159</v>
      </c>
      <c r="N2598" s="34" t="s">
        <v>29</v>
      </c>
      <c r="O2598" s="11"/>
      <c r="P2598" s="113">
        <v>46147</v>
      </c>
      <c r="Q2598" s="113">
        <v>46147</v>
      </c>
      <c r="R2598" s="113">
        <v>46147</v>
      </c>
      <c r="S2598" s="37">
        <f t="shared" si="542"/>
        <v>2278000</v>
      </c>
      <c r="T2598" s="37">
        <f t="shared" si="543"/>
        <v>0</v>
      </c>
      <c r="U2598" s="10"/>
      <c r="V2598" s="10"/>
      <c r="W2598" s="10"/>
      <c r="X2598" s="10"/>
      <c r="Y2598" s="10"/>
      <c r="Z2598" s="10"/>
      <c r="AA2598" s="10"/>
      <c r="AB2598" s="10"/>
      <c r="AC2598" s="10"/>
      <c r="AD2598" s="10"/>
      <c r="AE2598" s="10"/>
    </row>
    <row r="2599" spans="1:31" ht="14.25" hidden="1" customHeight="1">
      <c r="A2599" s="277" t="s">
        <v>6582</v>
      </c>
      <c r="B2599" s="9" t="s">
        <v>21</v>
      </c>
      <c r="C2599" s="9">
        <v>2026</v>
      </c>
      <c r="D2599" s="9" t="s">
        <v>27</v>
      </c>
      <c r="E2599" s="90" t="s">
        <v>1315</v>
      </c>
      <c r="F2599" s="9" t="s">
        <v>1317</v>
      </c>
      <c r="G2599" s="10"/>
      <c r="H2599" s="9"/>
      <c r="I2599" s="109" t="s">
        <v>1455</v>
      </c>
      <c r="J2599" s="115">
        <v>46028</v>
      </c>
      <c r="K2599" s="115">
        <v>46032</v>
      </c>
      <c r="L2599" s="131">
        <v>7350000</v>
      </c>
      <c r="M2599" s="109" t="s">
        <v>4256</v>
      </c>
      <c r="N2599" s="34" t="s">
        <v>29</v>
      </c>
      <c r="O2599" s="11"/>
      <c r="P2599" s="113">
        <v>46147</v>
      </c>
      <c r="Q2599" s="113">
        <v>46147</v>
      </c>
      <c r="R2599" s="113">
        <v>46147</v>
      </c>
      <c r="S2599" s="37">
        <f t="shared" si="542"/>
        <v>7350000</v>
      </c>
      <c r="T2599" s="37">
        <f t="shared" si="543"/>
        <v>0</v>
      </c>
      <c r="U2599" s="10"/>
      <c r="V2599" s="10"/>
      <c r="W2599" s="10"/>
      <c r="X2599" s="10"/>
      <c r="Y2599" s="10"/>
      <c r="Z2599" s="10"/>
      <c r="AA2599" s="10"/>
      <c r="AB2599" s="10"/>
      <c r="AC2599" s="10"/>
      <c r="AD2599" s="10"/>
      <c r="AE2599" s="10"/>
    </row>
    <row r="2600" spans="1:31" ht="14.25" hidden="1" customHeight="1">
      <c r="A2600" s="277" t="s">
        <v>6583</v>
      </c>
      <c r="B2600" s="9" t="s">
        <v>21</v>
      </c>
      <c r="C2600" s="9">
        <v>2026</v>
      </c>
      <c r="D2600" s="9" t="s">
        <v>27</v>
      </c>
      <c r="E2600" s="90" t="s">
        <v>1315</v>
      </c>
      <c r="F2600" s="9" t="s">
        <v>1317</v>
      </c>
      <c r="G2600" s="10"/>
      <c r="H2600" s="9"/>
      <c r="I2600" s="109" t="s">
        <v>1455</v>
      </c>
      <c r="J2600" s="115">
        <v>46041</v>
      </c>
      <c r="K2600" s="115">
        <v>46042</v>
      </c>
      <c r="L2600" s="131">
        <v>3240000</v>
      </c>
      <c r="M2600" s="109" t="s">
        <v>4255</v>
      </c>
      <c r="N2600" s="34" t="s">
        <v>29</v>
      </c>
      <c r="O2600" s="11"/>
      <c r="P2600" s="113">
        <v>46147</v>
      </c>
      <c r="Q2600" s="113">
        <v>46147</v>
      </c>
      <c r="R2600" s="113">
        <v>46147</v>
      </c>
      <c r="S2600" s="37">
        <f t="shared" si="542"/>
        <v>3240000</v>
      </c>
      <c r="T2600" s="37">
        <f t="shared" si="543"/>
        <v>0</v>
      </c>
      <c r="U2600" s="10"/>
      <c r="V2600" s="10"/>
      <c r="W2600" s="10"/>
      <c r="X2600" s="10"/>
      <c r="Y2600" s="10"/>
      <c r="Z2600" s="10"/>
      <c r="AA2600" s="10"/>
      <c r="AB2600" s="10"/>
      <c r="AC2600" s="10"/>
      <c r="AD2600" s="10"/>
      <c r="AE2600" s="10"/>
    </row>
    <row r="2601" spans="1:31" ht="14.25" hidden="1" customHeight="1">
      <c r="A2601" s="277" t="s">
        <v>6584</v>
      </c>
      <c r="B2601" s="9" t="s">
        <v>21</v>
      </c>
      <c r="C2601" s="9">
        <v>2026</v>
      </c>
      <c r="D2601" s="9" t="s">
        <v>27</v>
      </c>
      <c r="E2601" s="90" t="s">
        <v>1315</v>
      </c>
      <c r="F2601" s="9" t="s">
        <v>1317</v>
      </c>
      <c r="G2601" s="10"/>
      <c r="H2601" s="9"/>
      <c r="I2601" s="109" t="s">
        <v>1455</v>
      </c>
      <c r="J2601" s="115">
        <v>46053</v>
      </c>
      <c r="K2601" s="115">
        <v>46053</v>
      </c>
      <c r="L2601" s="131">
        <v>6000000</v>
      </c>
      <c r="M2601" s="109" t="s">
        <v>4285</v>
      </c>
      <c r="N2601" s="34" t="s">
        <v>29</v>
      </c>
      <c r="O2601" s="11"/>
      <c r="P2601" s="113">
        <v>46147</v>
      </c>
      <c r="Q2601" s="113">
        <v>46147</v>
      </c>
      <c r="R2601" s="113">
        <v>46147</v>
      </c>
      <c r="S2601" s="37">
        <f t="shared" si="542"/>
        <v>6000000</v>
      </c>
      <c r="T2601" s="37">
        <f t="shared" si="543"/>
        <v>0</v>
      </c>
      <c r="U2601" s="10"/>
      <c r="V2601" s="10"/>
      <c r="W2601" s="10"/>
      <c r="X2601" s="10"/>
      <c r="Y2601" s="10"/>
      <c r="Z2601" s="10"/>
      <c r="AA2601" s="10"/>
      <c r="AB2601" s="10"/>
      <c r="AC2601" s="10"/>
      <c r="AD2601" s="10"/>
      <c r="AE2601" s="10"/>
    </row>
    <row r="2602" spans="1:31" ht="14.25" hidden="1" customHeight="1">
      <c r="A2602" s="277" t="s">
        <v>6585</v>
      </c>
      <c r="B2602" s="9" t="s">
        <v>21</v>
      </c>
      <c r="C2602" s="9">
        <v>2026</v>
      </c>
      <c r="D2602" s="9" t="s">
        <v>27</v>
      </c>
      <c r="E2602" s="90" t="s">
        <v>1315</v>
      </c>
      <c r="F2602" s="9" t="s">
        <v>1317</v>
      </c>
      <c r="G2602" s="10"/>
      <c r="H2602" s="9"/>
      <c r="I2602" s="109" t="s">
        <v>1455</v>
      </c>
      <c r="J2602" s="115">
        <v>46077</v>
      </c>
      <c r="K2602" s="115">
        <v>46077</v>
      </c>
      <c r="L2602" s="131">
        <v>8270000</v>
      </c>
      <c r="M2602" s="109" t="s">
        <v>4399</v>
      </c>
      <c r="N2602" s="34" t="s">
        <v>29</v>
      </c>
      <c r="O2602" s="125">
        <f>SUM(L2602:L2603)</f>
        <v>10000000</v>
      </c>
      <c r="P2602" s="113">
        <v>46185</v>
      </c>
      <c r="Q2602" s="113">
        <v>46185</v>
      </c>
      <c r="R2602" s="113">
        <v>46185</v>
      </c>
      <c r="S2602" s="37">
        <f t="shared" si="542"/>
        <v>8270000</v>
      </c>
      <c r="T2602" s="37">
        <f t="shared" si="543"/>
        <v>0</v>
      </c>
      <c r="U2602" s="10"/>
      <c r="V2602" s="10"/>
      <c r="W2602" s="10"/>
      <c r="X2602" s="10"/>
      <c r="Y2602" s="10"/>
      <c r="Z2602" s="10"/>
      <c r="AA2602" s="10"/>
      <c r="AB2602" s="10"/>
      <c r="AC2602" s="10"/>
      <c r="AD2602" s="10"/>
      <c r="AE2602" s="10"/>
    </row>
    <row r="2603" spans="1:31" ht="14.25" customHeight="1">
      <c r="A2603" s="277" t="s">
        <v>6586</v>
      </c>
      <c r="B2603" s="9" t="s">
        <v>21</v>
      </c>
      <c r="C2603" s="9">
        <v>2026</v>
      </c>
      <c r="D2603" s="9" t="s">
        <v>27</v>
      </c>
      <c r="E2603" s="90" t="s">
        <v>1315</v>
      </c>
      <c r="F2603" s="9" t="s">
        <v>1317</v>
      </c>
      <c r="G2603" s="10"/>
      <c r="H2603" s="9"/>
      <c r="I2603" s="109" t="s">
        <v>1455</v>
      </c>
      <c r="J2603" s="115">
        <v>46086</v>
      </c>
      <c r="K2603" s="115">
        <v>46086</v>
      </c>
      <c r="L2603" s="131">
        <v>1730000</v>
      </c>
      <c r="M2603" s="109" t="s">
        <v>7133</v>
      </c>
      <c r="N2603" s="34" t="s">
        <v>29</v>
      </c>
      <c r="O2603" s="11"/>
      <c r="P2603" s="113">
        <v>46185</v>
      </c>
      <c r="Q2603" s="113">
        <v>46185</v>
      </c>
      <c r="R2603" s="113">
        <v>46185</v>
      </c>
      <c r="S2603" s="37">
        <f t="shared" ref="S2603" si="544">IF(R2603="",0,L2603)</f>
        <v>1730000</v>
      </c>
      <c r="T2603" s="37">
        <f t="shared" ref="T2603" si="545">L2603-S2603</f>
        <v>0</v>
      </c>
      <c r="U2603" s="10"/>
      <c r="V2603" s="10"/>
      <c r="W2603" s="10"/>
      <c r="X2603" s="10"/>
      <c r="Y2603" s="10"/>
      <c r="Z2603" s="10"/>
      <c r="AA2603" s="10"/>
      <c r="AB2603" s="10"/>
      <c r="AC2603" s="10"/>
      <c r="AD2603" s="10"/>
      <c r="AE2603" s="10"/>
    </row>
    <row r="2604" spans="1:31" ht="14.25" customHeight="1">
      <c r="A2604" s="277" t="s">
        <v>6587</v>
      </c>
      <c r="B2604" s="9" t="s">
        <v>21</v>
      </c>
      <c r="C2604" s="9">
        <v>2026</v>
      </c>
      <c r="D2604" s="9" t="s">
        <v>27</v>
      </c>
      <c r="E2604" s="90" t="s">
        <v>1315</v>
      </c>
      <c r="F2604" s="9" t="s">
        <v>1317</v>
      </c>
      <c r="G2604" s="10"/>
      <c r="H2604" s="9"/>
      <c r="I2604" s="109" t="s">
        <v>1455</v>
      </c>
      <c r="J2604" s="115">
        <v>46086</v>
      </c>
      <c r="K2604" s="115">
        <v>46086</v>
      </c>
      <c r="L2604" s="131">
        <f>5500000-1730000</f>
        <v>3770000</v>
      </c>
      <c r="M2604" s="109" t="s">
        <v>7134</v>
      </c>
      <c r="N2604" s="34" t="s">
        <v>29</v>
      </c>
      <c r="O2604" s="11"/>
      <c r="P2604" s="113">
        <v>46195</v>
      </c>
      <c r="Q2604" s="113">
        <v>46195</v>
      </c>
      <c r="R2604" s="113">
        <v>46195</v>
      </c>
      <c r="S2604" s="37">
        <f t="shared" si="542"/>
        <v>3770000</v>
      </c>
      <c r="T2604" s="37">
        <f t="shared" si="543"/>
        <v>0</v>
      </c>
      <c r="U2604" s="10"/>
      <c r="V2604" s="10"/>
      <c r="W2604" s="10"/>
      <c r="X2604" s="10"/>
      <c r="Y2604" s="10"/>
      <c r="Z2604" s="10"/>
      <c r="AA2604" s="10"/>
      <c r="AB2604" s="10"/>
      <c r="AC2604" s="10"/>
      <c r="AD2604" s="10"/>
      <c r="AE2604" s="10"/>
    </row>
    <row r="2605" spans="1:31" ht="14.25" customHeight="1">
      <c r="A2605" s="277" t="s">
        <v>6588</v>
      </c>
      <c r="B2605" s="9" t="s">
        <v>21</v>
      </c>
      <c r="C2605" s="9">
        <v>2026</v>
      </c>
      <c r="D2605" s="9" t="s">
        <v>27</v>
      </c>
      <c r="E2605" s="90" t="s">
        <v>1315</v>
      </c>
      <c r="F2605" s="9" t="s">
        <v>1317</v>
      </c>
      <c r="G2605" s="10"/>
      <c r="H2605" s="9"/>
      <c r="I2605" s="109" t="s">
        <v>1455</v>
      </c>
      <c r="J2605" s="115">
        <v>46125</v>
      </c>
      <c r="K2605" s="115">
        <v>46140</v>
      </c>
      <c r="L2605" s="131">
        <f>1250000-20000</f>
        <v>1230000</v>
      </c>
      <c r="M2605" s="109" t="s">
        <v>7155</v>
      </c>
      <c r="N2605" s="34" t="s">
        <v>29</v>
      </c>
      <c r="O2605" s="11"/>
      <c r="P2605" s="113">
        <v>46195</v>
      </c>
      <c r="Q2605" s="113">
        <v>46195</v>
      </c>
      <c r="R2605" s="113">
        <v>46195</v>
      </c>
      <c r="S2605" s="37">
        <f t="shared" si="542"/>
        <v>1230000</v>
      </c>
      <c r="T2605" s="37">
        <f t="shared" si="543"/>
        <v>0</v>
      </c>
      <c r="U2605" s="10"/>
      <c r="V2605" s="10"/>
      <c r="W2605" s="10"/>
      <c r="X2605" s="10"/>
      <c r="Y2605" s="10"/>
      <c r="Z2605" s="10"/>
      <c r="AA2605" s="10"/>
      <c r="AB2605" s="10"/>
      <c r="AC2605" s="10"/>
      <c r="AD2605" s="10"/>
      <c r="AE2605" s="10"/>
    </row>
    <row r="2606" spans="1:31" ht="14.25" customHeight="1">
      <c r="A2606" s="277" t="s">
        <v>6589</v>
      </c>
      <c r="B2606" s="9" t="s">
        <v>21</v>
      </c>
      <c r="C2606" s="9">
        <v>2026</v>
      </c>
      <c r="D2606" s="9" t="s">
        <v>77</v>
      </c>
      <c r="E2606" s="90" t="s">
        <v>1315</v>
      </c>
      <c r="F2606" s="9" t="s">
        <v>1317</v>
      </c>
      <c r="G2606" s="10"/>
      <c r="H2606" s="9"/>
      <c r="I2606" s="11" t="s">
        <v>1455</v>
      </c>
      <c r="J2606" s="12">
        <v>46125</v>
      </c>
      <c r="K2606" s="12">
        <v>46140</v>
      </c>
      <c r="L2606" s="52">
        <v>20000</v>
      </c>
      <c r="M2606" s="11" t="s">
        <v>7156</v>
      </c>
      <c r="N2606" s="34">
        <f t="shared" ref="N2606:N2613" ca="1" si="546">$J$3-J2606</f>
        <v>115.46377638888953</v>
      </c>
      <c r="O2606" s="11"/>
      <c r="P2606" s="39"/>
      <c r="Q2606" s="39"/>
      <c r="R2606" s="39"/>
      <c r="S2606" s="37">
        <f t="shared" si="542"/>
        <v>0</v>
      </c>
      <c r="T2606" s="37">
        <f t="shared" si="543"/>
        <v>20000</v>
      </c>
      <c r="U2606" s="10"/>
      <c r="V2606" s="10"/>
      <c r="W2606" s="10"/>
      <c r="X2606" s="10"/>
      <c r="Y2606" s="10"/>
      <c r="Z2606" s="10"/>
      <c r="AA2606" s="10"/>
      <c r="AB2606" s="10"/>
      <c r="AC2606" s="10"/>
      <c r="AD2606" s="10"/>
      <c r="AE2606" s="10"/>
    </row>
    <row r="2607" spans="1:31" ht="14.25" customHeight="1">
      <c r="A2607" s="277" t="s">
        <v>6590</v>
      </c>
      <c r="B2607" s="9" t="s">
        <v>21</v>
      </c>
      <c r="C2607" s="9">
        <v>2026</v>
      </c>
      <c r="D2607" s="9" t="s">
        <v>77</v>
      </c>
      <c r="E2607" s="90" t="s">
        <v>1315</v>
      </c>
      <c r="F2607" s="9" t="s">
        <v>1317</v>
      </c>
      <c r="G2607" s="10"/>
      <c r="H2607" s="9"/>
      <c r="I2607" s="11" t="s">
        <v>1455</v>
      </c>
      <c r="J2607" s="12">
        <v>46156</v>
      </c>
      <c r="K2607" s="12">
        <v>46164</v>
      </c>
      <c r="L2607" s="52">
        <v>2400000</v>
      </c>
      <c r="M2607" s="11" t="s">
        <v>7074</v>
      </c>
      <c r="N2607" s="34">
        <f t="shared" ca="1" si="546"/>
        <v>84.463776388889528</v>
      </c>
      <c r="O2607" s="11"/>
      <c r="P2607" s="39"/>
      <c r="Q2607" s="39"/>
      <c r="R2607" s="39"/>
      <c r="S2607" s="37">
        <f t="shared" ref="S2607:S2614" si="547">IF(R2607="",0,L2607)</f>
        <v>0</v>
      </c>
      <c r="T2607" s="37">
        <f t="shared" ref="T2607:T2614" si="548">L2607-S2607</f>
        <v>2400000</v>
      </c>
      <c r="U2607" s="10"/>
      <c r="V2607" s="10"/>
      <c r="W2607" s="10"/>
      <c r="X2607" s="10"/>
      <c r="Y2607" s="10"/>
      <c r="Z2607" s="10"/>
      <c r="AA2607" s="10"/>
      <c r="AB2607" s="10"/>
      <c r="AC2607" s="10"/>
      <c r="AD2607" s="10"/>
      <c r="AE2607" s="10"/>
    </row>
    <row r="2608" spans="1:31" ht="14.25" customHeight="1">
      <c r="A2608" s="277" t="s">
        <v>6591</v>
      </c>
      <c r="B2608" s="9" t="s">
        <v>21</v>
      </c>
      <c r="C2608" s="9">
        <v>2026</v>
      </c>
      <c r="D2608" s="9" t="s">
        <v>77</v>
      </c>
      <c r="E2608" s="90" t="s">
        <v>1315</v>
      </c>
      <c r="F2608" s="9" t="s">
        <v>1317</v>
      </c>
      <c r="G2608" s="10"/>
      <c r="H2608" s="9"/>
      <c r="I2608" s="11" t="s">
        <v>1455</v>
      </c>
      <c r="J2608" s="12">
        <v>46162</v>
      </c>
      <c r="K2608" s="12">
        <v>46164</v>
      </c>
      <c r="L2608" s="52">
        <v>2230000</v>
      </c>
      <c r="M2608" s="11" t="s">
        <v>7074</v>
      </c>
      <c r="N2608" s="34">
        <f t="shared" ca="1" si="546"/>
        <v>78.463776388889528</v>
      </c>
      <c r="O2608" s="11"/>
      <c r="P2608" s="39"/>
      <c r="Q2608" s="39"/>
      <c r="R2608" s="39"/>
      <c r="S2608" s="37">
        <f t="shared" si="547"/>
        <v>0</v>
      </c>
      <c r="T2608" s="37">
        <f t="shared" si="548"/>
        <v>2230000</v>
      </c>
      <c r="U2608" s="10"/>
      <c r="V2608" s="10"/>
      <c r="W2608" s="10"/>
      <c r="X2608" s="10"/>
      <c r="Y2608" s="10"/>
      <c r="Z2608" s="10"/>
      <c r="AA2608" s="10"/>
      <c r="AB2608" s="10"/>
      <c r="AC2608" s="10"/>
      <c r="AD2608" s="10"/>
      <c r="AE2608" s="10"/>
    </row>
    <row r="2609" spans="1:31" ht="14.25" customHeight="1">
      <c r="A2609" s="277" t="s">
        <v>6592</v>
      </c>
      <c r="B2609" s="9" t="s">
        <v>21</v>
      </c>
      <c r="C2609" s="9">
        <v>2026</v>
      </c>
      <c r="D2609" s="9" t="s">
        <v>77</v>
      </c>
      <c r="E2609" s="90" t="s">
        <v>1315</v>
      </c>
      <c r="F2609" s="9" t="s">
        <v>1317</v>
      </c>
      <c r="G2609" s="10"/>
      <c r="H2609" s="9"/>
      <c r="I2609" s="11" t="s">
        <v>1455</v>
      </c>
      <c r="J2609" s="12">
        <v>46164</v>
      </c>
      <c r="K2609" s="12">
        <v>46164</v>
      </c>
      <c r="L2609" s="52">
        <v>2450000</v>
      </c>
      <c r="M2609" s="11" t="s">
        <v>7074</v>
      </c>
      <c r="N2609" s="34">
        <f t="shared" ca="1" si="546"/>
        <v>76.463776388889528</v>
      </c>
      <c r="O2609" s="11"/>
      <c r="P2609" s="39"/>
      <c r="Q2609" s="39"/>
      <c r="R2609" s="39"/>
      <c r="S2609" s="37">
        <f t="shared" si="547"/>
        <v>0</v>
      </c>
      <c r="T2609" s="37">
        <f t="shared" si="548"/>
        <v>2450000</v>
      </c>
      <c r="U2609" s="10"/>
      <c r="V2609" s="10"/>
      <c r="W2609" s="10"/>
      <c r="X2609" s="10"/>
      <c r="Y2609" s="10"/>
      <c r="Z2609" s="10"/>
      <c r="AA2609" s="10"/>
      <c r="AB2609" s="10"/>
      <c r="AC2609" s="10"/>
      <c r="AD2609" s="10"/>
      <c r="AE2609" s="10"/>
    </row>
    <row r="2610" spans="1:31" ht="14.25" customHeight="1">
      <c r="A2610" s="277" t="s">
        <v>6593</v>
      </c>
      <c r="B2610" s="9" t="s">
        <v>21</v>
      </c>
      <c r="C2610" s="9">
        <v>2026</v>
      </c>
      <c r="D2610" s="9" t="s">
        <v>77</v>
      </c>
      <c r="E2610" s="90" t="s">
        <v>1315</v>
      </c>
      <c r="F2610" s="9" t="s">
        <v>1317</v>
      </c>
      <c r="G2610" s="10"/>
      <c r="H2610" s="9"/>
      <c r="I2610" s="11" t="s">
        <v>1455</v>
      </c>
      <c r="J2610" s="12">
        <v>46205</v>
      </c>
      <c r="K2610" s="12">
        <v>46205</v>
      </c>
      <c r="L2610" s="52">
        <v>4870000</v>
      </c>
      <c r="M2610" s="11" t="s">
        <v>7309</v>
      </c>
      <c r="N2610" s="34">
        <f t="shared" ca="1" si="546"/>
        <v>35.463776388889528</v>
      </c>
      <c r="O2610" s="11"/>
      <c r="P2610" s="39"/>
      <c r="Q2610" s="39"/>
      <c r="R2610" s="39"/>
      <c r="S2610" s="37">
        <f t="shared" si="547"/>
        <v>0</v>
      </c>
      <c r="T2610" s="37">
        <f t="shared" si="548"/>
        <v>4870000</v>
      </c>
      <c r="U2610" s="10"/>
      <c r="V2610" s="10"/>
      <c r="W2610" s="10"/>
      <c r="X2610" s="10"/>
      <c r="Y2610" s="10"/>
      <c r="Z2610" s="10"/>
      <c r="AA2610" s="10"/>
      <c r="AB2610" s="10"/>
      <c r="AC2610" s="10"/>
      <c r="AD2610" s="10"/>
      <c r="AE2610" s="10"/>
    </row>
    <row r="2611" spans="1:31" ht="14.25" customHeight="1">
      <c r="A2611" s="277" t="s">
        <v>6594</v>
      </c>
      <c r="B2611" s="9" t="s">
        <v>21</v>
      </c>
      <c r="C2611" s="9">
        <v>2026</v>
      </c>
      <c r="D2611" s="9" t="s">
        <v>77</v>
      </c>
      <c r="E2611" s="90" t="s">
        <v>1315</v>
      </c>
      <c r="F2611" s="9" t="s">
        <v>1317</v>
      </c>
      <c r="G2611" s="10"/>
      <c r="H2611" s="9"/>
      <c r="I2611" s="11" t="s">
        <v>1455</v>
      </c>
      <c r="J2611" s="12">
        <v>46205</v>
      </c>
      <c r="K2611" s="12">
        <v>46205</v>
      </c>
      <c r="L2611" s="52">
        <v>3430000</v>
      </c>
      <c r="M2611" s="11" t="s">
        <v>7310</v>
      </c>
      <c r="N2611" s="34">
        <f t="shared" ca="1" si="546"/>
        <v>35.463776388889528</v>
      </c>
      <c r="O2611" s="11"/>
      <c r="P2611" s="39"/>
      <c r="Q2611" s="39"/>
      <c r="R2611" s="39"/>
      <c r="S2611" s="37">
        <f t="shared" si="547"/>
        <v>0</v>
      </c>
      <c r="T2611" s="37">
        <f t="shared" si="548"/>
        <v>3430000</v>
      </c>
      <c r="U2611" s="10"/>
      <c r="V2611" s="10"/>
      <c r="W2611" s="10"/>
      <c r="X2611" s="10"/>
      <c r="Y2611" s="10"/>
      <c r="Z2611" s="10"/>
      <c r="AA2611" s="10"/>
      <c r="AB2611" s="10"/>
      <c r="AC2611" s="10"/>
      <c r="AD2611" s="10"/>
      <c r="AE2611" s="10"/>
    </row>
    <row r="2612" spans="1:31" ht="14.25" customHeight="1">
      <c r="A2612" s="277" t="s">
        <v>6595</v>
      </c>
      <c r="B2612" s="9" t="s">
        <v>21</v>
      </c>
      <c r="C2612" s="9">
        <v>2026</v>
      </c>
      <c r="D2612" s="9" t="s">
        <v>77</v>
      </c>
      <c r="E2612" s="90" t="s">
        <v>1315</v>
      </c>
      <c r="F2612" s="9" t="s">
        <v>1317</v>
      </c>
      <c r="G2612" s="10"/>
      <c r="H2612" s="9"/>
      <c r="I2612" s="11" t="s">
        <v>1455</v>
      </c>
      <c r="J2612" s="12">
        <v>46221</v>
      </c>
      <c r="K2612" s="12">
        <v>46221</v>
      </c>
      <c r="L2612" s="52">
        <f>1000000+7470000</f>
        <v>8470000</v>
      </c>
      <c r="M2612" s="11" t="s">
        <v>7394</v>
      </c>
      <c r="N2612" s="34">
        <f t="shared" ca="1" si="546"/>
        <v>19.463776388889528</v>
      </c>
      <c r="O2612" s="11"/>
      <c r="P2612" s="39"/>
      <c r="Q2612" s="39"/>
      <c r="R2612" s="39"/>
      <c r="S2612" s="37">
        <f t="shared" ref="S2612:S2613" si="549">IF(R2612="",0,L2612)</f>
        <v>0</v>
      </c>
      <c r="T2612" s="37">
        <f t="shared" ref="T2612:T2613" si="550">L2612-S2612</f>
        <v>8470000</v>
      </c>
      <c r="U2612" s="10"/>
      <c r="V2612" s="10"/>
      <c r="W2612" s="10"/>
      <c r="X2612" s="10"/>
      <c r="Y2612" s="10"/>
      <c r="Z2612" s="10"/>
      <c r="AA2612" s="10"/>
      <c r="AB2612" s="10"/>
      <c r="AC2612" s="10"/>
      <c r="AD2612" s="10"/>
      <c r="AE2612" s="10"/>
    </row>
    <row r="2613" spans="1:31" ht="14.25" customHeight="1">
      <c r="A2613" s="277" t="s">
        <v>6596</v>
      </c>
      <c r="B2613" s="9" t="s">
        <v>21</v>
      </c>
      <c r="C2613" s="9">
        <v>2026</v>
      </c>
      <c r="D2613" s="9" t="s">
        <v>77</v>
      </c>
      <c r="E2613" s="90" t="s">
        <v>1315</v>
      </c>
      <c r="F2613" s="9" t="s">
        <v>1317</v>
      </c>
      <c r="G2613" s="10"/>
      <c r="H2613" s="9"/>
      <c r="I2613" s="11" t="s">
        <v>1455</v>
      </c>
      <c r="J2613" s="12">
        <v>46227</v>
      </c>
      <c r="K2613" s="12">
        <v>46227</v>
      </c>
      <c r="L2613" s="52">
        <f>3150000+1400000</f>
        <v>4550000</v>
      </c>
      <c r="M2613" s="11" t="s">
        <v>7432</v>
      </c>
      <c r="N2613" s="34">
        <f t="shared" ca="1" si="546"/>
        <v>13.463776388889528</v>
      </c>
      <c r="O2613" s="11"/>
      <c r="P2613" s="39"/>
      <c r="Q2613" s="39"/>
      <c r="R2613" s="39"/>
      <c r="S2613" s="37">
        <f t="shared" si="549"/>
        <v>0</v>
      </c>
      <c r="T2613" s="37">
        <f t="shared" si="550"/>
        <v>4550000</v>
      </c>
      <c r="U2613" s="10"/>
      <c r="V2613" s="10"/>
      <c r="W2613" s="10"/>
      <c r="X2613" s="10"/>
      <c r="Y2613" s="10"/>
      <c r="Z2613" s="10"/>
      <c r="AA2613" s="10"/>
      <c r="AB2613" s="10"/>
      <c r="AC2613" s="10"/>
      <c r="AD2613" s="10"/>
      <c r="AE2613" s="10"/>
    </row>
    <row r="2614" spans="1:31" ht="14.25" customHeight="1">
      <c r="A2614" s="277" t="s">
        <v>6597</v>
      </c>
      <c r="B2614" s="9" t="s">
        <v>21</v>
      </c>
      <c r="C2614" s="9"/>
      <c r="D2614" s="9"/>
      <c r="E2614" s="90"/>
      <c r="F2614" s="9"/>
      <c r="G2614" s="10"/>
      <c r="H2614" s="9"/>
      <c r="I2614" s="11"/>
      <c r="J2614" s="12"/>
      <c r="K2614" s="12"/>
      <c r="L2614" s="52"/>
      <c r="M2614" s="10"/>
      <c r="N2614" s="114">
        <f ca="1">$J$3-J2614</f>
        <v>46240.46377638889</v>
      </c>
      <c r="O2614" s="11"/>
      <c r="P2614" s="39"/>
      <c r="Q2614" s="39"/>
      <c r="R2614" s="39"/>
      <c r="S2614" s="37">
        <f t="shared" si="547"/>
        <v>0</v>
      </c>
      <c r="T2614" s="37">
        <f t="shared" si="548"/>
        <v>0</v>
      </c>
      <c r="U2614" s="10"/>
      <c r="V2614" s="10"/>
      <c r="W2614" s="10"/>
      <c r="X2614" s="10"/>
      <c r="Y2614" s="10"/>
      <c r="Z2614" s="10"/>
      <c r="AA2614" s="10"/>
      <c r="AB2614" s="10"/>
      <c r="AC2614" s="10"/>
      <c r="AD2614" s="10"/>
      <c r="AE2614" s="10"/>
    </row>
    <row r="2615" spans="1:31" ht="14.25" customHeight="1">
      <c r="A2615" s="277" t="s">
        <v>6598</v>
      </c>
      <c r="B2615" s="9" t="s">
        <v>21</v>
      </c>
      <c r="C2615" s="9"/>
      <c r="D2615" s="9"/>
      <c r="E2615" s="90"/>
      <c r="F2615" s="9"/>
      <c r="G2615" s="10"/>
      <c r="H2615" s="9"/>
      <c r="I2615" s="11"/>
      <c r="J2615" s="12"/>
      <c r="K2615" s="12"/>
      <c r="L2615" s="52"/>
      <c r="M2615" s="10"/>
      <c r="N2615" s="9"/>
      <c r="O2615" s="11"/>
      <c r="P2615" s="39"/>
      <c r="Q2615" s="39"/>
      <c r="R2615" s="39"/>
      <c r="S2615" s="37"/>
      <c r="T2615" s="37"/>
      <c r="U2615" s="10"/>
      <c r="V2615" s="10"/>
      <c r="W2615" s="10"/>
      <c r="X2615" s="10"/>
      <c r="Y2615" s="10"/>
      <c r="Z2615" s="10"/>
      <c r="AA2615" s="10"/>
      <c r="AB2615" s="10"/>
      <c r="AC2615" s="10"/>
      <c r="AD2615" s="10"/>
      <c r="AE2615" s="10"/>
    </row>
    <row r="2616" spans="1:31">
      <c r="A2616" s="277" t="s">
        <v>6599</v>
      </c>
      <c r="B2616" s="9" t="s">
        <v>21</v>
      </c>
      <c r="C2616" s="9"/>
      <c r="D2616" s="9"/>
      <c r="E2616" s="90"/>
      <c r="F2616" s="9"/>
      <c r="G2616" s="94" t="s">
        <v>24</v>
      </c>
      <c r="H2616" s="95" t="s">
        <v>1471</v>
      </c>
      <c r="I2616" s="104"/>
      <c r="J2616" s="105"/>
      <c r="K2616" s="105"/>
      <c r="L2616" s="106">
        <f>SUM(L2617:L2624)</f>
        <v>1180000</v>
      </c>
      <c r="M2616" s="107"/>
      <c r="N2616" s="108" t="s">
        <v>26</v>
      </c>
      <c r="O2616" s="108"/>
      <c r="P2616" s="108"/>
      <c r="Q2616" s="108"/>
      <c r="R2616" s="108"/>
      <c r="S2616" s="106">
        <f>SUM(S2617:S2624)</f>
        <v>1180000</v>
      </c>
      <c r="T2616" s="106">
        <f>SUM(T2617:T2624)</f>
        <v>0</v>
      </c>
      <c r="U2616" s="10"/>
      <c r="V2616" s="52">
        <f>L2616-S2616</f>
        <v>0</v>
      </c>
      <c r="W2616" s="52">
        <f>T2616-V2616</f>
        <v>0</v>
      </c>
      <c r="X2616" s="10"/>
      <c r="Y2616" s="10"/>
      <c r="Z2616" s="10"/>
      <c r="AA2616" s="10"/>
      <c r="AB2616" s="10"/>
      <c r="AC2616" s="10"/>
      <c r="AD2616" s="10"/>
      <c r="AE2616" s="10"/>
    </row>
    <row r="2617" spans="1:31" ht="14.25" hidden="1" customHeight="1">
      <c r="A2617" s="277" t="s">
        <v>6600</v>
      </c>
      <c r="B2617" s="9" t="s">
        <v>21</v>
      </c>
      <c r="C2617" s="9">
        <v>2024</v>
      </c>
      <c r="D2617" s="9" t="s">
        <v>27</v>
      </c>
      <c r="E2617" s="90" t="s">
        <v>1315</v>
      </c>
      <c r="F2617" s="9" t="s">
        <v>1317</v>
      </c>
      <c r="G2617" s="10"/>
      <c r="H2617" s="9"/>
      <c r="I2617" s="109" t="s">
        <v>1472</v>
      </c>
      <c r="J2617" s="115">
        <v>45511</v>
      </c>
      <c r="K2617" s="115">
        <v>45531</v>
      </c>
      <c r="L2617" s="183">
        <v>100000</v>
      </c>
      <c r="M2617" s="150" t="s">
        <v>1473</v>
      </c>
      <c r="N2617" s="34" t="s">
        <v>29</v>
      </c>
      <c r="O2617" s="125">
        <f>SUM(L2617:L2618)</f>
        <v>540000</v>
      </c>
      <c r="P2617" s="113">
        <v>45663</v>
      </c>
      <c r="Q2617" s="113">
        <v>45663</v>
      </c>
      <c r="R2617" s="113">
        <v>45663</v>
      </c>
      <c r="S2617" s="37">
        <f t="shared" ref="S2617:S2623" si="551">IF(R2617="",0,L2617)</f>
        <v>100000</v>
      </c>
      <c r="T2617" s="37">
        <f t="shared" ref="T2617:T2623" si="552">L2617-S2617</f>
        <v>0</v>
      </c>
      <c r="U2617" s="10"/>
      <c r="V2617" s="10"/>
      <c r="W2617" s="10"/>
      <c r="X2617" s="10"/>
      <c r="Y2617" s="10"/>
      <c r="Z2617" s="10"/>
      <c r="AA2617" s="10"/>
      <c r="AB2617" s="10"/>
      <c r="AC2617" s="10"/>
      <c r="AD2617" s="10"/>
      <c r="AE2617" s="10"/>
    </row>
    <row r="2618" spans="1:31" ht="14.25" hidden="1" customHeight="1">
      <c r="A2618" s="277" t="s">
        <v>6601</v>
      </c>
      <c r="B2618" s="9" t="s">
        <v>21</v>
      </c>
      <c r="C2618" s="9">
        <v>2024</v>
      </c>
      <c r="D2618" s="9" t="s">
        <v>27</v>
      </c>
      <c r="E2618" s="90" t="s">
        <v>1315</v>
      </c>
      <c r="F2618" s="9" t="s">
        <v>1317</v>
      </c>
      <c r="G2618" s="10"/>
      <c r="H2618" s="9"/>
      <c r="I2618" s="109" t="s">
        <v>1472</v>
      </c>
      <c r="J2618" s="115">
        <v>45587</v>
      </c>
      <c r="K2618" s="115">
        <v>45588</v>
      </c>
      <c r="L2618" s="183">
        <v>440000</v>
      </c>
      <c r="M2618" s="150" t="s">
        <v>1474</v>
      </c>
      <c r="N2618" s="34" t="s">
        <v>29</v>
      </c>
      <c r="O2618" s="11"/>
      <c r="P2618" s="113">
        <v>45663</v>
      </c>
      <c r="Q2618" s="113">
        <v>45663</v>
      </c>
      <c r="R2618" s="113">
        <v>45663</v>
      </c>
      <c r="S2618" s="37">
        <f t="shared" si="551"/>
        <v>440000</v>
      </c>
      <c r="T2618" s="37">
        <f t="shared" si="552"/>
        <v>0</v>
      </c>
      <c r="U2618" s="10"/>
      <c r="V2618" s="10"/>
      <c r="W2618" s="10"/>
      <c r="X2618" s="10"/>
      <c r="Y2618" s="10"/>
      <c r="Z2618" s="10"/>
      <c r="AA2618" s="10"/>
      <c r="AB2618" s="10"/>
      <c r="AC2618" s="10"/>
      <c r="AD2618" s="10"/>
      <c r="AE2618" s="10"/>
    </row>
    <row r="2619" spans="1:31" ht="14.25" hidden="1" customHeight="1">
      <c r="A2619" s="277" t="s">
        <v>6602</v>
      </c>
      <c r="B2619" s="9" t="s">
        <v>21</v>
      </c>
      <c r="C2619" s="9">
        <v>2024</v>
      </c>
      <c r="D2619" s="9" t="s">
        <v>27</v>
      </c>
      <c r="E2619" s="90" t="s">
        <v>1315</v>
      </c>
      <c r="F2619" s="9" t="s">
        <v>1317</v>
      </c>
      <c r="G2619" s="10"/>
      <c r="H2619" s="9"/>
      <c r="I2619" s="109" t="s">
        <v>1472</v>
      </c>
      <c r="J2619" s="115">
        <v>45623</v>
      </c>
      <c r="K2619" s="115">
        <v>45731</v>
      </c>
      <c r="L2619" s="183">
        <v>125000</v>
      </c>
      <c r="M2619" s="150" t="s">
        <v>1475</v>
      </c>
      <c r="N2619" s="34" t="s">
        <v>29</v>
      </c>
      <c r="O2619" s="125">
        <f>SUM(L2619:L2621)</f>
        <v>325000</v>
      </c>
      <c r="P2619" s="119">
        <v>45787</v>
      </c>
      <c r="Q2619" s="119">
        <v>45787</v>
      </c>
      <c r="R2619" s="119">
        <v>45787</v>
      </c>
      <c r="S2619" s="37">
        <f t="shared" si="551"/>
        <v>125000</v>
      </c>
      <c r="T2619" s="37">
        <f t="shared" si="552"/>
        <v>0</v>
      </c>
      <c r="U2619" s="10"/>
      <c r="V2619" s="10"/>
      <c r="W2619" s="10"/>
      <c r="X2619" s="10"/>
      <c r="Y2619" s="10"/>
      <c r="Z2619" s="10"/>
      <c r="AA2619" s="10"/>
      <c r="AB2619" s="10"/>
      <c r="AC2619" s="10"/>
      <c r="AD2619" s="10"/>
      <c r="AE2619" s="10"/>
    </row>
    <row r="2620" spans="1:31" ht="14.25" hidden="1" customHeight="1">
      <c r="A2620" s="277" t="s">
        <v>6603</v>
      </c>
      <c r="B2620" s="9" t="s">
        <v>21</v>
      </c>
      <c r="C2620" s="9">
        <v>2025</v>
      </c>
      <c r="D2620" s="9" t="s">
        <v>27</v>
      </c>
      <c r="E2620" s="90" t="s">
        <v>1315</v>
      </c>
      <c r="F2620" s="9" t="s">
        <v>1317</v>
      </c>
      <c r="G2620" s="10"/>
      <c r="H2620" s="9"/>
      <c r="I2620" s="109" t="s">
        <v>1472</v>
      </c>
      <c r="J2620" s="115">
        <v>45698</v>
      </c>
      <c r="K2620" s="115">
        <v>45731</v>
      </c>
      <c r="L2620" s="183">
        <v>100000</v>
      </c>
      <c r="M2620" s="150" t="s">
        <v>1476</v>
      </c>
      <c r="N2620" s="34" t="s">
        <v>29</v>
      </c>
      <c r="O2620" s="11"/>
      <c r="P2620" s="119">
        <v>45787</v>
      </c>
      <c r="Q2620" s="119">
        <v>45787</v>
      </c>
      <c r="R2620" s="119">
        <v>45787</v>
      </c>
      <c r="S2620" s="37">
        <f t="shared" si="551"/>
        <v>100000</v>
      </c>
      <c r="T2620" s="37">
        <f t="shared" si="552"/>
        <v>0</v>
      </c>
      <c r="U2620" s="10"/>
      <c r="V2620" s="10"/>
      <c r="W2620" s="10"/>
      <c r="X2620" s="10"/>
      <c r="Y2620" s="10"/>
      <c r="Z2620" s="10"/>
      <c r="AA2620" s="10"/>
      <c r="AB2620" s="10"/>
      <c r="AC2620" s="10"/>
      <c r="AD2620" s="10"/>
      <c r="AE2620" s="10"/>
    </row>
    <row r="2621" spans="1:31" ht="14.25" hidden="1" customHeight="1">
      <c r="A2621" s="277" t="s">
        <v>6604</v>
      </c>
      <c r="B2621" s="9" t="s">
        <v>21</v>
      </c>
      <c r="C2621" s="9">
        <v>2025</v>
      </c>
      <c r="D2621" s="9" t="s">
        <v>27</v>
      </c>
      <c r="E2621" s="90" t="s">
        <v>1315</v>
      </c>
      <c r="F2621" s="9" t="s">
        <v>1317</v>
      </c>
      <c r="G2621" s="10"/>
      <c r="H2621" s="9"/>
      <c r="I2621" s="109" t="s">
        <v>1472</v>
      </c>
      <c r="J2621" s="115">
        <v>45719</v>
      </c>
      <c r="K2621" s="115">
        <v>45731</v>
      </c>
      <c r="L2621" s="183">
        <v>100000</v>
      </c>
      <c r="M2621" s="150" t="s">
        <v>1477</v>
      </c>
      <c r="N2621" s="34" t="s">
        <v>29</v>
      </c>
      <c r="O2621" s="11"/>
      <c r="P2621" s="119">
        <v>45787</v>
      </c>
      <c r="Q2621" s="119">
        <v>45787</v>
      </c>
      <c r="R2621" s="119">
        <v>45787</v>
      </c>
      <c r="S2621" s="37">
        <f t="shared" si="551"/>
        <v>100000</v>
      </c>
      <c r="T2621" s="37">
        <f t="shared" si="552"/>
        <v>0</v>
      </c>
      <c r="U2621" s="10"/>
      <c r="V2621" s="10"/>
      <c r="W2621" s="10"/>
      <c r="X2621" s="10"/>
      <c r="Y2621" s="10"/>
      <c r="Z2621" s="10"/>
      <c r="AA2621" s="10"/>
      <c r="AB2621" s="10"/>
      <c r="AC2621" s="10"/>
      <c r="AD2621" s="10"/>
      <c r="AE2621" s="10"/>
    </row>
    <row r="2622" spans="1:31" ht="14.25" hidden="1" customHeight="1">
      <c r="A2622" s="277" t="s">
        <v>6605</v>
      </c>
      <c r="B2622" s="9" t="s">
        <v>21</v>
      </c>
      <c r="C2622" s="9">
        <v>2025</v>
      </c>
      <c r="D2622" s="9" t="s">
        <v>27</v>
      </c>
      <c r="E2622" s="90" t="s">
        <v>1315</v>
      </c>
      <c r="F2622" s="9" t="s">
        <v>1317</v>
      </c>
      <c r="G2622" s="10"/>
      <c r="H2622" s="9"/>
      <c r="I2622" s="109" t="s">
        <v>1472</v>
      </c>
      <c r="J2622" s="115">
        <v>45883</v>
      </c>
      <c r="K2622" s="115">
        <v>45924</v>
      </c>
      <c r="L2622" s="183">
        <v>215000</v>
      </c>
      <c r="M2622" s="150" t="s">
        <v>3700</v>
      </c>
      <c r="N2622" s="34" t="s">
        <v>29</v>
      </c>
      <c r="O2622" s="125">
        <f>SUM(L2622:L2623)</f>
        <v>315000</v>
      </c>
      <c r="P2622" s="119">
        <v>45957</v>
      </c>
      <c r="Q2622" s="119">
        <v>45957</v>
      </c>
      <c r="R2622" s="119">
        <v>45957</v>
      </c>
      <c r="S2622" s="37">
        <f t="shared" si="551"/>
        <v>215000</v>
      </c>
      <c r="T2622" s="37">
        <f t="shared" si="552"/>
        <v>0</v>
      </c>
      <c r="U2622" s="10"/>
      <c r="V2622" s="10"/>
      <c r="W2622" s="10"/>
      <c r="X2622" s="10"/>
      <c r="Y2622" s="10"/>
      <c r="Z2622" s="10"/>
      <c r="AA2622" s="10"/>
      <c r="AB2622" s="10"/>
      <c r="AC2622" s="10"/>
      <c r="AD2622" s="10"/>
      <c r="AE2622" s="10"/>
    </row>
    <row r="2623" spans="1:31" ht="14.25" customHeight="1">
      <c r="A2623" s="277" t="s">
        <v>6606</v>
      </c>
      <c r="B2623" s="9" t="s">
        <v>21</v>
      </c>
      <c r="C2623" s="9">
        <v>2025</v>
      </c>
      <c r="D2623" s="9" t="s">
        <v>27</v>
      </c>
      <c r="E2623" s="90" t="s">
        <v>1315</v>
      </c>
      <c r="F2623" s="9" t="s">
        <v>1317</v>
      </c>
      <c r="G2623" s="10"/>
      <c r="H2623" s="9"/>
      <c r="I2623" s="109" t="s">
        <v>1472</v>
      </c>
      <c r="J2623" s="115">
        <v>45919</v>
      </c>
      <c r="K2623" s="115">
        <v>45924</v>
      </c>
      <c r="L2623" s="183">
        <v>100000</v>
      </c>
      <c r="M2623" s="150" t="s">
        <v>3699</v>
      </c>
      <c r="N2623" s="34" t="s">
        <v>29</v>
      </c>
      <c r="O2623" s="11"/>
      <c r="P2623" s="119">
        <v>45957</v>
      </c>
      <c r="Q2623" s="119">
        <v>45957</v>
      </c>
      <c r="R2623" s="119">
        <v>45957</v>
      </c>
      <c r="S2623" s="37">
        <f t="shared" si="551"/>
        <v>100000</v>
      </c>
      <c r="T2623" s="37">
        <f t="shared" si="552"/>
        <v>0</v>
      </c>
      <c r="U2623" s="10"/>
      <c r="V2623" s="10"/>
      <c r="W2623" s="10"/>
      <c r="X2623" s="10"/>
      <c r="Y2623" s="10"/>
      <c r="Z2623" s="10"/>
      <c r="AA2623" s="10"/>
      <c r="AB2623" s="10"/>
      <c r="AC2623" s="10"/>
      <c r="AD2623" s="10"/>
      <c r="AE2623" s="10"/>
    </row>
    <row r="2624" spans="1:31" ht="14.25" customHeight="1">
      <c r="A2624" s="277" t="s">
        <v>6607</v>
      </c>
      <c r="B2624" s="9" t="s">
        <v>21</v>
      </c>
      <c r="C2624" s="9"/>
      <c r="D2624" s="9"/>
      <c r="E2624" s="90"/>
      <c r="F2624" s="9"/>
      <c r="G2624" s="10"/>
      <c r="H2624" s="9"/>
      <c r="I2624" s="11"/>
      <c r="J2624" s="12"/>
      <c r="K2624" s="12"/>
      <c r="L2624" s="27"/>
      <c r="M2624" s="10"/>
      <c r="N2624" s="114">
        <f ca="1">$J$3-J2624</f>
        <v>46240.46377638889</v>
      </c>
      <c r="O2624" s="10"/>
      <c r="P2624" s="39"/>
      <c r="Q2624" s="49"/>
      <c r="R2624" s="49"/>
      <c r="S2624" s="37">
        <f>IF(R2624="",0,L2624)</f>
        <v>0</v>
      </c>
      <c r="T2624" s="37">
        <f>L2624-S2624</f>
        <v>0</v>
      </c>
      <c r="U2624" s="10"/>
      <c r="V2624" s="10"/>
      <c r="W2624" s="10"/>
      <c r="X2624" s="10"/>
      <c r="Y2624" s="10"/>
      <c r="Z2624" s="10"/>
      <c r="AA2624" s="10"/>
      <c r="AB2624" s="10"/>
      <c r="AC2624" s="10"/>
      <c r="AD2624" s="10"/>
      <c r="AE2624" s="10"/>
    </row>
    <row r="2625" spans="1:31" ht="14.25" customHeight="1">
      <c r="A2625" s="277" t="s">
        <v>6608</v>
      </c>
      <c r="B2625" s="9" t="s">
        <v>21</v>
      </c>
      <c r="C2625" s="9"/>
      <c r="D2625" s="9"/>
      <c r="E2625" s="90"/>
      <c r="F2625" s="9"/>
      <c r="G2625" s="9"/>
      <c r="H2625" s="93"/>
      <c r="I2625" s="11"/>
      <c r="J2625" s="12"/>
      <c r="K2625" s="12"/>
      <c r="L2625" s="118"/>
      <c r="M2625" s="103"/>
      <c r="N2625" s="33"/>
      <c r="O2625" s="33"/>
      <c r="P2625" s="33"/>
      <c r="Q2625" s="33"/>
      <c r="R2625" s="33"/>
      <c r="S2625" s="118"/>
      <c r="T2625" s="118"/>
      <c r="U2625" s="10"/>
      <c r="V2625" s="10"/>
      <c r="W2625" s="10"/>
      <c r="X2625" s="10"/>
      <c r="Y2625" s="10"/>
      <c r="Z2625" s="10"/>
      <c r="AA2625" s="10"/>
      <c r="AB2625" s="10"/>
      <c r="AC2625" s="10"/>
      <c r="AD2625" s="10"/>
      <c r="AE2625" s="10"/>
    </row>
    <row r="2626" spans="1:31" ht="14.25" customHeight="1">
      <c r="A2626" s="277" t="s">
        <v>6609</v>
      </c>
      <c r="B2626" s="9" t="s">
        <v>21</v>
      </c>
      <c r="C2626" s="9"/>
      <c r="D2626" s="9"/>
      <c r="E2626" s="90"/>
      <c r="F2626" s="9"/>
      <c r="G2626" s="94" t="s">
        <v>24</v>
      </c>
      <c r="H2626" s="95" t="s">
        <v>1478</v>
      </c>
      <c r="I2626" s="104"/>
      <c r="J2626" s="105"/>
      <c r="K2626" s="105"/>
      <c r="L2626" s="106">
        <f>SUM(L2627:L2628)</f>
        <v>820000</v>
      </c>
      <c r="M2626" s="107"/>
      <c r="N2626" s="108" t="s">
        <v>26</v>
      </c>
      <c r="O2626" s="108"/>
      <c r="P2626" s="108"/>
      <c r="Q2626" s="108"/>
      <c r="R2626" s="108"/>
      <c r="S2626" s="106">
        <f>SUM(S2627:S2628)</f>
        <v>820000</v>
      </c>
      <c r="T2626" s="106">
        <f>SUM(T2627:T2628)</f>
        <v>0</v>
      </c>
      <c r="U2626" s="10"/>
      <c r="V2626" s="52">
        <f>L2626-S2626</f>
        <v>0</v>
      </c>
      <c r="W2626" s="52">
        <f>T2626-V2626</f>
        <v>0</v>
      </c>
      <c r="X2626" s="10"/>
      <c r="Y2626" s="10"/>
      <c r="Z2626" s="10"/>
      <c r="AA2626" s="10"/>
      <c r="AB2626" s="10"/>
      <c r="AC2626" s="10"/>
      <c r="AD2626" s="10"/>
      <c r="AE2626" s="10"/>
    </row>
    <row r="2627" spans="1:31" ht="14.25" customHeight="1">
      <c r="A2627" s="277" t="s">
        <v>6610</v>
      </c>
      <c r="B2627" s="9" t="s">
        <v>21</v>
      </c>
      <c r="C2627" s="9">
        <v>2024</v>
      </c>
      <c r="D2627" s="9" t="s">
        <v>27</v>
      </c>
      <c r="E2627" s="90" t="s">
        <v>1315</v>
      </c>
      <c r="F2627" s="9" t="s">
        <v>1317</v>
      </c>
      <c r="G2627" s="9"/>
      <c r="H2627" s="93"/>
      <c r="I2627" s="109" t="s">
        <v>1479</v>
      </c>
      <c r="J2627" s="115">
        <v>45535</v>
      </c>
      <c r="K2627" s="115">
        <v>45570</v>
      </c>
      <c r="L2627" s="177">
        <v>820000</v>
      </c>
      <c r="M2627" s="147" t="s">
        <v>1480</v>
      </c>
      <c r="N2627" s="34" t="s">
        <v>29</v>
      </c>
      <c r="O2627" s="11"/>
      <c r="P2627" s="119">
        <v>45672</v>
      </c>
      <c r="Q2627" s="119">
        <v>45672</v>
      </c>
      <c r="R2627" s="119">
        <v>45672</v>
      </c>
      <c r="S2627" s="37">
        <f>IF(R2627="",0,L2627)</f>
        <v>820000</v>
      </c>
      <c r="T2627" s="37">
        <f>L2627-S2627</f>
        <v>0</v>
      </c>
      <c r="U2627" s="10"/>
      <c r="V2627" s="10"/>
      <c r="W2627" s="10"/>
      <c r="X2627" s="10"/>
      <c r="Y2627" s="10"/>
      <c r="Z2627" s="10"/>
      <c r="AA2627" s="10"/>
      <c r="AB2627" s="10"/>
      <c r="AC2627" s="10"/>
      <c r="AD2627" s="10"/>
      <c r="AE2627" s="10"/>
    </row>
    <row r="2628" spans="1:31" ht="14.25" customHeight="1">
      <c r="A2628" s="277" t="s">
        <v>6611</v>
      </c>
      <c r="B2628" s="9"/>
      <c r="C2628" s="9"/>
      <c r="D2628" s="9"/>
      <c r="E2628" s="90"/>
      <c r="F2628" s="9"/>
      <c r="G2628" s="9"/>
      <c r="H2628" s="93"/>
      <c r="I2628" s="11"/>
      <c r="J2628" s="12"/>
      <c r="K2628" s="12"/>
      <c r="L2628" s="37"/>
      <c r="M2628" s="130"/>
      <c r="N2628" s="114">
        <f ca="1">$J$3-J2628</f>
        <v>46240.46377638889</v>
      </c>
      <c r="O2628" s="9"/>
      <c r="P2628" s="9"/>
      <c r="Q2628" s="9"/>
      <c r="R2628" s="9"/>
      <c r="S2628" s="37"/>
      <c r="T2628" s="37"/>
      <c r="U2628" s="10"/>
      <c r="V2628" s="10"/>
      <c r="W2628" s="10"/>
      <c r="X2628" s="10"/>
      <c r="Y2628" s="10"/>
      <c r="Z2628" s="10"/>
      <c r="AA2628" s="10"/>
      <c r="AB2628" s="10"/>
      <c r="AC2628" s="10"/>
      <c r="AD2628" s="10"/>
      <c r="AE2628" s="10"/>
    </row>
    <row r="2629" spans="1:31" ht="14.25" customHeight="1">
      <c r="A2629" s="277" t="s">
        <v>6612</v>
      </c>
      <c r="B2629" s="9"/>
      <c r="C2629" s="9"/>
      <c r="D2629" s="9"/>
      <c r="E2629" s="90"/>
      <c r="F2629" s="9"/>
      <c r="G2629" s="9"/>
      <c r="H2629" s="93"/>
      <c r="I2629" s="11"/>
      <c r="J2629" s="12"/>
      <c r="K2629" s="12"/>
      <c r="L2629" s="118"/>
      <c r="M2629" s="103"/>
      <c r="N2629" s="33"/>
      <c r="O2629" s="33"/>
      <c r="P2629" s="33"/>
      <c r="Q2629" s="33"/>
      <c r="R2629" s="33"/>
      <c r="S2629" s="118"/>
      <c r="T2629" s="118"/>
      <c r="U2629" s="10"/>
      <c r="V2629" s="10"/>
      <c r="W2629" s="10"/>
      <c r="X2629" s="10"/>
      <c r="Y2629" s="10"/>
      <c r="Z2629" s="10"/>
      <c r="AA2629" s="10"/>
      <c r="AB2629" s="10"/>
      <c r="AC2629" s="10"/>
      <c r="AD2629" s="10"/>
      <c r="AE2629" s="10"/>
    </row>
    <row r="2630" spans="1:31" ht="14.25" customHeight="1">
      <c r="A2630" s="277" t="s">
        <v>6613</v>
      </c>
      <c r="B2630" s="9" t="s">
        <v>21</v>
      </c>
      <c r="C2630" s="9"/>
      <c r="D2630" s="9"/>
      <c r="E2630" s="90"/>
      <c r="F2630" s="9"/>
      <c r="G2630" s="94" t="s">
        <v>24</v>
      </c>
      <c r="H2630" s="95" t="s">
        <v>1481</v>
      </c>
      <c r="I2630" s="104"/>
      <c r="J2630" s="105"/>
      <c r="K2630" s="105"/>
      <c r="L2630" s="106">
        <f>SUM(L2631:L2641)</f>
        <v>18936105</v>
      </c>
      <c r="M2630" s="107"/>
      <c r="N2630" s="108" t="s">
        <v>26</v>
      </c>
      <c r="O2630" s="108"/>
      <c r="P2630" s="108"/>
      <c r="Q2630" s="108"/>
      <c r="R2630" s="108"/>
      <c r="S2630" s="106">
        <f>SUM(S2631:S2641)</f>
        <v>18936105</v>
      </c>
      <c r="T2630" s="106">
        <f>SUM(T2631:T2641)</f>
        <v>0</v>
      </c>
      <c r="U2630" s="10"/>
      <c r="V2630" s="52">
        <f>L2630-S2630</f>
        <v>0</v>
      </c>
      <c r="W2630" s="52">
        <f>T2630-V2630</f>
        <v>0</v>
      </c>
      <c r="X2630" s="10"/>
      <c r="Y2630" s="10"/>
      <c r="Z2630" s="10"/>
      <c r="AA2630" s="10"/>
      <c r="AB2630" s="10"/>
      <c r="AC2630" s="10"/>
      <c r="AD2630" s="10"/>
      <c r="AE2630" s="10"/>
    </row>
    <row r="2631" spans="1:31" ht="14.25" hidden="1" customHeight="1">
      <c r="A2631" s="277" t="s">
        <v>6614</v>
      </c>
      <c r="B2631" s="9" t="s">
        <v>21</v>
      </c>
      <c r="C2631" s="9">
        <v>2025</v>
      </c>
      <c r="D2631" s="9" t="s">
        <v>27</v>
      </c>
      <c r="E2631" s="90" t="s">
        <v>1315</v>
      </c>
      <c r="F2631" s="9" t="s">
        <v>1317</v>
      </c>
      <c r="G2631" s="10"/>
      <c r="H2631" s="96" t="s">
        <v>1483</v>
      </c>
      <c r="I2631" s="109" t="s">
        <v>1482</v>
      </c>
      <c r="J2631" s="115">
        <v>45660</v>
      </c>
      <c r="K2631" s="119">
        <v>45673</v>
      </c>
      <c r="L2631" s="116">
        <v>3536100</v>
      </c>
      <c r="M2631" s="116" t="s">
        <v>1484</v>
      </c>
      <c r="N2631" s="34" t="s">
        <v>29</v>
      </c>
      <c r="O2631" s="11"/>
      <c r="P2631" s="113">
        <v>45705</v>
      </c>
      <c r="Q2631" s="113">
        <v>45705</v>
      </c>
      <c r="R2631" s="113">
        <v>45705</v>
      </c>
      <c r="S2631" s="37">
        <f t="shared" ref="S2631:S2635" si="553">IF(R2631="",0,L2631)</f>
        <v>3536100</v>
      </c>
      <c r="T2631" s="37">
        <f t="shared" ref="T2631:T2635" si="554">L2631-S2631</f>
        <v>0</v>
      </c>
      <c r="U2631" s="10"/>
      <c r="V2631" s="10"/>
      <c r="W2631" s="10"/>
      <c r="X2631" s="10"/>
      <c r="Y2631" s="10"/>
      <c r="Z2631" s="10"/>
      <c r="AA2631" s="10"/>
      <c r="AB2631" s="10"/>
      <c r="AC2631" s="10"/>
      <c r="AD2631" s="10"/>
      <c r="AE2631" s="10"/>
    </row>
    <row r="2632" spans="1:31" ht="14.25" hidden="1" customHeight="1">
      <c r="A2632" s="277" t="s">
        <v>6615</v>
      </c>
      <c r="B2632" s="9" t="s">
        <v>21</v>
      </c>
      <c r="C2632" s="9">
        <v>2025</v>
      </c>
      <c r="D2632" s="9" t="s">
        <v>27</v>
      </c>
      <c r="E2632" s="90" t="s">
        <v>1315</v>
      </c>
      <c r="F2632" s="9" t="s">
        <v>1317</v>
      </c>
      <c r="G2632" s="10"/>
      <c r="H2632" s="96" t="s">
        <v>1485</v>
      </c>
      <c r="I2632" s="109" t="s">
        <v>1482</v>
      </c>
      <c r="J2632" s="115">
        <v>45706</v>
      </c>
      <c r="K2632" s="119">
        <v>45715</v>
      </c>
      <c r="L2632" s="116">
        <v>2328500</v>
      </c>
      <c r="M2632" s="116" t="s">
        <v>1486</v>
      </c>
      <c r="N2632" s="34" t="s">
        <v>29</v>
      </c>
      <c r="O2632" s="11"/>
      <c r="P2632" s="113">
        <v>45743</v>
      </c>
      <c r="Q2632" s="113">
        <v>45743</v>
      </c>
      <c r="R2632" s="113">
        <v>45743</v>
      </c>
      <c r="S2632" s="37">
        <f t="shared" si="553"/>
        <v>2328500</v>
      </c>
      <c r="T2632" s="37">
        <f t="shared" si="554"/>
        <v>0</v>
      </c>
      <c r="U2632" s="10"/>
      <c r="V2632" s="10"/>
      <c r="W2632" s="10"/>
      <c r="X2632" s="10"/>
      <c r="Y2632" s="10"/>
      <c r="Z2632" s="10"/>
      <c r="AA2632" s="10"/>
      <c r="AB2632" s="10"/>
      <c r="AC2632" s="10"/>
      <c r="AD2632" s="10"/>
      <c r="AE2632" s="10"/>
    </row>
    <row r="2633" spans="1:31" ht="14.25" hidden="1" customHeight="1">
      <c r="A2633" s="277" t="s">
        <v>6616</v>
      </c>
      <c r="B2633" s="9" t="s">
        <v>21</v>
      </c>
      <c r="C2633" s="9">
        <v>2025</v>
      </c>
      <c r="D2633" s="9" t="s">
        <v>27</v>
      </c>
      <c r="E2633" s="90" t="s">
        <v>1315</v>
      </c>
      <c r="F2633" s="9" t="s">
        <v>1317</v>
      </c>
      <c r="G2633" s="10"/>
      <c r="H2633" s="96" t="s">
        <v>1487</v>
      </c>
      <c r="I2633" s="109" t="s">
        <v>1482</v>
      </c>
      <c r="J2633" s="115">
        <v>45757</v>
      </c>
      <c r="K2633" s="119">
        <v>45769</v>
      </c>
      <c r="L2633" s="116">
        <v>2359100</v>
      </c>
      <c r="M2633" s="116" t="s">
        <v>1488</v>
      </c>
      <c r="N2633" s="34" t="s">
        <v>29</v>
      </c>
      <c r="O2633" s="11"/>
      <c r="P2633" s="119">
        <v>45863</v>
      </c>
      <c r="Q2633" s="119">
        <v>45863</v>
      </c>
      <c r="R2633" s="119">
        <v>45863</v>
      </c>
      <c r="S2633" s="37">
        <f t="shared" si="553"/>
        <v>2359100</v>
      </c>
      <c r="T2633" s="37">
        <f t="shared" si="554"/>
        <v>0</v>
      </c>
      <c r="U2633" s="10"/>
      <c r="V2633" s="10"/>
      <c r="W2633" s="10"/>
      <c r="X2633" s="10"/>
      <c r="Y2633" s="10"/>
      <c r="Z2633" s="10"/>
      <c r="AA2633" s="10"/>
      <c r="AB2633" s="10"/>
      <c r="AC2633" s="10"/>
      <c r="AD2633" s="10"/>
      <c r="AE2633" s="10"/>
    </row>
    <row r="2634" spans="1:31" ht="14.25" hidden="1" customHeight="1">
      <c r="A2634" s="277" t="s">
        <v>6617</v>
      </c>
      <c r="B2634" s="9" t="s">
        <v>21</v>
      </c>
      <c r="C2634" s="9">
        <v>2025</v>
      </c>
      <c r="D2634" s="9" t="s">
        <v>27</v>
      </c>
      <c r="E2634" s="90" t="s">
        <v>1315</v>
      </c>
      <c r="F2634" s="9" t="s">
        <v>1317</v>
      </c>
      <c r="G2634" s="10"/>
      <c r="H2634" s="96" t="s">
        <v>1489</v>
      </c>
      <c r="I2634" s="109" t="s">
        <v>1482</v>
      </c>
      <c r="J2634" s="115">
        <v>45863</v>
      </c>
      <c r="K2634" s="119">
        <v>45869</v>
      </c>
      <c r="L2634" s="116">
        <v>2322600</v>
      </c>
      <c r="M2634" s="116" t="s">
        <v>1490</v>
      </c>
      <c r="N2634" s="34" t="s">
        <v>29</v>
      </c>
      <c r="O2634" s="31">
        <f>SUM(L2634:L2635)</f>
        <v>3109000</v>
      </c>
      <c r="P2634" s="113">
        <v>45904</v>
      </c>
      <c r="Q2634" s="113">
        <v>45904</v>
      </c>
      <c r="R2634" s="113">
        <v>45904</v>
      </c>
      <c r="S2634" s="37">
        <f t="shared" si="553"/>
        <v>2322600</v>
      </c>
      <c r="T2634" s="37">
        <f t="shared" si="554"/>
        <v>0</v>
      </c>
      <c r="U2634" s="10"/>
      <c r="V2634" s="10"/>
      <c r="W2634" s="10"/>
      <c r="X2634" s="10"/>
      <c r="Y2634" s="10"/>
      <c r="Z2634" s="10"/>
      <c r="AA2634" s="10"/>
      <c r="AB2634" s="10"/>
      <c r="AC2634" s="10"/>
      <c r="AD2634" s="10"/>
      <c r="AE2634" s="10"/>
    </row>
    <row r="2635" spans="1:31" ht="14.25" hidden="1" customHeight="1">
      <c r="A2635" s="277" t="s">
        <v>6618</v>
      </c>
      <c r="B2635" s="9" t="s">
        <v>21</v>
      </c>
      <c r="C2635" s="9">
        <v>2025</v>
      </c>
      <c r="D2635" s="9" t="s">
        <v>27</v>
      </c>
      <c r="E2635" s="90" t="s">
        <v>1315</v>
      </c>
      <c r="F2635" s="9" t="s">
        <v>1317</v>
      </c>
      <c r="G2635" s="10"/>
      <c r="H2635" s="96" t="s">
        <v>1491</v>
      </c>
      <c r="I2635" s="109" t="s">
        <v>1482</v>
      </c>
      <c r="J2635" s="115">
        <v>45866</v>
      </c>
      <c r="K2635" s="119">
        <v>45869</v>
      </c>
      <c r="L2635" s="116">
        <v>786400</v>
      </c>
      <c r="M2635" s="116" t="s">
        <v>1492</v>
      </c>
      <c r="N2635" s="34" t="s">
        <v>29</v>
      </c>
      <c r="O2635" s="11"/>
      <c r="P2635" s="113">
        <v>45904</v>
      </c>
      <c r="Q2635" s="113">
        <v>45904</v>
      </c>
      <c r="R2635" s="113">
        <v>45904</v>
      </c>
      <c r="S2635" s="37">
        <f t="shared" si="553"/>
        <v>786400</v>
      </c>
      <c r="T2635" s="37">
        <f t="shared" si="554"/>
        <v>0</v>
      </c>
      <c r="U2635" s="10"/>
      <c r="V2635" s="10"/>
      <c r="W2635" s="10"/>
      <c r="X2635" s="10"/>
      <c r="Y2635" s="10"/>
      <c r="Z2635" s="10"/>
      <c r="AA2635" s="10"/>
      <c r="AB2635" s="10"/>
      <c r="AC2635" s="10"/>
      <c r="AD2635" s="10"/>
      <c r="AE2635" s="10"/>
    </row>
    <row r="2636" spans="1:31" ht="14.25" hidden="1" customHeight="1">
      <c r="A2636" s="277" t="s">
        <v>6619</v>
      </c>
      <c r="B2636" s="9" t="s">
        <v>21</v>
      </c>
      <c r="C2636" s="9">
        <v>2025</v>
      </c>
      <c r="D2636" s="9" t="s">
        <v>27</v>
      </c>
      <c r="E2636" s="90" t="s">
        <v>1315</v>
      </c>
      <c r="F2636" s="9" t="s">
        <v>1317</v>
      </c>
      <c r="G2636" s="10"/>
      <c r="H2636" s="96" t="s">
        <v>3985</v>
      </c>
      <c r="I2636" s="109" t="s">
        <v>1482</v>
      </c>
      <c r="J2636" s="115">
        <v>45959</v>
      </c>
      <c r="K2636" s="119">
        <v>45974</v>
      </c>
      <c r="L2636" s="116">
        <v>2673700</v>
      </c>
      <c r="M2636" s="116" t="s">
        <v>3986</v>
      </c>
      <c r="N2636" s="34" t="s">
        <v>29</v>
      </c>
      <c r="O2636" s="11"/>
      <c r="P2636" s="113">
        <v>46004</v>
      </c>
      <c r="Q2636" s="113">
        <v>46004</v>
      </c>
      <c r="R2636" s="113">
        <v>46004</v>
      </c>
      <c r="S2636" s="37">
        <f t="shared" ref="S2636:S2641" si="555">IF(R2636="",0,L2636)</f>
        <v>2673700</v>
      </c>
      <c r="T2636" s="37">
        <f t="shared" ref="T2636:T2641" si="556">L2636-S2636</f>
        <v>0</v>
      </c>
      <c r="U2636" s="10"/>
      <c r="V2636" s="10"/>
      <c r="W2636" s="10"/>
      <c r="X2636" s="10"/>
      <c r="Y2636" s="10"/>
      <c r="Z2636" s="10"/>
      <c r="AA2636" s="10"/>
      <c r="AB2636" s="10"/>
      <c r="AC2636" s="10"/>
      <c r="AD2636" s="10"/>
      <c r="AE2636" s="10"/>
    </row>
    <row r="2637" spans="1:31" ht="14.25" hidden="1" customHeight="1">
      <c r="A2637" s="277" t="s">
        <v>6620</v>
      </c>
      <c r="B2637" s="9" t="s">
        <v>21</v>
      </c>
      <c r="C2637" s="9">
        <v>2025</v>
      </c>
      <c r="D2637" s="9" t="s">
        <v>27</v>
      </c>
      <c r="E2637" s="90" t="s">
        <v>1315</v>
      </c>
      <c r="F2637" s="9" t="s">
        <v>1317</v>
      </c>
      <c r="G2637" s="10"/>
      <c r="H2637" s="96" t="s">
        <v>3985</v>
      </c>
      <c r="I2637" s="109" t="s">
        <v>1482</v>
      </c>
      <c r="J2637" s="115">
        <v>45959</v>
      </c>
      <c r="K2637" s="119">
        <v>45974</v>
      </c>
      <c r="L2637" s="116">
        <v>2673700</v>
      </c>
      <c r="M2637" s="116" t="s">
        <v>4353</v>
      </c>
      <c r="N2637" s="34" t="s">
        <v>29</v>
      </c>
      <c r="O2637" s="11"/>
      <c r="P2637" s="113">
        <v>46011</v>
      </c>
      <c r="Q2637" s="113">
        <v>46011</v>
      </c>
      <c r="R2637" s="113">
        <v>46011</v>
      </c>
      <c r="S2637" s="37">
        <f t="shared" si="555"/>
        <v>2673700</v>
      </c>
      <c r="T2637" s="37">
        <f t="shared" si="556"/>
        <v>0</v>
      </c>
      <c r="U2637" s="10"/>
      <c r="V2637" s="10"/>
      <c r="W2637" s="10"/>
      <c r="X2637" s="10"/>
      <c r="Y2637" s="10"/>
      <c r="Z2637" s="10"/>
      <c r="AA2637" s="10"/>
      <c r="AB2637" s="10"/>
      <c r="AC2637" s="10"/>
      <c r="AD2637" s="10"/>
      <c r="AE2637" s="10"/>
    </row>
    <row r="2638" spans="1:31" ht="14.25" hidden="1" customHeight="1">
      <c r="A2638" s="277" t="s">
        <v>6621</v>
      </c>
      <c r="B2638" s="9" t="s">
        <v>21</v>
      </c>
      <c r="C2638" s="9">
        <v>2026</v>
      </c>
      <c r="D2638" s="9" t="s">
        <v>27</v>
      </c>
      <c r="E2638" s="90" t="s">
        <v>1315</v>
      </c>
      <c r="F2638" s="9" t="s">
        <v>1317</v>
      </c>
      <c r="G2638" s="10"/>
      <c r="H2638" s="96" t="s">
        <v>4354</v>
      </c>
      <c r="I2638" s="109" t="s">
        <v>1482</v>
      </c>
      <c r="J2638" s="115">
        <v>45959</v>
      </c>
      <c r="K2638" s="119">
        <v>45974</v>
      </c>
      <c r="L2638" s="116">
        <v>-2673700</v>
      </c>
      <c r="M2638" s="116" t="s">
        <v>4355</v>
      </c>
      <c r="N2638" s="34" t="s">
        <v>29</v>
      </c>
      <c r="O2638" s="11"/>
      <c r="P2638" s="113">
        <v>46199</v>
      </c>
      <c r="Q2638" s="113">
        <v>46199</v>
      </c>
      <c r="R2638" s="113">
        <v>46199</v>
      </c>
      <c r="S2638" s="37">
        <f t="shared" si="555"/>
        <v>-2673700</v>
      </c>
      <c r="T2638" s="37">
        <f t="shared" si="556"/>
        <v>0</v>
      </c>
      <c r="U2638" s="10"/>
      <c r="V2638" s="10"/>
      <c r="W2638" s="10"/>
      <c r="X2638" s="10"/>
      <c r="Y2638" s="10"/>
      <c r="Z2638" s="10"/>
      <c r="AA2638" s="10"/>
      <c r="AB2638" s="10"/>
      <c r="AC2638" s="10"/>
      <c r="AD2638" s="10"/>
      <c r="AE2638" s="10"/>
    </row>
    <row r="2639" spans="1:31" ht="14.25" hidden="1" customHeight="1">
      <c r="A2639" s="277" t="s">
        <v>6622</v>
      </c>
      <c r="B2639" s="9" t="s">
        <v>21</v>
      </c>
      <c r="C2639" s="9">
        <v>2026</v>
      </c>
      <c r="D2639" s="9" t="s">
        <v>27</v>
      </c>
      <c r="E2639" s="90" t="s">
        <v>1315</v>
      </c>
      <c r="F2639" s="9" t="s">
        <v>1317</v>
      </c>
      <c r="G2639" s="10"/>
      <c r="H2639" s="96" t="s">
        <v>4356</v>
      </c>
      <c r="I2639" s="109" t="s">
        <v>1482</v>
      </c>
      <c r="J2639" s="115">
        <v>46065</v>
      </c>
      <c r="K2639" s="119">
        <v>45707</v>
      </c>
      <c r="L2639" s="116">
        <v>2359105</v>
      </c>
      <c r="M2639" s="116" t="s">
        <v>4366</v>
      </c>
      <c r="N2639" s="34" t="s">
        <v>29</v>
      </c>
      <c r="O2639" s="11"/>
      <c r="P2639" s="113">
        <v>46199</v>
      </c>
      <c r="Q2639" s="113">
        <v>46199</v>
      </c>
      <c r="R2639" s="113">
        <v>46199</v>
      </c>
      <c r="S2639" s="37">
        <f t="shared" si="555"/>
        <v>2359105</v>
      </c>
      <c r="T2639" s="37">
        <f t="shared" si="556"/>
        <v>0</v>
      </c>
      <c r="U2639" s="10"/>
      <c r="V2639" s="10"/>
      <c r="W2639" s="10"/>
      <c r="X2639" s="10"/>
      <c r="Y2639" s="10"/>
      <c r="Z2639" s="10"/>
      <c r="AA2639" s="10"/>
      <c r="AB2639" s="10"/>
      <c r="AC2639" s="10"/>
      <c r="AD2639" s="10"/>
      <c r="AE2639" s="10"/>
    </row>
    <row r="2640" spans="1:31" ht="14.25" customHeight="1">
      <c r="A2640" s="277" t="s">
        <v>6623</v>
      </c>
      <c r="B2640" s="9" t="s">
        <v>21</v>
      </c>
      <c r="C2640" s="9">
        <v>2026</v>
      </c>
      <c r="D2640" s="9" t="s">
        <v>27</v>
      </c>
      <c r="E2640" s="90" t="s">
        <v>1315</v>
      </c>
      <c r="F2640" s="9" t="s">
        <v>1317</v>
      </c>
      <c r="G2640" s="10"/>
      <c r="H2640" s="96" t="s">
        <v>7001</v>
      </c>
      <c r="I2640" s="109" t="s">
        <v>1482</v>
      </c>
      <c r="J2640" s="115">
        <v>46146</v>
      </c>
      <c r="K2640" s="119">
        <v>46147</v>
      </c>
      <c r="L2640" s="116">
        <v>2570600</v>
      </c>
      <c r="M2640" s="116" t="s">
        <v>7002</v>
      </c>
      <c r="N2640" s="34" t="s">
        <v>29</v>
      </c>
      <c r="O2640" s="11"/>
      <c r="P2640" s="113">
        <v>46199</v>
      </c>
      <c r="Q2640" s="113">
        <v>46199</v>
      </c>
      <c r="R2640" s="113">
        <v>46199</v>
      </c>
      <c r="S2640" s="37">
        <f t="shared" si="555"/>
        <v>2570600</v>
      </c>
      <c r="T2640" s="37">
        <f t="shared" si="556"/>
        <v>0</v>
      </c>
      <c r="U2640" s="10"/>
      <c r="V2640" s="10"/>
      <c r="W2640" s="10"/>
      <c r="X2640" s="10"/>
      <c r="Y2640" s="10"/>
      <c r="Z2640" s="10"/>
      <c r="AA2640" s="10"/>
      <c r="AB2640" s="10"/>
      <c r="AC2640" s="10"/>
      <c r="AD2640" s="10"/>
      <c r="AE2640" s="10"/>
    </row>
    <row r="2641" spans="1:31" ht="14.25" customHeight="1">
      <c r="A2641" s="277" t="s">
        <v>6624</v>
      </c>
      <c r="B2641" s="9" t="s">
        <v>21</v>
      </c>
      <c r="C2641" s="9"/>
      <c r="D2641" s="9"/>
      <c r="E2641" s="90"/>
      <c r="F2641" s="9"/>
      <c r="G2641" s="10"/>
      <c r="H2641" s="9"/>
      <c r="I2641" s="11"/>
      <c r="J2641" s="12"/>
      <c r="K2641" s="12"/>
      <c r="L2641" s="52"/>
      <c r="M2641" s="10"/>
      <c r="N2641" s="114">
        <f ca="1">$J$3-J2641</f>
        <v>46240.46377638889</v>
      </c>
      <c r="O2641" s="11"/>
      <c r="P2641" s="39"/>
      <c r="Q2641" s="39"/>
      <c r="R2641" s="39"/>
      <c r="S2641" s="37">
        <f t="shared" si="555"/>
        <v>0</v>
      </c>
      <c r="T2641" s="37">
        <f t="shared" si="556"/>
        <v>0</v>
      </c>
      <c r="U2641" s="10"/>
      <c r="V2641" s="10"/>
      <c r="W2641" s="10"/>
      <c r="X2641" s="10"/>
      <c r="Y2641" s="10"/>
      <c r="Z2641" s="10"/>
      <c r="AA2641" s="10"/>
      <c r="AB2641" s="10"/>
      <c r="AC2641" s="10"/>
      <c r="AD2641" s="10"/>
      <c r="AE2641" s="10"/>
    </row>
    <row r="2642" spans="1:31" ht="14.25" customHeight="1">
      <c r="A2642" s="277" t="s">
        <v>6625</v>
      </c>
      <c r="B2642" s="9" t="s">
        <v>21</v>
      </c>
      <c r="C2642" s="9"/>
      <c r="D2642" s="9"/>
      <c r="E2642" s="90"/>
      <c r="F2642" s="9"/>
      <c r="G2642" s="10"/>
      <c r="H2642" s="9"/>
      <c r="I2642" s="11"/>
      <c r="J2642" s="12"/>
      <c r="K2642" s="12"/>
      <c r="L2642" s="27"/>
      <c r="M2642" s="10"/>
      <c r="N2642" s="34"/>
      <c r="O2642" s="10"/>
      <c r="P2642" s="39"/>
      <c r="Q2642" s="39"/>
      <c r="R2642" s="39"/>
      <c r="S2642" s="37"/>
      <c r="T2642" s="37"/>
      <c r="U2642" s="10"/>
      <c r="V2642" s="10"/>
      <c r="W2642" s="10"/>
      <c r="X2642" s="10"/>
      <c r="Y2642" s="10"/>
      <c r="Z2642" s="10"/>
      <c r="AA2642" s="10"/>
      <c r="AB2642" s="10"/>
      <c r="AC2642" s="10"/>
      <c r="AD2642" s="10"/>
      <c r="AE2642" s="10"/>
    </row>
    <row r="2643" spans="1:31" ht="14.25" customHeight="1">
      <c r="A2643" s="277" t="s">
        <v>6626</v>
      </c>
      <c r="B2643" s="9" t="s">
        <v>21</v>
      </c>
      <c r="C2643" s="9"/>
      <c r="D2643" s="9"/>
      <c r="E2643" s="90"/>
      <c r="F2643" s="9"/>
      <c r="G2643" s="94" t="s">
        <v>24</v>
      </c>
      <c r="H2643" s="95" t="s">
        <v>1493</v>
      </c>
      <c r="I2643" s="104"/>
      <c r="J2643" s="188"/>
      <c r="K2643" s="105"/>
      <c r="L2643" s="106">
        <f>SUM(L2644:L2645)</f>
        <v>0</v>
      </c>
      <c r="M2643" s="107"/>
      <c r="N2643" s="108" t="s">
        <v>26</v>
      </c>
      <c r="O2643" s="108"/>
      <c r="P2643" s="108"/>
      <c r="Q2643" s="108"/>
      <c r="R2643" s="108"/>
      <c r="S2643" s="106">
        <f>SUM(S2644:S2645)</f>
        <v>0</v>
      </c>
      <c r="T2643" s="106">
        <f>SUM(T2644:T2645)</f>
        <v>0</v>
      </c>
      <c r="U2643" s="10"/>
      <c r="V2643" s="52">
        <f>L2643-S2643</f>
        <v>0</v>
      </c>
      <c r="W2643" s="52">
        <f>T2643-V2643</f>
        <v>0</v>
      </c>
      <c r="X2643" s="10"/>
      <c r="Y2643" s="10"/>
      <c r="Z2643" s="10"/>
      <c r="AA2643" s="10"/>
      <c r="AB2643" s="10"/>
      <c r="AC2643" s="10"/>
      <c r="AD2643" s="10"/>
      <c r="AE2643" s="10"/>
    </row>
    <row r="2644" spans="1:31" ht="14.25" customHeight="1">
      <c r="A2644" s="277" t="s">
        <v>6627</v>
      </c>
      <c r="B2644" s="9" t="s">
        <v>21</v>
      </c>
      <c r="C2644" s="9"/>
      <c r="D2644" s="9"/>
      <c r="E2644" s="90"/>
      <c r="F2644" s="9"/>
      <c r="G2644" s="10"/>
      <c r="H2644" s="9"/>
      <c r="I2644" s="11"/>
      <c r="J2644" s="12"/>
      <c r="K2644" s="12"/>
      <c r="L2644" s="52"/>
      <c r="M2644" s="10"/>
      <c r="N2644" s="114">
        <f ca="1">$J$3-J2644</f>
        <v>46240.46377638889</v>
      </c>
      <c r="O2644" s="11"/>
      <c r="P2644" s="39"/>
      <c r="Q2644" s="39"/>
      <c r="R2644" s="39"/>
      <c r="S2644" s="37">
        <f>IF(R2644="",0,L2644)</f>
        <v>0</v>
      </c>
      <c r="T2644" s="37">
        <f>L2644-S2644</f>
        <v>0</v>
      </c>
      <c r="U2644" s="10"/>
      <c r="V2644" s="10"/>
      <c r="W2644" s="10"/>
      <c r="X2644" s="10"/>
      <c r="Y2644" s="10"/>
      <c r="Z2644" s="10"/>
      <c r="AA2644" s="10"/>
      <c r="AB2644" s="10"/>
      <c r="AC2644" s="10"/>
      <c r="AD2644" s="10"/>
      <c r="AE2644" s="10"/>
    </row>
    <row r="2645" spans="1:31" ht="14.25" customHeight="1">
      <c r="A2645" s="277" t="s">
        <v>6628</v>
      </c>
      <c r="B2645" s="9" t="s">
        <v>21</v>
      </c>
      <c r="C2645" s="9"/>
      <c r="D2645" s="9"/>
      <c r="E2645" s="90"/>
      <c r="F2645" s="9"/>
      <c r="G2645" s="10"/>
      <c r="H2645" s="9"/>
      <c r="I2645" s="11"/>
      <c r="J2645" s="12"/>
      <c r="K2645" s="12"/>
      <c r="L2645" s="52"/>
      <c r="M2645" s="10"/>
      <c r="N2645" s="9"/>
      <c r="O2645" s="11"/>
      <c r="P2645" s="39"/>
      <c r="Q2645" s="39"/>
      <c r="R2645" s="39"/>
      <c r="S2645" s="37"/>
      <c r="T2645" s="37"/>
      <c r="U2645" s="10"/>
      <c r="V2645" s="10"/>
      <c r="W2645" s="10"/>
      <c r="X2645" s="10"/>
      <c r="Y2645" s="10"/>
      <c r="Z2645" s="10"/>
      <c r="AA2645" s="10"/>
      <c r="AB2645" s="10"/>
      <c r="AC2645" s="10"/>
      <c r="AD2645" s="10"/>
      <c r="AE2645" s="10"/>
    </row>
    <row r="2646" spans="1:31" ht="14.25" customHeight="1">
      <c r="A2646" s="277" t="s">
        <v>6629</v>
      </c>
      <c r="B2646" s="9" t="s">
        <v>21</v>
      </c>
      <c r="C2646" s="9"/>
      <c r="D2646" s="9"/>
      <c r="E2646" s="90"/>
      <c r="F2646" s="9"/>
      <c r="G2646" s="94" t="s">
        <v>24</v>
      </c>
      <c r="H2646" s="95" t="s">
        <v>1494</v>
      </c>
      <c r="I2646" s="104"/>
      <c r="J2646" s="105"/>
      <c r="K2646" s="105"/>
      <c r="L2646" s="106">
        <f>SUM(L2647:L2651)</f>
        <v>28395000</v>
      </c>
      <c r="M2646" s="107"/>
      <c r="N2646" s="108" t="s">
        <v>26</v>
      </c>
      <c r="O2646" s="108"/>
      <c r="P2646" s="108"/>
      <c r="Q2646" s="108"/>
      <c r="R2646" s="108"/>
      <c r="S2646" s="106">
        <f>SUM(S2647:S2651)</f>
        <v>28395000</v>
      </c>
      <c r="T2646" s="106">
        <f>SUM(T2647:T2651)</f>
        <v>0</v>
      </c>
      <c r="U2646" s="10"/>
      <c r="V2646" s="52">
        <f>L2646-S2646</f>
        <v>0</v>
      </c>
      <c r="W2646" s="52">
        <f>T2646-V2646</f>
        <v>0</v>
      </c>
      <c r="X2646" s="10"/>
      <c r="Y2646" s="10"/>
      <c r="Z2646" s="10"/>
      <c r="AA2646" s="10"/>
      <c r="AB2646" s="10"/>
      <c r="AC2646" s="10"/>
      <c r="AD2646" s="10"/>
      <c r="AE2646" s="10"/>
    </row>
    <row r="2647" spans="1:31" ht="14.25" customHeight="1">
      <c r="A2647" s="277" t="s">
        <v>6630</v>
      </c>
      <c r="B2647" s="9" t="s">
        <v>21</v>
      </c>
      <c r="C2647" s="9">
        <v>2025</v>
      </c>
      <c r="D2647" s="9" t="s">
        <v>27</v>
      </c>
      <c r="E2647" s="90" t="s">
        <v>1315</v>
      </c>
      <c r="F2647" s="9" t="s">
        <v>1317</v>
      </c>
      <c r="G2647" s="10"/>
      <c r="H2647" s="96" t="s">
        <v>1496</v>
      </c>
      <c r="I2647" s="109" t="s">
        <v>1495</v>
      </c>
      <c r="J2647" s="115">
        <v>45687</v>
      </c>
      <c r="K2647" s="119">
        <v>45687</v>
      </c>
      <c r="L2647" s="116">
        <v>11525000</v>
      </c>
      <c r="M2647" s="116" t="s">
        <v>1497</v>
      </c>
      <c r="N2647" s="34" t="s">
        <v>29</v>
      </c>
      <c r="O2647" s="11"/>
      <c r="P2647" s="113">
        <v>45783</v>
      </c>
      <c r="Q2647" s="113">
        <v>45783</v>
      </c>
      <c r="R2647" s="113">
        <v>45783</v>
      </c>
      <c r="S2647" s="37">
        <f t="shared" ref="S2647:S2650" si="557">IF(R2647="",0,L2647)</f>
        <v>11525000</v>
      </c>
      <c r="T2647" s="37">
        <f t="shared" ref="T2647:T2650" si="558">L2647-S2647</f>
        <v>0</v>
      </c>
      <c r="U2647" s="10"/>
      <c r="V2647" s="10"/>
      <c r="W2647" s="10"/>
      <c r="X2647" s="10"/>
      <c r="Y2647" s="10"/>
      <c r="Z2647" s="10"/>
      <c r="AA2647" s="10"/>
      <c r="AB2647" s="10"/>
      <c r="AC2647" s="10"/>
      <c r="AD2647" s="10"/>
      <c r="AE2647" s="10"/>
    </row>
    <row r="2648" spans="1:31" ht="14.25" customHeight="1">
      <c r="A2648" s="277" t="s">
        <v>6631</v>
      </c>
      <c r="B2648" s="9" t="s">
        <v>21</v>
      </c>
      <c r="C2648" s="9">
        <v>2025</v>
      </c>
      <c r="D2648" s="9" t="s">
        <v>27</v>
      </c>
      <c r="E2648" s="90" t="s">
        <v>1315</v>
      </c>
      <c r="F2648" s="9" t="s">
        <v>1317</v>
      </c>
      <c r="G2648" s="10"/>
      <c r="H2648" s="96" t="s">
        <v>1498</v>
      </c>
      <c r="I2648" s="109" t="s">
        <v>1495</v>
      </c>
      <c r="J2648" s="115">
        <v>45715</v>
      </c>
      <c r="K2648" s="119">
        <v>45717</v>
      </c>
      <c r="L2648" s="116">
        <v>5020000</v>
      </c>
      <c r="M2648" s="116" t="s">
        <v>1499</v>
      </c>
      <c r="N2648" s="34" t="s">
        <v>29</v>
      </c>
      <c r="O2648" s="11"/>
      <c r="P2648" s="113">
        <v>45820</v>
      </c>
      <c r="Q2648" s="113">
        <v>45820</v>
      </c>
      <c r="R2648" s="113">
        <v>45820</v>
      </c>
      <c r="S2648" s="37">
        <f t="shared" si="557"/>
        <v>5020000</v>
      </c>
      <c r="T2648" s="37">
        <f t="shared" si="558"/>
        <v>0</v>
      </c>
      <c r="U2648" s="10"/>
      <c r="V2648" s="10"/>
      <c r="W2648" s="10"/>
      <c r="X2648" s="10"/>
      <c r="Y2648" s="10"/>
      <c r="Z2648" s="10"/>
      <c r="AA2648" s="10"/>
      <c r="AB2648" s="10"/>
      <c r="AC2648" s="10"/>
      <c r="AD2648" s="10"/>
      <c r="AE2648" s="10"/>
    </row>
    <row r="2649" spans="1:31" ht="14.25" customHeight="1">
      <c r="A2649" s="277" t="s">
        <v>6632</v>
      </c>
      <c r="B2649" s="9" t="s">
        <v>21</v>
      </c>
      <c r="C2649" s="9">
        <v>2025</v>
      </c>
      <c r="D2649" s="9" t="s">
        <v>27</v>
      </c>
      <c r="E2649" s="90" t="s">
        <v>1315</v>
      </c>
      <c r="F2649" s="9" t="s">
        <v>1317</v>
      </c>
      <c r="G2649" s="10"/>
      <c r="H2649" s="96" t="s">
        <v>1500</v>
      </c>
      <c r="I2649" s="109" t="s">
        <v>1495</v>
      </c>
      <c r="J2649" s="115">
        <v>45743</v>
      </c>
      <c r="K2649" s="119">
        <v>45717</v>
      </c>
      <c r="L2649" s="116">
        <v>11850000</v>
      </c>
      <c r="M2649" s="116" t="s">
        <v>1501</v>
      </c>
      <c r="N2649" s="34" t="s">
        <v>29</v>
      </c>
      <c r="O2649" s="11"/>
      <c r="P2649" s="113">
        <v>45846</v>
      </c>
      <c r="Q2649" s="113">
        <v>45846</v>
      </c>
      <c r="R2649" s="113">
        <v>45846</v>
      </c>
      <c r="S2649" s="37">
        <f t="shared" si="557"/>
        <v>11850000</v>
      </c>
      <c r="T2649" s="37">
        <f t="shared" si="558"/>
        <v>0</v>
      </c>
      <c r="U2649" s="10"/>
      <c r="V2649" s="10"/>
      <c r="W2649" s="10"/>
      <c r="X2649" s="10"/>
      <c r="Y2649" s="10"/>
      <c r="Z2649" s="10"/>
      <c r="AA2649" s="10"/>
      <c r="AB2649" s="10"/>
      <c r="AC2649" s="10"/>
      <c r="AD2649" s="10"/>
      <c r="AE2649" s="10"/>
    </row>
    <row r="2650" spans="1:31" ht="14.25" customHeight="1">
      <c r="A2650" s="277" t="s">
        <v>6633</v>
      </c>
      <c r="B2650" s="9" t="s">
        <v>21</v>
      </c>
      <c r="C2650" s="9"/>
      <c r="D2650" s="9"/>
      <c r="E2650" s="90"/>
      <c r="F2650" s="9"/>
      <c r="G2650" s="10"/>
      <c r="H2650" s="9"/>
      <c r="I2650" s="11"/>
      <c r="J2650" s="12"/>
      <c r="K2650" s="12"/>
      <c r="L2650" s="52"/>
      <c r="M2650" s="189"/>
      <c r="N2650" s="114" t="s">
        <v>1502</v>
      </c>
      <c r="O2650" s="11"/>
      <c r="P2650" s="39"/>
      <c r="Q2650" s="39"/>
      <c r="R2650" s="39"/>
      <c r="S2650" s="37">
        <f t="shared" si="557"/>
        <v>0</v>
      </c>
      <c r="T2650" s="37">
        <f t="shared" si="558"/>
        <v>0</v>
      </c>
      <c r="U2650" s="10"/>
      <c r="V2650" s="10"/>
      <c r="W2650" s="10"/>
      <c r="X2650" s="10"/>
      <c r="Y2650" s="10"/>
      <c r="Z2650" s="10"/>
      <c r="AA2650" s="10"/>
      <c r="AB2650" s="10"/>
      <c r="AC2650" s="10"/>
      <c r="AD2650" s="10"/>
      <c r="AE2650" s="10"/>
    </row>
    <row r="2651" spans="1:31" ht="14.25" customHeight="1">
      <c r="A2651" s="277" t="s">
        <v>6634</v>
      </c>
      <c r="B2651" s="9" t="s">
        <v>21</v>
      </c>
      <c r="C2651" s="9"/>
      <c r="D2651" s="9"/>
      <c r="E2651" s="90"/>
      <c r="F2651" s="9"/>
      <c r="G2651" s="10"/>
      <c r="H2651" s="9"/>
      <c r="I2651" s="93"/>
      <c r="J2651" s="12"/>
      <c r="K2651" s="12"/>
      <c r="L2651" s="52"/>
      <c r="M2651" s="10"/>
      <c r="N2651" s="9"/>
      <c r="O2651" s="11"/>
      <c r="P2651" s="39"/>
      <c r="Q2651" s="39"/>
      <c r="R2651" s="39"/>
      <c r="S2651" s="37"/>
      <c r="T2651" s="37"/>
      <c r="U2651" s="10"/>
      <c r="V2651" s="10"/>
      <c r="W2651" s="10"/>
      <c r="X2651" s="10"/>
      <c r="Y2651" s="10"/>
      <c r="Z2651" s="10"/>
      <c r="AA2651" s="10"/>
      <c r="AB2651" s="10"/>
      <c r="AC2651" s="10"/>
      <c r="AD2651" s="10"/>
      <c r="AE2651" s="10"/>
    </row>
    <row r="2652" spans="1:31">
      <c r="A2652" s="277" t="s">
        <v>6635</v>
      </c>
      <c r="B2652" s="9" t="s">
        <v>21</v>
      </c>
      <c r="C2652" s="9"/>
      <c r="D2652" s="9"/>
      <c r="E2652" s="90"/>
      <c r="F2652" s="9"/>
      <c r="G2652" s="94" t="s">
        <v>24</v>
      </c>
      <c r="H2652" s="95" t="s">
        <v>1503</v>
      </c>
      <c r="I2652" s="104"/>
      <c r="J2652" s="105"/>
      <c r="K2652" s="105"/>
      <c r="L2652" s="106">
        <f>SUM(L2653:L2665)</f>
        <v>47177000</v>
      </c>
      <c r="M2652" s="107"/>
      <c r="N2652" s="108" t="s">
        <v>26</v>
      </c>
      <c r="O2652" s="108"/>
      <c r="P2652" s="108"/>
      <c r="Q2652" s="108"/>
      <c r="R2652" s="108"/>
      <c r="S2652" s="106">
        <f>SUM(S2653:S2665)</f>
        <v>47177000</v>
      </c>
      <c r="T2652" s="106">
        <f>SUM(T2653:T2665)</f>
        <v>0</v>
      </c>
      <c r="U2652" s="10"/>
      <c r="V2652" s="52">
        <f>L2652-S2652</f>
        <v>0</v>
      </c>
      <c r="W2652" s="52">
        <f>T2652-V2652</f>
        <v>0</v>
      </c>
      <c r="X2652" s="10"/>
      <c r="Y2652" s="10"/>
      <c r="Z2652" s="10"/>
      <c r="AA2652" s="10"/>
      <c r="AB2652" s="10"/>
      <c r="AC2652" s="10"/>
      <c r="AD2652" s="10"/>
      <c r="AE2652" s="10"/>
    </row>
    <row r="2653" spans="1:31" hidden="1">
      <c r="A2653" s="277" t="s">
        <v>6636</v>
      </c>
      <c r="B2653" s="9" t="s">
        <v>21</v>
      </c>
      <c r="C2653" s="9">
        <v>2025</v>
      </c>
      <c r="D2653" s="9" t="s">
        <v>27</v>
      </c>
      <c r="E2653" s="90" t="s">
        <v>1315</v>
      </c>
      <c r="F2653" s="9" t="s">
        <v>1317</v>
      </c>
      <c r="G2653" s="10"/>
      <c r="H2653" s="96"/>
      <c r="I2653" s="109" t="s">
        <v>1504</v>
      </c>
      <c r="J2653" s="115">
        <v>45667</v>
      </c>
      <c r="K2653" s="115">
        <v>45667</v>
      </c>
      <c r="L2653" s="131">
        <v>3563000</v>
      </c>
      <c r="M2653" s="117" t="s">
        <v>1505</v>
      </c>
      <c r="N2653" s="34" t="s">
        <v>29</v>
      </c>
      <c r="O2653" s="11"/>
      <c r="P2653" s="113">
        <v>45705</v>
      </c>
      <c r="Q2653" s="113">
        <v>45705</v>
      </c>
      <c r="R2653" s="113">
        <v>45705</v>
      </c>
      <c r="S2653" s="37">
        <f t="shared" ref="S2653:S2665" si="559">IF(R2653="",0,L2653)</f>
        <v>3563000</v>
      </c>
      <c r="T2653" s="37">
        <f t="shared" ref="T2653:T2665" si="560">L2653-S2653</f>
        <v>0</v>
      </c>
      <c r="U2653" s="10"/>
      <c r="V2653" s="10"/>
      <c r="W2653" s="10"/>
      <c r="X2653" s="10"/>
      <c r="Y2653" s="10"/>
      <c r="Z2653" s="10"/>
      <c r="AA2653" s="10"/>
      <c r="AB2653" s="10"/>
      <c r="AC2653" s="10"/>
      <c r="AD2653" s="10"/>
      <c r="AE2653" s="10"/>
    </row>
    <row r="2654" spans="1:31" hidden="1">
      <c r="A2654" s="277" t="s">
        <v>6637</v>
      </c>
      <c r="B2654" s="9" t="s">
        <v>21</v>
      </c>
      <c r="C2654" s="9">
        <v>2025</v>
      </c>
      <c r="D2654" s="9" t="s">
        <v>27</v>
      </c>
      <c r="E2654" s="90" t="s">
        <v>1315</v>
      </c>
      <c r="F2654" s="9" t="s">
        <v>1317</v>
      </c>
      <c r="G2654" s="10"/>
      <c r="H2654" s="96"/>
      <c r="I2654" s="109" t="s">
        <v>1504</v>
      </c>
      <c r="J2654" s="115">
        <v>45699</v>
      </c>
      <c r="K2654" s="115">
        <v>45707</v>
      </c>
      <c r="L2654" s="131">
        <v>4189000</v>
      </c>
      <c r="M2654" s="117" t="s">
        <v>1506</v>
      </c>
      <c r="N2654" s="34" t="s">
        <v>29</v>
      </c>
      <c r="O2654" s="11"/>
      <c r="P2654" s="113">
        <v>45737</v>
      </c>
      <c r="Q2654" s="113">
        <v>45737</v>
      </c>
      <c r="R2654" s="113">
        <v>45737</v>
      </c>
      <c r="S2654" s="37">
        <f t="shared" si="559"/>
        <v>4189000</v>
      </c>
      <c r="T2654" s="37">
        <f t="shared" si="560"/>
        <v>0</v>
      </c>
      <c r="U2654" s="10"/>
      <c r="V2654" s="10"/>
      <c r="W2654" s="10"/>
      <c r="X2654" s="10"/>
      <c r="Y2654" s="10"/>
      <c r="Z2654" s="10"/>
      <c r="AA2654" s="10"/>
      <c r="AB2654" s="10"/>
      <c r="AC2654" s="10"/>
      <c r="AD2654" s="10"/>
      <c r="AE2654" s="10"/>
    </row>
    <row r="2655" spans="1:31" hidden="1">
      <c r="A2655" s="277" t="s">
        <v>6638</v>
      </c>
      <c r="B2655" s="9" t="s">
        <v>21</v>
      </c>
      <c r="C2655" s="9">
        <v>2025</v>
      </c>
      <c r="D2655" s="9" t="s">
        <v>27</v>
      </c>
      <c r="E2655" s="90" t="s">
        <v>1315</v>
      </c>
      <c r="F2655" s="9" t="s">
        <v>1317</v>
      </c>
      <c r="G2655" s="10"/>
      <c r="H2655" s="96"/>
      <c r="I2655" s="109" t="s">
        <v>1504</v>
      </c>
      <c r="J2655" s="115">
        <v>45734</v>
      </c>
      <c r="K2655" s="115">
        <v>45735</v>
      </c>
      <c r="L2655" s="131">
        <v>3704000</v>
      </c>
      <c r="M2655" s="117" t="s">
        <v>1507</v>
      </c>
      <c r="N2655" s="34" t="s">
        <v>29</v>
      </c>
      <c r="O2655" s="11"/>
      <c r="P2655" s="113">
        <v>45793</v>
      </c>
      <c r="Q2655" s="113">
        <v>45793</v>
      </c>
      <c r="R2655" s="113">
        <v>45793</v>
      </c>
      <c r="S2655" s="37">
        <f t="shared" si="559"/>
        <v>3704000</v>
      </c>
      <c r="T2655" s="37">
        <f t="shared" si="560"/>
        <v>0</v>
      </c>
      <c r="U2655" s="10"/>
      <c r="V2655" s="10"/>
      <c r="W2655" s="10"/>
      <c r="X2655" s="10"/>
      <c r="Y2655" s="10"/>
      <c r="Z2655" s="10"/>
      <c r="AA2655" s="10"/>
      <c r="AB2655" s="10"/>
      <c r="AC2655" s="10"/>
      <c r="AD2655" s="10"/>
      <c r="AE2655" s="10"/>
    </row>
    <row r="2656" spans="1:31" hidden="1">
      <c r="A2656" s="277" t="s">
        <v>6639</v>
      </c>
      <c r="B2656" s="9" t="s">
        <v>21</v>
      </c>
      <c r="C2656" s="9">
        <v>2025</v>
      </c>
      <c r="D2656" s="9" t="s">
        <v>27</v>
      </c>
      <c r="E2656" s="90" t="s">
        <v>1315</v>
      </c>
      <c r="F2656" s="9" t="s">
        <v>1317</v>
      </c>
      <c r="G2656" s="10"/>
      <c r="H2656" s="96"/>
      <c r="I2656" s="109" t="s">
        <v>1504</v>
      </c>
      <c r="J2656" s="115">
        <v>45769</v>
      </c>
      <c r="K2656" s="115">
        <v>45775</v>
      </c>
      <c r="L2656" s="131">
        <v>3618000</v>
      </c>
      <c r="M2656" s="117" t="s">
        <v>1508</v>
      </c>
      <c r="N2656" s="34" t="s">
        <v>29</v>
      </c>
      <c r="O2656" s="11"/>
      <c r="P2656" s="113">
        <v>45818</v>
      </c>
      <c r="Q2656" s="113">
        <v>45818</v>
      </c>
      <c r="R2656" s="113">
        <v>45818</v>
      </c>
      <c r="S2656" s="37">
        <f t="shared" si="559"/>
        <v>3618000</v>
      </c>
      <c r="T2656" s="37">
        <f t="shared" si="560"/>
        <v>0</v>
      </c>
      <c r="U2656" s="10"/>
      <c r="V2656" s="10"/>
      <c r="W2656" s="10"/>
      <c r="X2656" s="10"/>
      <c r="Y2656" s="10"/>
      <c r="Z2656" s="10"/>
      <c r="AA2656" s="10"/>
      <c r="AB2656" s="10"/>
      <c r="AC2656" s="10"/>
      <c r="AD2656" s="10"/>
      <c r="AE2656" s="10"/>
    </row>
    <row r="2657" spans="1:31" hidden="1">
      <c r="A2657" s="277" t="s">
        <v>6640</v>
      </c>
      <c r="B2657" s="9" t="s">
        <v>21</v>
      </c>
      <c r="C2657" s="9">
        <v>2025</v>
      </c>
      <c r="D2657" s="9" t="s">
        <v>27</v>
      </c>
      <c r="E2657" s="90" t="s">
        <v>1315</v>
      </c>
      <c r="F2657" s="9" t="s">
        <v>1317</v>
      </c>
      <c r="G2657" s="10"/>
      <c r="H2657" s="96"/>
      <c r="I2657" s="109" t="s">
        <v>1504</v>
      </c>
      <c r="J2657" s="115">
        <v>45797</v>
      </c>
      <c r="K2657" s="115">
        <v>45800</v>
      </c>
      <c r="L2657" s="131">
        <v>3881000</v>
      </c>
      <c r="M2657" s="117" t="s">
        <v>1509</v>
      </c>
      <c r="N2657" s="34" t="s">
        <v>29</v>
      </c>
      <c r="O2657" s="11"/>
      <c r="P2657" s="113">
        <v>45834</v>
      </c>
      <c r="Q2657" s="113">
        <v>45834</v>
      </c>
      <c r="R2657" s="113">
        <v>45834</v>
      </c>
      <c r="S2657" s="37">
        <f t="shared" si="559"/>
        <v>3881000</v>
      </c>
      <c r="T2657" s="37">
        <f t="shared" si="560"/>
        <v>0</v>
      </c>
      <c r="U2657" s="10"/>
      <c r="V2657" s="10"/>
      <c r="W2657" s="10"/>
      <c r="X2657" s="10"/>
      <c r="Y2657" s="10"/>
      <c r="Z2657" s="10"/>
      <c r="AA2657" s="10"/>
      <c r="AB2657" s="10"/>
      <c r="AC2657" s="10"/>
      <c r="AD2657" s="10"/>
      <c r="AE2657" s="10"/>
    </row>
    <row r="2658" spans="1:31" hidden="1">
      <c r="A2658" s="277" t="s">
        <v>6641</v>
      </c>
      <c r="B2658" s="9" t="s">
        <v>21</v>
      </c>
      <c r="C2658" s="9">
        <v>2025</v>
      </c>
      <c r="D2658" s="9" t="s">
        <v>27</v>
      </c>
      <c r="E2658" s="90" t="s">
        <v>1315</v>
      </c>
      <c r="F2658" s="9" t="s">
        <v>1317</v>
      </c>
      <c r="G2658" s="10"/>
      <c r="H2658" s="96"/>
      <c r="I2658" s="109" t="s">
        <v>1504</v>
      </c>
      <c r="J2658" s="115">
        <v>45839</v>
      </c>
      <c r="K2658" s="115">
        <v>45839</v>
      </c>
      <c r="L2658" s="131">
        <v>4428000</v>
      </c>
      <c r="M2658" s="117" t="s">
        <v>1510</v>
      </c>
      <c r="N2658" s="34" t="s">
        <v>29</v>
      </c>
      <c r="O2658" s="11"/>
      <c r="P2658" s="119">
        <v>45883</v>
      </c>
      <c r="Q2658" s="119">
        <v>45883</v>
      </c>
      <c r="R2658" s="119">
        <v>45883</v>
      </c>
      <c r="S2658" s="37">
        <f t="shared" si="559"/>
        <v>4428000</v>
      </c>
      <c r="T2658" s="37">
        <f t="shared" si="560"/>
        <v>0</v>
      </c>
      <c r="U2658" s="10"/>
      <c r="V2658" s="10"/>
      <c r="W2658" s="10"/>
      <c r="X2658" s="10"/>
      <c r="Y2658" s="10"/>
      <c r="Z2658" s="10"/>
      <c r="AA2658" s="10"/>
      <c r="AB2658" s="10"/>
      <c r="AC2658" s="10"/>
      <c r="AD2658" s="10"/>
      <c r="AE2658" s="10"/>
    </row>
    <row r="2659" spans="1:31" hidden="1">
      <c r="A2659" s="277" t="s">
        <v>6642</v>
      </c>
      <c r="B2659" s="9" t="s">
        <v>21</v>
      </c>
      <c r="C2659" s="9">
        <v>2025</v>
      </c>
      <c r="D2659" s="9" t="s">
        <v>27</v>
      </c>
      <c r="E2659" s="90" t="s">
        <v>1315</v>
      </c>
      <c r="F2659" s="9" t="s">
        <v>1317</v>
      </c>
      <c r="G2659" s="10"/>
      <c r="H2659" s="96"/>
      <c r="I2659" s="109" t="s">
        <v>1504</v>
      </c>
      <c r="J2659" s="115">
        <v>45869</v>
      </c>
      <c r="K2659" s="115">
        <v>45899</v>
      </c>
      <c r="L2659" s="131">
        <v>4425000</v>
      </c>
      <c r="M2659" s="117" t="s">
        <v>1511</v>
      </c>
      <c r="N2659" s="34" t="s">
        <v>29</v>
      </c>
      <c r="O2659" s="11"/>
      <c r="P2659" s="119">
        <v>45910</v>
      </c>
      <c r="Q2659" s="119">
        <v>45910</v>
      </c>
      <c r="R2659" s="119">
        <v>45910</v>
      </c>
      <c r="S2659" s="37">
        <f t="shared" si="559"/>
        <v>4425000</v>
      </c>
      <c r="T2659" s="37">
        <f t="shared" si="560"/>
        <v>0</v>
      </c>
      <c r="U2659" s="10"/>
      <c r="V2659" s="10"/>
      <c r="W2659" s="10"/>
      <c r="X2659" s="10"/>
      <c r="Y2659" s="10"/>
      <c r="Z2659" s="10"/>
      <c r="AA2659" s="10"/>
      <c r="AB2659" s="10"/>
      <c r="AC2659" s="10"/>
      <c r="AD2659" s="10"/>
      <c r="AE2659" s="10"/>
    </row>
    <row r="2660" spans="1:31" hidden="1">
      <c r="A2660" s="277" t="s">
        <v>6643</v>
      </c>
      <c r="B2660" s="9" t="s">
        <v>21</v>
      </c>
      <c r="C2660" s="9">
        <v>2025</v>
      </c>
      <c r="D2660" s="9" t="s">
        <v>27</v>
      </c>
      <c r="E2660" s="90" t="s">
        <v>1315</v>
      </c>
      <c r="F2660" s="9" t="s">
        <v>1317</v>
      </c>
      <c r="G2660" s="10"/>
      <c r="H2660" s="96"/>
      <c r="I2660" s="109" t="s">
        <v>3798</v>
      </c>
      <c r="J2660" s="115">
        <v>45937</v>
      </c>
      <c r="K2660" s="115">
        <v>45943</v>
      </c>
      <c r="L2660" s="131">
        <v>3724000</v>
      </c>
      <c r="M2660" s="117" t="s">
        <v>3885</v>
      </c>
      <c r="N2660" s="34" t="s">
        <v>29</v>
      </c>
      <c r="O2660" s="11"/>
      <c r="P2660" s="119">
        <v>45978</v>
      </c>
      <c r="Q2660" s="119">
        <v>45978</v>
      </c>
      <c r="R2660" s="119">
        <v>45978</v>
      </c>
      <c r="S2660" s="37">
        <f t="shared" si="559"/>
        <v>3724000</v>
      </c>
      <c r="T2660" s="37">
        <f t="shared" si="560"/>
        <v>0</v>
      </c>
      <c r="U2660" s="10"/>
      <c r="V2660" s="10"/>
      <c r="W2660" s="10"/>
      <c r="X2660" s="10"/>
      <c r="Y2660" s="10"/>
      <c r="Z2660" s="10"/>
      <c r="AA2660" s="10"/>
      <c r="AB2660" s="10"/>
      <c r="AC2660" s="10"/>
      <c r="AD2660" s="10"/>
      <c r="AE2660" s="10"/>
    </row>
    <row r="2661" spans="1:31" hidden="1">
      <c r="A2661" s="277" t="s">
        <v>6644</v>
      </c>
      <c r="B2661" s="9" t="s">
        <v>21</v>
      </c>
      <c r="C2661" s="9">
        <v>2025</v>
      </c>
      <c r="D2661" s="9" t="s">
        <v>27</v>
      </c>
      <c r="E2661" s="90" t="s">
        <v>1315</v>
      </c>
      <c r="F2661" s="9" t="s">
        <v>1317</v>
      </c>
      <c r="G2661" s="10"/>
      <c r="H2661" s="96"/>
      <c r="I2661" s="109" t="s">
        <v>3798</v>
      </c>
      <c r="J2661" s="115">
        <v>45967</v>
      </c>
      <c r="K2661" s="115">
        <v>45971</v>
      </c>
      <c r="L2661" s="131">
        <v>3944000</v>
      </c>
      <c r="M2661" s="117" t="s">
        <v>3947</v>
      </c>
      <c r="N2661" s="34" t="s">
        <v>29</v>
      </c>
      <c r="O2661" s="11"/>
      <c r="P2661" s="119">
        <v>46009</v>
      </c>
      <c r="Q2661" s="119">
        <v>46009</v>
      </c>
      <c r="R2661" s="119">
        <v>46009</v>
      </c>
      <c r="S2661" s="37">
        <f t="shared" si="559"/>
        <v>3944000</v>
      </c>
      <c r="T2661" s="37">
        <f t="shared" si="560"/>
        <v>0</v>
      </c>
      <c r="U2661" s="10"/>
      <c r="V2661" s="10"/>
      <c r="W2661" s="10"/>
      <c r="X2661" s="10"/>
      <c r="Y2661" s="10"/>
      <c r="Z2661" s="10"/>
      <c r="AA2661" s="10"/>
      <c r="AB2661" s="10"/>
      <c r="AC2661" s="10"/>
      <c r="AD2661" s="10"/>
      <c r="AE2661" s="10"/>
    </row>
    <row r="2662" spans="1:31" hidden="1">
      <c r="A2662" s="277" t="s">
        <v>6645</v>
      </c>
      <c r="B2662" s="9" t="s">
        <v>21</v>
      </c>
      <c r="C2662" s="9">
        <v>2025</v>
      </c>
      <c r="D2662" s="9" t="s">
        <v>27</v>
      </c>
      <c r="E2662" s="90" t="s">
        <v>1315</v>
      </c>
      <c r="F2662" s="9" t="s">
        <v>1317</v>
      </c>
      <c r="G2662" s="10"/>
      <c r="H2662" s="96"/>
      <c r="I2662" s="109" t="s">
        <v>3798</v>
      </c>
      <c r="J2662" s="115">
        <v>46001</v>
      </c>
      <c r="K2662" s="115">
        <v>46013</v>
      </c>
      <c r="L2662" s="131">
        <v>4076000</v>
      </c>
      <c r="M2662" s="117" t="s">
        <v>4160</v>
      </c>
      <c r="N2662" s="34" t="s">
        <v>29</v>
      </c>
      <c r="O2662" s="11"/>
      <c r="P2662" s="119">
        <v>46049</v>
      </c>
      <c r="Q2662" s="119">
        <v>46049</v>
      </c>
      <c r="R2662" s="119">
        <v>46049</v>
      </c>
      <c r="S2662" s="37">
        <f t="shared" si="559"/>
        <v>4076000</v>
      </c>
      <c r="T2662" s="37">
        <f t="shared" si="560"/>
        <v>0</v>
      </c>
      <c r="U2662" s="10"/>
      <c r="V2662" s="10"/>
      <c r="W2662" s="10"/>
      <c r="X2662" s="10"/>
      <c r="Y2662" s="10"/>
      <c r="Z2662" s="10"/>
      <c r="AA2662" s="10"/>
      <c r="AB2662" s="10"/>
      <c r="AC2662" s="10"/>
      <c r="AD2662" s="10"/>
      <c r="AE2662" s="10"/>
    </row>
    <row r="2663" spans="1:31" hidden="1">
      <c r="A2663" s="277" t="s">
        <v>6646</v>
      </c>
      <c r="B2663" s="9" t="s">
        <v>21</v>
      </c>
      <c r="C2663" s="9">
        <v>2026</v>
      </c>
      <c r="D2663" s="9" t="s">
        <v>27</v>
      </c>
      <c r="E2663" s="90" t="s">
        <v>1315</v>
      </c>
      <c r="F2663" s="9" t="s">
        <v>1317</v>
      </c>
      <c r="G2663" s="10"/>
      <c r="H2663" s="96"/>
      <c r="I2663" s="109" t="s">
        <v>3798</v>
      </c>
      <c r="J2663" s="115">
        <v>46034</v>
      </c>
      <c r="K2663" s="115">
        <v>46043</v>
      </c>
      <c r="L2663" s="131">
        <f>4380000-180000</f>
        <v>4200000</v>
      </c>
      <c r="M2663" s="117" t="s">
        <v>4265</v>
      </c>
      <c r="N2663" s="34" t="s">
        <v>29</v>
      </c>
      <c r="O2663" s="11"/>
      <c r="P2663" s="119">
        <v>46088</v>
      </c>
      <c r="Q2663" s="119">
        <v>46088</v>
      </c>
      <c r="R2663" s="119">
        <v>46088</v>
      </c>
      <c r="S2663" s="37">
        <f>IF(R2663="",0,L2663)</f>
        <v>4200000</v>
      </c>
      <c r="T2663" s="37">
        <f>L2663-S2663</f>
        <v>0</v>
      </c>
      <c r="U2663" s="10"/>
      <c r="V2663" s="10"/>
      <c r="W2663" s="10"/>
      <c r="X2663" s="10"/>
      <c r="Y2663" s="10"/>
      <c r="Z2663" s="10"/>
      <c r="AA2663" s="10"/>
      <c r="AB2663" s="10"/>
      <c r="AC2663" s="10"/>
      <c r="AD2663" s="10"/>
      <c r="AE2663" s="10"/>
    </row>
    <row r="2664" spans="1:31" ht="14.25" customHeight="1">
      <c r="A2664" s="277" t="s">
        <v>6647</v>
      </c>
      <c r="B2664" s="9" t="s">
        <v>21</v>
      </c>
      <c r="C2664" s="9">
        <v>2026</v>
      </c>
      <c r="D2664" s="9" t="s">
        <v>27</v>
      </c>
      <c r="E2664" s="90" t="s">
        <v>1315</v>
      </c>
      <c r="F2664" s="9" t="s">
        <v>1317</v>
      </c>
      <c r="G2664" s="10"/>
      <c r="H2664" s="96"/>
      <c r="I2664" s="109" t="s">
        <v>3798</v>
      </c>
      <c r="J2664" s="115">
        <v>46068</v>
      </c>
      <c r="K2664" s="115">
        <v>46081</v>
      </c>
      <c r="L2664" s="131">
        <v>3425000</v>
      </c>
      <c r="M2664" s="117" t="s">
        <v>4414</v>
      </c>
      <c r="N2664" s="34" t="s">
        <v>29</v>
      </c>
      <c r="O2664" s="11"/>
      <c r="P2664" s="119">
        <v>46141</v>
      </c>
      <c r="Q2664" s="119">
        <v>46141</v>
      </c>
      <c r="R2664" s="119">
        <v>46141</v>
      </c>
      <c r="S2664" s="37">
        <f>IF(R2664="",0,L2664)</f>
        <v>3425000</v>
      </c>
      <c r="T2664" s="37">
        <f>L2664-S2664</f>
        <v>0</v>
      </c>
      <c r="U2664" s="10"/>
      <c r="V2664" s="10"/>
      <c r="W2664" s="10"/>
      <c r="X2664" s="10"/>
      <c r="Y2664" s="10"/>
      <c r="Z2664" s="10"/>
      <c r="AA2664" s="10"/>
      <c r="AB2664" s="10"/>
      <c r="AC2664" s="10"/>
      <c r="AD2664" s="10"/>
      <c r="AE2664" s="10"/>
    </row>
    <row r="2665" spans="1:31" ht="14.25" customHeight="1">
      <c r="A2665" s="277" t="s">
        <v>6648</v>
      </c>
      <c r="B2665" s="9" t="s">
        <v>21</v>
      </c>
      <c r="C2665" s="9"/>
      <c r="D2665" s="9"/>
      <c r="E2665" s="90"/>
      <c r="F2665" s="9"/>
      <c r="G2665" s="185"/>
      <c r="H2665" s="186"/>
      <c r="I2665" s="190"/>
      <c r="J2665" s="191"/>
      <c r="K2665" s="191">
        <v>45663</v>
      </c>
      <c r="L2665" s="192"/>
      <c r="M2665" s="193"/>
      <c r="N2665" s="114" t="e">
        <f ca="1">$J$3-#REF!</f>
        <v>#REF!</v>
      </c>
      <c r="O2665" s="194"/>
      <c r="P2665" s="195"/>
      <c r="Q2665" s="195"/>
      <c r="R2665" s="195"/>
      <c r="S2665" s="37">
        <f t="shared" si="559"/>
        <v>0</v>
      </c>
      <c r="T2665" s="37">
        <f t="shared" si="560"/>
        <v>0</v>
      </c>
      <c r="U2665" s="193"/>
      <c r="V2665" s="193"/>
      <c r="W2665" s="193"/>
      <c r="X2665" s="193"/>
      <c r="Y2665" s="193"/>
      <c r="Z2665" s="193"/>
      <c r="AA2665" s="193"/>
      <c r="AB2665" s="193"/>
      <c r="AC2665" s="193"/>
      <c r="AD2665" s="193"/>
      <c r="AE2665" s="193"/>
    </row>
    <row r="2666" spans="1:31" ht="14.25" customHeight="1">
      <c r="A2666" s="277" t="s">
        <v>6649</v>
      </c>
      <c r="B2666" s="9"/>
      <c r="C2666" s="9"/>
      <c r="D2666" s="9"/>
      <c r="E2666" s="90"/>
      <c r="F2666" s="9"/>
      <c r="G2666" s="185"/>
      <c r="H2666" s="186"/>
      <c r="I2666" s="190"/>
      <c r="J2666" s="191"/>
      <c r="K2666" s="191"/>
      <c r="L2666" s="192"/>
      <c r="M2666" s="193"/>
      <c r="N2666" s="34"/>
      <c r="O2666" s="194"/>
      <c r="P2666" s="195"/>
      <c r="Q2666" s="195"/>
      <c r="R2666" s="195"/>
      <c r="S2666" s="37"/>
      <c r="T2666" s="37"/>
      <c r="U2666" s="193"/>
      <c r="V2666" s="193"/>
      <c r="W2666" s="193"/>
      <c r="X2666" s="193"/>
      <c r="Y2666" s="193"/>
      <c r="Z2666" s="193"/>
      <c r="AA2666" s="193"/>
      <c r="AB2666" s="193"/>
      <c r="AC2666" s="193"/>
      <c r="AD2666" s="193"/>
      <c r="AE2666" s="193"/>
    </row>
    <row r="2667" spans="1:31" ht="14.25" customHeight="1">
      <c r="A2667" s="277" t="s">
        <v>6650</v>
      </c>
      <c r="B2667" s="9" t="s">
        <v>21</v>
      </c>
      <c r="C2667" s="9"/>
      <c r="D2667" s="9"/>
      <c r="E2667" s="90"/>
      <c r="F2667" s="9"/>
      <c r="G2667" s="94" t="s">
        <v>24</v>
      </c>
      <c r="H2667" s="95" t="s">
        <v>4518</v>
      </c>
      <c r="I2667" s="104"/>
      <c r="J2667" s="188"/>
      <c r="K2667" s="105"/>
      <c r="L2667" s="106">
        <f>SUM(L2668:L2669)</f>
        <v>1676100</v>
      </c>
      <c r="M2667" s="107"/>
      <c r="N2667" s="108" t="s">
        <v>26</v>
      </c>
      <c r="O2667" s="108"/>
      <c r="P2667" s="108"/>
      <c r="Q2667" s="108"/>
      <c r="R2667" s="108"/>
      <c r="S2667" s="106">
        <f>SUM(S2668:S2669)</f>
        <v>1676100</v>
      </c>
      <c r="T2667" s="106">
        <f>SUM(T2668:T2669)</f>
        <v>0</v>
      </c>
      <c r="U2667" s="10"/>
      <c r="V2667" s="52">
        <f>L2667-S2667</f>
        <v>0</v>
      </c>
      <c r="W2667" s="52">
        <f>T2667-V2667</f>
        <v>0</v>
      </c>
      <c r="X2667" s="10"/>
      <c r="Y2667" s="10"/>
      <c r="Z2667" s="10"/>
      <c r="AA2667" s="10"/>
      <c r="AB2667" s="10"/>
      <c r="AC2667" s="10"/>
      <c r="AD2667" s="10"/>
      <c r="AE2667" s="10"/>
    </row>
    <row r="2668" spans="1:31" ht="14.25" customHeight="1">
      <c r="A2668" s="277" t="s">
        <v>6651</v>
      </c>
      <c r="B2668" s="9" t="s">
        <v>21</v>
      </c>
      <c r="C2668" s="9">
        <v>2026</v>
      </c>
      <c r="D2668" s="9" t="s">
        <v>27</v>
      </c>
      <c r="E2668" s="90" t="s">
        <v>1315</v>
      </c>
      <c r="F2668" s="9" t="s">
        <v>1317</v>
      </c>
      <c r="G2668" s="120"/>
      <c r="H2668" s="179"/>
      <c r="I2668" s="121" t="s">
        <v>4519</v>
      </c>
      <c r="J2668" s="110">
        <v>46112</v>
      </c>
      <c r="K2668" s="110">
        <v>46123</v>
      </c>
      <c r="L2668" s="111">
        <v>1676100</v>
      </c>
      <c r="M2668" s="112" t="s">
        <v>4520</v>
      </c>
      <c r="N2668" s="34" t="s">
        <v>29</v>
      </c>
      <c r="O2668" s="149"/>
      <c r="P2668" s="124">
        <v>46234</v>
      </c>
      <c r="Q2668" s="124">
        <v>46234</v>
      </c>
      <c r="R2668" s="124">
        <v>46234</v>
      </c>
      <c r="S2668" s="37">
        <f>IF(R2668="",0,L2668)</f>
        <v>1676100</v>
      </c>
      <c r="T2668" s="37">
        <f>L2668-S2668</f>
        <v>0</v>
      </c>
      <c r="U2668" s="10"/>
      <c r="V2668" s="52"/>
      <c r="W2668" s="52"/>
      <c r="X2668" s="10"/>
      <c r="Y2668" s="10"/>
      <c r="Z2668" s="10"/>
      <c r="AA2668" s="10"/>
      <c r="AB2668" s="10"/>
      <c r="AC2668" s="10"/>
      <c r="AD2668" s="10"/>
      <c r="AE2668" s="10"/>
    </row>
    <row r="2669" spans="1:31" ht="14.25" customHeight="1">
      <c r="A2669" s="277" t="s">
        <v>6652</v>
      </c>
      <c r="B2669" s="9" t="s">
        <v>21</v>
      </c>
      <c r="C2669" s="9"/>
      <c r="D2669" s="9"/>
      <c r="E2669" s="90"/>
      <c r="F2669" s="9"/>
      <c r="G2669" s="10"/>
      <c r="H2669" s="9"/>
      <c r="I2669" s="11"/>
      <c r="J2669" s="12"/>
      <c r="K2669" s="12"/>
      <c r="L2669" s="52"/>
      <c r="M2669" s="10"/>
      <c r="N2669" s="114">
        <f ca="1">$J$3-J2669</f>
        <v>46240.46377638889</v>
      </c>
      <c r="O2669" s="11"/>
      <c r="P2669" s="39"/>
      <c r="Q2669" s="39"/>
      <c r="R2669" s="39"/>
      <c r="S2669" s="37">
        <f>IF(R2669="",0,L2669)</f>
        <v>0</v>
      </c>
      <c r="T2669" s="37">
        <f>L2669-S2669</f>
        <v>0</v>
      </c>
      <c r="U2669" s="10"/>
      <c r="V2669" s="10"/>
      <c r="W2669" s="10"/>
      <c r="X2669" s="10"/>
      <c r="Y2669" s="10"/>
      <c r="Z2669" s="10"/>
      <c r="AA2669" s="10"/>
      <c r="AB2669" s="10"/>
      <c r="AC2669" s="10"/>
      <c r="AD2669" s="10"/>
      <c r="AE2669" s="10"/>
    </row>
    <row r="2670" spans="1:31" ht="14.25" customHeight="1">
      <c r="A2670" s="277" t="s">
        <v>6653</v>
      </c>
      <c r="B2670" s="9"/>
      <c r="C2670" s="9"/>
      <c r="D2670" s="9"/>
      <c r="E2670" s="90"/>
      <c r="F2670" s="9"/>
      <c r="G2670" s="185"/>
      <c r="H2670" s="186"/>
      <c r="I2670" s="190"/>
      <c r="J2670" s="191"/>
      <c r="K2670" s="191"/>
      <c r="L2670" s="192"/>
      <c r="M2670" s="193"/>
      <c r="N2670" s="34"/>
      <c r="O2670" s="194"/>
      <c r="P2670" s="195"/>
      <c r="Q2670" s="195"/>
      <c r="R2670" s="195"/>
      <c r="S2670" s="37"/>
      <c r="T2670" s="37"/>
      <c r="U2670" s="193"/>
      <c r="V2670" s="193"/>
      <c r="W2670" s="193"/>
      <c r="X2670" s="193"/>
      <c r="Y2670" s="193"/>
      <c r="Z2670" s="193"/>
      <c r="AA2670" s="193"/>
      <c r="AB2670" s="193"/>
      <c r="AC2670" s="193"/>
      <c r="AD2670" s="193"/>
      <c r="AE2670" s="193"/>
    </row>
    <row r="2671" spans="1:31" ht="14.25" customHeight="1">
      <c r="A2671" s="277" t="s">
        <v>6654</v>
      </c>
      <c r="B2671" s="9"/>
      <c r="C2671" s="9"/>
      <c r="D2671" s="9"/>
      <c r="E2671" s="90"/>
      <c r="F2671" s="9"/>
      <c r="G2671" s="185"/>
      <c r="H2671" s="186"/>
      <c r="I2671" s="190"/>
      <c r="J2671" s="191"/>
      <c r="K2671" s="191"/>
      <c r="L2671" s="192"/>
      <c r="M2671" s="193"/>
      <c r="N2671" s="34"/>
      <c r="O2671" s="194"/>
      <c r="P2671" s="195"/>
      <c r="Q2671" s="195"/>
      <c r="R2671" s="195"/>
      <c r="S2671" s="37"/>
      <c r="T2671" s="37"/>
      <c r="U2671" s="193"/>
      <c r="V2671" s="193"/>
      <c r="W2671" s="193"/>
      <c r="X2671" s="193"/>
      <c r="Y2671" s="193"/>
      <c r="Z2671" s="193"/>
      <c r="AA2671" s="193"/>
      <c r="AB2671" s="193"/>
      <c r="AC2671" s="193"/>
      <c r="AD2671" s="193"/>
      <c r="AE2671" s="193"/>
    </row>
    <row r="2672" spans="1:31" ht="14.25" customHeight="1">
      <c r="A2672" s="277" t="s">
        <v>6655</v>
      </c>
      <c r="B2672" s="9"/>
      <c r="C2672" s="9"/>
      <c r="D2672" s="9"/>
      <c r="E2672" s="90"/>
      <c r="F2672" s="9"/>
      <c r="G2672" s="185"/>
      <c r="H2672" s="186"/>
      <c r="I2672" s="190"/>
      <c r="J2672" s="191"/>
      <c r="K2672" s="191"/>
      <c r="L2672" s="192"/>
      <c r="M2672" s="193"/>
      <c r="N2672" s="34"/>
      <c r="O2672" s="194"/>
      <c r="P2672" s="195"/>
      <c r="Q2672" s="195"/>
      <c r="R2672" s="195"/>
      <c r="S2672" s="192"/>
      <c r="T2672" s="192"/>
      <c r="U2672" s="193"/>
      <c r="V2672" s="193"/>
      <c r="W2672" s="193"/>
      <c r="X2672" s="193"/>
      <c r="Y2672" s="193"/>
      <c r="Z2672" s="193"/>
      <c r="AA2672" s="193"/>
      <c r="AB2672" s="193"/>
      <c r="AC2672" s="193"/>
      <c r="AD2672" s="193"/>
      <c r="AE2672" s="193"/>
    </row>
    <row r="2673" spans="1:31" ht="14.25" customHeight="1">
      <c r="A2673" s="277" t="s">
        <v>6656</v>
      </c>
      <c r="B2673" s="9" t="s">
        <v>21</v>
      </c>
      <c r="C2673" s="9"/>
      <c r="D2673" s="9"/>
      <c r="E2673" s="90"/>
      <c r="F2673" s="9"/>
      <c r="G2673" s="91" t="s">
        <v>22</v>
      </c>
      <c r="H2673" s="187" t="s">
        <v>1512</v>
      </c>
      <c r="I2673" s="196"/>
      <c r="J2673" s="197"/>
      <c r="K2673" s="197"/>
      <c r="L2673" s="161">
        <f>L2675+L2690</f>
        <v>577323807</v>
      </c>
      <c r="M2673" s="198"/>
      <c r="N2673" s="199"/>
      <c r="O2673" s="200"/>
      <c r="P2673" s="164"/>
      <c r="Q2673" s="164"/>
      <c r="R2673" s="164"/>
      <c r="S2673" s="161">
        <f>S2675+S2690</f>
        <v>577323807</v>
      </c>
      <c r="T2673" s="161">
        <f>T2675+T2690</f>
        <v>0</v>
      </c>
      <c r="U2673" s="193"/>
      <c r="V2673" s="52">
        <f>L2673-S2673</f>
        <v>0</v>
      </c>
      <c r="W2673" s="52">
        <f>T2673-V2673</f>
        <v>0</v>
      </c>
      <c r="X2673" s="193"/>
      <c r="Y2673" s="193"/>
      <c r="Z2673" s="193"/>
      <c r="AA2673" s="193"/>
      <c r="AB2673" s="193"/>
      <c r="AC2673" s="193"/>
      <c r="AD2673" s="193"/>
      <c r="AE2673" s="193"/>
    </row>
    <row r="2674" spans="1:31" ht="14.25" customHeight="1">
      <c r="A2674" s="277" t="s">
        <v>6657</v>
      </c>
      <c r="B2674" s="9" t="s">
        <v>21</v>
      </c>
      <c r="C2674" s="9"/>
      <c r="D2674" s="9"/>
      <c r="E2674" s="90"/>
      <c r="F2674" s="9"/>
      <c r="G2674" s="9"/>
      <c r="H2674" s="93"/>
      <c r="I2674" s="93"/>
      <c r="J2674" s="182"/>
      <c r="K2674" s="182"/>
      <c r="L2674" s="103"/>
      <c r="M2674" s="103"/>
      <c r="N2674" s="33"/>
      <c r="O2674" s="93"/>
      <c r="P2674" s="33"/>
      <c r="Q2674" s="33"/>
      <c r="R2674" s="33"/>
      <c r="S2674" s="103"/>
      <c r="T2674" s="103"/>
      <c r="U2674" s="10"/>
      <c r="V2674" s="10"/>
      <c r="W2674" s="10"/>
      <c r="X2674" s="10"/>
      <c r="Y2674" s="10"/>
      <c r="Z2674" s="10"/>
      <c r="AA2674" s="10"/>
      <c r="AB2674" s="10"/>
      <c r="AC2674" s="10"/>
      <c r="AD2674" s="10"/>
      <c r="AE2674" s="10"/>
    </row>
    <row r="2675" spans="1:31" ht="14.25" customHeight="1">
      <c r="A2675" s="277" t="s">
        <v>6658</v>
      </c>
      <c r="B2675" s="9" t="s">
        <v>21</v>
      </c>
      <c r="C2675" s="9"/>
      <c r="D2675" s="9"/>
      <c r="E2675" s="90"/>
      <c r="F2675" s="9"/>
      <c r="G2675" s="94" t="s">
        <v>24</v>
      </c>
      <c r="H2675" s="95" t="s">
        <v>1513</v>
      </c>
      <c r="I2675" s="104"/>
      <c r="J2675" s="105"/>
      <c r="K2675" s="105"/>
      <c r="L2675" s="106">
        <f>SUM(L2676:L2688)</f>
        <v>0</v>
      </c>
      <c r="M2675" s="107"/>
      <c r="N2675" s="108" t="s">
        <v>26</v>
      </c>
      <c r="O2675" s="108"/>
      <c r="P2675" s="108"/>
      <c r="Q2675" s="108"/>
      <c r="R2675" s="108"/>
      <c r="S2675" s="106">
        <f>SUM(S2676:S2688)</f>
        <v>0</v>
      </c>
      <c r="T2675" s="106">
        <f>SUM(T2676:T2688)</f>
        <v>0</v>
      </c>
      <c r="U2675" s="10"/>
      <c r="V2675" s="52">
        <f>L2675-S2675</f>
        <v>0</v>
      </c>
      <c r="W2675" s="52">
        <f>T2675-V2675</f>
        <v>0</v>
      </c>
      <c r="X2675" s="10"/>
      <c r="Y2675" s="10"/>
      <c r="Z2675" s="10"/>
      <c r="AA2675" s="10"/>
      <c r="AB2675" s="10"/>
      <c r="AC2675" s="10"/>
      <c r="AD2675" s="10"/>
      <c r="AE2675" s="10"/>
    </row>
    <row r="2676" spans="1:31" ht="14.25" customHeight="1">
      <c r="A2676" s="277" t="s">
        <v>6659</v>
      </c>
      <c r="B2676" s="9" t="s">
        <v>21</v>
      </c>
      <c r="C2676" s="9"/>
      <c r="D2676" s="9"/>
      <c r="E2676" s="90" t="s">
        <v>1512</v>
      </c>
      <c r="F2676" s="9" t="s">
        <v>1514</v>
      </c>
      <c r="G2676" s="10"/>
      <c r="H2676" s="9"/>
      <c r="I2676" s="180" t="s">
        <v>1513</v>
      </c>
      <c r="J2676" s="12"/>
      <c r="K2676" s="12"/>
      <c r="L2676" s="52"/>
      <c r="M2676" s="10"/>
      <c r="N2676" s="231" t="s">
        <v>29</v>
      </c>
      <c r="O2676" s="125"/>
      <c r="P2676" s="49"/>
      <c r="Q2676" s="49"/>
      <c r="R2676" s="49"/>
      <c r="S2676" s="37">
        <f t="shared" ref="S2676:S2688" si="561">IF(R2676="",0,L2676)</f>
        <v>0</v>
      </c>
      <c r="T2676" s="37">
        <f t="shared" ref="T2676:T2688" si="562">L2676-S2676</f>
        <v>0</v>
      </c>
      <c r="U2676" s="10"/>
      <c r="V2676" s="10"/>
      <c r="W2676" s="10"/>
      <c r="X2676" s="10"/>
      <c r="Y2676" s="10"/>
      <c r="Z2676" s="10"/>
      <c r="AA2676" s="10"/>
      <c r="AB2676" s="10"/>
      <c r="AC2676" s="10"/>
      <c r="AD2676" s="10"/>
      <c r="AE2676" s="10"/>
    </row>
    <row r="2677" spans="1:31" ht="14.25" customHeight="1">
      <c r="A2677" s="277" t="s">
        <v>6660</v>
      </c>
      <c r="B2677" s="9" t="s">
        <v>21</v>
      </c>
      <c r="C2677" s="9"/>
      <c r="D2677" s="9"/>
      <c r="E2677" s="90" t="s">
        <v>1512</v>
      </c>
      <c r="F2677" s="9" t="s">
        <v>1514</v>
      </c>
      <c r="G2677" s="10"/>
      <c r="H2677" s="9"/>
      <c r="I2677" s="180" t="s">
        <v>1513</v>
      </c>
      <c r="J2677" s="12"/>
      <c r="K2677" s="12"/>
      <c r="L2677" s="52"/>
      <c r="M2677" s="10"/>
      <c r="N2677" s="231" t="s">
        <v>29</v>
      </c>
      <c r="O2677" s="125"/>
      <c r="P2677" s="49"/>
      <c r="Q2677" s="49"/>
      <c r="R2677" s="49"/>
      <c r="S2677" s="37">
        <f t="shared" si="561"/>
        <v>0</v>
      </c>
      <c r="T2677" s="37">
        <f t="shared" si="562"/>
        <v>0</v>
      </c>
      <c r="U2677" s="10"/>
      <c r="V2677" s="10"/>
      <c r="W2677" s="10"/>
      <c r="X2677" s="10"/>
      <c r="Y2677" s="10"/>
      <c r="Z2677" s="10"/>
      <c r="AA2677" s="10"/>
      <c r="AB2677" s="10"/>
      <c r="AC2677" s="10"/>
      <c r="AD2677" s="10"/>
      <c r="AE2677" s="10"/>
    </row>
    <row r="2678" spans="1:31" ht="14.25" customHeight="1">
      <c r="A2678" s="277" t="s">
        <v>6661</v>
      </c>
      <c r="B2678" s="9" t="s">
        <v>21</v>
      </c>
      <c r="C2678" s="9"/>
      <c r="D2678" s="9"/>
      <c r="E2678" s="90" t="s">
        <v>1512</v>
      </c>
      <c r="F2678" s="9" t="s">
        <v>1514</v>
      </c>
      <c r="G2678" s="10"/>
      <c r="H2678" s="9"/>
      <c r="I2678" s="180" t="s">
        <v>1513</v>
      </c>
      <c r="J2678" s="12"/>
      <c r="K2678" s="12"/>
      <c r="L2678" s="52"/>
      <c r="M2678" s="10"/>
      <c r="N2678" s="231" t="s">
        <v>29</v>
      </c>
      <c r="O2678" s="125"/>
      <c r="P2678" s="49"/>
      <c r="Q2678" s="49"/>
      <c r="R2678" s="49"/>
      <c r="S2678" s="37">
        <f t="shared" si="561"/>
        <v>0</v>
      </c>
      <c r="T2678" s="37">
        <f t="shared" si="562"/>
        <v>0</v>
      </c>
      <c r="U2678" s="10"/>
      <c r="V2678" s="10"/>
      <c r="W2678" s="10"/>
      <c r="X2678" s="10"/>
      <c r="Y2678" s="10"/>
      <c r="Z2678" s="10"/>
      <c r="AA2678" s="10"/>
      <c r="AB2678" s="10"/>
      <c r="AC2678" s="10"/>
      <c r="AD2678" s="10"/>
      <c r="AE2678" s="10"/>
    </row>
    <row r="2679" spans="1:31" ht="14.25" customHeight="1">
      <c r="A2679" s="277" t="s">
        <v>6662</v>
      </c>
      <c r="B2679" s="9" t="s">
        <v>21</v>
      </c>
      <c r="C2679" s="9"/>
      <c r="D2679" s="9"/>
      <c r="E2679" s="90" t="s">
        <v>1512</v>
      </c>
      <c r="F2679" s="9" t="s">
        <v>1514</v>
      </c>
      <c r="G2679" s="10"/>
      <c r="H2679" s="9"/>
      <c r="I2679" s="180" t="s">
        <v>1513</v>
      </c>
      <c r="J2679" s="12"/>
      <c r="K2679" s="12"/>
      <c r="L2679" s="52"/>
      <c r="M2679" s="10"/>
      <c r="N2679" s="231" t="s">
        <v>29</v>
      </c>
      <c r="O2679" s="125"/>
      <c r="P2679" s="49"/>
      <c r="Q2679" s="49"/>
      <c r="R2679" s="49"/>
      <c r="S2679" s="37">
        <f t="shared" si="561"/>
        <v>0</v>
      </c>
      <c r="T2679" s="37">
        <f t="shared" si="562"/>
        <v>0</v>
      </c>
      <c r="U2679" s="10"/>
      <c r="V2679" s="10"/>
      <c r="W2679" s="10"/>
      <c r="X2679" s="10"/>
      <c r="Y2679" s="10"/>
      <c r="Z2679" s="10"/>
      <c r="AA2679" s="10"/>
      <c r="AB2679" s="10"/>
      <c r="AC2679" s="10"/>
      <c r="AD2679" s="10"/>
      <c r="AE2679" s="10"/>
    </row>
    <row r="2680" spans="1:31" ht="14.25" customHeight="1">
      <c r="A2680" s="277" t="s">
        <v>7225</v>
      </c>
      <c r="B2680" s="9" t="s">
        <v>21</v>
      </c>
      <c r="C2680" s="9"/>
      <c r="D2680" s="9"/>
      <c r="E2680" s="90" t="s">
        <v>1512</v>
      </c>
      <c r="F2680" s="9" t="s">
        <v>1514</v>
      </c>
      <c r="G2680" s="10"/>
      <c r="H2680" s="9"/>
      <c r="I2680" s="180" t="s">
        <v>1513</v>
      </c>
      <c r="J2680" s="12"/>
      <c r="K2680" s="12"/>
      <c r="L2680" s="52"/>
      <c r="M2680" s="10"/>
      <c r="N2680" s="231" t="s">
        <v>29</v>
      </c>
      <c r="O2680" s="125"/>
      <c r="P2680" s="49"/>
      <c r="Q2680" s="49"/>
      <c r="R2680" s="49"/>
      <c r="S2680" s="37">
        <f t="shared" si="561"/>
        <v>0</v>
      </c>
      <c r="T2680" s="37">
        <f t="shared" si="562"/>
        <v>0</v>
      </c>
      <c r="U2680" s="10"/>
      <c r="V2680" s="10"/>
      <c r="W2680" s="10"/>
      <c r="X2680" s="10"/>
      <c r="Y2680" s="10"/>
      <c r="Z2680" s="10"/>
      <c r="AA2680" s="10"/>
      <c r="AB2680" s="10"/>
      <c r="AC2680" s="10"/>
      <c r="AD2680" s="10"/>
      <c r="AE2680" s="10"/>
    </row>
    <row r="2681" spans="1:31" ht="14.25" customHeight="1">
      <c r="A2681" s="277" t="s">
        <v>7226</v>
      </c>
      <c r="B2681" s="9" t="s">
        <v>21</v>
      </c>
      <c r="C2681" s="9"/>
      <c r="D2681" s="9"/>
      <c r="E2681" s="90" t="s">
        <v>1512</v>
      </c>
      <c r="F2681" s="9" t="s">
        <v>1514</v>
      </c>
      <c r="G2681" s="10"/>
      <c r="H2681" s="9"/>
      <c r="I2681" s="180" t="s">
        <v>1513</v>
      </c>
      <c r="J2681" s="12"/>
      <c r="K2681" s="12"/>
      <c r="L2681" s="52"/>
      <c r="M2681" s="10"/>
      <c r="N2681" s="231" t="s">
        <v>29</v>
      </c>
      <c r="O2681" s="125"/>
      <c r="P2681" s="49"/>
      <c r="Q2681" s="49"/>
      <c r="R2681" s="49"/>
      <c r="S2681" s="37">
        <f t="shared" si="561"/>
        <v>0</v>
      </c>
      <c r="T2681" s="37">
        <f t="shared" si="562"/>
        <v>0</v>
      </c>
      <c r="U2681" s="10"/>
      <c r="V2681" s="10"/>
      <c r="W2681" s="10"/>
      <c r="X2681" s="10"/>
      <c r="Y2681" s="10"/>
      <c r="Z2681" s="10"/>
      <c r="AA2681" s="10"/>
      <c r="AB2681" s="10"/>
      <c r="AC2681" s="10"/>
      <c r="AD2681" s="10"/>
      <c r="AE2681" s="10"/>
    </row>
    <row r="2682" spans="1:31" ht="14.25" customHeight="1">
      <c r="A2682" s="277" t="s">
        <v>7227</v>
      </c>
      <c r="B2682" s="9" t="s">
        <v>21</v>
      </c>
      <c r="C2682" s="9"/>
      <c r="D2682" s="9"/>
      <c r="E2682" s="90" t="s">
        <v>1512</v>
      </c>
      <c r="F2682" s="9" t="s">
        <v>1514</v>
      </c>
      <c r="G2682" s="10"/>
      <c r="H2682" s="9"/>
      <c r="I2682" s="180" t="s">
        <v>1513</v>
      </c>
      <c r="J2682" s="12" t="s">
        <v>1238</v>
      </c>
      <c r="K2682" s="12"/>
      <c r="L2682" s="73"/>
      <c r="M2682" s="10"/>
      <c r="N2682" s="231" t="s">
        <v>29</v>
      </c>
      <c r="O2682" s="125"/>
      <c r="P2682" s="39"/>
      <c r="Q2682" s="39"/>
      <c r="R2682" s="39"/>
      <c r="S2682" s="37">
        <f t="shared" si="561"/>
        <v>0</v>
      </c>
      <c r="T2682" s="37">
        <f t="shared" si="562"/>
        <v>0</v>
      </c>
      <c r="U2682" s="10"/>
      <c r="V2682" s="10"/>
      <c r="W2682" s="10"/>
      <c r="X2682" s="10"/>
      <c r="Y2682" s="10"/>
      <c r="Z2682" s="10"/>
      <c r="AA2682" s="10"/>
      <c r="AB2682" s="10"/>
      <c r="AC2682" s="10"/>
      <c r="AD2682" s="10"/>
      <c r="AE2682" s="10"/>
    </row>
    <row r="2683" spans="1:31" ht="14.25" customHeight="1">
      <c r="A2683" s="277" t="s">
        <v>7228</v>
      </c>
      <c r="B2683" s="9" t="s">
        <v>21</v>
      </c>
      <c r="C2683" s="9"/>
      <c r="D2683" s="9"/>
      <c r="E2683" s="90" t="s">
        <v>1512</v>
      </c>
      <c r="F2683" s="9" t="s">
        <v>1514</v>
      </c>
      <c r="G2683" s="10"/>
      <c r="H2683" s="9"/>
      <c r="I2683" s="180" t="s">
        <v>1513</v>
      </c>
      <c r="J2683" s="12"/>
      <c r="K2683" s="12"/>
      <c r="L2683" s="73"/>
      <c r="M2683" s="10"/>
      <c r="N2683" s="231" t="s">
        <v>29</v>
      </c>
      <c r="O2683" s="125"/>
      <c r="P2683" s="39"/>
      <c r="Q2683" s="39"/>
      <c r="R2683" s="39"/>
      <c r="S2683" s="37">
        <f t="shared" si="561"/>
        <v>0</v>
      </c>
      <c r="T2683" s="37">
        <f t="shared" si="562"/>
        <v>0</v>
      </c>
      <c r="U2683" s="10"/>
      <c r="V2683" s="10"/>
      <c r="W2683" s="10"/>
      <c r="X2683" s="10"/>
      <c r="Y2683" s="10"/>
      <c r="Z2683" s="10"/>
      <c r="AA2683" s="10"/>
      <c r="AB2683" s="10"/>
      <c r="AC2683" s="10"/>
      <c r="AD2683" s="10"/>
      <c r="AE2683" s="10"/>
    </row>
    <row r="2684" spans="1:31" ht="14.25" customHeight="1">
      <c r="A2684" s="277" t="s">
        <v>6663</v>
      </c>
      <c r="B2684" s="9" t="s">
        <v>21</v>
      </c>
      <c r="C2684" s="9"/>
      <c r="D2684" s="9"/>
      <c r="E2684" s="90" t="s">
        <v>1512</v>
      </c>
      <c r="F2684" s="9" t="s">
        <v>1514</v>
      </c>
      <c r="G2684" s="10"/>
      <c r="H2684" s="9"/>
      <c r="I2684" s="180" t="s">
        <v>1513</v>
      </c>
      <c r="J2684" s="12"/>
      <c r="K2684" s="12"/>
      <c r="L2684" s="73"/>
      <c r="M2684" s="10"/>
      <c r="N2684" s="231" t="s">
        <v>29</v>
      </c>
      <c r="O2684" s="125"/>
      <c r="P2684" s="39"/>
      <c r="Q2684" s="39"/>
      <c r="R2684" s="39"/>
      <c r="S2684" s="37">
        <f t="shared" si="561"/>
        <v>0</v>
      </c>
      <c r="T2684" s="37">
        <f t="shared" si="562"/>
        <v>0</v>
      </c>
      <c r="U2684" s="10"/>
      <c r="V2684" s="10"/>
      <c r="W2684" s="10"/>
      <c r="X2684" s="10"/>
      <c r="Y2684" s="10"/>
      <c r="Z2684" s="10"/>
      <c r="AA2684" s="10"/>
      <c r="AB2684" s="10"/>
      <c r="AC2684" s="10"/>
      <c r="AD2684" s="10"/>
      <c r="AE2684" s="10"/>
    </row>
    <row r="2685" spans="1:31" ht="14.25" customHeight="1">
      <c r="A2685" s="277" t="s">
        <v>6664</v>
      </c>
      <c r="B2685" s="9" t="s">
        <v>21</v>
      </c>
      <c r="C2685" s="9"/>
      <c r="D2685" s="9"/>
      <c r="E2685" s="90" t="s">
        <v>1512</v>
      </c>
      <c r="F2685" s="9" t="s">
        <v>1514</v>
      </c>
      <c r="G2685" s="10"/>
      <c r="H2685" s="9"/>
      <c r="I2685" s="180" t="s">
        <v>1513</v>
      </c>
      <c r="J2685" s="12"/>
      <c r="K2685" s="12"/>
      <c r="L2685" s="201"/>
      <c r="M2685" s="10"/>
      <c r="N2685" s="231" t="s">
        <v>29</v>
      </c>
      <c r="O2685" s="125"/>
      <c r="P2685" s="39"/>
      <c r="Q2685" s="39"/>
      <c r="R2685" s="39"/>
      <c r="S2685" s="37">
        <f t="shared" si="561"/>
        <v>0</v>
      </c>
      <c r="T2685" s="37">
        <f t="shared" si="562"/>
        <v>0</v>
      </c>
      <c r="U2685" s="10"/>
      <c r="V2685" s="10"/>
      <c r="W2685" s="10"/>
      <c r="X2685" s="10"/>
      <c r="Y2685" s="10"/>
      <c r="Z2685" s="10"/>
      <c r="AA2685" s="10"/>
      <c r="AB2685" s="10"/>
      <c r="AC2685" s="10"/>
      <c r="AD2685" s="10"/>
      <c r="AE2685" s="10"/>
    </row>
    <row r="2686" spans="1:31" ht="14.25" customHeight="1">
      <c r="A2686" s="277" t="s">
        <v>6665</v>
      </c>
      <c r="B2686" s="9" t="s">
        <v>21</v>
      </c>
      <c r="C2686" s="9"/>
      <c r="D2686" s="9"/>
      <c r="E2686" s="90" t="s">
        <v>1512</v>
      </c>
      <c r="F2686" s="9" t="s">
        <v>1514</v>
      </c>
      <c r="G2686" s="10"/>
      <c r="H2686" s="9"/>
      <c r="I2686" s="180" t="s">
        <v>1513</v>
      </c>
      <c r="J2686" s="12"/>
      <c r="K2686" s="12"/>
      <c r="L2686" s="73"/>
      <c r="M2686" s="10"/>
      <c r="N2686" s="231" t="s">
        <v>29</v>
      </c>
      <c r="O2686" s="125"/>
      <c r="P2686" s="39"/>
      <c r="Q2686" s="39"/>
      <c r="R2686" s="39"/>
      <c r="S2686" s="37">
        <f t="shared" si="561"/>
        <v>0</v>
      </c>
      <c r="T2686" s="37">
        <f t="shared" si="562"/>
        <v>0</v>
      </c>
      <c r="U2686" s="10"/>
      <c r="V2686" s="10"/>
      <c r="W2686" s="10"/>
      <c r="X2686" s="10"/>
      <c r="Y2686" s="10"/>
      <c r="Z2686" s="10"/>
      <c r="AA2686" s="10"/>
      <c r="AB2686" s="10"/>
      <c r="AC2686" s="10"/>
      <c r="AD2686" s="10"/>
      <c r="AE2686" s="10"/>
    </row>
    <row r="2687" spans="1:31" ht="14.25" customHeight="1">
      <c r="A2687" s="277" t="s">
        <v>6666</v>
      </c>
      <c r="B2687" s="9" t="s">
        <v>21</v>
      </c>
      <c r="C2687" s="9"/>
      <c r="D2687" s="9"/>
      <c r="E2687" s="90" t="s">
        <v>1512</v>
      </c>
      <c r="F2687" s="9" t="s">
        <v>1514</v>
      </c>
      <c r="G2687" s="10"/>
      <c r="H2687" s="9"/>
      <c r="I2687" s="180" t="s">
        <v>1513</v>
      </c>
      <c r="J2687" s="12"/>
      <c r="K2687" s="12"/>
      <c r="L2687" s="73"/>
      <c r="M2687" s="10"/>
      <c r="N2687" s="231" t="s">
        <v>29</v>
      </c>
      <c r="O2687" s="125"/>
      <c r="P2687" s="39"/>
      <c r="Q2687" s="39"/>
      <c r="R2687" s="39"/>
      <c r="S2687" s="37">
        <f t="shared" si="561"/>
        <v>0</v>
      </c>
      <c r="T2687" s="37">
        <f t="shared" si="562"/>
        <v>0</v>
      </c>
      <c r="U2687" s="10"/>
      <c r="V2687" s="10"/>
      <c r="W2687" s="10"/>
      <c r="X2687" s="10"/>
      <c r="Y2687" s="10"/>
      <c r="Z2687" s="10"/>
      <c r="AA2687" s="10"/>
      <c r="AB2687" s="10"/>
      <c r="AC2687" s="10"/>
      <c r="AD2687" s="10"/>
      <c r="AE2687" s="10"/>
    </row>
    <row r="2688" spans="1:31" ht="14.25" customHeight="1">
      <c r="A2688" s="277" t="s">
        <v>6667</v>
      </c>
      <c r="B2688" s="9" t="s">
        <v>21</v>
      </c>
      <c r="C2688" s="9"/>
      <c r="D2688" s="9"/>
      <c r="E2688" s="90"/>
      <c r="F2688" s="9"/>
      <c r="G2688" s="10"/>
      <c r="H2688" s="9"/>
      <c r="I2688" s="11"/>
      <c r="J2688" s="12"/>
      <c r="K2688" s="12"/>
      <c r="L2688" s="52"/>
      <c r="M2688" s="10"/>
      <c r="N2688" s="202">
        <f ca="1">$J$3-J2688</f>
        <v>46240.46377638889</v>
      </c>
      <c r="O2688" s="11"/>
      <c r="P2688" s="39"/>
      <c r="Q2688" s="39"/>
      <c r="R2688" s="39"/>
      <c r="S2688" s="37">
        <f t="shared" si="561"/>
        <v>0</v>
      </c>
      <c r="T2688" s="37">
        <f t="shared" si="562"/>
        <v>0</v>
      </c>
      <c r="U2688" s="10"/>
      <c r="V2688" s="10"/>
      <c r="W2688" s="10"/>
      <c r="X2688" s="10"/>
      <c r="Y2688" s="10"/>
      <c r="Z2688" s="10"/>
      <c r="AA2688" s="10"/>
      <c r="AB2688" s="10"/>
      <c r="AC2688" s="10"/>
      <c r="AD2688" s="10"/>
      <c r="AE2688" s="10"/>
    </row>
    <row r="2689" spans="1:31" ht="14.25" customHeight="1">
      <c r="A2689" s="277" t="s">
        <v>6668</v>
      </c>
      <c r="B2689" s="9" t="s">
        <v>21</v>
      </c>
      <c r="C2689" s="9"/>
      <c r="D2689" s="9"/>
      <c r="E2689" s="90"/>
      <c r="F2689" s="9"/>
      <c r="G2689" s="9"/>
      <c r="H2689" s="93"/>
      <c r="I2689" s="11"/>
      <c r="J2689" s="12"/>
      <c r="K2689" s="12"/>
      <c r="L2689" s="118"/>
      <c r="M2689" s="103"/>
      <c r="N2689" s="33"/>
      <c r="O2689" s="33"/>
      <c r="P2689" s="33"/>
      <c r="Q2689" s="33"/>
      <c r="R2689" s="33"/>
      <c r="S2689" s="118"/>
      <c r="T2689" s="118"/>
      <c r="U2689" s="10"/>
      <c r="V2689" s="10"/>
      <c r="W2689" s="10"/>
      <c r="X2689" s="10"/>
      <c r="Y2689" s="10"/>
      <c r="Z2689" s="10"/>
      <c r="AA2689" s="10"/>
      <c r="AB2689" s="10"/>
      <c r="AC2689" s="10"/>
      <c r="AD2689" s="10"/>
      <c r="AE2689" s="10"/>
    </row>
    <row r="2690" spans="1:31" ht="14.25" customHeight="1">
      <c r="A2690" s="277" t="s">
        <v>6669</v>
      </c>
      <c r="B2690" s="9" t="s">
        <v>21</v>
      </c>
      <c r="C2690" s="9"/>
      <c r="D2690" s="9"/>
      <c r="E2690" s="90"/>
      <c r="F2690" s="9"/>
      <c r="G2690" s="94" t="s">
        <v>24</v>
      </c>
      <c r="H2690" s="95" t="s">
        <v>1515</v>
      </c>
      <c r="I2690" s="104"/>
      <c r="J2690" s="105"/>
      <c r="K2690" s="105"/>
      <c r="L2690" s="106">
        <f>SUM(L2691:L2705)</f>
        <v>577323807</v>
      </c>
      <c r="M2690" s="107"/>
      <c r="N2690" s="108" t="s">
        <v>26</v>
      </c>
      <c r="O2690" s="108"/>
      <c r="P2690" s="108"/>
      <c r="Q2690" s="108"/>
      <c r="R2690" s="108"/>
      <c r="S2690" s="106">
        <f>SUM(S2691:S2705)</f>
        <v>577323807</v>
      </c>
      <c r="T2690" s="106">
        <f>SUM(T2691:T2705)</f>
        <v>0</v>
      </c>
      <c r="U2690" s="10"/>
      <c r="V2690" s="52">
        <f>L2690-S2690</f>
        <v>0</v>
      </c>
      <c r="W2690" s="52">
        <f>T2690-V2690</f>
        <v>0</v>
      </c>
      <c r="X2690" s="10"/>
      <c r="Y2690" s="10"/>
      <c r="Z2690" s="10"/>
      <c r="AA2690" s="10"/>
      <c r="AB2690" s="10"/>
      <c r="AC2690" s="10"/>
      <c r="AD2690" s="10"/>
      <c r="AE2690" s="10"/>
    </row>
    <row r="2691" spans="1:31" ht="14.25" customHeight="1">
      <c r="A2691" s="277" t="s">
        <v>6670</v>
      </c>
      <c r="B2691" s="9" t="s">
        <v>21</v>
      </c>
      <c r="C2691" s="9"/>
      <c r="D2691" s="9" t="s">
        <v>27</v>
      </c>
      <c r="E2691" s="90" t="s">
        <v>1512</v>
      </c>
      <c r="F2691" s="9" t="s">
        <v>1514</v>
      </c>
      <c r="G2691" s="10"/>
      <c r="H2691" s="9"/>
      <c r="I2691" s="179" t="s">
        <v>1515</v>
      </c>
      <c r="J2691" s="115"/>
      <c r="K2691" s="109"/>
      <c r="L2691" s="131">
        <v>39798312</v>
      </c>
      <c r="M2691" s="203" t="s">
        <v>1516</v>
      </c>
      <c r="N2691" s="231" t="s">
        <v>29</v>
      </c>
      <c r="O2691" s="11"/>
      <c r="P2691" s="119">
        <v>45902</v>
      </c>
      <c r="Q2691" s="119">
        <v>45902</v>
      </c>
      <c r="R2691" s="119">
        <v>45902</v>
      </c>
      <c r="S2691" s="37">
        <f t="shared" ref="S2691:S2698" si="563">IF(R2691="",0,L2691)</f>
        <v>39798312</v>
      </c>
      <c r="T2691" s="37">
        <f t="shared" ref="T2691:T2698" si="564">L2691-S2691</f>
        <v>0</v>
      </c>
      <c r="U2691" s="10"/>
      <c r="V2691" s="10"/>
      <c r="W2691" s="10"/>
      <c r="X2691" s="10"/>
      <c r="Y2691" s="10"/>
      <c r="Z2691" s="10"/>
      <c r="AA2691" s="10"/>
      <c r="AB2691" s="10"/>
      <c r="AC2691" s="10"/>
      <c r="AD2691" s="10"/>
      <c r="AE2691" s="10"/>
    </row>
    <row r="2692" spans="1:31" ht="14.25" customHeight="1">
      <c r="A2692" s="277" t="s">
        <v>6671</v>
      </c>
      <c r="B2692" s="9" t="s">
        <v>21</v>
      </c>
      <c r="C2692" s="9"/>
      <c r="D2692" s="9" t="s">
        <v>27</v>
      </c>
      <c r="E2692" s="90" t="s">
        <v>1512</v>
      </c>
      <c r="F2692" s="9" t="s">
        <v>1514</v>
      </c>
      <c r="G2692" s="10"/>
      <c r="H2692" s="9"/>
      <c r="I2692" s="179" t="s">
        <v>1515</v>
      </c>
      <c r="J2692" s="115"/>
      <c r="K2692" s="109"/>
      <c r="L2692" s="260">
        <v>40402679</v>
      </c>
      <c r="M2692" s="203" t="s">
        <v>4118</v>
      </c>
      <c r="N2692" s="231" t="s">
        <v>29</v>
      </c>
      <c r="O2692" s="11"/>
      <c r="P2692" s="119">
        <v>45951</v>
      </c>
      <c r="Q2692" s="119">
        <v>45951</v>
      </c>
      <c r="R2692" s="119">
        <v>45951</v>
      </c>
      <c r="S2692" s="37">
        <f t="shared" si="563"/>
        <v>40402679</v>
      </c>
      <c r="T2692" s="37">
        <f t="shared" si="564"/>
        <v>0</v>
      </c>
      <c r="U2692" s="10"/>
      <c r="V2692" s="10"/>
      <c r="W2692" s="10"/>
      <c r="X2692" s="10"/>
      <c r="Y2692" s="10"/>
      <c r="Z2692" s="10"/>
      <c r="AA2692" s="10"/>
      <c r="AB2692" s="10"/>
      <c r="AC2692" s="10"/>
      <c r="AD2692" s="10"/>
      <c r="AE2692" s="10"/>
    </row>
    <row r="2693" spans="1:31" ht="14.25" customHeight="1">
      <c r="A2693" s="277" t="s">
        <v>6672</v>
      </c>
      <c r="B2693" s="9" t="s">
        <v>21</v>
      </c>
      <c r="C2693" s="9"/>
      <c r="D2693" s="9" t="s">
        <v>27</v>
      </c>
      <c r="E2693" s="90" t="s">
        <v>1512</v>
      </c>
      <c r="F2693" s="9" t="s">
        <v>1514</v>
      </c>
      <c r="G2693" s="10"/>
      <c r="H2693" s="9"/>
      <c r="I2693" s="179" t="s">
        <v>1515</v>
      </c>
      <c r="J2693" s="115"/>
      <c r="K2693" s="109"/>
      <c r="L2693" s="260">
        <v>39792387</v>
      </c>
      <c r="M2693" s="261" t="s">
        <v>4119</v>
      </c>
      <c r="N2693" s="231" t="s">
        <v>29</v>
      </c>
      <c r="O2693" s="11"/>
      <c r="P2693" s="119">
        <v>45982</v>
      </c>
      <c r="Q2693" s="119">
        <v>45982</v>
      </c>
      <c r="R2693" s="119">
        <v>45982</v>
      </c>
      <c r="S2693" s="37">
        <f t="shared" si="563"/>
        <v>39792387</v>
      </c>
      <c r="T2693" s="37">
        <f t="shared" si="564"/>
        <v>0</v>
      </c>
      <c r="U2693" s="10"/>
      <c r="V2693" s="10"/>
      <c r="W2693" s="10"/>
      <c r="X2693" s="10"/>
      <c r="Y2693" s="10"/>
      <c r="Z2693" s="10"/>
      <c r="AA2693" s="10"/>
      <c r="AB2693" s="10"/>
      <c r="AC2693" s="10"/>
      <c r="AD2693" s="10"/>
      <c r="AE2693" s="10"/>
    </row>
    <row r="2694" spans="1:31" ht="14.25" customHeight="1">
      <c r="A2694" s="277" t="s">
        <v>6673</v>
      </c>
      <c r="B2694" s="9" t="s">
        <v>21</v>
      </c>
      <c r="C2694" s="9"/>
      <c r="D2694" s="9" t="s">
        <v>27</v>
      </c>
      <c r="E2694" s="90" t="s">
        <v>1512</v>
      </c>
      <c r="F2694" s="9" t="s">
        <v>1514</v>
      </c>
      <c r="G2694" s="10"/>
      <c r="H2694" s="9"/>
      <c r="I2694" s="179" t="s">
        <v>1515</v>
      </c>
      <c r="J2694" s="115"/>
      <c r="K2694" s="109"/>
      <c r="L2694" s="260">
        <v>39890512</v>
      </c>
      <c r="M2694" s="261" t="s">
        <v>4120</v>
      </c>
      <c r="N2694" s="231" t="s">
        <v>29</v>
      </c>
      <c r="O2694" s="11"/>
      <c r="P2694" s="119">
        <v>46011</v>
      </c>
      <c r="Q2694" s="119">
        <v>46011</v>
      </c>
      <c r="R2694" s="119">
        <v>46011</v>
      </c>
      <c r="S2694" s="37">
        <f t="shared" si="563"/>
        <v>39890512</v>
      </c>
      <c r="T2694" s="37">
        <f t="shared" si="564"/>
        <v>0</v>
      </c>
      <c r="U2694" s="10"/>
      <c r="V2694" s="10"/>
      <c r="W2694" s="10"/>
      <c r="X2694" s="10"/>
      <c r="Y2694" s="10"/>
      <c r="Z2694" s="10"/>
      <c r="AA2694" s="10"/>
      <c r="AB2694" s="10"/>
      <c r="AC2694" s="10"/>
      <c r="AD2694" s="10"/>
      <c r="AE2694" s="10"/>
    </row>
    <row r="2695" spans="1:31" ht="14.25" customHeight="1">
      <c r="A2695" s="277" t="s">
        <v>6674</v>
      </c>
      <c r="B2695" s="9" t="s">
        <v>21</v>
      </c>
      <c r="C2695" s="9"/>
      <c r="D2695" s="9" t="s">
        <v>27</v>
      </c>
      <c r="E2695" s="90" t="s">
        <v>1512</v>
      </c>
      <c r="F2695" s="9" t="s">
        <v>1514</v>
      </c>
      <c r="G2695" s="10"/>
      <c r="H2695" s="9"/>
      <c r="I2695" s="179" t="s">
        <v>1515</v>
      </c>
      <c r="J2695" s="115"/>
      <c r="K2695" s="109"/>
      <c r="L2695" s="260">
        <v>39841403</v>
      </c>
      <c r="M2695" s="275" t="s">
        <v>4291</v>
      </c>
      <c r="N2695" s="231" t="s">
        <v>29</v>
      </c>
      <c r="O2695" s="11"/>
      <c r="P2695" s="119">
        <v>46107</v>
      </c>
      <c r="Q2695" s="119">
        <v>46107</v>
      </c>
      <c r="R2695" s="119">
        <v>46107</v>
      </c>
      <c r="S2695" s="37">
        <f t="shared" si="563"/>
        <v>39841403</v>
      </c>
      <c r="T2695" s="37">
        <f t="shared" si="564"/>
        <v>0</v>
      </c>
      <c r="U2695" s="10"/>
      <c r="V2695" s="10"/>
      <c r="W2695" s="10"/>
      <c r="X2695" s="10"/>
      <c r="Y2695" s="10"/>
      <c r="Z2695" s="10"/>
      <c r="AA2695" s="10"/>
      <c r="AB2695" s="10"/>
      <c r="AC2695" s="10"/>
      <c r="AD2695" s="10"/>
      <c r="AE2695" s="10"/>
    </row>
    <row r="2696" spans="1:31" ht="14.25" customHeight="1">
      <c r="A2696" s="277" t="s">
        <v>6675</v>
      </c>
      <c r="B2696" s="9" t="s">
        <v>21</v>
      </c>
      <c r="C2696" s="9"/>
      <c r="D2696" s="9" t="s">
        <v>27</v>
      </c>
      <c r="E2696" s="90" t="s">
        <v>1512</v>
      </c>
      <c r="F2696" s="9" t="s">
        <v>1514</v>
      </c>
      <c r="G2696" s="10"/>
      <c r="H2696" s="9"/>
      <c r="I2696" s="179" t="s">
        <v>1515</v>
      </c>
      <c r="J2696" s="115"/>
      <c r="K2696" s="109"/>
      <c r="L2696" s="116">
        <f>39008529+22825109</f>
        <v>61833638</v>
      </c>
      <c r="M2696" s="117" t="s">
        <v>6988</v>
      </c>
      <c r="N2696" s="231" t="s">
        <v>29</v>
      </c>
      <c r="O2696" s="11"/>
      <c r="P2696" s="119">
        <v>46151</v>
      </c>
      <c r="Q2696" s="119">
        <v>46151</v>
      </c>
      <c r="R2696" s="119">
        <v>46151</v>
      </c>
      <c r="S2696" s="37">
        <f t="shared" si="563"/>
        <v>61833638</v>
      </c>
      <c r="T2696" s="37">
        <f t="shared" si="564"/>
        <v>0</v>
      </c>
      <c r="U2696" s="10"/>
      <c r="V2696" s="10"/>
      <c r="W2696" s="10"/>
      <c r="X2696" s="10"/>
      <c r="Y2696" s="10"/>
      <c r="Z2696" s="10"/>
      <c r="AA2696" s="10"/>
      <c r="AB2696" s="10"/>
      <c r="AC2696" s="10"/>
      <c r="AD2696" s="10"/>
      <c r="AE2696" s="10"/>
    </row>
    <row r="2697" spans="1:31" ht="14.25" customHeight="1">
      <c r="A2697" s="277" t="s">
        <v>6676</v>
      </c>
      <c r="B2697" s="9" t="s">
        <v>21</v>
      </c>
      <c r="C2697" s="9"/>
      <c r="D2697" s="9" t="s">
        <v>27</v>
      </c>
      <c r="E2697" s="90" t="s">
        <v>1512</v>
      </c>
      <c r="F2697" s="9" t="s">
        <v>1514</v>
      </c>
      <c r="G2697" s="10"/>
      <c r="H2697" s="9"/>
      <c r="I2697" s="179" t="s">
        <v>1515</v>
      </c>
      <c r="J2697" s="115"/>
      <c r="K2697" s="109"/>
      <c r="L2697" s="116">
        <v>42119784</v>
      </c>
      <c r="M2697" s="117" t="s">
        <v>6989</v>
      </c>
      <c r="N2697" s="231" t="s">
        <v>29</v>
      </c>
      <c r="O2697" s="11"/>
      <c r="P2697" s="119">
        <v>46151</v>
      </c>
      <c r="Q2697" s="119">
        <v>46151</v>
      </c>
      <c r="R2697" s="119">
        <v>46151</v>
      </c>
      <c r="S2697" s="37">
        <f t="shared" si="563"/>
        <v>42119784</v>
      </c>
      <c r="T2697" s="37">
        <f t="shared" si="564"/>
        <v>0</v>
      </c>
      <c r="U2697" s="10"/>
      <c r="V2697" s="10"/>
      <c r="W2697" s="10"/>
      <c r="X2697" s="10"/>
      <c r="Y2697" s="10"/>
      <c r="Z2697" s="10"/>
      <c r="AA2697" s="10"/>
      <c r="AB2697" s="10"/>
      <c r="AC2697" s="10"/>
      <c r="AD2697" s="10"/>
      <c r="AE2697" s="10"/>
    </row>
    <row r="2698" spans="1:31" ht="14.25" customHeight="1">
      <c r="A2698" s="277" t="s">
        <v>6677</v>
      </c>
      <c r="B2698" s="9" t="s">
        <v>21</v>
      </c>
      <c r="C2698" s="9"/>
      <c r="D2698" s="9" t="s">
        <v>27</v>
      </c>
      <c r="E2698" s="90" t="s">
        <v>1512</v>
      </c>
      <c r="F2698" s="9" t="s">
        <v>1514</v>
      </c>
      <c r="G2698" s="10"/>
      <c r="H2698" s="9"/>
      <c r="I2698" s="179" t="s">
        <v>1515</v>
      </c>
      <c r="J2698" s="115"/>
      <c r="K2698" s="109"/>
      <c r="L2698" s="116">
        <v>41501517</v>
      </c>
      <c r="M2698" s="117" t="s">
        <v>6990</v>
      </c>
      <c r="N2698" s="231" t="s">
        <v>29</v>
      </c>
      <c r="O2698" s="11"/>
      <c r="P2698" s="119">
        <v>46151</v>
      </c>
      <c r="Q2698" s="119">
        <v>46151</v>
      </c>
      <c r="R2698" s="119">
        <v>46151</v>
      </c>
      <c r="S2698" s="37">
        <f t="shared" si="563"/>
        <v>41501517</v>
      </c>
      <c r="T2698" s="37">
        <f t="shared" si="564"/>
        <v>0</v>
      </c>
      <c r="U2698" s="10"/>
      <c r="V2698" s="10"/>
      <c r="W2698" s="10"/>
      <c r="X2698" s="10"/>
      <c r="Y2698" s="10"/>
      <c r="Z2698" s="10"/>
      <c r="AA2698" s="10"/>
      <c r="AB2698" s="10"/>
      <c r="AC2698" s="10"/>
      <c r="AD2698" s="10"/>
      <c r="AE2698" s="10"/>
    </row>
    <row r="2699" spans="1:31" ht="14.25" customHeight="1">
      <c r="A2699" s="277" t="s">
        <v>6678</v>
      </c>
      <c r="B2699" s="9" t="s">
        <v>21</v>
      </c>
      <c r="C2699" s="9"/>
      <c r="D2699" s="9" t="s">
        <v>27</v>
      </c>
      <c r="E2699" s="90" t="s">
        <v>1512</v>
      </c>
      <c r="F2699" s="9" t="s">
        <v>1514</v>
      </c>
      <c r="G2699" s="10"/>
      <c r="H2699" s="9"/>
      <c r="I2699" s="179" t="s">
        <v>1515</v>
      </c>
      <c r="J2699" s="115"/>
      <c r="K2699" s="109"/>
      <c r="L2699" s="116">
        <v>39954246</v>
      </c>
      <c r="M2699" s="117" t="s">
        <v>6991</v>
      </c>
      <c r="N2699" s="231" t="s">
        <v>29</v>
      </c>
      <c r="O2699" s="11"/>
      <c r="P2699" s="119">
        <v>46151</v>
      </c>
      <c r="Q2699" s="119">
        <v>46151</v>
      </c>
      <c r="R2699" s="119">
        <v>46151</v>
      </c>
      <c r="S2699" s="37">
        <f t="shared" ref="S2699:S2705" si="565">IF(R2699="",0,L2699)</f>
        <v>39954246</v>
      </c>
      <c r="T2699" s="37">
        <f t="shared" ref="T2699:T2705" si="566">L2699-S2699</f>
        <v>0</v>
      </c>
      <c r="U2699" s="10"/>
      <c r="V2699" s="10"/>
      <c r="W2699" s="10"/>
      <c r="X2699" s="10"/>
      <c r="Y2699" s="10"/>
      <c r="Z2699" s="10"/>
      <c r="AA2699" s="10"/>
      <c r="AB2699" s="10"/>
      <c r="AC2699" s="10"/>
      <c r="AD2699" s="10"/>
      <c r="AE2699" s="10"/>
    </row>
    <row r="2700" spans="1:31" ht="14.25" customHeight="1">
      <c r="A2700" s="277" t="s">
        <v>6679</v>
      </c>
      <c r="B2700" s="9" t="s">
        <v>21</v>
      </c>
      <c r="C2700" s="9"/>
      <c r="D2700" s="9" t="s">
        <v>27</v>
      </c>
      <c r="E2700" s="90" t="s">
        <v>1512</v>
      </c>
      <c r="F2700" s="9" t="s">
        <v>1514</v>
      </c>
      <c r="G2700" s="10"/>
      <c r="H2700" s="9"/>
      <c r="I2700" s="179" t="s">
        <v>1515</v>
      </c>
      <c r="J2700" s="115"/>
      <c r="K2700" s="109"/>
      <c r="L2700" s="116">
        <v>38869702</v>
      </c>
      <c r="M2700" s="117" t="s">
        <v>6992</v>
      </c>
      <c r="N2700" s="231" t="s">
        <v>29</v>
      </c>
      <c r="O2700" s="11"/>
      <c r="P2700" s="119">
        <v>46151</v>
      </c>
      <c r="Q2700" s="119">
        <v>46151</v>
      </c>
      <c r="R2700" s="119">
        <v>46151</v>
      </c>
      <c r="S2700" s="37">
        <f t="shared" si="565"/>
        <v>38869702</v>
      </c>
      <c r="T2700" s="37">
        <f t="shared" si="566"/>
        <v>0</v>
      </c>
      <c r="U2700" s="10"/>
      <c r="V2700" s="10"/>
      <c r="W2700" s="10"/>
      <c r="X2700" s="10"/>
      <c r="Y2700" s="10"/>
      <c r="Z2700" s="10"/>
      <c r="AA2700" s="10"/>
      <c r="AB2700" s="10"/>
      <c r="AC2700" s="10"/>
      <c r="AD2700" s="10"/>
      <c r="AE2700" s="10"/>
    </row>
    <row r="2701" spans="1:31" ht="14.25" customHeight="1">
      <c r="A2701" s="277" t="s">
        <v>6680</v>
      </c>
      <c r="B2701" s="9" t="s">
        <v>21</v>
      </c>
      <c r="C2701" s="9"/>
      <c r="D2701" s="9" t="s">
        <v>27</v>
      </c>
      <c r="E2701" s="90" t="s">
        <v>1512</v>
      </c>
      <c r="F2701" s="9" t="s">
        <v>1514</v>
      </c>
      <c r="G2701" s="10"/>
      <c r="H2701" s="9"/>
      <c r="I2701" s="179" t="s">
        <v>1515</v>
      </c>
      <c r="J2701" s="115"/>
      <c r="K2701" s="109"/>
      <c r="L2701" s="116">
        <v>37552246</v>
      </c>
      <c r="M2701" s="117" t="s">
        <v>6993</v>
      </c>
      <c r="N2701" s="231" t="s">
        <v>29</v>
      </c>
      <c r="O2701" s="11"/>
      <c r="P2701" s="119">
        <v>46151</v>
      </c>
      <c r="Q2701" s="119">
        <v>46151</v>
      </c>
      <c r="R2701" s="119">
        <v>46151</v>
      </c>
      <c r="S2701" s="37">
        <f t="shared" si="565"/>
        <v>37552246</v>
      </c>
      <c r="T2701" s="37">
        <f t="shared" si="566"/>
        <v>0</v>
      </c>
      <c r="U2701" s="10"/>
      <c r="V2701" s="10"/>
      <c r="W2701" s="10"/>
      <c r="X2701" s="10"/>
      <c r="Y2701" s="10"/>
      <c r="Z2701" s="10"/>
      <c r="AA2701" s="10"/>
      <c r="AB2701" s="10"/>
      <c r="AC2701" s="10"/>
      <c r="AD2701" s="10"/>
      <c r="AE2701" s="10"/>
    </row>
    <row r="2702" spans="1:31" ht="14.25" customHeight="1">
      <c r="A2702" s="277" t="s">
        <v>6681</v>
      </c>
      <c r="B2702" s="9" t="s">
        <v>21</v>
      </c>
      <c r="C2702" s="9"/>
      <c r="D2702" s="9" t="s">
        <v>27</v>
      </c>
      <c r="E2702" s="90" t="s">
        <v>1512</v>
      </c>
      <c r="F2702" s="9" t="s">
        <v>1514</v>
      </c>
      <c r="G2702" s="10"/>
      <c r="H2702" s="9"/>
      <c r="I2702" s="179" t="s">
        <v>1515</v>
      </c>
      <c r="J2702" s="115"/>
      <c r="K2702" s="109"/>
      <c r="L2702" s="116">
        <f>37219606+1703917</f>
        <v>38923523</v>
      </c>
      <c r="M2702" s="117" t="s">
        <v>6994</v>
      </c>
      <c r="N2702" s="231" t="s">
        <v>29</v>
      </c>
      <c r="O2702" s="11"/>
      <c r="P2702" s="119">
        <v>46153</v>
      </c>
      <c r="Q2702" s="119">
        <v>46153</v>
      </c>
      <c r="R2702" s="119">
        <v>46153</v>
      </c>
      <c r="S2702" s="37">
        <f t="shared" si="565"/>
        <v>38923523</v>
      </c>
      <c r="T2702" s="37">
        <f t="shared" si="566"/>
        <v>0</v>
      </c>
      <c r="U2702" s="10"/>
      <c r="V2702" s="10"/>
      <c r="W2702" s="10"/>
      <c r="X2702" s="10"/>
      <c r="Y2702" s="10"/>
      <c r="Z2702" s="10"/>
      <c r="AA2702" s="10"/>
      <c r="AB2702" s="10"/>
      <c r="AC2702" s="10"/>
      <c r="AD2702" s="10"/>
      <c r="AE2702" s="10"/>
    </row>
    <row r="2703" spans="1:31" ht="14.25" customHeight="1">
      <c r="A2703" s="277" t="s">
        <v>6682</v>
      </c>
      <c r="B2703" s="9" t="s">
        <v>21</v>
      </c>
      <c r="C2703" s="9"/>
      <c r="D2703" s="9" t="s">
        <v>27</v>
      </c>
      <c r="E2703" s="90" t="s">
        <v>1512</v>
      </c>
      <c r="F2703" s="9" t="s">
        <v>1514</v>
      </c>
      <c r="G2703" s="10"/>
      <c r="H2703" s="9"/>
      <c r="I2703" s="179" t="s">
        <v>1515</v>
      </c>
      <c r="J2703" s="115"/>
      <c r="K2703" s="109"/>
      <c r="L2703" s="280">
        <v>38881744</v>
      </c>
      <c r="M2703" s="117" t="s">
        <v>7128</v>
      </c>
      <c r="N2703" s="231" t="s">
        <v>29</v>
      </c>
      <c r="O2703" s="11"/>
      <c r="P2703" s="119">
        <v>46183</v>
      </c>
      <c r="Q2703" s="119">
        <v>46183</v>
      </c>
      <c r="R2703" s="119">
        <v>46183</v>
      </c>
      <c r="S2703" s="37">
        <f t="shared" si="565"/>
        <v>38881744</v>
      </c>
      <c r="T2703" s="37">
        <f t="shared" si="566"/>
        <v>0</v>
      </c>
      <c r="U2703" s="10"/>
      <c r="V2703" s="10"/>
      <c r="W2703" s="10"/>
      <c r="X2703" s="10"/>
      <c r="Y2703" s="10"/>
      <c r="Z2703" s="10"/>
      <c r="AA2703" s="10"/>
      <c r="AB2703" s="10"/>
      <c r="AC2703" s="10"/>
      <c r="AD2703" s="10"/>
      <c r="AE2703" s="10"/>
    </row>
    <row r="2704" spans="1:31" ht="14.25" customHeight="1">
      <c r="A2704" s="277" t="s">
        <v>7229</v>
      </c>
      <c r="B2704" s="9" t="s">
        <v>21</v>
      </c>
      <c r="C2704" s="9"/>
      <c r="D2704" s="9" t="s">
        <v>27</v>
      </c>
      <c r="E2704" s="90" t="s">
        <v>1512</v>
      </c>
      <c r="F2704" s="9" t="s">
        <v>1514</v>
      </c>
      <c r="G2704" s="10"/>
      <c r="H2704" s="9"/>
      <c r="I2704" s="179" t="s">
        <v>1515</v>
      </c>
      <c r="J2704" s="115"/>
      <c r="K2704" s="109"/>
      <c r="L2704" s="280">
        <v>37962114</v>
      </c>
      <c r="M2704" s="117" t="s">
        <v>7397</v>
      </c>
      <c r="N2704" s="231" t="s">
        <v>29</v>
      </c>
      <c r="O2704" s="11"/>
      <c r="P2704" s="119">
        <v>46225</v>
      </c>
      <c r="Q2704" s="119">
        <v>46225</v>
      </c>
      <c r="R2704" s="119">
        <v>46225</v>
      </c>
      <c r="S2704" s="37">
        <f t="shared" si="565"/>
        <v>37962114</v>
      </c>
      <c r="T2704" s="37">
        <f t="shared" si="566"/>
        <v>0</v>
      </c>
      <c r="U2704" s="10"/>
      <c r="V2704" s="10"/>
      <c r="W2704" s="10"/>
      <c r="X2704" s="10"/>
      <c r="Y2704" s="10"/>
      <c r="Z2704" s="10"/>
      <c r="AA2704" s="10"/>
      <c r="AB2704" s="10"/>
      <c r="AC2704" s="10"/>
      <c r="AD2704" s="10"/>
      <c r="AE2704" s="10"/>
    </row>
    <row r="2705" spans="1:31" ht="14.25" customHeight="1">
      <c r="A2705" s="277" t="s">
        <v>7230</v>
      </c>
      <c r="B2705" s="9" t="s">
        <v>21</v>
      </c>
      <c r="C2705" s="9"/>
      <c r="D2705" s="9"/>
      <c r="E2705" s="90"/>
      <c r="F2705" s="9"/>
      <c r="G2705" s="10"/>
      <c r="H2705" s="9"/>
      <c r="I2705" s="11"/>
      <c r="J2705" s="12"/>
      <c r="K2705" s="12"/>
      <c r="L2705" s="52"/>
      <c r="M2705" s="10"/>
      <c r="N2705" s="202">
        <f ca="1">$J$3-J2705</f>
        <v>46240.46377638889</v>
      </c>
      <c r="O2705" s="11"/>
      <c r="P2705" s="39"/>
      <c r="Q2705" s="39"/>
      <c r="R2705" s="39"/>
      <c r="S2705" s="37">
        <f t="shared" si="565"/>
        <v>0</v>
      </c>
      <c r="T2705" s="37">
        <f t="shared" si="566"/>
        <v>0</v>
      </c>
      <c r="U2705" s="10"/>
      <c r="V2705" s="10"/>
      <c r="W2705" s="10"/>
      <c r="X2705" s="10"/>
      <c r="Y2705" s="10"/>
      <c r="Z2705" s="10"/>
      <c r="AA2705" s="10"/>
      <c r="AB2705" s="10"/>
      <c r="AC2705" s="10"/>
      <c r="AD2705" s="10"/>
      <c r="AE2705" s="10"/>
    </row>
    <row r="2706" spans="1:31" ht="14.25" customHeight="1">
      <c r="A2706" s="277" t="s">
        <v>7231</v>
      </c>
      <c r="B2706" s="9" t="s">
        <v>21</v>
      </c>
      <c r="C2706" s="9"/>
      <c r="D2706" s="9"/>
      <c r="E2706" s="90"/>
      <c r="F2706" s="9"/>
      <c r="G2706" s="10"/>
      <c r="H2706" s="9"/>
      <c r="I2706" s="11"/>
      <c r="J2706" s="12"/>
      <c r="K2706" s="12"/>
      <c r="L2706" s="52"/>
      <c r="M2706" s="10"/>
      <c r="N2706" s="74"/>
      <c r="O2706" s="11"/>
      <c r="P2706" s="39"/>
      <c r="Q2706" s="39"/>
      <c r="R2706" s="39"/>
      <c r="S2706" s="37"/>
      <c r="T2706" s="37"/>
      <c r="U2706" s="10"/>
      <c r="V2706" s="10"/>
      <c r="W2706" s="10"/>
      <c r="X2706" s="10"/>
      <c r="Y2706" s="10"/>
      <c r="Z2706" s="10"/>
      <c r="AA2706" s="10"/>
      <c r="AB2706" s="10"/>
      <c r="AC2706" s="10"/>
      <c r="AD2706" s="10"/>
      <c r="AE2706" s="10"/>
    </row>
    <row r="2707" spans="1:31" ht="14.25" customHeight="1">
      <c r="A2707" s="277" t="s">
        <v>7232</v>
      </c>
      <c r="B2707" s="9" t="s">
        <v>21</v>
      </c>
      <c r="C2707" s="9"/>
      <c r="D2707" s="9"/>
      <c r="E2707" s="90"/>
      <c r="F2707" s="9"/>
      <c r="G2707" s="91" t="s">
        <v>22</v>
      </c>
      <c r="H2707" s="92" t="s">
        <v>1517</v>
      </c>
      <c r="I2707" s="196"/>
      <c r="J2707" s="197"/>
      <c r="K2707" s="197"/>
      <c r="L2707" s="161">
        <f>L2709+L2730+L2750+L2757</f>
        <v>935212371</v>
      </c>
      <c r="M2707" s="198"/>
      <c r="N2707" s="199"/>
      <c r="O2707" s="200"/>
      <c r="P2707" s="164"/>
      <c r="Q2707" s="164"/>
      <c r="R2707" s="164"/>
      <c r="S2707" s="161">
        <f>S2709+S2730+S2750+S2757</f>
        <v>430885652</v>
      </c>
      <c r="T2707" s="161">
        <f>T2709+T2730+T2750+T2757</f>
        <v>504326719</v>
      </c>
      <c r="U2707" s="193"/>
      <c r="V2707" s="52">
        <f>L2707-S2707</f>
        <v>504326719</v>
      </c>
      <c r="W2707" s="52">
        <f>T2707-V2707</f>
        <v>0</v>
      </c>
      <c r="X2707" s="193"/>
      <c r="Y2707" s="193"/>
      <c r="Z2707" s="193"/>
      <c r="AA2707" s="193"/>
      <c r="AB2707" s="193"/>
      <c r="AC2707" s="193"/>
      <c r="AD2707" s="193"/>
      <c r="AE2707" s="193"/>
    </row>
    <row r="2708" spans="1:31" ht="14.25" customHeight="1">
      <c r="A2708" s="277" t="s">
        <v>7233</v>
      </c>
      <c r="B2708" s="9" t="s">
        <v>21</v>
      </c>
      <c r="C2708" s="9"/>
      <c r="D2708" s="9"/>
      <c r="E2708" s="90"/>
      <c r="F2708" s="9"/>
      <c r="G2708" s="10"/>
      <c r="H2708" s="9"/>
      <c r="I2708" s="11"/>
      <c r="J2708" s="12"/>
      <c r="K2708" s="12"/>
      <c r="L2708" s="52"/>
      <c r="M2708" s="10"/>
      <c r="N2708" s="9"/>
      <c r="O2708" s="10"/>
      <c r="P2708" s="39"/>
      <c r="Q2708" s="39"/>
      <c r="R2708" s="39"/>
      <c r="S2708" s="37"/>
      <c r="T2708" s="37"/>
      <c r="U2708" s="10"/>
      <c r="V2708" s="10"/>
      <c r="W2708" s="10"/>
      <c r="X2708" s="10"/>
      <c r="Y2708" s="10"/>
      <c r="Z2708" s="10"/>
      <c r="AA2708" s="10"/>
      <c r="AB2708" s="10"/>
      <c r="AC2708" s="10"/>
      <c r="AD2708" s="10"/>
      <c r="AE2708" s="10"/>
    </row>
    <row r="2709" spans="1:31" ht="14.25" customHeight="1">
      <c r="A2709" s="277" t="s">
        <v>7234</v>
      </c>
      <c r="B2709" s="9" t="s">
        <v>21</v>
      </c>
      <c r="C2709" s="9"/>
      <c r="D2709" s="9"/>
      <c r="E2709" s="90"/>
      <c r="F2709" s="9"/>
      <c r="G2709" s="94" t="s">
        <v>1518</v>
      </c>
      <c r="H2709" s="95" t="s">
        <v>1519</v>
      </c>
      <c r="I2709" s="104"/>
      <c r="J2709" s="105"/>
      <c r="K2709" s="105"/>
      <c r="L2709" s="106">
        <f>SUM(L2710:L2728)</f>
        <v>246292772</v>
      </c>
      <c r="M2709" s="204" t="s">
        <v>1520</v>
      </c>
      <c r="N2709" s="108"/>
      <c r="O2709" s="106">
        <f>SUM(O2710:O2728)</f>
        <v>0</v>
      </c>
      <c r="P2709" s="108"/>
      <c r="Q2709" s="108"/>
      <c r="R2709" s="108"/>
      <c r="S2709" s="106">
        <f>SUM(S2710:S2728)</f>
        <v>213351212</v>
      </c>
      <c r="T2709" s="106">
        <f>SUM(T2710:T2728)</f>
        <v>32941560</v>
      </c>
      <c r="U2709" s="10"/>
      <c r="V2709" s="52">
        <f>L2709-S2709</f>
        <v>32941560</v>
      </c>
      <c r="W2709" s="52">
        <f>T2709-V2709</f>
        <v>0</v>
      </c>
      <c r="X2709" s="10"/>
      <c r="Y2709" s="10"/>
      <c r="Z2709" s="10"/>
      <c r="AA2709" s="10"/>
      <c r="AB2709" s="10"/>
      <c r="AC2709" s="10"/>
      <c r="AD2709" s="10"/>
      <c r="AE2709" s="10"/>
    </row>
    <row r="2710" spans="1:31" ht="14.25" customHeight="1">
      <c r="A2710" s="277" t="s">
        <v>6683</v>
      </c>
      <c r="B2710" s="9" t="s">
        <v>21</v>
      </c>
      <c r="C2710" s="9">
        <v>2025</v>
      </c>
      <c r="D2710" s="9" t="s">
        <v>27</v>
      </c>
      <c r="E2710" s="90" t="s">
        <v>1517</v>
      </c>
      <c r="F2710" s="9" t="s">
        <v>1521</v>
      </c>
      <c r="G2710" s="10"/>
      <c r="H2710" s="9"/>
      <c r="I2710" s="179" t="s">
        <v>1519</v>
      </c>
      <c r="J2710" s="115">
        <v>45688</v>
      </c>
      <c r="K2710" s="115"/>
      <c r="L2710" s="268">
        <v>14283210</v>
      </c>
      <c r="M2710" s="117" t="s">
        <v>1522</v>
      </c>
      <c r="N2710" s="34" t="s">
        <v>29</v>
      </c>
      <c r="O2710" s="125"/>
      <c r="P2710" s="113">
        <v>46062</v>
      </c>
      <c r="Q2710" s="113">
        <v>46062</v>
      </c>
      <c r="R2710" s="113">
        <v>46062</v>
      </c>
      <c r="S2710" s="37">
        <f t="shared" ref="S2710:S2714" si="567">IF(R2710="",0,L2710)</f>
        <v>14283210</v>
      </c>
      <c r="T2710" s="37">
        <f t="shared" ref="T2710:T2714" si="568">L2710-S2710</f>
        <v>0</v>
      </c>
      <c r="U2710" s="10"/>
      <c r="V2710" s="10"/>
      <c r="W2710" s="10"/>
      <c r="X2710" s="10"/>
      <c r="Y2710" s="10"/>
      <c r="Z2710" s="10"/>
      <c r="AA2710" s="10"/>
      <c r="AB2710" s="10"/>
      <c r="AC2710" s="10"/>
      <c r="AD2710" s="10"/>
      <c r="AE2710" s="10"/>
    </row>
    <row r="2711" spans="1:31" ht="14.25" customHeight="1">
      <c r="A2711" s="277" t="s">
        <v>6684</v>
      </c>
      <c r="B2711" s="9" t="s">
        <v>21</v>
      </c>
      <c r="C2711" s="9">
        <v>2025</v>
      </c>
      <c r="D2711" s="9" t="s">
        <v>27</v>
      </c>
      <c r="E2711" s="90" t="s">
        <v>1517</v>
      </c>
      <c r="F2711" s="9" t="s">
        <v>1521</v>
      </c>
      <c r="G2711" s="10"/>
      <c r="H2711" s="9"/>
      <c r="I2711" s="179" t="s">
        <v>1519</v>
      </c>
      <c r="J2711" s="115">
        <v>45716</v>
      </c>
      <c r="K2711" s="115"/>
      <c r="L2711" s="268">
        <v>14199320</v>
      </c>
      <c r="M2711" s="117" t="s">
        <v>1523</v>
      </c>
      <c r="N2711" s="34" t="s">
        <v>29</v>
      </c>
      <c r="O2711" s="125"/>
      <c r="P2711" s="113">
        <v>46062</v>
      </c>
      <c r="Q2711" s="113">
        <v>46062</v>
      </c>
      <c r="R2711" s="113">
        <v>46062</v>
      </c>
      <c r="S2711" s="37">
        <f t="shared" si="567"/>
        <v>14199320</v>
      </c>
      <c r="T2711" s="37">
        <f t="shared" si="568"/>
        <v>0</v>
      </c>
      <c r="U2711" s="10"/>
      <c r="V2711" s="10"/>
      <c r="W2711" s="10"/>
      <c r="X2711" s="10"/>
      <c r="Y2711" s="10"/>
      <c r="Z2711" s="10"/>
      <c r="AA2711" s="10"/>
      <c r="AB2711" s="10"/>
      <c r="AC2711" s="10"/>
      <c r="AD2711" s="10"/>
      <c r="AE2711" s="10"/>
    </row>
    <row r="2712" spans="1:31" ht="14.25" customHeight="1">
      <c r="A2712" s="277" t="s">
        <v>6685</v>
      </c>
      <c r="B2712" s="9" t="s">
        <v>21</v>
      </c>
      <c r="C2712" s="9">
        <v>2025</v>
      </c>
      <c r="D2712" s="9" t="s">
        <v>27</v>
      </c>
      <c r="E2712" s="90" t="s">
        <v>1517</v>
      </c>
      <c r="F2712" s="9" t="s">
        <v>1521</v>
      </c>
      <c r="G2712" s="10"/>
      <c r="H2712" s="9"/>
      <c r="I2712" s="179" t="s">
        <v>1519</v>
      </c>
      <c r="J2712" s="115">
        <v>45747</v>
      </c>
      <c r="K2712" s="115"/>
      <c r="L2712" s="268">
        <v>16883499</v>
      </c>
      <c r="M2712" s="117" t="s">
        <v>1524</v>
      </c>
      <c r="N2712" s="34" t="s">
        <v>29</v>
      </c>
      <c r="O2712" s="125"/>
      <c r="P2712" s="113">
        <v>46062</v>
      </c>
      <c r="Q2712" s="113">
        <v>46062</v>
      </c>
      <c r="R2712" s="113">
        <v>46062</v>
      </c>
      <c r="S2712" s="37">
        <f t="shared" si="567"/>
        <v>16883499</v>
      </c>
      <c r="T2712" s="37">
        <f t="shared" si="568"/>
        <v>0</v>
      </c>
      <c r="U2712" s="10"/>
      <c r="V2712" s="10"/>
      <c r="W2712" s="10"/>
      <c r="X2712" s="10"/>
      <c r="Y2712" s="10"/>
      <c r="Z2712" s="10"/>
      <c r="AA2712" s="10"/>
      <c r="AB2712" s="10"/>
      <c r="AC2712" s="10"/>
      <c r="AD2712" s="10"/>
      <c r="AE2712" s="10"/>
    </row>
    <row r="2713" spans="1:31" ht="14.25" customHeight="1">
      <c r="A2713" s="277" t="s">
        <v>6686</v>
      </c>
      <c r="B2713" s="9" t="s">
        <v>21</v>
      </c>
      <c r="C2713" s="9">
        <v>2025</v>
      </c>
      <c r="D2713" s="9" t="s">
        <v>27</v>
      </c>
      <c r="E2713" s="90" t="s">
        <v>1517</v>
      </c>
      <c r="F2713" s="9" t="s">
        <v>1521</v>
      </c>
      <c r="G2713" s="10"/>
      <c r="H2713" s="9"/>
      <c r="I2713" s="179" t="s">
        <v>1519</v>
      </c>
      <c r="J2713" s="115">
        <v>45777</v>
      </c>
      <c r="K2713" s="115"/>
      <c r="L2713" s="268">
        <v>13341918</v>
      </c>
      <c r="M2713" s="117" t="s">
        <v>1525</v>
      </c>
      <c r="N2713" s="34" t="s">
        <v>29</v>
      </c>
      <c r="O2713" s="125"/>
      <c r="P2713" s="113">
        <v>46062</v>
      </c>
      <c r="Q2713" s="113">
        <v>46062</v>
      </c>
      <c r="R2713" s="113">
        <v>46062</v>
      </c>
      <c r="S2713" s="37">
        <f t="shared" si="567"/>
        <v>13341918</v>
      </c>
      <c r="T2713" s="37">
        <f t="shared" si="568"/>
        <v>0</v>
      </c>
      <c r="U2713" s="10"/>
      <c r="V2713" s="10"/>
      <c r="W2713" s="10"/>
      <c r="X2713" s="10"/>
      <c r="Y2713" s="10"/>
      <c r="Z2713" s="10"/>
      <c r="AA2713" s="10"/>
      <c r="AB2713" s="10"/>
      <c r="AC2713" s="10"/>
      <c r="AD2713" s="10"/>
      <c r="AE2713" s="10"/>
    </row>
    <row r="2714" spans="1:31" ht="14.25" customHeight="1">
      <c r="A2714" s="277" t="s">
        <v>6687</v>
      </c>
      <c r="B2714" s="9" t="s">
        <v>21</v>
      </c>
      <c r="C2714" s="9">
        <v>2025</v>
      </c>
      <c r="D2714" s="9" t="s">
        <v>27</v>
      </c>
      <c r="E2714" s="90" t="s">
        <v>1517</v>
      </c>
      <c r="F2714" s="9" t="s">
        <v>1521</v>
      </c>
      <c r="G2714" s="10"/>
      <c r="H2714" s="9"/>
      <c r="I2714" s="179" t="s">
        <v>1519</v>
      </c>
      <c r="J2714" s="115">
        <v>45808</v>
      </c>
      <c r="K2714" s="115"/>
      <c r="L2714" s="268">
        <v>14941509</v>
      </c>
      <c r="M2714" s="117" t="s">
        <v>1526</v>
      </c>
      <c r="N2714" s="34" t="s">
        <v>29</v>
      </c>
      <c r="O2714" s="125"/>
      <c r="P2714" s="113">
        <v>46062</v>
      </c>
      <c r="Q2714" s="113">
        <v>46062</v>
      </c>
      <c r="R2714" s="113">
        <v>46062</v>
      </c>
      <c r="S2714" s="37">
        <f t="shared" si="567"/>
        <v>14941509</v>
      </c>
      <c r="T2714" s="37">
        <f t="shared" si="568"/>
        <v>0</v>
      </c>
      <c r="U2714" s="10"/>
      <c r="V2714" s="10"/>
      <c r="W2714" s="10"/>
      <c r="X2714" s="10"/>
      <c r="Y2714" s="10"/>
      <c r="Z2714" s="10"/>
      <c r="AA2714" s="10"/>
      <c r="AB2714" s="10"/>
      <c r="AC2714" s="10"/>
      <c r="AD2714" s="10"/>
      <c r="AE2714" s="10"/>
    </row>
    <row r="2715" spans="1:31" ht="14.25" customHeight="1">
      <c r="A2715" s="277" t="s">
        <v>6688</v>
      </c>
      <c r="B2715" s="9" t="s">
        <v>21</v>
      </c>
      <c r="C2715" s="9">
        <v>2025</v>
      </c>
      <c r="D2715" s="9" t="s">
        <v>27</v>
      </c>
      <c r="E2715" s="90" t="s">
        <v>1517</v>
      </c>
      <c r="F2715" s="9" t="s">
        <v>1521</v>
      </c>
      <c r="G2715" s="10"/>
      <c r="H2715" s="9"/>
      <c r="I2715" s="179" t="s">
        <v>1519</v>
      </c>
      <c r="J2715" s="115">
        <v>45838</v>
      </c>
      <c r="K2715" s="115"/>
      <c r="L2715" s="268">
        <v>12956976</v>
      </c>
      <c r="M2715" s="117" t="s">
        <v>4121</v>
      </c>
      <c r="N2715" s="34" t="s">
        <v>29</v>
      </c>
      <c r="O2715" s="125"/>
      <c r="P2715" s="113">
        <v>46062</v>
      </c>
      <c r="Q2715" s="113">
        <v>46062</v>
      </c>
      <c r="R2715" s="113">
        <v>46062</v>
      </c>
      <c r="S2715" s="37">
        <f t="shared" ref="S2715:S2720" si="569">IF(R2715="",0,L2715)</f>
        <v>12956976</v>
      </c>
      <c r="T2715" s="37">
        <f t="shared" ref="T2715:T2720" si="570">L2715-S2715</f>
        <v>0</v>
      </c>
      <c r="U2715" s="10"/>
      <c r="V2715" s="10"/>
      <c r="W2715" s="10"/>
      <c r="X2715" s="10"/>
      <c r="Y2715" s="10"/>
      <c r="Z2715" s="10"/>
      <c r="AA2715" s="10"/>
      <c r="AB2715" s="10"/>
      <c r="AC2715" s="10"/>
      <c r="AD2715" s="10"/>
      <c r="AE2715" s="10"/>
    </row>
    <row r="2716" spans="1:31" ht="14.25" customHeight="1">
      <c r="A2716" s="277" t="s">
        <v>6689</v>
      </c>
      <c r="B2716" s="9" t="s">
        <v>21</v>
      </c>
      <c r="C2716" s="9">
        <v>2025</v>
      </c>
      <c r="D2716" s="9" t="s">
        <v>27</v>
      </c>
      <c r="E2716" s="90" t="s">
        <v>1517</v>
      </c>
      <c r="F2716" s="9" t="s">
        <v>1521</v>
      </c>
      <c r="G2716" s="10"/>
      <c r="H2716" s="9"/>
      <c r="I2716" s="179" t="s">
        <v>1519</v>
      </c>
      <c r="J2716" s="115">
        <v>45869</v>
      </c>
      <c r="K2716" s="115"/>
      <c r="L2716" s="268">
        <v>12785040</v>
      </c>
      <c r="M2716" s="117" t="s">
        <v>4122</v>
      </c>
      <c r="N2716" s="34" t="s">
        <v>29</v>
      </c>
      <c r="O2716" s="125"/>
      <c r="P2716" s="113">
        <v>46062</v>
      </c>
      <c r="Q2716" s="113">
        <v>46062</v>
      </c>
      <c r="R2716" s="113">
        <v>46062</v>
      </c>
      <c r="S2716" s="37">
        <f t="shared" si="569"/>
        <v>12785040</v>
      </c>
      <c r="T2716" s="37">
        <f t="shared" si="570"/>
        <v>0</v>
      </c>
      <c r="U2716" s="10"/>
      <c r="V2716" s="10"/>
      <c r="W2716" s="10"/>
      <c r="X2716" s="10"/>
      <c r="Y2716" s="10"/>
      <c r="Z2716" s="10"/>
      <c r="AA2716" s="10"/>
      <c r="AB2716" s="10"/>
      <c r="AC2716" s="10"/>
      <c r="AD2716" s="10"/>
      <c r="AE2716" s="10"/>
    </row>
    <row r="2717" spans="1:31" ht="14.25" customHeight="1">
      <c r="A2717" s="277" t="s">
        <v>6690</v>
      </c>
      <c r="B2717" s="9" t="s">
        <v>21</v>
      </c>
      <c r="C2717" s="9">
        <v>2025</v>
      </c>
      <c r="D2717" s="9" t="s">
        <v>27</v>
      </c>
      <c r="E2717" s="90" t="s">
        <v>1517</v>
      </c>
      <c r="F2717" s="9" t="s">
        <v>1521</v>
      </c>
      <c r="G2717" s="10"/>
      <c r="H2717" s="9"/>
      <c r="I2717" s="179" t="s">
        <v>1519</v>
      </c>
      <c r="J2717" s="115">
        <v>45900</v>
      </c>
      <c r="K2717" s="115"/>
      <c r="L2717" s="268">
        <v>20951767</v>
      </c>
      <c r="M2717" s="117" t="s">
        <v>4123</v>
      </c>
      <c r="N2717" s="34" t="s">
        <v>29</v>
      </c>
      <c r="O2717" s="125"/>
      <c r="P2717" s="113">
        <v>46062</v>
      </c>
      <c r="Q2717" s="113">
        <v>46062</v>
      </c>
      <c r="R2717" s="113">
        <v>46062</v>
      </c>
      <c r="S2717" s="37">
        <f t="shared" si="569"/>
        <v>20951767</v>
      </c>
      <c r="T2717" s="37">
        <f t="shared" si="570"/>
        <v>0</v>
      </c>
      <c r="U2717" s="10"/>
      <c r="V2717" s="10"/>
      <c r="W2717" s="10"/>
      <c r="X2717" s="10"/>
      <c r="Y2717" s="10"/>
      <c r="Z2717" s="10"/>
      <c r="AA2717" s="10"/>
      <c r="AB2717" s="10"/>
      <c r="AC2717" s="10"/>
      <c r="AD2717" s="10"/>
      <c r="AE2717" s="10"/>
    </row>
    <row r="2718" spans="1:31" ht="14.25" customHeight="1">
      <c r="A2718" s="277" t="s">
        <v>6691</v>
      </c>
      <c r="B2718" s="9" t="s">
        <v>21</v>
      </c>
      <c r="C2718" s="9">
        <v>2025</v>
      </c>
      <c r="D2718" s="9" t="s">
        <v>27</v>
      </c>
      <c r="E2718" s="90" t="s">
        <v>1517</v>
      </c>
      <c r="F2718" s="9" t="s">
        <v>1521</v>
      </c>
      <c r="G2718" s="10"/>
      <c r="H2718" s="9"/>
      <c r="I2718" s="179" t="s">
        <v>1519</v>
      </c>
      <c r="J2718" s="115">
        <v>45930</v>
      </c>
      <c r="K2718" s="115"/>
      <c r="L2718" s="268">
        <v>16765361</v>
      </c>
      <c r="M2718" s="117" t="s">
        <v>4124</v>
      </c>
      <c r="N2718" s="34" t="s">
        <v>29</v>
      </c>
      <c r="O2718" s="125"/>
      <c r="P2718" s="113">
        <v>46062</v>
      </c>
      <c r="Q2718" s="113">
        <v>46062</v>
      </c>
      <c r="R2718" s="113">
        <v>46062</v>
      </c>
      <c r="S2718" s="37">
        <f t="shared" si="569"/>
        <v>16765361</v>
      </c>
      <c r="T2718" s="37">
        <f t="shared" si="570"/>
        <v>0</v>
      </c>
      <c r="U2718" s="10"/>
      <c r="V2718" s="10"/>
      <c r="W2718" s="10"/>
      <c r="X2718" s="10"/>
      <c r="Y2718" s="10"/>
      <c r="Z2718" s="10"/>
      <c r="AA2718" s="10"/>
      <c r="AB2718" s="10"/>
      <c r="AC2718" s="10"/>
      <c r="AD2718" s="10"/>
      <c r="AE2718" s="10"/>
    </row>
    <row r="2719" spans="1:31" ht="14.25" customHeight="1">
      <c r="A2719" s="277" t="s">
        <v>6692</v>
      </c>
      <c r="B2719" s="9" t="s">
        <v>21</v>
      </c>
      <c r="C2719" s="9">
        <v>2025</v>
      </c>
      <c r="D2719" s="9" t="s">
        <v>27</v>
      </c>
      <c r="E2719" s="90" t="s">
        <v>1517</v>
      </c>
      <c r="F2719" s="9" t="s">
        <v>1521</v>
      </c>
      <c r="G2719" s="10"/>
      <c r="H2719" s="9"/>
      <c r="I2719" s="179" t="s">
        <v>1519</v>
      </c>
      <c r="J2719" s="115">
        <v>45961</v>
      </c>
      <c r="K2719" s="115"/>
      <c r="L2719" s="268">
        <v>15051047</v>
      </c>
      <c r="M2719" s="117" t="s">
        <v>4125</v>
      </c>
      <c r="N2719" s="34" t="s">
        <v>29</v>
      </c>
      <c r="O2719" s="125"/>
      <c r="P2719" s="113">
        <v>46062</v>
      </c>
      <c r="Q2719" s="113">
        <v>46062</v>
      </c>
      <c r="R2719" s="113">
        <v>46062</v>
      </c>
      <c r="S2719" s="37">
        <f t="shared" si="569"/>
        <v>15051047</v>
      </c>
      <c r="T2719" s="37">
        <f t="shared" si="570"/>
        <v>0</v>
      </c>
      <c r="U2719" s="10"/>
      <c r="V2719" s="10"/>
      <c r="W2719" s="10"/>
      <c r="X2719" s="10"/>
      <c r="Y2719" s="10"/>
      <c r="Z2719" s="10"/>
      <c r="AA2719" s="10"/>
      <c r="AB2719" s="10"/>
      <c r="AC2719" s="10"/>
      <c r="AD2719" s="10"/>
      <c r="AE2719" s="10"/>
    </row>
    <row r="2720" spans="1:31" ht="14.25" customHeight="1">
      <c r="A2720" s="277" t="s">
        <v>6693</v>
      </c>
      <c r="B2720" s="9" t="s">
        <v>21</v>
      </c>
      <c r="C2720" s="9">
        <v>2025</v>
      </c>
      <c r="D2720" s="9" t="s">
        <v>27</v>
      </c>
      <c r="E2720" s="90" t="s">
        <v>1517</v>
      </c>
      <c r="F2720" s="9" t="s">
        <v>1521</v>
      </c>
      <c r="G2720" s="10"/>
      <c r="H2720" s="9"/>
      <c r="I2720" s="179" t="s">
        <v>1519</v>
      </c>
      <c r="J2720" s="115">
        <v>45991</v>
      </c>
      <c r="K2720" s="115"/>
      <c r="L2720" s="268">
        <v>15445588</v>
      </c>
      <c r="M2720" s="117" t="s">
        <v>4126</v>
      </c>
      <c r="N2720" s="34" t="s">
        <v>29</v>
      </c>
      <c r="O2720" s="125"/>
      <c r="P2720" s="113">
        <v>46062</v>
      </c>
      <c r="Q2720" s="113">
        <v>46062</v>
      </c>
      <c r="R2720" s="113">
        <v>46062</v>
      </c>
      <c r="S2720" s="37">
        <f t="shared" si="569"/>
        <v>15445588</v>
      </c>
      <c r="T2720" s="37">
        <f t="shared" si="570"/>
        <v>0</v>
      </c>
      <c r="U2720" s="10"/>
      <c r="V2720" s="10"/>
      <c r="W2720" s="10"/>
      <c r="X2720" s="10"/>
      <c r="Y2720" s="10"/>
      <c r="Z2720" s="10"/>
      <c r="AA2720" s="10"/>
      <c r="AB2720" s="10"/>
      <c r="AC2720" s="10"/>
      <c r="AD2720" s="10"/>
      <c r="AE2720" s="10"/>
    </row>
    <row r="2721" spans="1:31" ht="14.25" customHeight="1">
      <c r="A2721" s="277" t="s">
        <v>6694</v>
      </c>
      <c r="B2721" s="9" t="s">
        <v>21</v>
      </c>
      <c r="C2721" s="9">
        <v>2025</v>
      </c>
      <c r="D2721" s="9" t="s">
        <v>27</v>
      </c>
      <c r="E2721" s="90" t="s">
        <v>1517</v>
      </c>
      <c r="F2721" s="9" t="s">
        <v>1521</v>
      </c>
      <c r="G2721" s="10"/>
      <c r="H2721" s="9"/>
      <c r="I2721" s="179" t="s">
        <v>1519</v>
      </c>
      <c r="J2721" s="115">
        <v>46022</v>
      </c>
      <c r="K2721" s="115"/>
      <c r="L2721" s="272">
        <v>5986644</v>
      </c>
      <c r="M2721" s="117" t="s">
        <v>4456</v>
      </c>
      <c r="N2721" s="34" t="s">
        <v>29</v>
      </c>
      <c r="O2721" s="125"/>
      <c r="P2721" s="113">
        <v>46077</v>
      </c>
      <c r="Q2721" s="113">
        <v>46077</v>
      </c>
      <c r="R2721" s="113">
        <v>46077</v>
      </c>
      <c r="S2721" s="37">
        <f>IF(R2721="",0,L2721)</f>
        <v>5986644</v>
      </c>
      <c r="T2721" s="37">
        <f>L2721-S2721</f>
        <v>0</v>
      </c>
      <c r="U2721" s="10"/>
      <c r="V2721" s="10"/>
      <c r="W2721" s="10"/>
      <c r="X2721" s="10"/>
      <c r="Y2721" s="10"/>
      <c r="Z2721" s="10"/>
      <c r="AA2721" s="10"/>
      <c r="AB2721" s="10"/>
      <c r="AC2721" s="10"/>
      <c r="AD2721" s="10"/>
      <c r="AE2721" s="10"/>
    </row>
    <row r="2722" spans="1:31" ht="14.25" customHeight="1">
      <c r="A2722" s="277" t="s">
        <v>6695</v>
      </c>
      <c r="B2722" s="9" t="s">
        <v>21</v>
      </c>
      <c r="C2722" s="9">
        <v>2026</v>
      </c>
      <c r="D2722" s="9" t="s">
        <v>27</v>
      </c>
      <c r="E2722" s="90" t="s">
        <v>1517</v>
      </c>
      <c r="F2722" s="9" t="s">
        <v>1521</v>
      </c>
      <c r="G2722" s="10"/>
      <c r="H2722" s="9"/>
      <c r="I2722" s="179" t="s">
        <v>1519</v>
      </c>
      <c r="J2722" s="115">
        <v>46053</v>
      </c>
      <c r="K2722" s="115"/>
      <c r="L2722" s="272">
        <v>14334481</v>
      </c>
      <c r="M2722" s="117" t="s">
        <v>7051</v>
      </c>
      <c r="N2722" s="34" t="s">
        <v>29</v>
      </c>
      <c r="O2722" s="125"/>
      <c r="P2722" s="113">
        <v>46151</v>
      </c>
      <c r="Q2722" s="113">
        <v>46151</v>
      </c>
      <c r="R2722" s="113">
        <v>46151</v>
      </c>
      <c r="S2722" s="37">
        <f t="shared" ref="S2722:S2728" si="571">IF(R2722="",0,L2722)</f>
        <v>14334481</v>
      </c>
      <c r="T2722" s="37">
        <f t="shared" ref="T2722:T2728" si="572">L2722-S2722</f>
        <v>0</v>
      </c>
      <c r="U2722" s="10"/>
      <c r="V2722" s="10"/>
      <c r="W2722" s="10"/>
      <c r="X2722" s="10"/>
      <c r="Y2722" s="10"/>
      <c r="Z2722" s="10"/>
      <c r="AA2722" s="10"/>
      <c r="AB2722" s="10"/>
      <c r="AC2722" s="10"/>
      <c r="AD2722" s="10"/>
      <c r="AE2722" s="10"/>
    </row>
    <row r="2723" spans="1:31" ht="14.25" customHeight="1">
      <c r="A2723" s="277" t="s">
        <v>6696</v>
      </c>
      <c r="B2723" s="9" t="s">
        <v>21</v>
      </c>
      <c r="C2723" s="9">
        <v>2026</v>
      </c>
      <c r="D2723" s="9" t="s">
        <v>27</v>
      </c>
      <c r="E2723" s="90" t="s">
        <v>1517</v>
      </c>
      <c r="F2723" s="9" t="s">
        <v>1521</v>
      </c>
      <c r="G2723" s="10"/>
      <c r="H2723" s="9"/>
      <c r="I2723" s="179" t="s">
        <v>1519</v>
      </c>
      <c r="J2723" s="115">
        <v>46081</v>
      </c>
      <c r="K2723" s="115"/>
      <c r="L2723" s="267">
        <f>13456132+346156</f>
        <v>13802288</v>
      </c>
      <c r="M2723" s="117" t="s">
        <v>7438</v>
      </c>
      <c r="N2723" s="34" t="s">
        <v>29</v>
      </c>
      <c r="O2723" s="125"/>
      <c r="P2723" s="113">
        <v>46204</v>
      </c>
      <c r="Q2723" s="113">
        <v>46204</v>
      </c>
      <c r="R2723" s="113">
        <v>46204</v>
      </c>
      <c r="S2723" s="37">
        <f t="shared" si="571"/>
        <v>13802288</v>
      </c>
      <c r="T2723" s="37">
        <f t="shared" si="572"/>
        <v>0</v>
      </c>
      <c r="U2723" s="10"/>
      <c r="V2723" s="10"/>
      <c r="W2723" s="10"/>
      <c r="X2723" s="10"/>
      <c r="Y2723" s="10"/>
      <c r="Z2723" s="10"/>
      <c r="AA2723" s="10"/>
      <c r="AB2723" s="10"/>
      <c r="AC2723" s="10"/>
      <c r="AD2723" s="10"/>
      <c r="AE2723" s="10"/>
    </row>
    <row r="2724" spans="1:31" ht="14.25" customHeight="1">
      <c r="A2724" s="277" t="s">
        <v>6697</v>
      </c>
      <c r="B2724" s="9" t="s">
        <v>21</v>
      </c>
      <c r="C2724" s="9">
        <v>2026</v>
      </c>
      <c r="D2724" s="9" t="s">
        <v>27</v>
      </c>
      <c r="E2724" s="90" t="s">
        <v>1517</v>
      </c>
      <c r="F2724" s="9" t="s">
        <v>1521</v>
      </c>
      <c r="G2724" s="10"/>
      <c r="H2724" s="9"/>
      <c r="I2724" s="179" t="s">
        <v>1519</v>
      </c>
      <c r="J2724" s="115">
        <v>46112</v>
      </c>
      <c r="K2724" s="115"/>
      <c r="L2724" s="267">
        <f>11169240+453324</f>
        <v>11622564</v>
      </c>
      <c r="M2724" s="117" t="s">
        <v>7439</v>
      </c>
      <c r="N2724" s="34" t="s">
        <v>29</v>
      </c>
      <c r="O2724" s="125"/>
      <c r="P2724" s="113">
        <v>46228</v>
      </c>
      <c r="Q2724" s="113">
        <v>46228</v>
      </c>
      <c r="R2724" s="113">
        <v>46228</v>
      </c>
      <c r="S2724" s="37">
        <f t="shared" si="571"/>
        <v>11622564</v>
      </c>
      <c r="T2724" s="37">
        <f t="shared" si="572"/>
        <v>0</v>
      </c>
      <c r="U2724" s="10"/>
      <c r="V2724" s="10"/>
      <c r="W2724" s="10"/>
      <c r="X2724" s="10"/>
      <c r="Y2724" s="10"/>
      <c r="Z2724" s="10"/>
      <c r="AA2724" s="10"/>
      <c r="AB2724" s="10"/>
      <c r="AC2724" s="10"/>
      <c r="AD2724" s="10"/>
      <c r="AE2724" s="10"/>
    </row>
    <row r="2725" spans="1:31" ht="14.25" customHeight="1">
      <c r="A2725" s="277" t="s">
        <v>6698</v>
      </c>
      <c r="B2725" s="9" t="s">
        <v>21</v>
      </c>
      <c r="C2725" s="9">
        <v>2026</v>
      </c>
      <c r="D2725" s="9" t="s">
        <v>77</v>
      </c>
      <c r="E2725" s="90" t="s">
        <v>1517</v>
      </c>
      <c r="F2725" s="9" t="s">
        <v>1521</v>
      </c>
      <c r="G2725" s="10"/>
      <c r="H2725" s="9"/>
      <c r="I2725" s="180" t="s">
        <v>1519</v>
      </c>
      <c r="J2725" s="12">
        <v>46142</v>
      </c>
      <c r="K2725" s="12"/>
      <c r="L2725" s="278">
        <v>9640511</v>
      </c>
      <c r="M2725" s="10" t="s">
        <v>7054</v>
      </c>
      <c r="N2725" s="34">
        <f t="shared" ref="N2725:N2726" ca="1" si="573">$J$3-J2724</f>
        <v>128.46377638888953</v>
      </c>
      <c r="O2725" s="125"/>
      <c r="P2725" s="39"/>
      <c r="Q2725" s="39"/>
      <c r="R2725" s="39"/>
      <c r="S2725" s="37">
        <f t="shared" si="571"/>
        <v>0</v>
      </c>
      <c r="T2725" s="37">
        <f t="shared" si="572"/>
        <v>9640511</v>
      </c>
      <c r="U2725" s="10"/>
      <c r="V2725" s="10"/>
      <c r="W2725" s="10"/>
      <c r="X2725" s="10"/>
      <c r="Y2725" s="10"/>
      <c r="Z2725" s="10"/>
      <c r="AA2725" s="10"/>
      <c r="AB2725" s="10"/>
      <c r="AC2725" s="10"/>
      <c r="AD2725" s="10"/>
      <c r="AE2725" s="10"/>
    </row>
    <row r="2726" spans="1:31" ht="14.25" customHeight="1">
      <c r="A2726" s="277" t="s">
        <v>6699</v>
      </c>
      <c r="B2726" s="9" t="s">
        <v>21</v>
      </c>
      <c r="C2726" s="9">
        <v>2026</v>
      </c>
      <c r="D2726" s="9" t="s">
        <v>77</v>
      </c>
      <c r="E2726" s="90" t="s">
        <v>1517</v>
      </c>
      <c r="F2726" s="9" t="s">
        <v>1521</v>
      </c>
      <c r="G2726" s="10"/>
      <c r="H2726" s="9"/>
      <c r="I2726" s="180" t="s">
        <v>1519</v>
      </c>
      <c r="J2726" s="12">
        <v>46142</v>
      </c>
      <c r="K2726" s="12"/>
      <c r="L2726" s="278">
        <v>12297195</v>
      </c>
      <c r="M2726" s="10" t="s">
        <v>7129</v>
      </c>
      <c r="N2726" s="34">
        <f t="shared" ca="1" si="573"/>
        <v>98.463776388889528</v>
      </c>
      <c r="O2726" s="125"/>
      <c r="P2726" s="39"/>
      <c r="Q2726" s="39"/>
      <c r="R2726" s="39"/>
      <c r="S2726" s="37">
        <f t="shared" si="571"/>
        <v>0</v>
      </c>
      <c r="T2726" s="37">
        <f t="shared" si="572"/>
        <v>12297195</v>
      </c>
      <c r="U2726" s="10"/>
      <c r="V2726" s="10"/>
      <c r="W2726" s="10"/>
      <c r="X2726" s="10"/>
      <c r="Y2726" s="10"/>
      <c r="Z2726" s="10"/>
      <c r="AA2726" s="10"/>
      <c r="AB2726" s="10"/>
      <c r="AC2726" s="10"/>
      <c r="AD2726" s="10"/>
      <c r="AE2726" s="10"/>
    </row>
    <row r="2727" spans="1:31" ht="14.25" customHeight="1">
      <c r="A2727" s="277" t="s">
        <v>6700</v>
      </c>
      <c r="B2727" s="9" t="s">
        <v>21</v>
      </c>
      <c r="C2727" s="9">
        <v>2026</v>
      </c>
      <c r="D2727" s="9" t="s">
        <v>77</v>
      </c>
      <c r="E2727" s="90" t="s">
        <v>1517</v>
      </c>
      <c r="F2727" s="9" t="s">
        <v>1521</v>
      </c>
      <c r="G2727" s="10"/>
      <c r="H2727" s="9"/>
      <c r="I2727" s="180" t="s">
        <v>1519</v>
      </c>
      <c r="J2727" s="12">
        <v>46172</v>
      </c>
      <c r="K2727" s="12"/>
      <c r="L2727" s="278">
        <v>11003854</v>
      </c>
      <c r="M2727" s="10" t="s">
        <v>7437</v>
      </c>
      <c r="N2727" s="34">
        <f t="shared" ref="N2727" ca="1" si="574">$J$3-J2726</f>
        <v>98.463776388889528</v>
      </c>
      <c r="O2727" s="125"/>
      <c r="P2727" s="39"/>
      <c r="Q2727" s="39"/>
      <c r="R2727" s="39"/>
      <c r="S2727" s="37">
        <f t="shared" ref="S2727" si="575">IF(R2727="",0,L2727)</f>
        <v>0</v>
      </c>
      <c r="T2727" s="37">
        <f t="shared" ref="T2727" si="576">L2727-S2727</f>
        <v>11003854</v>
      </c>
      <c r="U2727" s="10"/>
      <c r="V2727" s="10"/>
      <c r="W2727" s="10"/>
      <c r="X2727" s="10"/>
      <c r="Y2727" s="10"/>
      <c r="Z2727" s="10"/>
      <c r="AA2727" s="10"/>
      <c r="AB2727" s="10"/>
      <c r="AC2727" s="10"/>
      <c r="AD2727" s="10"/>
      <c r="AE2727" s="10"/>
    </row>
    <row r="2728" spans="1:31" ht="14.25" customHeight="1">
      <c r="A2728" s="277" t="s">
        <v>6701</v>
      </c>
      <c r="B2728" s="9" t="s">
        <v>21</v>
      </c>
      <c r="C2728" s="9"/>
      <c r="D2728" s="9"/>
      <c r="E2728" s="90"/>
      <c r="F2728" s="9"/>
      <c r="G2728" s="10"/>
      <c r="H2728" s="9"/>
      <c r="I2728" s="125"/>
      <c r="J2728" s="12"/>
      <c r="K2728" s="12"/>
      <c r="L2728" s="52"/>
      <c r="M2728" s="10"/>
      <c r="N2728" s="114">
        <f ca="1">$J$3-J2728</f>
        <v>46240.46377638889</v>
      </c>
      <c r="O2728" s="11"/>
      <c r="P2728" s="39"/>
      <c r="Q2728" s="39"/>
      <c r="R2728" s="39"/>
      <c r="S2728" s="37">
        <f t="shared" si="571"/>
        <v>0</v>
      </c>
      <c r="T2728" s="37">
        <f t="shared" si="572"/>
        <v>0</v>
      </c>
      <c r="U2728" s="10"/>
      <c r="V2728" s="10"/>
      <c r="W2728" s="10"/>
      <c r="X2728" s="10"/>
      <c r="Y2728" s="10"/>
      <c r="Z2728" s="10"/>
      <c r="AA2728" s="10"/>
      <c r="AB2728" s="10"/>
      <c r="AC2728" s="10"/>
      <c r="AD2728" s="10"/>
      <c r="AE2728" s="10"/>
    </row>
    <row r="2729" spans="1:31" ht="14.25" customHeight="1">
      <c r="A2729" s="277" t="s">
        <v>6702</v>
      </c>
      <c r="B2729" s="9" t="s">
        <v>21</v>
      </c>
      <c r="C2729" s="9"/>
      <c r="D2729" s="9"/>
      <c r="E2729" s="90"/>
      <c r="F2729" s="9"/>
      <c r="G2729" s="10"/>
      <c r="H2729" s="9"/>
      <c r="I2729" s="93"/>
      <c r="J2729" s="12"/>
      <c r="K2729" s="12"/>
      <c r="L2729" s="86"/>
      <c r="M2729" s="10"/>
      <c r="N2729" s="9"/>
      <c r="O2729" s="11"/>
      <c r="P2729" s="39"/>
      <c r="Q2729" s="39"/>
      <c r="R2729" s="39"/>
      <c r="S2729" s="37"/>
      <c r="T2729" s="37"/>
      <c r="U2729" s="10"/>
      <c r="V2729" s="10"/>
      <c r="W2729" s="10"/>
      <c r="X2729" s="10"/>
      <c r="Y2729" s="10"/>
      <c r="Z2729" s="10"/>
      <c r="AA2729" s="10"/>
      <c r="AB2729" s="10"/>
      <c r="AC2729" s="10"/>
      <c r="AD2729" s="10"/>
      <c r="AE2729" s="10"/>
    </row>
    <row r="2730" spans="1:31" ht="14.25" customHeight="1">
      <c r="A2730" s="277" t="s">
        <v>6703</v>
      </c>
      <c r="B2730" s="9" t="s">
        <v>21</v>
      </c>
      <c r="C2730" s="9"/>
      <c r="D2730" s="9"/>
      <c r="E2730" s="90"/>
      <c r="F2730" s="9"/>
      <c r="G2730" s="94" t="s">
        <v>1518</v>
      </c>
      <c r="H2730" s="95" t="s">
        <v>1527</v>
      </c>
      <c r="I2730" s="104"/>
      <c r="J2730" s="105"/>
      <c r="K2730" s="105"/>
      <c r="L2730" s="106">
        <f>SUM(L2731:L2748)</f>
        <v>32178339</v>
      </c>
      <c r="M2730" s="107"/>
      <c r="N2730" s="108"/>
      <c r="O2730" s="108"/>
      <c r="P2730" s="108"/>
      <c r="Q2730" s="108"/>
      <c r="R2730" s="108"/>
      <c r="S2730" s="106">
        <f>SUM(S2731:S2748)</f>
        <v>28878994</v>
      </c>
      <c r="T2730" s="106">
        <f>SUM(T2731:T2748)</f>
        <v>3299345</v>
      </c>
      <c r="U2730" s="10"/>
      <c r="V2730" s="52">
        <f>L2730-S2730</f>
        <v>3299345</v>
      </c>
      <c r="W2730" s="52">
        <f>T2730-V2730</f>
        <v>0</v>
      </c>
      <c r="X2730" s="10"/>
      <c r="Y2730" s="10"/>
      <c r="Z2730" s="10"/>
      <c r="AA2730" s="10"/>
      <c r="AB2730" s="10"/>
      <c r="AC2730" s="10"/>
      <c r="AD2730" s="10"/>
      <c r="AE2730" s="10"/>
    </row>
    <row r="2731" spans="1:31" ht="14.25" customHeight="1">
      <c r="A2731" s="277" t="s">
        <v>6704</v>
      </c>
      <c r="B2731" s="9" t="s">
        <v>21</v>
      </c>
      <c r="C2731" s="9">
        <v>2025</v>
      </c>
      <c r="D2731" s="9" t="s">
        <v>27</v>
      </c>
      <c r="E2731" s="90" t="s">
        <v>1517</v>
      </c>
      <c r="F2731" s="9" t="s">
        <v>1521</v>
      </c>
      <c r="G2731" s="10"/>
      <c r="H2731" s="9"/>
      <c r="I2731" s="179" t="s">
        <v>1527</v>
      </c>
      <c r="J2731" s="115">
        <v>45698</v>
      </c>
      <c r="K2731" s="115"/>
      <c r="L2731" s="265">
        <f>999247+150000</f>
        <v>1149247</v>
      </c>
      <c r="M2731" s="266" t="s">
        <v>1528</v>
      </c>
      <c r="N2731" s="34" t="s">
        <v>29</v>
      </c>
      <c r="O2731" s="125"/>
      <c r="P2731" s="113">
        <v>45697</v>
      </c>
      <c r="Q2731" s="113">
        <v>45697</v>
      </c>
      <c r="R2731" s="113">
        <v>45697</v>
      </c>
      <c r="S2731" s="37">
        <f t="shared" ref="S2731:S2734" si="577">IF(R2731="",0,L2731)</f>
        <v>1149247</v>
      </c>
      <c r="T2731" s="37">
        <f t="shared" ref="T2731:T2734" si="578">L2731-S2731</f>
        <v>0</v>
      </c>
      <c r="U2731" s="10"/>
      <c r="V2731" s="10"/>
      <c r="W2731" s="10"/>
      <c r="X2731" s="10"/>
      <c r="Y2731" s="10"/>
      <c r="Z2731" s="10"/>
      <c r="AA2731" s="10"/>
      <c r="AB2731" s="10"/>
      <c r="AC2731" s="10"/>
      <c r="AD2731" s="10"/>
      <c r="AE2731" s="10"/>
    </row>
    <row r="2732" spans="1:31" ht="14.25" customHeight="1">
      <c r="A2732" s="277" t="s">
        <v>6705</v>
      </c>
      <c r="B2732" s="9" t="s">
        <v>21</v>
      </c>
      <c r="C2732" s="9">
        <v>2025</v>
      </c>
      <c r="D2732" s="9" t="s">
        <v>27</v>
      </c>
      <c r="E2732" s="90" t="s">
        <v>1517</v>
      </c>
      <c r="F2732" s="9" t="s">
        <v>1521</v>
      </c>
      <c r="G2732" s="10"/>
      <c r="H2732" s="9"/>
      <c r="I2732" s="179" t="s">
        <v>1527</v>
      </c>
      <c r="J2732" s="115">
        <v>45726</v>
      </c>
      <c r="K2732" s="115"/>
      <c r="L2732" s="137">
        <f>989536+150000</f>
        <v>1139536</v>
      </c>
      <c r="M2732" s="117" t="s">
        <v>1529</v>
      </c>
      <c r="N2732" s="34" t="s">
        <v>29</v>
      </c>
      <c r="O2732" s="125"/>
      <c r="P2732" s="113">
        <v>45721</v>
      </c>
      <c r="Q2732" s="113">
        <v>45721</v>
      </c>
      <c r="R2732" s="113">
        <v>45721</v>
      </c>
      <c r="S2732" s="37">
        <f t="shared" si="577"/>
        <v>1139536</v>
      </c>
      <c r="T2732" s="37">
        <f t="shared" si="578"/>
        <v>0</v>
      </c>
      <c r="U2732" s="10"/>
      <c r="V2732" s="10"/>
      <c r="W2732" s="10"/>
      <c r="X2732" s="10"/>
      <c r="Y2732" s="10"/>
      <c r="Z2732" s="10"/>
      <c r="AA2732" s="10"/>
      <c r="AB2732" s="10"/>
      <c r="AC2732" s="10"/>
      <c r="AD2732" s="10"/>
      <c r="AE2732" s="10"/>
    </row>
    <row r="2733" spans="1:31" ht="14.25" customHeight="1">
      <c r="A2733" s="277" t="s">
        <v>6706</v>
      </c>
      <c r="B2733" s="9" t="s">
        <v>21</v>
      </c>
      <c r="C2733" s="9">
        <v>2025</v>
      </c>
      <c r="D2733" s="9" t="s">
        <v>27</v>
      </c>
      <c r="E2733" s="90" t="s">
        <v>1517</v>
      </c>
      <c r="F2733" s="9" t="s">
        <v>1521</v>
      </c>
      <c r="G2733" s="10"/>
      <c r="H2733" s="9"/>
      <c r="I2733" s="179" t="s">
        <v>1527</v>
      </c>
      <c r="J2733" s="115">
        <v>45757</v>
      </c>
      <c r="K2733" s="115"/>
      <c r="L2733" s="137">
        <f>13633915+1600000</f>
        <v>15233915</v>
      </c>
      <c r="M2733" s="117" t="s">
        <v>1530</v>
      </c>
      <c r="N2733" s="34" t="s">
        <v>29</v>
      </c>
      <c r="O2733" s="125"/>
      <c r="P2733" s="113">
        <v>45985</v>
      </c>
      <c r="Q2733" s="113">
        <v>45985</v>
      </c>
      <c r="R2733" s="113">
        <v>45985</v>
      </c>
      <c r="S2733" s="37">
        <f t="shared" si="577"/>
        <v>15233915</v>
      </c>
      <c r="T2733" s="37">
        <f t="shared" si="578"/>
        <v>0</v>
      </c>
      <c r="U2733" s="10"/>
      <c r="V2733" s="10"/>
      <c r="W2733" s="10"/>
      <c r="X2733" s="10"/>
      <c r="Y2733" s="10"/>
      <c r="Z2733" s="10"/>
      <c r="AA2733" s="10"/>
      <c r="AB2733" s="10"/>
      <c r="AC2733" s="10"/>
      <c r="AD2733" s="10"/>
      <c r="AE2733" s="10"/>
    </row>
    <row r="2734" spans="1:31" ht="14.25" customHeight="1">
      <c r="A2734" s="277" t="s">
        <v>6707</v>
      </c>
      <c r="B2734" s="9" t="s">
        <v>21</v>
      </c>
      <c r="C2734" s="9">
        <v>2025</v>
      </c>
      <c r="D2734" s="9" t="s">
        <v>27</v>
      </c>
      <c r="E2734" s="90" t="s">
        <v>1517</v>
      </c>
      <c r="F2734" s="9" t="s">
        <v>1521</v>
      </c>
      <c r="G2734" s="10"/>
      <c r="H2734" s="9"/>
      <c r="I2734" s="179" t="s">
        <v>1527</v>
      </c>
      <c r="J2734" s="115">
        <v>45787</v>
      </c>
      <c r="K2734" s="115"/>
      <c r="L2734" s="137">
        <f>850000+150000</f>
        <v>1000000</v>
      </c>
      <c r="M2734" s="117" t="s">
        <v>1531</v>
      </c>
      <c r="N2734" s="34" t="s">
        <v>29</v>
      </c>
      <c r="O2734" s="125"/>
      <c r="P2734" s="113">
        <v>46000</v>
      </c>
      <c r="Q2734" s="113">
        <v>46000</v>
      </c>
      <c r="R2734" s="113">
        <v>46000</v>
      </c>
      <c r="S2734" s="37">
        <f t="shared" si="577"/>
        <v>1000000</v>
      </c>
      <c r="T2734" s="37">
        <f t="shared" si="578"/>
        <v>0</v>
      </c>
      <c r="U2734" s="10"/>
      <c r="V2734" s="10"/>
      <c r="W2734" s="10"/>
      <c r="X2734" s="10"/>
      <c r="Y2734" s="10"/>
      <c r="Z2734" s="10"/>
      <c r="AA2734" s="10"/>
      <c r="AB2734" s="10"/>
      <c r="AC2734" s="10"/>
      <c r="AD2734" s="10"/>
      <c r="AE2734" s="10"/>
    </row>
    <row r="2735" spans="1:31" ht="14.25" customHeight="1">
      <c r="A2735" s="277" t="s">
        <v>6708</v>
      </c>
      <c r="B2735" s="9" t="s">
        <v>21</v>
      </c>
      <c r="C2735" s="9">
        <v>2025</v>
      </c>
      <c r="D2735" s="9" t="s">
        <v>27</v>
      </c>
      <c r="E2735" s="90" t="s">
        <v>1517</v>
      </c>
      <c r="F2735" s="9" t="s">
        <v>1521</v>
      </c>
      <c r="G2735" s="10"/>
      <c r="H2735" s="9"/>
      <c r="I2735" s="179" t="s">
        <v>1527</v>
      </c>
      <c r="J2735" s="115">
        <v>45818</v>
      </c>
      <c r="K2735" s="115"/>
      <c r="L2735" s="137">
        <f>674913+150000</f>
        <v>824913</v>
      </c>
      <c r="M2735" s="117" t="s">
        <v>1532</v>
      </c>
      <c r="N2735" s="34" t="s">
        <v>29</v>
      </c>
      <c r="O2735" s="125"/>
      <c r="P2735" s="113">
        <v>46001</v>
      </c>
      <c r="Q2735" s="113">
        <v>46001</v>
      </c>
      <c r="R2735" s="113">
        <v>46001</v>
      </c>
      <c r="S2735" s="37">
        <f t="shared" ref="S2735:S2741" si="579">IF(R2735="",0,L2735)</f>
        <v>824913</v>
      </c>
      <c r="T2735" s="37">
        <f t="shared" ref="T2735:T2741" si="580">L2735-S2735</f>
        <v>0</v>
      </c>
      <c r="U2735" s="10"/>
      <c r="V2735" s="10"/>
      <c r="W2735" s="10"/>
      <c r="X2735" s="10"/>
      <c r="Y2735" s="10"/>
      <c r="Z2735" s="10"/>
      <c r="AA2735" s="10"/>
      <c r="AB2735" s="10"/>
      <c r="AC2735" s="10"/>
      <c r="AD2735" s="10"/>
      <c r="AE2735" s="10"/>
    </row>
    <row r="2736" spans="1:31" ht="14.25" customHeight="1">
      <c r="A2736" s="277" t="s">
        <v>6709</v>
      </c>
      <c r="B2736" s="9" t="s">
        <v>21</v>
      </c>
      <c r="C2736" s="9">
        <v>2025</v>
      </c>
      <c r="D2736" s="9" t="s">
        <v>27</v>
      </c>
      <c r="E2736" s="90" t="s">
        <v>1517</v>
      </c>
      <c r="F2736" s="9" t="s">
        <v>1521</v>
      </c>
      <c r="G2736" s="10"/>
      <c r="H2736" s="9"/>
      <c r="I2736" s="179" t="s">
        <v>1527</v>
      </c>
      <c r="J2736" s="115">
        <v>45848</v>
      </c>
      <c r="K2736" s="115"/>
      <c r="L2736" s="267">
        <f>832161+150000</f>
        <v>982161</v>
      </c>
      <c r="M2736" s="117" t="s">
        <v>1533</v>
      </c>
      <c r="N2736" s="34" t="s">
        <v>29</v>
      </c>
      <c r="O2736" s="125"/>
      <c r="P2736" s="113">
        <v>46001</v>
      </c>
      <c r="Q2736" s="113">
        <v>46001</v>
      </c>
      <c r="R2736" s="113">
        <v>46001</v>
      </c>
      <c r="S2736" s="37">
        <f t="shared" si="579"/>
        <v>982161</v>
      </c>
      <c r="T2736" s="37">
        <f t="shared" si="580"/>
        <v>0</v>
      </c>
      <c r="U2736" s="10"/>
      <c r="V2736" s="10"/>
      <c r="W2736" s="10"/>
      <c r="X2736" s="10"/>
      <c r="Y2736" s="10"/>
      <c r="Z2736" s="10"/>
      <c r="AA2736" s="10"/>
      <c r="AB2736" s="10"/>
      <c r="AC2736" s="10"/>
      <c r="AD2736" s="10"/>
      <c r="AE2736" s="10"/>
    </row>
    <row r="2737" spans="1:31" ht="14.25" customHeight="1">
      <c r="A2737" s="277" t="s">
        <v>6710</v>
      </c>
      <c r="B2737" s="9" t="s">
        <v>21</v>
      </c>
      <c r="C2737" s="9">
        <v>2025</v>
      </c>
      <c r="D2737" s="9" t="s">
        <v>27</v>
      </c>
      <c r="E2737" s="90" t="s">
        <v>1517</v>
      </c>
      <c r="F2737" s="9" t="s">
        <v>1521</v>
      </c>
      <c r="G2737" s="10"/>
      <c r="H2737" s="9"/>
      <c r="I2737" s="179" t="s">
        <v>1527</v>
      </c>
      <c r="J2737" s="115">
        <v>45879</v>
      </c>
      <c r="K2737" s="115"/>
      <c r="L2737" s="267">
        <f>845239+150000</f>
        <v>995239</v>
      </c>
      <c r="M2737" s="117" t="s">
        <v>4127</v>
      </c>
      <c r="N2737" s="34" t="s">
        <v>29</v>
      </c>
      <c r="O2737" s="125"/>
      <c r="P2737" s="113">
        <v>46001</v>
      </c>
      <c r="Q2737" s="113">
        <v>46001</v>
      </c>
      <c r="R2737" s="113">
        <v>46001</v>
      </c>
      <c r="S2737" s="37">
        <f t="shared" si="579"/>
        <v>995239</v>
      </c>
      <c r="T2737" s="37">
        <f t="shared" si="580"/>
        <v>0</v>
      </c>
      <c r="U2737" s="10"/>
      <c r="V2737" s="10"/>
      <c r="W2737" s="10"/>
      <c r="X2737" s="10"/>
      <c r="Y2737" s="10"/>
      <c r="Z2737" s="10"/>
      <c r="AA2737" s="10"/>
      <c r="AB2737" s="10"/>
      <c r="AC2737" s="10"/>
      <c r="AD2737" s="10"/>
      <c r="AE2737" s="10"/>
    </row>
    <row r="2738" spans="1:31" ht="14.25" customHeight="1">
      <c r="A2738" s="277" t="s">
        <v>6711</v>
      </c>
      <c r="B2738" s="9" t="s">
        <v>21</v>
      </c>
      <c r="C2738" s="9">
        <v>2025</v>
      </c>
      <c r="D2738" s="9" t="s">
        <v>27</v>
      </c>
      <c r="E2738" s="90" t="s">
        <v>1517</v>
      </c>
      <c r="F2738" s="9" t="s">
        <v>1521</v>
      </c>
      <c r="G2738" s="10"/>
      <c r="H2738" s="9"/>
      <c r="I2738" s="179" t="s">
        <v>1527</v>
      </c>
      <c r="J2738" s="115">
        <v>45910</v>
      </c>
      <c r="K2738" s="115"/>
      <c r="L2738" s="267">
        <f>795452+150000</f>
        <v>945452</v>
      </c>
      <c r="M2738" s="117" t="s">
        <v>4128</v>
      </c>
      <c r="N2738" s="34" t="s">
        <v>29</v>
      </c>
      <c r="O2738" s="125"/>
      <c r="P2738" s="113">
        <v>46001</v>
      </c>
      <c r="Q2738" s="113">
        <v>46001</v>
      </c>
      <c r="R2738" s="113">
        <v>46001</v>
      </c>
      <c r="S2738" s="37">
        <f t="shared" si="579"/>
        <v>945452</v>
      </c>
      <c r="T2738" s="37">
        <f t="shared" si="580"/>
        <v>0</v>
      </c>
      <c r="U2738" s="10"/>
      <c r="V2738" s="10"/>
      <c r="W2738" s="10"/>
      <c r="X2738" s="10"/>
      <c r="Y2738" s="10"/>
      <c r="Z2738" s="10"/>
      <c r="AA2738" s="10"/>
      <c r="AB2738" s="10"/>
      <c r="AC2738" s="10"/>
      <c r="AD2738" s="10"/>
      <c r="AE2738" s="10"/>
    </row>
    <row r="2739" spans="1:31" ht="14.25" customHeight="1">
      <c r="A2739" s="277" t="s">
        <v>6712</v>
      </c>
      <c r="B2739" s="9" t="s">
        <v>21</v>
      </c>
      <c r="C2739" s="9">
        <v>2025</v>
      </c>
      <c r="D2739" s="9" t="s">
        <v>27</v>
      </c>
      <c r="E2739" s="90" t="s">
        <v>1517</v>
      </c>
      <c r="F2739" s="9" t="s">
        <v>1521</v>
      </c>
      <c r="G2739" s="10"/>
      <c r="H2739" s="9"/>
      <c r="I2739" s="179" t="s">
        <v>1527</v>
      </c>
      <c r="J2739" s="115">
        <v>45940</v>
      </c>
      <c r="K2739" s="115"/>
      <c r="L2739" s="267">
        <f>1038713+150000</f>
        <v>1188713</v>
      </c>
      <c r="M2739" s="117" t="s">
        <v>4129</v>
      </c>
      <c r="N2739" s="34" t="s">
        <v>29</v>
      </c>
      <c r="O2739" s="125"/>
      <c r="P2739" s="113">
        <v>46004</v>
      </c>
      <c r="Q2739" s="113">
        <v>46004</v>
      </c>
      <c r="R2739" s="113">
        <v>46004</v>
      </c>
      <c r="S2739" s="37">
        <f t="shared" si="579"/>
        <v>1188713</v>
      </c>
      <c r="T2739" s="37">
        <f t="shared" si="580"/>
        <v>0</v>
      </c>
      <c r="U2739" s="10"/>
      <c r="V2739" s="10"/>
      <c r="W2739" s="10"/>
      <c r="X2739" s="10"/>
      <c r="Y2739" s="10"/>
      <c r="Z2739" s="10"/>
      <c r="AA2739" s="10"/>
      <c r="AB2739" s="10"/>
      <c r="AC2739" s="10"/>
      <c r="AD2739" s="10"/>
      <c r="AE2739" s="10"/>
    </row>
    <row r="2740" spans="1:31" ht="14.25" customHeight="1">
      <c r="A2740" s="277" t="s">
        <v>6713</v>
      </c>
      <c r="B2740" s="9" t="s">
        <v>21</v>
      </c>
      <c r="C2740" s="9">
        <v>2025</v>
      </c>
      <c r="D2740" s="9" t="s">
        <v>27</v>
      </c>
      <c r="E2740" s="90" t="s">
        <v>1517</v>
      </c>
      <c r="F2740" s="9" t="s">
        <v>1521</v>
      </c>
      <c r="G2740" s="10"/>
      <c r="H2740" s="9"/>
      <c r="I2740" s="179" t="s">
        <v>1527</v>
      </c>
      <c r="J2740" s="115">
        <v>45971</v>
      </c>
      <c r="K2740" s="115"/>
      <c r="L2740" s="267">
        <f>833693+150000</f>
        <v>983693</v>
      </c>
      <c r="M2740" s="117" t="s">
        <v>4130</v>
      </c>
      <c r="N2740" s="34" t="s">
        <v>29</v>
      </c>
      <c r="O2740" s="125"/>
      <c r="P2740" s="113">
        <v>46004</v>
      </c>
      <c r="Q2740" s="113">
        <v>46004</v>
      </c>
      <c r="R2740" s="113">
        <v>46004</v>
      </c>
      <c r="S2740" s="37">
        <f t="shared" si="579"/>
        <v>983693</v>
      </c>
      <c r="T2740" s="37">
        <f t="shared" si="580"/>
        <v>0</v>
      </c>
      <c r="U2740" s="10"/>
      <c r="V2740" s="10"/>
      <c r="W2740" s="10"/>
      <c r="X2740" s="10"/>
      <c r="Y2740" s="10"/>
      <c r="Z2740" s="10"/>
      <c r="AA2740" s="10"/>
      <c r="AB2740" s="10"/>
      <c r="AC2740" s="10"/>
      <c r="AD2740" s="10"/>
      <c r="AE2740" s="10"/>
    </row>
    <row r="2741" spans="1:31" ht="14.25" customHeight="1">
      <c r="A2741" s="277" t="s">
        <v>6714</v>
      </c>
      <c r="B2741" s="9" t="s">
        <v>21</v>
      </c>
      <c r="C2741" s="9">
        <v>2025</v>
      </c>
      <c r="D2741" s="9" t="s">
        <v>27</v>
      </c>
      <c r="E2741" s="90" t="s">
        <v>1517</v>
      </c>
      <c r="F2741" s="9" t="s">
        <v>1521</v>
      </c>
      <c r="G2741" s="10"/>
      <c r="H2741" s="9"/>
      <c r="I2741" s="179" t="s">
        <v>1527</v>
      </c>
      <c r="J2741" s="115">
        <v>46001</v>
      </c>
      <c r="K2741" s="115"/>
      <c r="L2741" s="267">
        <f>952156+150000</f>
        <v>1102156</v>
      </c>
      <c r="M2741" s="117" t="s">
        <v>4131</v>
      </c>
      <c r="N2741" s="34" t="s">
        <v>29</v>
      </c>
      <c r="O2741" s="125"/>
      <c r="P2741" s="113">
        <v>46004</v>
      </c>
      <c r="Q2741" s="113">
        <v>46004</v>
      </c>
      <c r="R2741" s="113">
        <v>46004</v>
      </c>
      <c r="S2741" s="37">
        <f t="shared" si="579"/>
        <v>1102156</v>
      </c>
      <c r="T2741" s="37">
        <f t="shared" si="580"/>
        <v>0</v>
      </c>
      <c r="U2741" s="10"/>
      <c r="V2741" s="10"/>
      <c r="W2741" s="10"/>
      <c r="X2741" s="10"/>
      <c r="Y2741" s="10"/>
      <c r="Z2741" s="10"/>
      <c r="AA2741" s="10"/>
      <c r="AB2741" s="10"/>
      <c r="AC2741" s="10"/>
      <c r="AD2741" s="10"/>
      <c r="AE2741" s="10"/>
    </row>
    <row r="2742" spans="1:31" ht="14.25" customHeight="1">
      <c r="A2742" s="277" t="s">
        <v>6715</v>
      </c>
      <c r="B2742" s="9" t="s">
        <v>21</v>
      </c>
      <c r="C2742" s="9">
        <v>2026</v>
      </c>
      <c r="D2742" s="9" t="s">
        <v>27</v>
      </c>
      <c r="E2742" s="90" t="s">
        <v>1517</v>
      </c>
      <c r="F2742" s="9" t="s">
        <v>1521</v>
      </c>
      <c r="G2742" s="10"/>
      <c r="H2742" s="9"/>
      <c r="I2742" s="179" t="s">
        <v>1527</v>
      </c>
      <c r="J2742" s="115">
        <v>46053</v>
      </c>
      <c r="K2742" s="115"/>
      <c r="L2742" s="267">
        <v>1054716</v>
      </c>
      <c r="M2742" s="117" t="s">
        <v>4292</v>
      </c>
      <c r="N2742" s="34" t="s">
        <v>29</v>
      </c>
      <c r="O2742" s="125"/>
      <c r="P2742" s="113">
        <v>46151</v>
      </c>
      <c r="Q2742" s="113">
        <v>46151</v>
      </c>
      <c r="R2742" s="113">
        <v>46151</v>
      </c>
      <c r="S2742" s="37">
        <f t="shared" ref="S2742:S2748" si="581">IF(R2742="",0,L2742)</f>
        <v>1054716</v>
      </c>
      <c r="T2742" s="37">
        <f t="shared" ref="T2742:T2748" si="582">L2742-S2742</f>
        <v>0</v>
      </c>
      <c r="U2742" s="10"/>
      <c r="V2742" s="10"/>
      <c r="W2742" s="10"/>
      <c r="X2742" s="10"/>
      <c r="Y2742" s="10"/>
      <c r="Z2742" s="10"/>
      <c r="AA2742" s="10"/>
      <c r="AB2742" s="10"/>
      <c r="AC2742" s="10"/>
      <c r="AD2742" s="10"/>
      <c r="AE2742" s="10"/>
    </row>
    <row r="2743" spans="1:31" ht="14.25" customHeight="1">
      <c r="A2743" s="277" t="s">
        <v>6716</v>
      </c>
      <c r="B2743" s="9" t="s">
        <v>21</v>
      </c>
      <c r="C2743" s="9">
        <v>2026</v>
      </c>
      <c r="D2743" s="9" t="s">
        <v>27</v>
      </c>
      <c r="E2743" s="90" t="s">
        <v>1517</v>
      </c>
      <c r="F2743" s="9" t="s">
        <v>1521</v>
      </c>
      <c r="G2743" s="10"/>
      <c r="H2743" s="9"/>
      <c r="I2743" s="179" t="s">
        <v>1527</v>
      </c>
      <c r="J2743" s="115">
        <v>46053</v>
      </c>
      <c r="K2743" s="115"/>
      <c r="L2743" s="267">
        <f>930880+67094+150000</f>
        <v>1147974</v>
      </c>
      <c r="M2743" s="117" t="s">
        <v>7053</v>
      </c>
      <c r="N2743" s="34" t="s">
        <v>29</v>
      </c>
      <c r="O2743" s="125"/>
      <c r="P2743" s="113">
        <v>46204</v>
      </c>
      <c r="Q2743" s="113">
        <v>46204</v>
      </c>
      <c r="R2743" s="113">
        <v>46204</v>
      </c>
      <c r="S2743" s="37">
        <f t="shared" si="581"/>
        <v>1147974</v>
      </c>
      <c r="T2743" s="37">
        <f t="shared" si="582"/>
        <v>0</v>
      </c>
      <c r="U2743" s="10"/>
      <c r="V2743" s="10"/>
      <c r="W2743" s="10"/>
      <c r="X2743" s="10"/>
      <c r="Y2743" s="10"/>
      <c r="Z2743" s="10"/>
      <c r="AA2743" s="10"/>
      <c r="AB2743" s="10"/>
      <c r="AC2743" s="10"/>
      <c r="AD2743" s="10"/>
      <c r="AE2743" s="10"/>
    </row>
    <row r="2744" spans="1:31" ht="14.25" customHeight="1">
      <c r="A2744" s="277" t="s">
        <v>6717</v>
      </c>
      <c r="B2744" s="9" t="s">
        <v>21</v>
      </c>
      <c r="C2744" s="9">
        <v>2026</v>
      </c>
      <c r="D2744" s="9" t="s">
        <v>27</v>
      </c>
      <c r="E2744" s="90" t="s">
        <v>1517</v>
      </c>
      <c r="F2744" s="9" t="s">
        <v>1521</v>
      </c>
      <c r="G2744" s="10"/>
      <c r="H2744" s="9"/>
      <c r="I2744" s="179" t="s">
        <v>1527</v>
      </c>
      <c r="J2744" s="115">
        <v>46053</v>
      </c>
      <c r="K2744" s="115"/>
      <c r="L2744" s="267">
        <f>981279+150000</f>
        <v>1131279</v>
      </c>
      <c r="M2744" s="117" t="s">
        <v>7052</v>
      </c>
      <c r="N2744" s="34" t="s">
        <v>29</v>
      </c>
      <c r="O2744" s="125"/>
      <c r="P2744" s="113">
        <v>46228</v>
      </c>
      <c r="Q2744" s="113">
        <v>46228</v>
      </c>
      <c r="R2744" s="113">
        <v>46228</v>
      </c>
      <c r="S2744" s="37">
        <f t="shared" si="581"/>
        <v>1131279</v>
      </c>
      <c r="T2744" s="37">
        <f t="shared" si="582"/>
        <v>0</v>
      </c>
      <c r="U2744" s="10"/>
      <c r="V2744" s="10"/>
      <c r="W2744" s="10"/>
      <c r="X2744" s="10"/>
      <c r="Y2744" s="10"/>
      <c r="Z2744" s="10"/>
      <c r="AA2744" s="10"/>
      <c r="AB2744" s="10"/>
      <c r="AC2744" s="10"/>
      <c r="AD2744" s="10"/>
      <c r="AE2744" s="10"/>
    </row>
    <row r="2745" spans="1:31" ht="14.25" customHeight="1">
      <c r="A2745" s="277" t="s">
        <v>6718</v>
      </c>
      <c r="B2745" s="9" t="s">
        <v>21</v>
      </c>
      <c r="C2745" s="9">
        <v>2026</v>
      </c>
      <c r="D2745" s="9" t="s">
        <v>77</v>
      </c>
      <c r="E2745" s="90" t="s">
        <v>1517</v>
      </c>
      <c r="F2745" s="9" t="s">
        <v>1521</v>
      </c>
      <c r="G2745" s="10"/>
      <c r="H2745" s="9"/>
      <c r="I2745" s="180" t="s">
        <v>1527</v>
      </c>
      <c r="J2745" s="12">
        <v>46053</v>
      </c>
      <c r="K2745" s="12"/>
      <c r="L2745" s="278">
        <f>980130+150000</f>
        <v>1130130</v>
      </c>
      <c r="M2745" s="10" t="s">
        <v>7131</v>
      </c>
      <c r="N2745" s="34">
        <f t="shared" ref="N2745:N2746" ca="1" si="583">$J$3-J2744</f>
        <v>187.46377638888953</v>
      </c>
      <c r="O2745" s="125"/>
      <c r="P2745" s="39"/>
      <c r="Q2745" s="39"/>
      <c r="R2745" s="39"/>
      <c r="S2745" s="37">
        <f t="shared" si="581"/>
        <v>0</v>
      </c>
      <c r="T2745" s="37">
        <f t="shared" si="582"/>
        <v>1130130</v>
      </c>
      <c r="U2745" s="10"/>
      <c r="V2745" s="10"/>
      <c r="W2745" s="10"/>
      <c r="X2745" s="10"/>
      <c r="Y2745" s="10"/>
      <c r="Z2745" s="10"/>
      <c r="AA2745" s="10"/>
      <c r="AB2745" s="10"/>
      <c r="AC2745" s="10"/>
      <c r="AD2745" s="10"/>
      <c r="AE2745" s="10"/>
    </row>
    <row r="2746" spans="1:31" ht="14.25" customHeight="1">
      <c r="A2746" s="277" t="s">
        <v>6719</v>
      </c>
      <c r="B2746" s="9" t="s">
        <v>21</v>
      </c>
      <c r="C2746" s="9">
        <v>2026</v>
      </c>
      <c r="D2746" s="9" t="s">
        <v>77</v>
      </c>
      <c r="E2746" s="90" t="s">
        <v>1517</v>
      </c>
      <c r="F2746" s="9" t="s">
        <v>1521</v>
      </c>
      <c r="G2746" s="10"/>
      <c r="H2746" s="9"/>
      <c r="I2746" s="180" t="s">
        <v>1527</v>
      </c>
      <c r="J2746" s="12">
        <v>46053</v>
      </c>
      <c r="K2746" s="12"/>
      <c r="L2746" s="278">
        <f>961831+150000</f>
        <v>1111831</v>
      </c>
      <c r="M2746" s="10" t="s">
        <v>7130</v>
      </c>
      <c r="N2746" s="34">
        <f t="shared" ca="1" si="583"/>
        <v>187.46377638888953</v>
      </c>
      <c r="O2746" s="125"/>
      <c r="P2746" s="39"/>
      <c r="Q2746" s="39"/>
      <c r="R2746" s="39"/>
      <c r="S2746" s="37">
        <f t="shared" ref="S2746" si="584">IF(R2746="",0,L2746)</f>
        <v>0</v>
      </c>
      <c r="T2746" s="37">
        <f t="shared" ref="T2746" si="585">L2746-S2746</f>
        <v>1111831</v>
      </c>
      <c r="U2746" s="10"/>
      <c r="V2746" s="10"/>
      <c r="W2746" s="10"/>
      <c r="X2746" s="10"/>
      <c r="Y2746" s="10"/>
      <c r="Z2746" s="10"/>
      <c r="AA2746" s="10"/>
      <c r="AB2746" s="10"/>
      <c r="AC2746" s="10"/>
      <c r="AD2746" s="10"/>
      <c r="AE2746" s="10"/>
    </row>
    <row r="2747" spans="1:31" ht="14.25" customHeight="1">
      <c r="A2747" s="277" t="s">
        <v>6720</v>
      </c>
      <c r="B2747" s="9" t="s">
        <v>21</v>
      </c>
      <c r="C2747" s="9">
        <v>2026</v>
      </c>
      <c r="D2747" s="9" t="s">
        <v>77</v>
      </c>
      <c r="E2747" s="90" t="s">
        <v>1517</v>
      </c>
      <c r="F2747" s="9" t="s">
        <v>1521</v>
      </c>
      <c r="G2747" s="10"/>
      <c r="H2747" s="9"/>
      <c r="I2747" s="180" t="s">
        <v>1527</v>
      </c>
      <c r="J2747" s="12">
        <v>46053</v>
      </c>
      <c r="K2747" s="12"/>
      <c r="L2747" s="278">
        <f>907384+150000</f>
        <v>1057384</v>
      </c>
      <c r="M2747" s="10" t="s">
        <v>7196</v>
      </c>
      <c r="N2747" s="34">
        <f t="shared" ref="N2747" ca="1" si="586">$J$3-J2746</f>
        <v>187.46377638888953</v>
      </c>
      <c r="O2747" s="125"/>
      <c r="P2747" s="39"/>
      <c r="Q2747" s="39"/>
      <c r="R2747" s="39"/>
      <c r="S2747" s="37">
        <f t="shared" ref="S2747" si="587">IF(R2747="",0,L2747)</f>
        <v>0</v>
      </c>
      <c r="T2747" s="37">
        <f t="shared" ref="T2747" si="588">L2747-S2747</f>
        <v>1057384</v>
      </c>
      <c r="U2747" s="10"/>
      <c r="V2747" s="10"/>
      <c r="W2747" s="10"/>
      <c r="X2747" s="10"/>
      <c r="Y2747" s="10"/>
      <c r="Z2747" s="10"/>
      <c r="AA2747" s="10"/>
      <c r="AB2747" s="10"/>
      <c r="AC2747" s="10"/>
      <c r="AD2747" s="10"/>
      <c r="AE2747" s="10"/>
    </row>
    <row r="2748" spans="1:31" ht="14.25" customHeight="1">
      <c r="A2748" s="277" t="s">
        <v>6721</v>
      </c>
      <c r="B2748" s="9" t="s">
        <v>21</v>
      </c>
      <c r="C2748" s="9"/>
      <c r="D2748" s="9"/>
      <c r="E2748" s="90"/>
      <c r="F2748" s="9"/>
      <c r="G2748" s="10"/>
      <c r="H2748" s="9"/>
      <c r="I2748" s="125"/>
      <c r="J2748" s="12"/>
      <c r="K2748" s="12"/>
      <c r="L2748" s="52"/>
      <c r="M2748" s="10"/>
      <c r="N2748" s="114">
        <f ca="1">$J$3-J2748</f>
        <v>46240.46377638889</v>
      </c>
      <c r="O2748" s="11"/>
      <c r="P2748" s="39"/>
      <c r="Q2748" s="39"/>
      <c r="R2748" s="39"/>
      <c r="S2748" s="37">
        <f t="shared" si="581"/>
        <v>0</v>
      </c>
      <c r="T2748" s="37">
        <f t="shared" si="582"/>
        <v>0</v>
      </c>
      <c r="U2748" s="10"/>
      <c r="V2748" s="10"/>
      <c r="W2748" s="10"/>
      <c r="X2748" s="10"/>
      <c r="Y2748" s="10"/>
      <c r="Z2748" s="10"/>
      <c r="AA2748" s="10"/>
      <c r="AB2748" s="10"/>
      <c r="AC2748" s="10"/>
      <c r="AD2748" s="10"/>
      <c r="AE2748" s="10"/>
    </row>
    <row r="2749" spans="1:31" ht="14.25" customHeight="1">
      <c r="A2749" s="277" t="s">
        <v>6722</v>
      </c>
      <c r="B2749" s="9" t="s">
        <v>21</v>
      </c>
      <c r="C2749" s="9"/>
      <c r="D2749" s="9"/>
      <c r="E2749" s="90"/>
      <c r="F2749" s="9"/>
      <c r="G2749" s="63"/>
      <c r="H2749" s="63"/>
      <c r="I2749" s="63"/>
      <c r="J2749" s="209"/>
      <c r="K2749" s="209"/>
      <c r="L2749" s="210"/>
      <c r="M2749" s="210"/>
      <c r="N2749" s="63"/>
      <c r="O2749" s="63"/>
      <c r="P2749" s="63"/>
      <c r="Q2749" s="63"/>
      <c r="R2749" s="63"/>
      <c r="S2749" s="63"/>
      <c r="T2749" s="63"/>
      <c r="U2749" s="63"/>
      <c r="V2749" s="63"/>
      <c r="W2749" s="63"/>
      <c r="X2749" s="63"/>
      <c r="Y2749" s="63"/>
      <c r="Z2749" s="63"/>
      <c r="AA2749" s="63"/>
      <c r="AB2749" s="63"/>
      <c r="AC2749" s="63"/>
      <c r="AD2749" s="63"/>
      <c r="AE2749" s="63"/>
    </row>
    <row r="2750" spans="1:31" ht="14.25" customHeight="1">
      <c r="A2750" s="277" t="s">
        <v>7235</v>
      </c>
      <c r="B2750" s="9" t="s">
        <v>21</v>
      </c>
      <c r="C2750" s="9"/>
      <c r="D2750" s="9"/>
      <c r="E2750" s="90"/>
      <c r="F2750" s="9"/>
      <c r="G2750" s="94" t="s">
        <v>1518</v>
      </c>
      <c r="H2750" s="95" t="s">
        <v>1534</v>
      </c>
      <c r="I2750" s="104"/>
      <c r="J2750" s="105"/>
      <c r="K2750" s="105"/>
      <c r="L2750" s="106">
        <f>SUM(L2751:L2774)</f>
        <v>640737470</v>
      </c>
      <c r="M2750" s="107"/>
      <c r="N2750" s="108"/>
      <c r="O2750" s="108"/>
      <c r="P2750" s="108"/>
      <c r="Q2750" s="108"/>
      <c r="R2750" s="108"/>
      <c r="S2750" s="106">
        <f>SUM(S2751:S2774)</f>
        <v>188655446</v>
      </c>
      <c r="T2750" s="106">
        <f>SUM(T2751:T2774)</f>
        <v>452082024</v>
      </c>
      <c r="U2750" s="10"/>
      <c r="V2750" s="52">
        <f>L2750-S2750</f>
        <v>452082024</v>
      </c>
      <c r="W2750" s="52">
        <f>T2750-V2750</f>
        <v>0</v>
      </c>
      <c r="X2750" s="10"/>
      <c r="Y2750" s="10"/>
      <c r="Z2750" s="10"/>
      <c r="AA2750" s="10"/>
      <c r="AB2750" s="10"/>
      <c r="AC2750" s="10"/>
      <c r="AD2750" s="10"/>
      <c r="AE2750" s="10"/>
    </row>
    <row r="2751" spans="1:31" ht="14.25" customHeight="1">
      <c r="A2751" s="277" t="s">
        <v>7236</v>
      </c>
      <c r="B2751" s="9" t="s">
        <v>21</v>
      </c>
      <c r="C2751" s="9">
        <v>2025</v>
      </c>
      <c r="D2751" s="9" t="s">
        <v>27</v>
      </c>
      <c r="E2751" s="90" t="s">
        <v>1517</v>
      </c>
      <c r="F2751" s="9"/>
      <c r="G2751" s="63"/>
      <c r="H2751" s="63"/>
      <c r="I2751" s="203" t="s">
        <v>7055</v>
      </c>
      <c r="J2751" s="281">
        <v>44926</v>
      </c>
      <c r="K2751" s="281"/>
      <c r="L2751" s="282">
        <v>71110168</v>
      </c>
      <c r="M2751" s="282" t="s">
        <v>7452</v>
      </c>
      <c r="N2751" s="34" t="s">
        <v>29</v>
      </c>
      <c r="O2751" s="63"/>
      <c r="P2751" s="283">
        <v>46212</v>
      </c>
      <c r="Q2751" s="283">
        <v>46212</v>
      </c>
      <c r="R2751" s="283">
        <v>46212</v>
      </c>
      <c r="S2751" s="37">
        <f>IF(R2751="",0,L2751)</f>
        <v>71110168</v>
      </c>
      <c r="T2751" s="37">
        <f>L2751-S2751</f>
        <v>0</v>
      </c>
      <c r="U2751" s="63"/>
      <c r="V2751" s="63"/>
      <c r="W2751" s="63"/>
      <c r="X2751" s="63"/>
      <c r="Y2751" s="63"/>
      <c r="Z2751" s="63"/>
      <c r="AA2751" s="63"/>
      <c r="AB2751" s="63"/>
      <c r="AC2751" s="63"/>
      <c r="AD2751" s="63"/>
      <c r="AE2751" s="63"/>
    </row>
    <row r="2752" spans="1:31" ht="14.25" customHeight="1">
      <c r="A2752" s="277" t="s">
        <v>7237</v>
      </c>
      <c r="B2752" s="9" t="s">
        <v>21</v>
      </c>
      <c r="C2752" s="9">
        <v>2025</v>
      </c>
      <c r="D2752" s="9" t="s">
        <v>27</v>
      </c>
      <c r="E2752" s="90" t="s">
        <v>1517</v>
      </c>
      <c r="F2752" s="9"/>
      <c r="G2752" s="63"/>
      <c r="H2752" s="63"/>
      <c r="I2752" s="203" t="s">
        <v>7135</v>
      </c>
      <c r="J2752" s="281">
        <v>45291</v>
      </c>
      <c r="K2752" s="281"/>
      <c r="L2752" s="282">
        <v>117545278</v>
      </c>
      <c r="M2752" s="282" t="s">
        <v>7453</v>
      </c>
      <c r="N2752" s="34" t="s">
        <v>29</v>
      </c>
      <c r="O2752" s="63"/>
      <c r="P2752" s="283">
        <v>46212</v>
      </c>
      <c r="Q2752" s="283">
        <v>46212</v>
      </c>
      <c r="R2752" s="283">
        <v>46212</v>
      </c>
      <c r="S2752" s="37">
        <f t="shared" ref="S2752:S2755" si="589">IF(R2752="",0,L2752)</f>
        <v>117545278</v>
      </c>
      <c r="T2752" s="37">
        <f t="shared" ref="T2752:T2755" si="590">L2752-S2752</f>
        <v>0</v>
      </c>
      <c r="U2752" s="63"/>
      <c r="V2752" s="63"/>
      <c r="W2752" s="63"/>
      <c r="X2752" s="63"/>
      <c r="Y2752" s="63"/>
      <c r="Z2752" s="63"/>
      <c r="AA2752" s="63"/>
      <c r="AB2752" s="63"/>
      <c r="AC2752" s="63"/>
      <c r="AD2752" s="63"/>
      <c r="AE2752" s="63"/>
    </row>
    <row r="2753" spans="1:31" ht="14.25" customHeight="1">
      <c r="A2753" s="277" t="s">
        <v>7238</v>
      </c>
      <c r="B2753" s="9" t="s">
        <v>21</v>
      </c>
      <c r="C2753" s="9">
        <v>2025</v>
      </c>
      <c r="D2753" s="9" t="s">
        <v>77</v>
      </c>
      <c r="E2753" s="90" t="s">
        <v>1517</v>
      </c>
      <c r="F2753" s="9"/>
      <c r="G2753" s="63"/>
      <c r="H2753" s="63"/>
      <c r="I2753" s="63" t="s">
        <v>7057</v>
      </c>
      <c r="J2753" s="209">
        <v>45657</v>
      </c>
      <c r="K2753" s="209"/>
      <c r="L2753" s="210">
        <v>210037222</v>
      </c>
      <c r="M2753" s="210" t="s">
        <v>7119</v>
      </c>
      <c r="N2753" s="34">
        <f t="shared" ref="N2753:N2754" ca="1" si="591">$J$3-J2753</f>
        <v>583.46377638888953</v>
      </c>
      <c r="O2753" s="63"/>
      <c r="P2753" s="63"/>
      <c r="Q2753" s="63"/>
      <c r="R2753" s="63"/>
      <c r="S2753" s="37">
        <f t="shared" ref="S2753:S2754" si="592">IF(R2753="",0,L2753)</f>
        <v>0</v>
      </c>
      <c r="T2753" s="37">
        <f t="shared" ref="T2753:T2754" si="593">L2753-S2753</f>
        <v>210037222</v>
      </c>
      <c r="U2753" s="63"/>
      <c r="V2753" s="63"/>
      <c r="W2753" s="63"/>
      <c r="X2753" s="63"/>
      <c r="Y2753" s="63"/>
      <c r="Z2753" s="63"/>
      <c r="AA2753" s="63"/>
      <c r="AB2753" s="63"/>
      <c r="AC2753" s="63"/>
      <c r="AD2753" s="63"/>
      <c r="AE2753" s="63"/>
    </row>
    <row r="2754" spans="1:31" ht="14.25" customHeight="1">
      <c r="A2754" s="277" t="s">
        <v>7239</v>
      </c>
      <c r="B2754" s="9" t="s">
        <v>21</v>
      </c>
      <c r="C2754" s="9">
        <v>2026</v>
      </c>
      <c r="D2754" s="9" t="s">
        <v>77</v>
      </c>
      <c r="E2754" s="90" t="s">
        <v>1517</v>
      </c>
      <c r="F2754" s="9"/>
      <c r="G2754" s="63"/>
      <c r="H2754" s="63"/>
      <c r="I2754" s="63" t="s">
        <v>7057</v>
      </c>
      <c r="J2754" s="209">
        <v>46022</v>
      </c>
      <c r="K2754" s="209"/>
      <c r="L2754" s="210">
        <v>210037222</v>
      </c>
      <c r="M2754" s="210" t="s">
        <v>7120</v>
      </c>
      <c r="N2754" s="34">
        <f t="shared" ca="1" si="591"/>
        <v>218.46377638888953</v>
      </c>
      <c r="O2754" s="63"/>
      <c r="P2754" s="63"/>
      <c r="Q2754" s="63"/>
      <c r="R2754" s="63"/>
      <c r="S2754" s="37">
        <f t="shared" si="592"/>
        <v>0</v>
      </c>
      <c r="T2754" s="37">
        <f t="shared" si="593"/>
        <v>210037222</v>
      </c>
      <c r="U2754" s="63"/>
      <c r="V2754" s="63"/>
      <c r="W2754" s="63"/>
      <c r="X2754" s="63"/>
      <c r="Y2754" s="63"/>
      <c r="Z2754" s="63"/>
      <c r="AA2754" s="63"/>
      <c r="AB2754" s="63"/>
      <c r="AC2754" s="63"/>
      <c r="AD2754" s="63"/>
      <c r="AE2754" s="63"/>
    </row>
    <row r="2755" spans="1:31" ht="14.25" customHeight="1">
      <c r="A2755" s="277" t="s">
        <v>7240</v>
      </c>
      <c r="B2755" s="9" t="s">
        <v>21</v>
      </c>
      <c r="F2755" s="9"/>
      <c r="G2755" s="63"/>
      <c r="H2755" s="63"/>
      <c r="I2755" s="63"/>
      <c r="J2755" s="209"/>
      <c r="K2755" s="209"/>
      <c r="L2755" s="210"/>
      <c r="M2755" s="210"/>
      <c r="N2755" s="114">
        <f ca="1">$J$3-J2755</f>
        <v>46240.46377638889</v>
      </c>
      <c r="O2755" s="63"/>
      <c r="P2755" s="63"/>
      <c r="Q2755" s="63"/>
      <c r="R2755" s="63"/>
      <c r="S2755" s="37">
        <f t="shared" si="589"/>
        <v>0</v>
      </c>
      <c r="T2755" s="37">
        <f t="shared" si="590"/>
        <v>0</v>
      </c>
      <c r="U2755" s="63"/>
      <c r="V2755" s="63"/>
      <c r="W2755" s="63"/>
      <c r="X2755" s="63"/>
      <c r="Y2755" s="63"/>
      <c r="Z2755" s="63"/>
      <c r="AA2755" s="63"/>
      <c r="AB2755" s="63"/>
      <c r="AC2755" s="63"/>
      <c r="AD2755" s="63"/>
      <c r="AE2755" s="63"/>
    </row>
    <row r="2756" spans="1:31" ht="14.25" customHeight="1">
      <c r="A2756" s="277" t="s">
        <v>7241</v>
      </c>
      <c r="B2756" s="9" t="s">
        <v>21</v>
      </c>
      <c r="C2756" s="9"/>
      <c r="D2756" s="9"/>
      <c r="E2756" s="90"/>
      <c r="F2756" s="9"/>
      <c r="G2756" s="63"/>
      <c r="H2756" s="68"/>
      <c r="I2756" s="63"/>
      <c r="J2756" s="209"/>
      <c r="K2756" s="209"/>
      <c r="L2756" s="73"/>
      <c r="M2756" s="210"/>
      <c r="N2756" s="68"/>
      <c r="O2756" s="63"/>
      <c r="P2756" s="139"/>
      <c r="Q2756" s="139"/>
      <c r="R2756" s="139"/>
      <c r="S2756" s="216"/>
      <c r="T2756" s="216"/>
      <c r="U2756" s="63"/>
      <c r="V2756" s="63"/>
      <c r="W2756" s="63"/>
      <c r="X2756" s="63"/>
      <c r="Y2756" s="63"/>
      <c r="Z2756" s="63"/>
      <c r="AA2756" s="63"/>
      <c r="AB2756" s="63"/>
      <c r="AC2756" s="63"/>
      <c r="AD2756" s="63"/>
      <c r="AE2756" s="63"/>
    </row>
    <row r="2757" spans="1:31" ht="14.25" customHeight="1">
      <c r="A2757" s="277" t="s">
        <v>7242</v>
      </c>
      <c r="B2757" s="9" t="s">
        <v>21</v>
      </c>
      <c r="C2757" s="9"/>
      <c r="D2757" s="9"/>
      <c r="E2757" s="90"/>
      <c r="F2757" s="9"/>
      <c r="G2757" s="94" t="s">
        <v>1518</v>
      </c>
      <c r="H2757" s="95" t="s">
        <v>7056</v>
      </c>
      <c r="I2757" s="104"/>
      <c r="J2757" s="105"/>
      <c r="K2757" s="105"/>
      <c r="L2757" s="106">
        <f>SUM(L2758:L2779)</f>
        <v>16003790</v>
      </c>
      <c r="M2757" s="107"/>
      <c r="N2757" s="108"/>
      <c r="O2757" s="108"/>
      <c r="P2757" s="108"/>
      <c r="Q2757" s="108"/>
      <c r="R2757" s="108"/>
      <c r="S2757" s="106">
        <f>SUM(S2758:S2779)</f>
        <v>0</v>
      </c>
      <c r="T2757" s="106">
        <f>SUM(T2758:T2779)</f>
        <v>16003790</v>
      </c>
      <c r="U2757" s="10"/>
      <c r="V2757" s="52">
        <f>L2757-S2757</f>
        <v>16003790</v>
      </c>
      <c r="W2757" s="52">
        <f>T2757-V2757</f>
        <v>0</v>
      </c>
      <c r="X2757" s="10"/>
      <c r="Y2757" s="10"/>
      <c r="Z2757" s="10"/>
      <c r="AA2757" s="10"/>
      <c r="AB2757" s="10"/>
      <c r="AC2757" s="10"/>
      <c r="AD2757" s="10"/>
      <c r="AE2757" s="10"/>
    </row>
    <row r="2758" spans="1:31" ht="14.25" customHeight="1">
      <c r="A2758" s="277" t="s">
        <v>7243</v>
      </c>
      <c r="B2758" s="9" t="s">
        <v>21</v>
      </c>
      <c r="C2758" s="9">
        <v>2025</v>
      </c>
      <c r="D2758" s="9" t="s">
        <v>77</v>
      </c>
      <c r="E2758" s="90" t="s">
        <v>1517</v>
      </c>
      <c r="F2758" s="9"/>
      <c r="G2758" s="63"/>
      <c r="H2758" s="68"/>
      <c r="I2758" s="63" t="s">
        <v>7056</v>
      </c>
      <c r="J2758" s="209">
        <v>44926</v>
      </c>
      <c r="K2758" s="209"/>
      <c r="L2758" s="73">
        <v>7175207</v>
      </c>
      <c r="M2758" s="210" t="s">
        <v>7058</v>
      </c>
      <c r="N2758" s="34">
        <f ca="1">$J$3-J2758</f>
        <v>1314.4637763888895</v>
      </c>
      <c r="O2758" s="63"/>
      <c r="P2758" s="139"/>
      <c r="Q2758" s="139"/>
      <c r="R2758" s="139"/>
      <c r="S2758" s="37">
        <f>IF(R2758="",0,L2758)</f>
        <v>0</v>
      </c>
      <c r="T2758" s="37">
        <f>L2758-S2758</f>
        <v>7175207</v>
      </c>
      <c r="U2758" s="63"/>
      <c r="V2758" s="63"/>
      <c r="W2758" s="63"/>
      <c r="X2758" s="63"/>
      <c r="Y2758" s="63"/>
      <c r="Z2758" s="63"/>
      <c r="AA2758" s="63"/>
      <c r="AB2758" s="63"/>
      <c r="AC2758" s="63"/>
      <c r="AD2758" s="63"/>
      <c r="AE2758" s="63"/>
    </row>
    <row r="2759" spans="1:31" ht="14.25" customHeight="1">
      <c r="A2759" s="277" t="s">
        <v>7244</v>
      </c>
      <c r="B2759" s="9" t="s">
        <v>21</v>
      </c>
      <c r="C2759" s="9">
        <v>2025</v>
      </c>
      <c r="D2759" s="9" t="s">
        <v>77</v>
      </c>
      <c r="E2759" s="90" t="s">
        <v>1517</v>
      </c>
      <c r="F2759" s="9"/>
      <c r="G2759" s="63"/>
      <c r="H2759" s="68"/>
      <c r="I2759" s="63" t="s">
        <v>7056</v>
      </c>
      <c r="J2759" s="209">
        <v>45291</v>
      </c>
      <c r="K2759" s="209"/>
      <c r="L2759" s="73">
        <v>828583</v>
      </c>
      <c r="M2759" s="210" t="s">
        <v>7059</v>
      </c>
      <c r="N2759" s="34">
        <f ca="1">$J$3-J2759</f>
        <v>949.46377638888953</v>
      </c>
      <c r="O2759" s="63"/>
      <c r="P2759" s="139"/>
      <c r="Q2759" s="139"/>
      <c r="R2759" s="139"/>
      <c r="S2759" s="37">
        <f t="shared" ref="S2759" si="594">IF(R2759="",0,L2759)</f>
        <v>0</v>
      </c>
      <c r="T2759" s="37">
        <f t="shared" ref="T2759" si="595">L2759-S2759</f>
        <v>828583</v>
      </c>
      <c r="U2759" s="63"/>
      <c r="V2759" s="63"/>
      <c r="W2759" s="63"/>
      <c r="X2759" s="63"/>
      <c r="Y2759" s="63"/>
      <c r="Z2759" s="63"/>
      <c r="AA2759" s="63"/>
      <c r="AB2759" s="63"/>
      <c r="AC2759" s="63"/>
      <c r="AD2759" s="63"/>
      <c r="AE2759" s="63"/>
    </row>
    <row r="2760" spans="1:31" ht="14.25" customHeight="1">
      <c r="A2760" s="277" t="s">
        <v>7245</v>
      </c>
      <c r="B2760" s="9" t="s">
        <v>21</v>
      </c>
      <c r="C2760" s="9">
        <v>2025</v>
      </c>
      <c r="D2760" s="9" t="s">
        <v>77</v>
      </c>
      <c r="E2760" s="90" t="s">
        <v>1517</v>
      </c>
      <c r="F2760" s="9"/>
      <c r="G2760" s="63"/>
      <c r="H2760" s="68"/>
      <c r="I2760" s="63" t="s">
        <v>7056</v>
      </c>
      <c r="J2760" s="209">
        <v>45657</v>
      </c>
      <c r="K2760" s="209"/>
      <c r="L2760" s="73">
        <v>4000000</v>
      </c>
      <c r="M2760" s="210" t="s">
        <v>7121</v>
      </c>
      <c r="N2760" s="34">
        <f t="shared" ref="N2760:N2761" ca="1" si="596">$J$3-J2760</f>
        <v>583.46377638888953</v>
      </c>
      <c r="O2760" s="63"/>
      <c r="P2760" s="139"/>
      <c r="Q2760" s="139"/>
      <c r="R2760" s="139"/>
      <c r="S2760" s="37">
        <f t="shared" ref="S2760:S2762" si="597">IF(R2760="",0,L2760)</f>
        <v>0</v>
      </c>
      <c r="T2760" s="37">
        <f t="shared" ref="T2760:T2762" si="598">L2760-S2760</f>
        <v>4000000</v>
      </c>
      <c r="U2760" s="63"/>
      <c r="V2760" s="63"/>
      <c r="W2760" s="63"/>
      <c r="X2760" s="63"/>
      <c r="Y2760" s="63"/>
      <c r="Z2760" s="63"/>
      <c r="AA2760" s="63"/>
      <c r="AB2760" s="63"/>
      <c r="AC2760" s="63"/>
      <c r="AD2760" s="63"/>
      <c r="AE2760" s="63"/>
    </row>
    <row r="2761" spans="1:31" ht="14.25" customHeight="1">
      <c r="A2761" s="277" t="s">
        <v>7246</v>
      </c>
      <c r="B2761" s="9" t="s">
        <v>21</v>
      </c>
      <c r="C2761" s="9">
        <v>2025</v>
      </c>
      <c r="D2761" s="9" t="s">
        <v>77</v>
      </c>
      <c r="E2761" s="90" t="s">
        <v>1517</v>
      </c>
      <c r="F2761" s="9"/>
      <c r="G2761" s="63"/>
      <c r="H2761" s="68"/>
      <c r="I2761" s="63" t="s">
        <v>7056</v>
      </c>
      <c r="J2761" s="209">
        <v>46022</v>
      </c>
      <c r="K2761" s="209"/>
      <c r="L2761" s="73">
        <v>4000000</v>
      </c>
      <c r="M2761" s="210" t="s">
        <v>7122</v>
      </c>
      <c r="N2761" s="34">
        <f t="shared" ca="1" si="596"/>
        <v>218.46377638888953</v>
      </c>
      <c r="O2761" s="63"/>
      <c r="P2761" s="139"/>
      <c r="Q2761" s="139"/>
      <c r="R2761" s="139"/>
      <c r="S2761" s="37">
        <f t="shared" si="597"/>
        <v>0</v>
      </c>
      <c r="T2761" s="37">
        <f t="shared" si="598"/>
        <v>4000000</v>
      </c>
      <c r="U2761" s="63"/>
      <c r="V2761" s="63"/>
      <c r="W2761" s="63"/>
      <c r="X2761" s="63"/>
      <c r="Y2761" s="63"/>
      <c r="Z2761" s="63"/>
      <c r="AA2761" s="63"/>
      <c r="AB2761" s="63"/>
      <c r="AC2761" s="63"/>
      <c r="AD2761" s="63"/>
      <c r="AE2761" s="63"/>
    </row>
    <row r="2762" spans="1:31" ht="14.25" customHeight="1">
      <c r="A2762" s="277" t="s">
        <v>7247</v>
      </c>
      <c r="B2762" s="9" t="s">
        <v>21</v>
      </c>
      <c r="C2762" s="9"/>
      <c r="D2762" s="9"/>
      <c r="E2762" s="90"/>
      <c r="F2762" s="9"/>
      <c r="G2762" s="63"/>
      <c r="H2762" s="68"/>
      <c r="I2762" s="63"/>
      <c r="J2762" s="209"/>
      <c r="K2762" s="209"/>
      <c r="L2762" s="73"/>
      <c r="M2762" s="210"/>
      <c r="N2762" s="114">
        <f ca="1">$J$3-J2762</f>
        <v>46240.46377638889</v>
      </c>
      <c r="O2762" s="63"/>
      <c r="P2762" s="139"/>
      <c r="Q2762" s="139"/>
      <c r="R2762" s="139"/>
      <c r="S2762" s="37">
        <f t="shared" si="597"/>
        <v>0</v>
      </c>
      <c r="T2762" s="37">
        <f t="shared" si="598"/>
        <v>0</v>
      </c>
      <c r="U2762" s="63"/>
      <c r="V2762" s="63"/>
      <c r="W2762" s="63"/>
      <c r="X2762" s="63"/>
      <c r="Y2762" s="63"/>
      <c r="Z2762" s="63"/>
      <c r="AA2762" s="63"/>
      <c r="AB2762" s="63"/>
      <c r="AC2762" s="63"/>
      <c r="AD2762" s="63"/>
      <c r="AE2762" s="63"/>
    </row>
    <row r="2763" spans="1:31" ht="14.25" customHeight="1">
      <c r="A2763" s="277" t="s">
        <v>7248</v>
      </c>
      <c r="B2763" s="9" t="s">
        <v>21</v>
      </c>
      <c r="C2763" s="9"/>
      <c r="D2763" s="9"/>
      <c r="E2763" s="90"/>
      <c r="F2763" s="9"/>
      <c r="G2763" s="63"/>
      <c r="H2763" s="68"/>
      <c r="I2763" s="63"/>
      <c r="J2763" s="209"/>
      <c r="K2763" s="209"/>
      <c r="L2763" s="73"/>
      <c r="M2763" s="210"/>
      <c r="N2763" s="68"/>
      <c r="O2763" s="63"/>
      <c r="P2763" s="139"/>
      <c r="Q2763" s="139"/>
      <c r="R2763" s="139"/>
      <c r="S2763" s="216"/>
      <c r="T2763" s="216"/>
      <c r="U2763" s="63"/>
      <c r="V2763" s="63"/>
      <c r="W2763" s="63"/>
      <c r="X2763" s="63"/>
      <c r="Y2763" s="63"/>
      <c r="Z2763" s="63"/>
      <c r="AA2763" s="63"/>
      <c r="AB2763" s="63"/>
      <c r="AC2763" s="63"/>
      <c r="AD2763" s="63"/>
      <c r="AE2763" s="63"/>
    </row>
    <row r="2764" spans="1:31" ht="14.25" customHeight="1">
      <c r="A2764" s="277" t="s">
        <v>7249</v>
      </c>
      <c r="B2764" s="9" t="s">
        <v>21</v>
      </c>
      <c r="C2764" s="9"/>
      <c r="D2764" s="9"/>
      <c r="E2764" s="90"/>
      <c r="F2764" s="9"/>
      <c r="G2764" s="205" t="s">
        <v>22</v>
      </c>
      <c r="H2764" s="206" t="s">
        <v>1535</v>
      </c>
      <c r="I2764" s="211"/>
      <c r="J2764" s="212"/>
      <c r="K2764" s="212"/>
      <c r="L2764" s="213">
        <f>L2766+L2781+L2796+L2811</f>
        <v>0</v>
      </c>
      <c r="M2764" s="214"/>
      <c r="N2764" s="211"/>
      <c r="O2764" s="211"/>
      <c r="P2764" s="215"/>
      <c r="Q2764" s="215"/>
      <c r="R2764" s="215"/>
      <c r="S2764" s="213">
        <f>S2766+S2781+S2796+S2811</f>
        <v>0</v>
      </c>
      <c r="T2764" s="213">
        <f>T2766+T2781+T2796+T2811</f>
        <v>0</v>
      </c>
      <c r="U2764" s="63"/>
      <c r="V2764" s="52">
        <f>L2764-S2764</f>
        <v>0</v>
      </c>
      <c r="W2764" s="52">
        <f>T2764-V2764</f>
        <v>0</v>
      </c>
      <c r="X2764" s="63"/>
      <c r="Y2764" s="63"/>
      <c r="Z2764" s="63"/>
      <c r="AA2764" s="63"/>
      <c r="AB2764" s="63"/>
      <c r="AC2764" s="63"/>
      <c r="AD2764" s="63"/>
      <c r="AE2764" s="63"/>
    </row>
    <row r="2765" spans="1:31" ht="14.25" customHeight="1">
      <c r="A2765" s="277" t="s">
        <v>7250</v>
      </c>
      <c r="B2765" s="9" t="s">
        <v>21</v>
      </c>
      <c r="C2765" s="9"/>
      <c r="D2765" s="9"/>
      <c r="E2765" s="90"/>
      <c r="F2765" s="9"/>
      <c r="G2765" s="68"/>
      <c r="H2765" s="63"/>
      <c r="I2765" s="63"/>
      <c r="J2765" s="209"/>
      <c r="K2765" s="209"/>
      <c r="L2765" s="216"/>
      <c r="M2765" s="210"/>
      <c r="N2765" s="63"/>
      <c r="O2765" s="63"/>
      <c r="P2765" s="63"/>
      <c r="Q2765" s="63"/>
      <c r="R2765" s="63"/>
      <c r="S2765" s="216"/>
      <c r="T2765" s="216"/>
      <c r="U2765" s="63"/>
      <c r="V2765" s="63"/>
      <c r="W2765" s="63"/>
      <c r="X2765" s="63"/>
      <c r="Y2765" s="63"/>
      <c r="Z2765" s="63"/>
      <c r="AA2765" s="63"/>
      <c r="AB2765" s="63"/>
      <c r="AC2765" s="63"/>
      <c r="AD2765" s="63"/>
      <c r="AE2765" s="63"/>
    </row>
    <row r="2766" spans="1:31" ht="14.25" customHeight="1">
      <c r="A2766" s="277" t="s">
        <v>7251</v>
      </c>
      <c r="B2766" s="9" t="s">
        <v>21</v>
      </c>
      <c r="C2766" s="9"/>
      <c r="D2766" s="9"/>
      <c r="E2766" s="90"/>
      <c r="F2766" s="9"/>
      <c r="G2766" s="207" t="s">
        <v>24</v>
      </c>
      <c r="H2766" s="208" t="s">
        <v>1536</v>
      </c>
      <c r="I2766" s="217"/>
      <c r="J2766" s="218"/>
      <c r="K2766" s="218"/>
      <c r="L2766" s="219">
        <f>SUM(L2767:L2779)</f>
        <v>0</v>
      </c>
      <c r="M2766" s="220"/>
      <c r="N2766" s="221" t="s">
        <v>26</v>
      </c>
      <c r="O2766" s="221"/>
      <c r="P2766" s="221"/>
      <c r="Q2766" s="221"/>
      <c r="R2766" s="221"/>
      <c r="S2766" s="219">
        <f>SUM(S2767:S2779)</f>
        <v>0</v>
      </c>
      <c r="T2766" s="219">
        <f>SUM(T2767:T2779)</f>
        <v>0</v>
      </c>
      <c r="U2766" s="63"/>
      <c r="V2766" s="52">
        <f>L2766-S2766</f>
        <v>0</v>
      </c>
      <c r="W2766" s="52">
        <f>T2766-V2766</f>
        <v>0</v>
      </c>
      <c r="X2766" s="63"/>
      <c r="Y2766" s="63"/>
      <c r="Z2766" s="63"/>
      <c r="AA2766" s="63"/>
      <c r="AB2766" s="63"/>
      <c r="AC2766" s="63"/>
      <c r="AD2766" s="63"/>
      <c r="AE2766" s="63"/>
    </row>
    <row r="2767" spans="1:31" ht="14.25" customHeight="1">
      <c r="A2767" s="277" t="s">
        <v>7252</v>
      </c>
      <c r="B2767" s="9" t="s">
        <v>21</v>
      </c>
      <c r="C2767" s="9">
        <v>2023</v>
      </c>
      <c r="D2767" s="9"/>
      <c r="E2767" s="90" t="s">
        <v>1535</v>
      </c>
      <c r="F2767" s="9" t="s">
        <v>1537</v>
      </c>
      <c r="G2767" s="63"/>
      <c r="H2767" s="68"/>
      <c r="I2767" s="222" t="s">
        <v>1536</v>
      </c>
      <c r="J2767" s="12">
        <v>44927</v>
      </c>
      <c r="K2767" s="209"/>
      <c r="L2767" s="223"/>
      <c r="M2767" s="210" t="s">
        <v>1538</v>
      </c>
      <c r="N2767" s="231" t="s">
        <v>29</v>
      </c>
      <c r="O2767" s="210">
        <f t="shared" ref="O2767:O2772" si="599">L2767</f>
        <v>0</v>
      </c>
      <c r="P2767" s="139"/>
      <c r="Q2767" s="139"/>
      <c r="R2767" s="139"/>
      <c r="S2767" s="75">
        <f t="shared" ref="S2767:S2779" si="600">IF(R2767="",0,L2767)</f>
        <v>0</v>
      </c>
      <c r="T2767" s="75">
        <f t="shared" ref="T2767:T2779" si="601">L2767-S2767</f>
        <v>0</v>
      </c>
      <c r="U2767" s="63"/>
      <c r="V2767" s="63"/>
      <c r="W2767" s="63"/>
      <c r="X2767" s="63"/>
      <c r="Y2767" s="63"/>
      <c r="Z2767" s="63"/>
      <c r="AA2767" s="63"/>
      <c r="AB2767" s="63"/>
      <c r="AC2767" s="63"/>
      <c r="AD2767" s="63"/>
      <c r="AE2767" s="63"/>
    </row>
    <row r="2768" spans="1:31" ht="14.25" customHeight="1">
      <c r="A2768" s="277" t="s">
        <v>7253</v>
      </c>
      <c r="B2768" s="9" t="s">
        <v>21</v>
      </c>
      <c r="C2768" s="9">
        <v>2023</v>
      </c>
      <c r="D2768" s="9"/>
      <c r="E2768" s="90" t="s">
        <v>1535</v>
      </c>
      <c r="F2768" s="9" t="s">
        <v>1537</v>
      </c>
      <c r="G2768" s="63"/>
      <c r="H2768" s="68"/>
      <c r="I2768" s="222" t="s">
        <v>1536</v>
      </c>
      <c r="J2768" s="12">
        <v>44958</v>
      </c>
      <c r="K2768" s="209"/>
      <c r="L2768" s="223"/>
      <c r="M2768" s="210" t="s">
        <v>1539</v>
      </c>
      <c r="N2768" s="231" t="s">
        <v>29</v>
      </c>
      <c r="O2768" s="210">
        <f t="shared" si="599"/>
        <v>0</v>
      </c>
      <c r="P2768" s="139"/>
      <c r="Q2768" s="139"/>
      <c r="R2768" s="139"/>
      <c r="S2768" s="75">
        <f t="shared" si="600"/>
        <v>0</v>
      </c>
      <c r="T2768" s="75">
        <f t="shared" si="601"/>
        <v>0</v>
      </c>
      <c r="U2768" s="63"/>
      <c r="V2768" s="63"/>
      <c r="W2768" s="63"/>
      <c r="X2768" s="63"/>
      <c r="Y2768" s="63"/>
      <c r="Z2768" s="63"/>
      <c r="AA2768" s="63"/>
      <c r="AB2768" s="63"/>
      <c r="AC2768" s="63"/>
      <c r="AD2768" s="63"/>
      <c r="AE2768" s="63"/>
    </row>
    <row r="2769" spans="1:31" ht="14.25" customHeight="1">
      <c r="A2769" s="277" t="s">
        <v>7254</v>
      </c>
      <c r="B2769" s="9" t="s">
        <v>21</v>
      </c>
      <c r="C2769" s="9">
        <v>2023</v>
      </c>
      <c r="D2769" s="9"/>
      <c r="E2769" s="90" t="s">
        <v>1535</v>
      </c>
      <c r="F2769" s="9" t="s">
        <v>1537</v>
      </c>
      <c r="G2769" s="63"/>
      <c r="H2769" s="68"/>
      <c r="I2769" s="222" t="s">
        <v>1536</v>
      </c>
      <c r="J2769" s="12">
        <v>44986</v>
      </c>
      <c r="K2769" s="209"/>
      <c r="L2769" s="223"/>
      <c r="M2769" s="210" t="s">
        <v>1540</v>
      </c>
      <c r="N2769" s="231" t="s">
        <v>29</v>
      </c>
      <c r="O2769" s="210">
        <f t="shared" si="599"/>
        <v>0</v>
      </c>
      <c r="P2769" s="139"/>
      <c r="Q2769" s="139"/>
      <c r="R2769" s="139"/>
      <c r="S2769" s="75">
        <f t="shared" si="600"/>
        <v>0</v>
      </c>
      <c r="T2769" s="75">
        <f t="shared" si="601"/>
        <v>0</v>
      </c>
      <c r="U2769" s="63"/>
      <c r="V2769" s="63"/>
      <c r="W2769" s="63"/>
      <c r="X2769" s="63"/>
      <c r="Y2769" s="63"/>
      <c r="Z2769" s="63"/>
      <c r="AA2769" s="63"/>
      <c r="AB2769" s="63"/>
      <c r="AC2769" s="63"/>
      <c r="AD2769" s="63"/>
      <c r="AE2769" s="63"/>
    </row>
    <row r="2770" spans="1:31" ht="14.25" customHeight="1">
      <c r="A2770" s="277" t="s">
        <v>7255</v>
      </c>
      <c r="B2770" s="9" t="s">
        <v>21</v>
      </c>
      <c r="C2770" s="9">
        <v>2023</v>
      </c>
      <c r="D2770" s="9"/>
      <c r="E2770" s="90" t="s">
        <v>1535</v>
      </c>
      <c r="F2770" s="9" t="s">
        <v>1537</v>
      </c>
      <c r="G2770" s="63"/>
      <c r="H2770" s="68"/>
      <c r="I2770" s="222" t="s">
        <v>1536</v>
      </c>
      <c r="J2770" s="12">
        <v>45017</v>
      </c>
      <c r="K2770" s="209"/>
      <c r="L2770" s="223"/>
      <c r="M2770" s="210" t="s">
        <v>1541</v>
      </c>
      <c r="N2770" s="231" t="s">
        <v>29</v>
      </c>
      <c r="O2770" s="210">
        <f t="shared" si="599"/>
        <v>0</v>
      </c>
      <c r="P2770" s="139"/>
      <c r="Q2770" s="139"/>
      <c r="R2770" s="139"/>
      <c r="S2770" s="75">
        <f t="shared" si="600"/>
        <v>0</v>
      </c>
      <c r="T2770" s="75">
        <f t="shared" si="601"/>
        <v>0</v>
      </c>
      <c r="U2770" s="63"/>
      <c r="V2770" s="63"/>
      <c r="W2770" s="63"/>
      <c r="X2770" s="63"/>
      <c r="Y2770" s="63"/>
      <c r="Z2770" s="63"/>
      <c r="AA2770" s="63"/>
      <c r="AB2770" s="63"/>
      <c r="AC2770" s="63"/>
      <c r="AD2770" s="63"/>
      <c r="AE2770" s="63"/>
    </row>
    <row r="2771" spans="1:31" ht="14.25" customHeight="1">
      <c r="A2771" s="277" t="s">
        <v>7256</v>
      </c>
      <c r="B2771" s="9" t="s">
        <v>21</v>
      </c>
      <c r="C2771" s="9">
        <v>2023</v>
      </c>
      <c r="D2771" s="9"/>
      <c r="E2771" s="90" t="s">
        <v>1535</v>
      </c>
      <c r="F2771" s="9" t="s">
        <v>1537</v>
      </c>
      <c r="G2771" s="63"/>
      <c r="H2771" s="68"/>
      <c r="I2771" s="222" t="s">
        <v>1536</v>
      </c>
      <c r="J2771" s="12">
        <v>45047</v>
      </c>
      <c r="K2771" s="209"/>
      <c r="L2771" s="223"/>
      <c r="M2771" s="210" t="s">
        <v>1542</v>
      </c>
      <c r="N2771" s="231" t="s">
        <v>29</v>
      </c>
      <c r="O2771" s="210">
        <f t="shared" si="599"/>
        <v>0</v>
      </c>
      <c r="P2771" s="139"/>
      <c r="Q2771" s="139"/>
      <c r="R2771" s="139"/>
      <c r="S2771" s="75">
        <f t="shared" si="600"/>
        <v>0</v>
      </c>
      <c r="T2771" s="75">
        <f t="shared" si="601"/>
        <v>0</v>
      </c>
      <c r="U2771" s="63"/>
      <c r="V2771" s="63"/>
      <c r="W2771" s="63"/>
      <c r="X2771" s="63"/>
      <c r="Y2771" s="63"/>
      <c r="Z2771" s="63"/>
      <c r="AA2771" s="63"/>
      <c r="AB2771" s="63"/>
      <c r="AC2771" s="63"/>
      <c r="AD2771" s="63"/>
      <c r="AE2771" s="63"/>
    </row>
    <row r="2772" spans="1:31" ht="14.25" customHeight="1">
      <c r="A2772" s="277" t="s">
        <v>7257</v>
      </c>
      <c r="B2772" s="9" t="s">
        <v>21</v>
      </c>
      <c r="C2772" s="9">
        <v>2023</v>
      </c>
      <c r="D2772" s="9"/>
      <c r="E2772" s="90" t="s">
        <v>1535</v>
      </c>
      <c r="F2772" s="9" t="s">
        <v>1537</v>
      </c>
      <c r="G2772" s="63"/>
      <c r="H2772" s="68"/>
      <c r="I2772" s="222" t="s">
        <v>1536</v>
      </c>
      <c r="J2772" s="12">
        <v>45078</v>
      </c>
      <c r="K2772" s="209"/>
      <c r="L2772" s="223"/>
      <c r="M2772" s="210" t="s">
        <v>1543</v>
      </c>
      <c r="N2772" s="231" t="s">
        <v>29</v>
      </c>
      <c r="O2772" s="210">
        <f t="shared" si="599"/>
        <v>0</v>
      </c>
      <c r="P2772" s="139"/>
      <c r="Q2772" s="139"/>
      <c r="R2772" s="139"/>
      <c r="S2772" s="75">
        <f t="shared" si="600"/>
        <v>0</v>
      </c>
      <c r="T2772" s="75">
        <f t="shared" si="601"/>
        <v>0</v>
      </c>
      <c r="U2772" s="63"/>
      <c r="V2772" s="63"/>
      <c r="W2772" s="63"/>
      <c r="X2772" s="63"/>
      <c r="Y2772" s="63"/>
      <c r="Z2772" s="63"/>
      <c r="AA2772" s="63"/>
      <c r="AB2772" s="63"/>
      <c r="AC2772" s="63"/>
      <c r="AD2772" s="63"/>
      <c r="AE2772" s="63"/>
    </row>
    <row r="2773" spans="1:31" ht="14.25" customHeight="1">
      <c r="A2773" s="277" t="s">
        <v>7258</v>
      </c>
      <c r="B2773" s="9" t="s">
        <v>21</v>
      </c>
      <c r="C2773" s="9">
        <v>2023</v>
      </c>
      <c r="D2773" s="9"/>
      <c r="E2773" s="90" t="s">
        <v>1535</v>
      </c>
      <c r="F2773" s="9" t="s">
        <v>1537</v>
      </c>
      <c r="G2773" s="63"/>
      <c r="H2773" s="68"/>
      <c r="I2773" s="222" t="s">
        <v>1536</v>
      </c>
      <c r="J2773" s="12">
        <v>45108</v>
      </c>
      <c r="K2773" s="209"/>
      <c r="L2773" s="210"/>
      <c r="M2773" s="210" t="s">
        <v>1544</v>
      </c>
      <c r="N2773" s="231" t="s">
        <v>29</v>
      </c>
      <c r="O2773" s="63"/>
      <c r="P2773" s="139"/>
      <c r="Q2773" s="139"/>
      <c r="R2773" s="139"/>
      <c r="S2773" s="75">
        <f t="shared" si="600"/>
        <v>0</v>
      </c>
      <c r="T2773" s="75">
        <f t="shared" si="601"/>
        <v>0</v>
      </c>
      <c r="U2773" s="63"/>
      <c r="V2773" s="63"/>
      <c r="W2773" s="63"/>
      <c r="X2773" s="63"/>
      <c r="Y2773" s="63"/>
      <c r="Z2773" s="63"/>
      <c r="AA2773" s="63"/>
      <c r="AB2773" s="63"/>
      <c r="AC2773" s="63"/>
      <c r="AD2773" s="63"/>
      <c r="AE2773" s="63"/>
    </row>
    <row r="2774" spans="1:31" ht="14.25" customHeight="1">
      <c r="A2774" s="277" t="s">
        <v>7259</v>
      </c>
      <c r="B2774" s="9" t="s">
        <v>21</v>
      </c>
      <c r="C2774" s="9">
        <v>2023</v>
      </c>
      <c r="D2774" s="9"/>
      <c r="E2774" s="90" t="s">
        <v>1535</v>
      </c>
      <c r="F2774" s="9" t="s">
        <v>1537</v>
      </c>
      <c r="G2774" s="63"/>
      <c r="H2774" s="68"/>
      <c r="I2774" s="222" t="s">
        <v>1536</v>
      </c>
      <c r="J2774" s="12">
        <v>45139</v>
      </c>
      <c r="K2774" s="209"/>
      <c r="L2774" s="210"/>
      <c r="M2774" s="210" t="s">
        <v>1545</v>
      </c>
      <c r="N2774" s="231" t="s">
        <v>29</v>
      </c>
      <c r="O2774" s="63"/>
      <c r="P2774" s="139"/>
      <c r="Q2774" s="139"/>
      <c r="R2774" s="139"/>
      <c r="S2774" s="75">
        <f t="shared" si="600"/>
        <v>0</v>
      </c>
      <c r="T2774" s="75">
        <f t="shared" si="601"/>
        <v>0</v>
      </c>
      <c r="U2774" s="63"/>
      <c r="V2774" s="63"/>
      <c r="W2774" s="63"/>
      <c r="X2774" s="63"/>
      <c r="Y2774" s="63"/>
      <c r="Z2774" s="63"/>
      <c r="AA2774" s="63"/>
      <c r="AB2774" s="63"/>
      <c r="AC2774" s="63"/>
      <c r="AD2774" s="63"/>
      <c r="AE2774" s="63"/>
    </row>
    <row r="2775" spans="1:31" ht="14.25" customHeight="1">
      <c r="A2775" s="277" t="s">
        <v>7260</v>
      </c>
      <c r="B2775" s="9" t="s">
        <v>21</v>
      </c>
      <c r="C2775" s="9">
        <v>2023</v>
      </c>
      <c r="D2775" s="9"/>
      <c r="E2775" s="90" t="s">
        <v>1535</v>
      </c>
      <c r="F2775" s="9" t="s">
        <v>1537</v>
      </c>
      <c r="G2775" s="63"/>
      <c r="H2775" s="68"/>
      <c r="I2775" s="222" t="s">
        <v>1536</v>
      </c>
      <c r="J2775" s="12">
        <v>45170</v>
      </c>
      <c r="K2775" s="209"/>
      <c r="L2775" s="210"/>
      <c r="M2775" s="210" t="s">
        <v>1546</v>
      </c>
      <c r="N2775" s="231" t="s">
        <v>29</v>
      </c>
      <c r="O2775" s="63"/>
      <c r="P2775" s="139"/>
      <c r="Q2775" s="139"/>
      <c r="R2775" s="139"/>
      <c r="S2775" s="75">
        <f t="shared" si="600"/>
        <v>0</v>
      </c>
      <c r="T2775" s="75">
        <f t="shared" si="601"/>
        <v>0</v>
      </c>
      <c r="U2775" s="63"/>
      <c r="V2775" s="63"/>
      <c r="W2775" s="63"/>
      <c r="X2775" s="63"/>
      <c r="Y2775" s="63"/>
      <c r="Z2775" s="63"/>
      <c r="AA2775" s="63"/>
      <c r="AB2775" s="63"/>
      <c r="AC2775" s="63"/>
      <c r="AD2775" s="63"/>
      <c r="AE2775" s="63"/>
    </row>
    <row r="2776" spans="1:31" ht="14.25" customHeight="1">
      <c r="A2776" s="277" t="s">
        <v>7261</v>
      </c>
      <c r="B2776" s="9" t="s">
        <v>21</v>
      </c>
      <c r="C2776" s="9">
        <v>2023</v>
      </c>
      <c r="D2776" s="9"/>
      <c r="E2776" s="90" t="s">
        <v>1535</v>
      </c>
      <c r="F2776" s="9" t="s">
        <v>1537</v>
      </c>
      <c r="G2776" s="63"/>
      <c r="H2776" s="68"/>
      <c r="I2776" s="222" t="s">
        <v>1536</v>
      </c>
      <c r="J2776" s="12">
        <v>45200</v>
      </c>
      <c r="K2776" s="209"/>
      <c r="L2776" s="210"/>
      <c r="M2776" s="210" t="s">
        <v>1547</v>
      </c>
      <c r="N2776" s="231" t="s">
        <v>29</v>
      </c>
      <c r="O2776" s="63"/>
      <c r="P2776" s="139"/>
      <c r="Q2776" s="139"/>
      <c r="R2776" s="139"/>
      <c r="S2776" s="75">
        <f t="shared" si="600"/>
        <v>0</v>
      </c>
      <c r="T2776" s="75">
        <f t="shared" si="601"/>
        <v>0</v>
      </c>
      <c r="U2776" s="63"/>
      <c r="V2776" s="63"/>
      <c r="W2776" s="63"/>
      <c r="X2776" s="63"/>
      <c r="Y2776" s="63"/>
      <c r="Z2776" s="63"/>
      <c r="AA2776" s="63"/>
      <c r="AB2776" s="63"/>
      <c r="AC2776" s="63"/>
      <c r="AD2776" s="63"/>
      <c r="AE2776" s="63"/>
    </row>
    <row r="2777" spans="1:31" ht="14.25" customHeight="1">
      <c r="A2777" s="277" t="s">
        <v>7262</v>
      </c>
      <c r="B2777" s="9" t="s">
        <v>21</v>
      </c>
      <c r="C2777" s="9">
        <v>2023</v>
      </c>
      <c r="D2777" s="9"/>
      <c r="E2777" s="90" t="s">
        <v>1535</v>
      </c>
      <c r="F2777" s="9" t="s">
        <v>1537</v>
      </c>
      <c r="G2777" s="63"/>
      <c r="H2777" s="68"/>
      <c r="I2777" s="222" t="s">
        <v>1536</v>
      </c>
      <c r="J2777" s="12">
        <v>45231</v>
      </c>
      <c r="K2777" s="209"/>
      <c r="L2777" s="210"/>
      <c r="M2777" s="210" t="s">
        <v>1548</v>
      </c>
      <c r="N2777" s="231" t="s">
        <v>29</v>
      </c>
      <c r="O2777" s="210">
        <f>L2777</f>
        <v>0</v>
      </c>
      <c r="P2777" s="139"/>
      <c r="Q2777" s="139"/>
      <c r="R2777" s="139"/>
      <c r="S2777" s="75">
        <f t="shared" si="600"/>
        <v>0</v>
      </c>
      <c r="T2777" s="75">
        <f t="shared" si="601"/>
        <v>0</v>
      </c>
      <c r="U2777" s="63"/>
      <c r="V2777" s="63"/>
      <c r="W2777" s="63"/>
      <c r="X2777" s="63"/>
      <c r="Y2777" s="63"/>
      <c r="Z2777" s="63"/>
      <c r="AA2777" s="63"/>
      <c r="AB2777" s="63"/>
      <c r="AC2777" s="63"/>
      <c r="AD2777" s="63"/>
      <c r="AE2777" s="63"/>
    </row>
    <row r="2778" spans="1:31" ht="14.25" customHeight="1">
      <c r="A2778" s="277" t="s">
        <v>7263</v>
      </c>
      <c r="B2778" s="9" t="s">
        <v>21</v>
      </c>
      <c r="C2778" s="9">
        <v>2023</v>
      </c>
      <c r="D2778" s="9"/>
      <c r="E2778" s="90" t="s">
        <v>1535</v>
      </c>
      <c r="F2778" s="9" t="s">
        <v>1537</v>
      </c>
      <c r="G2778" s="63"/>
      <c r="H2778" s="68"/>
      <c r="I2778" s="222" t="s">
        <v>1536</v>
      </c>
      <c r="J2778" s="12">
        <v>45261</v>
      </c>
      <c r="K2778" s="209"/>
      <c r="L2778" s="210"/>
      <c r="M2778" s="210" t="s">
        <v>1549</v>
      </c>
      <c r="N2778" s="231" t="s">
        <v>29</v>
      </c>
      <c r="O2778" s="210">
        <f>L2778</f>
        <v>0</v>
      </c>
      <c r="P2778" s="139"/>
      <c r="Q2778" s="139"/>
      <c r="R2778" s="139"/>
      <c r="S2778" s="75">
        <f t="shared" si="600"/>
        <v>0</v>
      </c>
      <c r="T2778" s="75">
        <f t="shared" si="601"/>
        <v>0</v>
      </c>
      <c r="U2778" s="63"/>
      <c r="V2778" s="63"/>
      <c r="W2778" s="63"/>
      <c r="X2778" s="63"/>
      <c r="Y2778" s="63"/>
      <c r="Z2778" s="63"/>
      <c r="AA2778" s="63"/>
      <c r="AB2778" s="63"/>
      <c r="AC2778" s="63"/>
      <c r="AD2778" s="63"/>
      <c r="AE2778" s="63"/>
    </row>
    <row r="2779" spans="1:31" ht="14.25" customHeight="1">
      <c r="A2779" s="277" t="s">
        <v>7264</v>
      </c>
      <c r="B2779" s="9" t="s">
        <v>21</v>
      </c>
      <c r="C2779" s="9"/>
      <c r="D2779" s="9"/>
      <c r="E2779" s="90"/>
      <c r="F2779" s="9"/>
      <c r="G2779" s="63"/>
      <c r="H2779" s="68"/>
      <c r="I2779" s="63"/>
      <c r="J2779" s="209"/>
      <c r="K2779" s="209"/>
      <c r="L2779" s="210"/>
      <c r="M2779" s="210"/>
      <c r="N2779" s="202">
        <f ca="1">$J$3-J2779</f>
        <v>46240.46377638889</v>
      </c>
      <c r="O2779" s="63"/>
      <c r="P2779" s="139"/>
      <c r="Q2779" s="139"/>
      <c r="R2779" s="139"/>
      <c r="S2779" s="75">
        <f t="shared" si="600"/>
        <v>0</v>
      </c>
      <c r="T2779" s="75">
        <f t="shared" si="601"/>
        <v>0</v>
      </c>
      <c r="U2779" s="63"/>
      <c r="V2779" s="63"/>
      <c r="W2779" s="63"/>
      <c r="X2779" s="63"/>
      <c r="Y2779" s="63"/>
      <c r="Z2779" s="63"/>
      <c r="AA2779" s="63"/>
      <c r="AB2779" s="63"/>
      <c r="AC2779" s="63"/>
      <c r="AD2779" s="63"/>
      <c r="AE2779" s="63"/>
    </row>
    <row r="2780" spans="1:31" ht="14.25" customHeight="1">
      <c r="A2780" s="277" t="s">
        <v>7265</v>
      </c>
      <c r="B2780" s="9" t="s">
        <v>21</v>
      </c>
      <c r="C2780" s="9"/>
      <c r="D2780" s="9"/>
      <c r="E2780" s="90"/>
      <c r="F2780" s="9"/>
      <c r="G2780" s="68"/>
      <c r="H2780" s="63"/>
      <c r="I2780" s="63"/>
      <c r="J2780" s="209"/>
      <c r="K2780" s="209"/>
      <c r="L2780" s="216"/>
      <c r="M2780" s="210"/>
      <c r="N2780" s="63"/>
      <c r="O2780" s="63"/>
      <c r="P2780" s="63"/>
      <c r="Q2780" s="63"/>
      <c r="R2780" s="63"/>
      <c r="S2780" s="216"/>
      <c r="T2780" s="216"/>
      <c r="U2780" s="63"/>
      <c r="V2780" s="63"/>
      <c r="W2780" s="63"/>
      <c r="X2780" s="63"/>
      <c r="Y2780" s="63"/>
      <c r="Z2780" s="63"/>
      <c r="AA2780" s="63"/>
      <c r="AB2780" s="63"/>
      <c r="AC2780" s="63"/>
      <c r="AD2780" s="63"/>
      <c r="AE2780" s="63"/>
    </row>
    <row r="2781" spans="1:31" ht="14.25" customHeight="1">
      <c r="A2781" s="277" t="s">
        <v>7266</v>
      </c>
      <c r="B2781" s="9" t="s">
        <v>21</v>
      </c>
      <c r="C2781" s="9"/>
      <c r="D2781" s="9"/>
      <c r="E2781" s="90"/>
      <c r="F2781" s="9"/>
      <c r="G2781" s="207" t="s">
        <v>24</v>
      </c>
      <c r="H2781" s="208" t="s">
        <v>1550</v>
      </c>
      <c r="I2781" s="217"/>
      <c r="J2781" s="218"/>
      <c r="K2781" s="218"/>
      <c r="L2781" s="219">
        <f>SUM(L2782:L2794)</f>
        <v>0</v>
      </c>
      <c r="M2781" s="220"/>
      <c r="N2781" s="221" t="s">
        <v>26</v>
      </c>
      <c r="O2781" s="221"/>
      <c r="P2781" s="221"/>
      <c r="Q2781" s="221"/>
      <c r="R2781" s="221"/>
      <c r="S2781" s="219">
        <f>SUM(S2782:S2794)</f>
        <v>0</v>
      </c>
      <c r="T2781" s="219">
        <f>SUM(T2782:T2794)</f>
        <v>0</v>
      </c>
      <c r="U2781" s="63"/>
      <c r="V2781" s="52">
        <f>L2781-S2781</f>
        <v>0</v>
      </c>
      <c r="W2781" s="52">
        <f>T2781-V2781</f>
        <v>0</v>
      </c>
      <c r="X2781" s="63"/>
      <c r="Y2781" s="63"/>
      <c r="Z2781" s="63"/>
      <c r="AA2781" s="63"/>
      <c r="AB2781" s="63"/>
      <c r="AC2781" s="63"/>
      <c r="AD2781" s="63"/>
      <c r="AE2781" s="63"/>
    </row>
    <row r="2782" spans="1:31" ht="14.25" customHeight="1">
      <c r="A2782" s="277" t="s">
        <v>7267</v>
      </c>
      <c r="B2782" s="9" t="s">
        <v>21</v>
      </c>
      <c r="C2782" s="9">
        <v>2023</v>
      </c>
      <c r="D2782" s="9"/>
      <c r="E2782" s="90" t="s">
        <v>1535</v>
      </c>
      <c r="F2782" s="9" t="s">
        <v>1537</v>
      </c>
      <c r="G2782" s="63"/>
      <c r="H2782" s="68"/>
      <c r="I2782" s="208" t="s">
        <v>1550</v>
      </c>
      <c r="J2782" s="39">
        <v>44927</v>
      </c>
      <c r="K2782" s="209"/>
      <c r="L2782" s="223"/>
      <c r="M2782" s="210" t="s">
        <v>1551</v>
      </c>
      <c r="N2782" s="231" t="s">
        <v>29</v>
      </c>
      <c r="O2782" s="210">
        <f t="shared" ref="O2782:O2787" si="602">L2782</f>
        <v>0</v>
      </c>
      <c r="P2782" s="139"/>
      <c r="Q2782" s="139"/>
      <c r="R2782" s="139"/>
      <c r="S2782" s="75">
        <f t="shared" ref="S2782:S2794" si="603">IF(R2782="",0,L2782)</f>
        <v>0</v>
      </c>
      <c r="T2782" s="75">
        <f t="shared" ref="T2782:T2794" si="604">L2782-S2782</f>
        <v>0</v>
      </c>
      <c r="U2782" s="63"/>
      <c r="V2782" s="63"/>
      <c r="W2782" s="63"/>
      <c r="X2782" s="63"/>
      <c r="Y2782" s="63"/>
      <c r="Z2782" s="63"/>
      <c r="AA2782" s="63"/>
      <c r="AB2782" s="63"/>
      <c r="AC2782" s="63"/>
      <c r="AD2782" s="63"/>
      <c r="AE2782" s="63"/>
    </row>
    <row r="2783" spans="1:31" ht="14.25" customHeight="1">
      <c r="A2783" s="277" t="s">
        <v>7268</v>
      </c>
      <c r="B2783" s="9" t="s">
        <v>21</v>
      </c>
      <c r="C2783" s="9">
        <v>2023</v>
      </c>
      <c r="D2783" s="9"/>
      <c r="E2783" s="90" t="s">
        <v>1535</v>
      </c>
      <c r="F2783" s="9" t="s">
        <v>1537</v>
      </c>
      <c r="G2783" s="63"/>
      <c r="H2783" s="68"/>
      <c r="I2783" s="208" t="s">
        <v>1550</v>
      </c>
      <c r="J2783" s="12">
        <v>44958</v>
      </c>
      <c r="K2783" s="209"/>
      <c r="L2783" s="223"/>
      <c r="M2783" s="210" t="s">
        <v>1552</v>
      </c>
      <c r="N2783" s="231" t="s">
        <v>29</v>
      </c>
      <c r="O2783" s="210">
        <f t="shared" si="602"/>
        <v>0</v>
      </c>
      <c r="P2783" s="139"/>
      <c r="Q2783" s="139"/>
      <c r="R2783" s="139"/>
      <c r="S2783" s="75">
        <f t="shared" si="603"/>
        <v>0</v>
      </c>
      <c r="T2783" s="75">
        <f t="shared" si="604"/>
        <v>0</v>
      </c>
      <c r="U2783" s="63"/>
      <c r="V2783" s="63"/>
      <c r="W2783" s="63"/>
      <c r="X2783" s="63"/>
      <c r="Y2783" s="63"/>
      <c r="Z2783" s="63"/>
      <c r="AA2783" s="63"/>
      <c r="AB2783" s="63"/>
      <c r="AC2783" s="63"/>
      <c r="AD2783" s="63"/>
      <c r="AE2783" s="63"/>
    </row>
    <row r="2784" spans="1:31" ht="14.25" customHeight="1">
      <c r="A2784" s="277" t="s">
        <v>7269</v>
      </c>
      <c r="B2784" s="9" t="s">
        <v>21</v>
      </c>
      <c r="C2784" s="9">
        <v>2023</v>
      </c>
      <c r="D2784" s="9"/>
      <c r="E2784" s="90" t="s">
        <v>1535</v>
      </c>
      <c r="F2784" s="9" t="s">
        <v>1537</v>
      </c>
      <c r="G2784" s="63"/>
      <c r="H2784" s="68"/>
      <c r="I2784" s="208" t="s">
        <v>1550</v>
      </c>
      <c r="J2784" s="12">
        <v>44986</v>
      </c>
      <c r="K2784" s="209"/>
      <c r="L2784" s="223"/>
      <c r="M2784" s="210" t="s">
        <v>1553</v>
      </c>
      <c r="N2784" s="231" t="s">
        <v>29</v>
      </c>
      <c r="O2784" s="210">
        <f t="shared" si="602"/>
        <v>0</v>
      </c>
      <c r="P2784" s="139"/>
      <c r="Q2784" s="139"/>
      <c r="R2784" s="139"/>
      <c r="S2784" s="75">
        <f t="shared" si="603"/>
        <v>0</v>
      </c>
      <c r="T2784" s="75">
        <f t="shared" si="604"/>
        <v>0</v>
      </c>
      <c r="U2784" s="63"/>
      <c r="V2784" s="63"/>
      <c r="W2784" s="63"/>
      <c r="X2784" s="63"/>
      <c r="Y2784" s="63"/>
      <c r="Z2784" s="63"/>
      <c r="AA2784" s="63"/>
      <c r="AB2784" s="63"/>
      <c r="AC2784" s="63"/>
      <c r="AD2784" s="63"/>
      <c r="AE2784" s="63"/>
    </row>
    <row r="2785" spans="1:31" ht="14.25" customHeight="1">
      <c r="A2785" s="277" t="s">
        <v>7270</v>
      </c>
      <c r="B2785" s="9" t="s">
        <v>21</v>
      </c>
      <c r="C2785" s="9">
        <v>2023</v>
      </c>
      <c r="D2785" s="9"/>
      <c r="E2785" s="90" t="s">
        <v>1535</v>
      </c>
      <c r="F2785" s="9" t="s">
        <v>1537</v>
      </c>
      <c r="G2785" s="63"/>
      <c r="H2785" s="68"/>
      <c r="I2785" s="208" t="s">
        <v>1550</v>
      </c>
      <c r="J2785" s="12">
        <v>45017</v>
      </c>
      <c r="K2785" s="209"/>
      <c r="L2785" s="223"/>
      <c r="M2785" s="210" t="s">
        <v>1554</v>
      </c>
      <c r="N2785" s="231" t="s">
        <v>29</v>
      </c>
      <c r="O2785" s="210">
        <f t="shared" si="602"/>
        <v>0</v>
      </c>
      <c r="P2785" s="139"/>
      <c r="Q2785" s="139"/>
      <c r="R2785" s="139"/>
      <c r="S2785" s="75">
        <f t="shared" si="603"/>
        <v>0</v>
      </c>
      <c r="T2785" s="75">
        <f t="shared" si="604"/>
        <v>0</v>
      </c>
      <c r="U2785" s="63"/>
      <c r="V2785" s="63"/>
      <c r="W2785" s="63"/>
      <c r="X2785" s="63"/>
      <c r="Y2785" s="63"/>
      <c r="Z2785" s="63"/>
      <c r="AA2785" s="63"/>
      <c r="AB2785" s="63"/>
      <c r="AC2785" s="63"/>
      <c r="AD2785" s="63"/>
      <c r="AE2785" s="63"/>
    </row>
    <row r="2786" spans="1:31" ht="14.25" customHeight="1">
      <c r="A2786" s="277" t="s">
        <v>7271</v>
      </c>
      <c r="B2786" s="9" t="s">
        <v>21</v>
      </c>
      <c r="C2786" s="9">
        <v>2023</v>
      </c>
      <c r="D2786" s="9"/>
      <c r="E2786" s="90" t="s">
        <v>1535</v>
      </c>
      <c r="F2786" s="9" t="s">
        <v>1537</v>
      </c>
      <c r="G2786" s="63"/>
      <c r="H2786" s="68"/>
      <c r="I2786" s="208" t="s">
        <v>1550</v>
      </c>
      <c r="J2786" s="12">
        <v>45047</v>
      </c>
      <c r="K2786" s="209"/>
      <c r="L2786" s="223"/>
      <c r="M2786" s="210" t="s">
        <v>1555</v>
      </c>
      <c r="N2786" s="231" t="s">
        <v>29</v>
      </c>
      <c r="O2786" s="210">
        <f t="shared" si="602"/>
        <v>0</v>
      </c>
      <c r="P2786" s="139"/>
      <c r="Q2786" s="139"/>
      <c r="R2786" s="139"/>
      <c r="S2786" s="75">
        <f t="shared" si="603"/>
        <v>0</v>
      </c>
      <c r="T2786" s="75">
        <f t="shared" si="604"/>
        <v>0</v>
      </c>
      <c r="U2786" s="63"/>
      <c r="V2786" s="63"/>
      <c r="W2786" s="63"/>
      <c r="X2786" s="63"/>
      <c r="Y2786" s="63"/>
      <c r="Z2786" s="63"/>
      <c r="AA2786" s="63"/>
      <c r="AB2786" s="63"/>
      <c r="AC2786" s="63"/>
      <c r="AD2786" s="63"/>
      <c r="AE2786" s="63"/>
    </row>
    <row r="2787" spans="1:31" ht="14.25" customHeight="1">
      <c r="A2787" s="277" t="s">
        <v>7272</v>
      </c>
      <c r="B2787" s="9" t="s">
        <v>21</v>
      </c>
      <c r="C2787" s="9">
        <v>2023</v>
      </c>
      <c r="D2787" s="9"/>
      <c r="E2787" s="90" t="s">
        <v>1535</v>
      </c>
      <c r="F2787" s="9" t="s">
        <v>1537</v>
      </c>
      <c r="G2787" s="63"/>
      <c r="H2787" s="68"/>
      <c r="I2787" s="208" t="s">
        <v>1550</v>
      </c>
      <c r="J2787" s="12">
        <v>45078</v>
      </c>
      <c r="K2787" s="209"/>
      <c r="L2787" s="223"/>
      <c r="M2787" s="210" t="s">
        <v>1556</v>
      </c>
      <c r="N2787" s="231" t="s">
        <v>29</v>
      </c>
      <c r="O2787" s="210">
        <f t="shared" si="602"/>
        <v>0</v>
      </c>
      <c r="P2787" s="139"/>
      <c r="Q2787" s="139"/>
      <c r="R2787" s="139"/>
      <c r="S2787" s="75">
        <f t="shared" si="603"/>
        <v>0</v>
      </c>
      <c r="T2787" s="75">
        <f t="shared" si="604"/>
        <v>0</v>
      </c>
      <c r="U2787" s="63"/>
      <c r="V2787" s="63"/>
      <c r="W2787" s="63"/>
      <c r="X2787" s="63"/>
      <c r="Y2787" s="63"/>
      <c r="Z2787" s="63"/>
      <c r="AA2787" s="63"/>
      <c r="AB2787" s="63"/>
      <c r="AC2787" s="63"/>
      <c r="AD2787" s="63"/>
      <c r="AE2787" s="63"/>
    </row>
    <row r="2788" spans="1:31" ht="14.25" customHeight="1">
      <c r="A2788" s="277" t="s">
        <v>7273</v>
      </c>
      <c r="B2788" s="9" t="s">
        <v>21</v>
      </c>
      <c r="C2788" s="9">
        <v>2023</v>
      </c>
      <c r="D2788" s="9"/>
      <c r="E2788" s="90" t="s">
        <v>1535</v>
      </c>
      <c r="F2788" s="9" t="s">
        <v>1537</v>
      </c>
      <c r="G2788" s="63"/>
      <c r="H2788" s="68"/>
      <c r="I2788" s="208" t="s">
        <v>1550</v>
      </c>
      <c r="J2788" s="12">
        <v>45108</v>
      </c>
      <c r="K2788" s="209"/>
      <c r="L2788" s="210"/>
      <c r="M2788" s="210" t="s">
        <v>1557</v>
      </c>
      <c r="N2788" s="231" t="s">
        <v>29</v>
      </c>
      <c r="O2788" s="63"/>
      <c r="P2788" s="139"/>
      <c r="Q2788" s="139"/>
      <c r="R2788" s="139"/>
      <c r="S2788" s="75">
        <f t="shared" si="603"/>
        <v>0</v>
      </c>
      <c r="T2788" s="75">
        <f t="shared" si="604"/>
        <v>0</v>
      </c>
      <c r="U2788" s="63"/>
      <c r="V2788" s="63"/>
      <c r="W2788" s="63"/>
      <c r="X2788" s="63"/>
      <c r="Y2788" s="63"/>
      <c r="Z2788" s="63"/>
      <c r="AA2788" s="63"/>
      <c r="AB2788" s="63"/>
      <c r="AC2788" s="63"/>
      <c r="AD2788" s="63"/>
      <c r="AE2788" s="63"/>
    </row>
    <row r="2789" spans="1:31" ht="14.25" customHeight="1">
      <c r="A2789" s="277" t="s">
        <v>7274</v>
      </c>
      <c r="B2789" s="9" t="s">
        <v>21</v>
      </c>
      <c r="C2789" s="9">
        <v>2023</v>
      </c>
      <c r="D2789" s="9"/>
      <c r="E2789" s="90" t="s">
        <v>1535</v>
      </c>
      <c r="F2789" s="9" t="s">
        <v>1537</v>
      </c>
      <c r="G2789" s="63"/>
      <c r="H2789" s="68"/>
      <c r="I2789" s="208" t="s">
        <v>1550</v>
      </c>
      <c r="J2789" s="12">
        <v>45139</v>
      </c>
      <c r="K2789" s="209"/>
      <c r="L2789" s="210"/>
      <c r="M2789" s="210" t="s">
        <v>1558</v>
      </c>
      <c r="N2789" s="231" t="s">
        <v>29</v>
      </c>
      <c r="O2789" s="63"/>
      <c r="P2789" s="139"/>
      <c r="Q2789" s="139"/>
      <c r="R2789" s="139"/>
      <c r="S2789" s="75">
        <f t="shared" si="603"/>
        <v>0</v>
      </c>
      <c r="T2789" s="75">
        <f t="shared" si="604"/>
        <v>0</v>
      </c>
      <c r="U2789" s="63"/>
      <c r="V2789" s="63"/>
      <c r="W2789" s="63"/>
      <c r="X2789" s="63"/>
      <c r="Y2789" s="63"/>
      <c r="Z2789" s="63"/>
      <c r="AA2789" s="63"/>
      <c r="AB2789" s="63"/>
      <c r="AC2789" s="63"/>
      <c r="AD2789" s="63"/>
      <c r="AE2789" s="63"/>
    </row>
    <row r="2790" spans="1:31" ht="14.25" customHeight="1">
      <c r="A2790" s="277" t="s">
        <v>7275</v>
      </c>
      <c r="B2790" s="9" t="s">
        <v>21</v>
      </c>
      <c r="C2790" s="9">
        <v>2023</v>
      </c>
      <c r="D2790" s="9"/>
      <c r="E2790" s="90" t="s">
        <v>1535</v>
      </c>
      <c r="F2790" s="9" t="s">
        <v>1537</v>
      </c>
      <c r="G2790" s="63"/>
      <c r="H2790" s="68"/>
      <c r="I2790" s="208" t="s">
        <v>1550</v>
      </c>
      <c r="J2790" s="12">
        <v>45170</v>
      </c>
      <c r="K2790" s="209"/>
      <c r="L2790" s="210"/>
      <c r="M2790" s="210" t="s">
        <v>1559</v>
      </c>
      <c r="N2790" s="231" t="s">
        <v>29</v>
      </c>
      <c r="O2790" s="63"/>
      <c r="P2790" s="139"/>
      <c r="Q2790" s="139"/>
      <c r="R2790" s="139"/>
      <c r="S2790" s="75">
        <f t="shared" si="603"/>
        <v>0</v>
      </c>
      <c r="T2790" s="75">
        <f t="shared" si="604"/>
        <v>0</v>
      </c>
      <c r="U2790" s="63"/>
      <c r="V2790" s="63"/>
      <c r="W2790" s="63"/>
      <c r="X2790" s="63"/>
      <c r="Y2790" s="63"/>
      <c r="Z2790" s="63"/>
      <c r="AA2790" s="63"/>
      <c r="AB2790" s="63"/>
      <c r="AC2790" s="63"/>
      <c r="AD2790" s="63"/>
      <c r="AE2790" s="63"/>
    </row>
    <row r="2791" spans="1:31" ht="14.25" customHeight="1">
      <c r="A2791" s="277" t="s">
        <v>7276</v>
      </c>
      <c r="B2791" s="9" t="s">
        <v>21</v>
      </c>
      <c r="C2791" s="9">
        <v>2023</v>
      </c>
      <c r="D2791" s="9"/>
      <c r="E2791" s="90" t="s">
        <v>1535</v>
      </c>
      <c r="F2791" s="9" t="s">
        <v>1537</v>
      </c>
      <c r="G2791" s="63"/>
      <c r="H2791" s="68"/>
      <c r="I2791" s="208" t="s">
        <v>1550</v>
      </c>
      <c r="J2791" s="12">
        <v>45200</v>
      </c>
      <c r="K2791" s="209"/>
      <c r="L2791" s="210"/>
      <c r="M2791" s="210" t="s">
        <v>1560</v>
      </c>
      <c r="N2791" s="231" t="s">
        <v>29</v>
      </c>
      <c r="O2791" s="63"/>
      <c r="P2791" s="139"/>
      <c r="Q2791" s="139"/>
      <c r="R2791" s="139"/>
      <c r="S2791" s="75">
        <f t="shared" si="603"/>
        <v>0</v>
      </c>
      <c r="T2791" s="75">
        <f t="shared" si="604"/>
        <v>0</v>
      </c>
      <c r="U2791" s="63"/>
      <c r="V2791" s="63"/>
      <c r="W2791" s="63"/>
      <c r="X2791" s="63"/>
      <c r="Y2791" s="63"/>
      <c r="Z2791" s="63"/>
      <c r="AA2791" s="63"/>
      <c r="AB2791" s="63"/>
      <c r="AC2791" s="63"/>
      <c r="AD2791" s="63"/>
      <c r="AE2791" s="63"/>
    </row>
    <row r="2792" spans="1:31" ht="14.25" customHeight="1">
      <c r="A2792" s="277" t="s">
        <v>7277</v>
      </c>
      <c r="B2792" s="9" t="s">
        <v>21</v>
      </c>
      <c r="C2792" s="9">
        <v>2023</v>
      </c>
      <c r="D2792" s="9"/>
      <c r="E2792" s="90" t="s">
        <v>1535</v>
      </c>
      <c r="F2792" s="9" t="s">
        <v>1537</v>
      </c>
      <c r="G2792" s="63"/>
      <c r="H2792" s="68"/>
      <c r="I2792" s="208" t="s">
        <v>1550</v>
      </c>
      <c r="J2792" s="12">
        <v>45231</v>
      </c>
      <c r="K2792" s="209"/>
      <c r="L2792" s="210"/>
      <c r="M2792" s="210" t="s">
        <v>1561</v>
      </c>
      <c r="N2792" s="231" t="s">
        <v>29</v>
      </c>
      <c r="O2792" s="210">
        <f>L2792</f>
        <v>0</v>
      </c>
      <c r="P2792" s="139"/>
      <c r="Q2792" s="139"/>
      <c r="R2792" s="139"/>
      <c r="S2792" s="75">
        <f t="shared" si="603"/>
        <v>0</v>
      </c>
      <c r="T2792" s="75">
        <f t="shared" si="604"/>
        <v>0</v>
      </c>
      <c r="U2792" s="63"/>
      <c r="V2792" s="63"/>
      <c r="W2792" s="63"/>
      <c r="X2792" s="63"/>
      <c r="Y2792" s="63"/>
      <c r="Z2792" s="63"/>
      <c r="AA2792" s="63"/>
      <c r="AB2792" s="63"/>
      <c r="AC2792" s="63"/>
      <c r="AD2792" s="63"/>
      <c r="AE2792" s="63"/>
    </row>
    <row r="2793" spans="1:31" ht="14.25" customHeight="1">
      <c r="A2793" s="277" t="s">
        <v>7278</v>
      </c>
      <c r="B2793" s="9" t="s">
        <v>21</v>
      </c>
      <c r="C2793" s="9">
        <v>2023</v>
      </c>
      <c r="D2793" s="9"/>
      <c r="E2793" s="90" t="s">
        <v>1535</v>
      </c>
      <c r="F2793" s="9" t="s">
        <v>1537</v>
      </c>
      <c r="G2793" s="63"/>
      <c r="H2793" s="68"/>
      <c r="I2793" s="208" t="s">
        <v>1550</v>
      </c>
      <c r="J2793" s="12">
        <v>45261</v>
      </c>
      <c r="K2793" s="209"/>
      <c r="L2793" s="210"/>
      <c r="M2793" s="210" t="s">
        <v>1562</v>
      </c>
      <c r="N2793" s="231" t="s">
        <v>29</v>
      </c>
      <c r="O2793" s="210">
        <f>L2793</f>
        <v>0</v>
      </c>
      <c r="P2793" s="139"/>
      <c r="Q2793" s="139"/>
      <c r="R2793" s="139"/>
      <c r="S2793" s="75">
        <f t="shared" si="603"/>
        <v>0</v>
      </c>
      <c r="T2793" s="75">
        <f t="shared" si="604"/>
        <v>0</v>
      </c>
      <c r="U2793" s="63"/>
      <c r="V2793" s="63"/>
      <c r="W2793" s="63"/>
      <c r="X2793" s="63"/>
      <c r="Y2793" s="63"/>
      <c r="Z2793" s="63"/>
      <c r="AA2793" s="63"/>
      <c r="AB2793" s="63"/>
      <c r="AC2793" s="63"/>
      <c r="AD2793" s="63"/>
      <c r="AE2793" s="63"/>
    </row>
    <row r="2794" spans="1:31" ht="14.25" customHeight="1">
      <c r="A2794" s="277" t="s">
        <v>7279</v>
      </c>
      <c r="B2794" s="9" t="s">
        <v>21</v>
      </c>
      <c r="C2794" s="9"/>
      <c r="D2794" s="9"/>
      <c r="E2794" s="90"/>
      <c r="F2794" s="9"/>
      <c r="G2794" s="63"/>
      <c r="H2794" s="68"/>
      <c r="I2794" s="63"/>
      <c r="J2794" s="209"/>
      <c r="K2794" s="209"/>
      <c r="L2794" s="210"/>
      <c r="M2794" s="210"/>
      <c r="N2794" s="202">
        <f ca="1">$J$3-J2794</f>
        <v>46240.46377638889</v>
      </c>
      <c r="O2794" s="63"/>
      <c r="P2794" s="139"/>
      <c r="Q2794" s="139"/>
      <c r="R2794" s="139"/>
      <c r="S2794" s="75">
        <f t="shared" si="603"/>
        <v>0</v>
      </c>
      <c r="T2794" s="75">
        <f t="shared" si="604"/>
        <v>0</v>
      </c>
      <c r="U2794" s="63"/>
      <c r="V2794" s="63"/>
      <c r="W2794" s="63"/>
      <c r="X2794" s="63"/>
      <c r="Y2794" s="63"/>
      <c r="Z2794" s="63"/>
      <c r="AA2794" s="63"/>
      <c r="AB2794" s="63"/>
      <c r="AC2794" s="63"/>
      <c r="AD2794" s="63"/>
      <c r="AE2794" s="63"/>
    </row>
    <row r="2795" spans="1:31" ht="14.25" customHeight="1">
      <c r="A2795" s="277" t="s">
        <v>7280</v>
      </c>
      <c r="B2795" s="9" t="s">
        <v>21</v>
      </c>
      <c r="C2795" s="9"/>
      <c r="D2795" s="9"/>
      <c r="E2795" s="90"/>
      <c r="F2795" s="9"/>
      <c r="G2795" s="68"/>
      <c r="H2795" s="63"/>
      <c r="I2795" s="63"/>
      <c r="J2795" s="209"/>
      <c r="K2795" s="209"/>
      <c r="L2795" s="216"/>
      <c r="M2795" s="210"/>
      <c r="N2795" s="63"/>
      <c r="O2795" s="63"/>
      <c r="P2795" s="63"/>
      <c r="Q2795" s="63"/>
      <c r="R2795" s="63"/>
      <c r="S2795" s="216"/>
      <c r="T2795" s="216"/>
      <c r="U2795" s="63"/>
      <c r="V2795" s="63"/>
      <c r="W2795" s="63"/>
      <c r="X2795" s="63"/>
      <c r="Y2795" s="63"/>
      <c r="Z2795" s="63"/>
      <c r="AA2795" s="63"/>
      <c r="AB2795" s="63"/>
      <c r="AC2795" s="63"/>
      <c r="AD2795" s="63"/>
      <c r="AE2795" s="63"/>
    </row>
    <row r="2796" spans="1:31" ht="14.25" customHeight="1">
      <c r="A2796" s="277" t="s">
        <v>7281</v>
      </c>
      <c r="B2796" s="9" t="s">
        <v>21</v>
      </c>
      <c r="C2796" s="9"/>
      <c r="D2796" s="9"/>
      <c r="E2796" s="90"/>
      <c r="F2796" s="9"/>
      <c r="G2796" s="207" t="s">
        <v>24</v>
      </c>
      <c r="H2796" s="208" t="s">
        <v>1563</v>
      </c>
      <c r="I2796" s="217"/>
      <c r="J2796" s="218"/>
      <c r="K2796" s="218"/>
      <c r="L2796" s="219">
        <f>SUM(L2797:L2809)</f>
        <v>0</v>
      </c>
      <c r="M2796" s="220"/>
      <c r="N2796" s="221" t="s">
        <v>26</v>
      </c>
      <c r="O2796" s="221"/>
      <c r="P2796" s="221"/>
      <c r="Q2796" s="221"/>
      <c r="R2796" s="221"/>
      <c r="S2796" s="219">
        <f>SUM(S2797:S2809)</f>
        <v>0</v>
      </c>
      <c r="T2796" s="219">
        <f>SUM(T2797:T2809)</f>
        <v>0</v>
      </c>
      <c r="U2796" s="63"/>
      <c r="V2796" s="52">
        <f>L2796-S2796</f>
        <v>0</v>
      </c>
      <c r="W2796" s="52">
        <f>T2796-V2796</f>
        <v>0</v>
      </c>
      <c r="X2796" s="63"/>
      <c r="Y2796" s="63"/>
      <c r="Z2796" s="63"/>
      <c r="AA2796" s="63"/>
      <c r="AB2796" s="63"/>
      <c r="AC2796" s="63"/>
      <c r="AD2796" s="63"/>
      <c r="AE2796" s="63"/>
    </row>
    <row r="2797" spans="1:31" ht="14.25" customHeight="1">
      <c r="A2797" s="277" t="s">
        <v>7282</v>
      </c>
      <c r="B2797" s="9" t="s">
        <v>21</v>
      </c>
      <c r="C2797" s="9">
        <v>2023</v>
      </c>
      <c r="D2797" s="9"/>
      <c r="E2797" s="90" t="s">
        <v>1535</v>
      </c>
      <c r="F2797" s="9" t="s">
        <v>1537</v>
      </c>
      <c r="G2797" s="63"/>
      <c r="H2797" s="68"/>
      <c r="I2797" s="222" t="s">
        <v>1563</v>
      </c>
      <c r="J2797" s="12">
        <v>44927</v>
      </c>
      <c r="K2797" s="209"/>
      <c r="L2797" s="223"/>
      <c r="M2797" s="210" t="s">
        <v>1564</v>
      </c>
      <c r="N2797" s="231" t="s">
        <v>29</v>
      </c>
      <c r="O2797" s="210">
        <f t="shared" ref="O2797:O2802" si="605">L2797</f>
        <v>0</v>
      </c>
      <c r="P2797" s="139"/>
      <c r="Q2797" s="139"/>
      <c r="R2797" s="139"/>
      <c r="S2797" s="75">
        <f t="shared" ref="S2797:S2809" si="606">IF(R2797="",0,L2797)</f>
        <v>0</v>
      </c>
      <c r="T2797" s="75">
        <f t="shared" ref="T2797:T2809" si="607">L2797-S2797</f>
        <v>0</v>
      </c>
      <c r="U2797" s="63"/>
      <c r="V2797" s="63"/>
      <c r="W2797" s="63"/>
      <c r="X2797" s="63"/>
      <c r="Y2797" s="63"/>
      <c r="Z2797" s="63"/>
      <c r="AA2797" s="63"/>
      <c r="AB2797" s="63"/>
      <c r="AC2797" s="63"/>
      <c r="AD2797" s="63"/>
      <c r="AE2797" s="63"/>
    </row>
    <row r="2798" spans="1:31" ht="14.25" customHeight="1">
      <c r="A2798" s="277" t="s">
        <v>7283</v>
      </c>
      <c r="B2798" s="9" t="s">
        <v>21</v>
      </c>
      <c r="C2798" s="9">
        <v>2023</v>
      </c>
      <c r="D2798" s="9"/>
      <c r="E2798" s="90" t="s">
        <v>1535</v>
      </c>
      <c r="F2798" s="9" t="s">
        <v>1537</v>
      </c>
      <c r="G2798" s="63"/>
      <c r="H2798" s="68"/>
      <c r="I2798" s="222" t="s">
        <v>1563</v>
      </c>
      <c r="J2798" s="12">
        <v>44958</v>
      </c>
      <c r="K2798" s="209"/>
      <c r="L2798" s="223"/>
      <c r="M2798" s="210" t="s">
        <v>1565</v>
      </c>
      <c r="N2798" s="231" t="s">
        <v>29</v>
      </c>
      <c r="O2798" s="210">
        <f t="shared" si="605"/>
        <v>0</v>
      </c>
      <c r="P2798" s="139"/>
      <c r="Q2798" s="139"/>
      <c r="R2798" s="139"/>
      <c r="S2798" s="75">
        <f t="shared" si="606"/>
        <v>0</v>
      </c>
      <c r="T2798" s="75">
        <f t="shared" si="607"/>
        <v>0</v>
      </c>
      <c r="U2798" s="63"/>
      <c r="V2798" s="63"/>
      <c r="W2798" s="63"/>
      <c r="X2798" s="63"/>
      <c r="Y2798" s="63"/>
      <c r="Z2798" s="63"/>
      <c r="AA2798" s="63"/>
      <c r="AB2798" s="63"/>
      <c r="AC2798" s="63"/>
      <c r="AD2798" s="63"/>
      <c r="AE2798" s="63"/>
    </row>
    <row r="2799" spans="1:31" ht="14.25" customHeight="1">
      <c r="A2799" s="277" t="s">
        <v>7284</v>
      </c>
      <c r="B2799" s="9" t="s">
        <v>21</v>
      </c>
      <c r="C2799" s="9">
        <v>2023</v>
      </c>
      <c r="D2799" s="9"/>
      <c r="E2799" s="90" t="s">
        <v>1535</v>
      </c>
      <c r="F2799" s="9" t="s">
        <v>1537</v>
      </c>
      <c r="G2799" s="63"/>
      <c r="H2799" s="68"/>
      <c r="I2799" s="222" t="s">
        <v>1563</v>
      </c>
      <c r="J2799" s="12">
        <v>44986</v>
      </c>
      <c r="K2799" s="209"/>
      <c r="L2799" s="223"/>
      <c r="M2799" s="210" t="s">
        <v>1566</v>
      </c>
      <c r="N2799" s="231" t="s">
        <v>29</v>
      </c>
      <c r="O2799" s="210">
        <f t="shared" si="605"/>
        <v>0</v>
      </c>
      <c r="P2799" s="139"/>
      <c r="Q2799" s="139"/>
      <c r="R2799" s="139"/>
      <c r="S2799" s="75">
        <f t="shared" si="606"/>
        <v>0</v>
      </c>
      <c r="T2799" s="75">
        <f t="shared" si="607"/>
        <v>0</v>
      </c>
      <c r="U2799" s="63"/>
      <c r="V2799" s="63"/>
      <c r="W2799" s="63"/>
      <c r="X2799" s="63"/>
      <c r="Y2799" s="63"/>
      <c r="Z2799" s="63"/>
      <c r="AA2799" s="63"/>
      <c r="AB2799" s="63"/>
      <c r="AC2799" s="63"/>
      <c r="AD2799" s="63"/>
      <c r="AE2799" s="63"/>
    </row>
    <row r="2800" spans="1:31" ht="14.25" customHeight="1">
      <c r="A2800" s="277" t="s">
        <v>7285</v>
      </c>
      <c r="B2800" s="9" t="s">
        <v>21</v>
      </c>
      <c r="C2800" s="9">
        <v>2023</v>
      </c>
      <c r="D2800" s="9"/>
      <c r="E2800" s="90" t="s">
        <v>1535</v>
      </c>
      <c r="F2800" s="9" t="s">
        <v>1537</v>
      </c>
      <c r="G2800" s="63"/>
      <c r="H2800" s="68"/>
      <c r="I2800" s="222" t="s">
        <v>1563</v>
      </c>
      <c r="J2800" s="12">
        <v>45017</v>
      </c>
      <c r="K2800" s="209"/>
      <c r="L2800" s="223"/>
      <c r="M2800" s="210" t="s">
        <v>1567</v>
      </c>
      <c r="N2800" s="231" t="s">
        <v>29</v>
      </c>
      <c r="O2800" s="210">
        <f t="shared" si="605"/>
        <v>0</v>
      </c>
      <c r="P2800" s="139"/>
      <c r="Q2800" s="139"/>
      <c r="R2800" s="139"/>
      <c r="S2800" s="75">
        <f t="shared" si="606"/>
        <v>0</v>
      </c>
      <c r="T2800" s="75">
        <f t="shared" si="607"/>
        <v>0</v>
      </c>
      <c r="U2800" s="63"/>
      <c r="V2800" s="63"/>
      <c r="W2800" s="63"/>
      <c r="X2800" s="63"/>
      <c r="Y2800" s="63"/>
      <c r="Z2800" s="63"/>
      <c r="AA2800" s="63"/>
      <c r="AB2800" s="63"/>
      <c r="AC2800" s="63"/>
      <c r="AD2800" s="63"/>
      <c r="AE2800" s="63"/>
    </row>
    <row r="2801" spans="1:31" ht="14.25" customHeight="1">
      <c r="A2801" s="277" t="s">
        <v>7286</v>
      </c>
      <c r="B2801" s="9" t="s">
        <v>21</v>
      </c>
      <c r="C2801" s="9">
        <v>2023</v>
      </c>
      <c r="D2801" s="9"/>
      <c r="E2801" s="90" t="s">
        <v>1535</v>
      </c>
      <c r="F2801" s="9" t="s">
        <v>1537</v>
      </c>
      <c r="G2801" s="63"/>
      <c r="H2801" s="68"/>
      <c r="I2801" s="222" t="s">
        <v>1563</v>
      </c>
      <c r="J2801" s="12">
        <v>45047</v>
      </c>
      <c r="K2801" s="209"/>
      <c r="L2801" s="223"/>
      <c r="M2801" s="210" t="s">
        <v>1568</v>
      </c>
      <c r="N2801" s="231" t="s">
        <v>29</v>
      </c>
      <c r="O2801" s="210">
        <f t="shared" si="605"/>
        <v>0</v>
      </c>
      <c r="P2801" s="139"/>
      <c r="Q2801" s="139"/>
      <c r="R2801" s="139"/>
      <c r="S2801" s="75">
        <f t="shared" si="606"/>
        <v>0</v>
      </c>
      <c r="T2801" s="75">
        <f t="shared" si="607"/>
        <v>0</v>
      </c>
      <c r="U2801" s="63"/>
      <c r="V2801" s="63"/>
      <c r="W2801" s="63"/>
      <c r="X2801" s="63"/>
      <c r="Y2801" s="63"/>
      <c r="Z2801" s="63"/>
      <c r="AA2801" s="63"/>
      <c r="AB2801" s="63"/>
      <c r="AC2801" s="63"/>
      <c r="AD2801" s="63"/>
      <c r="AE2801" s="63"/>
    </row>
    <row r="2802" spans="1:31" ht="14.25" customHeight="1">
      <c r="A2802" s="277" t="s">
        <v>7287</v>
      </c>
      <c r="B2802" s="9" t="s">
        <v>21</v>
      </c>
      <c r="C2802" s="9">
        <v>2023</v>
      </c>
      <c r="D2802" s="9"/>
      <c r="E2802" s="90" t="s">
        <v>1535</v>
      </c>
      <c r="F2802" s="9" t="s">
        <v>1537</v>
      </c>
      <c r="G2802" s="63"/>
      <c r="H2802" s="68"/>
      <c r="I2802" s="222" t="s">
        <v>1563</v>
      </c>
      <c r="J2802" s="12">
        <v>45078</v>
      </c>
      <c r="K2802" s="209"/>
      <c r="L2802" s="223"/>
      <c r="M2802" s="210" t="s">
        <v>1569</v>
      </c>
      <c r="N2802" s="231" t="s">
        <v>29</v>
      </c>
      <c r="O2802" s="210">
        <f t="shared" si="605"/>
        <v>0</v>
      </c>
      <c r="P2802" s="139"/>
      <c r="Q2802" s="139"/>
      <c r="R2802" s="139"/>
      <c r="S2802" s="75">
        <f t="shared" si="606"/>
        <v>0</v>
      </c>
      <c r="T2802" s="75">
        <f t="shared" si="607"/>
        <v>0</v>
      </c>
      <c r="U2802" s="63"/>
      <c r="V2802" s="63"/>
      <c r="W2802" s="63"/>
      <c r="X2802" s="63"/>
      <c r="Y2802" s="63"/>
      <c r="Z2802" s="63"/>
      <c r="AA2802" s="63"/>
      <c r="AB2802" s="63"/>
      <c r="AC2802" s="63"/>
      <c r="AD2802" s="63"/>
      <c r="AE2802" s="63"/>
    </row>
    <row r="2803" spans="1:31" ht="14.25" customHeight="1">
      <c r="A2803" s="277" t="s">
        <v>6723</v>
      </c>
      <c r="B2803" s="9" t="s">
        <v>21</v>
      </c>
      <c r="C2803" s="9">
        <v>2023</v>
      </c>
      <c r="D2803" s="9"/>
      <c r="E2803" s="90" t="s">
        <v>1535</v>
      </c>
      <c r="F2803" s="9" t="s">
        <v>1537</v>
      </c>
      <c r="G2803" s="63"/>
      <c r="H2803" s="68"/>
      <c r="I2803" s="222" t="s">
        <v>1563</v>
      </c>
      <c r="J2803" s="12">
        <v>45108</v>
      </c>
      <c r="K2803" s="209"/>
      <c r="L2803" s="210"/>
      <c r="M2803" s="210" t="s">
        <v>1570</v>
      </c>
      <c r="N2803" s="231" t="s">
        <v>29</v>
      </c>
      <c r="O2803" s="63"/>
      <c r="P2803" s="139"/>
      <c r="Q2803" s="139"/>
      <c r="R2803" s="139"/>
      <c r="S2803" s="75">
        <f t="shared" si="606"/>
        <v>0</v>
      </c>
      <c r="T2803" s="75">
        <f t="shared" si="607"/>
        <v>0</v>
      </c>
      <c r="U2803" s="63"/>
      <c r="V2803" s="63"/>
      <c r="W2803" s="63"/>
      <c r="X2803" s="63"/>
      <c r="Y2803" s="63"/>
      <c r="Z2803" s="63"/>
      <c r="AA2803" s="63"/>
      <c r="AB2803" s="63"/>
      <c r="AC2803" s="63"/>
      <c r="AD2803" s="63"/>
      <c r="AE2803" s="63"/>
    </row>
    <row r="2804" spans="1:31" ht="14.25" customHeight="1">
      <c r="A2804" s="277" t="s">
        <v>6724</v>
      </c>
      <c r="B2804" s="9" t="s">
        <v>21</v>
      </c>
      <c r="C2804" s="9">
        <v>2023</v>
      </c>
      <c r="D2804" s="9"/>
      <c r="E2804" s="90" t="s">
        <v>1535</v>
      </c>
      <c r="F2804" s="9" t="s">
        <v>1537</v>
      </c>
      <c r="G2804" s="63"/>
      <c r="H2804" s="68"/>
      <c r="I2804" s="222" t="s">
        <v>1563</v>
      </c>
      <c r="J2804" s="12">
        <v>45139</v>
      </c>
      <c r="K2804" s="209"/>
      <c r="L2804" s="210"/>
      <c r="M2804" s="210" t="s">
        <v>1571</v>
      </c>
      <c r="N2804" s="231" t="s">
        <v>29</v>
      </c>
      <c r="O2804" s="63"/>
      <c r="P2804" s="139"/>
      <c r="Q2804" s="139"/>
      <c r="R2804" s="139"/>
      <c r="S2804" s="75">
        <f t="shared" si="606"/>
        <v>0</v>
      </c>
      <c r="T2804" s="75">
        <f t="shared" si="607"/>
        <v>0</v>
      </c>
      <c r="U2804" s="63"/>
      <c r="V2804" s="63"/>
      <c r="W2804" s="63"/>
      <c r="X2804" s="63"/>
      <c r="Y2804" s="63"/>
      <c r="Z2804" s="63"/>
      <c r="AA2804" s="63"/>
      <c r="AB2804" s="63"/>
      <c r="AC2804" s="63"/>
      <c r="AD2804" s="63"/>
      <c r="AE2804" s="63"/>
    </row>
    <row r="2805" spans="1:31" ht="14.25" customHeight="1">
      <c r="A2805" s="277" t="s">
        <v>6725</v>
      </c>
      <c r="B2805" s="9" t="s">
        <v>21</v>
      </c>
      <c r="C2805" s="9">
        <v>2023</v>
      </c>
      <c r="D2805" s="9"/>
      <c r="E2805" s="90" t="s">
        <v>1535</v>
      </c>
      <c r="F2805" s="9" t="s">
        <v>1537</v>
      </c>
      <c r="G2805" s="63"/>
      <c r="H2805" s="68"/>
      <c r="I2805" s="222" t="s">
        <v>1563</v>
      </c>
      <c r="J2805" s="12">
        <v>45170</v>
      </c>
      <c r="K2805" s="209"/>
      <c r="L2805" s="210"/>
      <c r="M2805" s="210" t="s">
        <v>1572</v>
      </c>
      <c r="N2805" s="231" t="s">
        <v>29</v>
      </c>
      <c r="O2805" s="63"/>
      <c r="P2805" s="139"/>
      <c r="Q2805" s="139"/>
      <c r="R2805" s="139"/>
      <c r="S2805" s="75">
        <f t="shared" si="606"/>
        <v>0</v>
      </c>
      <c r="T2805" s="75">
        <f t="shared" si="607"/>
        <v>0</v>
      </c>
      <c r="U2805" s="63"/>
      <c r="V2805" s="63"/>
      <c r="W2805" s="63"/>
      <c r="X2805" s="63"/>
      <c r="Y2805" s="63"/>
      <c r="Z2805" s="63"/>
      <c r="AA2805" s="63"/>
      <c r="AB2805" s="63"/>
      <c r="AC2805" s="63"/>
      <c r="AD2805" s="63"/>
      <c r="AE2805" s="63"/>
    </row>
    <row r="2806" spans="1:31" ht="14.25" customHeight="1">
      <c r="A2806" s="277" t="s">
        <v>6726</v>
      </c>
      <c r="B2806" s="9" t="s">
        <v>21</v>
      </c>
      <c r="C2806" s="9">
        <v>2023</v>
      </c>
      <c r="D2806" s="9"/>
      <c r="E2806" s="90" t="s">
        <v>1535</v>
      </c>
      <c r="F2806" s="9" t="s">
        <v>1537</v>
      </c>
      <c r="G2806" s="63"/>
      <c r="H2806" s="68"/>
      <c r="I2806" s="222" t="s">
        <v>1563</v>
      </c>
      <c r="J2806" s="12">
        <v>45200</v>
      </c>
      <c r="K2806" s="209"/>
      <c r="L2806" s="210"/>
      <c r="M2806" s="210" t="s">
        <v>1573</v>
      </c>
      <c r="N2806" s="231" t="s">
        <v>29</v>
      </c>
      <c r="O2806" s="63"/>
      <c r="P2806" s="139"/>
      <c r="Q2806" s="139"/>
      <c r="R2806" s="139"/>
      <c r="S2806" s="75">
        <f t="shared" si="606"/>
        <v>0</v>
      </c>
      <c r="T2806" s="75">
        <f t="shared" si="607"/>
        <v>0</v>
      </c>
      <c r="U2806" s="63"/>
      <c r="V2806" s="63"/>
      <c r="W2806" s="63"/>
      <c r="X2806" s="63"/>
      <c r="Y2806" s="63"/>
      <c r="Z2806" s="63"/>
      <c r="AA2806" s="63"/>
      <c r="AB2806" s="63"/>
      <c r="AC2806" s="63"/>
      <c r="AD2806" s="63"/>
      <c r="AE2806" s="63"/>
    </row>
    <row r="2807" spans="1:31" ht="14.25" customHeight="1">
      <c r="A2807" s="277" t="s">
        <v>6727</v>
      </c>
      <c r="B2807" s="9" t="s">
        <v>21</v>
      </c>
      <c r="C2807" s="9">
        <v>2023</v>
      </c>
      <c r="D2807" s="9"/>
      <c r="E2807" s="90" t="s">
        <v>1535</v>
      </c>
      <c r="F2807" s="9" t="s">
        <v>1537</v>
      </c>
      <c r="G2807" s="63"/>
      <c r="H2807" s="68"/>
      <c r="I2807" s="222" t="s">
        <v>1563</v>
      </c>
      <c r="J2807" s="12">
        <v>45231</v>
      </c>
      <c r="K2807" s="209"/>
      <c r="L2807" s="210"/>
      <c r="M2807" s="210" t="s">
        <v>1574</v>
      </c>
      <c r="N2807" s="231" t="s">
        <v>29</v>
      </c>
      <c r="O2807" s="210">
        <f>L2807</f>
        <v>0</v>
      </c>
      <c r="P2807" s="139"/>
      <c r="Q2807" s="139"/>
      <c r="R2807" s="139"/>
      <c r="S2807" s="75">
        <f t="shared" si="606"/>
        <v>0</v>
      </c>
      <c r="T2807" s="75">
        <f t="shared" si="607"/>
        <v>0</v>
      </c>
      <c r="U2807" s="63"/>
      <c r="V2807" s="63"/>
      <c r="W2807" s="63"/>
      <c r="X2807" s="63"/>
      <c r="Y2807" s="63"/>
      <c r="Z2807" s="63"/>
      <c r="AA2807" s="63"/>
      <c r="AB2807" s="63"/>
      <c r="AC2807" s="63"/>
      <c r="AD2807" s="63"/>
      <c r="AE2807" s="63"/>
    </row>
    <row r="2808" spans="1:31" ht="14.25" customHeight="1">
      <c r="A2808" s="277" t="s">
        <v>6728</v>
      </c>
      <c r="B2808" s="9" t="s">
        <v>21</v>
      </c>
      <c r="C2808" s="9">
        <v>2023</v>
      </c>
      <c r="D2808" s="9"/>
      <c r="E2808" s="90" t="s">
        <v>1535</v>
      </c>
      <c r="F2808" s="9" t="s">
        <v>1537</v>
      </c>
      <c r="G2808" s="63"/>
      <c r="H2808" s="68"/>
      <c r="I2808" s="222" t="s">
        <v>1563</v>
      </c>
      <c r="J2808" s="12">
        <v>45261</v>
      </c>
      <c r="K2808" s="209"/>
      <c r="L2808" s="210"/>
      <c r="M2808" s="210" t="s">
        <v>1575</v>
      </c>
      <c r="N2808" s="231" t="s">
        <v>29</v>
      </c>
      <c r="O2808" s="210">
        <f>L2808</f>
        <v>0</v>
      </c>
      <c r="P2808" s="139"/>
      <c r="Q2808" s="139"/>
      <c r="R2808" s="139"/>
      <c r="S2808" s="75">
        <f t="shared" si="606"/>
        <v>0</v>
      </c>
      <c r="T2808" s="75">
        <f t="shared" si="607"/>
        <v>0</v>
      </c>
      <c r="U2808" s="63"/>
      <c r="V2808" s="63"/>
      <c r="W2808" s="63"/>
      <c r="X2808" s="63"/>
      <c r="Y2808" s="63"/>
      <c r="Z2808" s="63"/>
      <c r="AA2808" s="63"/>
      <c r="AB2808" s="63"/>
      <c r="AC2808" s="63"/>
      <c r="AD2808" s="63"/>
      <c r="AE2808" s="63"/>
    </row>
    <row r="2809" spans="1:31" ht="14.25" customHeight="1">
      <c r="A2809" s="277" t="s">
        <v>6729</v>
      </c>
      <c r="B2809" s="9" t="s">
        <v>21</v>
      </c>
      <c r="C2809" s="9"/>
      <c r="D2809" s="9"/>
      <c r="E2809" s="90"/>
      <c r="F2809" s="9"/>
      <c r="G2809" s="63"/>
      <c r="H2809" s="68"/>
      <c r="I2809" s="63"/>
      <c r="J2809" s="209"/>
      <c r="K2809" s="209"/>
      <c r="L2809" s="210"/>
      <c r="M2809" s="210"/>
      <c r="N2809" s="202">
        <f ca="1">$J$3-J2809</f>
        <v>46240.46377638889</v>
      </c>
      <c r="O2809" s="63"/>
      <c r="P2809" s="139"/>
      <c r="Q2809" s="139"/>
      <c r="R2809" s="139"/>
      <c r="S2809" s="75">
        <f t="shared" si="606"/>
        <v>0</v>
      </c>
      <c r="T2809" s="75">
        <f t="shared" si="607"/>
        <v>0</v>
      </c>
      <c r="U2809" s="63"/>
      <c r="V2809" s="63"/>
      <c r="W2809" s="63"/>
      <c r="X2809" s="63"/>
      <c r="Y2809" s="63"/>
      <c r="Z2809" s="63"/>
      <c r="AA2809" s="63"/>
      <c r="AB2809" s="63"/>
      <c r="AC2809" s="63"/>
      <c r="AD2809" s="63"/>
      <c r="AE2809" s="63"/>
    </row>
    <row r="2810" spans="1:31" ht="14.25" customHeight="1">
      <c r="A2810" s="277" t="s">
        <v>6730</v>
      </c>
      <c r="B2810" s="9" t="s">
        <v>21</v>
      </c>
      <c r="C2810" s="9"/>
      <c r="D2810" s="9"/>
      <c r="E2810" s="90"/>
      <c r="F2810" s="9"/>
      <c r="G2810" s="68"/>
      <c r="H2810" s="63"/>
      <c r="I2810" s="63"/>
      <c r="J2810" s="209"/>
      <c r="K2810" s="209"/>
      <c r="L2810" s="216"/>
      <c r="M2810" s="210"/>
      <c r="N2810" s="224"/>
      <c r="O2810" s="63"/>
      <c r="P2810" s="139"/>
      <c r="Q2810" s="139"/>
      <c r="R2810" s="139"/>
      <c r="S2810" s="216"/>
      <c r="T2810" s="216"/>
      <c r="U2810" s="63"/>
      <c r="V2810" s="63"/>
      <c r="W2810" s="63"/>
      <c r="X2810" s="63"/>
      <c r="Y2810" s="63"/>
      <c r="Z2810" s="63"/>
      <c r="AA2810" s="63"/>
      <c r="AB2810" s="63"/>
      <c r="AC2810" s="63"/>
      <c r="AD2810" s="63"/>
      <c r="AE2810" s="63"/>
    </row>
    <row r="2811" spans="1:31" ht="14.25" customHeight="1">
      <c r="A2811" s="277" t="s">
        <v>6731</v>
      </c>
      <c r="B2811" s="9" t="s">
        <v>21</v>
      </c>
      <c r="C2811" s="9"/>
      <c r="D2811" s="9"/>
      <c r="E2811" s="90"/>
      <c r="F2811" s="9"/>
      <c r="G2811" s="207" t="s">
        <v>24</v>
      </c>
      <c r="H2811" s="208" t="s">
        <v>1576</v>
      </c>
      <c r="I2811" s="217"/>
      <c r="J2811" s="218"/>
      <c r="K2811" s="218"/>
      <c r="L2811" s="219">
        <f>SUM(L2812:L2824)</f>
        <v>0</v>
      </c>
      <c r="M2811" s="220"/>
      <c r="N2811" s="225" t="s">
        <v>26</v>
      </c>
      <c r="O2811" s="221"/>
      <c r="P2811" s="226"/>
      <c r="Q2811" s="226"/>
      <c r="R2811" s="226"/>
      <c r="S2811" s="219">
        <f>SUM(S2812:S2824)</f>
        <v>0</v>
      </c>
      <c r="T2811" s="219">
        <f>SUM(T2812:T2824)</f>
        <v>0</v>
      </c>
      <c r="U2811" s="63"/>
      <c r="V2811" s="52">
        <f>L2811-S2811</f>
        <v>0</v>
      </c>
      <c r="W2811" s="52">
        <f>T2811-V2811</f>
        <v>0</v>
      </c>
      <c r="X2811" s="63"/>
      <c r="Y2811" s="63"/>
      <c r="Z2811" s="63"/>
      <c r="AA2811" s="63"/>
      <c r="AB2811" s="63"/>
      <c r="AC2811" s="63"/>
      <c r="AD2811" s="63"/>
      <c r="AE2811" s="63"/>
    </row>
    <row r="2812" spans="1:31" ht="14.25" customHeight="1">
      <c r="A2812" s="277" t="s">
        <v>6732</v>
      </c>
      <c r="B2812" s="9" t="s">
        <v>21</v>
      </c>
      <c r="C2812" s="9">
        <v>2023</v>
      </c>
      <c r="D2812" s="9"/>
      <c r="E2812" s="90" t="s">
        <v>1535</v>
      </c>
      <c r="F2812" s="9" t="s">
        <v>1537</v>
      </c>
      <c r="G2812" s="63"/>
      <c r="H2812" s="68"/>
      <c r="I2812" s="222" t="s">
        <v>1576</v>
      </c>
      <c r="J2812" s="12">
        <v>44927</v>
      </c>
      <c r="K2812" s="209"/>
      <c r="L2812" s="210"/>
      <c r="M2812" s="210" t="s">
        <v>1577</v>
      </c>
      <c r="N2812" s="232" t="s">
        <v>29</v>
      </c>
      <c r="O2812" s="210">
        <f t="shared" ref="O2812:O2817" si="608">L2812</f>
        <v>0</v>
      </c>
      <c r="P2812" s="139"/>
      <c r="Q2812" s="139"/>
      <c r="R2812" s="139"/>
      <c r="S2812" s="75">
        <f t="shared" ref="S2812:S2824" si="609">IF(R2812="",0,L2812)</f>
        <v>0</v>
      </c>
      <c r="T2812" s="75">
        <f t="shared" ref="T2812:T2824" si="610">L2812-S2812</f>
        <v>0</v>
      </c>
      <c r="U2812" s="63"/>
      <c r="V2812" s="63"/>
      <c r="W2812" s="63"/>
      <c r="X2812" s="63"/>
      <c r="Y2812" s="63"/>
      <c r="Z2812" s="63"/>
      <c r="AA2812" s="63"/>
      <c r="AB2812" s="63"/>
      <c r="AC2812" s="63"/>
      <c r="AD2812" s="63"/>
      <c r="AE2812" s="63"/>
    </row>
    <row r="2813" spans="1:31" ht="14.25" customHeight="1">
      <c r="A2813" s="277" t="s">
        <v>6733</v>
      </c>
      <c r="B2813" s="9" t="s">
        <v>21</v>
      </c>
      <c r="C2813" s="9">
        <v>2023</v>
      </c>
      <c r="D2813" s="9"/>
      <c r="E2813" s="90" t="s">
        <v>1535</v>
      </c>
      <c r="F2813" s="9" t="s">
        <v>1537</v>
      </c>
      <c r="G2813" s="63"/>
      <c r="H2813" s="68"/>
      <c r="I2813" s="222" t="s">
        <v>1576</v>
      </c>
      <c r="J2813" s="12">
        <v>44958</v>
      </c>
      <c r="K2813" s="209"/>
      <c r="L2813" s="210"/>
      <c r="M2813" s="210" t="s">
        <v>1578</v>
      </c>
      <c r="N2813" s="232" t="s">
        <v>29</v>
      </c>
      <c r="O2813" s="210">
        <f t="shared" si="608"/>
        <v>0</v>
      </c>
      <c r="P2813" s="139"/>
      <c r="Q2813" s="139"/>
      <c r="R2813" s="139"/>
      <c r="S2813" s="75">
        <f t="shared" si="609"/>
        <v>0</v>
      </c>
      <c r="T2813" s="75">
        <f t="shared" si="610"/>
        <v>0</v>
      </c>
      <c r="U2813" s="63"/>
      <c r="V2813" s="63"/>
      <c r="W2813" s="63"/>
      <c r="X2813" s="63"/>
      <c r="Y2813" s="63"/>
      <c r="Z2813" s="63"/>
      <c r="AA2813" s="63"/>
      <c r="AB2813" s="63"/>
      <c r="AC2813" s="63"/>
      <c r="AD2813" s="63"/>
      <c r="AE2813" s="63"/>
    </row>
    <row r="2814" spans="1:31" ht="14.25" customHeight="1">
      <c r="A2814" s="277" t="s">
        <v>6734</v>
      </c>
      <c r="B2814" s="9" t="s">
        <v>21</v>
      </c>
      <c r="C2814" s="9">
        <v>2023</v>
      </c>
      <c r="D2814" s="9"/>
      <c r="E2814" s="90" t="s">
        <v>1535</v>
      </c>
      <c r="F2814" s="9" t="s">
        <v>1537</v>
      </c>
      <c r="G2814" s="63"/>
      <c r="H2814" s="68"/>
      <c r="I2814" s="222" t="s">
        <v>1576</v>
      </c>
      <c r="J2814" s="12">
        <v>44986</v>
      </c>
      <c r="K2814" s="209"/>
      <c r="L2814" s="210"/>
      <c r="M2814" s="210" t="s">
        <v>1579</v>
      </c>
      <c r="N2814" s="232" t="s">
        <v>29</v>
      </c>
      <c r="O2814" s="210">
        <f t="shared" si="608"/>
        <v>0</v>
      </c>
      <c r="P2814" s="139"/>
      <c r="Q2814" s="139"/>
      <c r="R2814" s="139"/>
      <c r="S2814" s="75">
        <f t="shared" si="609"/>
        <v>0</v>
      </c>
      <c r="T2814" s="75">
        <f t="shared" si="610"/>
        <v>0</v>
      </c>
      <c r="U2814" s="63"/>
      <c r="V2814" s="63"/>
      <c r="W2814" s="63"/>
      <c r="X2814" s="63"/>
      <c r="Y2814" s="63"/>
      <c r="Z2814" s="63"/>
      <c r="AA2814" s="63"/>
      <c r="AB2814" s="63"/>
      <c r="AC2814" s="63"/>
      <c r="AD2814" s="63"/>
      <c r="AE2814" s="63"/>
    </row>
    <row r="2815" spans="1:31" ht="14.25" customHeight="1">
      <c r="A2815" s="277" t="s">
        <v>6735</v>
      </c>
      <c r="B2815" s="9" t="s">
        <v>21</v>
      </c>
      <c r="C2815" s="9">
        <v>2023</v>
      </c>
      <c r="D2815" s="9"/>
      <c r="E2815" s="90" t="s">
        <v>1535</v>
      </c>
      <c r="F2815" s="9" t="s">
        <v>1537</v>
      </c>
      <c r="G2815" s="63"/>
      <c r="H2815" s="68"/>
      <c r="I2815" s="222" t="s">
        <v>1576</v>
      </c>
      <c r="J2815" s="12">
        <v>45017</v>
      </c>
      <c r="K2815" s="209"/>
      <c r="L2815" s="210"/>
      <c r="M2815" s="210" t="s">
        <v>1580</v>
      </c>
      <c r="N2815" s="232" t="s">
        <v>29</v>
      </c>
      <c r="O2815" s="210">
        <f t="shared" si="608"/>
        <v>0</v>
      </c>
      <c r="P2815" s="139"/>
      <c r="Q2815" s="139"/>
      <c r="R2815" s="139"/>
      <c r="S2815" s="75">
        <f t="shared" si="609"/>
        <v>0</v>
      </c>
      <c r="T2815" s="75">
        <f t="shared" si="610"/>
        <v>0</v>
      </c>
      <c r="U2815" s="63"/>
      <c r="V2815" s="63"/>
      <c r="W2815" s="63"/>
      <c r="X2815" s="63"/>
      <c r="Y2815" s="63"/>
      <c r="Z2815" s="63"/>
      <c r="AA2815" s="63"/>
      <c r="AB2815" s="63"/>
      <c r="AC2815" s="63"/>
      <c r="AD2815" s="63"/>
      <c r="AE2815" s="63"/>
    </row>
    <row r="2816" spans="1:31" ht="14.25" customHeight="1">
      <c r="A2816" s="277" t="s">
        <v>6736</v>
      </c>
      <c r="B2816" s="9" t="s">
        <v>21</v>
      </c>
      <c r="C2816" s="9">
        <v>2023</v>
      </c>
      <c r="D2816" s="9"/>
      <c r="E2816" s="90" t="s">
        <v>1535</v>
      </c>
      <c r="F2816" s="9" t="s">
        <v>1537</v>
      </c>
      <c r="G2816" s="63"/>
      <c r="H2816" s="68"/>
      <c r="I2816" s="222" t="s">
        <v>1576</v>
      </c>
      <c r="J2816" s="12">
        <v>45047</v>
      </c>
      <c r="K2816" s="209"/>
      <c r="L2816" s="210"/>
      <c r="M2816" s="210" t="s">
        <v>1581</v>
      </c>
      <c r="N2816" s="232" t="s">
        <v>29</v>
      </c>
      <c r="O2816" s="210">
        <f t="shared" si="608"/>
        <v>0</v>
      </c>
      <c r="P2816" s="139"/>
      <c r="Q2816" s="139"/>
      <c r="R2816" s="139"/>
      <c r="S2816" s="75">
        <f t="shared" si="609"/>
        <v>0</v>
      </c>
      <c r="T2816" s="75">
        <f t="shared" si="610"/>
        <v>0</v>
      </c>
      <c r="U2816" s="63"/>
      <c r="V2816" s="63"/>
      <c r="W2816" s="63"/>
      <c r="X2816" s="63"/>
      <c r="Y2816" s="63"/>
      <c r="Z2816" s="63"/>
      <c r="AA2816" s="63"/>
      <c r="AB2816" s="63"/>
      <c r="AC2816" s="63"/>
      <c r="AD2816" s="63"/>
      <c r="AE2816" s="63"/>
    </row>
    <row r="2817" spans="1:31" ht="14.25" customHeight="1">
      <c r="A2817" s="277" t="s">
        <v>6737</v>
      </c>
      <c r="B2817" s="9" t="s">
        <v>21</v>
      </c>
      <c r="C2817" s="9">
        <v>2023</v>
      </c>
      <c r="D2817" s="9"/>
      <c r="E2817" s="90" t="s">
        <v>1535</v>
      </c>
      <c r="F2817" s="9" t="s">
        <v>1537</v>
      </c>
      <c r="G2817" s="63"/>
      <c r="H2817" s="68"/>
      <c r="I2817" s="222" t="s">
        <v>1576</v>
      </c>
      <c r="J2817" s="12">
        <v>45078</v>
      </c>
      <c r="K2817" s="209"/>
      <c r="L2817" s="210"/>
      <c r="M2817" s="210" t="s">
        <v>1582</v>
      </c>
      <c r="N2817" s="232" t="s">
        <v>29</v>
      </c>
      <c r="O2817" s="210">
        <f t="shared" si="608"/>
        <v>0</v>
      </c>
      <c r="P2817" s="139"/>
      <c r="Q2817" s="139"/>
      <c r="R2817" s="139"/>
      <c r="S2817" s="75">
        <f t="shared" si="609"/>
        <v>0</v>
      </c>
      <c r="T2817" s="75">
        <f t="shared" si="610"/>
        <v>0</v>
      </c>
      <c r="U2817" s="63"/>
      <c r="V2817" s="63"/>
      <c r="W2817" s="63"/>
      <c r="X2817" s="63"/>
      <c r="Y2817" s="63"/>
      <c r="Z2817" s="63"/>
      <c r="AA2817" s="63"/>
      <c r="AB2817" s="63"/>
      <c r="AC2817" s="63"/>
      <c r="AD2817" s="63"/>
      <c r="AE2817" s="63"/>
    </row>
    <row r="2818" spans="1:31" ht="14.25" customHeight="1">
      <c r="A2818" s="277" t="s">
        <v>6738</v>
      </c>
      <c r="B2818" s="9" t="s">
        <v>21</v>
      </c>
      <c r="C2818" s="9">
        <v>2023</v>
      </c>
      <c r="D2818" s="9"/>
      <c r="E2818" s="90" t="s">
        <v>1535</v>
      </c>
      <c r="F2818" s="9" t="s">
        <v>1537</v>
      </c>
      <c r="G2818" s="63"/>
      <c r="H2818" s="68"/>
      <c r="I2818" s="222" t="s">
        <v>1576</v>
      </c>
      <c r="J2818" s="12">
        <v>45108</v>
      </c>
      <c r="K2818" s="209"/>
      <c r="L2818" s="210"/>
      <c r="M2818" s="210" t="s">
        <v>1583</v>
      </c>
      <c r="N2818" s="232" t="s">
        <v>29</v>
      </c>
      <c r="O2818" s="63"/>
      <c r="P2818" s="139"/>
      <c r="Q2818" s="139"/>
      <c r="R2818" s="139"/>
      <c r="S2818" s="75">
        <f t="shared" si="609"/>
        <v>0</v>
      </c>
      <c r="T2818" s="75">
        <f t="shared" si="610"/>
        <v>0</v>
      </c>
      <c r="U2818" s="63"/>
      <c r="V2818" s="63"/>
      <c r="W2818" s="63"/>
      <c r="X2818" s="63"/>
      <c r="Y2818" s="63"/>
      <c r="Z2818" s="63"/>
      <c r="AA2818" s="63"/>
      <c r="AB2818" s="63"/>
      <c r="AC2818" s="63"/>
      <c r="AD2818" s="63"/>
      <c r="AE2818" s="63"/>
    </row>
    <row r="2819" spans="1:31" ht="14.25" customHeight="1">
      <c r="A2819" s="277" t="s">
        <v>6739</v>
      </c>
      <c r="B2819" s="9" t="s">
        <v>21</v>
      </c>
      <c r="C2819" s="9">
        <v>2023</v>
      </c>
      <c r="D2819" s="9"/>
      <c r="E2819" s="90" t="s">
        <v>1535</v>
      </c>
      <c r="F2819" s="9" t="s">
        <v>1537</v>
      </c>
      <c r="G2819" s="63"/>
      <c r="H2819" s="68"/>
      <c r="I2819" s="222" t="s">
        <v>1576</v>
      </c>
      <c r="J2819" s="12">
        <v>45139</v>
      </c>
      <c r="K2819" s="209"/>
      <c r="L2819" s="210"/>
      <c r="M2819" s="210" t="s">
        <v>1584</v>
      </c>
      <c r="N2819" s="232" t="s">
        <v>29</v>
      </c>
      <c r="O2819" s="63"/>
      <c r="P2819" s="139"/>
      <c r="Q2819" s="139"/>
      <c r="R2819" s="139"/>
      <c r="S2819" s="75">
        <f t="shared" si="609"/>
        <v>0</v>
      </c>
      <c r="T2819" s="75">
        <f t="shared" si="610"/>
        <v>0</v>
      </c>
      <c r="U2819" s="63"/>
      <c r="V2819" s="63"/>
      <c r="W2819" s="63"/>
      <c r="X2819" s="63"/>
      <c r="Y2819" s="63"/>
      <c r="Z2819" s="63"/>
      <c r="AA2819" s="63"/>
      <c r="AB2819" s="63"/>
      <c r="AC2819" s="63"/>
      <c r="AD2819" s="63"/>
      <c r="AE2819" s="63"/>
    </row>
    <row r="2820" spans="1:31" ht="14.25" customHeight="1">
      <c r="A2820" s="277" t="s">
        <v>6740</v>
      </c>
      <c r="B2820" s="9" t="s">
        <v>21</v>
      </c>
      <c r="C2820" s="9">
        <v>2023</v>
      </c>
      <c r="D2820" s="9"/>
      <c r="E2820" s="90" t="s">
        <v>1535</v>
      </c>
      <c r="F2820" s="9" t="s">
        <v>1537</v>
      </c>
      <c r="G2820" s="63"/>
      <c r="H2820" s="68"/>
      <c r="I2820" s="222" t="s">
        <v>1576</v>
      </c>
      <c r="J2820" s="12">
        <v>45170</v>
      </c>
      <c r="K2820" s="209"/>
      <c r="L2820" s="210"/>
      <c r="M2820" s="210" t="s">
        <v>1585</v>
      </c>
      <c r="N2820" s="232" t="s">
        <v>29</v>
      </c>
      <c r="O2820" s="63"/>
      <c r="P2820" s="139"/>
      <c r="Q2820" s="139"/>
      <c r="R2820" s="139"/>
      <c r="S2820" s="75">
        <f t="shared" si="609"/>
        <v>0</v>
      </c>
      <c r="T2820" s="75">
        <f t="shared" si="610"/>
        <v>0</v>
      </c>
      <c r="U2820" s="63"/>
      <c r="V2820" s="63"/>
      <c r="W2820" s="63"/>
      <c r="X2820" s="63"/>
      <c r="Y2820" s="63"/>
      <c r="Z2820" s="63"/>
      <c r="AA2820" s="63"/>
      <c r="AB2820" s="63"/>
      <c r="AC2820" s="63"/>
      <c r="AD2820" s="63"/>
      <c r="AE2820" s="63"/>
    </row>
    <row r="2821" spans="1:31" ht="14.25" customHeight="1">
      <c r="A2821" s="277" t="s">
        <v>6741</v>
      </c>
      <c r="B2821" s="9" t="s">
        <v>21</v>
      </c>
      <c r="C2821" s="9">
        <v>2023</v>
      </c>
      <c r="D2821" s="9"/>
      <c r="E2821" s="90" t="s">
        <v>1535</v>
      </c>
      <c r="F2821" s="9" t="s">
        <v>1537</v>
      </c>
      <c r="G2821" s="63"/>
      <c r="H2821" s="68"/>
      <c r="I2821" s="222" t="s">
        <v>1576</v>
      </c>
      <c r="J2821" s="12">
        <v>45200</v>
      </c>
      <c r="K2821" s="209"/>
      <c r="L2821" s="210"/>
      <c r="M2821" s="210" t="s">
        <v>1586</v>
      </c>
      <c r="N2821" s="232" t="s">
        <v>29</v>
      </c>
      <c r="O2821" s="63"/>
      <c r="P2821" s="139"/>
      <c r="Q2821" s="139"/>
      <c r="R2821" s="139"/>
      <c r="S2821" s="75">
        <f t="shared" si="609"/>
        <v>0</v>
      </c>
      <c r="T2821" s="75">
        <f t="shared" si="610"/>
        <v>0</v>
      </c>
      <c r="U2821" s="63"/>
      <c r="V2821" s="63"/>
      <c r="W2821" s="63"/>
      <c r="X2821" s="63"/>
      <c r="Y2821" s="63"/>
      <c r="Z2821" s="63"/>
      <c r="AA2821" s="63"/>
      <c r="AB2821" s="63"/>
      <c r="AC2821" s="63"/>
      <c r="AD2821" s="63"/>
      <c r="AE2821" s="63"/>
    </row>
    <row r="2822" spans="1:31" ht="14.25" customHeight="1">
      <c r="A2822" s="277" t="s">
        <v>6742</v>
      </c>
      <c r="B2822" s="9" t="s">
        <v>21</v>
      </c>
      <c r="C2822" s="9">
        <v>2023</v>
      </c>
      <c r="D2822" s="9"/>
      <c r="E2822" s="90" t="s">
        <v>1535</v>
      </c>
      <c r="F2822" s="9" t="s">
        <v>1537</v>
      </c>
      <c r="G2822" s="63"/>
      <c r="H2822" s="68"/>
      <c r="I2822" s="222" t="s">
        <v>1576</v>
      </c>
      <c r="J2822" s="12">
        <v>45231</v>
      </c>
      <c r="K2822" s="209"/>
      <c r="L2822" s="210"/>
      <c r="M2822" s="210" t="s">
        <v>1587</v>
      </c>
      <c r="N2822" s="232" t="s">
        <v>29</v>
      </c>
      <c r="O2822" s="210">
        <f>L2822</f>
        <v>0</v>
      </c>
      <c r="P2822" s="139"/>
      <c r="Q2822" s="139"/>
      <c r="R2822" s="139"/>
      <c r="S2822" s="75">
        <f t="shared" si="609"/>
        <v>0</v>
      </c>
      <c r="T2822" s="75">
        <f t="shared" si="610"/>
        <v>0</v>
      </c>
      <c r="U2822" s="63"/>
      <c r="V2822" s="63"/>
      <c r="W2822" s="63"/>
      <c r="X2822" s="63"/>
      <c r="Y2822" s="63"/>
      <c r="Z2822" s="63"/>
      <c r="AA2822" s="63"/>
      <c r="AB2822" s="63"/>
      <c r="AC2822" s="63"/>
      <c r="AD2822" s="63"/>
      <c r="AE2822" s="63"/>
    </row>
    <row r="2823" spans="1:31" ht="14.25" customHeight="1">
      <c r="A2823" s="277" t="s">
        <v>6743</v>
      </c>
      <c r="B2823" s="9" t="s">
        <v>21</v>
      </c>
      <c r="C2823" s="9">
        <v>2023</v>
      </c>
      <c r="D2823" s="9"/>
      <c r="E2823" s="90" t="s">
        <v>1535</v>
      </c>
      <c r="F2823" s="9" t="s">
        <v>1537</v>
      </c>
      <c r="G2823" s="63"/>
      <c r="H2823" s="68"/>
      <c r="I2823" s="222" t="s">
        <v>1576</v>
      </c>
      <c r="J2823" s="12">
        <v>45261</v>
      </c>
      <c r="K2823" s="209"/>
      <c r="L2823" s="210"/>
      <c r="M2823" s="210" t="s">
        <v>1588</v>
      </c>
      <c r="N2823" s="232" t="s">
        <v>29</v>
      </c>
      <c r="O2823" s="210">
        <f>L2823</f>
        <v>0</v>
      </c>
      <c r="P2823" s="139"/>
      <c r="Q2823" s="139"/>
      <c r="R2823" s="139"/>
      <c r="S2823" s="75">
        <f t="shared" si="609"/>
        <v>0</v>
      </c>
      <c r="T2823" s="75">
        <f t="shared" si="610"/>
        <v>0</v>
      </c>
      <c r="U2823" s="63"/>
      <c r="V2823" s="63"/>
      <c r="W2823" s="63"/>
      <c r="X2823" s="63"/>
      <c r="Y2823" s="63"/>
      <c r="Z2823" s="63"/>
      <c r="AA2823" s="63"/>
      <c r="AB2823" s="63"/>
      <c r="AC2823" s="63"/>
      <c r="AD2823" s="63"/>
      <c r="AE2823" s="63"/>
    </row>
    <row r="2824" spans="1:31" ht="14.25" customHeight="1">
      <c r="A2824" s="277" t="s">
        <v>6744</v>
      </c>
      <c r="B2824" s="9" t="s">
        <v>21</v>
      </c>
      <c r="C2824" s="9"/>
      <c r="D2824" s="9"/>
      <c r="E2824" s="90"/>
      <c r="F2824" s="9"/>
      <c r="G2824" s="63"/>
      <c r="H2824" s="68"/>
      <c r="I2824" s="63"/>
      <c r="J2824" s="209"/>
      <c r="K2824" s="209"/>
      <c r="L2824" s="210"/>
      <c r="M2824" s="210"/>
      <c r="N2824" s="202">
        <f ca="1">$J$3-J2824</f>
        <v>46240.46377638889</v>
      </c>
      <c r="O2824" s="63"/>
      <c r="P2824" s="139"/>
      <c r="Q2824" s="139"/>
      <c r="R2824" s="139"/>
      <c r="S2824" s="75">
        <f t="shared" si="609"/>
        <v>0</v>
      </c>
      <c r="T2824" s="75">
        <f t="shared" si="610"/>
        <v>0</v>
      </c>
      <c r="U2824" s="63"/>
      <c r="V2824" s="63"/>
      <c r="W2824" s="63"/>
      <c r="X2824" s="63"/>
      <c r="Y2824" s="63"/>
      <c r="Z2824" s="63"/>
      <c r="AA2824" s="63"/>
      <c r="AB2824" s="63"/>
      <c r="AC2824" s="63"/>
      <c r="AD2824" s="63"/>
      <c r="AE2824" s="63"/>
    </row>
    <row r="2825" spans="1:31" ht="14.25" customHeight="1">
      <c r="A2825" s="277" t="s">
        <v>6745</v>
      </c>
      <c r="B2825" s="9" t="s">
        <v>21</v>
      </c>
      <c r="C2825" s="9"/>
      <c r="D2825" s="9"/>
      <c r="E2825" s="90"/>
      <c r="F2825" s="9"/>
      <c r="G2825" s="63"/>
      <c r="H2825" s="63"/>
      <c r="I2825" s="63"/>
      <c r="J2825" s="209"/>
      <c r="K2825" s="209"/>
      <c r="L2825" s="210"/>
      <c r="M2825" s="210"/>
      <c r="N2825" s="63"/>
      <c r="O2825" s="63"/>
      <c r="P2825" s="63"/>
      <c r="Q2825" s="63"/>
      <c r="R2825" s="63"/>
      <c r="S2825" s="216"/>
      <c r="T2825" s="216"/>
      <c r="U2825" s="63"/>
      <c r="V2825" s="63"/>
      <c r="W2825" s="63"/>
      <c r="X2825" s="63"/>
      <c r="Y2825" s="63"/>
      <c r="Z2825" s="63"/>
      <c r="AA2825" s="63"/>
      <c r="AB2825" s="63"/>
      <c r="AC2825" s="63"/>
      <c r="AD2825" s="63"/>
      <c r="AE2825" s="63"/>
    </row>
    <row r="2826" spans="1:31" ht="14.25" customHeight="1">
      <c r="A2826" s="277" t="s">
        <v>6746</v>
      </c>
      <c r="B2826" s="9" t="s">
        <v>21</v>
      </c>
      <c r="C2826" s="9"/>
      <c r="D2826" s="9"/>
      <c r="E2826" s="90"/>
      <c r="F2826" s="9"/>
      <c r="G2826" s="63"/>
      <c r="H2826" s="68"/>
      <c r="I2826" s="63"/>
      <c r="J2826" s="209"/>
      <c r="K2826" s="209"/>
      <c r="L2826" s="73"/>
      <c r="M2826" s="210"/>
      <c r="N2826" s="68"/>
      <c r="O2826" s="63"/>
      <c r="P2826" s="139"/>
      <c r="Q2826" s="139"/>
      <c r="R2826" s="139"/>
      <c r="S2826" s="216"/>
      <c r="T2826" s="216"/>
      <c r="U2826" s="63"/>
      <c r="V2826" s="63"/>
      <c r="W2826" s="63"/>
      <c r="X2826" s="63"/>
      <c r="Y2826" s="63"/>
      <c r="Z2826" s="63"/>
      <c r="AA2826" s="63"/>
      <c r="AB2826" s="63"/>
      <c r="AC2826" s="63"/>
      <c r="AD2826" s="63"/>
      <c r="AE2826" s="63"/>
    </row>
    <row r="2827" spans="1:31" ht="14.25" customHeight="1">
      <c r="A2827" s="277" t="s">
        <v>6747</v>
      </c>
      <c r="B2827" s="9" t="s">
        <v>21</v>
      </c>
      <c r="C2827" s="9"/>
      <c r="D2827" s="9"/>
      <c r="E2827" s="90"/>
      <c r="F2827" s="9"/>
      <c r="G2827" s="205" t="s">
        <v>22</v>
      </c>
      <c r="H2827" s="206" t="s">
        <v>1589</v>
      </c>
      <c r="I2827" s="211"/>
      <c r="J2827" s="212"/>
      <c r="K2827" s="212"/>
      <c r="L2827" s="213">
        <f>L2829+L2834+L2849</f>
        <v>0</v>
      </c>
      <c r="M2827" s="214"/>
      <c r="N2827" s="211"/>
      <c r="O2827" s="211"/>
      <c r="P2827" s="215"/>
      <c r="Q2827" s="215"/>
      <c r="R2827" s="215"/>
      <c r="S2827" s="213">
        <f>S2829+S2834+S2849</f>
        <v>0</v>
      </c>
      <c r="T2827" s="213">
        <f>T2829+T2834+T2849</f>
        <v>0</v>
      </c>
      <c r="U2827" s="63"/>
      <c r="V2827" s="52">
        <f>L2827-S2827</f>
        <v>0</v>
      </c>
      <c r="W2827" s="52">
        <f>T2827-V2827</f>
        <v>0</v>
      </c>
      <c r="X2827" s="63"/>
      <c r="Y2827" s="63"/>
      <c r="Z2827" s="63"/>
      <c r="AA2827" s="63"/>
      <c r="AB2827" s="63"/>
      <c r="AC2827" s="63"/>
      <c r="AD2827" s="63"/>
      <c r="AE2827" s="63"/>
    </row>
    <row r="2828" spans="1:31" ht="14.25" customHeight="1">
      <c r="A2828" s="277" t="s">
        <v>6748</v>
      </c>
      <c r="B2828" s="9" t="s">
        <v>21</v>
      </c>
      <c r="C2828" s="9"/>
      <c r="D2828" s="9"/>
      <c r="E2828" s="90"/>
      <c r="F2828" s="9"/>
      <c r="G2828" s="68"/>
      <c r="H2828" s="63"/>
      <c r="I2828" s="63"/>
      <c r="J2828" s="209"/>
      <c r="K2828" s="209"/>
      <c r="L2828" s="216"/>
      <c r="M2828" s="210"/>
      <c r="N2828" s="63"/>
      <c r="O2828" s="63"/>
      <c r="P2828" s="139"/>
      <c r="Q2828" s="139"/>
      <c r="R2828" s="139"/>
      <c r="S2828" s="216"/>
      <c r="T2828" s="216"/>
      <c r="U2828" s="63"/>
      <c r="V2828" s="63"/>
      <c r="W2828" s="63"/>
      <c r="X2828" s="63"/>
      <c r="Y2828" s="63"/>
      <c r="Z2828" s="63"/>
      <c r="AA2828" s="63"/>
      <c r="AB2828" s="63"/>
      <c r="AC2828" s="63"/>
      <c r="AD2828" s="63"/>
      <c r="AE2828" s="63"/>
    </row>
    <row r="2829" spans="1:31" ht="14.25" customHeight="1">
      <c r="A2829" s="277" t="s">
        <v>6749</v>
      </c>
      <c r="B2829" s="9" t="s">
        <v>21</v>
      </c>
      <c r="C2829" s="9"/>
      <c r="D2829" s="9"/>
      <c r="E2829" s="90"/>
      <c r="F2829" s="9"/>
      <c r="G2829" s="207" t="s">
        <v>24</v>
      </c>
      <c r="H2829" s="208" t="s">
        <v>1590</v>
      </c>
      <c r="I2829" s="217"/>
      <c r="J2829" s="218"/>
      <c r="K2829" s="218"/>
      <c r="L2829" s="219">
        <f>SUM(L2830:L2832)</f>
        <v>0</v>
      </c>
      <c r="M2829" s="220"/>
      <c r="N2829" s="221" t="s">
        <v>26</v>
      </c>
      <c r="O2829" s="221"/>
      <c r="P2829" s="226"/>
      <c r="Q2829" s="226"/>
      <c r="R2829" s="226"/>
      <c r="S2829" s="219">
        <f>SUM(S2830:S2832)</f>
        <v>0</v>
      </c>
      <c r="T2829" s="219">
        <f>SUM(T2830:T2832)</f>
        <v>0</v>
      </c>
      <c r="U2829" s="63"/>
      <c r="V2829" s="52">
        <f>L2829-S2829</f>
        <v>0</v>
      </c>
      <c r="W2829" s="52">
        <f>T2829-V2829</f>
        <v>0</v>
      </c>
      <c r="X2829" s="63"/>
      <c r="Y2829" s="63"/>
      <c r="Z2829" s="63"/>
      <c r="AA2829" s="63"/>
      <c r="AB2829" s="63"/>
      <c r="AC2829" s="63"/>
      <c r="AD2829" s="63"/>
      <c r="AE2829" s="63"/>
    </row>
    <row r="2830" spans="1:31" ht="14.25" customHeight="1">
      <c r="A2830" s="277" t="s">
        <v>6750</v>
      </c>
      <c r="B2830" s="9" t="s">
        <v>21</v>
      </c>
      <c r="C2830" s="9">
        <v>2025</v>
      </c>
      <c r="D2830" s="9" t="s">
        <v>77</v>
      </c>
      <c r="E2830" s="90" t="s">
        <v>1589</v>
      </c>
      <c r="F2830" s="9" t="s">
        <v>1591</v>
      </c>
      <c r="G2830" s="63"/>
      <c r="H2830" s="68"/>
      <c r="I2830" s="222" t="s">
        <v>1592</v>
      </c>
      <c r="J2830" s="12">
        <v>45991</v>
      </c>
      <c r="K2830" s="209"/>
      <c r="L2830" s="210"/>
      <c r="M2830" s="210" t="s">
        <v>4293</v>
      </c>
      <c r="N2830" s="231" t="s">
        <v>29</v>
      </c>
      <c r="O2830" s="210">
        <f>L2830</f>
        <v>0</v>
      </c>
      <c r="P2830" s="139"/>
      <c r="Q2830" s="139"/>
      <c r="R2830" s="139"/>
      <c r="S2830" s="75">
        <f>IF(R2830="",0,L2830)</f>
        <v>0</v>
      </c>
      <c r="T2830" s="75">
        <f>L2830-S2830</f>
        <v>0</v>
      </c>
      <c r="U2830" s="63"/>
      <c r="V2830" s="63"/>
      <c r="W2830" s="63"/>
      <c r="X2830" s="63"/>
      <c r="Y2830" s="63"/>
      <c r="Z2830" s="63"/>
      <c r="AA2830" s="63"/>
      <c r="AB2830" s="63"/>
      <c r="AC2830" s="63"/>
      <c r="AD2830" s="63"/>
      <c r="AE2830" s="63"/>
    </row>
    <row r="2831" spans="1:31" ht="14.25" customHeight="1">
      <c r="A2831" s="277" t="s">
        <v>6751</v>
      </c>
      <c r="B2831" s="9" t="s">
        <v>21</v>
      </c>
      <c r="C2831" s="9">
        <v>2025</v>
      </c>
      <c r="D2831" s="9" t="s">
        <v>77</v>
      </c>
      <c r="E2831" s="90" t="s">
        <v>1589</v>
      </c>
      <c r="F2831" s="9" t="s">
        <v>1591</v>
      </c>
      <c r="G2831" s="63"/>
      <c r="H2831" s="68"/>
      <c r="I2831" s="222" t="s">
        <v>1592</v>
      </c>
      <c r="J2831" s="12">
        <v>46022</v>
      </c>
      <c r="K2831" s="209"/>
      <c r="L2831" s="210"/>
      <c r="M2831" s="210"/>
      <c r="N2831" s="231"/>
      <c r="O2831" s="210"/>
      <c r="P2831" s="139"/>
      <c r="Q2831" s="139"/>
      <c r="R2831" s="139"/>
      <c r="S2831" s="75"/>
      <c r="T2831" s="75"/>
      <c r="U2831" s="63"/>
      <c r="V2831" s="63"/>
      <c r="W2831" s="63"/>
      <c r="X2831" s="63"/>
      <c r="Y2831" s="63"/>
      <c r="Z2831" s="63"/>
      <c r="AA2831" s="63"/>
      <c r="AB2831" s="63"/>
      <c r="AC2831" s="63"/>
      <c r="AD2831" s="63"/>
      <c r="AE2831" s="63"/>
    </row>
    <row r="2832" spans="1:31" ht="14.25" customHeight="1">
      <c r="A2832" s="277" t="s">
        <v>6752</v>
      </c>
      <c r="B2832" s="9" t="s">
        <v>21</v>
      </c>
      <c r="C2832" s="9"/>
      <c r="D2832" s="9"/>
      <c r="E2832" s="90"/>
      <c r="F2832" s="9"/>
      <c r="G2832" s="63"/>
      <c r="H2832" s="68"/>
      <c r="I2832" s="63"/>
      <c r="J2832" s="209"/>
      <c r="K2832" s="209"/>
      <c r="L2832" s="210"/>
      <c r="M2832" s="210"/>
      <c r="N2832" s="202">
        <f ca="1">$J$3-J2832</f>
        <v>46240.46377638889</v>
      </c>
      <c r="O2832" s="63"/>
      <c r="P2832" s="139"/>
      <c r="Q2832" s="139"/>
      <c r="R2832" s="139"/>
      <c r="S2832" s="75">
        <f>IF(R2832="",0,L2832)</f>
        <v>0</v>
      </c>
      <c r="T2832" s="75">
        <f>L2832-S2832</f>
        <v>0</v>
      </c>
      <c r="U2832" s="63"/>
      <c r="V2832" s="63"/>
      <c r="W2832" s="63"/>
      <c r="X2832" s="63"/>
      <c r="Y2832" s="63"/>
      <c r="Z2832" s="63"/>
      <c r="AA2832" s="63"/>
      <c r="AB2832" s="63"/>
      <c r="AC2832" s="63"/>
      <c r="AD2832" s="63"/>
      <c r="AE2832" s="63"/>
    </row>
    <row r="2833" spans="1:31" ht="14.25" customHeight="1">
      <c r="A2833" s="277" t="s">
        <v>6753</v>
      </c>
      <c r="B2833" s="9" t="s">
        <v>21</v>
      </c>
      <c r="C2833" s="9"/>
      <c r="D2833" s="9"/>
      <c r="E2833" s="90"/>
      <c r="F2833" s="9"/>
      <c r="G2833" s="68"/>
      <c r="H2833" s="63"/>
      <c r="I2833" s="63"/>
      <c r="J2833" s="209"/>
      <c r="K2833" s="209"/>
      <c r="L2833" s="216"/>
      <c r="M2833" s="210"/>
      <c r="N2833" s="63"/>
      <c r="O2833" s="63"/>
      <c r="P2833" s="139"/>
      <c r="Q2833" s="139"/>
      <c r="R2833" s="139"/>
      <c r="S2833" s="216"/>
      <c r="T2833" s="216"/>
      <c r="U2833" s="63"/>
      <c r="V2833" s="63"/>
      <c r="W2833" s="63"/>
      <c r="X2833" s="63"/>
      <c r="Y2833" s="63"/>
      <c r="Z2833" s="63"/>
      <c r="AA2833" s="63"/>
      <c r="AB2833" s="63"/>
      <c r="AC2833" s="63"/>
      <c r="AD2833" s="63"/>
      <c r="AE2833" s="63"/>
    </row>
    <row r="2834" spans="1:31" ht="14.25" customHeight="1">
      <c r="A2834" s="277" t="s">
        <v>6754</v>
      </c>
      <c r="B2834" s="9" t="s">
        <v>21</v>
      </c>
      <c r="C2834" s="9"/>
      <c r="D2834" s="9"/>
      <c r="E2834" s="90"/>
      <c r="F2834" s="9"/>
      <c r="G2834" s="207" t="s">
        <v>24</v>
      </c>
      <c r="H2834" s="208" t="s">
        <v>1593</v>
      </c>
      <c r="I2834" s="217"/>
      <c r="J2834" s="218"/>
      <c r="K2834" s="218"/>
      <c r="L2834" s="219">
        <f>SUM(L2835:L2847)</f>
        <v>0</v>
      </c>
      <c r="M2834" s="220"/>
      <c r="N2834" s="221" t="s">
        <v>26</v>
      </c>
      <c r="O2834" s="221"/>
      <c r="P2834" s="226"/>
      <c r="Q2834" s="226"/>
      <c r="R2834" s="226"/>
      <c r="S2834" s="219">
        <f>SUM(S2835:S2847)</f>
        <v>0</v>
      </c>
      <c r="T2834" s="219">
        <f>SUM(T2835:T2847)</f>
        <v>0</v>
      </c>
      <c r="U2834" s="63"/>
      <c r="V2834" s="52">
        <f>L2834-S2834</f>
        <v>0</v>
      </c>
      <c r="W2834" s="52">
        <f>T2834-V2834</f>
        <v>0</v>
      </c>
      <c r="X2834" s="63"/>
      <c r="Y2834" s="63"/>
      <c r="Z2834" s="63"/>
      <c r="AA2834" s="63"/>
      <c r="AB2834" s="63"/>
      <c r="AC2834" s="63"/>
      <c r="AD2834" s="63"/>
      <c r="AE2834" s="63"/>
    </row>
    <row r="2835" spans="1:31" ht="14.25" customHeight="1">
      <c r="A2835" s="277" t="s">
        <v>6755</v>
      </c>
      <c r="B2835" s="9" t="s">
        <v>21</v>
      </c>
      <c r="C2835" s="9">
        <v>2023</v>
      </c>
      <c r="D2835" s="9"/>
      <c r="E2835" s="90" t="s">
        <v>1589</v>
      </c>
      <c r="F2835" s="9" t="s">
        <v>1591</v>
      </c>
      <c r="G2835" s="63"/>
      <c r="H2835" s="68"/>
      <c r="I2835" s="222" t="s">
        <v>1594</v>
      </c>
      <c r="J2835" s="12">
        <v>44927</v>
      </c>
      <c r="K2835" s="209"/>
      <c r="L2835" s="210"/>
      <c r="M2835" s="210" t="s">
        <v>1595</v>
      </c>
      <c r="N2835" s="231" t="s">
        <v>29</v>
      </c>
      <c r="O2835" s="210">
        <f t="shared" ref="O2835:O2840" si="611">L2835</f>
        <v>0</v>
      </c>
      <c r="P2835" s="139"/>
      <c r="Q2835" s="139"/>
      <c r="R2835" s="139"/>
      <c r="S2835" s="75">
        <f t="shared" ref="S2835:S2847" si="612">IF(R2835="",0,L2835)</f>
        <v>0</v>
      </c>
      <c r="T2835" s="75">
        <f t="shared" ref="T2835:T2847" si="613">L2835-S2835</f>
        <v>0</v>
      </c>
      <c r="U2835" s="63"/>
      <c r="V2835" s="63"/>
      <c r="W2835" s="63"/>
      <c r="X2835" s="63"/>
      <c r="Y2835" s="63"/>
      <c r="Z2835" s="63"/>
      <c r="AA2835" s="63"/>
      <c r="AB2835" s="63"/>
      <c r="AC2835" s="63"/>
      <c r="AD2835" s="63"/>
      <c r="AE2835" s="63"/>
    </row>
    <row r="2836" spans="1:31" ht="14.25" customHeight="1">
      <c r="A2836" s="277" t="s">
        <v>6756</v>
      </c>
      <c r="B2836" s="9" t="s">
        <v>21</v>
      </c>
      <c r="C2836" s="9">
        <v>2023</v>
      </c>
      <c r="D2836" s="9"/>
      <c r="E2836" s="90" t="s">
        <v>1589</v>
      </c>
      <c r="F2836" s="9" t="s">
        <v>1591</v>
      </c>
      <c r="G2836" s="63"/>
      <c r="H2836" s="68"/>
      <c r="I2836" s="222" t="s">
        <v>1594</v>
      </c>
      <c r="J2836" s="12">
        <v>44958</v>
      </c>
      <c r="K2836" s="209"/>
      <c r="L2836" s="210"/>
      <c r="M2836" s="210" t="s">
        <v>1596</v>
      </c>
      <c r="N2836" s="231" t="s">
        <v>29</v>
      </c>
      <c r="O2836" s="210">
        <f t="shared" si="611"/>
        <v>0</v>
      </c>
      <c r="P2836" s="139"/>
      <c r="Q2836" s="139"/>
      <c r="R2836" s="139"/>
      <c r="S2836" s="75">
        <f t="shared" si="612"/>
        <v>0</v>
      </c>
      <c r="T2836" s="75">
        <f t="shared" si="613"/>
        <v>0</v>
      </c>
      <c r="U2836" s="63"/>
      <c r="V2836" s="63"/>
      <c r="W2836" s="63"/>
      <c r="X2836" s="63"/>
      <c r="Y2836" s="63"/>
      <c r="Z2836" s="63"/>
      <c r="AA2836" s="63"/>
      <c r="AB2836" s="63"/>
      <c r="AC2836" s="63"/>
      <c r="AD2836" s="63"/>
      <c r="AE2836" s="63"/>
    </row>
    <row r="2837" spans="1:31" ht="14.25" customHeight="1">
      <c r="A2837" s="277" t="s">
        <v>6757</v>
      </c>
      <c r="B2837" s="9" t="s">
        <v>21</v>
      </c>
      <c r="C2837" s="9">
        <v>2023</v>
      </c>
      <c r="D2837" s="9"/>
      <c r="E2837" s="90" t="s">
        <v>1589</v>
      </c>
      <c r="F2837" s="9" t="s">
        <v>1591</v>
      </c>
      <c r="G2837" s="63"/>
      <c r="H2837" s="68"/>
      <c r="I2837" s="222" t="s">
        <v>1594</v>
      </c>
      <c r="J2837" s="12">
        <v>44986</v>
      </c>
      <c r="K2837" s="209"/>
      <c r="L2837" s="210"/>
      <c r="M2837" s="210" t="s">
        <v>1597</v>
      </c>
      <c r="N2837" s="231" t="s">
        <v>29</v>
      </c>
      <c r="O2837" s="210">
        <f t="shared" si="611"/>
        <v>0</v>
      </c>
      <c r="P2837" s="139"/>
      <c r="Q2837" s="139"/>
      <c r="R2837" s="139"/>
      <c r="S2837" s="75">
        <f t="shared" si="612"/>
        <v>0</v>
      </c>
      <c r="T2837" s="75">
        <f t="shared" si="613"/>
        <v>0</v>
      </c>
      <c r="U2837" s="63"/>
      <c r="V2837" s="63"/>
      <c r="W2837" s="63"/>
      <c r="X2837" s="63"/>
      <c r="Y2837" s="63"/>
      <c r="Z2837" s="63"/>
      <c r="AA2837" s="63"/>
      <c r="AB2837" s="63"/>
      <c r="AC2837" s="63"/>
      <c r="AD2837" s="63"/>
      <c r="AE2837" s="63"/>
    </row>
    <row r="2838" spans="1:31" ht="14.25" customHeight="1">
      <c r="A2838" s="277" t="s">
        <v>6758</v>
      </c>
      <c r="B2838" s="9" t="s">
        <v>21</v>
      </c>
      <c r="C2838" s="9">
        <v>2023</v>
      </c>
      <c r="D2838" s="9"/>
      <c r="E2838" s="90" t="s">
        <v>1589</v>
      </c>
      <c r="F2838" s="9" t="s">
        <v>1591</v>
      </c>
      <c r="G2838" s="63"/>
      <c r="H2838" s="68"/>
      <c r="I2838" s="222" t="s">
        <v>1594</v>
      </c>
      <c r="J2838" s="12">
        <v>45017</v>
      </c>
      <c r="K2838" s="209"/>
      <c r="L2838" s="210"/>
      <c r="M2838" s="210" t="s">
        <v>1598</v>
      </c>
      <c r="N2838" s="231" t="s">
        <v>29</v>
      </c>
      <c r="O2838" s="210">
        <f t="shared" si="611"/>
        <v>0</v>
      </c>
      <c r="P2838" s="139"/>
      <c r="Q2838" s="139"/>
      <c r="R2838" s="139"/>
      <c r="S2838" s="75">
        <f t="shared" si="612"/>
        <v>0</v>
      </c>
      <c r="T2838" s="75">
        <f t="shared" si="613"/>
        <v>0</v>
      </c>
      <c r="U2838" s="63"/>
      <c r="V2838" s="63"/>
      <c r="W2838" s="63"/>
      <c r="X2838" s="63"/>
      <c r="Y2838" s="63"/>
      <c r="Z2838" s="63"/>
      <c r="AA2838" s="63"/>
      <c r="AB2838" s="63"/>
      <c r="AC2838" s="63"/>
      <c r="AD2838" s="63"/>
      <c r="AE2838" s="63"/>
    </row>
    <row r="2839" spans="1:31" ht="14.25" customHeight="1">
      <c r="A2839" s="277" t="s">
        <v>6759</v>
      </c>
      <c r="B2839" s="9" t="s">
        <v>21</v>
      </c>
      <c r="C2839" s="9">
        <v>2023</v>
      </c>
      <c r="D2839" s="9"/>
      <c r="E2839" s="90" t="s">
        <v>1589</v>
      </c>
      <c r="F2839" s="9" t="s">
        <v>1591</v>
      </c>
      <c r="G2839" s="63"/>
      <c r="H2839" s="68"/>
      <c r="I2839" s="222" t="s">
        <v>1594</v>
      </c>
      <c r="J2839" s="12">
        <v>45047</v>
      </c>
      <c r="K2839" s="209"/>
      <c r="L2839" s="210"/>
      <c r="M2839" s="210" t="s">
        <v>1599</v>
      </c>
      <c r="N2839" s="231" t="s">
        <v>29</v>
      </c>
      <c r="O2839" s="210">
        <f t="shared" si="611"/>
        <v>0</v>
      </c>
      <c r="P2839" s="139"/>
      <c r="Q2839" s="139"/>
      <c r="R2839" s="139"/>
      <c r="S2839" s="75">
        <f t="shared" si="612"/>
        <v>0</v>
      </c>
      <c r="T2839" s="75">
        <f t="shared" si="613"/>
        <v>0</v>
      </c>
      <c r="U2839" s="63"/>
      <c r="V2839" s="63"/>
      <c r="W2839" s="63"/>
      <c r="X2839" s="63"/>
      <c r="Y2839" s="63"/>
      <c r="Z2839" s="63"/>
      <c r="AA2839" s="63"/>
      <c r="AB2839" s="63"/>
      <c r="AC2839" s="63"/>
      <c r="AD2839" s="63"/>
      <c r="AE2839" s="63"/>
    </row>
    <row r="2840" spans="1:31" ht="14.25" customHeight="1">
      <c r="A2840" s="277" t="s">
        <v>6760</v>
      </c>
      <c r="B2840" s="9" t="s">
        <v>21</v>
      </c>
      <c r="C2840" s="9">
        <v>2023</v>
      </c>
      <c r="D2840" s="9"/>
      <c r="E2840" s="90" t="s">
        <v>1589</v>
      </c>
      <c r="F2840" s="9" t="s">
        <v>1591</v>
      </c>
      <c r="G2840" s="63"/>
      <c r="H2840" s="68"/>
      <c r="I2840" s="222" t="s">
        <v>1594</v>
      </c>
      <c r="J2840" s="12">
        <v>45078</v>
      </c>
      <c r="K2840" s="209"/>
      <c r="L2840" s="210"/>
      <c r="M2840" s="210" t="s">
        <v>1600</v>
      </c>
      <c r="N2840" s="231" t="s">
        <v>29</v>
      </c>
      <c r="O2840" s="210">
        <f t="shared" si="611"/>
        <v>0</v>
      </c>
      <c r="P2840" s="139"/>
      <c r="Q2840" s="139"/>
      <c r="R2840" s="139"/>
      <c r="S2840" s="75">
        <f t="shared" si="612"/>
        <v>0</v>
      </c>
      <c r="T2840" s="75">
        <f t="shared" si="613"/>
        <v>0</v>
      </c>
      <c r="U2840" s="63"/>
      <c r="V2840" s="63"/>
      <c r="W2840" s="63"/>
      <c r="X2840" s="63"/>
      <c r="Y2840" s="63"/>
      <c r="Z2840" s="63"/>
      <c r="AA2840" s="63"/>
      <c r="AB2840" s="63"/>
      <c r="AC2840" s="63"/>
      <c r="AD2840" s="63"/>
      <c r="AE2840" s="63"/>
    </row>
    <row r="2841" spans="1:31" ht="14.25" customHeight="1">
      <c r="A2841" s="277" t="s">
        <v>6761</v>
      </c>
      <c r="B2841" s="9" t="s">
        <v>21</v>
      </c>
      <c r="C2841" s="9">
        <v>2023</v>
      </c>
      <c r="D2841" s="9"/>
      <c r="E2841" s="90" t="s">
        <v>1589</v>
      </c>
      <c r="F2841" s="9" t="s">
        <v>1591</v>
      </c>
      <c r="G2841" s="63"/>
      <c r="H2841" s="68"/>
      <c r="I2841" s="222" t="s">
        <v>1594</v>
      </c>
      <c r="J2841" s="12">
        <v>45108</v>
      </c>
      <c r="K2841" s="209"/>
      <c r="L2841" s="210"/>
      <c r="M2841" s="210" t="s">
        <v>1601</v>
      </c>
      <c r="N2841" s="231" t="s">
        <v>29</v>
      </c>
      <c r="O2841" s="63"/>
      <c r="P2841" s="139"/>
      <c r="Q2841" s="139"/>
      <c r="R2841" s="139"/>
      <c r="S2841" s="75">
        <f t="shared" si="612"/>
        <v>0</v>
      </c>
      <c r="T2841" s="75">
        <f t="shared" si="613"/>
        <v>0</v>
      </c>
      <c r="U2841" s="63"/>
      <c r="V2841" s="63"/>
      <c r="W2841" s="63"/>
      <c r="X2841" s="63"/>
      <c r="Y2841" s="63"/>
      <c r="Z2841" s="63"/>
      <c r="AA2841" s="63"/>
      <c r="AB2841" s="63"/>
      <c r="AC2841" s="63"/>
      <c r="AD2841" s="63"/>
      <c r="AE2841" s="63"/>
    </row>
    <row r="2842" spans="1:31" ht="14.25" customHeight="1">
      <c r="A2842" s="277" t="s">
        <v>6762</v>
      </c>
      <c r="B2842" s="9" t="s">
        <v>21</v>
      </c>
      <c r="C2842" s="9">
        <v>2023</v>
      </c>
      <c r="D2842" s="9"/>
      <c r="E2842" s="90" t="s">
        <v>1589</v>
      </c>
      <c r="F2842" s="9" t="s">
        <v>1591</v>
      </c>
      <c r="G2842" s="63"/>
      <c r="H2842" s="68"/>
      <c r="I2842" s="222" t="s">
        <v>1594</v>
      </c>
      <c r="J2842" s="12">
        <v>45139</v>
      </c>
      <c r="K2842" s="209"/>
      <c r="L2842" s="210"/>
      <c r="M2842" s="210" t="s">
        <v>1602</v>
      </c>
      <c r="N2842" s="231" t="s">
        <v>29</v>
      </c>
      <c r="O2842" s="63"/>
      <c r="P2842" s="139"/>
      <c r="Q2842" s="139"/>
      <c r="R2842" s="139"/>
      <c r="S2842" s="75">
        <f t="shared" si="612"/>
        <v>0</v>
      </c>
      <c r="T2842" s="75">
        <f t="shared" si="613"/>
        <v>0</v>
      </c>
      <c r="U2842" s="63"/>
      <c r="V2842" s="63"/>
      <c r="W2842" s="63"/>
      <c r="X2842" s="63"/>
      <c r="Y2842" s="63"/>
      <c r="Z2842" s="63"/>
      <c r="AA2842" s="63"/>
      <c r="AB2842" s="63"/>
      <c r="AC2842" s="63"/>
      <c r="AD2842" s="63"/>
      <c r="AE2842" s="63"/>
    </row>
    <row r="2843" spans="1:31" ht="14.25" customHeight="1">
      <c r="A2843" s="277" t="s">
        <v>6763</v>
      </c>
      <c r="B2843" s="9" t="s">
        <v>21</v>
      </c>
      <c r="C2843" s="9">
        <v>2023</v>
      </c>
      <c r="D2843" s="9"/>
      <c r="E2843" s="90" t="s">
        <v>1589</v>
      </c>
      <c r="F2843" s="9" t="s">
        <v>1591</v>
      </c>
      <c r="G2843" s="63"/>
      <c r="H2843" s="68"/>
      <c r="I2843" s="222" t="s">
        <v>1594</v>
      </c>
      <c r="J2843" s="12">
        <v>45170</v>
      </c>
      <c r="K2843" s="209"/>
      <c r="L2843" s="210"/>
      <c r="M2843" s="210" t="s">
        <v>1603</v>
      </c>
      <c r="N2843" s="231" t="s">
        <v>29</v>
      </c>
      <c r="O2843" s="63"/>
      <c r="P2843" s="139"/>
      <c r="Q2843" s="139"/>
      <c r="R2843" s="139"/>
      <c r="S2843" s="75">
        <f t="shared" si="612"/>
        <v>0</v>
      </c>
      <c r="T2843" s="75">
        <f t="shared" si="613"/>
        <v>0</v>
      </c>
      <c r="U2843" s="63"/>
      <c r="V2843" s="63"/>
      <c r="W2843" s="63"/>
      <c r="X2843" s="63"/>
      <c r="Y2843" s="63"/>
      <c r="Z2843" s="63"/>
      <c r="AA2843" s="63"/>
      <c r="AB2843" s="63"/>
      <c r="AC2843" s="63"/>
      <c r="AD2843" s="63"/>
      <c r="AE2843" s="63"/>
    </row>
    <row r="2844" spans="1:31" ht="14.25" customHeight="1">
      <c r="A2844" s="277" t="s">
        <v>6764</v>
      </c>
      <c r="B2844" s="9" t="s">
        <v>21</v>
      </c>
      <c r="C2844" s="9">
        <v>2023</v>
      </c>
      <c r="D2844" s="9"/>
      <c r="E2844" s="90" t="s">
        <v>1589</v>
      </c>
      <c r="F2844" s="9" t="s">
        <v>1591</v>
      </c>
      <c r="G2844" s="63"/>
      <c r="H2844" s="68"/>
      <c r="I2844" s="222" t="s">
        <v>1594</v>
      </c>
      <c r="J2844" s="12">
        <v>45200</v>
      </c>
      <c r="K2844" s="209"/>
      <c r="L2844" s="210"/>
      <c r="M2844" s="210" t="s">
        <v>1604</v>
      </c>
      <c r="N2844" s="231" t="s">
        <v>29</v>
      </c>
      <c r="O2844" s="63"/>
      <c r="P2844" s="139"/>
      <c r="Q2844" s="139"/>
      <c r="R2844" s="139"/>
      <c r="S2844" s="75">
        <f t="shared" si="612"/>
        <v>0</v>
      </c>
      <c r="T2844" s="75">
        <f t="shared" si="613"/>
        <v>0</v>
      </c>
      <c r="U2844" s="63"/>
      <c r="V2844" s="63"/>
      <c r="W2844" s="63"/>
      <c r="X2844" s="63"/>
      <c r="Y2844" s="63"/>
      <c r="Z2844" s="63"/>
      <c r="AA2844" s="63"/>
      <c r="AB2844" s="63"/>
      <c r="AC2844" s="63"/>
      <c r="AD2844" s="63"/>
      <c r="AE2844" s="63"/>
    </row>
    <row r="2845" spans="1:31" ht="14.25" customHeight="1">
      <c r="A2845" s="277" t="s">
        <v>6765</v>
      </c>
      <c r="B2845" s="9" t="s">
        <v>21</v>
      </c>
      <c r="C2845" s="9">
        <v>2023</v>
      </c>
      <c r="D2845" s="9"/>
      <c r="E2845" s="90" t="s">
        <v>1589</v>
      </c>
      <c r="F2845" s="9" t="s">
        <v>1591</v>
      </c>
      <c r="G2845" s="63"/>
      <c r="H2845" s="68"/>
      <c r="I2845" s="222" t="s">
        <v>1594</v>
      </c>
      <c r="J2845" s="12">
        <v>45231</v>
      </c>
      <c r="K2845" s="209"/>
      <c r="L2845" s="210"/>
      <c r="M2845" s="210" t="s">
        <v>1605</v>
      </c>
      <c r="N2845" s="231" t="s">
        <v>29</v>
      </c>
      <c r="O2845" s="210">
        <f>L2845</f>
        <v>0</v>
      </c>
      <c r="P2845" s="139"/>
      <c r="Q2845" s="139"/>
      <c r="R2845" s="139"/>
      <c r="S2845" s="75">
        <f t="shared" si="612"/>
        <v>0</v>
      </c>
      <c r="T2845" s="75">
        <f t="shared" si="613"/>
        <v>0</v>
      </c>
      <c r="U2845" s="63"/>
      <c r="V2845" s="63"/>
      <c r="W2845" s="63"/>
      <c r="X2845" s="63"/>
      <c r="Y2845" s="63"/>
      <c r="Z2845" s="63"/>
      <c r="AA2845" s="63"/>
      <c r="AB2845" s="63"/>
      <c r="AC2845" s="63"/>
      <c r="AD2845" s="63"/>
      <c r="AE2845" s="63"/>
    </row>
    <row r="2846" spans="1:31" ht="14.25" customHeight="1">
      <c r="A2846" s="277" t="s">
        <v>6766</v>
      </c>
      <c r="B2846" s="9" t="s">
        <v>21</v>
      </c>
      <c r="C2846" s="9">
        <v>2023</v>
      </c>
      <c r="D2846" s="9"/>
      <c r="E2846" s="90" t="s">
        <v>1589</v>
      </c>
      <c r="F2846" s="9" t="s">
        <v>1591</v>
      </c>
      <c r="G2846" s="63"/>
      <c r="H2846" s="68"/>
      <c r="I2846" s="222" t="s">
        <v>1594</v>
      </c>
      <c r="J2846" s="12">
        <v>45261</v>
      </c>
      <c r="K2846" s="209"/>
      <c r="L2846" s="210"/>
      <c r="M2846" s="210" t="s">
        <v>1606</v>
      </c>
      <c r="N2846" s="231" t="s">
        <v>29</v>
      </c>
      <c r="O2846" s="210">
        <f>L2846</f>
        <v>0</v>
      </c>
      <c r="P2846" s="139"/>
      <c r="Q2846" s="139"/>
      <c r="R2846" s="139"/>
      <c r="S2846" s="75">
        <f t="shared" si="612"/>
        <v>0</v>
      </c>
      <c r="T2846" s="75">
        <f t="shared" si="613"/>
        <v>0</v>
      </c>
      <c r="U2846" s="63"/>
      <c r="V2846" s="63"/>
      <c r="W2846" s="63"/>
      <c r="X2846" s="63"/>
      <c r="Y2846" s="63"/>
      <c r="Z2846" s="63"/>
      <c r="AA2846" s="63"/>
      <c r="AB2846" s="63"/>
      <c r="AC2846" s="63"/>
      <c r="AD2846" s="63"/>
      <c r="AE2846" s="63"/>
    </row>
    <row r="2847" spans="1:31" ht="14.25" customHeight="1">
      <c r="A2847" s="277" t="s">
        <v>6767</v>
      </c>
      <c r="B2847" s="9" t="s">
        <v>21</v>
      </c>
      <c r="C2847" s="9"/>
      <c r="D2847" s="9"/>
      <c r="E2847" s="90"/>
      <c r="F2847" s="9"/>
      <c r="G2847" s="63"/>
      <c r="H2847" s="68"/>
      <c r="I2847" s="63"/>
      <c r="J2847" s="209"/>
      <c r="K2847" s="209"/>
      <c r="L2847" s="210"/>
      <c r="M2847" s="210"/>
      <c r="N2847" s="202">
        <f ca="1">$J$3-J2847</f>
        <v>46240.46377638889</v>
      </c>
      <c r="O2847" s="63"/>
      <c r="P2847" s="139"/>
      <c r="Q2847" s="139"/>
      <c r="R2847" s="139"/>
      <c r="S2847" s="75">
        <f t="shared" si="612"/>
        <v>0</v>
      </c>
      <c r="T2847" s="75">
        <f t="shared" si="613"/>
        <v>0</v>
      </c>
      <c r="U2847" s="63"/>
      <c r="V2847" s="63"/>
      <c r="W2847" s="63"/>
      <c r="X2847" s="63"/>
      <c r="Y2847" s="63"/>
      <c r="Z2847" s="63"/>
      <c r="AA2847" s="63"/>
      <c r="AB2847" s="63"/>
      <c r="AC2847" s="63"/>
      <c r="AD2847" s="63"/>
      <c r="AE2847" s="63"/>
    </row>
    <row r="2848" spans="1:31" ht="14.25" customHeight="1">
      <c r="A2848" s="277" t="s">
        <v>6768</v>
      </c>
      <c r="B2848" s="9" t="s">
        <v>21</v>
      </c>
      <c r="C2848" s="9"/>
      <c r="D2848" s="9"/>
      <c r="E2848" s="90"/>
      <c r="F2848" s="9"/>
      <c r="G2848" s="68"/>
      <c r="H2848" s="63"/>
      <c r="I2848" s="63"/>
      <c r="J2848" s="209"/>
      <c r="K2848" s="209"/>
      <c r="L2848" s="216"/>
      <c r="M2848" s="210"/>
      <c r="N2848" s="63"/>
      <c r="O2848" s="63"/>
      <c r="P2848" s="139"/>
      <c r="Q2848" s="139"/>
      <c r="R2848" s="139"/>
      <c r="S2848" s="216"/>
      <c r="T2848" s="216"/>
      <c r="U2848" s="63"/>
      <c r="V2848" s="63"/>
      <c r="W2848" s="63"/>
      <c r="X2848" s="63"/>
      <c r="Y2848" s="63"/>
      <c r="Z2848" s="63"/>
      <c r="AA2848" s="63"/>
      <c r="AB2848" s="63"/>
      <c r="AC2848" s="63"/>
      <c r="AD2848" s="63"/>
      <c r="AE2848" s="63"/>
    </row>
    <row r="2849" spans="1:31" ht="14.25" customHeight="1">
      <c r="A2849" s="277" t="s">
        <v>6769</v>
      </c>
      <c r="B2849" s="9" t="s">
        <v>21</v>
      </c>
      <c r="C2849" s="9"/>
      <c r="D2849" s="9"/>
      <c r="E2849" s="90"/>
      <c r="F2849" s="9"/>
      <c r="G2849" s="207" t="s">
        <v>24</v>
      </c>
      <c r="H2849" s="208" t="s">
        <v>1607</v>
      </c>
      <c r="I2849" s="217"/>
      <c r="J2849" s="218"/>
      <c r="K2849" s="218"/>
      <c r="L2849" s="219">
        <f>SUM(L2850:L2862)</f>
        <v>0</v>
      </c>
      <c r="M2849" s="220"/>
      <c r="N2849" s="221" t="s">
        <v>26</v>
      </c>
      <c r="O2849" s="221"/>
      <c r="P2849" s="226"/>
      <c r="Q2849" s="226"/>
      <c r="R2849" s="226"/>
      <c r="S2849" s="219">
        <f>SUM(S2850:S2862)</f>
        <v>0</v>
      </c>
      <c r="T2849" s="219">
        <f>SUM(T2850:T2862)</f>
        <v>0</v>
      </c>
      <c r="U2849" s="63"/>
      <c r="V2849" s="52">
        <f>L2849-S2849</f>
        <v>0</v>
      </c>
      <c r="W2849" s="52">
        <f>T2849-V2849</f>
        <v>0</v>
      </c>
      <c r="X2849" s="63"/>
      <c r="Y2849" s="63"/>
      <c r="Z2849" s="63"/>
      <c r="AA2849" s="63"/>
      <c r="AB2849" s="63"/>
      <c r="AC2849" s="63"/>
      <c r="AD2849" s="63"/>
      <c r="AE2849" s="63"/>
    </row>
    <row r="2850" spans="1:31" ht="14.25" customHeight="1">
      <c r="A2850" s="277" t="s">
        <v>6770</v>
      </c>
      <c r="B2850" s="9" t="s">
        <v>21</v>
      </c>
      <c r="C2850" s="9">
        <v>2023</v>
      </c>
      <c r="D2850" s="9"/>
      <c r="E2850" s="90" t="s">
        <v>1589</v>
      </c>
      <c r="F2850" s="9" t="s">
        <v>1591</v>
      </c>
      <c r="G2850" s="63"/>
      <c r="H2850" s="68"/>
      <c r="I2850" s="222" t="s">
        <v>1608</v>
      </c>
      <c r="J2850" s="12">
        <v>44927</v>
      </c>
      <c r="K2850" s="209"/>
      <c r="L2850" s="210"/>
      <c r="M2850" s="210" t="s">
        <v>1609</v>
      </c>
      <c r="N2850" s="231" t="s">
        <v>29</v>
      </c>
      <c r="O2850" s="210">
        <f t="shared" ref="O2850:O2855" si="614">L2850</f>
        <v>0</v>
      </c>
      <c r="P2850" s="139"/>
      <c r="Q2850" s="139"/>
      <c r="R2850" s="139"/>
      <c r="S2850" s="75">
        <f t="shared" ref="S2850:S2862" si="615">IF(R2850="",0,L2850)</f>
        <v>0</v>
      </c>
      <c r="T2850" s="75">
        <f t="shared" ref="T2850:T2862" si="616">L2850-S2850</f>
        <v>0</v>
      </c>
      <c r="U2850" s="63"/>
      <c r="V2850" s="63"/>
      <c r="W2850" s="63"/>
      <c r="X2850" s="63"/>
      <c r="Y2850" s="63"/>
      <c r="Z2850" s="63"/>
      <c r="AA2850" s="63"/>
      <c r="AB2850" s="63"/>
      <c r="AC2850" s="63"/>
      <c r="AD2850" s="63"/>
      <c r="AE2850" s="63"/>
    </row>
    <row r="2851" spans="1:31" ht="14.25" customHeight="1">
      <c r="A2851" s="277" t="s">
        <v>6771</v>
      </c>
      <c r="B2851" s="9" t="s">
        <v>21</v>
      </c>
      <c r="C2851" s="9">
        <v>2023</v>
      </c>
      <c r="D2851" s="9"/>
      <c r="E2851" s="90" t="s">
        <v>1589</v>
      </c>
      <c r="F2851" s="9" t="s">
        <v>1591</v>
      </c>
      <c r="G2851" s="63"/>
      <c r="H2851" s="68"/>
      <c r="I2851" s="222" t="s">
        <v>1608</v>
      </c>
      <c r="J2851" s="12">
        <v>44958</v>
      </c>
      <c r="K2851" s="209"/>
      <c r="L2851" s="210"/>
      <c r="M2851" s="210" t="s">
        <v>1610</v>
      </c>
      <c r="N2851" s="231" t="s">
        <v>29</v>
      </c>
      <c r="O2851" s="210">
        <f t="shared" si="614"/>
        <v>0</v>
      </c>
      <c r="P2851" s="139"/>
      <c r="Q2851" s="139"/>
      <c r="R2851" s="139"/>
      <c r="S2851" s="75">
        <f t="shared" si="615"/>
        <v>0</v>
      </c>
      <c r="T2851" s="75">
        <f t="shared" si="616"/>
        <v>0</v>
      </c>
      <c r="U2851" s="63"/>
      <c r="V2851" s="63"/>
      <c r="W2851" s="63"/>
      <c r="X2851" s="63"/>
      <c r="Y2851" s="63"/>
      <c r="Z2851" s="63"/>
      <c r="AA2851" s="63"/>
      <c r="AB2851" s="63"/>
      <c r="AC2851" s="63"/>
      <c r="AD2851" s="63"/>
      <c r="AE2851" s="63"/>
    </row>
    <row r="2852" spans="1:31" ht="14.25" customHeight="1">
      <c r="A2852" s="277" t="s">
        <v>6772</v>
      </c>
      <c r="B2852" s="9" t="s">
        <v>21</v>
      </c>
      <c r="C2852" s="9">
        <v>2023</v>
      </c>
      <c r="D2852" s="9"/>
      <c r="E2852" s="90" t="s">
        <v>1589</v>
      </c>
      <c r="F2852" s="9" t="s">
        <v>1591</v>
      </c>
      <c r="G2852" s="63"/>
      <c r="H2852" s="68"/>
      <c r="I2852" s="222" t="s">
        <v>1608</v>
      </c>
      <c r="J2852" s="12">
        <v>44986</v>
      </c>
      <c r="K2852" s="209"/>
      <c r="L2852" s="210"/>
      <c r="M2852" s="210" t="s">
        <v>1611</v>
      </c>
      <c r="N2852" s="231" t="s">
        <v>29</v>
      </c>
      <c r="O2852" s="210">
        <f t="shared" si="614"/>
        <v>0</v>
      </c>
      <c r="P2852" s="139"/>
      <c r="Q2852" s="139"/>
      <c r="R2852" s="139"/>
      <c r="S2852" s="75">
        <f t="shared" si="615"/>
        <v>0</v>
      </c>
      <c r="T2852" s="75">
        <f t="shared" si="616"/>
        <v>0</v>
      </c>
      <c r="U2852" s="63"/>
      <c r="V2852" s="63"/>
      <c r="W2852" s="63"/>
      <c r="X2852" s="63"/>
      <c r="Y2852" s="63"/>
      <c r="Z2852" s="63"/>
      <c r="AA2852" s="63"/>
      <c r="AB2852" s="63"/>
      <c r="AC2852" s="63"/>
      <c r="AD2852" s="63"/>
      <c r="AE2852" s="63"/>
    </row>
    <row r="2853" spans="1:31" ht="14.25" customHeight="1">
      <c r="A2853" s="277" t="s">
        <v>6773</v>
      </c>
      <c r="B2853" s="9" t="s">
        <v>21</v>
      </c>
      <c r="C2853" s="9">
        <v>2023</v>
      </c>
      <c r="D2853" s="9"/>
      <c r="E2853" s="90" t="s">
        <v>1589</v>
      </c>
      <c r="F2853" s="9" t="s">
        <v>1591</v>
      </c>
      <c r="G2853" s="63"/>
      <c r="H2853" s="68"/>
      <c r="I2853" s="222" t="s">
        <v>1608</v>
      </c>
      <c r="J2853" s="12">
        <v>45017</v>
      </c>
      <c r="K2853" s="209"/>
      <c r="L2853" s="210"/>
      <c r="M2853" s="210" t="s">
        <v>1612</v>
      </c>
      <c r="N2853" s="231" t="s">
        <v>29</v>
      </c>
      <c r="O2853" s="210">
        <f t="shared" si="614"/>
        <v>0</v>
      </c>
      <c r="P2853" s="139"/>
      <c r="Q2853" s="139"/>
      <c r="R2853" s="139"/>
      <c r="S2853" s="75">
        <f t="shared" si="615"/>
        <v>0</v>
      </c>
      <c r="T2853" s="75">
        <f t="shared" si="616"/>
        <v>0</v>
      </c>
      <c r="U2853" s="63"/>
      <c r="V2853" s="63"/>
      <c r="W2853" s="63"/>
      <c r="X2853" s="63"/>
      <c r="Y2853" s="63"/>
      <c r="Z2853" s="63"/>
      <c r="AA2853" s="63"/>
      <c r="AB2853" s="63"/>
      <c r="AC2853" s="63"/>
      <c r="AD2853" s="63"/>
      <c r="AE2853" s="63"/>
    </row>
    <row r="2854" spans="1:31" ht="14.25" customHeight="1">
      <c r="A2854" s="277" t="s">
        <v>6774</v>
      </c>
      <c r="B2854" s="9" t="s">
        <v>21</v>
      </c>
      <c r="C2854" s="9">
        <v>2023</v>
      </c>
      <c r="D2854" s="9"/>
      <c r="E2854" s="90" t="s">
        <v>1589</v>
      </c>
      <c r="F2854" s="9" t="s">
        <v>1591</v>
      </c>
      <c r="G2854" s="63"/>
      <c r="H2854" s="68"/>
      <c r="I2854" s="222" t="s">
        <v>1608</v>
      </c>
      <c r="J2854" s="12">
        <v>45047</v>
      </c>
      <c r="K2854" s="209"/>
      <c r="L2854" s="210"/>
      <c r="M2854" s="210" t="s">
        <v>1613</v>
      </c>
      <c r="N2854" s="231" t="s">
        <v>29</v>
      </c>
      <c r="O2854" s="210">
        <f t="shared" si="614"/>
        <v>0</v>
      </c>
      <c r="P2854" s="139"/>
      <c r="Q2854" s="139"/>
      <c r="R2854" s="139"/>
      <c r="S2854" s="75">
        <f t="shared" si="615"/>
        <v>0</v>
      </c>
      <c r="T2854" s="75">
        <f t="shared" si="616"/>
        <v>0</v>
      </c>
      <c r="U2854" s="63"/>
      <c r="V2854" s="63"/>
      <c r="W2854" s="63"/>
      <c r="X2854" s="63"/>
      <c r="Y2854" s="63"/>
      <c r="Z2854" s="63"/>
      <c r="AA2854" s="63"/>
      <c r="AB2854" s="63"/>
      <c r="AC2854" s="63"/>
      <c r="AD2854" s="63"/>
      <c r="AE2854" s="63"/>
    </row>
    <row r="2855" spans="1:31" ht="14.25" customHeight="1">
      <c r="A2855" s="277" t="s">
        <v>6775</v>
      </c>
      <c r="B2855" s="9" t="s">
        <v>21</v>
      </c>
      <c r="C2855" s="9">
        <v>2023</v>
      </c>
      <c r="D2855" s="9"/>
      <c r="E2855" s="90" t="s">
        <v>1589</v>
      </c>
      <c r="F2855" s="9" t="s">
        <v>1591</v>
      </c>
      <c r="G2855" s="63"/>
      <c r="H2855" s="68"/>
      <c r="I2855" s="222" t="s">
        <v>1608</v>
      </c>
      <c r="J2855" s="12">
        <v>45078</v>
      </c>
      <c r="K2855" s="209"/>
      <c r="L2855" s="210"/>
      <c r="M2855" s="210" t="s">
        <v>1614</v>
      </c>
      <c r="N2855" s="231" t="s">
        <v>29</v>
      </c>
      <c r="O2855" s="210">
        <f t="shared" si="614"/>
        <v>0</v>
      </c>
      <c r="P2855" s="139"/>
      <c r="Q2855" s="139"/>
      <c r="R2855" s="139"/>
      <c r="S2855" s="75">
        <f t="shared" si="615"/>
        <v>0</v>
      </c>
      <c r="T2855" s="75">
        <f t="shared" si="616"/>
        <v>0</v>
      </c>
      <c r="U2855" s="63"/>
      <c r="V2855" s="63"/>
      <c r="W2855" s="63"/>
      <c r="X2855" s="63"/>
      <c r="Y2855" s="63"/>
      <c r="Z2855" s="63"/>
      <c r="AA2855" s="63"/>
      <c r="AB2855" s="63"/>
      <c r="AC2855" s="63"/>
      <c r="AD2855" s="63"/>
      <c r="AE2855" s="63"/>
    </row>
    <row r="2856" spans="1:31" ht="14.25" customHeight="1">
      <c r="A2856" s="277" t="s">
        <v>6776</v>
      </c>
      <c r="B2856" s="9" t="s">
        <v>21</v>
      </c>
      <c r="C2856" s="9">
        <v>2023</v>
      </c>
      <c r="D2856" s="9"/>
      <c r="E2856" s="90" t="s">
        <v>1589</v>
      </c>
      <c r="F2856" s="9" t="s">
        <v>1591</v>
      </c>
      <c r="G2856" s="63"/>
      <c r="H2856" s="68"/>
      <c r="I2856" s="222" t="s">
        <v>1608</v>
      </c>
      <c r="J2856" s="12">
        <v>45108</v>
      </c>
      <c r="K2856" s="209"/>
      <c r="L2856" s="210"/>
      <c r="M2856" s="210" t="s">
        <v>1615</v>
      </c>
      <c r="N2856" s="231" t="s">
        <v>29</v>
      </c>
      <c r="O2856" s="63"/>
      <c r="P2856" s="139"/>
      <c r="Q2856" s="139"/>
      <c r="R2856" s="139"/>
      <c r="S2856" s="75">
        <f t="shared" si="615"/>
        <v>0</v>
      </c>
      <c r="T2856" s="75">
        <f t="shared" si="616"/>
        <v>0</v>
      </c>
      <c r="U2856" s="63"/>
      <c r="V2856" s="63"/>
      <c r="W2856" s="63"/>
      <c r="X2856" s="63"/>
      <c r="Y2856" s="63"/>
      <c r="Z2856" s="63"/>
      <c r="AA2856" s="63"/>
      <c r="AB2856" s="63"/>
      <c r="AC2856" s="63"/>
      <c r="AD2856" s="63"/>
      <c r="AE2856" s="63"/>
    </row>
    <row r="2857" spans="1:31" ht="14.25" customHeight="1">
      <c r="A2857" s="277" t="s">
        <v>6777</v>
      </c>
      <c r="B2857" s="9" t="s">
        <v>21</v>
      </c>
      <c r="C2857" s="9">
        <v>2023</v>
      </c>
      <c r="D2857" s="9"/>
      <c r="E2857" s="90" t="s">
        <v>1589</v>
      </c>
      <c r="F2857" s="9" t="s">
        <v>1591</v>
      </c>
      <c r="G2857" s="63"/>
      <c r="H2857" s="68"/>
      <c r="I2857" s="222" t="s">
        <v>1608</v>
      </c>
      <c r="J2857" s="12">
        <v>45139</v>
      </c>
      <c r="K2857" s="209"/>
      <c r="L2857" s="210"/>
      <c r="M2857" s="210" t="s">
        <v>1616</v>
      </c>
      <c r="N2857" s="231" t="s">
        <v>29</v>
      </c>
      <c r="O2857" s="63"/>
      <c r="P2857" s="139"/>
      <c r="Q2857" s="139"/>
      <c r="R2857" s="139"/>
      <c r="S2857" s="75">
        <f t="shared" si="615"/>
        <v>0</v>
      </c>
      <c r="T2857" s="75">
        <f t="shared" si="616"/>
        <v>0</v>
      </c>
      <c r="U2857" s="63"/>
      <c r="V2857" s="63"/>
      <c r="W2857" s="63"/>
      <c r="X2857" s="63"/>
      <c r="Y2857" s="63"/>
      <c r="Z2857" s="63"/>
      <c r="AA2857" s="63"/>
      <c r="AB2857" s="63"/>
      <c r="AC2857" s="63"/>
      <c r="AD2857" s="63"/>
      <c r="AE2857" s="63"/>
    </row>
    <row r="2858" spans="1:31" ht="14.25" customHeight="1">
      <c r="A2858" s="277" t="s">
        <v>7288</v>
      </c>
      <c r="B2858" s="9" t="s">
        <v>21</v>
      </c>
      <c r="C2858" s="9">
        <v>2023</v>
      </c>
      <c r="D2858" s="9"/>
      <c r="E2858" s="90" t="s">
        <v>1589</v>
      </c>
      <c r="F2858" s="9" t="s">
        <v>1591</v>
      </c>
      <c r="G2858" s="63"/>
      <c r="H2858" s="68"/>
      <c r="I2858" s="222" t="s">
        <v>1608</v>
      </c>
      <c r="J2858" s="12">
        <v>45170</v>
      </c>
      <c r="K2858" s="209"/>
      <c r="L2858" s="210"/>
      <c r="M2858" s="210" t="s">
        <v>1617</v>
      </c>
      <c r="N2858" s="231" t="s">
        <v>29</v>
      </c>
      <c r="O2858" s="63"/>
      <c r="P2858" s="139"/>
      <c r="Q2858" s="139"/>
      <c r="R2858" s="139"/>
      <c r="S2858" s="75">
        <f t="shared" si="615"/>
        <v>0</v>
      </c>
      <c r="T2858" s="75">
        <f t="shared" si="616"/>
        <v>0</v>
      </c>
      <c r="U2858" s="63"/>
      <c r="V2858" s="63"/>
      <c r="W2858" s="63"/>
      <c r="X2858" s="63"/>
      <c r="Y2858" s="63"/>
      <c r="Z2858" s="63"/>
      <c r="AA2858" s="63"/>
      <c r="AB2858" s="63"/>
      <c r="AC2858" s="63"/>
      <c r="AD2858" s="63"/>
      <c r="AE2858" s="63"/>
    </row>
    <row r="2859" spans="1:31" ht="14.25" customHeight="1">
      <c r="A2859" s="277" t="s">
        <v>6778</v>
      </c>
      <c r="B2859" s="9" t="s">
        <v>21</v>
      </c>
      <c r="C2859" s="9">
        <v>2023</v>
      </c>
      <c r="D2859" s="9"/>
      <c r="E2859" s="90" t="s">
        <v>1589</v>
      </c>
      <c r="F2859" s="9" t="s">
        <v>1591</v>
      </c>
      <c r="G2859" s="63"/>
      <c r="H2859" s="68"/>
      <c r="I2859" s="222" t="s">
        <v>1608</v>
      </c>
      <c r="J2859" s="12">
        <v>45200</v>
      </c>
      <c r="K2859" s="209"/>
      <c r="L2859" s="210"/>
      <c r="M2859" s="210" t="s">
        <v>1618</v>
      </c>
      <c r="N2859" s="231" t="s">
        <v>29</v>
      </c>
      <c r="O2859" s="63"/>
      <c r="P2859" s="139"/>
      <c r="Q2859" s="139"/>
      <c r="R2859" s="139"/>
      <c r="S2859" s="75">
        <f t="shared" si="615"/>
        <v>0</v>
      </c>
      <c r="T2859" s="75">
        <f t="shared" si="616"/>
        <v>0</v>
      </c>
      <c r="U2859" s="63"/>
      <c r="V2859" s="63"/>
      <c r="W2859" s="63"/>
      <c r="X2859" s="63"/>
      <c r="Y2859" s="63"/>
      <c r="Z2859" s="63"/>
      <c r="AA2859" s="63"/>
      <c r="AB2859" s="63"/>
      <c r="AC2859" s="63"/>
      <c r="AD2859" s="63"/>
      <c r="AE2859" s="63"/>
    </row>
    <row r="2860" spans="1:31" ht="14.25" customHeight="1">
      <c r="A2860" s="277" t="s">
        <v>6779</v>
      </c>
      <c r="B2860" s="9" t="s">
        <v>21</v>
      </c>
      <c r="C2860" s="9">
        <v>2023</v>
      </c>
      <c r="D2860" s="9"/>
      <c r="E2860" s="90" t="s">
        <v>1589</v>
      </c>
      <c r="F2860" s="9" t="s">
        <v>1591</v>
      </c>
      <c r="G2860" s="63"/>
      <c r="H2860" s="68"/>
      <c r="I2860" s="222" t="s">
        <v>1608</v>
      </c>
      <c r="J2860" s="12">
        <v>45231</v>
      </c>
      <c r="K2860" s="209"/>
      <c r="L2860" s="210"/>
      <c r="M2860" s="210" t="s">
        <v>1619</v>
      </c>
      <c r="N2860" s="231" t="s">
        <v>29</v>
      </c>
      <c r="O2860" s="210">
        <f>L2860</f>
        <v>0</v>
      </c>
      <c r="P2860" s="139"/>
      <c r="Q2860" s="139"/>
      <c r="R2860" s="139"/>
      <c r="S2860" s="75">
        <f t="shared" si="615"/>
        <v>0</v>
      </c>
      <c r="T2860" s="75">
        <f t="shared" si="616"/>
        <v>0</v>
      </c>
      <c r="U2860" s="63"/>
      <c r="V2860" s="63"/>
      <c r="W2860" s="63"/>
      <c r="X2860" s="63"/>
      <c r="Y2860" s="63"/>
      <c r="Z2860" s="63"/>
      <c r="AA2860" s="63"/>
      <c r="AB2860" s="63"/>
      <c r="AC2860" s="63"/>
      <c r="AD2860" s="63"/>
      <c r="AE2860" s="63"/>
    </row>
    <row r="2861" spans="1:31" ht="14.25" customHeight="1">
      <c r="A2861" s="277" t="s">
        <v>6780</v>
      </c>
      <c r="B2861" s="9" t="s">
        <v>21</v>
      </c>
      <c r="C2861" s="9">
        <v>2023</v>
      </c>
      <c r="D2861" s="9"/>
      <c r="E2861" s="90" t="s">
        <v>1589</v>
      </c>
      <c r="F2861" s="9" t="s">
        <v>1591</v>
      </c>
      <c r="G2861" s="63"/>
      <c r="H2861" s="68"/>
      <c r="I2861" s="222" t="s">
        <v>1608</v>
      </c>
      <c r="J2861" s="12">
        <v>45261</v>
      </c>
      <c r="K2861" s="209"/>
      <c r="L2861" s="210"/>
      <c r="M2861" s="210" t="s">
        <v>1620</v>
      </c>
      <c r="N2861" s="231" t="s">
        <v>29</v>
      </c>
      <c r="O2861" s="210">
        <f>L2861</f>
        <v>0</v>
      </c>
      <c r="P2861" s="139"/>
      <c r="Q2861" s="139"/>
      <c r="R2861" s="139"/>
      <c r="S2861" s="75">
        <f t="shared" si="615"/>
        <v>0</v>
      </c>
      <c r="T2861" s="75">
        <f t="shared" si="616"/>
        <v>0</v>
      </c>
      <c r="U2861" s="63"/>
      <c r="V2861" s="63"/>
      <c r="W2861" s="63"/>
      <c r="X2861" s="63"/>
      <c r="Y2861" s="63"/>
      <c r="Z2861" s="63"/>
      <c r="AA2861" s="63"/>
      <c r="AB2861" s="63"/>
      <c r="AC2861" s="63"/>
      <c r="AD2861" s="63"/>
      <c r="AE2861" s="63"/>
    </row>
    <row r="2862" spans="1:31" ht="14.25" customHeight="1">
      <c r="A2862" s="277" t="s">
        <v>6781</v>
      </c>
      <c r="B2862" s="9" t="s">
        <v>21</v>
      </c>
      <c r="C2862" s="9"/>
      <c r="D2862" s="9"/>
      <c r="E2862" s="90"/>
      <c r="F2862" s="9"/>
      <c r="G2862" s="63"/>
      <c r="H2862" s="68"/>
      <c r="I2862" s="63"/>
      <c r="J2862" s="209"/>
      <c r="K2862" s="209"/>
      <c r="L2862" s="210"/>
      <c r="M2862" s="210"/>
      <c r="N2862" s="202">
        <f ca="1">$J$3-J2862</f>
        <v>46240.46377638889</v>
      </c>
      <c r="O2862" s="63"/>
      <c r="P2862" s="139"/>
      <c r="Q2862" s="139"/>
      <c r="R2862" s="139"/>
      <c r="S2862" s="75">
        <f t="shared" si="615"/>
        <v>0</v>
      </c>
      <c r="T2862" s="75">
        <f t="shared" si="616"/>
        <v>0</v>
      </c>
      <c r="U2862" s="63"/>
      <c r="V2862" s="63"/>
      <c r="W2862" s="63"/>
      <c r="X2862" s="63"/>
      <c r="Y2862" s="63"/>
      <c r="Z2862" s="63"/>
      <c r="AA2862" s="63"/>
      <c r="AB2862" s="63"/>
      <c r="AC2862" s="63"/>
      <c r="AD2862" s="63"/>
      <c r="AE2862" s="63"/>
    </row>
    <row r="2863" spans="1:31" ht="14.25" customHeight="1">
      <c r="A2863" s="277" t="s">
        <v>6782</v>
      </c>
      <c r="B2863" s="9" t="s">
        <v>21</v>
      </c>
      <c r="C2863" s="9"/>
      <c r="D2863" s="9"/>
      <c r="E2863" s="90"/>
      <c r="F2863" s="9"/>
      <c r="G2863" s="63"/>
      <c r="H2863" s="63"/>
      <c r="I2863" s="63"/>
      <c r="J2863" s="209"/>
      <c r="K2863" s="209"/>
      <c r="L2863" s="210"/>
      <c r="M2863" s="210"/>
      <c r="N2863" s="63"/>
      <c r="O2863" s="63"/>
      <c r="P2863" s="139"/>
      <c r="Q2863" s="139"/>
      <c r="R2863" s="139"/>
      <c r="S2863" s="216"/>
      <c r="T2863" s="216"/>
      <c r="U2863" s="63"/>
      <c r="V2863" s="63"/>
      <c r="W2863" s="63"/>
      <c r="X2863" s="63"/>
      <c r="Y2863" s="63"/>
      <c r="Z2863" s="63"/>
      <c r="AA2863" s="63"/>
      <c r="AB2863" s="63"/>
      <c r="AC2863" s="63"/>
      <c r="AD2863" s="63"/>
      <c r="AE2863" s="63"/>
    </row>
    <row r="2864" spans="1:31" ht="14.25" customHeight="1">
      <c r="A2864" s="277" t="s">
        <v>6783</v>
      </c>
      <c r="B2864" s="9" t="s">
        <v>21</v>
      </c>
      <c r="C2864" s="9"/>
      <c r="D2864" s="9"/>
      <c r="E2864" s="90"/>
      <c r="F2864" s="9"/>
      <c r="G2864" s="63"/>
      <c r="H2864" s="68"/>
      <c r="I2864" s="63"/>
      <c r="J2864" s="209"/>
      <c r="K2864" s="209"/>
      <c r="L2864" s="73"/>
      <c r="M2864" s="210"/>
      <c r="N2864" s="68"/>
      <c r="O2864" s="63"/>
      <c r="P2864" s="139"/>
      <c r="Q2864" s="139"/>
      <c r="R2864" s="139"/>
      <c r="S2864" s="216"/>
      <c r="T2864" s="216"/>
      <c r="U2864" s="63"/>
      <c r="V2864" s="63"/>
      <c r="W2864" s="63"/>
      <c r="X2864" s="63"/>
      <c r="Y2864" s="63"/>
      <c r="Z2864" s="63"/>
      <c r="AA2864" s="63"/>
      <c r="AB2864" s="63"/>
      <c r="AC2864" s="63"/>
      <c r="AD2864" s="63"/>
      <c r="AE2864" s="63"/>
    </row>
    <row r="2865" spans="1:31" ht="14.25" customHeight="1">
      <c r="A2865" s="277" t="s">
        <v>6784</v>
      </c>
      <c r="B2865" s="9" t="s">
        <v>21</v>
      </c>
      <c r="C2865" s="9"/>
      <c r="D2865" s="9"/>
      <c r="E2865" s="90"/>
      <c r="F2865" s="9"/>
      <c r="G2865" s="205" t="s">
        <v>22</v>
      </c>
      <c r="H2865" s="206" t="s">
        <v>1621</v>
      </c>
      <c r="I2865" s="211"/>
      <c r="J2865" s="212"/>
      <c r="K2865" s="212"/>
      <c r="L2865" s="213">
        <f>L2867+L2882+L2897</f>
        <v>168921181</v>
      </c>
      <c r="M2865" s="214"/>
      <c r="N2865" s="211"/>
      <c r="O2865" s="211"/>
      <c r="P2865" s="215"/>
      <c r="Q2865" s="215"/>
      <c r="R2865" s="215"/>
      <c r="S2865" s="213">
        <f>S2867+S2882+S2897</f>
        <v>0</v>
      </c>
      <c r="T2865" s="213">
        <f>T2867+T2882+T2897</f>
        <v>168921181</v>
      </c>
      <c r="U2865" s="63"/>
      <c r="V2865" s="52">
        <f>L2865-S2865</f>
        <v>168921181</v>
      </c>
      <c r="W2865" s="52">
        <f>T2865-V2865</f>
        <v>0</v>
      </c>
      <c r="X2865" s="63"/>
      <c r="Y2865" s="63"/>
      <c r="Z2865" s="63"/>
      <c r="AA2865" s="63"/>
      <c r="AB2865" s="63"/>
      <c r="AC2865" s="63"/>
      <c r="AD2865" s="63"/>
      <c r="AE2865" s="63"/>
    </row>
    <row r="2866" spans="1:31" ht="14.25" customHeight="1">
      <c r="A2866" s="277" t="s">
        <v>6785</v>
      </c>
      <c r="B2866" s="9" t="s">
        <v>21</v>
      </c>
      <c r="C2866" s="9"/>
      <c r="D2866" s="9"/>
      <c r="E2866" s="90"/>
      <c r="F2866" s="9"/>
      <c r="G2866" s="68"/>
      <c r="H2866" s="63"/>
      <c r="I2866" s="63"/>
      <c r="J2866" s="209"/>
      <c r="K2866" s="209"/>
      <c r="L2866" s="216"/>
      <c r="M2866" s="210"/>
      <c r="N2866" s="63"/>
      <c r="O2866" s="63"/>
      <c r="P2866" s="63"/>
      <c r="Q2866" s="63"/>
      <c r="R2866" s="63"/>
      <c r="S2866" s="216"/>
      <c r="T2866" s="216"/>
      <c r="U2866" s="63"/>
      <c r="V2866" s="63"/>
      <c r="W2866" s="63"/>
      <c r="X2866" s="63"/>
      <c r="Y2866" s="63"/>
      <c r="Z2866" s="63"/>
      <c r="AA2866" s="63"/>
      <c r="AB2866" s="63"/>
      <c r="AC2866" s="63"/>
      <c r="AD2866" s="63"/>
      <c r="AE2866" s="63"/>
    </row>
    <row r="2867" spans="1:31" ht="14.25" customHeight="1">
      <c r="A2867" s="277" t="s">
        <v>6786</v>
      </c>
      <c r="B2867" s="9" t="s">
        <v>21</v>
      </c>
      <c r="C2867" s="9"/>
      <c r="D2867" s="9"/>
      <c r="E2867" s="90"/>
      <c r="F2867" s="9"/>
      <c r="G2867" s="207" t="s">
        <v>24</v>
      </c>
      <c r="H2867" s="208" t="s">
        <v>1622</v>
      </c>
      <c r="I2867" s="217"/>
      <c r="J2867" s="218"/>
      <c r="K2867" s="218"/>
      <c r="L2867" s="219">
        <f>SUM(L2868:L2880)</f>
        <v>0</v>
      </c>
      <c r="M2867" s="220"/>
      <c r="N2867" s="221" t="s">
        <v>26</v>
      </c>
      <c r="O2867" s="221"/>
      <c r="P2867" s="221"/>
      <c r="Q2867" s="221"/>
      <c r="R2867" s="221"/>
      <c r="S2867" s="219">
        <f>SUM(S2868:S2880)</f>
        <v>0</v>
      </c>
      <c r="T2867" s="219">
        <f>SUM(T2868:T2880)</f>
        <v>0</v>
      </c>
      <c r="U2867" s="63"/>
      <c r="V2867" s="52">
        <f>L2867-S2867</f>
        <v>0</v>
      </c>
      <c r="W2867" s="52">
        <f>T2867-V2867</f>
        <v>0</v>
      </c>
      <c r="X2867" s="63"/>
      <c r="Y2867" s="63"/>
      <c r="Z2867" s="63"/>
      <c r="AA2867" s="63"/>
      <c r="AB2867" s="63"/>
      <c r="AC2867" s="63"/>
      <c r="AD2867" s="63"/>
      <c r="AE2867" s="63"/>
    </row>
    <row r="2868" spans="1:31" ht="14.25" customHeight="1">
      <c r="A2868" s="277" t="s">
        <v>6787</v>
      </c>
      <c r="B2868" s="9" t="s">
        <v>21</v>
      </c>
      <c r="C2868" s="9">
        <v>2023</v>
      </c>
      <c r="D2868" s="9"/>
      <c r="E2868" s="90" t="s">
        <v>1621</v>
      </c>
      <c r="F2868" s="9" t="s">
        <v>1623</v>
      </c>
      <c r="G2868" s="63"/>
      <c r="H2868" s="68"/>
      <c r="I2868" s="222" t="s">
        <v>1624</v>
      </c>
      <c r="J2868" s="12">
        <v>44927</v>
      </c>
      <c r="K2868" s="209"/>
      <c r="L2868" s="210"/>
      <c r="M2868" s="210" t="s">
        <v>1625</v>
      </c>
      <c r="N2868" s="231" t="s">
        <v>29</v>
      </c>
      <c r="O2868" s="210">
        <f t="shared" ref="O2868:O2873" si="617">L2868</f>
        <v>0</v>
      </c>
      <c r="P2868" s="139"/>
      <c r="Q2868" s="139"/>
      <c r="R2868" s="139"/>
      <c r="S2868" s="75">
        <f t="shared" ref="S2868:S2880" si="618">IF(R2868="",0,L2868)</f>
        <v>0</v>
      </c>
      <c r="T2868" s="75">
        <f t="shared" ref="T2868:T2880" si="619">L2868-S2868</f>
        <v>0</v>
      </c>
      <c r="U2868" s="63"/>
      <c r="V2868" s="63"/>
      <c r="W2868" s="63"/>
      <c r="X2868" s="63"/>
      <c r="Y2868" s="63"/>
      <c r="Z2868" s="63"/>
      <c r="AA2868" s="63"/>
      <c r="AB2868" s="63"/>
      <c r="AC2868" s="63"/>
      <c r="AD2868" s="63"/>
      <c r="AE2868" s="63"/>
    </row>
    <row r="2869" spans="1:31" ht="14.25" customHeight="1">
      <c r="A2869" s="277" t="s">
        <v>6788</v>
      </c>
      <c r="B2869" s="9" t="s">
        <v>21</v>
      </c>
      <c r="C2869" s="9">
        <v>2023</v>
      </c>
      <c r="D2869" s="9"/>
      <c r="E2869" s="90" t="s">
        <v>1621</v>
      </c>
      <c r="F2869" s="9" t="s">
        <v>1623</v>
      </c>
      <c r="G2869" s="63"/>
      <c r="H2869" s="68"/>
      <c r="I2869" s="222" t="s">
        <v>1624</v>
      </c>
      <c r="J2869" s="12">
        <v>44958</v>
      </c>
      <c r="K2869" s="209"/>
      <c r="L2869" s="210"/>
      <c r="M2869" s="210" t="s">
        <v>1626</v>
      </c>
      <c r="N2869" s="231" t="s">
        <v>29</v>
      </c>
      <c r="O2869" s="210">
        <f t="shared" si="617"/>
        <v>0</v>
      </c>
      <c r="P2869" s="139"/>
      <c r="Q2869" s="139"/>
      <c r="R2869" s="139"/>
      <c r="S2869" s="75">
        <f t="shared" si="618"/>
        <v>0</v>
      </c>
      <c r="T2869" s="75">
        <f t="shared" si="619"/>
        <v>0</v>
      </c>
      <c r="U2869" s="63"/>
      <c r="V2869" s="63"/>
      <c r="W2869" s="63"/>
      <c r="X2869" s="63"/>
      <c r="Y2869" s="63"/>
      <c r="Z2869" s="63"/>
      <c r="AA2869" s="63"/>
      <c r="AB2869" s="63"/>
      <c r="AC2869" s="63"/>
      <c r="AD2869" s="63"/>
      <c r="AE2869" s="63"/>
    </row>
    <row r="2870" spans="1:31" ht="14.25" customHeight="1">
      <c r="A2870" s="277" t="s">
        <v>6789</v>
      </c>
      <c r="B2870" s="9" t="s">
        <v>21</v>
      </c>
      <c r="C2870" s="9">
        <v>2023</v>
      </c>
      <c r="D2870" s="9"/>
      <c r="E2870" s="90" t="s">
        <v>1621</v>
      </c>
      <c r="F2870" s="9" t="s">
        <v>1623</v>
      </c>
      <c r="G2870" s="63"/>
      <c r="H2870" s="68"/>
      <c r="I2870" s="222" t="s">
        <v>1624</v>
      </c>
      <c r="J2870" s="12">
        <v>44986</v>
      </c>
      <c r="K2870" s="209"/>
      <c r="L2870" s="210"/>
      <c r="M2870" s="210" t="s">
        <v>1627</v>
      </c>
      <c r="N2870" s="231" t="s">
        <v>29</v>
      </c>
      <c r="O2870" s="210">
        <f t="shared" si="617"/>
        <v>0</v>
      </c>
      <c r="P2870" s="139"/>
      <c r="Q2870" s="139"/>
      <c r="R2870" s="139"/>
      <c r="S2870" s="75">
        <f t="shared" si="618"/>
        <v>0</v>
      </c>
      <c r="T2870" s="75">
        <f t="shared" si="619"/>
        <v>0</v>
      </c>
      <c r="U2870" s="63"/>
      <c r="V2870" s="63"/>
      <c r="W2870" s="63"/>
      <c r="X2870" s="63"/>
      <c r="Y2870" s="63"/>
      <c r="Z2870" s="63"/>
      <c r="AA2870" s="63"/>
      <c r="AB2870" s="63"/>
      <c r="AC2870" s="63"/>
      <c r="AD2870" s="63"/>
      <c r="AE2870" s="63"/>
    </row>
    <row r="2871" spans="1:31" ht="14.25" customHeight="1">
      <c r="A2871" s="277" t="s">
        <v>6790</v>
      </c>
      <c r="B2871" s="9" t="s">
        <v>21</v>
      </c>
      <c r="C2871" s="9">
        <v>2023</v>
      </c>
      <c r="D2871" s="9"/>
      <c r="E2871" s="90" t="s">
        <v>1621</v>
      </c>
      <c r="F2871" s="9" t="s">
        <v>1623</v>
      </c>
      <c r="G2871" s="63"/>
      <c r="H2871" s="68"/>
      <c r="I2871" s="222" t="s">
        <v>1624</v>
      </c>
      <c r="J2871" s="12">
        <v>45017</v>
      </c>
      <c r="K2871" s="209"/>
      <c r="L2871" s="210"/>
      <c r="M2871" s="210" t="s">
        <v>1628</v>
      </c>
      <c r="N2871" s="231" t="s">
        <v>29</v>
      </c>
      <c r="O2871" s="210">
        <f t="shared" si="617"/>
        <v>0</v>
      </c>
      <c r="P2871" s="139"/>
      <c r="Q2871" s="139"/>
      <c r="R2871" s="139"/>
      <c r="S2871" s="75">
        <f t="shared" si="618"/>
        <v>0</v>
      </c>
      <c r="T2871" s="75">
        <f t="shared" si="619"/>
        <v>0</v>
      </c>
      <c r="U2871" s="63"/>
      <c r="V2871" s="63"/>
      <c r="W2871" s="63"/>
      <c r="X2871" s="63"/>
      <c r="Y2871" s="63"/>
      <c r="Z2871" s="63"/>
      <c r="AA2871" s="63"/>
      <c r="AB2871" s="63"/>
      <c r="AC2871" s="63"/>
      <c r="AD2871" s="63"/>
      <c r="AE2871" s="63"/>
    </row>
    <row r="2872" spans="1:31" ht="14.25" customHeight="1">
      <c r="A2872" s="277" t="s">
        <v>6791</v>
      </c>
      <c r="B2872" s="9" t="s">
        <v>21</v>
      </c>
      <c r="C2872" s="9">
        <v>2023</v>
      </c>
      <c r="D2872" s="9"/>
      <c r="E2872" s="90" t="s">
        <v>1621</v>
      </c>
      <c r="F2872" s="9" t="s">
        <v>1623</v>
      </c>
      <c r="G2872" s="63"/>
      <c r="H2872" s="68"/>
      <c r="I2872" s="222" t="s">
        <v>1624</v>
      </c>
      <c r="J2872" s="12">
        <v>45047</v>
      </c>
      <c r="K2872" s="209"/>
      <c r="L2872" s="210"/>
      <c r="M2872" s="210" t="s">
        <v>1629</v>
      </c>
      <c r="N2872" s="231" t="s">
        <v>29</v>
      </c>
      <c r="O2872" s="210">
        <f t="shared" si="617"/>
        <v>0</v>
      </c>
      <c r="P2872" s="139"/>
      <c r="Q2872" s="139"/>
      <c r="R2872" s="139"/>
      <c r="S2872" s="75">
        <f t="shared" si="618"/>
        <v>0</v>
      </c>
      <c r="T2872" s="75">
        <f t="shared" si="619"/>
        <v>0</v>
      </c>
      <c r="U2872" s="63"/>
      <c r="V2872" s="63"/>
      <c r="W2872" s="63"/>
      <c r="X2872" s="63"/>
      <c r="Y2872" s="63"/>
      <c r="Z2872" s="63"/>
      <c r="AA2872" s="63"/>
      <c r="AB2872" s="63"/>
      <c r="AC2872" s="63"/>
      <c r="AD2872" s="63"/>
      <c r="AE2872" s="63"/>
    </row>
    <row r="2873" spans="1:31" ht="14.25" customHeight="1">
      <c r="A2873" s="277" t="s">
        <v>6792</v>
      </c>
      <c r="B2873" s="9" t="s">
        <v>21</v>
      </c>
      <c r="C2873" s="9">
        <v>2023</v>
      </c>
      <c r="D2873" s="9"/>
      <c r="E2873" s="90" t="s">
        <v>1621</v>
      </c>
      <c r="F2873" s="9" t="s">
        <v>1623</v>
      </c>
      <c r="G2873" s="63"/>
      <c r="H2873" s="68"/>
      <c r="I2873" s="222" t="s">
        <v>1624</v>
      </c>
      <c r="J2873" s="12">
        <v>45078</v>
      </c>
      <c r="K2873" s="209"/>
      <c r="L2873" s="210"/>
      <c r="M2873" s="210" t="s">
        <v>1630</v>
      </c>
      <c r="N2873" s="231" t="s">
        <v>29</v>
      </c>
      <c r="O2873" s="210">
        <f t="shared" si="617"/>
        <v>0</v>
      </c>
      <c r="P2873" s="139"/>
      <c r="Q2873" s="139"/>
      <c r="R2873" s="139"/>
      <c r="S2873" s="75">
        <f t="shared" si="618"/>
        <v>0</v>
      </c>
      <c r="T2873" s="75">
        <f t="shared" si="619"/>
        <v>0</v>
      </c>
      <c r="U2873" s="63"/>
      <c r="V2873" s="63"/>
      <c r="W2873" s="63"/>
      <c r="X2873" s="63"/>
      <c r="Y2873" s="63"/>
      <c r="Z2873" s="63"/>
      <c r="AA2873" s="63"/>
      <c r="AB2873" s="63"/>
      <c r="AC2873" s="63"/>
      <c r="AD2873" s="63"/>
      <c r="AE2873" s="63"/>
    </row>
    <row r="2874" spans="1:31" ht="14.25" customHeight="1">
      <c r="A2874" s="277" t="s">
        <v>6793</v>
      </c>
      <c r="B2874" s="9" t="s">
        <v>21</v>
      </c>
      <c r="C2874" s="9">
        <v>2023</v>
      </c>
      <c r="D2874" s="9"/>
      <c r="E2874" s="90" t="s">
        <v>1621</v>
      </c>
      <c r="F2874" s="9" t="s">
        <v>1623</v>
      </c>
      <c r="G2874" s="63"/>
      <c r="H2874" s="68"/>
      <c r="I2874" s="222" t="s">
        <v>1624</v>
      </c>
      <c r="J2874" s="12">
        <v>45108</v>
      </c>
      <c r="K2874" s="209"/>
      <c r="L2874" s="210"/>
      <c r="M2874" s="210" t="s">
        <v>1631</v>
      </c>
      <c r="N2874" s="231" t="s">
        <v>29</v>
      </c>
      <c r="O2874" s="63"/>
      <c r="P2874" s="139"/>
      <c r="Q2874" s="139"/>
      <c r="R2874" s="139"/>
      <c r="S2874" s="75">
        <f t="shared" si="618"/>
        <v>0</v>
      </c>
      <c r="T2874" s="75">
        <f t="shared" si="619"/>
        <v>0</v>
      </c>
      <c r="U2874" s="63"/>
      <c r="V2874" s="63"/>
      <c r="W2874" s="63"/>
      <c r="X2874" s="63"/>
      <c r="Y2874" s="63"/>
      <c r="Z2874" s="63"/>
      <c r="AA2874" s="63"/>
      <c r="AB2874" s="63"/>
      <c r="AC2874" s="63"/>
      <c r="AD2874" s="63"/>
      <c r="AE2874" s="63"/>
    </row>
    <row r="2875" spans="1:31" ht="14.25" customHeight="1">
      <c r="A2875" s="277" t="s">
        <v>6794</v>
      </c>
      <c r="B2875" s="9" t="s">
        <v>21</v>
      </c>
      <c r="C2875" s="9">
        <v>2023</v>
      </c>
      <c r="D2875" s="9"/>
      <c r="E2875" s="90" t="s">
        <v>1621</v>
      </c>
      <c r="F2875" s="9" t="s">
        <v>1623</v>
      </c>
      <c r="G2875" s="63"/>
      <c r="H2875" s="68"/>
      <c r="I2875" s="222" t="s">
        <v>1624</v>
      </c>
      <c r="J2875" s="12">
        <v>45139</v>
      </c>
      <c r="K2875" s="209"/>
      <c r="L2875" s="210"/>
      <c r="M2875" s="210" t="s">
        <v>1632</v>
      </c>
      <c r="N2875" s="231" t="s">
        <v>29</v>
      </c>
      <c r="O2875" s="63"/>
      <c r="P2875" s="139"/>
      <c r="Q2875" s="139"/>
      <c r="R2875" s="139"/>
      <c r="S2875" s="75">
        <f t="shared" si="618"/>
        <v>0</v>
      </c>
      <c r="T2875" s="75">
        <f t="shared" si="619"/>
        <v>0</v>
      </c>
      <c r="U2875" s="63"/>
      <c r="V2875" s="63"/>
      <c r="W2875" s="63"/>
      <c r="X2875" s="63"/>
      <c r="Y2875" s="63"/>
      <c r="Z2875" s="63"/>
      <c r="AA2875" s="63"/>
      <c r="AB2875" s="63"/>
      <c r="AC2875" s="63"/>
      <c r="AD2875" s="63"/>
      <c r="AE2875" s="63"/>
    </row>
    <row r="2876" spans="1:31" ht="14.25" customHeight="1">
      <c r="A2876" s="277" t="s">
        <v>6795</v>
      </c>
      <c r="B2876" s="9" t="s">
        <v>21</v>
      </c>
      <c r="C2876" s="9">
        <v>2023</v>
      </c>
      <c r="D2876" s="9"/>
      <c r="E2876" s="90" t="s">
        <v>1621</v>
      </c>
      <c r="F2876" s="9" t="s">
        <v>1623</v>
      </c>
      <c r="G2876" s="63"/>
      <c r="H2876" s="68"/>
      <c r="I2876" s="222" t="s">
        <v>1624</v>
      </c>
      <c r="J2876" s="12">
        <v>45170</v>
      </c>
      <c r="K2876" s="209"/>
      <c r="L2876" s="210"/>
      <c r="M2876" s="210" t="s">
        <v>1633</v>
      </c>
      <c r="N2876" s="231" t="s">
        <v>29</v>
      </c>
      <c r="O2876" s="63"/>
      <c r="P2876" s="139"/>
      <c r="Q2876" s="139"/>
      <c r="R2876" s="139"/>
      <c r="S2876" s="75">
        <f t="shared" si="618"/>
        <v>0</v>
      </c>
      <c r="T2876" s="75">
        <f t="shared" si="619"/>
        <v>0</v>
      </c>
      <c r="U2876" s="63"/>
      <c r="V2876" s="63"/>
      <c r="W2876" s="63"/>
      <c r="X2876" s="63"/>
      <c r="Y2876" s="63"/>
      <c r="Z2876" s="63"/>
      <c r="AA2876" s="63"/>
      <c r="AB2876" s="63"/>
      <c r="AC2876" s="63"/>
      <c r="AD2876" s="63"/>
      <c r="AE2876" s="63"/>
    </row>
    <row r="2877" spans="1:31" ht="14.25" customHeight="1">
      <c r="A2877" s="277" t="s">
        <v>6796</v>
      </c>
      <c r="B2877" s="9" t="s">
        <v>21</v>
      </c>
      <c r="C2877" s="9">
        <v>2023</v>
      </c>
      <c r="D2877" s="9"/>
      <c r="E2877" s="90" t="s">
        <v>1621</v>
      </c>
      <c r="F2877" s="9" t="s">
        <v>1623</v>
      </c>
      <c r="G2877" s="63"/>
      <c r="H2877" s="68"/>
      <c r="I2877" s="222" t="s">
        <v>1624</v>
      </c>
      <c r="J2877" s="12">
        <v>45200</v>
      </c>
      <c r="K2877" s="209"/>
      <c r="L2877" s="210"/>
      <c r="M2877" s="210" t="s">
        <v>1634</v>
      </c>
      <c r="N2877" s="231" t="s">
        <v>29</v>
      </c>
      <c r="O2877" s="63"/>
      <c r="P2877" s="139"/>
      <c r="Q2877" s="139"/>
      <c r="R2877" s="139"/>
      <c r="S2877" s="75">
        <f t="shared" si="618"/>
        <v>0</v>
      </c>
      <c r="T2877" s="75">
        <f t="shared" si="619"/>
        <v>0</v>
      </c>
      <c r="U2877" s="63"/>
      <c r="V2877" s="63"/>
      <c r="W2877" s="63"/>
      <c r="X2877" s="63"/>
      <c r="Y2877" s="63"/>
      <c r="Z2877" s="63"/>
      <c r="AA2877" s="63"/>
      <c r="AB2877" s="63"/>
      <c r="AC2877" s="63"/>
      <c r="AD2877" s="63"/>
      <c r="AE2877" s="63"/>
    </row>
    <row r="2878" spans="1:31" ht="14.25" customHeight="1">
      <c r="A2878" s="277" t="s">
        <v>7289</v>
      </c>
      <c r="B2878" s="9" t="s">
        <v>21</v>
      </c>
      <c r="C2878" s="9">
        <v>2023</v>
      </c>
      <c r="D2878" s="9"/>
      <c r="E2878" s="90" t="s">
        <v>1621</v>
      </c>
      <c r="F2878" s="9" t="s">
        <v>1623</v>
      </c>
      <c r="G2878" s="63"/>
      <c r="H2878" s="68"/>
      <c r="I2878" s="222" t="s">
        <v>1624</v>
      </c>
      <c r="J2878" s="12">
        <v>45231</v>
      </c>
      <c r="K2878" s="209"/>
      <c r="L2878" s="210"/>
      <c r="M2878" s="210" t="s">
        <v>1635</v>
      </c>
      <c r="N2878" s="231" t="s">
        <v>29</v>
      </c>
      <c r="O2878" s="210">
        <f>L2878</f>
        <v>0</v>
      </c>
      <c r="P2878" s="139"/>
      <c r="Q2878" s="139"/>
      <c r="R2878" s="139"/>
      <c r="S2878" s="75">
        <f t="shared" si="618"/>
        <v>0</v>
      </c>
      <c r="T2878" s="75">
        <f t="shared" si="619"/>
        <v>0</v>
      </c>
      <c r="U2878" s="63"/>
      <c r="V2878" s="63"/>
      <c r="W2878" s="63"/>
      <c r="X2878" s="63"/>
      <c r="Y2878" s="63"/>
      <c r="Z2878" s="63"/>
      <c r="AA2878" s="63"/>
      <c r="AB2878" s="63"/>
      <c r="AC2878" s="63"/>
      <c r="AD2878" s="63"/>
      <c r="AE2878" s="63"/>
    </row>
    <row r="2879" spans="1:31" ht="14.25" customHeight="1">
      <c r="A2879" s="277" t="s">
        <v>7290</v>
      </c>
      <c r="B2879" s="9" t="s">
        <v>21</v>
      </c>
      <c r="C2879" s="9">
        <v>2023</v>
      </c>
      <c r="D2879" s="9"/>
      <c r="E2879" s="90" t="s">
        <v>1621</v>
      </c>
      <c r="F2879" s="9" t="s">
        <v>1623</v>
      </c>
      <c r="G2879" s="63"/>
      <c r="H2879" s="68"/>
      <c r="I2879" s="222" t="s">
        <v>1624</v>
      </c>
      <c r="J2879" s="12">
        <v>45261</v>
      </c>
      <c r="K2879" s="209"/>
      <c r="L2879" s="210"/>
      <c r="M2879" s="210" t="s">
        <v>1636</v>
      </c>
      <c r="N2879" s="231" t="s">
        <v>29</v>
      </c>
      <c r="O2879" s="210">
        <f>L2879</f>
        <v>0</v>
      </c>
      <c r="P2879" s="139"/>
      <c r="Q2879" s="139"/>
      <c r="R2879" s="139"/>
      <c r="S2879" s="75">
        <f t="shared" si="618"/>
        <v>0</v>
      </c>
      <c r="T2879" s="75">
        <f t="shared" si="619"/>
        <v>0</v>
      </c>
      <c r="U2879" s="63"/>
      <c r="V2879" s="63"/>
      <c r="W2879" s="63"/>
      <c r="X2879" s="63"/>
      <c r="Y2879" s="63"/>
      <c r="Z2879" s="63"/>
      <c r="AA2879" s="63"/>
      <c r="AB2879" s="63"/>
      <c r="AC2879" s="63"/>
      <c r="AD2879" s="63"/>
      <c r="AE2879" s="63"/>
    </row>
    <row r="2880" spans="1:31" ht="14.25" customHeight="1">
      <c r="A2880" s="277" t="s">
        <v>7291</v>
      </c>
      <c r="B2880" s="9" t="s">
        <v>21</v>
      </c>
      <c r="C2880" s="9"/>
      <c r="D2880" s="9"/>
      <c r="E2880" s="90"/>
      <c r="F2880" s="9"/>
      <c r="G2880" s="63"/>
      <c r="H2880" s="68"/>
      <c r="I2880" s="63"/>
      <c r="J2880" s="209"/>
      <c r="K2880" s="209"/>
      <c r="L2880" s="210"/>
      <c r="M2880" s="210"/>
      <c r="N2880" s="202">
        <f ca="1">$J$3-J2880</f>
        <v>46240.46377638889</v>
      </c>
      <c r="O2880" s="63"/>
      <c r="P2880" s="139"/>
      <c r="Q2880" s="139"/>
      <c r="R2880" s="139"/>
      <c r="S2880" s="75">
        <f t="shared" si="618"/>
        <v>0</v>
      </c>
      <c r="T2880" s="75">
        <f t="shared" si="619"/>
        <v>0</v>
      </c>
      <c r="U2880" s="63"/>
      <c r="V2880" s="63"/>
      <c r="W2880" s="63"/>
      <c r="X2880" s="63"/>
      <c r="Y2880" s="63"/>
      <c r="Z2880" s="63"/>
      <c r="AA2880" s="63"/>
      <c r="AB2880" s="63"/>
      <c r="AC2880" s="63"/>
      <c r="AD2880" s="63"/>
      <c r="AE2880" s="63"/>
    </row>
    <row r="2881" spans="1:31" ht="14.25" customHeight="1">
      <c r="A2881" s="277" t="s">
        <v>6797</v>
      </c>
      <c r="B2881" s="9" t="s">
        <v>21</v>
      </c>
      <c r="C2881" s="9"/>
      <c r="D2881" s="9"/>
      <c r="E2881" s="90"/>
      <c r="F2881" s="9"/>
      <c r="G2881" s="68"/>
      <c r="H2881" s="63"/>
      <c r="I2881" s="63"/>
      <c r="J2881" s="209"/>
      <c r="K2881" s="209"/>
      <c r="L2881" s="216"/>
      <c r="M2881" s="210"/>
      <c r="N2881" s="63"/>
      <c r="O2881" s="63"/>
      <c r="P2881" s="63"/>
      <c r="Q2881" s="63"/>
      <c r="R2881" s="63"/>
      <c r="S2881" s="216"/>
      <c r="T2881" s="216"/>
      <c r="U2881" s="63"/>
      <c r="V2881" s="63"/>
      <c r="W2881" s="63"/>
      <c r="X2881" s="63"/>
      <c r="Y2881" s="63"/>
      <c r="Z2881" s="63"/>
      <c r="AA2881" s="63"/>
      <c r="AB2881" s="63"/>
      <c r="AC2881" s="63"/>
      <c r="AD2881" s="63"/>
      <c r="AE2881" s="63"/>
    </row>
    <row r="2882" spans="1:31" ht="14.25" customHeight="1">
      <c r="A2882" s="277" t="s">
        <v>6798</v>
      </c>
      <c r="B2882" s="9" t="s">
        <v>21</v>
      </c>
      <c r="C2882" s="9"/>
      <c r="D2882" s="9"/>
      <c r="E2882" s="90"/>
      <c r="F2882" s="9"/>
      <c r="G2882" s="207" t="s">
        <v>24</v>
      </c>
      <c r="H2882" s="208" t="s">
        <v>1637</v>
      </c>
      <c r="I2882" s="217"/>
      <c r="J2882" s="218"/>
      <c r="K2882" s="218"/>
      <c r="L2882" s="219">
        <f>SUM(L2883:L2895)</f>
        <v>0</v>
      </c>
      <c r="M2882" s="220"/>
      <c r="N2882" s="221" t="s">
        <v>26</v>
      </c>
      <c r="O2882" s="221"/>
      <c r="P2882" s="221"/>
      <c r="Q2882" s="221"/>
      <c r="R2882" s="221"/>
      <c r="S2882" s="219">
        <f>SUM(S2883:S2895)</f>
        <v>0</v>
      </c>
      <c r="T2882" s="219">
        <f>SUM(T2883:T2895)</f>
        <v>0</v>
      </c>
      <c r="U2882" s="63"/>
      <c r="V2882" s="52">
        <f>L2882-S2882</f>
        <v>0</v>
      </c>
      <c r="W2882" s="52">
        <f>T2882-V2882</f>
        <v>0</v>
      </c>
      <c r="X2882" s="63"/>
      <c r="Y2882" s="63"/>
      <c r="Z2882" s="63"/>
      <c r="AA2882" s="63"/>
      <c r="AB2882" s="63"/>
      <c r="AC2882" s="63"/>
      <c r="AD2882" s="63"/>
      <c r="AE2882" s="63"/>
    </row>
    <row r="2883" spans="1:31" ht="14.25" customHeight="1">
      <c r="A2883" s="277" t="s">
        <v>6799</v>
      </c>
      <c r="B2883" s="9" t="s">
        <v>21</v>
      </c>
      <c r="C2883" s="9">
        <v>2023</v>
      </c>
      <c r="D2883" s="9"/>
      <c r="E2883" s="90" t="s">
        <v>1621</v>
      </c>
      <c r="F2883" s="9" t="s">
        <v>1623</v>
      </c>
      <c r="G2883" s="63"/>
      <c r="H2883" s="68"/>
      <c r="I2883" s="208" t="s">
        <v>1638</v>
      </c>
      <c r="J2883" s="12">
        <v>44927</v>
      </c>
      <c r="K2883" s="209"/>
      <c r="L2883" s="210"/>
      <c r="M2883" s="210" t="s">
        <v>1639</v>
      </c>
      <c r="N2883" s="231" t="s">
        <v>29</v>
      </c>
      <c r="O2883" s="210">
        <f t="shared" ref="O2883:O2888" si="620">L2883</f>
        <v>0</v>
      </c>
      <c r="P2883" s="139"/>
      <c r="Q2883" s="139"/>
      <c r="R2883" s="139"/>
      <c r="S2883" s="75">
        <f t="shared" ref="S2883:S2895" si="621">IF(R2883="",0,L2883)</f>
        <v>0</v>
      </c>
      <c r="T2883" s="75">
        <f t="shared" ref="T2883:T2895" si="622">L2883-S2883</f>
        <v>0</v>
      </c>
      <c r="U2883" s="63"/>
      <c r="V2883" s="63"/>
      <c r="W2883" s="63"/>
      <c r="X2883" s="63"/>
      <c r="Y2883" s="63"/>
      <c r="Z2883" s="63"/>
      <c r="AA2883" s="63"/>
      <c r="AB2883" s="63"/>
      <c r="AC2883" s="63"/>
      <c r="AD2883" s="63"/>
      <c r="AE2883" s="63"/>
    </row>
    <row r="2884" spans="1:31" ht="14.25" customHeight="1">
      <c r="A2884" s="277" t="s">
        <v>6800</v>
      </c>
      <c r="B2884" s="9" t="s">
        <v>21</v>
      </c>
      <c r="C2884" s="9">
        <v>2023</v>
      </c>
      <c r="D2884" s="9"/>
      <c r="E2884" s="90" t="s">
        <v>1621</v>
      </c>
      <c r="F2884" s="9" t="s">
        <v>1623</v>
      </c>
      <c r="G2884" s="63"/>
      <c r="H2884" s="68"/>
      <c r="I2884" s="208" t="s">
        <v>1638</v>
      </c>
      <c r="J2884" s="12">
        <v>44958</v>
      </c>
      <c r="K2884" s="209"/>
      <c r="L2884" s="210"/>
      <c r="M2884" s="210" t="s">
        <v>1640</v>
      </c>
      <c r="N2884" s="231" t="s">
        <v>29</v>
      </c>
      <c r="O2884" s="210">
        <f t="shared" si="620"/>
        <v>0</v>
      </c>
      <c r="P2884" s="139"/>
      <c r="Q2884" s="139"/>
      <c r="R2884" s="139"/>
      <c r="S2884" s="75">
        <f t="shared" si="621"/>
        <v>0</v>
      </c>
      <c r="T2884" s="75">
        <f t="shared" si="622"/>
        <v>0</v>
      </c>
      <c r="U2884" s="63"/>
      <c r="V2884" s="63"/>
      <c r="W2884" s="63"/>
      <c r="X2884" s="63"/>
      <c r="Y2884" s="63"/>
      <c r="Z2884" s="63"/>
      <c r="AA2884" s="63"/>
      <c r="AB2884" s="63"/>
      <c r="AC2884" s="63"/>
      <c r="AD2884" s="63"/>
      <c r="AE2884" s="63"/>
    </row>
    <row r="2885" spans="1:31" ht="14.25" customHeight="1">
      <c r="A2885" s="277" t="s">
        <v>6801</v>
      </c>
      <c r="B2885" s="9" t="s">
        <v>21</v>
      </c>
      <c r="C2885" s="9">
        <v>2023</v>
      </c>
      <c r="D2885" s="9"/>
      <c r="E2885" s="90" t="s">
        <v>1621</v>
      </c>
      <c r="F2885" s="9" t="s">
        <v>1623</v>
      </c>
      <c r="G2885" s="63"/>
      <c r="H2885" s="68"/>
      <c r="I2885" s="208" t="s">
        <v>1638</v>
      </c>
      <c r="J2885" s="12">
        <v>44986</v>
      </c>
      <c r="K2885" s="209"/>
      <c r="L2885" s="210"/>
      <c r="M2885" s="210" t="s">
        <v>1641</v>
      </c>
      <c r="N2885" s="231" t="s">
        <v>29</v>
      </c>
      <c r="O2885" s="210">
        <f t="shared" si="620"/>
        <v>0</v>
      </c>
      <c r="P2885" s="139"/>
      <c r="Q2885" s="139"/>
      <c r="R2885" s="139"/>
      <c r="S2885" s="75">
        <f t="shared" si="621"/>
        <v>0</v>
      </c>
      <c r="T2885" s="75">
        <f t="shared" si="622"/>
        <v>0</v>
      </c>
      <c r="U2885" s="63"/>
      <c r="V2885" s="63"/>
      <c r="W2885" s="63"/>
      <c r="X2885" s="63"/>
      <c r="Y2885" s="63"/>
      <c r="Z2885" s="63"/>
      <c r="AA2885" s="63"/>
      <c r="AB2885" s="63"/>
      <c r="AC2885" s="63"/>
      <c r="AD2885" s="63"/>
      <c r="AE2885" s="63"/>
    </row>
    <row r="2886" spans="1:31" ht="14.25" customHeight="1">
      <c r="A2886" s="277" t="s">
        <v>6802</v>
      </c>
      <c r="B2886" s="9" t="s">
        <v>21</v>
      </c>
      <c r="C2886" s="9">
        <v>2023</v>
      </c>
      <c r="D2886" s="9"/>
      <c r="E2886" s="90" t="s">
        <v>1621</v>
      </c>
      <c r="F2886" s="9" t="s">
        <v>1623</v>
      </c>
      <c r="G2886" s="63"/>
      <c r="H2886" s="68"/>
      <c r="I2886" s="208" t="s">
        <v>1638</v>
      </c>
      <c r="J2886" s="12">
        <v>45017</v>
      </c>
      <c r="K2886" s="209"/>
      <c r="L2886" s="210"/>
      <c r="M2886" s="210" t="s">
        <v>1642</v>
      </c>
      <c r="N2886" s="231" t="s">
        <v>29</v>
      </c>
      <c r="O2886" s="210">
        <f t="shared" si="620"/>
        <v>0</v>
      </c>
      <c r="P2886" s="139"/>
      <c r="Q2886" s="139"/>
      <c r="R2886" s="139"/>
      <c r="S2886" s="75">
        <f t="shared" si="621"/>
        <v>0</v>
      </c>
      <c r="T2886" s="75">
        <f t="shared" si="622"/>
        <v>0</v>
      </c>
      <c r="U2886" s="63"/>
      <c r="V2886" s="63"/>
      <c r="W2886" s="63"/>
      <c r="X2886" s="63"/>
      <c r="Y2886" s="63"/>
      <c r="Z2886" s="63"/>
      <c r="AA2886" s="63"/>
      <c r="AB2886" s="63"/>
      <c r="AC2886" s="63"/>
      <c r="AD2886" s="63"/>
      <c r="AE2886" s="63"/>
    </row>
    <row r="2887" spans="1:31" ht="14.25" customHeight="1">
      <c r="A2887" s="277" t="s">
        <v>6803</v>
      </c>
      <c r="B2887" s="9" t="s">
        <v>21</v>
      </c>
      <c r="C2887" s="9">
        <v>2023</v>
      </c>
      <c r="D2887" s="9"/>
      <c r="E2887" s="90" t="s">
        <v>1621</v>
      </c>
      <c r="F2887" s="9" t="s">
        <v>1623</v>
      </c>
      <c r="G2887" s="63"/>
      <c r="H2887" s="68"/>
      <c r="I2887" s="208" t="s">
        <v>1638</v>
      </c>
      <c r="J2887" s="12">
        <v>45047</v>
      </c>
      <c r="K2887" s="209"/>
      <c r="L2887" s="210"/>
      <c r="M2887" s="210" t="s">
        <v>1643</v>
      </c>
      <c r="N2887" s="231" t="s">
        <v>29</v>
      </c>
      <c r="O2887" s="210">
        <f t="shared" si="620"/>
        <v>0</v>
      </c>
      <c r="P2887" s="139"/>
      <c r="Q2887" s="139"/>
      <c r="R2887" s="139"/>
      <c r="S2887" s="75">
        <f t="shared" si="621"/>
        <v>0</v>
      </c>
      <c r="T2887" s="75">
        <f t="shared" si="622"/>
        <v>0</v>
      </c>
      <c r="U2887" s="63"/>
      <c r="V2887" s="63"/>
      <c r="W2887" s="63"/>
      <c r="X2887" s="63"/>
      <c r="Y2887" s="63"/>
      <c r="Z2887" s="63"/>
      <c r="AA2887" s="63"/>
      <c r="AB2887" s="63"/>
      <c r="AC2887" s="63"/>
      <c r="AD2887" s="63"/>
      <c r="AE2887" s="63"/>
    </row>
    <row r="2888" spans="1:31" ht="14.25" customHeight="1">
      <c r="A2888" s="277" t="s">
        <v>6804</v>
      </c>
      <c r="B2888" s="9" t="s">
        <v>21</v>
      </c>
      <c r="C2888" s="9">
        <v>2023</v>
      </c>
      <c r="D2888" s="9"/>
      <c r="E2888" s="90" t="s">
        <v>1621</v>
      </c>
      <c r="F2888" s="9" t="s">
        <v>1623</v>
      </c>
      <c r="G2888" s="63"/>
      <c r="H2888" s="68"/>
      <c r="I2888" s="208" t="s">
        <v>1638</v>
      </c>
      <c r="J2888" s="12">
        <v>45078</v>
      </c>
      <c r="K2888" s="209"/>
      <c r="L2888" s="210"/>
      <c r="M2888" s="210" t="s">
        <v>1644</v>
      </c>
      <c r="N2888" s="231" t="s">
        <v>29</v>
      </c>
      <c r="O2888" s="210">
        <f t="shared" si="620"/>
        <v>0</v>
      </c>
      <c r="P2888" s="139"/>
      <c r="Q2888" s="139"/>
      <c r="R2888" s="139"/>
      <c r="S2888" s="75">
        <f t="shared" si="621"/>
        <v>0</v>
      </c>
      <c r="T2888" s="75">
        <f t="shared" si="622"/>
        <v>0</v>
      </c>
      <c r="U2888" s="63"/>
      <c r="V2888" s="63"/>
      <c r="W2888" s="63"/>
      <c r="X2888" s="63"/>
      <c r="Y2888" s="63"/>
      <c r="Z2888" s="63"/>
      <c r="AA2888" s="63"/>
      <c r="AB2888" s="63"/>
      <c r="AC2888" s="63"/>
      <c r="AD2888" s="63"/>
      <c r="AE2888" s="63"/>
    </row>
    <row r="2889" spans="1:31" ht="14.25" customHeight="1">
      <c r="A2889" s="277" t="s">
        <v>6805</v>
      </c>
      <c r="B2889" s="9" t="s">
        <v>21</v>
      </c>
      <c r="C2889" s="9">
        <v>2023</v>
      </c>
      <c r="D2889" s="9"/>
      <c r="E2889" s="90" t="s">
        <v>1621</v>
      </c>
      <c r="F2889" s="9" t="s">
        <v>1623</v>
      </c>
      <c r="G2889" s="63"/>
      <c r="H2889" s="68"/>
      <c r="I2889" s="208" t="s">
        <v>1638</v>
      </c>
      <c r="J2889" s="12">
        <v>45108</v>
      </c>
      <c r="K2889" s="209"/>
      <c r="L2889" s="210"/>
      <c r="M2889" s="210" t="s">
        <v>1645</v>
      </c>
      <c r="N2889" s="231" t="s">
        <v>29</v>
      </c>
      <c r="O2889" s="63"/>
      <c r="P2889" s="139"/>
      <c r="Q2889" s="139"/>
      <c r="R2889" s="139"/>
      <c r="S2889" s="75">
        <f t="shared" si="621"/>
        <v>0</v>
      </c>
      <c r="T2889" s="75">
        <f t="shared" si="622"/>
        <v>0</v>
      </c>
      <c r="U2889" s="63"/>
      <c r="V2889" s="63"/>
      <c r="W2889" s="63"/>
      <c r="X2889" s="63"/>
      <c r="Y2889" s="63"/>
      <c r="Z2889" s="63"/>
      <c r="AA2889" s="63"/>
      <c r="AB2889" s="63"/>
      <c r="AC2889" s="63"/>
      <c r="AD2889" s="63"/>
      <c r="AE2889" s="63"/>
    </row>
    <row r="2890" spans="1:31" ht="14.25" customHeight="1">
      <c r="A2890" s="277" t="s">
        <v>6806</v>
      </c>
      <c r="B2890" s="9" t="s">
        <v>21</v>
      </c>
      <c r="C2890" s="9">
        <v>2023</v>
      </c>
      <c r="D2890" s="9"/>
      <c r="E2890" s="90" t="s">
        <v>1621</v>
      </c>
      <c r="F2890" s="9" t="s">
        <v>1623</v>
      </c>
      <c r="G2890" s="63"/>
      <c r="H2890" s="68"/>
      <c r="I2890" s="208" t="s">
        <v>1638</v>
      </c>
      <c r="J2890" s="12">
        <v>45139</v>
      </c>
      <c r="K2890" s="209"/>
      <c r="L2890" s="210"/>
      <c r="M2890" s="210" t="s">
        <v>1646</v>
      </c>
      <c r="N2890" s="231" t="s">
        <v>29</v>
      </c>
      <c r="O2890" s="63"/>
      <c r="P2890" s="139"/>
      <c r="Q2890" s="139"/>
      <c r="R2890" s="139"/>
      <c r="S2890" s="75">
        <f t="shared" si="621"/>
        <v>0</v>
      </c>
      <c r="T2890" s="75">
        <f t="shared" si="622"/>
        <v>0</v>
      </c>
      <c r="U2890" s="63"/>
      <c r="V2890" s="63"/>
      <c r="W2890" s="63"/>
      <c r="X2890" s="63"/>
      <c r="Y2890" s="63"/>
      <c r="Z2890" s="63"/>
      <c r="AA2890" s="63"/>
      <c r="AB2890" s="63"/>
      <c r="AC2890" s="63"/>
      <c r="AD2890" s="63"/>
      <c r="AE2890" s="63"/>
    </row>
    <row r="2891" spans="1:31" ht="14.25" customHeight="1">
      <c r="A2891" s="277" t="s">
        <v>6807</v>
      </c>
      <c r="B2891" s="9" t="s">
        <v>21</v>
      </c>
      <c r="C2891" s="9">
        <v>2023</v>
      </c>
      <c r="D2891" s="9"/>
      <c r="E2891" s="90" t="s">
        <v>1621</v>
      </c>
      <c r="F2891" s="9" t="s">
        <v>1623</v>
      </c>
      <c r="G2891" s="63"/>
      <c r="H2891" s="68"/>
      <c r="I2891" s="208" t="s">
        <v>1638</v>
      </c>
      <c r="J2891" s="12">
        <v>45170</v>
      </c>
      <c r="K2891" s="209"/>
      <c r="L2891" s="210"/>
      <c r="M2891" s="210" t="s">
        <v>1647</v>
      </c>
      <c r="N2891" s="231" t="s">
        <v>29</v>
      </c>
      <c r="O2891" s="63"/>
      <c r="P2891" s="139"/>
      <c r="Q2891" s="139"/>
      <c r="R2891" s="139"/>
      <c r="S2891" s="75">
        <f t="shared" si="621"/>
        <v>0</v>
      </c>
      <c r="T2891" s="75">
        <f t="shared" si="622"/>
        <v>0</v>
      </c>
      <c r="U2891" s="63"/>
      <c r="V2891" s="63"/>
      <c r="W2891" s="63"/>
      <c r="X2891" s="63"/>
      <c r="Y2891" s="63"/>
      <c r="Z2891" s="63"/>
      <c r="AA2891" s="63"/>
      <c r="AB2891" s="63"/>
      <c r="AC2891" s="63"/>
      <c r="AD2891" s="63"/>
      <c r="AE2891" s="63"/>
    </row>
    <row r="2892" spans="1:31" ht="14.25" customHeight="1">
      <c r="A2892" s="277" t="s">
        <v>6808</v>
      </c>
      <c r="B2892" s="9" t="s">
        <v>21</v>
      </c>
      <c r="C2892" s="9">
        <v>2023</v>
      </c>
      <c r="D2892" s="9"/>
      <c r="E2892" s="90" t="s">
        <v>1621</v>
      </c>
      <c r="F2892" s="9" t="s">
        <v>1623</v>
      </c>
      <c r="G2892" s="63"/>
      <c r="H2892" s="68"/>
      <c r="I2892" s="208" t="s">
        <v>1638</v>
      </c>
      <c r="J2892" s="12">
        <v>45200</v>
      </c>
      <c r="K2892" s="209"/>
      <c r="L2892" s="210"/>
      <c r="M2892" s="210" t="s">
        <v>1648</v>
      </c>
      <c r="N2892" s="231" t="s">
        <v>29</v>
      </c>
      <c r="O2892" s="63"/>
      <c r="P2892" s="139"/>
      <c r="Q2892" s="139"/>
      <c r="R2892" s="139"/>
      <c r="S2892" s="75">
        <f t="shared" si="621"/>
        <v>0</v>
      </c>
      <c r="T2892" s="75">
        <f t="shared" si="622"/>
        <v>0</v>
      </c>
      <c r="U2892" s="63"/>
      <c r="V2892" s="63"/>
      <c r="W2892" s="63"/>
      <c r="X2892" s="63"/>
      <c r="Y2892" s="63"/>
      <c r="Z2892" s="63"/>
      <c r="AA2892" s="63"/>
      <c r="AB2892" s="63"/>
      <c r="AC2892" s="63"/>
      <c r="AD2892" s="63"/>
      <c r="AE2892" s="63"/>
    </row>
    <row r="2893" spans="1:31" ht="14.25" customHeight="1">
      <c r="A2893" s="277" t="s">
        <v>6809</v>
      </c>
      <c r="B2893" s="9" t="s">
        <v>21</v>
      </c>
      <c r="C2893" s="9">
        <v>2023</v>
      </c>
      <c r="D2893" s="9"/>
      <c r="E2893" s="90" t="s">
        <v>1621</v>
      </c>
      <c r="F2893" s="9" t="s">
        <v>1623</v>
      </c>
      <c r="G2893" s="63"/>
      <c r="H2893" s="68"/>
      <c r="I2893" s="208" t="s">
        <v>1638</v>
      </c>
      <c r="J2893" s="12">
        <v>45231</v>
      </c>
      <c r="K2893" s="209"/>
      <c r="L2893" s="210"/>
      <c r="M2893" s="210" t="s">
        <v>1649</v>
      </c>
      <c r="N2893" s="231" t="s">
        <v>29</v>
      </c>
      <c r="O2893" s="210">
        <f>L2893</f>
        <v>0</v>
      </c>
      <c r="P2893" s="139"/>
      <c r="Q2893" s="139"/>
      <c r="R2893" s="139"/>
      <c r="S2893" s="75">
        <f t="shared" si="621"/>
        <v>0</v>
      </c>
      <c r="T2893" s="75">
        <f t="shared" si="622"/>
        <v>0</v>
      </c>
      <c r="U2893" s="63"/>
      <c r="V2893" s="63"/>
      <c r="W2893" s="63"/>
      <c r="X2893" s="63"/>
      <c r="Y2893" s="63"/>
      <c r="Z2893" s="63"/>
      <c r="AA2893" s="63"/>
      <c r="AB2893" s="63"/>
      <c r="AC2893" s="63"/>
      <c r="AD2893" s="63"/>
      <c r="AE2893" s="63"/>
    </row>
    <row r="2894" spans="1:31" ht="14.25" customHeight="1">
      <c r="A2894" s="277" t="s">
        <v>6810</v>
      </c>
      <c r="B2894" s="9" t="s">
        <v>21</v>
      </c>
      <c r="C2894" s="9">
        <v>2023</v>
      </c>
      <c r="D2894" s="9"/>
      <c r="E2894" s="90" t="s">
        <v>1621</v>
      </c>
      <c r="F2894" s="9" t="s">
        <v>1623</v>
      </c>
      <c r="G2894" s="63"/>
      <c r="H2894" s="68"/>
      <c r="I2894" s="208" t="s">
        <v>1638</v>
      </c>
      <c r="J2894" s="12">
        <v>45261</v>
      </c>
      <c r="K2894" s="209"/>
      <c r="L2894" s="210"/>
      <c r="M2894" s="210" t="s">
        <v>1650</v>
      </c>
      <c r="N2894" s="231" t="s">
        <v>29</v>
      </c>
      <c r="O2894" s="210">
        <f>L2894</f>
        <v>0</v>
      </c>
      <c r="P2894" s="139"/>
      <c r="Q2894" s="139"/>
      <c r="R2894" s="139"/>
      <c r="S2894" s="75">
        <f t="shared" si="621"/>
        <v>0</v>
      </c>
      <c r="T2894" s="75">
        <f t="shared" si="622"/>
        <v>0</v>
      </c>
      <c r="U2894" s="63"/>
      <c r="V2894" s="63"/>
      <c r="W2894" s="63"/>
      <c r="X2894" s="63"/>
      <c r="Y2894" s="63"/>
      <c r="Z2894" s="63"/>
      <c r="AA2894" s="63"/>
      <c r="AB2894" s="63"/>
      <c r="AC2894" s="63"/>
      <c r="AD2894" s="63"/>
      <c r="AE2894" s="63"/>
    </row>
    <row r="2895" spans="1:31" ht="14.25" customHeight="1">
      <c r="A2895" s="277" t="s">
        <v>6811</v>
      </c>
      <c r="B2895" s="9" t="s">
        <v>21</v>
      </c>
      <c r="C2895" s="9"/>
      <c r="D2895" s="9"/>
      <c r="E2895" s="90"/>
      <c r="F2895" s="9"/>
      <c r="G2895" s="63"/>
      <c r="H2895" s="68"/>
      <c r="I2895" s="63"/>
      <c r="J2895" s="209"/>
      <c r="K2895" s="209"/>
      <c r="L2895" s="210"/>
      <c r="M2895" s="210"/>
      <c r="N2895" s="202">
        <f ca="1">$J$3-J2895</f>
        <v>46240.46377638889</v>
      </c>
      <c r="O2895" s="63"/>
      <c r="P2895" s="139"/>
      <c r="Q2895" s="139"/>
      <c r="R2895" s="139"/>
      <c r="S2895" s="75">
        <f t="shared" si="621"/>
        <v>0</v>
      </c>
      <c r="T2895" s="75">
        <f t="shared" si="622"/>
        <v>0</v>
      </c>
      <c r="U2895" s="63"/>
      <c r="V2895" s="63"/>
      <c r="W2895" s="63"/>
      <c r="X2895" s="63"/>
      <c r="Y2895" s="63"/>
      <c r="Z2895" s="63"/>
      <c r="AA2895" s="63"/>
      <c r="AB2895" s="63"/>
      <c r="AC2895" s="63"/>
      <c r="AD2895" s="63"/>
      <c r="AE2895" s="63"/>
    </row>
    <row r="2896" spans="1:31" ht="14.25" customHeight="1">
      <c r="A2896" s="277" t="s">
        <v>6812</v>
      </c>
      <c r="B2896" s="9" t="s">
        <v>21</v>
      </c>
      <c r="C2896" s="9"/>
      <c r="D2896" s="9"/>
      <c r="E2896" s="90"/>
      <c r="F2896" s="9"/>
      <c r="G2896" s="68"/>
      <c r="H2896" s="63"/>
      <c r="I2896" s="63"/>
      <c r="J2896" s="209"/>
      <c r="K2896" s="209"/>
      <c r="L2896" s="216"/>
      <c r="M2896" s="210"/>
      <c r="N2896" s="63"/>
      <c r="O2896" s="63"/>
      <c r="P2896" s="63"/>
      <c r="Q2896" s="63"/>
      <c r="R2896" s="63"/>
      <c r="S2896" s="216"/>
      <c r="T2896" s="216"/>
      <c r="U2896" s="63"/>
      <c r="V2896" s="63"/>
      <c r="W2896" s="63"/>
      <c r="X2896" s="63"/>
      <c r="Y2896" s="63"/>
      <c r="Z2896" s="63"/>
      <c r="AA2896" s="63"/>
      <c r="AB2896" s="63"/>
      <c r="AC2896" s="63"/>
      <c r="AD2896" s="63"/>
      <c r="AE2896" s="63"/>
    </row>
    <row r="2897" spans="1:31" ht="14.25" customHeight="1">
      <c r="A2897" s="277" t="s">
        <v>6813</v>
      </c>
      <c r="B2897" s="9" t="s">
        <v>21</v>
      </c>
      <c r="C2897" s="9"/>
      <c r="D2897" s="9"/>
      <c r="E2897" s="90"/>
      <c r="F2897" s="9"/>
      <c r="G2897" s="207" t="s">
        <v>24</v>
      </c>
      <c r="H2897" s="208" t="s">
        <v>1651</v>
      </c>
      <c r="I2897" s="217"/>
      <c r="J2897" s="218"/>
      <c r="K2897" s="218"/>
      <c r="L2897" s="219">
        <f>SUM(L2898:L2906)</f>
        <v>168921181</v>
      </c>
      <c r="M2897" s="220"/>
      <c r="N2897" s="221" t="s">
        <v>26</v>
      </c>
      <c r="O2897" s="221"/>
      <c r="P2897" s="221"/>
      <c r="Q2897" s="221"/>
      <c r="R2897" s="221"/>
      <c r="S2897" s="219">
        <f>SUM(S2898:S2906)</f>
        <v>0</v>
      </c>
      <c r="T2897" s="219">
        <f>SUM(T2898:T2906)</f>
        <v>168921181</v>
      </c>
      <c r="U2897" s="63"/>
      <c r="V2897" s="52">
        <f>L2897-S2897</f>
        <v>168921181</v>
      </c>
      <c r="W2897" s="52">
        <f>T2897-V2897</f>
        <v>0</v>
      </c>
      <c r="X2897" s="63"/>
      <c r="Y2897" s="63"/>
      <c r="Z2897" s="63"/>
      <c r="AA2897" s="63"/>
      <c r="AB2897" s="63"/>
      <c r="AC2897" s="63"/>
      <c r="AD2897" s="63"/>
      <c r="AE2897" s="63"/>
    </row>
    <row r="2898" spans="1:31" ht="14.25" customHeight="1">
      <c r="A2898" s="277" t="s">
        <v>6814</v>
      </c>
      <c r="B2898" s="9" t="s">
        <v>21</v>
      </c>
      <c r="C2898" s="9">
        <v>2024</v>
      </c>
      <c r="D2898" s="9"/>
      <c r="E2898" s="90" t="s">
        <v>1621</v>
      </c>
      <c r="F2898" s="9" t="s">
        <v>1623</v>
      </c>
      <c r="G2898" s="63"/>
      <c r="H2898" s="68"/>
      <c r="I2898" s="222" t="s">
        <v>1651</v>
      </c>
      <c r="J2898" s="12">
        <v>44927</v>
      </c>
      <c r="K2898" s="209"/>
      <c r="L2898" s="227">
        <v>26584183</v>
      </c>
      <c r="M2898" s="10" t="s">
        <v>1652</v>
      </c>
      <c r="N2898" s="231" t="s">
        <v>29</v>
      </c>
      <c r="O2898" s="210"/>
      <c r="P2898" s="139"/>
      <c r="Q2898" s="139"/>
      <c r="R2898" s="139"/>
      <c r="S2898" s="216">
        <f>IF(R2898="",0,L2898)</f>
        <v>0</v>
      </c>
      <c r="T2898" s="216">
        <f>L2898-S2898</f>
        <v>26584183</v>
      </c>
      <c r="U2898" s="63"/>
      <c r="V2898" s="63"/>
      <c r="W2898" s="63"/>
      <c r="X2898" s="63"/>
      <c r="Y2898" s="63"/>
      <c r="Z2898" s="63"/>
      <c r="AA2898" s="63"/>
      <c r="AB2898" s="63"/>
      <c r="AC2898" s="63"/>
      <c r="AD2898" s="63"/>
      <c r="AE2898" s="63"/>
    </row>
    <row r="2899" spans="1:31" ht="14.25" customHeight="1">
      <c r="A2899" s="277" t="s">
        <v>6815</v>
      </c>
      <c r="B2899" s="9" t="s">
        <v>21</v>
      </c>
      <c r="C2899" s="9">
        <v>2024</v>
      </c>
      <c r="D2899" s="9"/>
      <c r="E2899" s="90" t="s">
        <v>1621</v>
      </c>
      <c r="F2899" s="9" t="s">
        <v>1623</v>
      </c>
      <c r="G2899" s="63"/>
      <c r="H2899" s="68"/>
      <c r="I2899" s="222" t="s">
        <v>1651</v>
      </c>
      <c r="J2899" s="12">
        <v>44958</v>
      </c>
      <c r="K2899" s="209"/>
      <c r="L2899" s="227">
        <v>25765467</v>
      </c>
      <c r="M2899" s="10" t="s">
        <v>1653</v>
      </c>
      <c r="N2899" s="231" t="s">
        <v>29</v>
      </c>
      <c r="O2899" s="210"/>
      <c r="P2899" s="139"/>
      <c r="Q2899" s="139"/>
      <c r="R2899" s="139"/>
      <c r="S2899" s="216">
        <f>IF(R2899="",0,L2899)</f>
        <v>0</v>
      </c>
      <c r="T2899" s="216">
        <f>L2899-S2899</f>
        <v>25765467</v>
      </c>
      <c r="U2899" s="63"/>
      <c r="V2899" s="63"/>
      <c r="W2899" s="63"/>
      <c r="X2899" s="63"/>
      <c r="Y2899" s="63"/>
      <c r="Z2899" s="63"/>
      <c r="AA2899" s="63"/>
      <c r="AB2899" s="63"/>
      <c r="AC2899" s="63"/>
      <c r="AD2899" s="63"/>
      <c r="AE2899" s="63"/>
    </row>
    <row r="2900" spans="1:31" ht="14.25" customHeight="1">
      <c r="A2900" s="277" t="s">
        <v>7292</v>
      </c>
      <c r="B2900" s="9" t="s">
        <v>21</v>
      </c>
      <c r="C2900" s="9">
        <v>2025</v>
      </c>
      <c r="D2900" s="9"/>
      <c r="E2900" s="90" t="s">
        <v>1621</v>
      </c>
      <c r="F2900" s="9" t="s">
        <v>1623</v>
      </c>
      <c r="G2900" s="63"/>
      <c r="H2900" s="68"/>
      <c r="I2900" s="222" t="s">
        <v>1651</v>
      </c>
      <c r="J2900" s="12">
        <v>44986</v>
      </c>
      <c r="K2900" s="209"/>
      <c r="L2900" s="227">
        <v>21752042</v>
      </c>
      <c r="M2900" s="10" t="s">
        <v>1654</v>
      </c>
      <c r="N2900" s="231" t="s">
        <v>29</v>
      </c>
      <c r="O2900" s="210"/>
      <c r="P2900" s="139"/>
      <c r="Q2900" s="139"/>
      <c r="R2900" s="139"/>
      <c r="S2900" s="216">
        <f>IF(R2900="",0,L2900)</f>
        <v>0</v>
      </c>
      <c r="T2900" s="216">
        <f>L2900-S2900</f>
        <v>21752042</v>
      </c>
      <c r="U2900" s="63"/>
      <c r="V2900" s="63"/>
      <c r="W2900" s="63"/>
      <c r="X2900" s="63"/>
      <c r="Y2900" s="63"/>
      <c r="Z2900" s="63"/>
      <c r="AA2900" s="63"/>
      <c r="AB2900" s="63"/>
      <c r="AC2900" s="63"/>
      <c r="AD2900" s="63"/>
      <c r="AE2900" s="63"/>
    </row>
    <row r="2901" spans="1:31" ht="14.25" customHeight="1">
      <c r="A2901" s="277" t="s">
        <v>7293</v>
      </c>
      <c r="B2901" s="9" t="s">
        <v>21</v>
      </c>
      <c r="C2901" s="9">
        <v>2025</v>
      </c>
      <c r="D2901" s="9"/>
      <c r="E2901" s="90" t="s">
        <v>1621</v>
      </c>
      <c r="F2901" s="9" t="s">
        <v>1623</v>
      </c>
      <c r="G2901" s="63"/>
      <c r="H2901" s="68"/>
      <c r="I2901" s="222" t="s">
        <v>1651</v>
      </c>
      <c r="J2901" s="12">
        <v>45017</v>
      </c>
      <c r="K2901" s="209"/>
      <c r="L2901" s="227">
        <f>5305744+7462919+5367089</f>
        <v>18135752</v>
      </c>
      <c r="M2901" s="10" t="s">
        <v>1655</v>
      </c>
      <c r="N2901" s="231" t="s">
        <v>29</v>
      </c>
      <c r="O2901" s="210"/>
      <c r="P2901" s="139"/>
      <c r="Q2901" s="139"/>
      <c r="R2901" s="139"/>
      <c r="S2901" s="216">
        <f>IF(R2901="",0,L2901)</f>
        <v>0</v>
      </c>
      <c r="T2901" s="216">
        <f>L2901-S2901</f>
        <v>18135752</v>
      </c>
      <c r="U2901" s="63"/>
      <c r="V2901" s="63"/>
      <c r="W2901" s="63"/>
      <c r="X2901" s="63"/>
      <c r="Y2901" s="63"/>
      <c r="Z2901" s="63"/>
      <c r="AA2901" s="63"/>
      <c r="AB2901" s="63"/>
      <c r="AC2901" s="63"/>
      <c r="AD2901" s="63"/>
      <c r="AE2901" s="63"/>
    </row>
    <row r="2902" spans="1:31" ht="14.25" customHeight="1">
      <c r="A2902" s="277" t="s">
        <v>6816</v>
      </c>
      <c r="B2902" s="9" t="s">
        <v>21</v>
      </c>
      <c r="C2902" s="9">
        <v>2025</v>
      </c>
      <c r="D2902" s="9"/>
      <c r="E2902" s="90" t="s">
        <v>1621</v>
      </c>
      <c r="F2902" s="9" t="s">
        <v>1623</v>
      </c>
      <c r="G2902" s="63"/>
      <c r="H2902" s="68"/>
      <c r="I2902" s="222" t="s">
        <v>1651</v>
      </c>
      <c r="J2902" s="12" t="s">
        <v>7123</v>
      </c>
      <c r="K2902" s="209"/>
      <c r="L2902" s="227">
        <v>19712453</v>
      </c>
      <c r="M2902" s="10" t="s">
        <v>7124</v>
      </c>
      <c r="N2902" s="231" t="s">
        <v>29</v>
      </c>
      <c r="O2902" s="210"/>
      <c r="P2902" s="139"/>
      <c r="Q2902" s="139"/>
      <c r="R2902" s="139"/>
      <c r="S2902" s="216">
        <f t="shared" ref="S2902:S2906" si="623">IF(R2902="",0,L2902)</f>
        <v>0</v>
      </c>
      <c r="T2902" s="216">
        <f t="shared" ref="T2902:T2906" si="624">L2902-S2902</f>
        <v>19712453</v>
      </c>
      <c r="U2902" s="63"/>
      <c r="V2902" s="63"/>
      <c r="W2902" s="63"/>
      <c r="X2902" s="63"/>
      <c r="Y2902" s="63"/>
      <c r="Z2902" s="63"/>
      <c r="AA2902" s="63"/>
      <c r="AB2902" s="63"/>
      <c r="AC2902" s="63"/>
      <c r="AD2902" s="63"/>
      <c r="AE2902" s="63"/>
    </row>
    <row r="2903" spans="1:31" ht="14.25" customHeight="1">
      <c r="A2903" s="277" t="s">
        <v>6817</v>
      </c>
      <c r="B2903" s="9" t="s">
        <v>21</v>
      </c>
      <c r="C2903" s="9">
        <v>2025</v>
      </c>
      <c r="D2903" s="9"/>
      <c r="E2903" s="90" t="s">
        <v>1621</v>
      </c>
      <c r="F2903" s="9" t="s">
        <v>1623</v>
      </c>
      <c r="G2903" s="63"/>
      <c r="H2903" s="68"/>
      <c r="I2903" s="222" t="s">
        <v>1651</v>
      </c>
      <c r="J2903" s="12" t="s">
        <v>7123</v>
      </c>
      <c r="K2903" s="209"/>
      <c r="L2903" s="227">
        <v>23429875</v>
      </c>
      <c r="M2903" s="10" t="s">
        <v>7125</v>
      </c>
      <c r="N2903" s="231" t="s">
        <v>29</v>
      </c>
      <c r="O2903" s="210"/>
      <c r="P2903" s="139"/>
      <c r="Q2903" s="139"/>
      <c r="R2903" s="139"/>
      <c r="S2903" s="216">
        <f t="shared" si="623"/>
        <v>0</v>
      </c>
      <c r="T2903" s="216">
        <f t="shared" si="624"/>
        <v>23429875</v>
      </c>
      <c r="U2903" s="63"/>
      <c r="V2903" s="63"/>
      <c r="W2903" s="63"/>
      <c r="X2903" s="63"/>
      <c r="Y2903" s="63"/>
      <c r="Z2903" s="63"/>
      <c r="AA2903" s="63"/>
      <c r="AB2903" s="63"/>
      <c r="AC2903" s="63"/>
      <c r="AD2903" s="63"/>
      <c r="AE2903" s="63"/>
    </row>
    <row r="2904" spans="1:31" ht="14.25" customHeight="1">
      <c r="A2904" s="277" t="s">
        <v>6818</v>
      </c>
      <c r="B2904" s="9" t="s">
        <v>21</v>
      </c>
      <c r="C2904" s="9">
        <v>2025</v>
      </c>
      <c r="D2904" s="9"/>
      <c r="E2904" s="90" t="s">
        <v>1621</v>
      </c>
      <c r="F2904" s="9" t="s">
        <v>1623</v>
      </c>
      <c r="G2904" s="63"/>
      <c r="H2904" s="68"/>
      <c r="I2904" s="222" t="s">
        <v>1651</v>
      </c>
      <c r="J2904" s="12" t="s">
        <v>7123</v>
      </c>
      <c r="K2904" s="209"/>
      <c r="L2904" s="227">
        <v>19850394</v>
      </c>
      <c r="M2904" s="10" t="s">
        <v>7126</v>
      </c>
      <c r="N2904" s="231" t="s">
        <v>29</v>
      </c>
      <c r="O2904" s="210"/>
      <c r="P2904" s="139"/>
      <c r="Q2904" s="139"/>
      <c r="R2904" s="139"/>
      <c r="S2904" s="216">
        <f t="shared" si="623"/>
        <v>0</v>
      </c>
      <c r="T2904" s="216">
        <f t="shared" si="624"/>
        <v>19850394</v>
      </c>
      <c r="U2904" s="63"/>
      <c r="V2904" s="63"/>
      <c r="W2904" s="63"/>
      <c r="X2904" s="63"/>
      <c r="Y2904" s="63"/>
      <c r="Z2904" s="63"/>
      <c r="AA2904" s="63"/>
      <c r="AB2904" s="63"/>
      <c r="AC2904" s="63"/>
      <c r="AD2904" s="63"/>
      <c r="AE2904" s="63"/>
    </row>
    <row r="2905" spans="1:31" ht="14.25" customHeight="1">
      <c r="A2905" s="277" t="s">
        <v>6819</v>
      </c>
      <c r="B2905" s="9" t="s">
        <v>21</v>
      </c>
      <c r="C2905" s="9">
        <v>2025</v>
      </c>
      <c r="D2905" s="9"/>
      <c r="E2905" s="90" t="s">
        <v>1621</v>
      </c>
      <c r="F2905" s="9" t="s">
        <v>1623</v>
      </c>
      <c r="G2905" s="63"/>
      <c r="H2905" s="68"/>
      <c r="I2905" s="222" t="s">
        <v>1651</v>
      </c>
      <c r="J2905" s="12" t="s">
        <v>7123</v>
      </c>
      <c r="K2905" s="209"/>
      <c r="L2905" s="227">
        <v>13691015</v>
      </c>
      <c r="M2905" s="10" t="s">
        <v>7127</v>
      </c>
      <c r="N2905" s="231" t="s">
        <v>29</v>
      </c>
      <c r="O2905" s="210"/>
      <c r="P2905" s="139"/>
      <c r="Q2905" s="139"/>
      <c r="R2905" s="139"/>
      <c r="S2905" s="216">
        <f t="shared" si="623"/>
        <v>0</v>
      </c>
      <c r="T2905" s="216">
        <f t="shared" si="624"/>
        <v>13691015</v>
      </c>
      <c r="U2905" s="63"/>
      <c r="V2905" s="63"/>
      <c r="W2905" s="63"/>
      <c r="X2905" s="63"/>
      <c r="Y2905" s="63"/>
      <c r="Z2905" s="63"/>
      <c r="AA2905" s="63"/>
      <c r="AB2905" s="63"/>
      <c r="AC2905" s="63"/>
      <c r="AD2905" s="63"/>
      <c r="AE2905" s="63"/>
    </row>
    <row r="2906" spans="1:31" ht="14.25" customHeight="1">
      <c r="A2906" s="277" t="s">
        <v>6820</v>
      </c>
      <c r="B2906" s="9" t="s">
        <v>21</v>
      </c>
      <c r="C2906" s="9"/>
      <c r="D2906" s="9"/>
      <c r="E2906" s="90"/>
      <c r="F2906" s="9"/>
      <c r="G2906" s="63"/>
      <c r="H2906" s="68"/>
      <c r="I2906" s="63"/>
      <c r="J2906" s="209"/>
      <c r="K2906" s="209"/>
      <c r="L2906" s="210"/>
      <c r="M2906" s="210"/>
      <c r="N2906" s="202">
        <f ca="1">$J$3-J2906</f>
        <v>46240.46377638889</v>
      </c>
      <c r="O2906" s="63"/>
      <c r="P2906" s="139"/>
      <c r="Q2906" s="139"/>
      <c r="R2906" s="139"/>
      <c r="S2906" s="216">
        <f t="shared" si="623"/>
        <v>0</v>
      </c>
      <c r="T2906" s="216">
        <f t="shared" si="624"/>
        <v>0</v>
      </c>
      <c r="U2906" s="63"/>
      <c r="V2906" s="63"/>
      <c r="W2906" s="63"/>
      <c r="X2906" s="63"/>
      <c r="Y2906" s="63"/>
      <c r="Z2906" s="63"/>
      <c r="AA2906" s="63"/>
      <c r="AB2906" s="63"/>
      <c r="AC2906" s="63"/>
      <c r="AD2906" s="63"/>
      <c r="AE2906" s="63"/>
    </row>
    <row r="2907" spans="1:31" ht="14.25" customHeight="1">
      <c r="A2907" s="277" t="s">
        <v>6821</v>
      </c>
      <c r="B2907" s="9" t="s">
        <v>21</v>
      </c>
      <c r="C2907" s="9"/>
      <c r="D2907" s="9"/>
      <c r="E2907" s="90"/>
      <c r="F2907" s="9"/>
      <c r="G2907" s="68"/>
      <c r="H2907" s="63"/>
      <c r="I2907" s="63"/>
      <c r="J2907" s="209"/>
      <c r="K2907" s="209"/>
      <c r="L2907" s="216"/>
      <c r="M2907" s="210"/>
      <c r="N2907" s="63"/>
      <c r="O2907" s="63"/>
      <c r="P2907" s="63"/>
      <c r="Q2907" s="63"/>
      <c r="R2907" s="63"/>
      <c r="S2907" s="216"/>
      <c r="T2907" s="216"/>
      <c r="U2907" s="63"/>
      <c r="V2907" s="63"/>
      <c r="W2907" s="63"/>
      <c r="X2907" s="63"/>
      <c r="Y2907" s="63"/>
      <c r="Z2907" s="63"/>
      <c r="AA2907" s="63"/>
      <c r="AB2907" s="63"/>
      <c r="AC2907" s="63"/>
      <c r="AD2907" s="63"/>
      <c r="AE2907" s="63"/>
    </row>
    <row r="2908" spans="1:31" ht="14.25" customHeight="1">
      <c r="A2908" s="277" t="s">
        <v>6822</v>
      </c>
      <c r="B2908" s="9" t="s">
        <v>21</v>
      </c>
      <c r="C2908" s="9"/>
      <c r="D2908" s="9"/>
      <c r="E2908" s="90"/>
      <c r="F2908" s="9"/>
      <c r="G2908" s="10"/>
      <c r="H2908" s="9"/>
      <c r="I2908" s="11"/>
      <c r="J2908" s="12"/>
      <c r="K2908" s="12"/>
      <c r="L2908" s="27"/>
      <c r="M2908" s="10"/>
      <c r="N2908" s="9"/>
      <c r="O2908" s="10"/>
      <c r="P2908" s="39"/>
      <c r="Q2908" s="39"/>
      <c r="R2908" s="39"/>
      <c r="S2908" s="37"/>
      <c r="T2908" s="37"/>
      <c r="U2908" s="10"/>
      <c r="V2908" s="10"/>
      <c r="W2908" s="10"/>
      <c r="X2908" s="10"/>
      <c r="Y2908" s="10"/>
      <c r="Z2908" s="10"/>
      <c r="AA2908" s="10"/>
      <c r="AB2908" s="10"/>
      <c r="AC2908" s="10"/>
      <c r="AD2908" s="10"/>
      <c r="AE2908" s="10"/>
    </row>
    <row r="2909" spans="1:31" ht="14.25" customHeight="1">
      <c r="A2909" s="277" t="s">
        <v>6823</v>
      </c>
      <c r="B2909" s="9" t="s">
        <v>21</v>
      </c>
      <c r="C2909" s="9"/>
      <c r="D2909" s="9"/>
      <c r="E2909" s="90"/>
      <c r="F2909" s="9"/>
      <c r="G2909" s="91" t="s">
        <v>22</v>
      </c>
      <c r="H2909" s="187" t="s">
        <v>1656</v>
      </c>
      <c r="I2909" s="159"/>
      <c r="J2909" s="160"/>
      <c r="K2909" s="160"/>
      <c r="L2909" s="161">
        <f>L2911+L2926+L2941+L2956+L2971+L2986+L3001+L3016+L3031+L3046</f>
        <v>585167270</v>
      </c>
      <c r="M2909" s="162"/>
      <c r="N2909" s="163"/>
      <c r="O2909" s="159"/>
      <c r="P2909" s="164"/>
      <c r="Q2909" s="164"/>
      <c r="R2909" s="164"/>
      <c r="S2909" s="161">
        <f>S2911+S2926+S2941+S2956+S2971+S2986+S3001+S3016+S3031+S3046</f>
        <v>585167270</v>
      </c>
      <c r="T2909" s="161">
        <f>T2911+T2926+T2941+T2956+T2971+T2986+T3001+T3016+T3031+T3046</f>
        <v>0</v>
      </c>
      <c r="U2909" s="171"/>
      <c r="V2909" s="52">
        <f>L2909-S2909</f>
        <v>0</v>
      </c>
      <c r="W2909" s="52">
        <f>T2909-V2909</f>
        <v>0</v>
      </c>
      <c r="X2909" s="171"/>
      <c r="Y2909" s="171"/>
      <c r="Z2909" s="171"/>
      <c r="AA2909" s="171"/>
      <c r="AB2909" s="171"/>
      <c r="AC2909" s="171"/>
      <c r="AD2909" s="171"/>
      <c r="AE2909" s="171"/>
    </row>
    <row r="2910" spans="1:31" ht="14.25" customHeight="1">
      <c r="A2910" s="277" t="s">
        <v>6824</v>
      </c>
      <c r="B2910" s="9" t="s">
        <v>21</v>
      </c>
      <c r="C2910" s="9"/>
      <c r="D2910" s="9"/>
      <c r="E2910" s="90"/>
      <c r="F2910" s="9"/>
      <c r="G2910" s="9"/>
      <c r="H2910" s="93"/>
      <c r="I2910" s="11"/>
      <c r="J2910" s="12"/>
      <c r="K2910" s="12"/>
      <c r="L2910" s="118"/>
      <c r="M2910" s="103"/>
      <c r="N2910" s="33"/>
      <c r="O2910" s="33"/>
      <c r="P2910" s="33"/>
      <c r="Q2910" s="33"/>
      <c r="R2910" s="33"/>
      <c r="S2910" s="118"/>
      <c r="T2910" s="118"/>
      <c r="U2910" s="10"/>
      <c r="V2910" s="10"/>
      <c r="W2910" s="10"/>
      <c r="X2910" s="10"/>
      <c r="Y2910" s="10"/>
      <c r="Z2910" s="10"/>
      <c r="AA2910" s="10"/>
      <c r="AB2910" s="10"/>
      <c r="AC2910" s="10"/>
      <c r="AD2910" s="10"/>
      <c r="AE2910" s="10"/>
    </row>
    <row r="2911" spans="1:31" ht="14.25" customHeight="1">
      <c r="A2911" s="277" t="s">
        <v>6825</v>
      </c>
      <c r="B2911" s="9" t="s">
        <v>21</v>
      </c>
      <c r="C2911" s="9"/>
      <c r="D2911" s="9"/>
      <c r="E2911" s="90"/>
      <c r="F2911" s="9"/>
      <c r="G2911" s="94" t="s">
        <v>24</v>
      </c>
      <c r="H2911" s="95" t="s">
        <v>1657</v>
      </c>
      <c r="I2911" s="104"/>
      <c r="J2911" s="105"/>
      <c r="K2911" s="105"/>
      <c r="L2911" s="106">
        <f>SUM(L2912:L2924)</f>
        <v>240000000</v>
      </c>
      <c r="M2911" s="107"/>
      <c r="N2911" s="108" t="s">
        <v>26</v>
      </c>
      <c r="O2911" s="108"/>
      <c r="P2911" s="108"/>
      <c r="Q2911" s="108"/>
      <c r="R2911" s="108"/>
      <c r="S2911" s="106">
        <f>SUM(S2912:S2924)</f>
        <v>240000000</v>
      </c>
      <c r="T2911" s="106">
        <f>SUM(T2912:T2924)</f>
        <v>0</v>
      </c>
      <c r="U2911" s="10"/>
      <c r="V2911" s="52">
        <f>L2911-S2911</f>
        <v>0</v>
      </c>
      <c r="W2911" s="52">
        <f>T2911-V2911</f>
        <v>0</v>
      </c>
      <c r="X2911" s="10"/>
      <c r="Y2911" s="10"/>
      <c r="Z2911" s="10"/>
      <c r="AA2911" s="10"/>
      <c r="AB2911" s="10"/>
      <c r="AC2911" s="10"/>
      <c r="AD2911" s="10"/>
      <c r="AE2911" s="10"/>
    </row>
    <row r="2912" spans="1:31" ht="14.25" customHeight="1">
      <c r="A2912" s="277" t="s">
        <v>6826</v>
      </c>
      <c r="B2912" s="9" t="s">
        <v>21</v>
      </c>
      <c r="C2912" s="9">
        <v>2023</v>
      </c>
      <c r="D2912" s="9"/>
      <c r="E2912" s="90" t="s">
        <v>1656</v>
      </c>
      <c r="F2912" s="9" t="s">
        <v>1658</v>
      </c>
      <c r="G2912" s="10"/>
      <c r="H2912" s="9"/>
      <c r="I2912" s="180" t="s">
        <v>1657</v>
      </c>
      <c r="J2912" s="12">
        <v>44927</v>
      </c>
      <c r="K2912" s="12"/>
      <c r="L2912" s="52">
        <v>40000000</v>
      </c>
      <c r="M2912" s="10" t="s">
        <v>1659</v>
      </c>
      <c r="N2912" s="231" t="s">
        <v>29</v>
      </c>
      <c r="O2912" s="125">
        <f t="shared" ref="O2912:O2917" si="625">L2912</f>
        <v>40000000</v>
      </c>
      <c r="P2912" s="39"/>
      <c r="Q2912" s="39"/>
      <c r="R2912" s="40">
        <v>44946</v>
      </c>
      <c r="S2912" s="37">
        <f t="shared" ref="S2912:S2924" si="626">IF(R2912="",0,L2912)</f>
        <v>40000000</v>
      </c>
      <c r="T2912" s="37">
        <f t="shared" ref="T2912:T2924" si="627">L2912-S2912</f>
        <v>0</v>
      </c>
      <c r="U2912" s="10"/>
      <c r="V2912" s="10"/>
      <c r="W2912" s="10"/>
      <c r="X2912" s="10"/>
      <c r="Y2912" s="10"/>
      <c r="Z2912" s="10"/>
      <c r="AA2912" s="10"/>
      <c r="AB2912" s="10"/>
      <c r="AC2912" s="10"/>
      <c r="AD2912" s="10"/>
      <c r="AE2912" s="10"/>
    </row>
    <row r="2913" spans="1:31" ht="14.25" customHeight="1">
      <c r="A2913" s="277" t="s">
        <v>6827</v>
      </c>
      <c r="B2913" s="9" t="s">
        <v>21</v>
      </c>
      <c r="C2913" s="9">
        <v>2023</v>
      </c>
      <c r="D2913" s="9"/>
      <c r="E2913" s="90" t="s">
        <v>1656</v>
      </c>
      <c r="F2913" s="9" t="s">
        <v>1658</v>
      </c>
      <c r="G2913" s="10"/>
      <c r="H2913" s="9"/>
      <c r="I2913" s="180" t="s">
        <v>1657</v>
      </c>
      <c r="J2913" s="12">
        <v>44958</v>
      </c>
      <c r="K2913" s="12"/>
      <c r="L2913" s="52">
        <v>40000000</v>
      </c>
      <c r="M2913" s="10" t="s">
        <v>1660</v>
      </c>
      <c r="N2913" s="231" t="s">
        <v>29</v>
      </c>
      <c r="O2913" s="125">
        <f t="shared" si="625"/>
        <v>40000000</v>
      </c>
      <c r="P2913" s="39"/>
      <c r="Q2913" s="39"/>
      <c r="R2913" s="40">
        <v>44977</v>
      </c>
      <c r="S2913" s="37">
        <f t="shared" si="626"/>
        <v>40000000</v>
      </c>
      <c r="T2913" s="37">
        <f t="shared" si="627"/>
        <v>0</v>
      </c>
      <c r="U2913" s="10"/>
      <c r="V2913" s="10"/>
      <c r="W2913" s="10"/>
      <c r="X2913" s="10"/>
      <c r="Y2913" s="10"/>
      <c r="Z2913" s="10"/>
      <c r="AA2913" s="10"/>
      <c r="AB2913" s="10"/>
      <c r="AC2913" s="10"/>
      <c r="AD2913" s="10"/>
      <c r="AE2913" s="10"/>
    </row>
    <row r="2914" spans="1:31" ht="14.25" customHeight="1">
      <c r="A2914" s="277" t="s">
        <v>6828</v>
      </c>
      <c r="B2914" s="9" t="s">
        <v>21</v>
      </c>
      <c r="C2914" s="9">
        <v>2023</v>
      </c>
      <c r="D2914" s="9"/>
      <c r="E2914" s="90" t="s">
        <v>1656</v>
      </c>
      <c r="F2914" s="9" t="s">
        <v>1658</v>
      </c>
      <c r="G2914" s="10"/>
      <c r="H2914" s="9"/>
      <c r="I2914" s="180" t="s">
        <v>1657</v>
      </c>
      <c r="J2914" s="12">
        <v>44986</v>
      </c>
      <c r="K2914" s="12"/>
      <c r="L2914" s="52">
        <v>40000000</v>
      </c>
      <c r="M2914" s="10" t="s">
        <v>1661</v>
      </c>
      <c r="N2914" s="231" t="s">
        <v>29</v>
      </c>
      <c r="O2914" s="125">
        <f t="shared" si="625"/>
        <v>40000000</v>
      </c>
      <c r="P2914" s="39"/>
      <c r="Q2914" s="39"/>
      <c r="R2914" s="40">
        <v>45005</v>
      </c>
      <c r="S2914" s="37">
        <f t="shared" si="626"/>
        <v>40000000</v>
      </c>
      <c r="T2914" s="37">
        <f t="shared" si="627"/>
        <v>0</v>
      </c>
      <c r="U2914" s="10"/>
      <c r="V2914" s="10"/>
      <c r="W2914" s="10"/>
      <c r="X2914" s="10"/>
      <c r="Y2914" s="10"/>
      <c r="Z2914" s="10"/>
      <c r="AA2914" s="10"/>
      <c r="AB2914" s="10"/>
      <c r="AC2914" s="10"/>
      <c r="AD2914" s="10"/>
      <c r="AE2914" s="10"/>
    </row>
    <row r="2915" spans="1:31" ht="14.25" customHeight="1">
      <c r="A2915" s="277" t="s">
        <v>6829</v>
      </c>
      <c r="B2915" s="9" t="s">
        <v>21</v>
      </c>
      <c r="C2915" s="9">
        <v>2023</v>
      </c>
      <c r="D2915" s="9"/>
      <c r="E2915" s="90" t="s">
        <v>1656</v>
      </c>
      <c r="F2915" s="9" t="s">
        <v>1658</v>
      </c>
      <c r="G2915" s="10"/>
      <c r="H2915" s="9"/>
      <c r="I2915" s="180" t="s">
        <v>1657</v>
      </c>
      <c r="J2915" s="12">
        <v>45017</v>
      </c>
      <c r="K2915" s="12"/>
      <c r="L2915" s="52">
        <v>40000000</v>
      </c>
      <c r="M2915" s="10" t="s">
        <v>1662</v>
      </c>
      <c r="N2915" s="231" t="s">
        <v>29</v>
      </c>
      <c r="O2915" s="125">
        <f t="shared" si="625"/>
        <v>40000000</v>
      </c>
      <c r="P2915" s="39"/>
      <c r="Q2915" s="39"/>
      <c r="R2915" s="40">
        <v>45036</v>
      </c>
      <c r="S2915" s="37">
        <f t="shared" si="626"/>
        <v>40000000</v>
      </c>
      <c r="T2915" s="37">
        <f t="shared" si="627"/>
        <v>0</v>
      </c>
      <c r="U2915" s="10"/>
      <c r="V2915" s="10"/>
      <c r="W2915" s="10"/>
      <c r="X2915" s="10"/>
      <c r="Y2915" s="10"/>
      <c r="Z2915" s="10"/>
      <c r="AA2915" s="10"/>
      <c r="AB2915" s="10"/>
      <c r="AC2915" s="10"/>
      <c r="AD2915" s="10"/>
      <c r="AE2915" s="10"/>
    </row>
    <row r="2916" spans="1:31" ht="14.25" customHeight="1">
      <c r="A2916" s="277" t="s">
        <v>6830</v>
      </c>
      <c r="B2916" s="9" t="s">
        <v>21</v>
      </c>
      <c r="C2916" s="9">
        <v>2023</v>
      </c>
      <c r="D2916" s="9"/>
      <c r="E2916" s="90" t="s">
        <v>1656</v>
      </c>
      <c r="F2916" s="9" t="s">
        <v>1658</v>
      </c>
      <c r="G2916" s="10"/>
      <c r="H2916" s="9"/>
      <c r="I2916" s="180" t="s">
        <v>1657</v>
      </c>
      <c r="J2916" s="12">
        <v>45047</v>
      </c>
      <c r="K2916" s="12"/>
      <c r="L2916" s="52">
        <v>40000000</v>
      </c>
      <c r="M2916" s="10" t="s">
        <v>1663</v>
      </c>
      <c r="N2916" s="231" t="s">
        <v>29</v>
      </c>
      <c r="O2916" s="125">
        <f t="shared" si="625"/>
        <v>40000000</v>
      </c>
      <c r="P2916" s="39"/>
      <c r="Q2916" s="39"/>
      <c r="R2916" s="40">
        <v>45066</v>
      </c>
      <c r="S2916" s="37">
        <f t="shared" si="626"/>
        <v>40000000</v>
      </c>
      <c r="T2916" s="37">
        <f t="shared" si="627"/>
        <v>0</v>
      </c>
      <c r="U2916" s="10"/>
      <c r="V2916" s="10"/>
      <c r="W2916" s="10"/>
      <c r="X2916" s="10"/>
      <c r="Y2916" s="10"/>
      <c r="Z2916" s="10"/>
      <c r="AA2916" s="10"/>
      <c r="AB2916" s="10"/>
      <c r="AC2916" s="10"/>
      <c r="AD2916" s="10"/>
      <c r="AE2916" s="10"/>
    </row>
    <row r="2917" spans="1:31" ht="14.25" customHeight="1">
      <c r="A2917" s="277" t="s">
        <v>6831</v>
      </c>
      <c r="B2917" s="9" t="s">
        <v>21</v>
      </c>
      <c r="C2917" s="9">
        <v>2023</v>
      </c>
      <c r="D2917" s="9"/>
      <c r="E2917" s="90" t="s">
        <v>1656</v>
      </c>
      <c r="F2917" s="9" t="s">
        <v>1658</v>
      </c>
      <c r="G2917" s="10"/>
      <c r="H2917" s="9"/>
      <c r="I2917" s="180" t="s">
        <v>1657</v>
      </c>
      <c r="J2917" s="12">
        <v>45078</v>
      </c>
      <c r="K2917" s="12"/>
      <c r="L2917" s="52">
        <v>40000000</v>
      </c>
      <c r="M2917" s="10" t="s">
        <v>1664</v>
      </c>
      <c r="N2917" s="231" t="s">
        <v>29</v>
      </c>
      <c r="O2917" s="125">
        <f t="shared" si="625"/>
        <v>40000000</v>
      </c>
      <c r="P2917" s="39"/>
      <c r="Q2917" s="39"/>
      <c r="R2917" s="40">
        <v>45097</v>
      </c>
      <c r="S2917" s="37">
        <f t="shared" si="626"/>
        <v>40000000</v>
      </c>
      <c r="T2917" s="37">
        <f t="shared" si="627"/>
        <v>0</v>
      </c>
      <c r="U2917" s="10"/>
      <c r="V2917" s="10"/>
      <c r="W2917" s="10"/>
      <c r="X2917" s="10"/>
      <c r="Y2917" s="10"/>
      <c r="Z2917" s="10"/>
      <c r="AA2917" s="10"/>
      <c r="AB2917" s="10"/>
      <c r="AC2917" s="10"/>
      <c r="AD2917" s="10"/>
      <c r="AE2917" s="10"/>
    </row>
    <row r="2918" spans="1:31" ht="14.25" customHeight="1">
      <c r="A2918" s="277" t="s">
        <v>6832</v>
      </c>
      <c r="B2918" s="9" t="s">
        <v>21</v>
      </c>
      <c r="C2918" s="9">
        <v>2023</v>
      </c>
      <c r="D2918" s="9"/>
      <c r="E2918" s="90" t="s">
        <v>1656</v>
      </c>
      <c r="F2918" s="9" t="s">
        <v>1658</v>
      </c>
      <c r="G2918" s="10"/>
      <c r="H2918" s="9"/>
      <c r="I2918" s="180" t="s">
        <v>1657</v>
      </c>
      <c r="J2918" s="12">
        <v>45108</v>
      </c>
      <c r="K2918" s="12"/>
      <c r="L2918" s="52"/>
      <c r="M2918" s="10" t="s">
        <v>1665</v>
      </c>
      <c r="N2918" s="231" t="s">
        <v>29</v>
      </c>
      <c r="O2918" s="11"/>
      <c r="P2918" s="39"/>
      <c r="Q2918" s="39"/>
      <c r="R2918" s="39"/>
      <c r="S2918" s="37">
        <f t="shared" si="626"/>
        <v>0</v>
      </c>
      <c r="T2918" s="37">
        <f t="shared" si="627"/>
        <v>0</v>
      </c>
      <c r="U2918" s="10"/>
      <c r="V2918" s="10"/>
      <c r="W2918" s="10"/>
      <c r="X2918" s="10"/>
      <c r="Y2918" s="10"/>
      <c r="Z2918" s="10"/>
      <c r="AA2918" s="10"/>
      <c r="AB2918" s="10"/>
      <c r="AC2918" s="10"/>
      <c r="AD2918" s="10"/>
      <c r="AE2918" s="10"/>
    </row>
    <row r="2919" spans="1:31" ht="14.25" customHeight="1">
      <c r="A2919" s="277" t="s">
        <v>6833</v>
      </c>
      <c r="B2919" s="9" t="s">
        <v>21</v>
      </c>
      <c r="C2919" s="9">
        <v>2023</v>
      </c>
      <c r="D2919" s="9"/>
      <c r="E2919" s="90" t="s">
        <v>1656</v>
      </c>
      <c r="F2919" s="9" t="s">
        <v>1658</v>
      </c>
      <c r="G2919" s="10"/>
      <c r="H2919" s="9"/>
      <c r="I2919" s="180" t="s">
        <v>1657</v>
      </c>
      <c r="J2919" s="12">
        <v>45139</v>
      </c>
      <c r="K2919" s="12"/>
      <c r="L2919" s="52"/>
      <c r="M2919" s="10" t="s">
        <v>1666</v>
      </c>
      <c r="N2919" s="231" t="s">
        <v>29</v>
      </c>
      <c r="O2919" s="11"/>
      <c r="P2919" s="39"/>
      <c r="Q2919" s="39"/>
      <c r="R2919" s="39"/>
      <c r="S2919" s="37">
        <f t="shared" si="626"/>
        <v>0</v>
      </c>
      <c r="T2919" s="37">
        <f t="shared" si="627"/>
        <v>0</v>
      </c>
      <c r="U2919" s="10"/>
      <c r="V2919" s="10"/>
      <c r="W2919" s="10"/>
      <c r="X2919" s="10"/>
      <c r="Y2919" s="10"/>
      <c r="Z2919" s="10"/>
      <c r="AA2919" s="10"/>
      <c r="AB2919" s="10"/>
      <c r="AC2919" s="10"/>
      <c r="AD2919" s="10"/>
      <c r="AE2919" s="10"/>
    </row>
    <row r="2920" spans="1:31" ht="14.25" customHeight="1">
      <c r="A2920" s="277" t="s">
        <v>6834</v>
      </c>
      <c r="B2920" s="9" t="s">
        <v>21</v>
      </c>
      <c r="C2920" s="9">
        <v>2023</v>
      </c>
      <c r="D2920" s="9"/>
      <c r="E2920" s="90" t="s">
        <v>1656</v>
      </c>
      <c r="F2920" s="9" t="s">
        <v>1658</v>
      </c>
      <c r="G2920" s="10"/>
      <c r="H2920" s="9"/>
      <c r="I2920" s="180" t="s">
        <v>1657</v>
      </c>
      <c r="J2920" s="12">
        <v>45170</v>
      </c>
      <c r="K2920" s="12"/>
      <c r="L2920" s="52"/>
      <c r="M2920" s="10" t="s">
        <v>1667</v>
      </c>
      <c r="N2920" s="231" t="s">
        <v>29</v>
      </c>
      <c r="O2920" s="11"/>
      <c r="P2920" s="39"/>
      <c r="Q2920" s="39"/>
      <c r="R2920" s="39"/>
      <c r="S2920" s="37">
        <f t="shared" si="626"/>
        <v>0</v>
      </c>
      <c r="T2920" s="37">
        <f t="shared" si="627"/>
        <v>0</v>
      </c>
      <c r="U2920" s="10"/>
      <c r="V2920" s="10"/>
      <c r="W2920" s="10"/>
      <c r="X2920" s="10"/>
      <c r="Y2920" s="10"/>
      <c r="Z2920" s="10"/>
      <c r="AA2920" s="10"/>
      <c r="AB2920" s="10"/>
      <c r="AC2920" s="10"/>
      <c r="AD2920" s="10"/>
      <c r="AE2920" s="10"/>
    </row>
    <row r="2921" spans="1:31" ht="14.25" customHeight="1">
      <c r="A2921" s="277" t="s">
        <v>6835</v>
      </c>
      <c r="B2921" s="9" t="s">
        <v>21</v>
      </c>
      <c r="C2921" s="9">
        <v>2023</v>
      </c>
      <c r="D2921" s="9"/>
      <c r="E2921" s="90" t="s">
        <v>1656</v>
      </c>
      <c r="F2921" s="9" t="s">
        <v>1658</v>
      </c>
      <c r="G2921" s="10"/>
      <c r="H2921" s="9"/>
      <c r="I2921" s="180" t="s">
        <v>1657</v>
      </c>
      <c r="J2921" s="12">
        <v>45200</v>
      </c>
      <c r="K2921" s="12"/>
      <c r="L2921" s="52"/>
      <c r="M2921" s="10" t="s">
        <v>1668</v>
      </c>
      <c r="N2921" s="231" t="s">
        <v>29</v>
      </c>
      <c r="O2921" s="11"/>
      <c r="P2921" s="39"/>
      <c r="Q2921" s="39"/>
      <c r="R2921" s="39"/>
      <c r="S2921" s="37">
        <f t="shared" si="626"/>
        <v>0</v>
      </c>
      <c r="T2921" s="37">
        <f t="shared" si="627"/>
        <v>0</v>
      </c>
      <c r="U2921" s="10"/>
      <c r="V2921" s="10"/>
      <c r="W2921" s="10"/>
      <c r="X2921" s="10"/>
      <c r="Y2921" s="10"/>
      <c r="Z2921" s="10"/>
      <c r="AA2921" s="10"/>
      <c r="AB2921" s="10"/>
      <c r="AC2921" s="10"/>
      <c r="AD2921" s="10"/>
      <c r="AE2921" s="10"/>
    </row>
    <row r="2922" spans="1:31" ht="14.25" customHeight="1">
      <c r="A2922" s="277" t="s">
        <v>6836</v>
      </c>
      <c r="B2922" s="9" t="s">
        <v>21</v>
      </c>
      <c r="C2922" s="9">
        <v>2023</v>
      </c>
      <c r="D2922" s="9"/>
      <c r="E2922" s="90" t="s">
        <v>1656</v>
      </c>
      <c r="F2922" s="9" t="s">
        <v>1658</v>
      </c>
      <c r="G2922" s="10"/>
      <c r="H2922" s="9"/>
      <c r="I2922" s="180" t="s">
        <v>1657</v>
      </c>
      <c r="J2922" s="12">
        <v>45231</v>
      </c>
      <c r="K2922" s="12"/>
      <c r="L2922" s="52"/>
      <c r="M2922" s="10" t="s">
        <v>1669</v>
      </c>
      <c r="N2922" s="231" t="s">
        <v>29</v>
      </c>
      <c r="O2922" s="125">
        <f>L2922</f>
        <v>0</v>
      </c>
      <c r="P2922" s="39"/>
      <c r="Q2922" s="39"/>
      <c r="R2922" s="39"/>
      <c r="S2922" s="37">
        <f t="shared" si="626"/>
        <v>0</v>
      </c>
      <c r="T2922" s="37">
        <f t="shared" si="627"/>
        <v>0</v>
      </c>
      <c r="U2922" s="10"/>
      <c r="V2922" s="10"/>
      <c r="W2922" s="10"/>
      <c r="X2922" s="10"/>
      <c r="Y2922" s="10"/>
      <c r="Z2922" s="10"/>
      <c r="AA2922" s="10"/>
      <c r="AB2922" s="10"/>
      <c r="AC2922" s="10"/>
      <c r="AD2922" s="10"/>
      <c r="AE2922" s="10"/>
    </row>
    <row r="2923" spans="1:31" ht="14.25" customHeight="1">
      <c r="A2923" s="277" t="s">
        <v>6837</v>
      </c>
      <c r="B2923" s="9" t="s">
        <v>21</v>
      </c>
      <c r="C2923" s="9">
        <v>2023</v>
      </c>
      <c r="D2923" s="9"/>
      <c r="E2923" s="90" t="s">
        <v>1656</v>
      </c>
      <c r="F2923" s="9" t="s">
        <v>1658</v>
      </c>
      <c r="G2923" s="10"/>
      <c r="H2923" s="9"/>
      <c r="I2923" s="180" t="s">
        <v>1657</v>
      </c>
      <c r="J2923" s="12">
        <v>45261</v>
      </c>
      <c r="K2923" s="12"/>
      <c r="L2923" s="52"/>
      <c r="M2923" s="10" t="s">
        <v>1670</v>
      </c>
      <c r="N2923" s="231" t="s">
        <v>29</v>
      </c>
      <c r="O2923" s="125">
        <f>L2923</f>
        <v>0</v>
      </c>
      <c r="P2923" s="39"/>
      <c r="Q2923" s="39"/>
      <c r="R2923" s="39"/>
      <c r="S2923" s="37">
        <f t="shared" si="626"/>
        <v>0</v>
      </c>
      <c r="T2923" s="37">
        <f t="shared" si="627"/>
        <v>0</v>
      </c>
      <c r="U2923" s="10"/>
      <c r="V2923" s="10"/>
      <c r="W2923" s="10"/>
      <c r="X2923" s="10"/>
      <c r="Y2923" s="10"/>
      <c r="Z2923" s="10"/>
      <c r="AA2923" s="10"/>
      <c r="AB2923" s="10"/>
      <c r="AC2923" s="10"/>
      <c r="AD2923" s="10"/>
      <c r="AE2923" s="10"/>
    </row>
    <row r="2924" spans="1:31" ht="14.25" customHeight="1">
      <c r="A2924" s="277" t="s">
        <v>6838</v>
      </c>
      <c r="B2924" s="9" t="s">
        <v>21</v>
      </c>
      <c r="C2924" s="9"/>
      <c r="D2924" s="9"/>
      <c r="E2924" s="90"/>
      <c r="F2924" s="9"/>
      <c r="G2924" s="10"/>
      <c r="H2924" s="9"/>
      <c r="I2924" s="11"/>
      <c r="J2924" s="12"/>
      <c r="K2924" s="12"/>
      <c r="L2924" s="52"/>
      <c r="M2924" s="10"/>
      <c r="N2924" s="114">
        <f ca="1">$J$3-J2924</f>
        <v>46240.46377638889</v>
      </c>
      <c r="O2924" s="11"/>
      <c r="P2924" s="39"/>
      <c r="Q2924" s="39"/>
      <c r="R2924" s="39"/>
      <c r="S2924" s="37">
        <f t="shared" si="626"/>
        <v>0</v>
      </c>
      <c r="T2924" s="37">
        <f t="shared" si="627"/>
        <v>0</v>
      </c>
      <c r="U2924" s="10"/>
      <c r="V2924" s="10"/>
      <c r="W2924" s="10"/>
      <c r="X2924" s="10"/>
      <c r="Y2924" s="10"/>
      <c r="Z2924" s="10"/>
      <c r="AA2924" s="10"/>
      <c r="AB2924" s="10"/>
      <c r="AC2924" s="10"/>
      <c r="AD2924" s="10"/>
      <c r="AE2924" s="10"/>
    </row>
    <row r="2925" spans="1:31" ht="14.25" customHeight="1">
      <c r="A2925" s="277" t="s">
        <v>6839</v>
      </c>
      <c r="B2925" s="9" t="s">
        <v>21</v>
      </c>
      <c r="C2925" s="9"/>
      <c r="D2925" s="9"/>
      <c r="E2925" s="90"/>
      <c r="F2925" s="9"/>
      <c r="G2925" s="9"/>
      <c r="H2925" s="93"/>
      <c r="I2925" s="11"/>
      <c r="J2925" s="12"/>
      <c r="K2925" s="12"/>
      <c r="L2925" s="118"/>
      <c r="M2925" s="103"/>
      <c r="N2925" s="33"/>
      <c r="O2925" s="33"/>
      <c r="P2925" s="33"/>
      <c r="Q2925" s="33"/>
      <c r="R2925" s="33"/>
      <c r="S2925" s="118"/>
      <c r="T2925" s="118"/>
      <c r="U2925" s="10"/>
      <c r="V2925" s="10"/>
      <c r="W2925" s="10"/>
      <c r="X2925" s="10"/>
      <c r="Y2925" s="10"/>
      <c r="Z2925" s="10"/>
      <c r="AA2925" s="10"/>
      <c r="AB2925" s="10"/>
      <c r="AC2925" s="10"/>
      <c r="AD2925" s="10"/>
      <c r="AE2925" s="10"/>
    </row>
    <row r="2926" spans="1:31" ht="14.25" customHeight="1">
      <c r="A2926" s="277" t="s">
        <v>6840</v>
      </c>
      <c r="B2926" s="9" t="s">
        <v>21</v>
      </c>
      <c r="C2926" s="9"/>
      <c r="D2926" s="9"/>
      <c r="E2926" s="90"/>
      <c r="F2926" s="9"/>
      <c r="G2926" s="94" t="s">
        <v>24</v>
      </c>
      <c r="H2926" s="95" t="s">
        <v>1671</v>
      </c>
      <c r="I2926" s="104"/>
      <c r="J2926" s="105"/>
      <c r="K2926" s="105"/>
      <c r="L2926" s="106">
        <f>SUM(L2927:L2939)</f>
        <v>36000000</v>
      </c>
      <c r="M2926" s="107"/>
      <c r="N2926" s="108" t="s">
        <v>26</v>
      </c>
      <c r="O2926" s="108"/>
      <c r="P2926" s="108"/>
      <c r="Q2926" s="108"/>
      <c r="R2926" s="108"/>
      <c r="S2926" s="106">
        <f>SUM(S2927:S2939)</f>
        <v>36000000</v>
      </c>
      <c r="T2926" s="106">
        <f>SUM(T2927:T2939)</f>
        <v>0</v>
      </c>
      <c r="U2926" s="10"/>
      <c r="V2926" s="52">
        <f>L2926-S2926</f>
        <v>0</v>
      </c>
      <c r="W2926" s="52">
        <f>T2926-V2926</f>
        <v>0</v>
      </c>
      <c r="X2926" s="10"/>
      <c r="Y2926" s="10"/>
      <c r="Z2926" s="10"/>
      <c r="AA2926" s="10"/>
      <c r="AB2926" s="10"/>
      <c r="AC2926" s="10"/>
      <c r="AD2926" s="10"/>
      <c r="AE2926" s="10"/>
    </row>
    <row r="2927" spans="1:31" ht="14.25" customHeight="1">
      <c r="A2927" s="277" t="s">
        <v>6841</v>
      </c>
      <c r="B2927" s="9" t="s">
        <v>21</v>
      </c>
      <c r="C2927" s="9">
        <v>2023</v>
      </c>
      <c r="D2927" s="9"/>
      <c r="E2927" s="90" t="s">
        <v>1656</v>
      </c>
      <c r="F2927" s="9" t="s">
        <v>1658</v>
      </c>
      <c r="G2927" s="10"/>
      <c r="H2927" s="9"/>
      <c r="I2927" s="180" t="s">
        <v>1671</v>
      </c>
      <c r="J2927" s="12">
        <v>44927</v>
      </c>
      <c r="K2927" s="12"/>
      <c r="L2927" s="52">
        <v>6000000</v>
      </c>
      <c r="M2927" s="10" t="s">
        <v>1672</v>
      </c>
      <c r="N2927" s="231" t="s">
        <v>29</v>
      </c>
      <c r="O2927" s="125">
        <f t="shared" ref="O2927:O2932" si="628">L2927</f>
        <v>6000000</v>
      </c>
      <c r="P2927" s="39"/>
      <c r="Q2927" s="39"/>
      <c r="R2927" s="40">
        <v>44952</v>
      </c>
      <c r="S2927" s="37">
        <f t="shared" ref="S2927:S2939" si="629">IF(R2927="",0,L2927)</f>
        <v>6000000</v>
      </c>
      <c r="T2927" s="37">
        <f t="shared" ref="T2927:T2939" si="630">L2927-S2927</f>
        <v>0</v>
      </c>
      <c r="U2927" s="10"/>
      <c r="V2927" s="10"/>
      <c r="W2927" s="10"/>
      <c r="X2927" s="10"/>
      <c r="Y2927" s="10"/>
      <c r="Z2927" s="10"/>
      <c r="AA2927" s="10"/>
      <c r="AB2927" s="10"/>
      <c r="AC2927" s="10"/>
      <c r="AD2927" s="10"/>
      <c r="AE2927" s="10"/>
    </row>
    <row r="2928" spans="1:31" ht="14.25" customHeight="1">
      <c r="A2928" s="277" t="s">
        <v>7294</v>
      </c>
      <c r="B2928" s="9" t="s">
        <v>21</v>
      </c>
      <c r="C2928" s="9">
        <v>2023</v>
      </c>
      <c r="D2928" s="9"/>
      <c r="E2928" s="90" t="s">
        <v>1656</v>
      </c>
      <c r="F2928" s="9" t="s">
        <v>1658</v>
      </c>
      <c r="G2928" s="10"/>
      <c r="H2928" s="9"/>
      <c r="I2928" s="180" t="s">
        <v>1671</v>
      </c>
      <c r="J2928" s="12">
        <v>44958</v>
      </c>
      <c r="K2928" s="12"/>
      <c r="L2928" s="52">
        <v>6000000</v>
      </c>
      <c r="M2928" s="10" t="s">
        <v>1673</v>
      </c>
      <c r="N2928" s="231" t="s">
        <v>29</v>
      </c>
      <c r="O2928" s="125">
        <f t="shared" si="628"/>
        <v>6000000</v>
      </c>
      <c r="P2928" s="39"/>
      <c r="Q2928" s="39"/>
      <c r="R2928" s="40">
        <v>44983</v>
      </c>
      <c r="S2928" s="37">
        <f t="shared" si="629"/>
        <v>6000000</v>
      </c>
      <c r="T2928" s="37">
        <f t="shared" si="630"/>
        <v>0</v>
      </c>
      <c r="U2928" s="10"/>
      <c r="V2928" s="10"/>
      <c r="W2928" s="10"/>
      <c r="X2928" s="10"/>
      <c r="Y2928" s="10"/>
      <c r="Z2928" s="10"/>
      <c r="AA2928" s="10"/>
      <c r="AB2928" s="10"/>
      <c r="AC2928" s="10"/>
      <c r="AD2928" s="10"/>
      <c r="AE2928" s="10"/>
    </row>
    <row r="2929" spans="1:31" ht="14.25" customHeight="1">
      <c r="A2929" s="277" t="s">
        <v>7295</v>
      </c>
      <c r="B2929" s="9" t="s">
        <v>21</v>
      </c>
      <c r="C2929" s="9">
        <v>2023</v>
      </c>
      <c r="D2929" s="9"/>
      <c r="E2929" s="90" t="s">
        <v>1656</v>
      </c>
      <c r="F2929" s="9" t="s">
        <v>1658</v>
      </c>
      <c r="G2929" s="10"/>
      <c r="H2929" s="9"/>
      <c r="I2929" s="180" t="s">
        <v>1671</v>
      </c>
      <c r="J2929" s="12">
        <v>44986</v>
      </c>
      <c r="K2929" s="12"/>
      <c r="L2929" s="52">
        <v>6000000</v>
      </c>
      <c r="M2929" s="10" t="s">
        <v>1674</v>
      </c>
      <c r="N2929" s="231" t="s">
        <v>29</v>
      </c>
      <c r="O2929" s="125">
        <f t="shared" si="628"/>
        <v>6000000</v>
      </c>
      <c r="P2929" s="39"/>
      <c r="Q2929" s="39"/>
      <c r="R2929" s="40">
        <v>45011</v>
      </c>
      <c r="S2929" s="37">
        <f t="shared" si="629"/>
        <v>6000000</v>
      </c>
      <c r="T2929" s="37">
        <f t="shared" si="630"/>
        <v>0</v>
      </c>
      <c r="U2929" s="10"/>
      <c r="V2929" s="10"/>
      <c r="W2929" s="10"/>
      <c r="X2929" s="10"/>
      <c r="Y2929" s="10"/>
      <c r="Z2929" s="10"/>
      <c r="AA2929" s="10"/>
      <c r="AB2929" s="10"/>
      <c r="AC2929" s="10"/>
      <c r="AD2929" s="10"/>
      <c r="AE2929" s="10"/>
    </row>
    <row r="2930" spans="1:31" ht="14.25" customHeight="1">
      <c r="A2930" s="277" t="s">
        <v>7296</v>
      </c>
      <c r="B2930" s="9" t="s">
        <v>21</v>
      </c>
      <c r="C2930" s="9">
        <v>2023</v>
      </c>
      <c r="D2930" s="9"/>
      <c r="E2930" s="90" t="s">
        <v>1656</v>
      </c>
      <c r="F2930" s="9" t="s">
        <v>1658</v>
      </c>
      <c r="G2930" s="10"/>
      <c r="H2930" s="9"/>
      <c r="I2930" s="180" t="s">
        <v>1671</v>
      </c>
      <c r="J2930" s="12">
        <v>45017</v>
      </c>
      <c r="K2930" s="12"/>
      <c r="L2930" s="52">
        <v>6000000</v>
      </c>
      <c r="M2930" s="10" t="s">
        <v>1675</v>
      </c>
      <c r="N2930" s="231" t="s">
        <v>29</v>
      </c>
      <c r="O2930" s="125">
        <f t="shared" si="628"/>
        <v>6000000</v>
      </c>
      <c r="P2930" s="39"/>
      <c r="Q2930" s="39"/>
      <c r="R2930" s="40">
        <v>45042</v>
      </c>
      <c r="S2930" s="37">
        <f t="shared" si="629"/>
        <v>6000000</v>
      </c>
      <c r="T2930" s="37">
        <f t="shared" si="630"/>
        <v>0</v>
      </c>
      <c r="U2930" s="10"/>
      <c r="V2930" s="10"/>
      <c r="W2930" s="10"/>
      <c r="X2930" s="10"/>
      <c r="Y2930" s="10"/>
      <c r="Z2930" s="10"/>
      <c r="AA2930" s="10"/>
      <c r="AB2930" s="10"/>
      <c r="AC2930" s="10"/>
      <c r="AD2930" s="10"/>
      <c r="AE2930" s="10"/>
    </row>
    <row r="2931" spans="1:31" ht="14.25" customHeight="1">
      <c r="A2931" s="277" t="s">
        <v>7297</v>
      </c>
      <c r="B2931" s="9" t="s">
        <v>21</v>
      </c>
      <c r="C2931" s="9">
        <v>2023</v>
      </c>
      <c r="D2931" s="9"/>
      <c r="E2931" s="90" t="s">
        <v>1656</v>
      </c>
      <c r="F2931" s="9" t="s">
        <v>1658</v>
      </c>
      <c r="G2931" s="10"/>
      <c r="H2931" s="9"/>
      <c r="I2931" s="180" t="s">
        <v>1671</v>
      </c>
      <c r="J2931" s="12">
        <v>45047</v>
      </c>
      <c r="K2931" s="12"/>
      <c r="L2931" s="52">
        <v>6000000</v>
      </c>
      <c r="M2931" s="10" t="s">
        <v>1676</v>
      </c>
      <c r="N2931" s="231" t="s">
        <v>29</v>
      </c>
      <c r="O2931" s="125">
        <f t="shared" si="628"/>
        <v>6000000</v>
      </c>
      <c r="P2931" s="39"/>
      <c r="Q2931" s="39"/>
      <c r="R2931" s="40">
        <v>45072</v>
      </c>
      <c r="S2931" s="37">
        <f t="shared" si="629"/>
        <v>6000000</v>
      </c>
      <c r="T2931" s="37">
        <f t="shared" si="630"/>
        <v>0</v>
      </c>
      <c r="U2931" s="10"/>
      <c r="V2931" s="10"/>
      <c r="W2931" s="10"/>
      <c r="X2931" s="10"/>
      <c r="Y2931" s="10"/>
      <c r="Z2931" s="10"/>
      <c r="AA2931" s="10"/>
      <c r="AB2931" s="10"/>
      <c r="AC2931" s="10"/>
      <c r="AD2931" s="10"/>
      <c r="AE2931" s="10"/>
    </row>
    <row r="2932" spans="1:31" ht="14.25" customHeight="1">
      <c r="A2932" s="277" t="s">
        <v>7298</v>
      </c>
      <c r="B2932" s="9" t="s">
        <v>21</v>
      </c>
      <c r="C2932" s="9">
        <v>2023</v>
      </c>
      <c r="D2932" s="9"/>
      <c r="E2932" s="90" t="s">
        <v>1656</v>
      </c>
      <c r="F2932" s="9" t="s">
        <v>1658</v>
      </c>
      <c r="G2932" s="10"/>
      <c r="H2932" s="9"/>
      <c r="I2932" s="180" t="s">
        <v>1671</v>
      </c>
      <c r="J2932" s="12">
        <v>45078</v>
      </c>
      <c r="K2932" s="12"/>
      <c r="L2932" s="52">
        <v>6000000</v>
      </c>
      <c r="M2932" s="10" t="s">
        <v>1677</v>
      </c>
      <c r="N2932" s="231" t="s">
        <v>29</v>
      </c>
      <c r="O2932" s="125">
        <f t="shared" si="628"/>
        <v>6000000</v>
      </c>
      <c r="P2932" s="39"/>
      <c r="Q2932" s="39"/>
      <c r="R2932" s="40">
        <v>45103</v>
      </c>
      <c r="S2932" s="37">
        <f t="shared" si="629"/>
        <v>6000000</v>
      </c>
      <c r="T2932" s="37">
        <f t="shared" si="630"/>
        <v>0</v>
      </c>
      <c r="U2932" s="10"/>
      <c r="V2932" s="10"/>
      <c r="W2932" s="10"/>
      <c r="X2932" s="10"/>
      <c r="Y2932" s="10"/>
      <c r="Z2932" s="10"/>
      <c r="AA2932" s="10"/>
      <c r="AB2932" s="10"/>
      <c r="AC2932" s="10"/>
      <c r="AD2932" s="10"/>
      <c r="AE2932" s="10"/>
    </row>
    <row r="2933" spans="1:31" ht="14.25" customHeight="1">
      <c r="A2933" s="277" t="s">
        <v>7299</v>
      </c>
      <c r="B2933" s="9" t="s">
        <v>21</v>
      </c>
      <c r="C2933" s="9">
        <v>2023</v>
      </c>
      <c r="D2933" s="9"/>
      <c r="E2933" s="90" t="s">
        <v>1656</v>
      </c>
      <c r="F2933" s="9" t="s">
        <v>1658</v>
      </c>
      <c r="G2933" s="10"/>
      <c r="H2933" s="9"/>
      <c r="I2933" s="180" t="s">
        <v>1671</v>
      </c>
      <c r="J2933" s="12">
        <v>45108</v>
      </c>
      <c r="K2933" s="12"/>
      <c r="L2933" s="52"/>
      <c r="M2933" s="10" t="s">
        <v>1678</v>
      </c>
      <c r="N2933" s="231" t="s">
        <v>29</v>
      </c>
      <c r="O2933" s="11"/>
      <c r="P2933" s="39"/>
      <c r="Q2933" s="39"/>
      <c r="R2933" s="39"/>
      <c r="S2933" s="37">
        <f t="shared" si="629"/>
        <v>0</v>
      </c>
      <c r="T2933" s="37">
        <f t="shared" si="630"/>
        <v>0</v>
      </c>
      <c r="U2933" s="10"/>
      <c r="V2933" s="10"/>
      <c r="W2933" s="10"/>
      <c r="X2933" s="10"/>
      <c r="Y2933" s="10"/>
      <c r="Z2933" s="10"/>
      <c r="AA2933" s="10"/>
      <c r="AB2933" s="10"/>
      <c r="AC2933" s="10"/>
      <c r="AD2933" s="10"/>
      <c r="AE2933" s="10"/>
    </row>
    <row r="2934" spans="1:31" ht="14.25" customHeight="1">
      <c r="A2934" s="277" t="s">
        <v>7300</v>
      </c>
      <c r="B2934" s="9" t="s">
        <v>21</v>
      </c>
      <c r="C2934" s="9">
        <v>2023</v>
      </c>
      <c r="D2934" s="9"/>
      <c r="E2934" s="90" t="s">
        <v>1656</v>
      </c>
      <c r="F2934" s="9" t="s">
        <v>1658</v>
      </c>
      <c r="G2934" s="10"/>
      <c r="H2934" s="9"/>
      <c r="I2934" s="180" t="s">
        <v>1671</v>
      </c>
      <c r="J2934" s="12">
        <v>45139</v>
      </c>
      <c r="K2934" s="12"/>
      <c r="L2934" s="52"/>
      <c r="M2934" s="10" t="s">
        <v>1679</v>
      </c>
      <c r="N2934" s="231" t="s">
        <v>29</v>
      </c>
      <c r="O2934" s="11"/>
      <c r="P2934" s="39"/>
      <c r="Q2934" s="39"/>
      <c r="R2934" s="39"/>
      <c r="S2934" s="37">
        <f t="shared" si="629"/>
        <v>0</v>
      </c>
      <c r="T2934" s="37">
        <f t="shared" si="630"/>
        <v>0</v>
      </c>
      <c r="U2934" s="10"/>
      <c r="V2934" s="10"/>
      <c r="W2934" s="10"/>
      <c r="X2934" s="10"/>
      <c r="Y2934" s="10"/>
      <c r="Z2934" s="10"/>
      <c r="AA2934" s="10"/>
      <c r="AB2934" s="10"/>
      <c r="AC2934" s="10"/>
      <c r="AD2934" s="10"/>
      <c r="AE2934" s="10"/>
    </row>
    <row r="2935" spans="1:31" ht="14.25" customHeight="1">
      <c r="A2935" s="277" t="s">
        <v>6842</v>
      </c>
      <c r="B2935" s="9" t="s">
        <v>21</v>
      </c>
      <c r="C2935" s="9">
        <v>2023</v>
      </c>
      <c r="D2935" s="9"/>
      <c r="E2935" s="90" t="s">
        <v>1656</v>
      </c>
      <c r="F2935" s="9" t="s">
        <v>1658</v>
      </c>
      <c r="G2935" s="10"/>
      <c r="H2935" s="9"/>
      <c r="I2935" s="180" t="s">
        <v>1671</v>
      </c>
      <c r="J2935" s="12">
        <v>45170</v>
      </c>
      <c r="K2935" s="12"/>
      <c r="L2935" s="52"/>
      <c r="M2935" s="10" t="s">
        <v>1680</v>
      </c>
      <c r="N2935" s="231" t="s">
        <v>29</v>
      </c>
      <c r="O2935" s="11"/>
      <c r="P2935" s="39"/>
      <c r="Q2935" s="39"/>
      <c r="R2935" s="39"/>
      <c r="S2935" s="37">
        <f t="shared" si="629"/>
        <v>0</v>
      </c>
      <c r="T2935" s="37">
        <f t="shared" si="630"/>
        <v>0</v>
      </c>
      <c r="U2935" s="10"/>
      <c r="V2935" s="10"/>
      <c r="W2935" s="10"/>
      <c r="X2935" s="10"/>
      <c r="Y2935" s="10"/>
      <c r="Z2935" s="10"/>
      <c r="AA2935" s="10"/>
      <c r="AB2935" s="10"/>
      <c r="AC2935" s="10"/>
      <c r="AD2935" s="10"/>
      <c r="AE2935" s="10"/>
    </row>
    <row r="2936" spans="1:31" ht="14.25" customHeight="1">
      <c r="A2936" s="277" t="s">
        <v>6843</v>
      </c>
      <c r="B2936" s="9" t="s">
        <v>21</v>
      </c>
      <c r="C2936" s="9">
        <v>2023</v>
      </c>
      <c r="D2936" s="9"/>
      <c r="E2936" s="90" t="s">
        <v>1656</v>
      </c>
      <c r="F2936" s="9" t="s">
        <v>1658</v>
      </c>
      <c r="G2936" s="10"/>
      <c r="H2936" s="9"/>
      <c r="I2936" s="180" t="s">
        <v>1671</v>
      </c>
      <c r="J2936" s="12">
        <v>45200</v>
      </c>
      <c r="K2936" s="12"/>
      <c r="L2936" s="52"/>
      <c r="M2936" s="10" t="s">
        <v>1681</v>
      </c>
      <c r="N2936" s="231" t="s">
        <v>29</v>
      </c>
      <c r="O2936" s="11"/>
      <c r="P2936" s="39"/>
      <c r="Q2936" s="39"/>
      <c r="R2936" s="39"/>
      <c r="S2936" s="37">
        <f t="shared" si="629"/>
        <v>0</v>
      </c>
      <c r="T2936" s="37">
        <f t="shared" si="630"/>
        <v>0</v>
      </c>
      <c r="U2936" s="10"/>
      <c r="V2936" s="10"/>
      <c r="W2936" s="10"/>
      <c r="X2936" s="10"/>
      <c r="Y2936" s="10"/>
      <c r="Z2936" s="10"/>
      <c r="AA2936" s="10"/>
      <c r="AB2936" s="10"/>
      <c r="AC2936" s="10"/>
      <c r="AD2936" s="10"/>
      <c r="AE2936" s="10"/>
    </row>
    <row r="2937" spans="1:31" ht="14.25" customHeight="1">
      <c r="A2937" s="277" t="s">
        <v>6844</v>
      </c>
      <c r="B2937" s="9" t="s">
        <v>21</v>
      </c>
      <c r="C2937" s="9">
        <v>2023</v>
      </c>
      <c r="D2937" s="9"/>
      <c r="E2937" s="90" t="s">
        <v>1656</v>
      </c>
      <c r="F2937" s="9" t="s">
        <v>1658</v>
      </c>
      <c r="G2937" s="10"/>
      <c r="H2937" s="9"/>
      <c r="I2937" s="180" t="s">
        <v>1671</v>
      </c>
      <c r="J2937" s="12">
        <v>45231</v>
      </c>
      <c r="K2937" s="12"/>
      <c r="L2937" s="52"/>
      <c r="M2937" s="10" t="s">
        <v>1682</v>
      </c>
      <c r="N2937" s="231" t="s">
        <v>29</v>
      </c>
      <c r="O2937" s="125">
        <f>L2937</f>
        <v>0</v>
      </c>
      <c r="P2937" s="39"/>
      <c r="Q2937" s="39"/>
      <c r="R2937" s="39"/>
      <c r="S2937" s="37">
        <f t="shared" si="629"/>
        <v>0</v>
      </c>
      <c r="T2937" s="37">
        <f t="shared" si="630"/>
        <v>0</v>
      </c>
      <c r="U2937" s="10"/>
      <c r="V2937" s="10"/>
      <c r="W2937" s="10"/>
      <c r="X2937" s="10"/>
      <c r="Y2937" s="10"/>
      <c r="Z2937" s="10"/>
      <c r="AA2937" s="10"/>
      <c r="AB2937" s="10"/>
      <c r="AC2937" s="10"/>
      <c r="AD2937" s="10"/>
      <c r="AE2937" s="10"/>
    </row>
    <row r="2938" spans="1:31" ht="14.25" customHeight="1">
      <c r="A2938" s="277" t="s">
        <v>6845</v>
      </c>
      <c r="B2938" s="9" t="s">
        <v>21</v>
      </c>
      <c r="C2938" s="9">
        <v>2023</v>
      </c>
      <c r="D2938" s="9"/>
      <c r="E2938" s="90" t="s">
        <v>1656</v>
      </c>
      <c r="F2938" s="9" t="s">
        <v>1658</v>
      </c>
      <c r="G2938" s="10"/>
      <c r="H2938" s="9"/>
      <c r="I2938" s="180" t="s">
        <v>1671</v>
      </c>
      <c r="J2938" s="12">
        <v>45261</v>
      </c>
      <c r="K2938" s="12"/>
      <c r="L2938" s="52"/>
      <c r="M2938" s="10" t="s">
        <v>1683</v>
      </c>
      <c r="N2938" s="231" t="s">
        <v>29</v>
      </c>
      <c r="O2938" s="125">
        <f>L2938</f>
        <v>0</v>
      </c>
      <c r="P2938" s="39"/>
      <c r="Q2938" s="39"/>
      <c r="R2938" s="39"/>
      <c r="S2938" s="37">
        <f t="shared" si="629"/>
        <v>0</v>
      </c>
      <c r="T2938" s="37">
        <f t="shared" si="630"/>
        <v>0</v>
      </c>
      <c r="U2938" s="10"/>
      <c r="V2938" s="10"/>
      <c r="W2938" s="10"/>
      <c r="X2938" s="10"/>
      <c r="Y2938" s="10"/>
      <c r="Z2938" s="10"/>
      <c r="AA2938" s="10"/>
      <c r="AB2938" s="10"/>
      <c r="AC2938" s="10"/>
      <c r="AD2938" s="10"/>
      <c r="AE2938" s="10"/>
    </row>
    <row r="2939" spans="1:31" ht="14.25" customHeight="1">
      <c r="A2939" s="277" t="s">
        <v>6846</v>
      </c>
      <c r="B2939" s="9" t="s">
        <v>21</v>
      </c>
      <c r="C2939" s="9"/>
      <c r="D2939" s="9"/>
      <c r="E2939" s="90"/>
      <c r="F2939" s="9"/>
      <c r="G2939" s="10"/>
      <c r="H2939" s="9"/>
      <c r="I2939" s="11"/>
      <c r="J2939" s="12"/>
      <c r="K2939" s="12"/>
      <c r="L2939" s="52"/>
      <c r="M2939" s="10"/>
      <c r="N2939" s="114">
        <f ca="1">$J$3-J2939</f>
        <v>46240.46377638889</v>
      </c>
      <c r="O2939" s="11"/>
      <c r="P2939" s="39"/>
      <c r="Q2939" s="39"/>
      <c r="R2939" s="39"/>
      <c r="S2939" s="37">
        <f t="shared" si="629"/>
        <v>0</v>
      </c>
      <c r="T2939" s="37">
        <f t="shared" si="630"/>
        <v>0</v>
      </c>
      <c r="U2939" s="10"/>
      <c r="V2939" s="10"/>
      <c r="W2939" s="10"/>
      <c r="X2939" s="10"/>
      <c r="Y2939" s="10"/>
      <c r="Z2939" s="10"/>
      <c r="AA2939" s="10"/>
      <c r="AB2939" s="10"/>
      <c r="AC2939" s="10"/>
      <c r="AD2939" s="10"/>
      <c r="AE2939" s="10"/>
    </row>
    <row r="2940" spans="1:31" ht="14.25" customHeight="1">
      <c r="A2940" s="277" t="s">
        <v>6847</v>
      </c>
      <c r="B2940" s="9" t="s">
        <v>21</v>
      </c>
      <c r="C2940" s="9"/>
      <c r="D2940" s="9"/>
      <c r="E2940" s="90"/>
      <c r="F2940" s="9"/>
      <c r="G2940" s="9"/>
      <c r="H2940" s="93"/>
      <c r="I2940" s="11"/>
      <c r="J2940" s="12"/>
      <c r="K2940" s="12"/>
      <c r="L2940" s="118"/>
      <c r="M2940" s="103"/>
      <c r="N2940" s="33"/>
      <c r="O2940" s="33"/>
      <c r="P2940" s="33"/>
      <c r="Q2940" s="33"/>
      <c r="R2940" s="33"/>
      <c r="S2940" s="118"/>
      <c r="T2940" s="118"/>
      <c r="U2940" s="10"/>
      <c r="V2940" s="10"/>
      <c r="W2940" s="10"/>
      <c r="X2940" s="10"/>
      <c r="Y2940" s="10"/>
      <c r="Z2940" s="10"/>
      <c r="AA2940" s="10"/>
      <c r="AB2940" s="10"/>
      <c r="AC2940" s="10"/>
      <c r="AD2940" s="10"/>
      <c r="AE2940" s="10"/>
    </row>
    <row r="2941" spans="1:31" ht="14.25" customHeight="1">
      <c r="A2941" s="277" t="s">
        <v>6848</v>
      </c>
      <c r="B2941" s="9" t="s">
        <v>21</v>
      </c>
      <c r="C2941" s="9"/>
      <c r="D2941" s="9"/>
      <c r="E2941" s="90"/>
      <c r="F2941" s="9"/>
      <c r="G2941" s="94" t="s">
        <v>24</v>
      </c>
      <c r="H2941" s="95" t="s">
        <v>1684</v>
      </c>
      <c r="I2941" s="104"/>
      <c r="J2941" s="105"/>
      <c r="K2941" s="105"/>
      <c r="L2941" s="106">
        <f>SUM(L2942:L2954)</f>
        <v>30000000</v>
      </c>
      <c r="M2941" s="107"/>
      <c r="N2941" s="108" t="s">
        <v>26</v>
      </c>
      <c r="O2941" s="108"/>
      <c r="P2941" s="108"/>
      <c r="Q2941" s="108"/>
      <c r="R2941" s="108"/>
      <c r="S2941" s="106">
        <f>SUM(S2942:S2954)</f>
        <v>30000000</v>
      </c>
      <c r="T2941" s="106">
        <f>SUM(T2942:T2954)</f>
        <v>0</v>
      </c>
      <c r="U2941" s="10"/>
      <c r="V2941" s="52">
        <f>L2941-S2941</f>
        <v>0</v>
      </c>
      <c r="W2941" s="52">
        <f>T2941-V2941</f>
        <v>0</v>
      </c>
      <c r="X2941" s="10"/>
      <c r="Y2941" s="10"/>
      <c r="Z2941" s="10"/>
      <c r="AA2941" s="10"/>
      <c r="AB2941" s="10"/>
      <c r="AC2941" s="10"/>
      <c r="AD2941" s="10"/>
      <c r="AE2941" s="10"/>
    </row>
    <row r="2942" spans="1:31" ht="14.25" customHeight="1">
      <c r="A2942" s="277" t="s">
        <v>6849</v>
      </c>
      <c r="B2942" s="9" t="s">
        <v>21</v>
      </c>
      <c r="C2942" s="9">
        <v>2023</v>
      </c>
      <c r="D2942" s="9"/>
      <c r="E2942" s="90" t="s">
        <v>1656</v>
      </c>
      <c r="F2942" s="9" t="s">
        <v>1658</v>
      </c>
      <c r="G2942" s="10"/>
      <c r="H2942" s="9"/>
      <c r="I2942" s="180" t="s">
        <v>1684</v>
      </c>
      <c r="J2942" s="12">
        <v>44927</v>
      </c>
      <c r="K2942" s="12"/>
      <c r="L2942" s="52">
        <v>5000000</v>
      </c>
      <c r="M2942" s="10" t="s">
        <v>1685</v>
      </c>
      <c r="N2942" s="231" t="s">
        <v>29</v>
      </c>
      <c r="O2942" s="125">
        <f t="shared" ref="O2942:O2947" si="631">L2942</f>
        <v>5000000</v>
      </c>
      <c r="P2942" s="39"/>
      <c r="Q2942" s="39"/>
      <c r="R2942" s="40">
        <v>44952</v>
      </c>
      <c r="S2942" s="37">
        <f t="shared" ref="S2942:S2954" si="632">IF(R2942="",0,L2942)</f>
        <v>5000000</v>
      </c>
      <c r="T2942" s="37">
        <f t="shared" ref="T2942:T2954" si="633">L2942-S2942</f>
        <v>0</v>
      </c>
      <c r="U2942" s="10"/>
      <c r="V2942" s="10"/>
      <c r="W2942" s="10"/>
      <c r="X2942" s="10"/>
      <c r="Y2942" s="10"/>
      <c r="Z2942" s="10"/>
      <c r="AA2942" s="10"/>
      <c r="AB2942" s="10"/>
      <c r="AC2942" s="10"/>
      <c r="AD2942" s="10"/>
      <c r="AE2942" s="10"/>
    </row>
    <row r="2943" spans="1:31" ht="14.25" customHeight="1">
      <c r="A2943" s="277" t="s">
        <v>6850</v>
      </c>
      <c r="B2943" s="9" t="s">
        <v>21</v>
      </c>
      <c r="C2943" s="9">
        <v>2023</v>
      </c>
      <c r="D2943" s="9"/>
      <c r="E2943" s="90" t="s">
        <v>1656</v>
      </c>
      <c r="F2943" s="9" t="s">
        <v>1658</v>
      </c>
      <c r="G2943" s="10"/>
      <c r="H2943" s="9"/>
      <c r="I2943" s="180" t="s">
        <v>1684</v>
      </c>
      <c r="J2943" s="12">
        <v>44958</v>
      </c>
      <c r="K2943" s="12"/>
      <c r="L2943" s="52">
        <v>5000000</v>
      </c>
      <c r="M2943" s="10" t="s">
        <v>1686</v>
      </c>
      <c r="N2943" s="231" t="s">
        <v>29</v>
      </c>
      <c r="O2943" s="125">
        <f t="shared" si="631"/>
        <v>5000000</v>
      </c>
      <c r="P2943" s="39"/>
      <c r="Q2943" s="39"/>
      <c r="R2943" s="40">
        <v>44983</v>
      </c>
      <c r="S2943" s="37">
        <f t="shared" si="632"/>
        <v>5000000</v>
      </c>
      <c r="T2943" s="37">
        <f t="shared" si="633"/>
        <v>0</v>
      </c>
      <c r="U2943" s="10"/>
      <c r="V2943" s="10"/>
      <c r="W2943" s="10"/>
      <c r="X2943" s="10"/>
      <c r="Y2943" s="10"/>
      <c r="Z2943" s="10"/>
      <c r="AA2943" s="10"/>
      <c r="AB2943" s="10"/>
      <c r="AC2943" s="10"/>
      <c r="AD2943" s="10"/>
      <c r="AE2943" s="10"/>
    </row>
    <row r="2944" spans="1:31" ht="14.25" customHeight="1">
      <c r="A2944" s="277" t="s">
        <v>6851</v>
      </c>
      <c r="B2944" s="9" t="s">
        <v>21</v>
      </c>
      <c r="C2944" s="9">
        <v>2023</v>
      </c>
      <c r="D2944" s="9"/>
      <c r="E2944" s="90" t="s">
        <v>1656</v>
      </c>
      <c r="F2944" s="9" t="s">
        <v>1658</v>
      </c>
      <c r="G2944" s="10"/>
      <c r="H2944" s="9"/>
      <c r="I2944" s="180" t="s">
        <v>1684</v>
      </c>
      <c r="J2944" s="12">
        <v>44986</v>
      </c>
      <c r="K2944" s="12"/>
      <c r="L2944" s="52">
        <v>5000000</v>
      </c>
      <c r="M2944" s="10" t="s">
        <v>1687</v>
      </c>
      <c r="N2944" s="231" t="s">
        <v>29</v>
      </c>
      <c r="O2944" s="125">
        <f t="shared" si="631"/>
        <v>5000000</v>
      </c>
      <c r="P2944" s="39"/>
      <c r="Q2944" s="39"/>
      <c r="R2944" s="40">
        <v>45011</v>
      </c>
      <c r="S2944" s="37">
        <f t="shared" si="632"/>
        <v>5000000</v>
      </c>
      <c r="T2944" s="37">
        <f t="shared" si="633"/>
        <v>0</v>
      </c>
      <c r="U2944" s="10"/>
      <c r="V2944" s="10"/>
      <c r="W2944" s="10"/>
      <c r="X2944" s="10"/>
      <c r="Y2944" s="10"/>
      <c r="Z2944" s="10"/>
      <c r="AA2944" s="10"/>
      <c r="AB2944" s="10"/>
      <c r="AC2944" s="10"/>
      <c r="AD2944" s="10"/>
      <c r="AE2944" s="10"/>
    </row>
    <row r="2945" spans="1:31" ht="14.25" customHeight="1">
      <c r="A2945" s="277" t="s">
        <v>6852</v>
      </c>
      <c r="B2945" s="9" t="s">
        <v>21</v>
      </c>
      <c r="C2945" s="9">
        <v>2023</v>
      </c>
      <c r="D2945" s="9"/>
      <c r="E2945" s="90" t="s">
        <v>1656</v>
      </c>
      <c r="F2945" s="9" t="s">
        <v>1658</v>
      </c>
      <c r="G2945" s="10"/>
      <c r="H2945" s="9"/>
      <c r="I2945" s="180" t="s">
        <v>1684</v>
      </c>
      <c r="J2945" s="12">
        <v>45017</v>
      </c>
      <c r="K2945" s="12"/>
      <c r="L2945" s="52">
        <v>5000000</v>
      </c>
      <c r="M2945" s="10" t="s">
        <v>1688</v>
      </c>
      <c r="N2945" s="231" t="s">
        <v>29</v>
      </c>
      <c r="O2945" s="125">
        <f t="shared" si="631"/>
        <v>5000000</v>
      </c>
      <c r="P2945" s="39"/>
      <c r="Q2945" s="39"/>
      <c r="R2945" s="40">
        <v>45042</v>
      </c>
      <c r="S2945" s="37">
        <f t="shared" si="632"/>
        <v>5000000</v>
      </c>
      <c r="T2945" s="37">
        <f t="shared" si="633"/>
        <v>0</v>
      </c>
      <c r="U2945" s="10"/>
      <c r="V2945" s="10"/>
      <c r="W2945" s="10"/>
      <c r="X2945" s="10"/>
      <c r="Y2945" s="10"/>
      <c r="Z2945" s="10"/>
      <c r="AA2945" s="10"/>
      <c r="AB2945" s="10"/>
      <c r="AC2945" s="10"/>
      <c r="AD2945" s="10"/>
      <c r="AE2945" s="10"/>
    </row>
    <row r="2946" spans="1:31" ht="14.25" customHeight="1">
      <c r="A2946" s="277" t="s">
        <v>6853</v>
      </c>
      <c r="B2946" s="9" t="s">
        <v>21</v>
      </c>
      <c r="C2946" s="9">
        <v>2023</v>
      </c>
      <c r="D2946" s="9"/>
      <c r="E2946" s="90" t="s">
        <v>1656</v>
      </c>
      <c r="F2946" s="9" t="s">
        <v>1658</v>
      </c>
      <c r="G2946" s="10"/>
      <c r="H2946" s="9"/>
      <c r="I2946" s="180" t="s">
        <v>1684</v>
      </c>
      <c r="J2946" s="12">
        <v>45047</v>
      </c>
      <c r="K2946" s="12"/>
      <c r="L2946" s="52">
        <v>5000000</v>
      </c>
      <c r="M2946" s="10" t="s">
        <v>1689</v>
      </c>
      <c r="N2946" s="231" t="s">
        <v>29</v>
      </c>
      <c r="O2946" s="125">
        <f t="shared" si="631"/>
        <v>5000000</v>
      </c>
      <c r="P2946" s="39"/>
      <c r="Q2946" s="39"/>
      <c r="R2946" s="40">
        <v>45072</v>
      </c>
      <c r="S2946" s="37">
        <f t="shared" si="632"/>
        <v>5000000</v>
      </c>
      <c r="T2946" s="37">
        <f t="shared" si="633"/>
        <v>0</v>
      </c>
      <c r="U2946" s="10"/>
      <c r="V2946" s="10"/>
      <c r="W2946" s="10"/>
      <c r="X2946" s="10"/>
      <c r="Y2946" s="10"/>
      <c r="Z2946" s="10"/>
      <c r="AA2946" s="10"/>
      <c r="AB2946" s="10"/>
      <c r="AC2946" s="10"/>
      <c r="AD2946" s="10"/>
      <c r="AE2946" s="10"/>
    </row>
    <row r="2947" spans="1:31" ht="14.25" customHeight="1">
      <c r="A2947" s="277" t="s">
        <v>6854</v>
      </c>
      <c r="B2947" s="9" t="s">
        <v>21</v>
      </c>
      <c r="C2947" s="9">
        <v>2023</v>
      </c>
      <c r="D2947" s="9"/>
      <c r="E2947" s="90" t="s">
        <v>1656</v>
      </c>
      <c r="F2947" s="9" t="s">
        <v>1658</v>
      </c>
      <c r="G2947" s="10"/>
      <c r="H2947" s="9"/>
      <c r="I2947" s="180" t="s">
        <v>1684</v>
      </c>
      <c r="J2947" s="12">
        <v>45078</v>
      </c>
      <c r="K2947" s="12"/>
      <c r="L2947" s="52">
        <v>5000000</v>
      </c>
      <c r="M2947" s="10" t="s">
        <v>1690</v>
      </c>
      <c r="N2947" s="231" t="s">
        <v>29</v>
      </c>
      <c r="O2947" s="125">
        <f t="shared" si="631"/>
        <v>5000000</v>
      </c>
      <c r="P2947" s="39"/>
      <c r="Q2947" s="39"/>
      <c r="R2947" s="40">
        <v>45103</v>
      </c>
      <c r="S2947" s="37">
        <f t="shared" si="632"/>
        <v>5000000</v>
      </c>
      <c r="T2947" s="37">
        <f t="shared" si="633"/>
        <v>0</v>
      </c>
      <c r="U2947" s="10"/>
      <c r="V2947" s="10"/>
      <c r="W2947" s="10"/>
      <c r="X2947" s="10"/>
      <c r="Y2947" s="10"/>
      <c r="Z2947" s="10"/>
      <c r="AA2947" s="10"/>
      <c r="AB2947" s="10"/>
      <c r="AC2947" s="10"/>
      <c r="AD2947" s="10"/>
      <c r="AE2947" s="10"/>
    </row>
    <row r="2948" spans="1:31" ht="14.25" customHeight="1">
      <c r="A2948" s="277" t="s">
        <v>6855</v>
      </c>
      <c r="B2948" s="9" t="s">
        <v>21</v>
      </c>
      <c r="C2948" s="9">
        <v>2023</v>
      </c>
      <c r="D2948" s="9"/>
      <c r="E2948" s="90" t="s">
        <v>1656</v>
      </c>
      <c r="F2948" s="9" t="s">
        <v>1658</v>
      </c>
      <c r="G2948" s="10"/>
      <c r="H2948" s="9"/>
      <c r="I2948" s="180" t="s">
        <v>1684</v>
      </c>
      <c r="J2948" s="12">
        <v>45108</v>
      </c>
      <c r="K2948" s="12"/>
      <c r="L2948" s="52"/>
      <c r="M2948" s="10" t="s">
        <v>1691</v>
      </c>
      <c r="N2948" s="231" t="s">
        <v>29</v>
      </c>
      <c r="O2948" s="11"/>
      <c r="P2948" s="39"/>
      <c r="Q2948" s="39"/>
      <c r="R2948" s="39"/>
      <c r="S2948" s="37">
        <f t="shared" si="632"/>
        <v>0</v>
      </c>
      <c r="T2948" s="37">
        <f t="shared" si="633"/>
        <v>0</v>
      </c>
      <c r="U2948" s="10"/>
      <c r="V2948" s="10"/>
      <c r="W2948" s="10"/>
      <c r="X2948" s="10"/>
      <c r="Y2948" s="10"/>
      <c r="Z2948" s="10"/>
      <c r="AA2948" s="10"/>
      <c r="AB2948" s="10"/>
      <c r="AC2948" s="10"/>
      <c r="AD2948" s="10"/>
      <c r="AE2948" s="10"/>
    </row>
    <row r="2949" spans="1:31" ht="14.25" customHeight="1">
      <c r="A2949" s="277" t="s">
        <v>6856</v>
      </c>
      <c r="B2949" s="9" t="s">
        <v>21</v>
      </c>
      <c r="C2949" s="9">
        <v>2023</v>
      </c>
      <c r="D2949" s="9"/>
      <c r="E2949" s="90" t="s">
        <v>1656</v>
      </c>
      <c r="F2949" s="9" t="s">
        <v>1658</v>
      </c>
      <c r="G2949" s="10"/>
      <c r="H2949" s="9"/>
      <c r="I2949" s="180" t="s">
        <v>1684</v>
      </c>
      <c r="J2949" s="12">
        <v>45139</v>
      </c>
      <c r="K2949" s="12"/>
      <c r="L2949" s="52"/>
      <c r="M2949" s="10" t="s">
        <v>1692</v>
      </c>
      <c r="N2949" s="231" t="s">
        <v>29</v>
      </c>
      <c r="O2949" s="11"/>
      <c r="P2949" s="39"/>
      <c r="Q2949" s="39"/>
      <c r="R2949" s="39"/>
      <c r="S2949" s="37">
        <f t="shared" si="632"/>
        <v>0</v>
      </c>
      <c r="T2949" s="37">
        <f t="shared" si="633"/>
        <v>0</v>
      </c>
      <c r="U2949" s="10"/>
      <c r="V2949" s="10"/>
      <c r="W2949" s="10"/>
      <c r="X2949" s="10"/>
      <c r="Y2949" s="10"/>
      <c r="Z2949" s="10"/>
      <c r="AA2949" s="10"/>
      <c r="AB2949" s="10"/>
      <c r="AC2949" s="10"/>
      <c r="AD2949" s="10"/>
      <c r="AE2949" s="10"/>
    </row>
    <row r="2950" spans="1:31" ht="14.25" customHeight="1">
      <c r="A2950" s="277" t="s">
        <v>6857</v>
      </c>
      <c r="B2950" s="9" t="s">
        <v>21</v>
      </c>
      <c r="C2950" s="9">
        <v>2023</v>
      </c>
      <c r="D2950" s="9"/>
      <c r="E2950" s="90" t="s">
        <v>1656</v>
      </c>
      <c r="F2950" s="9" t="s">
        <v>1658</v>
      </c>
      <c r="G2950" s="10"/>
      <c r="H2950" s="9"/>
      <c r="I2950" s="180" t="s">
        <v>1684</v>
      </c>
      <c r="J2950" s="12">
        <v>45170</v>
      </c>
      <c r="K2950" s="12"/>
      <c r="L2950" s="52"/>
      <c r="M2950" s="10" t="s">
        <v>1693</v>
      </c>
      <c r="N2950" s="231" t="s">
        <v>29</v>
      </c>
      <c r="O2950" s="11"/>
      <c r="P2950" s="39"/>
      <c r="Q2950" s="39"/>
      <c r="R2950" s="39"/>
      <c r="S2950" s="37">
        <f t="shared" si="632"/>
        <v>0</v>
      </c>
      <c r="T2950" s="37">
        <f t="shared" si="633"/>
        <v>0</v>
      </c>
      <c r="U2950" s="10"/>
      <c r="V2950" s="10"/>
      <c r="W2950" s="10"/>
      <c r="X2950" s="10"/>
      <c r="Y2950" s="10"/>
      <c r="Z2950" s="10"/>
      <c r="AA2950" s="10"/>
      <c r="AB2950" s="10"/>
      <c r="AC2950" s="10"/>
      <c r="AD2950" s="10"/>
      <c r="AE2950" s="10"/>
    </row>
    <row r="2951" spans="1:31" ht="14.25" customHeight="1">
      <c r="A2951" s="277" t="s">
        <v>6858</v>
      </c>
      <c r="B2951" s="9" t="s">
        <v>21</v>
      </c>
      <c r="C2951" s="9">
        <v>2023</v>
      </c>
      <c r="D2951" s="9"/>
      <c r="E2951" s="90" t="s">
        <v>1656</v>
      </c>
      <c r="F2951" s="9" t="s">
        <v>1658</v>
      </c>
      <c r="G2951" s="10"/>
      <c r="H2951" s="9"/>
      <c r="I2951" s="180" t="s">
        <v>1684</v>
      </c>
      <c r="J2951" s="12">
        <v>45200</v>
      </c>
      <c r="K2951" s="12"/>
      <c r="L2951" s="52"/>
      <c r="M2951" s="10" t="s">
        <v>1694</v>
      </c>
      <c r="N2951" s="231" t="s">
        <v>29</v>
      </c>
      <c r="O2951" s="11"/>
      <c r="P2951" s="39"/>
      <c r="Q2951" s="39"/>
      <c r="R2951" s="39"/>
      <c r="S2951" s="37">
        <f t="shared" si="632"/>
        <v>0</v>
      </c>
      <c r="T2951" s="37">
        <f t="shared" si="633"/>
        <v>0</v>
      </c>
      <c r="U2951" s="10"/>
      <c r="V2951" s="10"/>
      <c r="W2951" s="10"/>
      <c r="X2951" s="10"/>
      <c r="Y2951" s="10"/>
      <c r="Z2951" s="10"/>
      <c r="AA2951" s="10"/>
      <c r="AB2951" s="10"/>
      <c r="AC2951" s="10"/>
      <c r="AD2951" s="10"/>
      <c r="AE2951" s="10"/>
    </row>
    <row r="2952" spans="1:31" ht="14.25" customHeight="1">
      <c r="A2952" s="277" t="s">
        <v>6859</v>
      </c>
      <c r="B2952" s="9" t="s">
        <v>21</v>
      </c>
      <c r="C2952" s="9">
        <v>2023</v>
      </c>
      <c r="D2952" s="9"/>
      <c r="E2952" s="90" t="s">
        <v>1656</v>
      </c>
      <c r="F2952" s="9" t="s">
        <v>1658</v>
      </c>
      <c r="G2952" s="10"/>
      <c r="H2952" s="9"/>
      <c r="I2952" s="180" t="s">
        <v>1684</v>
      </c>
      <c r="J2952" s="12">
        <v>45231</v>
      </c>
      <c r="K2952" s="12"/>
      <c r="L2952" s="52"/>
      <c r="M2952" s="10" t="s">
        <v>1695</v>
      </c>
      <c r="N2952" s="231" t="s">
        <v>29</v>
      </c>
      <c r="O2952" s="125">
        <f>L2952</f>
        <v>0</v>
      </c>
      <c r="P2952" s="39"/>
      <c r="Q2952" s="39"/>
      <c r="R2952" s="39"/>
      <c r="S2952" s="37">
        <f t="shared" si="632"/>
        <v>0</v>
      </c>
      <c r="T2952" s="37">
        <f t="shared" si="633"/>
        <v>0</v>
      </c>
      <c r="U2952" s="10"/>
      <c r="V2952" s="10"/>
      <c r="W2952" s="10"/>
      <c r="X2952" s="10"/>
      <c r="Y2952" s="10"/>
      <c r="Z2952" s="10"/>
      <c r="AA2952" s="10"/>
      <c r="AB2952" s="10"/>
      <c r="AC2952" s="10"/>
      <c r="AD2952" s="10"/>
      <c r="AE2952" s="10"/>
    </row>
    <row r="2953" spans="1:31" ht="14.25" customHeight="1">
      <c r="A2953" s="277" t="s">
        <v>6860</v>
      </c>
      <c r="B2953" s="9" t="s">
        <v>21</v>
      </c>
      <c r="C2953" s="9">
        <v>2023</v>
      </c>
      <c r="D2953" s="9"/>
      <c r="E2953" s="90" t="s">
        <v>1656</v>
      </c>
      <c r="F2953" s="9" t="s">
        <v>1658</v>
      </c>
      <c r="G2953" s="10"/>
      <c r="H2953" s="9"/>
      <c r="I2953" s="180" t="s">
        <v>1684</v>
      </c>
      <c r="J2953" s="12">
        <v>45261</v>
      </c>
      <c r="K2953" s="12"/>
      <c r="L2953" s="52"/>
      <c r="M2953" s="10" t="s">
        <v>1696</v>
      </c>
      <c r="N2953" s="231" t="s">
        <v>29</v>
      </c>
      <c r="O2953" s="125">
        <f>L2953</f>
        <v>0</v>
      </c>
      <c r="P2953" s="39"/>
      <c r="Q2953" s="39"/>
      <c r="R2953" s="39"/>
      <c r="S2953" s="37">
        <f t="shared" si="632"/>
        <v>0</v>
      </c>
      <c r="T2953" s="37">
        <f t="shared" si="633"/>
        <v>0</v>
      </c>
      <c r="U2953" s="10"/>
      <c r="V2953" s="10"/>
      <c r="W2953" s="10"/>
      <c r="X2953" s="10"/>
      <c r="Y2953" s="10"/>
      <c r="Z2953" s="10"/>
      <c r="AA2953" s="10"/>
      <c r="AB2953" s="10"/>
      <c r="AC2953" s="10"/>
      <c r="AD2953" s="10"/>
      <c r="AE2953" s="10"/>
    </row>
    <row r="2954" spans="1:31" ht="14.25" customHeight="1">
      <c r="A2954" s="277" t="s">
        <v>6861</v>
      </c>
      <c r="B2954" s="9" t="s">
        <v>21</v>
      </c>
      <c r="C2954" s="9"/>
      <c r="D2954" s="9"/>
      <c r="E2954" s="90"/>
      <c r="F2954" s="9"/>
      <c r="G2954" s="10"/>
      <c r="H2954" s="9"/>
      <c r="I2954" s="11"/>
      <c r="J2954" s="12"/>
      <c r="K2954" s="12"/>
      <c r="L2954" s="52"/>
      <c r="M2954" s="10"/>
      <c r="N2954" s="114">
        <f ca="1">$J$3-J2954</f>
        <v>46240.46377638889</v>
      </c>
      <c r="O2954" s="11"/>
      <c r="P2954" s="39"/>
      <c r="Q2954" s="39"/>
      <c r="R2954" s="39"/>
      <c r="S2954" s="37">
        <f t="shared" si="632"/>
        <v>0</v>
      </c>
      <c r="T2954" s="37">
        <f t="shared" si="633"/>
        <v>0</v>
      </c>
      <c r="U2954" s="10"/>
      <c r="V2954" s="10"/>
      <c r="W2954" s="10"/>
      <c r="X2954" s="10"/>
      <c r="Y2954" s="10"/>
      <c r="Z2954" s="10"/>
      <c r="AA2954" s="10"/>
      <c r="AB2954" s="10"/>
      <c r="AC2954" s="10"/>
      <c r="AD2954" s="10"/>
      <c r="AE2954" s="10"/>
    </row>
    <row r="2955" spans="1:31" ht="14.25" customHeight="1">
      <c r="A2955" s="277" t="s">
        <v>6862</v>
      </c>
      <c r="B2955" s="9" t="s">
        <v>21</v>
      </c>
      <c r="C2955" s="9"/>
      <c r="D2955" s="9"/>
      <c r="E2955" s="90"/>
      <c r="F2955" s="9"/>
      <c r="G2955" s="9"/>
      <c r="H2955" s="93"/>
      <c r="I2955" s="11"/>
      <c r="J2955" s="12"/>
      <c r="K2955" s="12"/>
      <c r="L2955" s="118"/>
      <c r="M2955" s="103"/>
      <c r="N2955" s="33"/>
      <c r="O2955" s="33"/>
      <c r="P2955" s="33"/>
      <c r="Q2955" s="33"/>
      <c r="R2955" s="33"/>
      <c r="S2955" s="118"/>
      <c r="T2955" s="118"/>
      <c r="U2955" s="10"/>
      <c r="V2955" s="10"/>
      <c r="W2955" s="10"/>
      <c r="X2955" s="10"/>
      <c r="Y2955" s="10"/>
      <c r="Z2955" s="10"/>
      <c r="AA2955" s="10"/>
      <c r="AB2955" s="10"/>
      <c r="AC2955" s="10"/>
      <c r="AD2955" s="10"/>
      <c r="AE2955" s="10"/>
    </row>
    <row r="2956" spans="1:31" ht="14.25" customHeight="1">
      <c r="A2956" s="277" t="s">
        <v>6863</v>
      </c>
      <c r="B2956" s="9" t="s">
        <v>21</v>
      </c>
      <c r="C2956" s="9"/>
      <c r="D2956" s="9"/>
      <c r="E2956" s="90"/>
      <c r="F2956" s="9"/>
      <c r="G2956" s="94" t="s">
        <v>24</v>
      </c>
      <c r="H2956" s="95" t="s">
        <v>1697</v>
      </c>
      <c r="I2956" s="104"/>
      <c r="J2956" s="105"/>
      <c r="K2956" s="105"/>
      <c r="L2956" s="106">
        <f>SUM(L2957:L2969)</f>
        <v>199466393</v>
      </c>
      <c r="M2956" s="107"/>
      <c r="N2956" s="108" t="s">
        <v>26</v>
      </c>
      <c r="O2956" s="108"/>
      <c r="P2956" s="108"/>
      <c r="Q2956" s="108"/>
      <c r="R2956" s="108"/>
      <c r="S2956" s="106">
        <f>SUM(S2957:S2969)</f>
        <v>199466393</v>
      </c>
      <c r="T2956" s="106">
        <f>SUM(T2957:T2969)</f>
        <v>0</v>
      </c>
      <c r="U2956" s="10"/>
      <c r="V2956" s="52">
        <f>L2956-S2956</f>
        <v>0</v>
      </c>
      <c r="W2956" s="52">
        <f>T2956-V2956</f>
        <v>0</v>
      </c>
      <c r="X2956" s="10"/>
      <c r="Y2956" s="10"/>
      <c r="Z2956" s="10"/>
      <c r="AA2956" s="10"/>
      <c r="AB2956" s="10"/>
      <c r="AC2956" s="10"/>
      <c r="AD2956" s="10"/>
      <c r="AE2956" s="10"/>
    </row>
    <row r="2957" spans="1:31" ht="14.25" customHeight="1">
      <c r="A2957" s="277" t="s">
        <v>6864</v>
      </c>
      <c r="B2957" s="9" t="s">
        <v>21</v>
      </c>
      <c r="C2957" s="9">
        <v>2023</v>
      </c>
      <c r="D2957" s="9"/>
      <c r="E2957" s="90" t="s">
        <v>1656</v>
      </c>
      <c r="F2957" s="9" t="s">
        <v>1658</v>
      </c>
      <c r="G2957" s="10"/>
      <c r="H2957" s="9"/>
      <c r="I2957" s="180" t="s">
        <v>1697</v>
      </c>
      <c r="J2957" s="12">
        <v>44927</v>
      </c>
      <c r="K2957" s="12"/>
      <c r="L2957" s="52">
        <v>33636659</v>
      </c>
      <c r="M2957" s="10" t="s">
        <v>1698</v>
      </c>
      <c r="N2957" s="231" t="s">
        <v>29</v>
      </c>
      <c r="O2957" s="125">
        <f t="shared" ref="O2957:O2968" si="634">L2957</f>
        <v>33636659</v>
      </c>
      <c r="P2957" s="39"/>
      <c r="Q2957" s="39"/>
      <c r="R2957" s="40">
        <v>44943</v>
      </c>
      <c r="S2957" s="37">
        <f t="shared" ref="S2957:S2969" si="635">IF(R2957="",0,L2957)</f>
        <v>33636659</v>
      </c>
      <c r="T2957" s="37">
        <f t="shared" ref="T2957:T2969" si="636">L2957-S2957</f>
        <v>0</v>
      </c>
      <c r="U2957" s="10"/>
      <c r="V2957" s="10"/>
      <c r="W2957" s="10"/>
      <c r="X2957" s="10"/>
      <c r="Y2957" s="10"/>
      <c r="Z2957" s="10"/>
      <c r="AA2957" s="10"/>
      <c r="AB2957" s="10"/>
      <c r="AC2957" s="10"/>
      <c r="AD2957" s="10"/>
      <c r="AE2957" s="10"/>
    </row>
    <row r="2958" spans="1:31" ht="14.25" customHeight="1">
      <c r="A2958" s="277" t="s">
        <v>6865</v>
      </c>
      <c r="B2958" s="9" t="s">
        <v>21</v>
      </c>
      <c r="C2958" s="9">
        <v>2023</v>
      </c>
      <c r="D2958" s="9"/>
      <c r="E2958" s="90" t="s">
        <v>1656</v>
      </c>
      <c r="F2958" s="9" t="s">
        <v>1658</v>
      </c>
      <c r="G2958" s="10"/>
      <c r="H2958" s="9"/>
      <c r="I2958" s="180" t="s">
        <v>1697</v>
      </c>
      <c r="J2958" s="12">
        <v>44958</v>
      </c>
      <c r="K2958" s="12"/>
      <c r="L2958" s="52">
        <v>32519473</v>
      </c>
      <c r="M2958" s="10" t="s">
        <v>1699</v>
      </c>
      <c r="N2958" s="231" t="s">
        <v>29</v>
      </c>
      <c r="O2958" s="125">
        <f t="shared" si="634"/>
        <v>32519473</v>
      </c>
      <c r="P2958" s="39"/>
      <c r="Q2958" s="39"/>
      <c r="R2958" s="40">
        <v>44973</v>
      </c>
      <c r="S2958" s="37">
        <f t="shared" si="635"/>
        <v>32519473</v>
      </c>
      <c r="T2958" s="37">
        <f t="shared" si="636"/>
        <v>0</v>
      </c>
      <c r="U2958" s="10"/>
      <c r="V2958" s="10"/>
      <c r="W2958" s="10"/>
      <c r="X2958" s="10"/>
      <c r="Y2958" s="10"/>
      <c r="Z2958" s="10"/>
      <c r="AA2958" s="10"/>
      <c r="AB2958" s="10"/>
      <c r="AC2958" s="10"/>
      <c r="AD2958" s="10"/>
      <c r="AE2958" s="10"/>
    </row>
    <row r="2959" spans="1:31" ht="14.25" customHeight="1">
      <c r="A2959" s="277" t="s">
        <v>6866</v>
      </c>
      <c r="B2959" s="9" t="s">
        <v>21</v>
      </c>
      <c r="C2959" s="9">
        <v>2023</v>
      </c>
      <c r="D2959" s="9"/>
      <c r="E2959" s="90" t="s">
        <v>1656</v>
      </c>
      <c r="F2959" s="9" t="s">
        <v>1658</v>
      </c>
      <c r="G2959" s="10"/>
      <c r="H2959" s="9"/>
      <c r="I2959" s="180" t="s">
        <v>1697</v>
      </c>
      <c r="J2959" s="12">
        <v>44986</v>
      </c>
      <c r="K2959" s="12"/>
      <c r="L2959" s="52">
        <v>30223122</v>
      </c>
      <c r="M2959" s="10" t="s">
        <v>1700</v>
      </c>
      <c r="N2959" s="231" t="s">
        <v>29</v>
      </c>
      <c r="O2959" s="125">
        <f t="shared" si="634"/>
        <v>30223122</v>
      </c>
      <c r="P2959" s="39"/>
      <c r="Q2959" s="39"/>
      <c r="R2959" s="40">
        <v>45001</v>
      </c>
      <c r="S2959" s="37">
        <f t="shared" si="635"/>
        <v>30223122</v>
      </c>
      <c r="T2959" s="37">
        <f t="shared" si="636"/>
        <v>0</v>
      </c>
      <c r="U2959" s="10"/>
      <c r="V2959" s="10"/>
      <c r="W2959" s="10"/>
      <c r="X2959" s="10"/>
      <c r="Y2959" s="10"/>
      <c r="Z2959" s="10"/>
      <c r="AA2959" s="10"/>
      <c r="AB2959" s="10"/>
      <c r="AC2959" s="10"/>
      <c r="AD2959" s="10"/>
      <c r="AE2959" s="10"/>
    </row>
    <row r="2960" spans="1:31" ht="14.25" customHeight="1">
      <c r="A2960" s="277" t="s">
        <v>6867</v>
      </c>
      <c r="B2960" s="9" t="s">
        <v>21</v>
      </c>
      <c r="C2960" s="9">
        <v>2023</v>
      </c>
      <c r="D2960" s="9"/>
      <c r="E2960" s="90" t="s">
        <v>1656</v>
      </c>
      <c r="F2960" s="9" t="s">
        <v>1658</v>
      </c>
      <c r="G2960" s="10"/>
      <c r="H2960" s="9"/>
      <c r="I2960" s="180" t="s">
        <v>1697</v>
      </c>
      <c r="J2960" s="12">
        <v>45017</v>
      </c>
      <c r="K2960" s="12"/>
      <c r="L2960" s="52">
        <v>34428065</v>
      </c>
      <c r="M2960" s="10" t="s">
        <v>1701</v>
      </c>
      <c r="N2960" s="231" t="s">
        <v>29</v>
      </c>
      <c r="O2960" s="125">
        <f t="shared" si="634"/>
        <v>34428065</v>
      </c>
      <c r="P2960" s="39"/>
      <c r="Q2960" s="39"/>
      <c r="R2960" s="40">
        <v>45031</v>
      </c>
      <c r="S2960" s="37">
        <f t="shared" si="635"/>
        <v>34428065</v>
      </c>
      <c r="T2960" s="37">
        <f t="shared" si="636"/>
        <v>0</v>
      </c>
      <c r="U2960" s="10"/>
      <c r="V2960" s="10"/>
      <c r="W2960" s="10"/>
      <c r="X2960" s="10"/>
      <c r="Y2960" s="10"/>
      <c r="Z2960" s="10"/>
      <c r="AA2960" s="10"/>
      <c r="AB2960" s="10"/>
      <c r="AC2960" s="10"/>
      <c r="AD2960" s="10"/>
      <c r="AE2960" s="10"/>
    </row>
    <row r="2961" spans="1:31" ht="14.25" customHeight="1">
      <c r="A2961" s="277" t="s">
        <v>6868</v>
      </c>
      <c r="B2961" s="9" t="s">
        <v>21</v>
      </c>
      <c r="C2961" s="9">
        <v>2023</v>
      </c>
      <c r="D2961" s="9"/>
      <c r="E2961" s="90" t="s">
        <v>1656</v>
      </c>
      <c r="F2961" s="9" t="s">
        <v>1658</v>
      </c>
      <c r="G2961" s="10"/>
      <c r="H2961" s="9"/>
      <c r="I2961" s="180" t="s">
        <v>1697</v>
      </c>
      <c r="J2961" s="12">
        <v>45047</v>
      </c>
      <c r="K2961" s="12"/>
      <c r="L2961" s="52">
        <v>31386394</v>
      </c>
      <c r="M2961" s="10" t="s">
        <v>1702</v>
      </c>
      <c r="N2961" s="231" t="s">
        <v>29</v>
      </c>
      <c r="O2961" s="125">
        <f t="shared" si="634"/>
        <v>31386394</v>
      </c>
      <c r="P2961" s="39"/>
      <c r="Q2961" s="39"/>
      <c r="R2961" s="40">
        <v>45064</v>
      </c>
      <c r="S2961" s="37">
        <f t="shared" si="635"/>
        <v>31386394</v>
      </c>
      <c r="T2961" s="37">
        <f t="shared" si="636"/>
        <v>0</v>
      </c>
      <c r="U2961" s="10"/>
      <c r="V2961" s="10"/>
      <c r="W2961" s="10"/>
      <c r="X2961" s="10"/>
      <c r="Y2961" s="10"/>
      <c r="Z2961" s="10"/>
      <c r="AA2961" s="10"/>
      <c r="AB2961" s="10"/>
      <c r="AC2961" s="10"/>
      <c r="AD2961" s="10"/>
      <c r="AE2961" s="10"/>
    </row>
    <row r="2962" spans="1:31" ht="14.25" customHeight="1">
      <c r="A2962" s="277" t="s">
        <v>6869</v>
      </c>
      <c r="B2962" s="9" t="s">
        <v>21</v>
      </c>
      <c r="C2962" s="9">
        <v>2023</v>
      </c>
      <c r="D2962" s="9"/>
      <c r="E2962" s="90" t="s">
        <v>1656</v>
      </c>
      <c r="F2962" s="9" t="s">
        <v>1658</v>
      </c>
      <c r="G2962" s="10"/>
      <c r="H2962" s="9"/>
      <c r="I2962" s="180" t="s">
        <v>1697</v>
      </c>
      <c r="J2962" s="12">
        <v>45078</v>
      </c>
      <c r="K2962" s="12"/>
      <c r="L2962" s="52">
        <v>37272680</v>
      </c>
      <c r="M2962" s="10" t="s">
        <v>1703</v>
      </c>
      <c r="N2962" s="231" t="s">
        <v>29</v>
      </c>
      <c r="O2962" s="125">
        <f t="shared" si="634"/>
        <v>37272680</v>
      </c>
      <c r="P2962" s="39"/>
      <c r="Q2962" s="39"/>
      <c r="R2962" s="40">
        <v>45093</v>
      </c>
      <c r="S2962" s="37">
        <f t="shared" si="635"/>
        <v>37272680</v>
      </c>
      <c r="T2962" s="37">
        <f t="shared" si="636"/>
        <v>0</v>
      </c>
      <c r="U2962" s="10"/>
      <c r="V2962" s="10"/>
      <c r="W2962" s="10"/>
      <c r="X2962" s="10"/>
      <c r="Y2962" s="10"/>
      <c r="Z2962" s="10"/>
      <c r="AA2962" s="10"/>
      <c r="AB2962" s="10"/>
      <c r="AC2962" s="10"/>
      <c r="AD2962" s="10"/>
      <c r="AE2962" s="10"/>
    </row>
    <row r="2963" spans="1:31" ht="14.25" customHeight="1">
      <c r="A2963" s="277" t="s">
        <v>6870</v>
      </c>
      <c r="B2963" s="9" t="s">
        <v>21</v>
      </c>
      <c r="C2963" s="9">
        <v>2023</v>
      </c>
      <c r="D2963" s="9"/>
      <c r="E2963" s="90" t="s">
        <v>1656</v>
      </c>
      <c r="F2963" s="9" t="s">
        <v>1658</v>
      </c>
      <c r="G2963" s="10"/>
      <c r="H2963" s="9"/>
      <c r="I2963" s="180" t="s">
        <v>1697</v>
      </c>
      <c r="J2963" s="12">
        <v>45108</v>
      </c>
      <c r="K2963" s="12"/>
      <c r="L2963" s="52"/>
      <c r="M2963" s="10" t="s">
        <v>1704</v>
      </c>
      <c r="N2963" s="231" t="s">
        <v>29</v>
      </c>
      <c r="O2963" s="125">
        <f t="shared" si="634"/>
        <v>0</v>
      </c>
      <c r="P2963" s="39"/>
      <c r="Q2963" s="39"/>
      <c r="R2963" s="39"/>
      <c r="S2963" s="37">
        <f t="shared" si="635"/>
        <v>0</v>
      </c>
      <c r="T2963" s="37">
        <f t="shared" si="636"/>
        <v>0</v>
      </c>
      <c r="U2963" s="10"/>
      <c r="V2963" s="10"/>
      <c r="W2963" s="10"/>
      <c r="X2963" s="10"/>
      <c r="Y2963" s="10"/>
      <c r="Z2963" s="10"/>
      <c r="AA2963" s="10"/>
      <c r="AB2963" s="10"/>
      <c r="AC2963" s="10"/>
      <c r="AD2963" s="10"/>
      <c r="AE2963" s="10"/>
    </row>
    <row r="2964" spans="1:31" ht="14.25" customHeight="1">
      <c r="A2964" s="277" t="s">
        <v>6871</v>
      </c>
      <c r="B2964" s="9" t="s">
        <v>21</v>
      </c>
      <c r="C2964" s="9">
        <v>2023</v>
      </c>
      <c r="D2964" s="9"/>
      <c r="E2964" s="90" t="s">
        <v>1656</v>
      </c>
      <c r="F2964" s="9" t="s">
        <v>1658</v>
      </c>
      <c r="G2964" s="10"/>
      <c r="H2964" s="9"/>
      <c r="I2964" s="180" t="s">
        <v>1697</v>
      </c>
      <c r="J2964" s="12">
        <v>45139</v>
      </c>
      <c r="K2964" s="12"/>
      <c r="L2964" s="52"/>
      <c r="M2964" s="10" t="s">
        <v>1705</v>
      </c>
      <c r="N2964" s="231" t="s">
        <v>29</v>
      </c>
      <c r="O2964" s="125">
        <f t="shared" si="634"/>
        <v>0</v>
      </c>
      <c r="P2964" s="39"/>
      <c r="Q2964" s="39"/>
      <c r="R2964" s="39"/>
      <c r="S2964" s="37">
        <f t="shared" si="635"/>
        <v>0</v>
      </c>
      <c r="T2964" s="37">
        <f t="shared" si="636"/>
        <v>0</v>
      </c>
      <c r="U2964" s="10"/>
      <c r="V2964" s="10"/>
      <c r="W2964" s="10"/>
      <c r="X2964" s="10"/>
      <c r="Y2964" s="10"/>
      <c r="Z2964" s="10"/>
      <c r="AA2964" s="10"/>
      <c r="AB2964" s="10"/>
      <c r="AC2964" s="10"/>
      <c r="AD2964" s="10"/>
      <c r="AE2964" s="10"/>
    </row>
    <row r="2965" spans="1:31" ht="14.25" customHeight="1">
      <c r="A2965" s="277" t="s">
        <v>6872</v>
      </c>
      <c r="B2965" s="9" t="s">
        <v>21</v>
      </c>
      <c r="C2965" s="9">
        <v>2023</v>
      </c>
      <c r="D2965" s="9"/>
      <c r="E2965" s="90" t="s">
        <v>1656</v>
      </c>
      <c r="F2965" s="9" t="s">
        <v>1658</v>
      </c>
      <c r="G2965" s="10"/>
      <c r="H2965" s="9"/>
      <c r="I2965" s="180" t="s">
        <v>1697</v>
      </c>
      <c r="J2965" s="12">
        <v>45170</v>
      </c>
      <c r="K2965" s="12"/>
      <c r="L2965" s="52"/>
      <c r="M2965" s="10" t="s">
        <v>1706</v>
      </c>
      <c r="N2965" s="231" t="s">
        <v>29</v>
      </c>
      <c r="O2965" s="125">
        <f t="shared" si="634"/>
        <v>0</v>
      </c>
      <c r="P2965" s="39"/>
      <c r="Q2965" s="39"/>
      <c r="R2965" s="39"/>
      <c r="S2965" s="37">
        <f t="shared" si="635"/>
        <v>0</v>
      </c>
      <c r="T2965" s="37">
        <f t="shared" si="636"/>
        <v>0</v>
      </c>
      <c r="U2965" s="10"/>
      <c r="V2965" s="10"/>
      <c r="W2965" s="10"/>
      <c r="X2965" s="10"/>
      <c r="Y2965" s="10"/>
      <c r="Z2965" s="10"/>
      <c r="AA2965" s="10"/>
      <c r="AB2965" s="10"/>
      <c r="AC2965" s="10"/>
      <c r="AD2965" s="10"/>
      <c r="AE2965" s="10"/>
    </row>
    <row r="2966" spans="1:31" ht="14.25" customHeight="1">
      <c r="A2966" s="277" t="s">
        <v>6873</v>
      </c>
      <c r="B2966" s="9" t="s">
        <v>21</v>
      </c>
      <c r="C2966" s="9">
        <v>2023</v>
      </c>
      <c r="D2966" s="9"/>
      <c r="E2966" s="90" t="s">
        <v>1656</v>
      </c>
      <c r="F2966" s="9" t="s">
        <v>1658</v>
      </c>
      <c r="G2966" s="10"/>
      <c r="H2966" s="9"/>
      <c r="I2966" s="180" t="s">
        <v>1697</v>
      </c>
      <c r="J2966" s="12">
        <v>45200</v>
      </c>
      <c r="K2966" s="12"/>
      <c r="L2966" s="52"/>
      <c r="M2966" s="10" t="s">
        <v>1707</v>
      </c>
      <c r="N2966" s="231" t="s">
        <v>29</v>
      </c>
      <c r="O2966" s="125">
        <f t="shared" si="634"/>
        <v>0</v>
      </c>
      <c r="P2966" s="39"/>
      <c r="Q2966" s="39"/>
      <c r="R2966" s="39"/>
      <c r="S2966" s="37">
        <f t="shared" si="635"/>
        <v>0</v>
      </c>
      <c r="T2966" s="37">
        <f t="shared" si="636"/>
        <v>0</v>
      </c>
      <c r="U2966" s="10"/>
      <c r="V2966" s="10"/>
      <c r="W2966" s="10"/>
      <c r="X2966" s="10"/>
      <c r="Y2966" s="10"/>
      <c r="Z2966" s="10"/>
      <c r="AA2966" s="10"/>
      <c r="AB2966" s="10"/>
      <c r="AC2966" s="10"/>
      <c r="AD2966" s="10"/>
      <c r="AE2966" s="10"/>
    </row>
    <row r="2967" spans="1:31" ht="14.25" customHeight="1">
      <c r="A2967" s="277" t="s">
        <v>6874</v>
      </c>
      <c r="B2967" s="9" t="s">
        <v>21</v>
      </c>
      <c r="C2967" s="9">
        <v>2023</v>
      </c>
      <c r="D2967" s="9"/>
      <c r="E2967" s="90" t="s">
        <v>1656</v>
      </c>
      <c r="F2967" s="9" t="s">
        <v>1658</v>
      </c>
      <c r="G2967" s="10"/>
      <c r="H2967" s="9"/>
      <c r="I2967" s="180" t="s">
        <v>1697</v>
      </c>
      <c r="J2967" s="12">
        <v>45231</v>
      </c>
      <c r="K2967" s="12"/>
      <c r="L2967" s="52"/>
      <c r="M2967" s="10" t="s">
        <v>1708</v>
      </c>
      <c r="N2967" s="231" t="s">
        <v>29</v>
      </c>
      <c r="O2967" s="125">
        <f t="shared" si="634"/>
        <v>0</v>
      </c>
      <c r="P2967" s="39"/>
      <c r="Q2967" s="39"/>
      <c r="R2967" s="39"/>
      <c r="S2967" s="37">
        <f t="shared" si="635"/>
        <v>0</v>
      </c>
      <c r="T2967" s="37">
        <f t="shared" si="636"/>
        <v>0</v>
      </c>
      <c r="U2967" s="10"/>
      <c r="V2967" s="10"/>
      <c r="W2967" s="10"/>
      <c r="X2967" s="10"/>
      <c r="Y2967" s="10"/>
      <c r="Z2967" s="10"/>
      <c r="AA2967" s="10"/>
      <c r="AB2967" s="10"/>
      <c r="AC2967" s="10"/>
      <c r="AD2967" s="10"/>
      <c r="AE2967" s="10"/>
    </row>
    <row r="2968" spans="1:31" ht="14.25" customHeight="1">
      <c r="A2968" s="277" t="s">
        <v>6875</v>
      </c>
      <c r="B2968" s="9" t="s">
        <v>21</v>
      </c>
      <c r="C2968" s="9">
        <v>2023</v>
      </c>
      <c r="D2968" s="9"/>
      <c r="E2968" s="90" t="s">
        <v>1656</v>
      </c>
      <c r="F2968" s="9" t="s">
        <v>1658</v>
      </c>
      <c r="G2968" s="10"/>
      <c r="H2968" s="9"/>
      <c r="I2968" s="180" t="s">
        <v>1697</v>
      </c>
      <c r="J2968" s="12">
        <v>45261</v>
      </c>
      <c r="K2968" s="12"/>
      <c r="L2968" s="52"/>
      <c r="M2968" s="10" t="s">
        <v>1709</v>
      </c>
      <c r="N2968" s="231" t="s">
        <v>29</v>
      </c>
      <c r="O2968" s="125">
        <f t="shared" si="634"/>
        <v>0</v>
      </c>
      <c r="P2968" s="39"/>
      <c r="Q2968" s="39"/>
      <c r="R2968" s="39"/>
      <c r="S2968" s="37">
        <f t="shared" si="635"/>
        <v>0</v>
      </c>
      <c r="T2968" s="37">
        <f t="shared" si="636"/>
        <v>0</v>
      </c>
      <c r="U2968" s="10"/>
      <c r="V2968" s="10"/>
      <c r="W2968" s="10"/>
      <c r="X2968" s="10"/>
      <c r="Y2968" s="10"/>
      <c r="Z2968" s="10"/>
      <c r="AA2968" s="10"/>
      <c r="AB2968" s="10"/>
      <c r="AC2968" s="10"/>
      <c r="AD2968" s="10"/>
      <c r="AE2968" s="10"/>
    </row>
    <row r="2969" spans="1:31" ht="14.25" customHeight="1">
      <c r="A2969" s="277" t="s">
        <v>6876</v>
      </c>
      <c r="B2969" s="9" t="s">
        <v>21</v>
      </c>
      <c r="C2969" s="9"/>
      <c r="D2969" s="9"/>
      <c r="E2969" s="90"/>
      <c r="F2969" s="9"/>
      <c r="G2969" s="10"/>
      <c r="H2969" s="9"/>
      <c r="I2969" s="11"/>
      <c r="J2969" s="228"/>
      <c r="K2969" s="12"/>
      <c r="L2969" s="52"/>
      <c r="M2969" s="10"/>
      <c r="N2969" s="114">
        <f ca="1">$J$3-J2969</f>
        <v>46240.46377638889</v>
      </c>
      <c r="O2969" s="11"/>
      <c r="P2969" s="39"/>
      <c r="Q2969" s="39"/>
      <c r="R2969" s="39"/>
      <c r="S2969" s="37">
        <f t="shared" si="635"/>
        <v>0</v>
      </c>
      <c r="T2969" s="37">
        <f t="shared" si="636"/>
        <v>0</v>
      </c>
      <c r="U2969" s="10"/>
      <c r="V2969" s="10"/>
      <c r="W2969" s="10"/>
      <c r="X2969" s="10"/>
      <c r="Y2969" s="10"/>
      <c r="Z2969" s="10"/>
      <c r="AA2969" s="10"/>
      <c r="AB2969" s="10"/>
      <c r="AC2969" s="10"/>
      <c r="AD2969" s="10"/>
      <c r="AE2969" s="10"/>
    </row>
    <row r="2970" spans="1:31" ht="14.25" customHeight="1">
      <c r="A2970" s="277" t="s">
        <v>6877</v>
      </c>
      <c r="B2970" s="9" t="s">
        <v>21</v>
      </c>
      <c r="C2970" s="9"/>
      <c r="D2970" s="9"/>
      <c r="E2970" s="90"/>
      <c r="F2970" s="9"/>
      <c r="G2970" s="9"/>
      <c r="H2970" s="93"/>
      <c r="I2970" s="11"/>
      <c r="J2970" s="12"/>
      <c r="K2970" s="12"/>
      <c r="L2970" s="118"/>
      <c r="M2970" s="103"/>
      <c r="N2970" s="33"/>
      <c r="O2970" s="33"/>
      <c r="P2970" s="33"/>
      <c r="Q2970" s="33"/>
      <c r="R2970" s="33"/>
      <c r="S2970" s="118"/>
      <c r="T2970" s="118"/>
      <c r="U2970" s="10"/>
      <c r="V2970" s="10"/>
      <c r="W2970" s="10"/>
      <c r="X2970" s="10"/>
      <c r="Y2970" s="10"/>
      <c r="Z2970" s="10"/>
      <c r="AA2970" s="10"/>
      <c r="AB2970" s="10"/>
      <c r="AC2970" s="10"/>
      <c r="AD2970" s="10"/>
      <c r="AE2970" s="10"/>
    </row>
    <row r="2971" spans="1:31" ht="14.25" customHeight="1">
      <c r="A2971" s="277" t="s">
        <v>6878</v>
      </c>
      <c r="B2971" s="9" t="s">
        <v>21</v>
      </c>
      <c r="C2971" s="9"/>
      <c r="D2971" s="9"/>
      <c r="E2971" s="90"/>
      <c r="F2971" s="9"/>
      <c r="G2971" s="94" t="s">
        <v>24</v>
      </c>
      <c r="H2971" s="95" t="s">
        <v>1710</v>
      </c>
      <c r="I2971" s="104"/>
      <c r="J2971" s="105"/>
      <c r="K2971" s="105"/>
      <c r="L2971" s="106">
        <f>SUM(L2972:L2984)</f>
        <v>61740910</v>
      </c>
      <c r="M2971" s="107"/>
      <c r="N2971" s="108" t="s">
        <v>26</v>
      </c>
      <c r="O2971" s="108"/>
      <c r="P2971" s="108"/>
      <c r="Q2971" s="108"/>
      <c r="R2971" s="108"/>
      <c r="S2971" s="106">
        <f>SUM(S2972:S2984)</f>
        <v>61740910</v>
      </c>
      <c r="T2971" s="106">
        <f>SUM(T2972:T2984)</f>
        <v>0</v>
      </c>
      <c r="U2971" s="10"/>
      <c r="V2971" s="52">
        <f>L2971-S2971</f>
        <v>0</v>
      </c>
      <c r="W2971" s="52">
        <f>T2971-V2971</f>
        <v>0</v>
      </c>
      <c r="X2971" s="10"/>
      <c r="Y2971" s="10"/>
      <c r="Z2971" s="10"/>
      <c r="AA2971" s="10"/>
      <c r="AB2971" s="10"/>
      <c r="AC2971" s="10"/>
      <c r="AD2971" s="10"/>
      <c r="AE2971" s="10"/>
    </row>
    <row r="2972" spans="1:31" ht="14.25" customHeight="1">
      <c r="A2972" s="277" t="s">
        <v>6879</v>
      </c>
      <c r="B2972" s="9" t="s">
        <v>21</v>
      </c>
      <c r="C2972" s="9">
        <v>2023</v>
      </c>
      <c r="D2972" s="9"/>
      <c r="E2972" s="90" t="s">
        <v>1656</v>
      </c>
      <c r="F2972" s="9" t="s">
        <v>1658</v>
      </c>
      <c r="G2972" s="10"/>
      <c r="H2972" s="9"/>
      <c r="I2972" s="180" t="s">
        <v>1710</v>
      </c>
      <c r="J2972" s="12">
        <v>44927</v>
      </c>
      <c r="K2972" s="12"/>
      <c r="L2972" s="52">
        <v>11479480</v>
      </c>
      <c r="M2972" s="10" t="s">
        <v>1711</v>
      </c>
      <c r="N2972" s="231" t="s">
        <v>29</v>
      </c>
      <c r="O2972" s="125">
        <f t="shared" ref="O2972:O2983" si="637">L2972</f>
        <v>11479480</v>
      </c>
      <c r="P2972" s="39"/>
      <c r="Q2972" s="39"/>
      <c r="R2972" s="40">
        <v>44943</v>
      </c>
      <c r="S2972" s="37">
        <f t="shared" ref="S2972:S2984" si="638">IF(R2972="",0,L2972)</f>
        <v>11479480</v>
      </c>
      <c r="T2972" s="37">
        <f t="shared" ref="T2972:T2984" si="639">L2972-S2972</f>
        <v>0</v>
      </c>
      <c r="U2972" s="10"/>
      <c r="V2972" s="10"/>
      <c r="W2972" s="10"/>
      <c r="X2972" s="10"/>
      <c r="Y2972" s="10"/>
      <c r="Z2972" s="10"/>
      <c r="AA2972" s="10"/>
      <c r="AB2972" s="10"/>
      <c r="AC2972" s="10"/>
      <c r="AD2972" s="10"/>
      <c r="AE2972" s="10"/>
    </row>
    <row r="2973" spans="1:31" ht="14.25" customHeight="1">
      <c r="A2973" s="277" t="s">
        <v>6880</v>
      </c>
      <c r="B2973" s="9" t="s">
        <v>21</v>
      </c>
      <c r="C2973" s="9">
        <v>2023</v>
      </c>
      <c r="D2973" s="9"/>
      <c r="E2973" s="90" t="s">
        <v>1656</v>
      </c>
      <c r="F2973" s="9" t="s">
        <v>1658</v>
      </c>
      <c r="G2973" s="10"/>
      <c r="H2973" s="9"/>
      <c r="I2973" s="180" t="s">
        <v>1710</v>
      </c>
      <c r="J2973" s="12">
        <v>44958</v>
      </c>
      <c r="K2973" s="12"/>
      <c r="L2973" s="52">
        <v>13338860</v>
      </c>
      <c r="M2973" s="10" t="s">
        <v>1712</v>
      </c>
      <c r="N2973" s="231" t="s">
        <v>29</v>
      </c>
      <c r="O2973" s="125">
        <f t="shared" si="637"/>
        <v>13338860</v>
      </c>
      <c r="P2973" s="39"/>
      <c r="Q2973" s="39"/>
      <c r="R2973" s="40">
        <v>44973</v>
      </c>
      <c r="S2973" s="37">
        <f t="shared" si="638"/>
        <v>13338860</v>
      </c>
      <c r="T2973" s="37">
        <f t="shared" si="639"/>
        <v>0</v>
      </c>
      <c r="U2973" s="10"/>
      <c r="V2973" s="10"/>
      <c r="W2973" s="10"/>
      <c r="X2973" s="10"/>
      <c r="Y2973" s="10"/>
      <c r="Z2973" s="10"/>
      <c r="AA2973" s="10"/>
      <c r="AB2973" s="10"/>
      <c r="AC2973" s="10"/>
      <c r="AD2973" s="10"/>
      <c r="AE2973" s="10"/>
    </row>
    <row r="2974" spans="1:31" ht="14.25" customHeight="1">
      <c r="A2974" s="277" t="s">
        <v>6881</v>
      </c>
      <c r="B2974" s="9" t="s">
        <v>21</v>
      </c>
      <c r="C2974" s="9">
        <v>2023</v>
      </c>
      <c r="D2974" s="9"/>
      <c r="E2974" s="90" t="s">
        <v>1656</v>
      </c>
      <c r="F2974" s="9" t="s">
        <v>1658</v>
      </c>
      <c r="G2974" s="10"/>
      <c r="H2974" s="9"/>
      <c r="I2974" s="180" t="s">
        <v>1710</v>
      </c>
      <c r="J2974" s="12">
        <v>44986</v>
      </c>
      <c r="K2974" s="12"/>
      <c r="L2974" s="52">
        <v>13456480</v>
      </c>
      <c r="M2974" s="10" t="s">
        <v>1713</v>
      </c>
      <c r="N2974" s="231" t="s">
        <v>29</v>
      </c>
      <c r="O2974" s="125">
        <f t="shared" si="637"/>
        <v>13456480</v>
      </c>
      <c r="P2974" s="39"/>
      <c r="Q2974" s="39"/>
      <c r="R2974" s="40">
        <v>45001</v>
      </c>
      <c r="S2974" s="37">
        <f t="shared" si="638"/>
        <v>13456480</v>
      </c>
      <c r="T2974" s="37">
        <f t="shared" si="639"/>
        <v>0</v>
      </c>
      <c r="U2974" s="10"/>
      <c r="V2974" s="10"/>
      <c r="W2974" s="10"/>
      <c r="X2974" s="10"/>
      <c r="Y2974" s="10"/>
      <c r="Z2974" s="10"/>
      <c r="AA2974" s="10"/>
      <c r="AB2974" s="10"/>
      <c r="AC2974" s="10"/>
      <c r="AD2974" s="10"/>
      <c r="AE2974" s="10"/>
    </row>
    <row r="2975" spans="1:31" ht="14.25" customHeight="1">
      <c r="A2975" s="277" t="s">
        <v>6882</v>
      </c>
      <c r="B2975" s="9" t="s">
        <v>21</v>
      </c>
      <c r="C2975" s="9">
        <v>2023</v>
      </c>
      <c r="D2975" s="9"/>
      <c r="E2975" s="90" t="s">
        <v>1656</v>
      </c>
      <c r="F2975" s="9" t="s">
        <v>1658</v>
      </c>
      <c r="G2975" s="10"/>
      <c r="H2975" s="9"/>
      <c r="I2975" s="180" t="s">
        <v>1710</v>
      </c>
      <c r="J2975" s="12">
        <v>45017</v>
      </c>
      <c r="K2975" s="12"/>
      <c r="L2975" s="52">
        <v>7426630</v>
      </c>
      <c r="M2975" s="10" t="s">
        <v>1714</v>
      </c>
      <c r="N2975" s="231" t="s">
        <v>29</v>
      </c>
      <c r="O2975" s="125">
        <f t="shared" si="637"/>
        <v>7426630</v>
      </c>
      <c r="P2975" s="39"/>
      <c r="Q2975" s="39"/>
      <c r="R2975" s="40">
        <v>45031</v>
      </c>
      <c r="S2975" s="37">
        <f t="shared" si="638"/>
        <v>7426630</v>
      </c>
      <c r="T2975" s="37">
        <f t="shared" si="639"/>
        <v>0</v>
      </c>
      <c r="U2975" s="10"/>
      <c r="V2975" s="10"/>
      <c r="W2975" s="10"/>
      <c r="X2975" s="10"/>
      <c r="Y2975" s="10"/>
      <c r="Z2975" s="10"/>
      <c r="AA2975" s="10"/>
      <c r="AB2975" s="10"/>
      <c r="AC2975" s="10"/>
      <c r="AD2975" s="10"/>
      <c r="AE2975" s="10"/>
    </row>
    <row r="2976" spans="1:31" ht="14.25" customHeight="1">
      <c r="A2976" s="277" t="s">
        <v>6883</v>
      </c>
      <c r="B2976" s="9" t="s">
        <v>21</v>
      </c>
      <c r="C2976" s="9">
        <v>2023</v>
      </c>
      <c r="D2976" s="9"/>
      <c r="E2976" s="90" t="s">
        <v>1656</v>
      </c>
      <c r="F2976" s="9" t="s">
        <v>1658</v>
      </c>
      <c r="G2976" s="10"/>
      <c r="H2976" s="9"/>
      <c r="I2976" s="180" t="s">
        <v>1710</v>
      </c>
      <c r="J2976" s="12">
        <v>45047</v>
      </c>
      <c r="K2976" s="12"/>
      <c r="L2976" s="52">
        <v>7545250</v>
      </c>
      <c r="M2976" s="10" t="s">
        <v>1715</v>
      </c>
      <c r="N2976" s="231" t="s">
        <v>29</v>
      </c>
      <c r="O2976" s="125">
        <f t="shared" si="637"/>
        <v>7545250</v>
      </c>
      <c r="P2976" s="39"/>
      <c r="Q2976" s="39"/>
      <c r="R2976" s="40">
        <v>45064</v>
      </c>
      <c r="S2976" s="37">
        <f t="shared" si="638"/>
        <v>7545250</v>
      </c>
      <c r="T2976" s="37">
        <f t="shared" si="639"/>
        <v>0</v>
      </c>
      <c r="U2976" s="10"/>
      <c r="V2976" s="10"/>
      <c r="W2976" s="10"/>
      <c r="X2976" s="10"/>
      <c r="Y2976" s="10"/>
      <c r="Z2976" s="10"/>
      <c r="AA2976" s="10"/>
      <c r="AB2976" s="10"/>
      <c r="AC2976" s="10"/>
      <c r="AD2976" s="10"/>
      <c r="AE2976" s="10"/>
    </row>
    <row r="2977" spans="1:31" ht="14.25" customHeight="1">
      <c r="A2977" s="277" t="s">
        <v>6884</v>
      </c>
      <c r="B2977" s="9" t="s">
        <v>21</v>
      </c>
      <c r="C2977" s="9">
        <v>2023</v>
      </c>
      <c r="D2977" s="9"/>
      <c r="E2977" s="90" t="s">
        <v>1656</v>
      </c>
      <c r="F2977" s="9" t="s">
        <v>1658</v>
      </c>
      <c r="G2977" s="10"/>
      <c r="H2977" s="9"/>
      <c r="I2977" s="180" t="s">
        <v>1710</v>
      </c>
      <c r="J2977" s="12">
        <v>45078</v>
      </c>
      <c r="K2977" s="12"/>
      <c r="L2977" s="52">
        <v>8494210</v>
      </c>
      <c r="M2977" s="10" t="s">
        <v>1716</v>
      </c>
      <c r="N2977" s="231" t="s">
        <v>29</v>
      </c>
      <c r="O2977" s="125">
        <f t="shared" si="637"/>
        <v>8494210</v>
      </c>
      <c r="P2977" s="39"/>
      <c r="Q2977" s="39"/>
      <c r="R2977" s="40">
        <v>45093</v>
      </c>
      <c r="S2977" s="37">
        <f t="shared" si="638"/>
        <v>8494210</v>
      </c>
      <c r="T2977" s="37">
        <f t="shared" si="639"/>
        <v>0</v>
      </c>
      <c r="U2977" s="10"/>
      <c r="V2977" s="10"/>
      <c r="W2977" s="10"/>
      <c r="X2977" s="10"/>
      <c r="Y2977" s="10"/>
      <c r="Z2977" s="10"/>
      <c r="AA2977" s="10"/>
      <c r="AB2977" s="10"/>
      <c r="AC2977" s="10"/>
      <c r="AD2977" s="10"/>
      <c r="AE2977" s="10"/>
    </row>
    <row r="2978" spans="1:31" ht="14.25" customHeight="1">
      <c r="A2978" s="277" t="s">
        <v>6885</v>
      </c>
      <c r="B2978" s="9" t="s">
        <v>21</v>
      </c>
      <c r="C2978" s="9">
        <v>2023</v>
      </c>
      <c r="D2978" s="9"/>
      <c r="E2978" s="90" t="s">
        <v>1656</v>
      </c>
      <c r="F2978" s="9" t="s">
        <v>1658</v>
      </c>
      <c r="G2978" s="10"/>
      <c r="H2978" s="9"/>
      <c r="I2978" s="180" t="s">
        <v>1710</v>
      </c>
      <c r="J2978" s="12">
        <v>45108</v>
      </c>
      <c r="K2978" s="12"/>
      <c r="L2978" s="52"/>
      <c r="M2978" s="10" t="s">
        <v>1717</v>
      </c>
      <c r="N2978" s="231" t="s">
        <v>29</v>
      </c>
      <c r="O2978" s="125">
        <f t="shared" si="637"/>
        <v>0</v>
      </c>
      <c r="P2978" s="39"/>
      <c r="Q2978" s="39"/>
      <c r="R2978" s="39"/>
      <c r="S2978" s="37">
        <f t="shared" si="638"/>
        <v>0</v>
      </c>
      <c r="T2978" s="37">
        <f t="shared" si="639"/>
        <v>0</v>
      </c>
      <c r="U2978" s="10"/>
      <c r="V2978" s="10"/>
      <c r="W2978" s="10"/>
      <c r="X2978" s="10"/>
      <c r="Y2978" s="10"/>
      <c r="Z2978" s="10"/>
      <c r="AA2978" s="10"/>
      <c r="AB2978" s="10"/>
      <c r="AC2978" s="10"/>
      <c r="AD2978" s="10"/>
      <c r="AE2978" s="10"/>
    </row>
    <row r="2979" spans="1:31" ht="14.25" customHeight="1">
      <c r="A2979" s="277" t="s">
        <v>6886</v>
      </c>
      <c r="B2979" s="9" t="s">
        <v>21</v>
      </c>
      <c r="C2979" s="9">
        <v>2023</v>
      </c>
      <c r="D2979" s="9"/>
      <c r="E2979" s="90" t="s">
        <v>1656</v>
      </c>
      <c r="F2979" s="9" t="s">
        <v>1658</v>
      </c>
      <c r="G2979" s="10"/>
      <c r="H2979" s="9"/>
      <c r="I2979" s="180" t="s">
        <v>1710</v>
      </c>
      <c r="J2979" s="12">
        <v>45139</v>
      </c>
      <c r="K2979" s="12"/>
      <c r="L2979" s="52"/>
      <c r="M2979" s="10" t="s">
        <v>1718</v>
      </c>
      <c r="N2979" s="231" t="s">
        <v>29</v>
      </c>
      <c r="O2979" s="125">
        <f t="shared" si="637"/>
        <v>0</v>
      </c>
      <c r="P2979" s="39"/>
      <c r="Q2979" s="39"/>
      <c r="R2979" s="39"/>
      <c r="S2979" s="37">
        <f t="shared" si="638"/>
        <v>0</v>
      </c>
      <c r="T2979" s="37">
        <f t="shared" si="639"/>
        <v>0</v>
      </c>
      <c r="U2979" s="10"/>
      <c r="V2979" s="10"/>
      <c r="W2979" s="10"/>
      <c r="X2979" s="10"/>
      <c r="Y2979" s="10"/>
      <c r="Z2979" s="10"/>
      <c r="AA2979" s="10"/>
      <c r="AB2979" s="10"/>
      <c r="AC2979" s="10"/>
      <c r="AD2979" s="10"/>
      <c r="AE2979" s="10"/>
    </row>
    <row r="2980" spans="1:31" ht="14.25" customHeight="1">
      <c r="A2980" s="277" t="s">
        <v>6887</v>
      </c>
      <c r="B2980" s="9" t="s">
        <v>21</v>
      </c>
      <c r="C2980" s="9">
        <v>2023</v>
      </c>
      <c r="D2980" s="9"/>
      <c r="E2980" s="90" t="s">
        <v>1656</v>
      </c>
      <c r="F2980" s="9" t="s">
        <v>1658</v>
      </c>
      <c r="G2980" s="10"/>
      <c r="H2980" s="9"/>
      <c r="I2980" s="180" t="s">
        <v>1710</v>
      </c>
      <c r="J2980" s="12">
        <v>45170</v>
      </c>
      <c r="K2980" s="12"/>
      <c r="L2980" s="52"/>
      <c r="M2980" s="10" t="s">
        <v>1719</v>
      </c>
      <c r="N2980" s="231" t="s">
        <v>29</v>
      </c>
      <c r="O2980" s="125">
        <f t="shared" si="637"/>
        <v>0</v>
      </c>
      <c r="P2980" s="39"/>
      <c r="Q2980" s="39"/>
      <c r="R2980" s="39"/>
      <c r="S2980" s="37">
        <f t="shared" si="638"/>
        <v>0</v>
      </c>
      <c r="T2980" s="37">
        <f t="shared" si="639"/>
        <v>0</v>
      </c>
      <c r="U2980" s="10"/>
      <c r="V2980" s="10"/>
      <c r="W2980" s="10"/>
      <c r="X2980" s="10"/>
      <c r="Y2980" s="10"/>
      <c r="Z2980" s="10"/>
      <c r="AA2980" s="10"/>
      <c r="AB2980" s="10"/>
      <c r="AC2980" s="10"/>
      <c r="AD2980" s="10"/>
      <c r="AE2980" s="10"/>
    </row>
    <row r="2981" spans="1:31" ht="14.25" customHeight="1">
      <c r="A2981" s="277" t="s">
        <v>6888</v>
      </c>
      <c r="B2981" s="9" t="s">
        <v>21</v>
      </c>
      <c r="C2981" s="9">
        <v>2023</v>
      </c>
      <c r="D2981" s="9"/>
      <c r="E2981" s="90" t="s">
        <v>1656</v>
      </c>
      <c r="F2981" s="9" t="s">
        <v>1658</v>
      </c>
      <c r="G2981" s="10"/>
      <c r="H2981" s="9"/>
      <c r="I2981" s="180" t="s">
        <v>1710</v>
      </c>
      <c r="J2981" s="12">
        <v>45200</v>
      </c>
      <c r="K2981" s="12"/>
      <c r="L2981" s="52"/>
      <c r="M2981" s="10" t="s">
        <v>1720</v>
      </c>
      <c r="N2981" s="231" t="s">
        <v>29</v>
      </c>
      <c r="O2981" s="125">
        <f t="shared" si="637"/>
        <v>0</v>
      </c>
      <c r="P2981" s="39"/>
      <c r="Q2981" s="39"/>
      <c r="R2981" s="39"/>
      <c r="S2981" s="37">
        <f t="shared" si="638"/>
        <v>0</v>
      </c>
      <c r="T2981" s="37">
        <f t="shared" si="639"/>
        <v>0</v>
      </c>
      <c r="U2981" s="10"/>
      <c r="V2981" s="10"/>
      <c r="W2981" s="10"/>
      <c r="X2981" s="10"/>
      <c r="Y2981" s="10"/>
      <c r="Z2981" s="10"/>
      <c r="AA2981" s="10"/>
      <c r="AB2981" s="10"/>
      <c r="AC2981" s="10"/>
      <c r="AD2981" s="10"/>
      <c r="AE2981" s="10"/>
    </row>
    <row r="2982" spans="1:31" ht="14.25" customHeight="1">
      <c r="A2982" s="277" t="s">
        <v>6889</v>
      </c>
      <c r="B2982" s="9" t="s">
        <v>21</v>
      </c>
      <c r="C2982" s="9">
        <v>2023</v>
      </c>
      <c r="D2982" s="9"/>
      <c r="E2982" s="90" t="s">
        <v>1656</v>
      </c>
      <c r="F2982" s="9" t="s">
        <v>1658</v>
      </c>
      <c r="G2982" s="10"/>
      <c r="H2982" s="9"/>
      <c r="I2982" s="180" t="s">
        <v>1710</v>
      </c>
      <c r="J2982" s="12">
        <v>45231</v>
      </c>
      <c r="K2982" s="12"/>
      <c r="L2982" s="52"/>
      <c r="M2982" s="10" t="s">
        <v>1721</v>
      </c>
      <c r="N2982" s="231" t="s">
        <v>29</v>
      </c>
      <c r="O2982" s="125">
        <f t="shared" si="637"/>
        <v>0</v>
      </c>
      <c r="P2982" s="39"/>
      <c r="Q2982" s="39"/>
      <c r="R2982" s="39"/>
      <c r="S2982" s="37">
        <f t="shared" si="638"/>
        <v>0</v>
      </c>
      <c r="T2982" s="37">
        <f t="shared" si="639"/>
        <v>0</v>
      </c>
      <c r="U2982" s="10"/>
      <c r="V2982" s="10"/>
      <c r="W2982" s="10"/>
      <c r="X2982" s="10"/>
      <c r="Y2982" s="10"/>
      <c r="Z2982" s="10"/>
      <c r="AA2982" s="10"/>
      <c r="AB2982" s="10"/>
      <c r="AC2982" s="10"/>
      <c r="AD2982" s="10"/>
      <c r="AE2982" s="10"/>
    </row>
    <row r="2983" spans="1:31" ht="14.25" customHeight="1">
      <c r="A2983" s="277" t="s">
        <v>6890</v>
      </c>
      <c r="B2983" s="9" t="s">
        <v>21</v>
      </c>
      <c r="C2983" s="9">
        <v>2023</v>
      </c>
      <c r="D2983" s="9"/>
      <c r="E2983" s="90" t="s">
        <v>1656</v>
      </c>
      <c r="F2983" s="9" t="s">
        <v>1658</v>
      </c>
      <c r="G2983" s="10"/>
      <c r="H2983" s="9"/>
      <c r="I2983" s="180" t="s">
        <v>1710</v>
      </c>
      <c r="J2983" s="12">
        <v>45261</v>
      </c>
      <c r="K2983" s="12"/>
      <c r="L2983" s="52"/>
      <c r="M2983" s="10" t="s">
        <v>1722</v>
      </c>
      <c r="N2983" s="231" t="s">
        <v>29</v>
      </c>
      <c r="O2983" s="125">
        <f t="shared" si="637"/>
        <v>0</v>
      </c>
      <c r="P2983" s="39"/>
      <c r="Q2983" s="39"/>
      <c r="R2983" s="39"/>
      <c r="S2983" s="37">
        <f t="shared" si="638"/>
        <v>0</v>
      </c>
      <c r="T2983" s="37">
        <f t="shared" si="639"/>
        <v>0</v>
      </c>
      <c r="U2983" s="10"/>
      <c r="V2983" s="10"/>
      <c r="W2983" s="10"/>
      <c r="X2983" s="10"/>
      <c r="Y2983" s="10"/>
      <c r="Z2983" s="10"/>
      <c r="AA2983" s="10"/>
      <c r="AB2983" s="10"/>
      <c r="AC2983" s="10"/>
      <c r="AD2983" s="10"/>
      <c r="AE2983" s="10"/>
    </row>
    <row r="2984" spans="1:31" ht="14.25" customHeight="1">
      <c r="A2984" s="277" t="s">
        <v>6891</v>
      </c>
      <c r="B2984" s="9" t="s">
        <v>21</v>
      </c>
      <c r="C2984" s="9"/>
      <c r="D2984" s="9"/>
      <c r="E2984" s="90"/>
      <c r="F2984" s="9"/>
      <c r="G2984" s="10"/>
      <c r="H2984" s="9"/>
      <c r="I2984" s="11"/>
      <c r="J2984" s="228"/>
      <c r="K2984" s="12"/>
      <c r="L2984" s="52"/>
      <c r="M2984" s="10"/>
      <c r="N2984" s="114">
        <f ca="1">$J$3-J2984</f>
        <v>46240.46377638889</v>
      </c>
      <c r="O2984" s="11"/>
      <c r="P2984" s="39"/>
      <c r="Q2984" s="39"/>
      <c r="R2984" s="39"/>
      <c r="S2984" s="37">
        <f t="shared" si="638"/>
        <v>0</v>
      </c>
      <c r="T2984" s="37">
        <f t="shared" si="639"/>
        <v>0</v>
      </c>
      <c r="U2984" s="10"/>
      <c r="V2984" s="10"/>
      <c r="W2984" s="10"/>
      <c r="X2984" s="10"/>
      <c r="Y2984" s="10"/>
      <c r="Z2984" s="10"/>
      <c r="AA2984" s="10"/>
      <c r="AB2984" s="10"/>
      <c r="AC2984" s="10"/>
      <c r="AD2984" s="10"/>
      <c r="AE2984" s="10"/>
    </row>
    <row r="2985" spans="1:31" ht="14.25" customHeight="1">
      <c r="A2985" s="277" t="s">
        <v>6892</v>
      </c>
      <c r="B2985" s="9" t="s">
        <v>21</v>
      </c>
      <c r="C2985" s="9"/>
      <c r="D2985" s="9"/>
      <c r="E2985" s="90"/>
      <c r="F2985" s="9"/>
      <c r="G2985" s="9"/>
      <c r="H2985" s="93"/>
      <c r="I2985" s="11"/>
      <c r="J2985" s="12"/>
      <c r="K2985" s="12"/>
      <c r="L2985" s="118"/>
      <c r="M2985" s="103"/>
      <c r="N2985" s="33"/>
      <c r="O2985" s="33"/>
      <c r="P2985" s="33"/>
      <c r="Q2985" s="33"/>
      <c r="R2985" s="33"/>
      <c r="S2985" s="118"/>
      <c r="T2985" s="118"/>
      <c r="U2985" s="10"/>
      <c r="V2985" s="10"/>
      <c r="W2985" s="10"/>
      <c r="X2985" s="10"/>
      <c r="Y2985" s="10"/>
      <c r="Z2985" s="10"/>
      <c r="AA2985" s="10"/>
      <c r="AB2985" s="10"/>
      <c r="AC2985" s="10"/>
      <c r="AD2985" s="10"/>
      <c r="AE2985" s="10"/>
    </row>
    <row r="2986" spans="1:31" ht="14.25" customHeight="1">
      <c r="A2986" s="277" t="s">
        <v>6893</v>
      </c>
      <c r="B2986" s="9" t="s">
        <v>21</v>
      </c>
      <c r="C2986" s="9"/>
      <c r="D2986" s="9"/>
      <c r="E2986" s="90"/>
      <c r="F2986" s="9"/>
      <c r="G2986" s="94" t="s">
        <v>24</v>
      </c>
      <c r="H2986" s="95" t="s">
        <v>1723</v>
      </c>
      <c r="I2986" s="104"/>
      <c r="J2986" s="105"/>
      <c r="K2986" s="105"/>
      <c r="L2986" s="106">
        <f>SUM(L2987:L2999)</f>
        <v>11002294</v>
      </c>
      <c r="M2986" s="107"/>
      <c r="N2986" s="108" t="s">
        <v>26</v>
      </c>
      <c r="O2986" s="108"/>
      <c r="P2986" s="108"/>
      <c r="Q2986" s="108"/>
      <c r="R2986" s="108"/>
      <c r="S2986" s="106">
        <f>SUM(S2987:S2999)</f>
        <v>11002294</v>
      </c>
      <c r="T2986" s="106">
        <f>SUM(T2987:T2999)</f>
        <v>0</v>
      </c>
      <c r="U2986" s="10"/>
      <c r="V2986" s="52">
        <f>L2986-S2986</f>
        <v>0</v>
      </c>
      <c r="W2986" s="52">
        <f>T2986-V2986</f>
        <v>0</v>
      </c>
      <c r="X2986" s="10"/>
      <c r="Y2986" s="10"/>
      <c r="Z2986" s="10"/>
      <c r="AA2986" s="10"/>
      <c r="AB2986" s="10"/>
      <c r="AC2986" s="10"/>
      <c r="AD2986" s="10"/>
      <c r="AE2986" s="10"/>
    </row>
    <row r="2987" spans="1:31" ht="14.25" customHeight="1">
      <c r="A2987" s="277" t="s">
        <v>6894</v>
      </c>
      <c r="B2987" s="9" t="s">
        <v>21</v>
      </c>
      <c r="C2987" s="9">
        <v>2023</v>
      </c>
      <c r="D2987" s="9"/>
      <c r="E2987" s="90" t="s">
        <v>1656</v>
      </c>
      <c r="F2987" s="9" t="s">
        <v>1658</v>
      </c>
      <c r="G2987" s="10"/>
      <c r="H2987" s="9"/>
      <c r="I2987" s="180" t="s">
        <v>1723</v>
      </c>
      <c r="J2987" s="12">
        <v>44927</v>
      </c>
      <c r="K2987" s="12"/>
      <c r="L2987" s="52">
        <v>2063297</v>
      </c>
      <c r="M2987" s="10" t="s">
        <v>1724</v>
      </c>
      <c r="N2987" s="231" t="s">
        <v>29</v>
      </c>
      <c r="O2987" s="125">
        <f t="shared" ref="O2987:O2998" si="640">L2987</f>
        <v>2063297</v>
      </c>
      <c r="P2987" s="39"/>
      <c r="Q2987" s="39"/>
      <c r="R2987" s="40">
        <v>44943</v>
      </c>
      <c r="S2987" s="37">
        <f t="shared" ref="S2987:S2999" si="641">IF(R2987="",0,L2987)</f>
        <v>2063297</v>
      </c>
      <c r="T2987" s="37">
        <f t="shared" ref="T2987:T2999" si="642">L2987-S2987</f>
        <v>0</v>
      </c>
      <c r="U2987" s="10"/>
      <c r="V2987" s="10"/>
      <c r="W2987" s="10"/>
      <c r="X2987" s="10"/>
      <c r="Y2987" s="10"/>
      <c r="Z2987" s="10"/>
      <c r="AA2987" s="10"/>
      <c r="AB2987" s="10"/>
      <c r="AC2987" s="10"/>
      <c r="AD2987" s="10"/>
      <c r="AE2987" s="10"/>
    </row>
    <row r="2988" spans="1:31" ht="14.25" customHeight="1">
      <c r="A2988" s="277" t="s">
        <v>6895</v>
      </c>
      <c r="B2988" s="9" t="s">
        <v>21</v>
      </c>
      <c r="C2988" s="9">
        <v>2023</v>
      </c>
      <c r="D2988" s="9"/>
      <c r="E2988" s="90" t="s">
        <v>1656</v>
      </c>
      <c r="F2988" s="9" t="s">
        <v>1658</v>
      </c>
      <c r="G2988" s="10"/>
      <c r="H2988" s="9"/>
      <c r="I2988" s="180" t="s">
        <v>1723</v>
      </c>
      <c r="J2988" s="12">
        <v>44958</v>
      </c>
      <c r="K2988" s="12"/>
      <c r="L2988" s="52">
        <v>1702028</v>
      </c>
      <c r="M2988" s="10" t="s">
        <v>1725</v>
      </c>
      <c r="N2988" s="231" t="s">
        <v>29</v>
      </c>
      <c r="O2988" s="125">
        <f t="shared" si="640"/>
        <v>1702028</v>
      </c>
      <c r="P2988" s="39"/>
      <c r="Q2988" s="39"/>
      <c r="R2988" s="40">
        <v>44973</v>
      </c>
      <c r="S2988" s="37">
        <f t="shared" si="641"/>
        <v>1702028</v>
      </c>
      <c r="T2988" s="37">
        <f t="shared" si="642"/>
        <v>0</v>
      </c>
      <c r="U2988" s="10"/>
      <c r="V2988" s="10"/>
      <c r="W2988" s="10"/>
      <c r="X2988" s="10"/>
      <c r="Y2988" s="10"/>
      <c r="Z2988" s="10"/>
      <c r="AA2988" s="10"/>
      <c r="AB2988" s="10"/>
      <c r="AC2988" s="10"/>
      <c r="AD2988" s="10"/>
      <c r="AE2988" s="10"/>
    </row>
    <row r="2989" spans="1:31" ht="14.25" customHeight="1">
      <c r="A2989" s="277" t="s">
        <v>6896</v>
      </c>
      <c r="B2989" s="9" t="s">
        <v>21</v>
      </c>
      <c r="C2989" s="9">
        <v>2023</v>
      </c>
      <c r="D2989" s="9"/>
      <c r="E2989" s="90" t="s">
        <v>1656</v>
      </c>
      <c r="F2989" s="9" t="s">
        <v>1658</v>
      </c>
      <c r="G2989" s="10"/>
      <c r="H2989" s="9"/>
      <c r="I2989" s="180" t="s">
        <v>1723</v>
      </c>
      <c r="J2989" s="12">
        <v>44986</v>
      </c>
      <c r="K2989" s="12"/>
      <c r="L2989" s="52">
        <v>1683484</v>
      </c>
      <c r="M2989" s="10" t="s">
        <v>1726</v>
      </c>
      <c r="N2989" s="231" t="s">
        <v>29</v>
      </c>
      <c r="O2989" s="125">
        <f t="shared" si="640"/>
        <v>1683484</v>
      </c>
      <c r="P2989" s="39"/>
      <c r="Q2989" s="39"/>
      <c r="R2989" s="40">
        <v>45001</v>
      </c>
      <c r="S2989" s="37">
        <f t="shared" si="641"/>
        <v>1683484</v>
      </c>
      <c r="T2989" s="37">
        <f t="shared" si="642"/>
        <v>0</v>
      </c>
      <c r="U2989" s="10"/>
      <c r="V2989" s="10"/>
      <c r="W2989" s="10"/>
      <c r="X2989" s="10"/>
      <c r="Y2989" s="10"/>
      <c r="Z2989" s="10"/>
      <c r="AA2989" s="10"/>
      <c r="AB2989" s="10"/>
      <c r="AC2989" s="10"/>
      <c r="AD2989" s="10"/>
      <c r="AE2989" s="10"/>
    </row>
    <row r="2990" spans="1:31" ht="14.25" customHeight="1">
      <c r="A2990" s="277" t="s">
        <v>6897</v>
      </c>
      <c r="B2990" s="9" t="s">
        <v>21</v>
      </c>
      <c r="C2990" s="9">
        <v>2023</v>
      </c>
      <c r="D2990" s="9"/>
      <c r="E2990" s="90" t="s">
        <v>1656</v>
      </c>
      <c r="F2990" s="9" t="s">
        <v>1658</v>
      </c>
      <c r="G2990" s="10"/>
      <c r="H2990" s="9"/>
      <c r="I2990" s="180" t="s">
        <v>1723</v>
      </c>
      <c r="J2990" s="12">
        <v>45017</v>
      </c>
      <c r="K2990" s="12"/>
      <c r="L2990" s="52">
        <v>1849029</v>
      </c>
      <c r="M2990" s="10" t="s">
        <v>1727</v>
      </c>
      <c r="N2990" s="231" t="s">
        <v>29</v>
      </c>
      <c r="O2990" s="125">
        <f t="shared" si="640"/>
        <v>1849029</v>
      </c>
      <c r="P2990" s="39"/>
      <c r="Q2990" s="39"/>
      <c r="R2990" s="40">
        <v>45031</v>
      </c>
      <c r="S2990" s="37">
        <f t="shared" si="641"/>
        <v>1849029</v>
      </c>
      <c r="T2990" s="37">
        <f t="shared" si="642"/>
        <v>0</v>
      </c>
      <c r="U2990" s="10"/>
      <c r="V2990" s="10"/>
      <c r="W2990" s="10"/>
      <c r="X2990" s="10"/>
      <c r="Y2990" s="10"/>
      <c r="Z2990" s="10"/>
      <c r="AA2990" s="10"/>
      <c r="AB2990" s="10"/>
      <c r="AC2990" s="10"/>
      <c r="AD2990" s="10"/>
      <c r="AE2990" s="10"/>
    </row>
    <row r="2991" spans="1:31" ht="14.25" customHeight="1">
      <c r="A2991" s="277" t="s">
        <v>6898</v>
      </c>
      <c r="B2991" s="9" t="s">
        <v>21</v>
      </c>
      <c r="C2991" s="9">
        <v>2023</v>
      </c>
      <c r="D2991" s="9"/>
      <c r="E2991" s="90" t="s">
        <v>1656</v>
      </c>
      <c r="F2991" s="9" t="s">
        <v>1658</v>
      </c>
      <c r="G2991" s="10"/>
      <c r="H2991" s="9"/>
      <c r="I2991" s="180" t="s">
        <v>1723</v>
      </c>
      <c r="J2991" s="12">
        <v>45047</v>
      </c>
      <c r="K2991" s="12"/>
      <c r="L2991" s="52">
        <v>1944464</v>
      </c>
      <c r="M2991" s="10" t="s">
        <v>1728</v>
      </c>
      <c r="N2991" s="231" t="s">
        <v>29</v>
      </c>
      <c r="O2991" s="125">
        <f t="shared" si="640"/>
        <v>1944464</v>
      </c>
      <c r="P2991" s="39"/>
      <c r="Q2991" s="39"/>
      <c r="R2991" s="40">
        <v>45064</v>
      </c>
      <c r="S2991" s="37">
        <f t="shared" si="641"/>
        <v>1944464</v>
      </c>
      <c r="T2991" s="37">
        <f t="shared" si="642"/>
        <v>0</v>
      </c>
      <c r="U2991" s="10"/>
      <c r="V2991" s="10"/>
      <c r="W2991" s="10"/>
      <c r="X2991" s="10"/>
      <c r="Y2991" s="10"/>
      <c r="Z2991" s="10"/>
      <c r="AA2991" s="10"/>
      <c r="AB2991" s="10"/>
      <c r="AC2991" s="10"/>
      <c r="AD2991" s="10"/>
      <c r="AE2991" s="10"/>
    </row>
    <row r="2992" spans="1:31" ht="14.25" customHeight="1">
      <c r="A2992" s="277" t="s">
        <v>6899</v>
      </c>
      <c r="B2992" s="9" t="s">
        <v>21</v>
      </c>
      <c r="C2992" s="9">
        <v>2023</v>
      </c>
      <c r="D2992" s="9"/>
      <c r="E2992" s="90" t="s">
        <v>1656</v>
      </c>
      <c r="F2992" s="9" t="s">
        <v>1658</v>
      </c>
      <c r="G2992" s="10"/>
      <c r="H2992" s="9"/>
      <c r="I2992" s="180" t="s">
        <v>1723</v>
      </c>
      <c r="J2992" s="12">
        <v>45078</v>
      </c>
      <c r="K2992" s="12"/>
      <c r="L2992" s="52">
        <v>1759992</v>
      </c>
      <c r="M2992" s="10" t="s">
        <v>1729</v>
      </c>
      <c r="N2992" s="231" t="s">
        <v>29</v>
      </c>
      <c r="O2992" s="125">
        <f t="shared" si="640"/>
        <v>1759992</v>
      </c>
      <c r="P2992" s="39"/>
      <c r="Q2992" s="39"/>
      <c r="R2992" s="40">
        <v>45093</v>
      </c>
      <c r="S2992" s="37">
        <f t="shared" si="641"/>
        <v>1759992</v>
      </c>
      <c r="T2992" s="37">
        <f t="shared" si="642"/>
        <v>0</v>
      </c>
      <c r="U2992" s="10"/>
      <c r="V2992" s="10"/>
      <c r="W2992" s="10"/>
      <c r="X2992" s="10"/>
      <c r="Y2992" s="10"/>
      <c r="Z2992" s="10"/>
      <c r="AA2992" s="10"/>
      <c r="AB2992" s="10"/>
      <c r="AC2992" s="10"/>
      <c r="AD2992" s="10"/>
      <c r="AE2992" s="10"/>
    </row>
    <row r="2993" spans="1:31" ht="14.25" customHeight="1">
      <c r="A2993" s="277" t="s">
        <v>6900</v>
      </c>
      <c r="B2993" s="9" t="s">
        <v>21</v>
      </c>
      <c r="C2993" s="9">
        <v>2023</v>
      </c>
      <c r="D2993" s="9"/>
      <c r="E2993" s="90" t="s">
        <v>1656</v>
      </c>
      <c r="F2993" s="9" t="s">
        <v>1658</v>
      </c>
      <c r="G2993" s="10"/>
      <c r="H2993" s="9"/>
      <c r="I2993" s="180" t="s">
        <v>1723</v>
      </c>
      <c r="J2993" s="12">
        <v>45108</v>
      </c>
      <c r="K2993" s="12"/>
      <c r="L2993" s="52"/>
      <c r="M2993" s="10" t="s">
        <v>1730</v>
      </c>
      <c r="N2993" s="231" t="s">
        <v>29</v>
      </c>
      <c r="O2993" s="125">
        <f t="shared" si="640"/>
        <v>0</v>
      </c>
      <c r="P2993" s="39"/>
      <c r="Q2993" s="39"/>
      <c r="R2993" s="39"/>
      <c r="S2993" s="37">
        <f t="shared" si="641"/>
        <v>0</v>
      </c>
      <c r="T2993" s="37">
        <f t="shared" si="642"/>
        <v>0</v>
      </c>
      <c r="U2993" s="10"/>
      <c r="V2993" s="10"/>
      <c r="W2993" s="10"/>
      <c r="X2993" s="10"/>
      <c r="Y2993" s="10"/>
      <c r="Z2993" s="10"/>
      <c r="AA2993" s="10"/>
      <c r="AB2993" s="10"/>
      <c r="AC2993" s="10"/>
      <c r="AD2993" s="10"/>
      <c r="AE2993" s="10"/>
    </row>
    <row r="2994" spans="1:31" ht="14.25" customHeight="1">
      <c r="A2994" s="277" t="s">
        <v>6901</v>
      </c>
      <c r="B2994" s="9" t="s">
        <v>21</v>
      </c>
      <c r="C2994" s="9">
        <v>2023</v>
      </c>
      <c r="D2994" s="9"/>
      <c r="E2994" s="90" t="s">
        <v>1656</v>
      </c>
      <c r="F2994" s="9" t="s">
        <v>1658</v>
      </c>
      <c r="G2994" s="10"/>
      <c r="H2994" s="9"/>
      <c r="I2994" s="180" t="s">
        <v>1723</v>
      </c>
      <c r="J2994" s="12">
        <v>45139</v>
      </c>
      <c r="K2994" s="12"/>
      <c r="L2994" s="52"/>
      <c r="M2994" s="10" t="s">
        <v>1731</v>
      </c>
      <c r="N2994" s="231" t="s">
        <v>29</v>
      </c>
      <c r="O2994" s="125">
        <f t="shared" si="640"/>
        <v>0</v>
      </c>
      <c r="P2994" s="39"/>
      <c r="Q2994" s="39"/>
      <c r="R2994" s="39"/>
      <c r="S2994" s="37">
        <f t="shared" si="641"/>
        <v>0</v>
      </c>
      <c r="T2994" s="37">
        <f t="shared" si="642"/>
        <v>0</v>
      </c>
      <c r="U2994" s="10"/>
      <c r="V2994" s="10"/>
      <c r="W2994" s="10"/>
      <c r="X2994" s="10"/>
      <c r="Y2994" s="10"/>
      <c r="Z2994" s="10"/>
      <c r="AA2994" s="10"/>
      <c r="AB2994" s="10"/>
      <c r="AC2994" s="10"/>
      <c r="AD2994" s="10"/>
      <c r="AE2994" s="10"/>
    </row>
    <row r="2995" spans="1:31" ht="14.25" customHeight="1">
      <c r="A2995" s="277" t="s">
        <v>6902</v>
      </c>
      <c r="B2995" s="9" t="s">
        <v>21</v>
      </c>
      <c r="C2995" s="9">
        <v>2023</v>
      </c>
      <c r="D2995" s="9"/>
      <c r="E2995" s="90" t="s">
        <v>1656</v>
      </c>
      <c r="F2995" s="9" t="s">
        <v>1658</v>
      </c>
      <c r="G2995" s="10"/>
      <c r="H2995" s="9"/>
      <c r="I2995" s="180" t="s">
        <v>1723</v>
      </c>
      <c r="J2995" s="12">
        <v>45170</v>
      </c>
      <c r="K2995" s="12"/>
      <c r="L2995" s="52"/>
      <c r="M2995" s="10" t="s">
        <v>1732</v>
      </c>
      <c r="N2995" s="231" t="s">
        <v>29</v>
      </c>
      <c r="O2995" s="125">
        <f t="shared" si="640"/>
        <v>0</v>
      </c>
      <c r="P2995" s="39"/>
      <c r="Q2995" s="39"/>
      <c r="R2995" s="39"/>
      <c r="S2995" s="37">
        <f t="shared" si="641"/>
        <v>0</v>
      </c>
      <c r="T2995" s="37">
        <f t="shared" si="642"/>
        <v>0</v>
      </c>
      <c r="U2995" s="10"/>
      <c r="V2995" s="10"/>
      <c r="W2995" s="10"/>
      <c r="X2995" s="10"/>
      <c r="Y2995" s="10"/>
      <c r="Z2995" s="10"/>
      <c r="AA2995" s="10"/>
      <c r="AB2995" s="10"/>
      <c r="AC2995" s="10"/>
      <c r="AD2995" s="10"/>
      <c r="AE2995" s="10"/>
    </row>
    <row r="2996" spans="1:31" ht="14.25" customHeight="1">
      <c r="A2996" s="277" t="s">
        <v>6903</v>
      </c>
      <c r="B2996" s="9" t="s">
        <v>21</v>
      </c>
      <c r="C2996" s="9">
        <v>2023</v>
      </c>
      <c r="D2996" s="9"/>
      <c r="E2996" s="90" t="s">
        <v>1656</v>
      </c>
      <c r="F2996" s="9" t="s">
        <v>1658</v>
      </c>
      <c r="G2996" s="10"/>
      <c r="H2996" s="9"/>
      <c r="I2996" s="180" t="s">
        <v>1723</v>
      </c>
      <c r="J2996" s="12">
        <v>45200</v>
      </c>
      <c r="K2996" s="12"/>
      <c r="L2996" s="52"/>
      <c r="M2996" s="10" t="s">
        <v>1733</v>
      </c>
      <c r="N2996" s="231" t="s">
        <v>29</v>
      </c>
      <c r="O2996" s="125">
        <f t="shared" si="640"/>
        <v>0</v>
      </c>
      <c r="P2996" s="39"/>
      <c r="Q2996" s="39"/>
      <c r="R2996" s="39"/>
      <c r="S2996" s="37">
        <f t="shared" si="641"/>
        <v>0</v>
      </c>
      <c r="T2996" s="37">
        <f t="shared" si="642"/>
        <v>0</v>
      </c>
      <c r="U2996" s="10"/>
      <c r="V2996" s="10"/>
      <c r="W2996" s="10"/>
      <c r="X2996" s="10"/>
      <c r="Y2996" s="10"/>
      <c r="Z2996" s="10"/>
      <c r="AA2996" s="10"/>
      <c r="AB2996" s="10"/>
      <c r="AC2996" s="10"/>
      <c r="AD2996" s="10"/>
      <c r="AE2996" s="10"/>
    </row>
    <row r="2997" spans="1:31" ht="14.25" customHeight="1">
      <c r="A2997" s="277" t="s">
        <v>6904</v>
      </c>
      <c r="B2997" s="9" t="s">
        <v>21</v>
      </c>
      <c r="C2997" s="9">
        <v>2023</v>
      </c>
      <c r="D2997" s="9"/>
      <c r="E2997" s="90" t="s">
        <v>1656</v>
      </c>
      <c r="F2997" s="9" t="s">
        <v>1658</v>
      </c>
      <c r="G2997" s="10"/>
      <c r="H2997" s="9"/>
      <c r="I2997" s="180" t="s">
        <v>1723</v>
      </c>
      <c r="J2997" s="12">
        <v>45231</v>
      </c>
      <c r="K2997" s="12"/>
      <c r="L2997" s="52"/>
      <c r="M2997" s="10" t="s">
        <v>1734</v>
      </c>
      <c r="N2997" s="231" t="s">
        <v>29</v>
      </c>
      <c r="O2997" s="125">
        <f t="shared" si="640"/>
        <v>0</v>
      </c>
      <c r="P2997" s="39"/>
      <c r="Q2997" s="39"/>
      <c r="R2997" s="39"/>
      <c r="S2997" s="37">
        <f t="shared" si="641"/>
        <v>0</v>
      </c>
      <c r="T2997" s="37">
        <f t="shared" si="642"/>
        <v>0</v>
      </c>
      <c r="U2997" s="10"/>
      <c r="V2997" s="10"/>
      <c r="W2997" s="10"/>
      <c r="X2997" s="10"/>
      <c r="Y2997" s="10"/>
      <c r="Z2997" s="10"/>
      <c r="AA2997" s="10"/>
      <c r="AB2997" s="10"/>
      <c r="AC2997" s="10"/>
      <c r="AD2997" s="10"/>
      <c r="AE2997" s="10"/>
    </row>
    <row r="2998" spans="1:31" ht="14.25" customHeight="1">
      <c r="A2998" s="277" t="s">
        <v>6905</v>
      </c>
      <c r="B2998" s="9" t="s">
        <v>21</v>
      </c>
      <c r="C2998" s="9">
        <v>2023</v>
      </c>
      <c r="D2998" s="9"/>
      <c r="E2998" s="90" t="s">
        <v>1656</v>
      </c>
      <c r="F2998" s="9" t="s">
        <v>1658</v>
      </c>
      <c r="G2998" s="10"/>
      <c r="H2998" s="9"/>
      <c r="I2998" s="180" t="s">
        <v>1723</v>
      </c>
      <c r="J2998" s="12">
        <v>45261</v>
      </c>
      <c r="K2998" s="12"/>
      <c r="L2998" s="52"/>
      <c r="M2998" s="10" t="s">
        <v>1735</v>
      </c>
      <c r="N2998" s="231" t="s">
        <v>29</v>
      </c>
      <c r="O2998" s="125">
        <f t="shared" si="640"/>
        <v>0</v>
      </c>
      <c r="P2998" s="39"/>
      <c r="Q2998" s="39"/>
      <c r="R2998" s="39"/>
      <c r="S2998" s="37">
        <f t="shared" si="641"/>
        <v>0</v>
      </c>
      <c r="T2998" s="37">
        <f t="shared" si="642"/>
        <v>0</v>
      </c>
      <c r="U2998" s="10"/>
      <c r="V2998" s="10"/>
      <c r="W2998" s="10"/>
      <c r="X2998" s="10"/>
      <c r="Y2998" s="10"/>
      <c r="Z2998" s="10"/>
      <c r="AA2998" s="10"/>
      <c r="AB2998" s="10"/>
      <c r="AC2998" s="10"/>
      <c r="AD2998" s="10"/>
      <c r="AE2998" s="10"/>
    </row>
    <row r="2999" spans="1:31" ht="14.25" customHeight="1">
      <c r="A2999" s="277" t="s">
        <v>6906</v>
      </c>
      <c r="B2999" s="9" t="s">
        <v>21</v>
      </c>
      <c r="C2999" s="9"/>
      <c r="D2999" s="9"/>
      <c r="E2999" s="90"/>
      <c r="F2999" s="9"/>
      <c r="G2999" s="10"/>
      <c r="H2999" s="9"/>
      <c r="I2999" s="11"/>
      <c r="J2999" s="228"/>
      <c r="K2999" s="12"/>
      <c r="L2999" s="52"/>
      <c r="M2999" s="10"/>
      <c r="N2999" s="114">
        <f ca="1">$J$3-J2999</f>
        <v>46240.46377638889</v>
      </c>
      <c r="O2999" s="11"/>
      <c r="P2999" s="39"/>
      <c r="Q2999" s="39"/>
      <c r="R2999" s="39"/>
      <c r="S2999" s="37">
        <f t="shared" si="641"/>
        <v>0</v>
      </c>
      <c r="T2999" s="37">
        <f t="shared" si="642"/>
        <v>0</v>
      </c>
      <c r="U2999" s="10"/>
      <c r="V2999" s="10"/>
      <c r="W2999" s="10"/>
      <c r="X2999" s="10"/>
      <c r="Y2999" s="10"/>
      <c r="Z2999" s="10"/>
      <c r="AA2999" s="10"/>
      <c r="AB2999" s="10"/>
      <c r="AC2999" s="10"/>
      <c r="AD2999" s="10"/>
      <c r="AE2999" s="10"/>
    </row>
    <row r="3000" spans="1:31" ht="14.25" customHeight="1">
      <c r="A3000" s="277" t="s">
        <v>6907</v>
      </c>
      <c r="B3000" s="9" t="s">
        <v>21</v>
      </c>
      <c r="C3000" s="9"/>
      <c r="D3000" s="9"/>
      <c r="E3000" s="90"/>
      <c r="F3000" s="9"/>
      <c r="G3000" s="9"/>
      <c r="H3000" s="93"/>
      <c r="I3000" s="11"/>
      <c r="J3000" s="12"/>
      <c r="K3000" s="12"/>
      <c r="L3000" s="118"/>
      <c r="M3000" s="103"/>
      <c r="N3000" s="33"/>
      <c r="O3000" s="33"/>
      <c r="P3000" s="33"/>
      <c r="Q3000" s="33"/>
      <c r="R3000" s="33"/>
      <c r="S3000" s="118"/>
      <c r="T3000" s="118"/>
      <c r="U3000" s="10"/>
      <c r="V3000" s="10"/>
      <c r="W3000" s="10"/>
      <c r="X3000" s="10"/>
      <c r="Y3000" s="10"/>
      <c r="Z3000" s="10"/>
      <c r="AA3000" s="10"/>
      <c r="AB3000" s="10"/>
      <c r="AC3000" s="10"/>
      <c r="AD3000" s="10"/>
      <c r="AE3000" s="10"/>
    </row>
    <row r="3001" spans="1:31" ht="14.25" customHeight="1">
      <c r="A3001" s="277" t="s">
        <v>6908</v>
      </c>
      <c r="B3001" s="9" t="s">
        <v>21</v>
      </c>
      <c r="C3001" s="9"/>
      <c r="D3001" s="9"/>
      <c r="E3001" s="90"/>
      <c r="F3001" s="9"/>
      <c r="G3001" s="94" t="s">
        <v>24</v>
      </c>
      <c r="H3001" s="95" t="s">
        <v>1736</v>
      </c>
      <c r="I3001" s="104"/>
      <c r="J3001" s="105"/>
      <c r="K3001" s="105"/>
      <c r="L3001" s="106">
        <f>SUM(L3002:L3014)</f>
        <v>880386</v>
      </c>
      <c r="M3001" s="107"/>
      <c r="N3001" s="108" t="s">
        <v>26</v>
      </c>
      <c r="O3001" s="108"/>
      <c r="P3001" s="108"/>
      <c r="Q3001" s="108"/>
      <c r="R3001" s="108"/>
      <c r="S3001" s="106">
        <f>SUM(S3002:S3014)</f>
        <v>880386</v>
      </c>
      <c r="T3001" s="106">
        <f>SUM(T3002:T3014)</f>
        <v>0</v>
      </c>
      <c r="U3001" s="10"/>
      <c r="V3001" s="52">
        <f>L3001-S3001</f>
        <v>0</v>
      </c>
      <c r="W3001" s="52">
        <f>T3001-V3001</f>
        <v>0</v>
      </c>
      <c r="X3001" s="10"/>
      <c r="Y3001" s="10"/>
      <c r="Z3001" s="10"/>
      <c r="AA3001" s="10"/>
      <c r="AB3001" s="10"/>
      <c r="AC3001" s="10"/>
      <c r="AD3001" s="10"/>
      <c r="AE3001" s="10"/>
    </row>
    <row r="3002" spans="1:31" ht="14.25" customHeight="1">
      <c r="A3002" s="277" t="s">
        <v>6909</v>
      </c>
      <c r="B3002" s="9" t="s">
        <v>21</v>
      </c>
      <c r="C3002" s="9">
        <v>2023</v>
      </c>
      <c r="D3002" s="9"/>
      <c r="E3002" s="90" t="s">
        <v>1656</v>
      </c>
      <c r="F3002" s="9" t="s">
        <v>1658</v>
      </c>
      <c r="G3002" s="10"/>
      <c r="H3002" s="9"/>
      <c r="I3002" s="180" t="s">
        <v>1736</v>
      </c>
      <c r="J3002" s="12">
        <v>44927</v>
      </c>
      <c r="K3002" s="12"/>
      <c r="L3002" s="52">
        <v>155696</v>
      </c>
      <c r="M3002" s="10" t="s">
        <v>1737</v>
      </c>
      <c r="N3002" s="231" t="s">
        <v>29</v>
      </c>
      <c r="O3002" s="125">
        <f t="shared" ref="O3002:O3013" si="643">L3002</f>
        <v>155696</v>
      </c>
      <c r="P3002" s="39"/>
      <c r="Q3002" s="39"/>
      <c r="R3002" s="40">
        <v>44943</v>
      </c>
      <c r="S3002" s="37">
        <f t="shared" ref="S3002:S3014" si="644">IF(R3002="",0,L3002)</f>
        <v>155696</v>
      </c>
      <c r="T3002" s="37">
        <f t="shared" ref="T3002:T3014" si="645">L3002-S3002</f>
        <v>0</v>
      </c>
      <c r="U3002" s="10"/>
      <c r="V3002" s="10"/>
      <c r="W3002" s="10"/>
      <c r="X3002" s="10"/>
      <c r="Y3002" s="10"/>
      <c r="Z3002" s="10"/>
      <c r="AA3002" s="10"/>
      <c r="AB3002" s="10"/>
      <c r="AC3002" s="10"/>
      <c r="AD3002" s="10"/>
      <c r="AE3002" s="10"/>
    </row>
    <row r="3003" spans="1:31" ht="14.25" customHeight="1">
      <c r="A3003" s="277" t="s">
        <v>6910</v>
      </c>
      <c r="B3003" s="9" t="s">
        <v>21</v>
      </c>
      <c r="C3003" s="9">
        <v>2023</v>
      </c>
      <c r="D3003" s="9"/>
      <c r="E3003" s="90" t="s">
        <v>1656</v>
      </c>
      <c r="F3003" s="9" t="s">
        <v>1658</v>
      </c>
      <c r="G3003" s="10"/>
      <c r="H3003" s="9"/>
      <c r="I3003" s="180" t="s">
        <v>1736</v>
      </c>
      <c r="J3003" s="12">
        <v>44958</v>
      </c>
      <c r="K3003" s="12"/>
      <c r="L3003" s="52">
        <v>129429</v>
      </c>
      <c r="M3003" s="10" t="s">
        <v>1738</v>
      </c>
      <c r="N3003" s="231" t="s">
        <v>29</v>
      </c>
      <c r="O3003" s="125">
        <f t="shared" si="643"/>
        <v>129429</v>
      </c>
      <c r="P3003" s="39"/>
      <c r="Q3003" s="39"/>
      <c r="R3003" s="40">
        <v>44973</v>
      </c>
      <c r="S3003" s="37">
        <f t="shared" si="644"/>
        <v>129429</v>
      </c>
      <c r="T3003" s="37">
        <f t="shared" si="645"/>
        <v>0</v>
      </c>
      <c r="U3003" s="10"/>
      <c r="V3003" s="10"/>
      <c r="W3003" s="10"/>
      <c r="X3003" s="10"/>
      <c r="Y3003" s="10"/>
      <c r="Z3003" s="10"/>
      <c r="AA3003" s="10"/>
      <c r="AB3003" s="10"/>
      <c r="AC3003" s="10"/>
      <c r="AD3003" s="10"/>
      <c r="AE3003" s="10"/>
    </row>
    <row r="3004" spans="1:31" ht="14.25" customHeight="1">
      <c r="A3004" s="277" t="s">
        <v>6911</v>
      </c>
      <c r="B3004" s="9" t="s">
        <v>21</v>
      </c>
      <c r="C3004" s="9">
        <v>2023</v>
      </c>
      <c r="D3004" s="9"/>
      <c r="E3004" s="90" t="s">
        <v>1656</v>
      </c>
      <c r="F3004" s="9" t="s">
        <v>1658</v>
      </c>
      <c r="G3004" s="10"/>
      <c r="H3004" s="9"/>
      <c r="I3004" s="180" t="s">
        <v>1736</v>
      </c>
      <c r="J3004" s="12">
        <v>44986</v>
      </c>
      <c r="K3004" s="12"/>
      <c r="L3004" s="52">
        <v>188985</v>
      </c>
      <c r="M3004" s="10" t="s">
        <v>1739</v>
      </c>
      <c r="N3004" s="231" t="s">
        <v>29</v>
      </c>
      <c r="O3004" s="125">
        <f t="shared" si="643"/>
        <v>188985</v>
      </c>
      <c r="P3004" s="39"/>
      <c r="Q3004" s="39"/>
      <c r="R3004" s="40">
        <v>45001</v>
      </c>
      <c r="S3004" s="37">
        <f t="shared" si="644"/>
        <v>188985</v>
      </c>
      <c r="T3004" s="37">
        <f t="shared" si="645"/>
        <v>0</v>
      </c>
      <c r="U3004" s="10"/>
      <c r="V3004" s="10"/>
      <c r="W3004" s="10"/>
      <c r="X3004" s="10"/>
      <c r="Y3004" s="10"/>
      <c r="Z3004" s="10"/>
      <c r="AA3004" s="10"/>
      <c r="AB3004" s="10"/>
      <c r="AC3004" s="10"/>
      <c r="AD3004" s="10"/>
      <c r="AE3004" s="10"/>
    </row>
    <row r="3005" spans="1:31" ht="14.25" customHeight="1">
      <c r="A3005" s="277" t="s">
        <v>6912</v>
      </c>
      <c r="B3005" s="9" t="s">
        <v>21</v>
      </c>
      <c r="C3005" s="9">
        <v>2023</v>
      </c>
      <c r="D3005" s="9"/>
      <c r="E3005" s="90" t="s">
        <v>1656</v>
      </c>
      <c r="F3005" s="9" t="s">
        <v>1658</v>
      </c>
      <c r="G3005" s="10"/>
      <c r="H3005" s="9"/>
      <c r="I3005" s="180" t="s">
        <v>1736</v>
      </c>
      <c r="J3005" s="12">
        <v>45017</v>
      </c>
      <c r="K3005" s="12"/>
      <c r="L3005" s="52">
        <v>235797</v>
      </c>
      <c r="M3005" s="10" t="s">
        <v>1740</v>
      </c>
      <c r="N3005" s="231" t="s">
        <v>29</v>
      </c>
      <c r="O3005" s="125">
        <f t="shared" si="643"/>
        <v>235797</v>
      </c>
      <c r="P3005" s="39"/>
      <c r="Q3005" s="39"/>
      <c r="R3005" s="40">
        <v>45031</v>
      </c>
      <c r="S3005" s="37">
        <f t="shared" si="644"/>
        <v>235797</v>
      </c>
      <c r="T3005" s="37">
        <f t="shared" si="645"/>
        <v>0</v>
      </c>
      <c r="U3005" s="10"/>
      <c r="V3005" s="10"/>
      <c r="W3005" s="10"/>
      <c r="X3005" s="10"/>
      <c r="Y3005" s="10"/>
      <c r="Z3005" s="10"/>
      <c r="AA3005" s="10"/>
      <c r="AB3005" s="10"/>
      <c r="AC3005" s="10"/>
      <c r="AD3005" s="10"/>
      <c r="AE3005" s="10"/>
    </row>
    <row r="3006" spans="1:31" ht="14.25" customHeight="1">
      <c r="A3006" s="277" t="s">
        <v>7301</v>
      </c>
      <c r="B3006" s="9" t="s">
        <v>21</v>
      </c>
      <c r="C3006" s="9">
        <v>2023</v>
      </c>
      <c r="D3006" s="9"/>
      <c r="E3006" s="90" t="s">
        <v>1656</v>
      </c>
      <c r="F3006" s="9" t="s">
        <v>1658</v>
      </c>
      <c r="G3006" s="10"/>
      <c r="H3006" s="9"/>
      <c r="I3006" s="180" t="s">
        <v>1736</v>
      </c>
      <c r="J3006" s="12">
        <v>45047</v>
      </c>
      <c r="K3006" s="12"/>
      <c r="L3006" s="52"/>
      <c r="M3006" s="10" t="s">
        <v>1741</v>
      </c>
      <c r="N3006" s="231" t="s">
        <v>29</v>
      </c>
      <c r="O3006" s="125">
        <f t="shared" si="643"/>
        <v>0</v>
      </c>
      <c r="P3006" s="39"/>
      <c r="Q3006" s="39"/>
      <c r="R3006" s="39"/>
      <c r="S3006" s="37">
        <f t="shared" si="644"/>
        <v>0</v>
      </c>
      <c r="T3006" s="37">
        <f t="shared" si="645"/>
        <v>0</v>
      </c>
      <c r="U3006" s="10"/>
      <c r="V3006" s="10"/>
      <c r="W3006" s="10"/>
      <c r="X3006" s="10"/>
      <c r="Y3006" s="10"/>
      <c r="Z3006" s="10"/>
      <c r="AA3006" s="10"/>
      <c r="AB3006" s="10"/>
      <c r="AC3006" s="10"/>
      <c r="AD3006" s="10"/>
      <c r="AE3006" s="10"/>
    </row>
    <row r="3007" spans="1:31" ht="14.25" customHeight="1">
      <c r="A3007" s="277" t="s">
        <v>6913</v>
      </c>
      <c r="B3007" s="9" t="s">
        <v>21</v>
      </c>
      <c r="C3007" s="9">
        <v>2023</v>
      </c>
      <c r="D3007" s="9"/>
      <c r="E3007" s="90" t="s">
        <v>1656</v>
      </c>
      <c r="F3007" s="9" t="s">
        <v>1658</v>
      </c>
      <c r="G3007" s="10"/>
      <c r="H3007" s="9"/>
      <c r="I3007" s="180" t="s">
        <v>1736</v>
      </c>
      <c r="J3007" s="12">
        <v>45078</v>
      </c>
      <c r="K3007" s="12"/>
      <c r="L3007" s="52">
        <v>170479</v>
      </c>
      <c r="M3007" s="10" t="s">
        <v>1742</v>
      </c>
      <c r="N3007" s="231" t="s">
        <v>29</v>
      </c>
      <c r="O3007" s="125">
        <f t="shared" si="643"/>
        <v>170479</v>
      </c>
      <c r="P3007" s="39"/>
      <c r="Q3007" s="39"/>
      <c r="R3007" s="40">
        <v>45093</v>
      </c>
      <c r="S3007" s="37">
        <f t="shared" si="644"/>
        <v>170479</v>
      </c>
      <c r="T3007" s="37">
        <f t="shared" si="645"/>
        <v>0</v>
      </c>
      <c r="U3007" s="10"/>
      <c r="V3007" s="10"/>
      <c r="W3007" s="10"/>
      <c r="X3007" s="10"/>
      <c r="Y3007" s="10"/>
      <c r="Z3007" s="10"/>
      <c r="AA3007" s="10"/>
      <c r="AB3007" s="10"/>
      <c r="AC3007" s="10"/>
      <c r="AD3007" s="10"/>
      <c r="AE3007" s="10"/>
    </row>
    <row r="3008" spans="1:31" ht="14.25" customHeight="1">
      <c r="A3008" s="277" t="s">
        <v>6914</v>
      </c>
      <c r="B3008" s="9" t="s">
        <v>21</v>
      </c>
      <c r="C3008" s="9">
        <v>2023</v>
      </c>
      <c r="D3008" s="9"/>
      <c r="E3008" s="90" t="s">
        <v>1656</v>
      </c>
      <c r="F3008" s="9" t="s">
        <v>1658</v>
      </c>
      <c r="G3008" s="10"/>
      <c r="H3008" s="9"/>
      <c r="I3008" s="180" t="s">
        <v>1736</v>
      </c>
      <c r="J3008" s="12">
        <v>45108</v>
      </c>
      <c r="K3008" s="12"/>
      <c r="L3008" s="52"/>
      <c r="M3008" s="10" t="s">
        <v>1743</v>
      </c>
      <c r="N3008" s="231" t="s">
        <v>29</v>
      </c>
      <c r="O3008" s="125">
        <f t="shared" si="643"/>
        <v>0</v>
      </c>
      <c r="P3008" s="39"/>
      <c r="Q3008" s="39"/>
      <c r="R3008" s="39"/>
      <c r="S3008" s="37">
        <f t="shared" si="644"/>
        <v>0</v>
      </c>
      <c r="T3008" s="37">
        <f t="shared" si="645"/>
        <v>0</v>
      </c>
      <c r="U3008" s="10"/>
      <c r="V3008" s="10"/>
      <c r="W3008" s="10"/>
      <c r="X3008" s="10"/>
      <c r="Y3008" s="10"/>
      <c r="Z3008" s="10"/>
      <c r="AA3008" s="10"/>
      <c r="AB3008" s="10"/>
      <c r="AC3008" s="10"/>
      <c r="AD3008" s="10"/>
      <c r="AE3008" s="10"/>
    </row>
    <row r="3009" spans="1:31" ht="14.25" customHeight="1">
      <c r="A3009" s="277" t="s">
        <v>6915</v>
      </c>
      <c r="B3009" s="9" t="s">
        <v>21</v>
      </c>
      <c r="C3009" s="9">
        <v>2023</v>
      </c>
      <c r="D3009" s="9"/>
      <c r="E3009" s="90" t="s">
        <v>1656</v>
      </c>
      <c r="F3009" s="9" t="s">
        <v>1658</v>
      </c>
      <c r="G3009" s="10"/>
      <c r="H3009" s="9"/>
      <c r="I3009" s="180" t="s">
        <v>1736</v>
      </c>
      <c r="J3009" s="12">
        <v>45139</v>
      </c>
      <c r="K3009" s="12"/>
      <c r="L3009" s="52"/>
      <c r="M3009" s="10" t="s">
        <v>1744</v>
      </c>
      <c r="N3009" s="231" t="s">
        <v>29</v>
      </c>
      <c r="O3009" s="125">
        <f t="shared" si="643"/>
        <v>0</v>
      </c>
      <c r="P3009" s="39"/>
      <c r="Q3009" s="39"/>
      <c r="R3009" s="39"/>
      <c r="S3009" s="37">
        <f t="shared" si="644"/>
        <v>0</v>
      </c>
      <c r="T3009" s="37">
        <f t="shared" si="645"/>
        <v>0</v>
      </c>
      <c r="U3009" s="10"/>
      <c r="V3009" s="10"/>
      <c r="W3009" s="10"/>
      <c r="X3009" s="10"/>
      <c r="Y3009" s="10"/>
      <c r="Z3009" s="10"/>
      <c r="AA3009" s="10"/>
      <c r="AB3009" s="10"/>
      <c r="AC3009" s="10"/>
      <c r="AD3009" s="10"/>
      <c r="AE3009" s="10"/>
    </row>
    <row r="3010" spans="1:31" ht="14.25" customHeight="1">
      <c r="A3010" s="277" t="s">
        <v>6916</v>
      </c>
      <c r="B3010" s="9" t="s">
        <v>21</v>
      </c>
      <c r="C3010" s="9">
        <v>2023</v>
      </c>
      <c r="D3010" s="9"/>
      <c r="E3010" s="90" t="s">
        <v>1656</v>
      </c>
      <c r="F3010" s="9" t="s">
        <v>1658</v>
      </c>
      <c r="G3010" s="10"/>
      <c r="H3010" s="9"/>
      <c r="I3010" s="180" t="s">
        <v>1736</v>
      </c>
      <c r="J3010" s="12">
        <v>45170</v>
      </c>
      <c r="K3010" s="12"/>
      <c r="L3010" s="52"/>
      <c r="M3010" s="10" t="s">
        <v>1745</v>
      </c>
      <c r="N3010" s="231" t="s">
        <v>29</v>
      </c>
      <c r="O3010" s="125">
        <f t="shared" si="643"/>
        <v>0</v>
      </c>
      <c r="P3010" s="39"/>
      <c r="Q3010" s="39"/>
      <c r="R3010" s="39"/>
      <c r="S3010" s="37">
        <f t="shared" si="644"/>
        <v>0</v>
      </c>
      <c r="T3010" s="37">
        <f t="shared" si="645"/>
        <v>0</v>
      </c>
      <c r="U3010" s="10"/>
      <c r="V3010" s="10"/>
      <c r="W3010" s="10"/>
      <c r="X3010" s="10"/>
      <c r="Y3010" s="10"/>
      <c r="Z3010" s="10"/>
      <c r="AA3010" s="10"/>
      <c r="AB3010" s="10"/>
      <c r="AC3010" s="10"/>
      <c r="AD3010" s="10"/>
      <c r="AE3010" s="10"/>
    </row>
    <row r="3011" spans="1:31" ht="14.25" customHeight="1">
      <c r="A3011" s="277" t="s">
        <v>6917</v>
      </c>
      <c r="B3011" s="9" t="s">
        <v>21</v>
      </c>
      <c r="C3011" s="9">
        <v>2023</v>
      </c>
      <c r="D3011" s="9"/>
      <c r="E3011" s="90" t="s">
        <v>1656</v>
      </c>
      <c r="F3011" s="9" t="s">
        <v>1658</v>
      </c>
      <c r="G3011" s="10"/>
      <c r="H3011" s="9"/>
      <c r="I3011" s="180" t="s">
        <v>1736</v>
      </c>
      <c r="J3011" s="12">
        <v>45200</v>
      </c>
      <c r="K3011" s="12"/>
      <c r="L3011" s="52"/>
      <c r="M3011" s="10" t="s">
        <v>1746</v>
      </c>
      <c r="N3011" s="231" t="s">
        <v>29</v>
      </c>
      <c r="O3011" s="125">
        <f t="shared" si="643"/>
        <v>0</v>
      </c>
      <c r="P3011" s="39"/>
      <c r="Q3011" s="39"/>
      <c r="R3011" s="39"/>
      <c r="S3011" s="37">
        <f t="shared" si="644"/>
        <v>0</v>
      </c>
      <c r="T3011" s="37">
        <f t="shared" si="645"/>
        <v>0</v>
      </c>
      <c r="U3011" s="10"/>
      <c r="V3011" s="10"/>
      <c r="W3011" s="10"/>
      <c r="X3011" s="10"/>
      <c r="Y3011" s="10"/>
      <c r="Z3011" s="10"/>
      <c r="AA3011" s="10"/>
      <c r="AB3011" s="10"/>
      <c r="AC3011" s="10"/>
      <c r="AD3011" s="10"/>
      <c r="AE3011" s="10"/>
    </row>
    <row r="3012" spans="1:31" ht="14.25" customHeight="1">
      <c r="A3012" s="277" t="s">
        <v>6918</v>
      </c>
      <c r="B3012" s="9" t="s">
        <v>21</v>
      </c>
      <c r="C3012" s="9">
        <v>2023</v>
      </c>
      <c r="D3012" s="9"/>
      <c r="E3012" s="90" t="s">
        <v>1656</v>
      </c>
      <c r="F3012" s="9" t="s">
        <v>1658</v>
      </c>
      <c r="G3012" s="10"/>
      <c r="H3012" s="9"/>
      <c r="I3012" s="180" t="s">
        <v>1736</v>
      </c>
      <c r="J3012" s="12">
        <v>45231</v>
      </c>
      <c r="K3012" s="12"/>
      <c r="L3012" s="52"/>
      <c r="M3012" s="10" t="s">
        <v>1747</v>
      </c>
      <c r="N3012" s="231" t="s">
        <v>29</v>
      </c>
      <c r="O3012" s="125">
        <f t="shared" si="643"/>
        <v>0</v>
      </c>
      <c r="P3012" s="39"/>
      <c r="Q3012" s="39"/>
      <c r="R3012" s="39"/>
      <c r="S3012" s="37">
        <f t="shared" si="644"/>
        <v>0</v>
      </c>
      <c r="T3012" s="37">
        <f t="shared" si="645"/>
        <v>0</v>
      </c>
      <c r="U3012" s="10"/>
      <c r="V3012" s="10"/>
      <c r="W3012" s="10"/>
      <c r="X3012" s="10"/>
      <c r="Y3012" s="10"/>
      <c r="Z3012" s="10"/>
      <c r="AA3012" s="10"/>
      <c r="AB3012" s="10"/>
      <c r="AC3012" s="10"/>
      <c r="AD3012" s="10"/>
      <c r="AE3012" s="10"/>
    </row>
    <row r="3013" spans="1:31" ht="14.25" customHeight="1">
      <c r="A3013" s="277" t="s">
        <v>6919</v>
      </c>
      <c r="B3013" s="9" t="s">
        <v>21</v>
      </c>
      <c r="C3013" s="9">
        <v>2023</v>
      </c>
      <c r="D3013" s="9"/>
      <c r="E3013" s="90" t="s">
        <v>1656</v>
      </c>
      <c r="F3013" s="9" t="s">
        <v>1658</v>
      </c>
      <c r="G3013" s="10"/>
      <c r="H3013" s="9"/>
      <c r="I3013" s="180" t="s">
        <v>1736</v>
      </c>
      <c r="J3013" s="12">
        <v>45261</v>
      </c>
      <c r="K3013" s="12"/>
      <c r="L3013" s="52"/>
      <c r="M3013" s="10" t="s">
        <v>1748</v>
      </c>
      <c r="N3013" s="231" t="s">
        <v>29</v>
      </c>
      <c r="O3013" s="125">
        <f t="shared" si="643"/>
        <v>0</v>
      </c>
      <c r="P3013" s="39"/>
      <c r="Q3013" s="39"/>
      <c r="R3013" s="39"/>
      <c r="S3013" s="37">
        <f t="shared" si="644"/>
        <v>0</v>
      </c>
      <c r="T3013" s="37">
        <f t="shared" si="645"/>
        <v>0</v>
      </c>
      <c r="U3013" s="10"/>
      <c r="V3013" s="10"/>
      <c r="W3013" s="10"/>
      <c r="X3013" s="10"/>
      <c r="Y3013" s="10"/>
      <c r="Z3013" s="10"/>
      <c r="AA3013" s="10"/>
      <c r="AB3013" s="10"/>
      <c r="AC3013" s="10"/>
      <c r="AD3013" s="10"/>
      <c r="AE3013" s="10"/>
    </row>
    <row r="3014" spans="1:31" ht="14.25" customHeight="1">
      <c r="A3014" s="277" t="s">
        <v>6920</v>
      </c>
      <c r="B3014" s="9" t="s">
        <v>21</v>
      </c>
      <c r="C3014" s="9"/>
      <c r="D3014" s="9"/>
      <c r="E3014" s="90"/>
      <c r="F3014" s="9"/>
      <c r="G3014" s="10"/>
      <c r="H3014" s="9"/>
      <c r="I3014" s="11"/>
      <c r="J3014" s="228"/>
      <c r="K3014" s="12"/>
      <c r="L3014" s="52"/>
      <c r="M3014" s="10"/>
      <c r="N3014" s="114">
        <f ca="1">$J$3-J3014</f>
        <v>46240.46377638889</v>
      </c>
      <c r="O3014" s="11"/>
      <c r="P3014" s="39"/>
      <c r="Q3014" s="39"/>
      <c r="R3014" s="39"/>
      <c r="S3014" s="37">
        <f t="shared" si="644"/>
        <v>0</v>
      </c>
      <c r="T3014" s="37">
        <f t="shared" si="645"/>
        <v>0</v>
      </c>
      <c r="U3014" s="10"/>
      <c r="V3014" s="10"/>
      <c r="W3014" s="10"/>
      <c r="X3014" s="10"/>
      <c r="Y3014" s="10"/>
      <c r="Z3014" s="10"/>
      <c r="AA3014" s="10"/>
      <c r="AB3014" s="10"/>
      <c r="AC3014" s="10"/>
      <c r="AD3014" s="10"/>
      <c r="AE3014" s="10"/>
    </row>
    <row r="3015" spans="1:31" ht="14.25" customHeight="1">
      <c r="A3015" s="277" t="s">
        <v>6921</v>
      </c>
      <c r="B3015" s="9" t="s">
        <v>21</v>
      </c>
      <c r="C3015" s="9"/>
      <c r="D3015" s="9"/>
      <c r="E3015" s="90"/>
      <c r="F3015" s="9"/>
      <c r="G3015" s="9"/>
      <c r="H3015" s="93"/>
      <c r="I3015" s="11"/>
      <c r="J3015" s="12"/>
      <c r="K3015" s="12"/>
      <c r="L3015" s="118"/>
      <c r="M3015" s="103"/>
      <c r="N3015" s="33"/>
      <c r="O3015" s="33"/>
      <c r="P3015" s="33"/>
      <c r="Q3015" s="33"/>
      <c r="R3015" s="33"/>
      <c r="S3015" s="118"/>
      <c r="T3015" s="118"/>
      <c r="U3015" s="10"/>
      <c r="V3015" s="10"/>
      <c r="W3015" s="10"/>
      <c r="X3015" s="10"/>
      <c r="Y3015" s="10"/>
      <c r="Z3015" s="10"/>
      <c r="AA3015" s="10"/>
      <c r="AB3015" s="10"/>
      <c r="AC3015" s="10"/>
      <c r="AD3015" s="10"/>
      <c r="AE3015" s="10"/>
    </row>
    <row r="3016" spans="1:31" ht="14.25" customHeight="1">
      <c r="A3016" s="277" t="s">
        <v>6922</v>
      </c>
      <c r="B3016" s="9" t="s">
        <v>21</v>
      </c>
      <c r="C3016" s="9"/>
      <c r="D3016" s="9"/>
      <c r="E3016" s="90"/>
      <c r="F3016" s="9"/>
      <c r="G3016" s="94" t="s">
        <v>24</v>
      </c>
      <c r="H3016" s="95" t="s">
        <v>1749</v>
      </c>
      <c r="I3016" s="104"/>
      <c r="J3016" s="105"/>
      <c r="K3016" s="105"/>
      <c r="L3016" s="106">
        <f>SUM(L3017:L3029)</f>
        <v>347112</v>
      </c>
      <c r="M3016" s="107"/>
      <c r="N3016" s="108" t="s">
        <v>26</v>
      </c>
      <c r="O3016" s="108"/>
      <c r="P3016" s="108"/>
      <c r="Q3016" s="108"/>
      <c r="R3016" s="108"/>
      <c r="S3016" s="106">
        <f>SUM(S3017:S3029)</f>
        <v>347112</v>
      </c>
      <c r="T3016" s="106">
        <f>SUM(T3017:T3029)</f>
        <v>0</v>
      </c>
      <c r="U3016" s="10"/>
      <c r="V3016" s="52">
        <f>L3016-S3016</f>
        <v>0</v>
      </c>
      <c r="W3016" s="52">
        <f>T3016-V3016</f>
        <v>0</v>
      </c>
      <c r="X3016" s="10"/>
      <c r="Y3016" s="10"/>
      <c r="Z3016" s="10"/>
      <c r="AA3016" s="10"/>
      <c r="AB3016" s="10"/>
      <c r="AC3016" s="10"/>
      <c r="AD3016" s="10"/>
      <c r="AE3016" s="10"/>
    </row>
    <row r="3017" spans="1:31" ht="14.25" customHeight="1">
      <c r="A3017" s="277" t="s">
        <v>6923</v>
      </c>
      <c r="B3017" s="9" t="s">
        <v>21</v>
      </c>
      <c r="C3017" s="9">
        <v>2023</v>
      </c>
      <c r="D3017" s="9"/>
      <c r="E3017" s="90" t="s">
        <v>1656</v>
      </c>
      <c r="F3017" s="9" t="s">
        <v>1658</v>
      </c>
      <c r="G3017" s="10"/>
      <c r="H3017" s="9"/>
      <c r="I3017" s="180" t="s">
        <v>1749</v>
      </c>
      <c r="J3017" s="12">
        <v>44927</v>
      </c>
      <c r="K3017" s="12"/>
      <c r="L3017" s="52">
        <v>69209</v>
      </c>
      <c r="M3017" s="10" t="s">
        <v>1750</v>
      </c>
      <c r="N3017" s="231" t="s">
        <v>29</v>
      </c>
      <c r="O3017" s="125">
        <f t="shared" ref="O3017:O3028" si="646">L3017</f>
        <v>69209</v>
      </c>
      <c r="P3017" s="39"/>
      <c r="Q3017" s="39"/>
      <c r="R3017" s="40">
        <v>44943</v>
      </c>
      <c r="S3017" s="37">
        <f t="shared" ref="S3017:S3029" si="647">IF(R3017="",0,L3017)</f>
        <v>69209</v>
      </c>
      <c r="T3017" s="37">
        <f t="shared" ref="T3017:T3029" si="648">L3017-S3017</f>
        <v>0</v>
      </c>
      <c r="U3017" s="10"/>
      <c r="V3017" s="10"/>
      <c r="W3017" s="10"/>
      <c r="X3017" s="10"/>
      <c r="Y3017" s="10"/>
      <c r="Z3017" s="10"/>
      <c r="AA3017" s="10"/>
      <c r="AB3017" s="10"/>
      <c r="AC3017" s="10"/>
      <c r="AD3017" s="10"/>
      <c r="AE3017" s="10"/>
    </row>
    <row r="3018" spans="1:31" ht="14.25" customHeight="1">
      <c r="A3018" s="277" t="s">
        <v>6924</v>
      </c>
      <c r="B3018" s="9" t="s">
        <v>21</v>
      </c>
      <c r="C3018" s="9">
        <v>2023</v>
      </c>
      <c r="D3018" s="9"/>
      <c r="E3018" s="90" t="s">
        <v>1656</v>
      </c>
      <c r="F3018" s="9" t="s">
        <v>1658</v>
      </c>
      <c r="G3018" s="10"/>
      <c r="H3018" s="9"/>
      <c r="I3018" s="180" t="s">
        <v>1749</v>
      </c>
      <c r="J3018" s="12">
        <v>44958</v>
      </c>
      <c r="K3018" s="12"/>
      <c r="L3018" s="52">
        <v>77898</v>
      </c>
      <c r="M3018" s="10" t="s">
        <v>1751</v>
      </c>
      <c r="N3018" s="231" t="s">
        <v>29</v>
      </c>
      <c r="O3018" s="125">
        <f t="shared" si="646"/>
        <v>77898</v>
      </c>
      <c r="P3018" s="39"/>
      <c r="Q3018" s="39"/>
      <c r="R3018" s="40">
        <v>44973</v>
      </c>
      <c r="S3018" s="37">
        <f t="shared" si="647"/>
        <v>77898</v>
      </c>
      <c r="T3018" s="37">
        <f t="shared" si="648"/>
        <v>0</v>
      </c>
      <c r="U3018" s="10"/>
      <c r="V3018" s="10"/>
      <c r="W3018" s="10"/>
      <c r="X3018" s="10"/>
      <c r="Y3018" s="10"/>
      <c r="Z3018" s="10"/>
      <c r="AA3018" s="10"/>
      <c r="AB3018" s="10"/>
      <c r="AC3018" s="10"/>
      <c r="AD3018" s="10"/>
      <c r="AE3018" s="10"/>
    </row>
    <row r="3019" spans="1:31" ht="14.25" customHeight="1">
      <c r="A3019" s="277" t="s">
        <v>6925</v>
      </c>
      <c r="B3019" s="9" t="s">
        <v>21</v>
      </c>
      <c r="C3019" s="9">
        <v>2023</v>
      </c>
      <c r="D3019" s="9"/>
      <c r="E3019" s="90" t="s">
        <v>1656</v>
      </c>
      <c r="F3019" s="9" t="s">
        <v>1658</v>
      </c>
      <c r="G3019" s="10"/>
      <c r="H3019" s="9"/>
      <c r="I3019" s="180" t="s">
        <v>1749</v>
      </c>
      <c r="J3019" s="12">
        <v>44986</v>
      </c>
      <c r="K3019" s="12"/>
      <c r="L3019" s="52">
        <v>66067</v>
      </c>
      <c r="M3019" s="10" t="s">
        <v>1752</v>
      </c>
      <c r="N3019" s="231" t="s">
        <v>29</v>
      </c>
      <c r="O3019" s="125">
        <f t="shared" si="646"/>
        <v>66067</v>
      </c>
      <c r="P3019" s="39"/>
      <c r="Q3019" s="39"/>
      <c r="R3019" s="40">
        <v>45001</v>
      </c>
      <c r="S3019" s="37">
        <f t="shared" si="647"/>
        <v>66067</v>
      </c>
      <c r="T3019" s="37">
        <f t="shared" si="648"/>
        <v>0</v>
      </c>
      <c r="U3019" s="10"/>
      <c r="V3019" s="10"/>
      <c r="W3019" s="10"/>
      <c r="X3019" s="10"/>
      <c r="Y3019" s="10"/>
      <c r="Z3019" s="10"/>
      <c r="AA3019" s="10"/>
      <c r="AB3019" s="10"/>
      <c r="AC3019" s="10"/>
      <c r="AD3019" s="10"/>
      <c r="AE3019" s="10"/>
    </row>
    <row r="3020" spans="1:31" ht="14.25" customHeight="1">
      <c r="A3020" s="277" t="s">
        <v>6926</v>
      </c>
      <c r="B3020" s="9" t="s">
        <v>21</v>
      </c>
      <c r="C3020" s="9">
        <v>2023</v>
      </c>
      <c r="D3020" s="9"/>
      <c r="E3020" s="90" t="s">
        <v>1656</v>
      </c>
      <c r="F3020" s="9" t="s">
        <v>1658</v>
      </c>
      <c r="G3020" s="10"/>
      <c r="H3020" s="9"/>
      <c r="I3020" s="180" t="s">
        <v>1749</v>
      </c>
      <c r="J3020" s="12">
        <v>45017</v>
      </c>
      <c r="K3020" s="12"/>
      <c r="L3020" s="52">
        <v>66001</v>
      </c>
      <c r="M3020" s="10" t="s">
        <v>1753</v>
      </c>
      <c r="N3020" s="231" t="s">
        <v>29</v>
      </c>
      <c r="O3020" s="125">
        <f t="shared" si="646"/>
        <v>66001</v>
      </c>
      <c r="P3020" s="39"/>
      <c r="Q3020" s="39"/>
      <c r="R3020" s="40">
        <v>45031</v>
      </c>
      <c r="S3020" s="37">
        <f t="shared" si="647"/>
        <v>66001</v>
      </c>
      <c r="T3020" s="37">
        <f t="shared" si="648"/>
        <v>0</v>
      </c>
      <c r="U3020" s="10"/>
      <c r="V3020" s="10"/>
      <c r="W3020" s="10"/>
      <c r="X3020" s="10"/>
      <c r="Y3020" s="10"/>
      <c r="Z3020" s="10"/>
      <c r="AA3020" s="10"/>
      <c r="AB3020" s="10"/>
      <c r="AC3020" s="10"/>
      <c r="AD3020" s="10"/>
      <c r="AE3020" s="10"/>
    </row>
    <row r="3021" spans="1:31" ht="14.25" customHeight="1">
      <c r="A3021" s="277" t="s">
        <v>6927</v>
      </c>
      <c r="B3021" s="9" t="s">
        <v>21</v>
      </c>
      <c r="C3021" s="9">
        <v>2023</v>
      </c>
      <c r="D3021" s="9"/>
      <c r="E3021" s="90" t="s">
        <v>1656</v>
      </c>
      <c r="F3021" s="9" t="s">
        <v>1658</v>
      </c>
      <c r="G3021" s="10"/>
      <c r="H3021" s="9"/>
      <c r="I3021" s="180" t="s">
        <v>1749</v>
      </c>
      <c r="J3021" s="12">
        <v>45047</v>
      </c>
      <c r="K3021" s="12"/>
      <c r="L3021" s="52"/>
      <c r="M3021" s="10" t="s">
        <v>1754</v>
      </c>
      <c r="N3021" s="231" t="s">
        <v>29</v>
      </c>
      <c r="O3021" s="125">
        <f t="shared" si="646"/>
        <v>0</v>
      </c>
      <c r="P3021" s="39"/>
      <c r="Q3021" s="39"/>
      <c r="R3021" s="39"/>
      <c r="S3021" s="37">
        <f t="shared" si="647"/>
        <v>0</v>
      </c>
      <c r="T3021" s="37">
        <f t="shared" si="648"/>
        <v>0</v>
      </c>
      <c r="U3021" s="10"/>
      <c r="V3021" s="10"/>
      <c r="W3021" s="10"/>
      <c r="X3021" s="10"/>
      <c r="Y3021" s="10"/>
      <c r="Z3021" s="10"/>
      <c r="AA3021" s="10"/>
      <c r="AB3021" s="10"/>
      <c r="AC3021" s="10"/>
      <c r="AD3021" s="10"/>
      <c r="AE3021" s="10"/>
    </row>
    <row r="3022" spans="1:31" ht="14.25" customHeight="1">
      <c r="A3022" s="277" t="s">
        <v>6928</v>
      </c>
      <c r="B3022" s="9" t="s">
        <v>21</v>
      </c>
      <c r="C3022" s="9">
        <v>2023</v>
      </c>
      <c r="D3022" s="9"/>
      <c r="E3022" s="90" t="s">
        <v>1656</v>
      </c>
      <c r="F3022" s="9" t="s">
        <v>1658</v>
      </c>
      <c r="G3022" s="10"/>
      <c r="H3022" s="9"/>
      <c r="I3022" s="180" t="s">
        <v>1749</v>
      </c>
      <c r="J3022" s="12">
        <v>45078</v>
      </c>
      <c r="K3022" s="12"/>
      <c r="L3022" s="52">
        <v>67937</v>
      </c>
      <c r="M3022" s="10" t="s">
        <v>1755</v>
      </c>
      <c r="N3022" s="231" t="s">
        <v>29</v>
      </c>
      <c r="O3022" s="125">
        <f t="shared" si="646"/>
        <v>67937</v>
      </c>
      <c r="P3022" s="39"/>
      <c r="Q3022" s="39"/>
      <c r="R3022" s="40">
        <v>45093</v>
      </c>
      <c r="S3022" s="37">
        <f t="shared" si="647"/>
        <v>67937</v>
      </c>
      <c r="T3022" s="37">
        <f t="shared" si="648"/>
        <v>0</v>
      </c>
      <c r="U3022" s="10"/>
      <c r="V3022" s="10"/>
      <c r="W3022" s="10"/>
      <c r="X3022" s="10"/>
      <c r="Y3022" s="10"/>
      <c r="Z3022" s="10"/>
      <c r="AA3022" s="10"/>
      <c r="AB3022" s="10"/>
      <c r="AC3022" s="10"/>
      <c r="AD3022" s="10"/>
      <c r="AE3022" s="10"/>
    </row>
    <row r="3023" spans="1:31" ht="14.25" customHeight="1">
      <c r="A3023" s="277" t="s">
        <v>7302</v>
      </c>
      <c r="B3023" s="9" t="s">
        <v>21</v>
      </c>
      <c r="C3023" s="9">
        <v>2023</v>
      </c>
      <c r="D3023" s="9"/>
      <c r="E3023" s="90" t="s">
        <v>1656</v>
      </c>
      <c r="F3023" s="9" t="s">
        <v>1658</v>
      </c>
      <c r="G3023" s="10"/>
      <c r="H3023" s="9"/>
      <c r="I3023" s="180" t="s">
        <v>1749</v>
      </c>
      <c r="J3023" s="12">
        <v>45108</v>
      </c>
      <c r="K3023" s="12"/>
      <c r="L3023" s="52"/>
      <c r="M3023" s="10" t="s">
        <v>1756</v>
      </c>
      <c r="N3023" s="231" t="s">
        <v>29</v>
      </c>
      <c r="O3023" s="125">
        <f t="shared" si="646"/>
        <v>0</v>
      </c>
      <c r="P3023" s="39"/>
      <c r="Q3023" s="39"/>
      <c r="R3023" s="39"/>
      <c r="S3023" s="37">
        <f t="shared" si="647"/>
        <v>0</v>
      </c>
      <c r="T3023" s="37">
        <f t="shared" si="648"/>
        <v>0</v>
      </c>
      <c r="U3023" s="10"/>
      <c r="V3023" s="10"/>
      <c r="W3023" s="10"/>
      <c r="X3023" s="10"/>
      <c r="Y3023" s="10"/>
      <c r="Z3023" s="10"/>
      <c r="AA3023" s="10"/>
      <c r="AB3023" s="10"/>
      <c r="AC3023" s="10"/>
      <c r="AD3023" s="10"/>
      <c r="AE3023" s="10"/>
    </row>
    <row r="3024" spans="1:31" ht="14.25" customHeight="1">
      <c r="A3024" s="277" t="s">
        <v>7303</v>
      </c>
      <c r="B3024" s="9" t="s">
        <v>21</v>
      </c>
      <c r="C3024" s="9">
        <v>2023</v>
      </c>
      <c r="D3024" s="9"/>
      <c r="E3024" s="90" t="s">
        <v>1656</v>
      </c>
      <c r="F3024" s="9" t="s">
        <v>1658</v>
      </c>
      <c r="G3024" s="10"/>
      <c r="H3024" s="9"/>
      <c r="I3024" s="180" t="s">
        <v>1749</v>
      </c>
      <c r="J3024" s="12">
        <v>45139</v>
      </c>
      <c r="K3024" s="12"/>
      <c r="L3024" s="52"/>
      <c r="M3024" s="10" t="s">
        <v>1757</v>
      </c>
      <c r="N3024" s="231" t="s">
        <v>29</v>
      </c>
      <c r="O3024" s="125">
        <f t="shared" si="646"/>
        <v>0</v>
      </c>
      <c r="P3024" s="39"/>
      <c r="Q3024" s="39"/>
      <c r="R3024" s="39"/>
      <c r="S3024" s="37">
        <f t="shared" si="647"/>
        <v>0</v>
      </c>
      <c r="T3024" s="37">
        <f t="shared" si="648"/>
        <v>0</v>
      </c>
      <c r="U3024" s="10"/>
      <c r="V3024" s="10"/>
      <c r="W3024" s="10"/>
      <c r="X3024" s="10"/>
      <c r="Y3024" s="10"/>
      <c r="Z3024" s="10"/>
      <c r="AA3024" s="10"/>
      <c r="AB3024" s="10"/>
      <c r="AC3024" s="10"/>
      <c r="AD3024" s="10"/>
      <c r="AE3024" s="10"/>
    </row>
    <row r="3025" spans="1:31" ht="14.25" customHeight="1">
      <c r="A3025" s="277" t="s">
        <v>6929</v>
      </c>
      <c r="B3025" s="9" t="s">
        <v>21</v>
      </c>
      <c r="C3025" s="9">
        <v>2023</v>
      </c>
      <c r="D3025" s="9"/>
      <c r="E3025" s="90" t="s">
        <v>1656</v>
      </c>
      <c r="F3025" s="9" t="s">
        <v>1658</v>
      </c>
      <c r="G3025" s="10"/>
      <c r="H3025" s="9"/>
      <c r="I3025" s="180" t="s">
        <v>1749</v>
      </c>
      <c r="J3025" s="12">
        <v>45170</v>
      </c>
      <c r="K3025" s="12"/>
      <c r="L3025" s="52"/>
      <c r="M3025" s="10" t="s">
        <v>1758</v>
      </c>
      <c r="N3025" s="231" t="s">
        <v>29</v>
      </c>
      <c r="O3025" s="125">
        <f t="shared" si="646"/>
        <v>0</v>
      </c>
      <c r="P3025" s="39"/>
      <c r="Q3025" s="39"/>
      <c r="R3025" s="39"/>
      <c r="S3025" s="37">
        <f t="shared" si="647"/>
        <v>0</v>
      </c>
      <c r="T3025" s="37">
        <f t="shared" si="648"/>
        <v>0</v>
      </c>
      <c r="U3025" s="10"/>
      <c r="V3025" s="10"/>
      <c r="W3025" s="10"/>
      <c r="X3025" s="10"/>
      <c r="Y3025" s="10"/>
      <c r="Z3025" s="10"/>
      <c r="AA3025" s="10"/>
      <c r="AB3025" s="10"/>
      <c r="AC3025" s="10"/>
      <c r="AD3025" s="10"/>
      <c r="AE3025" s="10"/>
    </row>
    <row r="3026" spans="1:31" ht="14.25" customHeight="1">
      <c r="A3026" s="277" t="s">
        <v>6930</v>
      </c>
      <c r="B3026" s="9" t="s">
        <v>21</v>
      </c>
      <c r="C3026" s="9">
        <v>2023</v>
      </c>
      <c r="D3026" s="9"/>
      <c r="E3026" s="90" t="s">
        <v>1656</v>
      </c>
      <c r="F3026" s="9" t="s">
        <v>1658</v>
      </c>
      <c r="G3026" s="10"/>
      <c r="H3026" s="9"/>
      <c r="I3026" s="180" t="s">
        <v>1749</v>
      </c>
      <c r="J3026" s="12">
        <v>45200</v>
      </c>
      <c r="K3026" s="12"/>
      <c r="L3026" s="52"/>
      <c r="M3026" s="10" t="s">
        <v>1759</v>
      </c>
      <c r="N3026" s="231" t="s">
        <v>29</v>
      </c>
      <c r="O3026" s="125">
        <f t="shared" si="646"/>
        <v>0</v>
      </c>
      <c r="P3026" s="39"/>
      <c r="Q3026" s="39"/>
      <c r="R3026" s="39"/>
      <c r="S3026" s="37">
        <f t="shared" si="647"/>
        <v>0</v>
      </c>
      <c r="T3026" s="37">
        <f t="shared" si="648"/>
        <v>0</v>
      </c>
      <c r="U3026" s="10"/>
      <c r="V3026" s="10"/>
      <c r="W3026" s="10"/>
      <c r="X3026" s="10"/>
      <c r="Y3026" s="10"/>
      <c r="Z3026" s="10"/>
      <c r="AA3026" s="10"/>
      <c r="AB3026" s="10"/>
      <c r="AC3026" s="10"/>
      <c r="AD3026" s="10"/>
      <c r="AE3026" s="10"/>
    </row>
    <row r="3027" spans="1:31" ht="14.25" customHeight="1">
      <c r="A3027" s="277" t="s">
        <v>6931</v>
      </c>
      <c r="B3027" s="9" t="s">
        <v>21</v>
      </c>
      <c r="C3027" s="9">
        <v>2023</v>
      </c>
      <c r="D3027" s="9"/>
      <c r="E3027" s="90" t="s">
        <v>1656</v>
      </c>
      <c r="F3027" s="9" t="s">
        <v>1658</v>
      </c>
      <c r="G3027" s="10"/>
      <c r="H3027" s="9"/>
      <c r="I3027" s="180" t="s">
        <v>1749</v>
      </c>
      <c r="J3027" s="12">
        <v>45231</v>
      </c>
      <c r="K3027" s="12"/>
      <c r="L3027" s="52"/>
      <c r="M3027" s="10" t="s">
        <v>1760</v>
      </c>
      <c r="N3027" s="231" t="s">
        <v>29</v>
      </c>
      <c r="O3027" s="125">
        <f t="shared" si="646"/>
        <v>0</v>
      </c>
      <c r="P3027" s="39"/>
      <c r="Q3027" s="39"/>
      <c r="R3027" s="39"/>
      <c r="S3027" s="37">
        <f t="shared" si="647"/>
        <v>0</v>
      </c>
      <c r="T3027" s="37">
        <f t="shared" si="648"/>
        <v>0</v>
      </c>
      <c r="U3027" s="10"/>
      <c r="V3027" s="10"/>
      <c r="W3027" s="10"/>
      <c r="X3027" s="10"/>
      <c r="Y3027" s="10"/>
      <c r="Z3027" s="10"/>
      <c r="AA3027" s="10"/>
      <c r="AB3027" s="10"/>
      <c r="AC3027" s="10"/>
      <c r="AD3027" s="10"/>
      <c r="AE3027" s="10"/>
    </row>
    <row r="3028" spans="1:31" ht="14.25" customHeight="1">
      <c r="A3028" s="277" t="s">
        <v>6932</v>
      </c>
      <c r="B3028" s="9" t="s">
        <v>21</v>
      </c>
      <c r="C3028" s="9">
        <v>2023</v>
      </c>
      <c r="D3028" s="9"/>
      <c r="E3028" s="90" t="s">
        <v>1656</v>
      </c>
      <c r="F3028" s="9" t="s">
        <v>1658</v>
      </c>
      <c r="G3028" s="10"/>
      <c r="H3028" s="9"/>
      <c r="I3028" s="180" t="s">
        <v>1749</v>
      </c>
      <c r="J3028" s="12">
        <v>45261</v>
      </c>
      <c r="K3028" s="12"/>
      <c r="L3028" s="52"/>
      <c r="M3028" s="10" t="s">
        <v>1761</v>
      </c>
      <c r="N3028" s="231" t="s">
        <v>29</v>
      </c>
      <c r="O3028" s="125">
        <f t="shared" si="646"/>
        <v>0</v>
      </c>
      <c r="P3028" s="39"/>
      <c r="Q3028" s="39"/>
      <c r="R3028" s="39"/>
      <c r="S3028" s="37">
        <f t="shared" si="647"/>
        <v>0</v>
      </c>
      <c r="T3028" s="37">
        <f t="shared" si="648"/>
        <v>0</v>
      </c>
      <c r="U3028" s="10"/>
      <c r="V3028" s="10"/>
      <c r="W3028" s="10"/>
      <c r="X3028" s="10"/>
      <c r="Y3028" s="10"/>
      <c r="Z3028" s="10"/>
      <c r="AA3028" s="10"/>
      <c r="AB3028" s="10"/>
      <c r="AC3028" s="10"/>
      <c r="AD3028" s="10"/>
      <c r="AE3028" s="10"/>
    </row>
    <row r="3029" spans="1:31" ht="14.25" customHeight="1">
      <c r="A3029" s="277" t="s">
        <v>6933</v>
      </c>
      <c r="B3029" s="9" t="s">
        <v>21</v>
      </c>
      <c r="C3029" s="9"/>
      <c r="D3029" s="9"/>
      <c r="E3029" s="90"/>
      <c r="F3029" s="9"/>
      <c r="G3029" s="10"/>
      <c r="H3029" s="9"/>
      <c r="I3029" s="11"/>
      <c r="J3029" s="228"/>
      <c r="K3029" s="12"/>
      <c r="L3029" s="52"/>
      <c r="M3029" s="10"/>
      <c r="N3029" s="114">
        <f ca="1">$J$3-J3029</f>
        <v>46240.46377638889</v>
      </c>
      <c r="O3029" s="11"/>
      <c r="P3029" s="39"/>
      <c r="Q3029" s="39"/>
      <c r="R3029" s="39"/>
      <c r="S3029" s="37">
        <f t="shared" si="647"/>
        <v>0</v>
      </c>
      <c r="T3029" s="37">
        <f t="shared" si="648"/>
        <v>0</v>
      </c>
      <c r="U3029" s="10"/>
      <c r="V3029" s="10"/>
      <c r="W3029" s="10"/>
      <c r="X3029" s="10"/>
      <c r="Y3029" s="10"/>
      <c r="Z3029" s="10"/>
      <c r="AA3029" s="10"/>
      <c r="AB3029" s="10"/>
      <c r="AC3029" s="10"/>
      <c r="AD3029" s="10"/>
      <c r="AE3029" s="10"/>
    </row>
    <row r="3030" spans="1:31" ht="14.25" customHeight="1">
      <c r="A3030" s="277" t="s">
        <v>6934</v>
      </c>
      <c r="B3030" s="9" t="s">
        <v>21</v>
      </c>
      <c r="C3030" s="9"/>
      <c r="D3030" s="9"/>
      <c r="E3030" s="90"/>
      <c r="F3030" s="9"/>
      <c r="G3030" s="9"/>
      <c r="H3030" s="93"/>
      <c r="I3030" s="11"/>
      <c r="J3030" s="12"/>
      <c r="K3030" s="12"/>
      <c r="L3030" s="118"/>
      <c r="M3030" s="103"/>
      <c r="N3030" s="33"/>
      <c r="O3030" s="33"/>
      <c r="P3030" s="33"/>
      <c r="Q3030" s="33"/>
      <c r="R3030" s="33"/>
      <c r="S3030" s="118"/>
      <c r="T3030" s="118"/>
      <c r="U3030" s="10"/>
      <c r="V3030" s="10"/>
      <c r="W3030" s="10"/>
      <c r="X3030" s="10"/>
      <c r="Y3030" s="10"/>
      <c r="Z3030" s="10"/>
      <c r="AA3030" s="10"/>
      <c r="AB3030" s="10"/>
      <c r="AC3030" s="10"/>
      <c r="AD3030" s="10"/>
      <c r="AE3030" s="10"/>
    </row>
    <row r="3031" spans="1:31" ht="14.25" customHeight="1">
      <c r="A3031" s="277" t="s">
        <v>7304</v>
      </c>
      <c r="B3031" s="9" t="s">
        <v>21</v>
      </c>
      <c r="C3031" s="9"/>
      <c r="D3031" s="9"/>
      <c r="E3031" s="90"/>
      <c r="F3031" s="9"/>
      <c r="G3031" s="94" t="s">
        <v>24</v>
      </c>
      <c r="H3031" s="95" t="s">
        <v>1762</v>
      </c>
      <c r="I3031" s="104"/>
      <c r="J3031" s="105"/>
      <c r="K3031" s="105"/>
      <c r="L3031" s="106">
        <f>SUM(L3032:L3044)</f>
        <v>2191140</v>
      </c>
      <c r="M3031" s="107"/>
      <c r="N3031" s="108" t="s">
        <v>26</v>
      </c>
      <c r="O3031" s="108"/>
      <c r="P3031" s="108"/>
      <c r="Q3031" s="108"/>
      <c r="R3031" s="108"/>
      <c r="S3031" s="106">
        <f>SUM(S3032:S3044)</f>
        <v>2191140</v>
      </c>
      <c r="T3031" s="106">
        <f>SUM(T3032:T3044)</f>
        <v>0</v>
      </c>
      <c r="U3031" s="10"/>
      <c r="V3031" s="52">
        <f>L3031-S3031</f>
        <v>0</v>
      </c>
      <c r="W3031" s="52">
        <f>T3031-V3031</f>
        <v>0</v>
      </c>
      <c r="X3031" s="10"/>
      <c r="Y3031" s="10"/>
      <c r="Z3031" s="10"/>
      <c r="AA3031" s="10"/>
      <c r="AB3031" s="10"/>
      <c r="AC3031" s="10"/>
      <c r="AD3031" s="10"/>
      <c r="AE3031" s="10"/>
    </row>
    <row r="3032" spans="1:31" ht="14.25" customHeight="1">
      <c r="A3032" s="277" t="s">
        <v>7305</v>
      </c>
      <c r="B3032" s="9" t="s">
        <v>21</v>
      </c>
      <c r="C3032" s="9">
        <v>2023</v>
      </c>
      <c r="D3032" s="9"/>
      <c r="E3032" s="90" t="s">
        <v>1656</v>
      </c>
      <c r="F3032" s="9" t="s">
        <v>1658</v>
      </c>
      <c r="G3032" s="10"/>
      <c r="H3032" s="9"/>
      <c r="I3032" s="180" t="s">
        <v>1762</v>
      </c>
      <c r="J3032" s="12">
        <v>44927</v>
      </c>
      <c r="K3032" s="12"/>
      <c r="L3032" s="52">
        <v>365190</v>
      </c>
      <c r="M3032" s="10" t="s">
        <v>1763</v>
      </c>
      <c r="N3032" s="231" t="s">
        <v>29</v>
      </c>
      <c r="O3032" s="125">
        <f t="shared" ref="O3032:O3043" si="649">L3032</f>
        <v>365190</v>
      </c>
      <c r="P3032" s="39"/>
      <c r="Q3032" s="39"/>
      <c r="R3032" s="40">
        <v>44943</v>
      </c>
      <c r="S3032" s="37">
        <f t="shared" ref="S3032:S3044" si="650">IF(R3032="",0,L3032)</f>
        <v>365190</v>
      </c>
      <c r="T3032" s="37">
        <f t="shared" ref="T3032:T3044" si="651">L3032-S3032</f>
        <v>0</v>
      </c>
      <c r="U3032" s="10"/>
      <c r="V3032" s="10"/>
      <c r="W3032" s="10"/>
      <c r="X3032" s="10"/>
      <c r="Y3032" s="10"/>
      <c r="Z3032" s="10"/>
      <c r="AA3032" s="10"/>
      <c r="AB3032" s="10"/>
      <c r="AC3032" s="10"/>
      <c r="AD3032" s="10"/>
      <c r="AE3032" s="10"/>
    </row>
    <row r="3033" spans="1:31" ht="14.25" customHeight="1">
      <c r="A3033" s="277" t="s">
        <v>6935</v>
      </c>
      <c r="B3033" s="9" t="s">
        <v>21</v>
      </c>
      <c r="C3033" s="9">
        <v>2023</v>
      </c>
      <c r="D3033" s="9"/>
      <c r="E3033" s="90" t="s">
        <v>1656</v>
      </c>
      <c r="F3033" s="9" t="s">
        <v>1658</v>
      </c>
      <c r="G3033" s="10"/>
      <c r="H3033" s="9"/>
      <c r="I3033" s="180" t="s">
        <v>1762</v>
      </c>
      <c r="J3033" s="12">
        <v>44958</v>
      </c>
      <c r="K3033" s="12"/>
      <c r="L3033" s="52">
        <v>365190</v>
      </c>
      <c r="M3033" s="10" t="s">
        <v>1764</v>
      </c>
      <c r="N3033" s="231" t="s">
        <v>29</v>
      </c>
      <c r="O3033" s="125">
        <f t="shared" si="649"/>
        <v>365190</v>
      </c>
      <c r="P3033" s="39"/>
      <c r="Q3033" s="39"/>
      <c r="R3033" s="40">
        <v>44973</v>
      </c>
      <c r="S3033" s="37">
        <f t="shared" si="650"/>
        <v>365190</v>
      </c>
      <c r="T3033" s="37">
        <f t="shared" si="651"/>
        <v>0</v>
      </c>
      <c r="U3033" s="10"/>
      <c r="V3033" s="10"/>
      <c r="W3033" s="10"/>
      <c r="X3033" s="10"/>
      <c r="Y3033" s="10"/>
      <c r="Z3033" s="10"/>
      <c r="AA3033" s="10"/>
      <c r="AB3033" s="10"/>
      <c r="AC3033" s="10"/>
      <c r="AD3033" s="10"/>
      <c r="AE3033" s="10"/>
    </row>
    <row r="3034" spans="1:31" ht="14.25" customHeight="1">
      <c r="A3034" s="277" t="s">
        <v>6936</v>
      </c>
      <c r="B3034" s="9" t="s">
        <v>21</v>
      </c>
      <c r="C3034" s="9">
        <v>2023</v>
      </c>
      <c r="D3034" s="9"/>
      <c r="E3034" s="90" t="s">
        <v>1656</v>
      </c>
      <c r="F3034" s="9" t="s">
        <v>1658</v>
      </c>
      <c r="G3034" s="10"/>
      <c r="H3034" s="9"/>
      <c r="I3034" s="180" t="s">
        <v>1762</v>
      </c>
      <c r="J3034" s="12">
        <v>44986</v>
      </c>
      <c r="K3034" s="12"/>
      <c r="L3034" s="52">
        <v>365190</v>
      </c>
      <c r="M3034" s="10" t="s">
        <v>1765</v>
      </c>
      <c r="N3034" s="231" t="s">
        <v>29</v>
      </c>
      <c r="O3034" s="125">
        <f t="shared" si="649"/>
        <v>365190</v>
      </c>
      <c r="P3034" s="39"/>
      <c r="Q3034" s="39"/>
      <c r="R3034" s="40">
        <v>45001</v>
      </c>
      <c r="S3034" s="37">
        <f t="shared" si="650"/>
        <v>365190</v>
      </c>
      <c r="T3034" s="37">
        <f t="shared" si="651"/>
        <v>0</v>
      </c>
      <c r="U3034" s="10"/>
      <c r="V3034" s="10"/>
      <c r="W3034" s="10"/>
      <c r="X3034" s="10"/>
      <c r="Y3034" s="10"/>
      <c r="Z3034" s="10"/>
      <c r="AA3034" s="10"/>
      <c r="AB3034" s="10"/>
      <c r="AC3034" s="10"/>
      <c r="AD3034" s="10"/>
      <c r="AE3034" s="10"/>
    </row>
    <row r="3035" spans="1:31" ht="14.25" customHeight="1">
      <c r="A3035" s="277" t="s">
        <v>6937</v>
      </c>
      <c r="B3035" s="9" t="s">
        <v>21</v>
      </c>
      <c r="C3035" s="9">
        <v>2023</v>
      </c>
      <c r="D3035" s="9"/>
      <c r="E3035" s="90" t="s">
        <v>1656</v>
      </c>
      <c r="F3035" s="9" t="s">
        <v>1658</v>
      </c>
      <c r="G3035" s="10"/>
      <c r="H3035" s="9"/>
      <c r="I3035" s="180" t="s">
        <v>1762</v>
      </c>
      <c r="J3035" s="12">
        <v>45017</v>
      </c>
      <c r="K3035" s="12"/>
      <c r="L3035" s="52">
        <v>365190</v>
      </c>
      <c r="M3035" s="10" t="s">
        <v>1766</v>
      </c>
      <c r="N3035" s="231" t="s">
        <v>29</v>
      </c>
      <c r="O3035" s="125">
        <f t="shared" si="649"/>
        <v>365190</v>
      </c>
      <c r="P3035" s="39"/>
      <c r="Q3035" s="39"/>
      <c r="R3035" s="40">
        <v>45031</v>
      </c>
      <c r="S3035" s="37">
        <f t="shared" si="650"/>
        <v>365190</v>
      </c>
      <c r="T3035" s="37">
        <f t="shared" si="651"/>
        <v>0</v>
      </c>
      <c r="U3035" s="10"/>
      <c r="V3035" s="10"/>
      <c r="W3035" s="10"/>
      <c r="X3035" s="10"/>
      <c r="Y3035" s="10"/>
      <c r="Z3035" s="10"/>
      <c r="AA3035" s="10"/>
      <c r="AB3035" s="10"/>
      <c r="AC3035" s="10"/>
      <c r="AD3035" s="10"/>
      <c r="AE3035" s="10"/>
    </row>
    <row r="3036" spans="1:31" ht="14.25" customHeight="1">
      <c r="A3036" s="277" t="s">
        <v>6938</v>
      </c>
      <c r="B3036" s="9" t="s">
        <v>21</v>
      </c>
      <c r="C3036" s="9">
        <v>2023</v>
      </c>
      <c r="D3036" s="9"/>
      <c r="E3036" s="90" t="s">
        <v>1656</v>
      </c>
      <c r="F3036" s="9" t="s">
        <v>1658</v>
      </c>
      <c r="G3036" s="10"/>
      <c r="H3036" s="9"/>
      <c r="I3036" s="180" t="s">
        <v>1762</v>
      </c>
      <c r="J3036" s="12">
        <v>45047</v>
      </c>
      <c r="K3036" s="12"/>
      <c r="L3036" s="52">
        <v>365190</v>
      </c>
      <c r="M3036" s="10" t="s">
        <v>1767</v>
      </c>
      <c r="N3036" s="231" t="s">
        <v>29</v>
      </c>
      <c r="O3036" s="125">
        <f t="shared" si="649"/>
        <v>365190</v>
      </c>
      <c r="P3036" s="39"/>
      <c r="Q3036" s="39"/>
      <c r="R3036" s="40">
        <v>45064</v>
      </c>
      <c r="S3036" s="37">
        <f t="shared" si="650"/>
        <v>365190</v>
      </c>
      <c r="T3036" s="37">
        <f t="shared" si="651"/>
        <v>0</v>
      </c>
      <c r="U3036" s="10"/>
      <c r="V3036" s="10"/>
      <c r="W3036" s="10"/>
      <c r="X3036" s="10"/>
      <c r="Y3036" s="10"/>
      <c r="Z3036" s="10"/>
      <c r="AA3036" s="10"/>
      <c r="AB3036" s="10"/>
      <c r="AC3036" s="10"/>
      <c r="AD3036" s="10"/>
      <c r="AE3036" s="10"/>
    </row>
    <row r="3037" spans="1:31" ht="14.25" customHeight="1">
      <c r="A3037" s="277" t="s">
        <v>6939</v>
      </c>
      <c r="B3037" s="9" t="s">
        <v>21</v>
      </c>
      <c r="C3037" s="9">
        <v>2023</v>
      </c>
      <c r="D3037" s="9"/>
      <c r="E3037" s="90" t="s">
        <v>1656</v>
      </c>
      <c r="F3037" s="9" t="s">
        <v>1658</v>
      </c>
      <c r="G3037" s="10"/>
      <c r="H3037" s="9"/>
      <c r="I3037" s="180" t="s">
        <v>1762</v>
      </c>
      <c r="J3037" s="12">
        <v>45078</v>
      </c>
      <c r="K3037" s="12"/>
      <c r="L3037" s="52">
        <v>365190</v>
      </c>
      <c r="M3037" s="10" t="s">
        <v>1768</v>
      </c>
      <c r="N3037" s="231" t="s">
        <v>29</v>
      </c>
      <c r="O3037" s="125">
        <f t="shared" si="649"/>
        <v>365190</v>
      </c>
      <c r="P3037" s="39"/>
      <c r="Q3037" s="39"/>
      <c r="R3037" s="40">
        <v>45093</v>
      </c>
      <c r="S3037" s="37">
        <f t="shared" si="650"/>
        <v>365190</v>
      </c>
      <c r="T3037" s="37">
        <f t="shared" si="651"/>
        <v>0</v>
      </c>
      <c r="U3037" s="10"/>
      <c r="V3037" s="10"/>
      <c r="W3037" s="10"/>
      <c r="X3037" s="10"/>
      <c r="Y3037" s="10"/>
      <c r="Z3037" s="10"/>
      <c r="AA3037" s="10"/>
      <c r="AB3037" s="10"/>
      <c r="AC3037" s="10"/>
      <c r="AD3037" s="10"/>
      <c r="AE3037" s="10"/>
    </row>
    <row r="3038" spans="1:31" ht="14.25" customHeight="1">
      <c r="A3038" s="277" t="s">
        <v>6940</v>
      </c>
      <c r="B3038" s="9" t="s">
        <v>21</v>
      </c>
      <c r="C3038" s="9">
        <v>2023</v>
      </c>
      <c r="D3038" s="9"/>
      <c r="E3038" s="90" t="s">
        <v>1656</v>
      </c>
      <c r="F3038" s="9" t="s">
        <v>1658</v>
      </c>
      <c r="G3038" s="10"/>
      <c r="H3038" s="9"/>
      <c r="I3038" s="180" t="s">
        <v>1762</v>
      </c>
      <c r="J3038" s="12">
        <v>45108</v>
      </c>
      <c r="K3038" s="12"/>
      <c r="L3038" s="52"/>
      <c r="M3038" s="10" t="s">
        <v>1769</v>
      </c>
      <c r="N3038" s="231" t="s">
        <v>29</v>
      </c>
      <c r="O3038" s="125">
        <f t="shared" si="649"/>
        <v>0</v>
      </c>
      <c r="P3038" s="39"/>
      <c r="Q3038" s="39"/>
      <c r="R3038" s="39"/>
      <c r="S3038" s="37">
        <f t="shared" si="650"/>
        <v>0</v>
      </c>
      <c r="T3038" s="37">
        <f t="shared" si="651"/>
        <v>0</v>
      </c>
      <c r="U3038" s="10"/>
      <c r="V3038" s="10"/>
      <c r="W3038" s="10"/>
      <c r="X3038" s="10"/>
      <c r="Y3038" s="10"/>
      <c r="Z3038" s="10"/>
      <c r="AA3038" s="10"/>
      <c r="AB3038" s="10"/>
      <c r="AC3038" s="10"/>
      <c r="AD3038" s="10"/>
      <c r="AE3038" s="10"/>
    </row>
    <row r="3039" spans="1:31" ht="14.25" customHeight="1">
      <c r="A3039" s="277" t="s">
        <v>6941</v>
      </c>
      <c r="B3039" s="9" t="s">
        <v>21</v>
      </c>
      <c r="C3039" s="9">
        <v>2023</v>
      </c>
      <c r="D3039" s="9"/>
      <c r="E3039" s="90" t="s">
        <v>1656</v>
      </c>
      <c r="F3039" s="9" t="s">
        <v>1658</v>
      </c>
      <c r="G3039" s="10"/>
      <c r="H3039" s="9"/>
      <c r="I3039" s="180" t="s">
        <v>1762</v>
      </c>
      <c r="J3039" s="12">
        <v>45139</v>
      </c>
      <c r="K3039" s="12"/>
      <c r="L3039" s="52"/>
      <c r="M3039" s="10" t="s">
        <v>1770</v>
      </c>
      <c r="N3039" s="231" t="s">
        <v>29</v>
      </c>
      <c r="O3039" s="125">
        <f t="shared" si="649"/>
        <v>0</v>
      </c>
      <c r="P3039" s="39"/>
      <c r="Q3039" s="39"/>
      <c r="R3039" s="39"/>
      <c r="S3039" s="37">
        <f t="shared" si="650"/>
        <v>0</v>
      </c>
      <c r="T3039" s="37">
        <f t="shared" si="651"/>
        <v>0</v>
      </c>
      <c r="U3039" s="10"/>
      <c r="V3039" s="10"/>
      <c r="W3039" s="10"/>
      <c r="X3039" s="10"/>
      <c r="Y3039" s="10"/>
      <c r="Z3039" s="10"/>
      <c r="AA3039" s="10"/>
      <c r="AB3039" s="10"/>
      <c r="AC3039" s="10"/>
      <c r="AD3039" s="10"/>
      <c r="AE3039" s="10"/>
    </row>
    <row r="3040" spans="1:31" ht="14.25" customHeight="1">
      <c r="A3040" s="277" t="s">
        <v>6942</v>
      </c>
      <c r="B3040" s="9" t="s">
        <v>21</v>
      </c>
      <c r="C3040" s="9">
        <v>2023</v>
      </c>
      <c r="D3040" s="9"/>
      <c r="E3040" s="90" t="s">
        <v>1656</v>
      </c>
      <c r="F3040" s="9" t="s">
        <v>1658</v>
      </c>
      <c r="G3040" s="10"/>
      <c r="H3040" s="9"/>
      <c r="I3040" s="180" t="s">
        <v>1762</v>
      </c>
      <c r="J3040" s="12">
        <v>45170</v>
      </c>
      <c r="K3040" s="12"/>
      <c r="L3040" s="52"/>
      <c r="M3040" s="10" t="s">
        <v>1771</v>
      </c>
      <c r="N3040" s="231" t="s">
        <v>29</v>
      </c>
      <c r="O3040" s="125">
        <f t="shared" si="649"/>
        <v>0</v>
      </c>
      <c r="P3040" s="39"/>
      <c r="Q3040" s="39"/>
      <c r="R3040" s="39"/>
      <c r="S3040" s="37">
        <f t="shared" si="650"/>
        <v>0</v>
      </c>
      <c r="T3040" s="37">
        <f t="shared" si="651"/>
        <v>0</v>
      </c>
      <c r="U3040" s="10"/>
      <c r="V3040" s="10"/>
      <c r="W3040" s="10"/>
      <c r="X3040" s="10"/>
      <c r="Y3040" s="10"/>
      <c r="Z3040" s="10"/>
      <c r="AA3040" s="10"/>
      <c r="AB3040" s="10"/>
      <c r="AC3040" s="10"/>
      <c r="AD3040" s="10"/>
      <c r="AE3040" s="10"/>
    </row>
    <row r="3041" spans="1:31" ht="14.25" customHeight="1">
      <c r="A3041" s="277" t="s">
        <v>6943</v>
      </c>
      <c r="B3041" s="9" t="s">
        <v>21</v>
      </c>
      <c r="C3041" s="9">
        <v>2023</v>
      </c>
      <c r="D3041" s="9"/>
      <c r="E3041" s="90" t="s">
        <v>1656</v>
      </c>
      <c r="F3041" s="9" t="s">
        <v>1658</v>
      </c>
      <c r="G3041" s="10"/>
      <c r="H3041" s="9"/>
      <c r="I3041" s="180" t="s">
        <v>1762</v>
      </c>
      <c r="J3041" s="12">
        <v>45200</v>
      </c>
      <c r="K3041" s="12"/>
      <c r="L3041" s="52"/>
      <c r="M3041" s="10" t="s">
        <v>1772</v>
      </c>
      <c r="N3041" s="231" t="s">
        <v>29</v>
      </c>
      <c r="O3041" s="125">
        <f t="shared" si="649"/>
        <v>0</v>
      </c>
      <c r="P3041" s="39"/>
      <c r="Q3041" s="39"/>
      <c r="R3041" s="39"/>
      <c r="S3041" s="37">
        <f t="shared" si="650"/>
        <v>0</v>
      </c>
      <c r="T3041" s="37">
        <f t="shared" si="651"/>
        <v>0</v>
      </c>
      <c r="U3041" s="10"/>
      <c r="V3041" s="10"/>
      <c r="W3041" s="10"/>
      <c r="X3041" s="10"/>
      <c r="Y3041" s="10"/>
      <c r="Z3041" s="10"/>
      <c r="AA3041" s="10"/>
      <c r="AB3041" s="10"/>
      <c r="AC3041" s="10"/>
      <c r="AD3041" s="10"/>
      <c r="AE3041" s="10"/>
    </row>
    <row r="3042" spans="1:31" ht="14.25" customHeight="1">
      <c r="A3042" s="277" t="s">
        <v>6944</v>
      </c>
      <c r="B3042" s="9" t="s">
        <v>21</v>
      </c>
      <c r="C3042" s="9">
        <v>2023</v>
      </c>
      <c r="D3042" s="9"/>
      <c r="E3042" s="90" t="s">
        <v>1656</v>
      </c>
      <c r="F3042" s="9" t="s">
        <v>1658</v>
      </c>
      <c r="G3042" s="10"/>
      <c r="H3042" s="9"/>
      <c r="I3042" s="180" t="s">
        <v>1762</v>
      </c>
      <c r="J3042" s="12">
        <v>45231</v>
      </c>
      <c r="K3042" s="12"/>
      <c r="L3042" s="52"/>
      <c r="M3042" s="10" t="s">
        <v>1773</v>
      </c>
      <c r="N3042" s="231" t="s">
        <v>29</v>
      </c>
      <c r="O3042" s="125">
        <f t="shared" si="649"/>
        <v>0</v>
      </c>
      <c r="P3042" s="39"/>
      <c r="Q3042" s="39"/>
      <c r="R3042" s="39"/>
      <c r="S3042" s="37">
        <f t="shared" si="650"/>
        <v>0</v>
      </c>
      <c r="T3042" s="37">
        <f t="shared" si="651"/>
        <v>0</v>
      </c>
      <c r="U3042" s="10"/>
      <c r="V3042" s="10"/>
      <c r="W3042" s="10"/>
      <c r="X3042" s="10"/>
      <c r="Y3042" s="10"/>
      <c r="Z3042" s="10"/>
      <c r="AA3042" s="10"/>
      <c r="AB3042" s="10"/>
      <c r="AC3042" s="10"/>
      <c r="AD3042" s="10"/>
      <c r="AE3042" s="10"/>
    </row>
    <row r="3043" spans="1:31" ht="14.25" customHeight="1">
      <c r="A3043" s="277" t="s">
        <v>6945</v>
      </c>
      <c r="B3043" s="9" t="s">
        <v>21</v>
      </c>
      <c r="C3043" s="9">
        <v>2023</v>
      </c>
      <c r="D3043" s="9"/>
      <c r="E3043" s="90" t="s">
        <v>1656</v>
      </c>
      <c r="F3043" s="9" t="s">
        <v>1658</v>
      </c>
      <c r="G3043" s="10"/>
      <c r="H3043" s="9"/>
      <c r="I3043" s="180" t="s">
        <v>1762</v>
      </c>
      <c r="J3043" s="12">
        <v>45261</v>
      </c>
      <c r="K3043" s="12"/>
      <c r="L3043" s="52"/>
      <c r="M3043" s="10" t="s">
        <v>1774</v>
      </c>
      <c r="N3043" s="231" t="s">
        <v>29</v>
      </c>
      <c r="O3043" s="125">
        <f t="shared" si="649"/>
        <v>0</v>
      </c>
      <c r="P3043" s="39"/>
      <c r="Q3043" s="39"/>
      <c r="R3043" s="39"/>
      <c r="S3043" s="37">
        <f t="shared" si="650"/>
        <v>0</v>
      </c>
      <c r="T3043" s="37">
        <f t="shared" si="651"/>
        <v>0</v>
      </c>
      <c r="U3043" s="10"/>
      <c r="V3043" s="10"/>
      <c r="W3043" s="10"/>
      <c r="X3043" s="10"/>
      <c r="Y3043" s="10"/>
      <c r="Z3043" s="10"/>
      <c r="AA3043" s="10"/>
      <c r="AB3043" s="10"/>
      <c r="AC3043" s="10"/>
      <c r="AD3043" s="10"/>
      <c r="AE3043" s="10"/>
    </row>
    <row r="3044" spans="1:31" ht="14.25" customHeight="1">
      <c r="A3044" s="277" t="s">
        <v>6946</v>
      </c>
      <c r="B3044" s="9" t="s">
        <v>21</v>
      </c>
      <c r="C3044" s="9"/>
      <c r="D3044" s="9"/>
      <c r="E3044" s="90"/>
      <c r="F3044" s="9"/>
      <c r="G3044" s="10"/>
      <c r="H3044" s="9"/>
      <c r="I3044" s="11"/>
      <c r="J3044" s="228"/>
      <c r="K3044" s="12"/>
      <c r="L3044" s="52"/>
      <c r="M3044" s="10"/>
      <c r="N3044" s="114">
        <f ca="1">$J$3-J3044</f>
        <v>46240.46377638889</v>
      </c>
      <c r="O3044" s="11"/>
      <c r="P3044" s="39"/>
      <c r="Q3044" s="39"/>
      <c r="R3044" s="39"/>
      <c r="S3044" s="37">
        <f t="shared" si="650"/>
        <v>0</v>
      </c>
      <c r="T3044" s="37">
        <f t="shared" si="651"/>
        <v>0</v>
      </c>
      <c r="U3044" s="10"/>
      <c r="V3044" s="10"/>
      <c r="W3044" s="10"/>
      <c r="X3044" s="10"/>
      <c r="Y3044" s="10"/>
      <c r="Z3044" s="10"/>
      <c r="AA3044" s="10"/>
      <c r="AB3044" s="10"/>
      <c r="AC3044" s="10"/>
      <c r="AD3044" s="10"/>
      <c r="AE3044" s="10"/>
    </row>
    <row r="3045" spans="1:31" ht="14.25" customHeight="1">
      <c r="A3045" s="277" t="s">
        <v>6947</v>
      </c>
      <c r="B3045" s="9" t="s">
        <v>21</v>
      </c>
      <c r="C3045" s="9"/>
      <c r="D3045" s="9"/>
      <c r="E3045" s="90"/>
      <c r="F3045" s="9"/>
      <c r="G3045" s="9"/>
      <c r="H3045" s="93"/>
      <c r="I3045" s="11"/>
      <c r="J3045" s="12"/>
      <c r="K3045" s="12"/>
      <c r="L3045" s="118"/>
      <c r="M3045" s="103"/>
      <c r="N3045" s="33"/>
      <c r="O3045" s="33"/>
      <c r="P3045" s="33"/>
      <c r="Q3045" s="33"/>
      <c r="R3045" s="33"/>
      <c r="S3045" s="118"/>
      <c r="T3045" s="118"/>
      <c r="U3045" s="10"/>
      <c r="V3045" s="10"/>
      <c r="W3045" s="10"/>
      <c r="X3045" s="10"/>
      <c r="Y3045" s="10"/>
      <c r="Z3045" s="10"/>
      <c r="AA3045" s="10"/>
      <c r="AB3045" s="10"/>
      <c r="AC3045" s="10"/>
      <c r="AD3045" s="10"/>
      <c r="AE3045" s="10"/>
    </row>
    <row r="3046" spans="1:31" ht="14.25" customHeight="1">
      <c r="A3046" s="277" t="s">
        <v>6948</v>
      </c>
      <c r="B3046" s="9" t="s">
        <v>21</v>
      </c>
      <c r="C3046" s="9"/>
      <c r="D3046" s="9"/>
      <c r="E3046" s="90"/>
      <c r="F3046" s="9"/>
      <c r="G3046" s="94" t="s">
        <v>24</v>
      </c>
      <c r="H3046" s="95" t="s">
        <v>1775</v>
      </c>
      <c r="I3046" s="104"/>
      <c r="J3046" s="105"/>
      <c r="K3046" s="105"/>
      <c r="L3046" s="106">
        <f>SUM(L3047:L3059)</f>
        <v>3539035</v>
      </c>
      <c r="M3046" s="107"/>
      <c r="N3046" s="108" t="s">
        <v>26</v>
      </c>
      <c r="O3046" s="108"/>
      <c r="P3046" s="108"/>
      <c r="Q3046" s="108"/>
      <c r="R3046" s="108"/>
      <c r="S3046" s="106">
        <f>SUM(S3047:S3059)</f>
        <v>3539035</v>
      </c>
      <c r="T3046" s="106">
        <f>SUM(T3047:T3059)</f>
        <v>0</v>
      </c>
      <c r="U3046" s="10"/>
      <c r="V3046" s="52">
        <f>L3046-S3046</f>
        <v>0</v>
      </c>
      <c r="W3046" s="52">
        <f>T3046-V3046</f>
        <v>0</v>
      </c>
      <c r="X3046" s="10"/>
      <c r="Y3046" s="10"/>
      <c r="Z3046" s="10"/>
      <c r="AA3046" s="10"/>
      <c r="AB3046" s="10"/>
      <c r="AC3046" s="10"/>
      <c r="AD3046" s="10"/>
      <c r="AE3046" s="10"/>
    </row>
    <row r="3047" spans="1:31" ht="14.25" customHeight="1">
      <c r="A3047" s="277" t="s">
        <v>6949</v>
      </c>
      <c r="B3047" s="9" t="s">
        <v>21</v>
      </c>
      <c r="C3047" s="9">
        <v>2023</v>
      </c>
      <c r="D3047" s="9"/>
      <c r="E3047" s="90" t="s">
        <v>1656</v>
      </c>
      <c r="F3047" s="9" t="s">
        <v>1658</v>
      </c>
      <c r="G3047" s="10"/>
      <c r="H3047" s="9"/>
      <c r="I3047" s="180" t="s">
        <v>1775</v>
      </c>
      <c r="J3047" s="12">
        <v>44927</v>
      </c>
      <c r="K3047" s="12"/>
      <c r="L3047" s="52">
        <v>583041</v>
      </c>
      <c r="M3047" s="10" t="s">
        <v>1776</v>
      </c>
      <c r="N3047" s="231" t="s">
        <v>29</v>
      </c>
      <c r="O3047" s="125">
        <f t="shared" ref="O3047:O3058" si="652">L3047</f>
        <v>583041</v>
      </c>
      <c r="P3047" s="39"/>
      <c r="Q3047" s="39"/>
      <c r="R3047" s="40">
        <v>44943</v>
      </c>
      <c r="S3047" s="37">
        <f t="shared" ref="S3047:S3059" si="653">IF(R3047="",0,L3047)</f>
        <v>583041</v>
      </c>
      <c r="T3047" s="37">
        <f t="shared" ref="T3047:T3059" si="654">L3047-S3047</f>
        <v>0</v>
      </c>
      <c r="U3047" s="10"/>
      <c r="V3047" s="10"/>
      <c r="W3047" s="10"/>
      <c r="X3047" s="10"/>
      <c r="Y3047" s="10"/>
      <c r="Z3047" s="10"/>
      <c r="AA3047" s="10"/>
      <c r="AB3047" s="10"/>
      <c r="AC3047" s="10"/>
      <c r="AD3047" s="10"/>
      <c r="AE3047" s="10"/>
    </row>
    <row r="3048" spans="1:31" ht="14.25" customHeight="1">
      <c r="A3048" s="277" t="s">
        <v>6950</v>
      </c>
      <c r="B3048" s="9" t="s">
        <v>21</v>
      </c>
      <c r="C3048" s="9">
        <v>2023</v>
      </c>
      <c r="D3048" s="9"/>
      <c r="E3048" s="90" t="s">
        <v>1656</v>
      </c>
      <c r="F3048" s="9" t="s">
        <v>1658</v>
      </c>
      <c r="G3048" s="10"/>
      <c r="H3048" s="9"/>
      <c r="I3048" s="180" t="s">
        <v>1775</v>
      </c>
      <c r="J3048" s="12">
        <v>44958</v>
      </c>
      <c r="K3048" s="12"/>
      <c r="L3048" s="52">
        <v>591577</v>
      </c>
      <c r="M3048" s="10" t="s">
        <v>1777</v>
      </c>
      <c r="N3048" s="231" t="s">
        <v>29</v>
      </c>
      <c r="O3048" s="125">
        <f t="shared" si="652"/>
        <v>591577</v>
      </c>
      <c r="P3048" s="39"/>
      <c r="Q3048" s="39"/>
      <c r="R3048" s="40">
        <v>44973</v>
      </c>
      <c r="S3048" s="37">
        <f t="shared" si="653"/>
        <v>591577</v>
      </c>
      <c r="T3048" s="37">
        <f t="shared" si="654"/>
        <v>0</v>
      </c>
      <c r="U3048" s="10"/>
      <c r="V3048" s="10"/>
      <c r="W3048" s="10"/>
      <c r="X3048" s="10"/>
      <c r="Y3048" s="10"/>
      <c r="Z3048" s="10"/>
      <c r="AA3048" s="10"/>
      <c r="AB3048" s="10"/>
      <c r="AC3048" s="10"/>
      <c r="AD3048" s="10"/>
      <c r="AE3048" s="10"/>
    </row>
    <row r="3049" spans="1:31" ht="14.25" customHeight="1">
      <c r="A3049" s="277" t="s">
        <v>6951</v>
      </c>
      <c r="B3049" s="9" t="s">
        <v>21</v>
      </c>
      <c r="C3049" s="9">
        <v>2023</v>
      </c>
      <c r="D3049" s="9"/>
      <c r="E3049" s="90" t="s">
        <v>1656</v>
      </c>
      <c r="F3049" s="9" t="s">
        <v>1658</v>
      </c>
      <c r="G3049" s="10"/>
      <c r="H3049" s="9"/>
      <c r="I3049" s="180" t="s">
        <v>1775</v>
      </c>
      <c r="J3049" s="12">
        <v>44986</v>
      </c>
      <c r="K3049" s="12"/>
      <c r="L3049" s="52">
        <v>584306</v>
      </c>
      <c r="M3049" s="10" t="s">
        <v>1778</v>
      </c>
      <c r="N3049" s="231" t="s">
        <v>29</v>
      </c>
      <c r="O3049" s="125">
        <f t="shared" si="652"/>
        <v>584306</v>
      </c>
      <c r="P3049" s="39"/>
      <c r="Q3049" s="39"/>
      <c r="R3049" s="40">
        <v>45001</v>
      </c>
      <c r="S3049" s="37">
        <f t="shared" si="653"/>
        <v>584306</v>
      </c>
      <c r="T3049" s="37">
        <f t="shared" si="654"/>
        <v>0</v>
      </c>
      <c r="U3049" s="10"/>
      <c r="V3049" s="10"/>
      <c r="W3049" s="10"/>
      <c r="X3049" s="10"/>
      <c r="Y3049" s="10"/>
      <c r="Z3049" s="10"/>
      <c r="AA3049" s="10"/>
      <c r="AB3049" s="10"/>
      <c r="AC3049" s="10"/>
      <c r="AD3049" s="10"/>
      <c r="AE3049" s="10"/>
    </row>
    <row r="3050" spans="1:31" ht="14.25" customHeight="1">
      <c r="A3050" s="277" t="s">
        <v>6952</v>
      </c>
      <c r="B3050" s="9" t="s">
        <v>21</v>
      </c>
      <c r="C3050" s="9">
        <v>2023</v>
      </c>
      <c r="D3050" s="9"/>
      <c r="E3050" s="90" t="s">
        <v>1656</v>
      </c>
      <c r="F3050" s="9" t="s">
        <v>1658</v>
      </c>
      <c r="G3050" s="10"/>
      <c r="H3050" s="9"/>
      <c r="I3050" s="180" t="s">
        <v>1775</v>
      </c>
      <c r="J3050" s="12">
        <v>45017</v>
      </c>
      <c r="K3050" s="12"/>
      <c r="L3050" s="52">
        <v>615830</v>
      </c>
      <c r="M3050" s="10" t="s">
        <v>1779</v>
      </c>
      <c r="N3050" s="231" t="s">
        <v>29</v>
      </c>
      <c r="O3050" s="125">
        <f t="shared" si="652"/>
        <v>615830</v>
      </c>
      <c r="P3050" s="39"/>
      <c r="Q3050" s="39"/>
      <c r="R3050" s="40">
        <v>45031</v>
      </c>
      <c r="S3050" s="37">
        <f t="shared" si="653"/>
        <v>615830</v>
      </c>
      <c r="T3050" s="37">
        <f t="shared" si="654"/>
        <v>0</v>
      </c>
      <c r="U3050" s="10"/>
      <c r="V3050" s="10"/>
      <c r="W3050" s="10"/>
      <c r="X3050" s="10"/>
      <c r="Y3050" s="10"/>
      <c r="Z3050" s="10"/>
      <c r="AA3050" s="10"/>
      <c r="AB3050" s="10"/>
      <c r="AC3050" s="10"/>
      <c r="AD3050" s="10"/>
      <c r="AE3050" s="10"/>
    </row>
    <row r="3051" spans="1:31" ht="14.25" customHeight="1">
      <c r="A3051" s="277" t="s">
        <v>6953</v>
      </c>
      <c r="B3051" s="9" t="s">
        <v>21</v>
      </c>
      <c r="C3051" s="9">
        <v>2023</v>
      </c>
      <c r="D3051" s="9"/>
      <c r="E3051" s="90" t="s">
        <v>1656</v>
      </c>
      <c r="F3051" s="9" t="s">
        <v>1658</v>
      </c>
      <c r="G3051" s="10"/>
      <c r="H3051" s="9"/>
      <c r="I3051" s="180" t="s">
        <v>1775</v>
      </c>
      <c r="J3051" s="12">
        <v>45047</v>
      </c>
      <c r="K3051" s="12"/>
      <c r="L3051" s="52">
        <v>576037</v>
      </c>
      <c r="M3051" s="10" t="s">
        <v>1780</v>
      </c>
      <c r="N3051" s="231" t="s">
        <v>29</v>
      </c>
      <c r="O3051" s="125">
        <f t="shared" si="652"/>
        <v>576037</v>
      </c>
      <c r="P3051" s="39"/>
      <c r="Q3051" s="39"/>
      <c r="R3051" s="40">
        <v>45064</v>
      </c>
      <c r="S3051" s="37">
        <f t="shared" si="653"/>
        <v>576037</v>
      </c>
      <c r="T3051" s="37">
        <f t="shared" si="654"/>
        <v>0</v>
      </c>
      <c r="U3051" s="10"/>
      <c r="V3051" s="10"/>
      <c r="W3051" s="10"/>
      <c r="X3051" s="10"/>
      <c r="Y3051" s="10"/>
      <c r="Z3051" s="10"/>
      <c r="AA3051" s="10"/>
      <c r="AB3051" s="10"/>
      <c r="AC3051" s="10"/>
      <c r="AD3051" s="10"/>
      <c r="AE3051" s="10"/>
    </row>
    <row r="3052" spans="1:31" ht="14.25" customHeight="1">
      <c r="A3052" s="277" t="s">
        <v>6954</v>
      </c>
      <c r="B3052" s="9" t="s">
        <v>21</v>
      </c>
      <c r="C3052" s="9">
        <v>2023</v>
      </c>
      <c r="D3052" s="9"/>
      <c r="E3052" s="90" t="s">
        <v>1656</v>
      </c>
      <c r="F3052" s="9" t="s">
        <v>1658</v>
      </c>
      <c r="G3052" s="10"/>
      <c r="H3052" s="9"/>
      <c r="I3052" s="180" t="s">
        <v>1775</v>
      </c>
      <c r="J3052" s="12">
        <v>45078</v>
      </c>
      <c r="K3052" s="12"/>
      <c r="L3052" s="52">
        <v>588244</v>
      </c>
      <c r="M3052" s="10" t="s">
        <v>1781</v>
      </c>
      <c r="N3052" s="231" t="s">
        <v>29</v>
      </c>
      <c r="O3052" s="125">
        <f t="shared" si="652"/>
        <v>588244</v>
      </c>
      <c r="P3052" s="39"/>
      <c r="Q3052" s="39"/>
      <c r="R3052" s="40">
        <v>45093</v>
      </c>
      <c r="S3052" s="37">
        <f t="shared" si="653"/>
        <v>588244</v>
      </c>
      <c r="T3052" s="37">
        <f t="shared" si="654"/>
        <v>0</v>
      </c>
      <c r="U3052" s="10"/>
      <c r="V3052" s="10"/>
      <c r="W3052" s="10"/>
      <c r="X3052" s="10"/>
      <c r="Y3052" s="10"/>
      <c r="Z3052" s="10"/>
      <c r="AA3052" s="10"/>
      <c r="AB3052" s="10"/>
      <c r="AC3052" s="10"/>
      <c r="AD3052" s="10"/>
      <c r="AE3052" s="10"/>
    </row>
    <row r="3053" spans="1:31" ht="14.25" customHeight="1">
      <c r="A3053" s="277" t="s">
        <v>6955</v>
      </c>
      <c r="B3053" s="9" t="s">
        <v>21</v>
      </c>
      <c r="C3053" s="9">
        <v>2023</v>
      </c>
      <c r="D3053" s="9"/>
      <c r="E3053" s="90" t="s">
        <v>1656</v>
      </c>
      <c r="F3053" s="9" t="s">
        <v>1658</v>
      </c>
      <c r="G3053" s="10"/>
      <c r="H3053" s="9"/>
      <c r="I3053" s="180" t="s">
        <v>1775</v>
      </c>
      <c r="J3053" s="12">
        <v>45108</v>
      </c>
      <c r="K3053" s="12"/>
      <c r="L3053" s="52"/>
      <c r="M3053" s="10" t="s">
        <v>1782</v>
      </c>
      <c r="N3053" s="231" t="s">
        <v>29</v>
      </c>
      <c r="O3053" s="125">
        <f t="shared" si="652"/>
        <v>0</v>
      </c>
      <c r="P3053" s="39"/>
      <c r="Q3053" s="39"/>
      <c r="R3053" s="39"/>
      <c r="S3053" s="37">
        <f t="shared" si="653"/>
        <v>0</v>
      </c>
      <c r="T3053" s="37">
        <f t="shared" si="654"/>
        <v>0</v>
      </c>
      <c r="U3053" s="10"/>
      <c r="V3053" s="10"/>
      <c r="W3053" s="10"/>
      <c r="X3053" s="10"/>
      <c r="Y3053" s="10"/>
      <c r="Z3053" s="10"/>
      <c r="AA3053" s="10"/>
      <c r="AB3053" s="10"/>
      <c r="AC3053" s="10"/>
      <c r="AD3053" s="10"/>
      <c r="AE3053" s="10"/>
    </row>
    <row r="3054" spans="1:31" ht="14.25" customHeight="1">
      <c r="A3054" s="277" t="s">
        <v>6956</v>
      </c>
      <c r="B3054" s="9" t="s">
        <v>21</v>
      </c>
      <c r="C3054" s="9">
        <v>2023</v>
      </c>
      <c r="D3054" s="9"/>
      <c r="E3054" s="90" t="s">
        <v>1656</v>
      </c>
      <c r="F3054" s="9" t="s">
        <v>1658</v>
      </c>
      <c r="G3054" s="10"/>
      <c r="H3054" s="9"/>
      <c r="I3054" s="180" t="s">
        <v>1775</v>
      </c>
      <c r="J3054" s="12">
        <v>45139</v>
      </c>
      <c r="K3054" s="12"/>
      <c r="L3054" s="52"/>
      <c r="M3054" s="10" t="s">
        <v>1783</v>
      </c>
      <c r="N3054" s="231" t="s">
        <v>29</v>
      </c>
      <c r="O3054" s="125">
        <f t="shared" si="652"/>
        <v>0</v>
      </c>
      <c r="P3054" s="39"/>
      <c r="Q3054" s="39"/>
      <c r="R3054" s="39"/>
      <c r="S3054" s="37">
        <f t="shared" si="653"/>
        <v>0</v>
      </c>
      <c r="T3054" s="37">
        <f t="shared" si="654"/>
        <v>0</v>
      </c>
      <c r="U3054" s="10"/>
      <c r="V3054" s="10"/>
      <c r="W3054" s="10"/>
      <c r="X3054" s="10"/>
      <c r="Y3054" s="10"/>
      <c r="Z3054" s="10"/>
      <c r="AA3054" s="10"/>
      <c r="AB3054" s="10"/>
      <c r="AC3054" s="10"/>
      <c r="AD3054" s="10"/>
      <c r="AE3054" s="10"/>
    </row>
    <row r="3055" spans="1:31" ht="14.25" customHeight="1">
      <c r="A3055" s="277" t="s">
        <v>6957</v>
      </c>
      <c r="B3055" s="9" t="s">
        <v>21</v>
      </c>
      <c r="C3055" s="9">
        <v>2023</v>
      </c>
      <c r="D3055" s="9"/>
      <c r="E3055" s="90" t="s">
        <v>1656</v>
      </c>
      <c r="F3055" s="9" t="s">
        <v>1658</v>
      </c>
      <c r="G3055" s="10"/>
      <c r="H3055" s="9"/>
      <c r="I3055" s="180" t="s">
        <v>1775</v>
      </c>
      <c r="J3055" s="12">
        <v>45170</v>
      </c>
      <c r="K3055" s="12"/>
      <c r="L3055" s="52"/>
      <c r="M3055" s="10" t="s">
        <v>1784</v>
      </c>
      <c r="N3055" s="231" t="s">
        <v>29</v>
      </c>
      <c r="O3055" s="125">
        <f t="shared" si="652"/>
        <v>0</v>
      </c>
      <c r="P3055" s="39"/>
      <c r="Q3055" s="39"/>
      <c r="R3055" s="39"/>
      <c r="S3055" s="37">
        <f t="shared" si="653"/>
        <v>0</v>
      </c>
      <c r="T3055" s="37">
        <f t="shared" si="654"/>
        <v>0</v>
      </c>
      <c r="U3055" s="10"/>
      <c r="V3055" s="10"/>
      <c r="W3055" s="10"/>
      <c r="X3055" s="10"/>
      <c r="Y3055" s="10"/>
      <c r="Z3055" s="10"/>
      <c r="AA3055" s="10"/>
      <c r="AB3055" s="10"/>
      <c r="AC3055" s="10"/>
      <c r="AD3055" s="10"/>
      <c r="AE3055" s="10"/>
    </row>
    <row r="3056" spans="1:31" ht="14.25" customHeight="1">
      <c r="A3056" s="277" t="s">
        <v>6958</v>
      </c>
      <c r="B3056" s="9" t="s">
        <v>21</v>
      </c>
      <c r="C3056" s="9">
        <v>2023</v>
      </c>
      <c r="D3056" s="9"/>
      <c r="E3056" s="90" t="s">
        <v>1656</v>
      </c>
      <c r="F3056" s="9" t="s">
        <v>1658</v>
      </c>
      <c r="G3056" s="10"/>
      <c r="H3056" s="9"/>
      <c r="I3056" s="180" t="s">
        <v>1775</v>
      </c>
      <c r="J3056" s="12">
        <v>45200</v>
      </c>
      <c r="K3056" s="12"/>
      <c r="L3056" s="52"/>
      <c r="M3056" s="10" t="s">
        <v>1785</v>
      </c>
      <c r="N3056" s="231" t="s">
        <v>29</v>
      </c>
      <c r="O3056" s="125">
        <f t="shared" si="652"/>
        <v>0</v>
      </c>
      <c r="P3056" s="39"/>
      <c r="Q3056" s="39"/>
      <c r="R3056" s="39"/>
      <c r="S3056" s="37">
        <f t="shared" si="653"/>
        <v>0</v>
      </c>
      <c r="T3056" s="37">
        <f t="shared" si="654"/>
        <v>0</v>
      </c>
      <c r="U3056" s="10"/>
      <c r="V3056" s="10"/>
      <c r="W3056" s="10"/>
      <c r="X3056" s="10"/>
      <c r="Y3056" s="10"/>
      <c r="Z3056" s="10"/>
      <c r="AA3056" s="10"/>
      <c r="AB3056" s="10"/>
      <c r="AC3056" s="10"/>
      <c r="AD3056" s="10"/>
      <c r="AE3056" s="10"/>
    </row>
    <row r="3057" spans="1:31" ht="14.25" customHeight="1">
      <c r="A3057" s="277" t="s">
        <v>6959</v>
      </c>
      <c r="B3057" s="9" t="s">
        <v>21</v>
      </c>
      <c r="C3057" s="9">
        <v>2023</v>
      </c>
      <c r="D3057" s="9"/>
      <c r="E3057" s="90" t="s">
        <v>1656</v>
      </c>
      <c r="F3057" s="9" t="s">
        <v>1658</v>
      </c>
      <c r="G3057" s="10"/>
      <c r="H3057" s="9"/>
      <c r="I3057" s="180" t="s">
        <v>1775</v>
      </c>
      <c r="J3057" s="12">
        <v>45231</v>
      </c>
      <c r="K3057" s="12"/>
      <c r="L3057" s="52"/>
      <c r="M3057" s="10" t="s">
        <v>1786</v>
      </c>
      <c r="N3057" s="231" t="s">
        <v>29</v>
      </c>
      <c r="O3057" s="125">
        <f t="shared" si="652"/>
        <v>0</v>
      </c>
      <c r="P3057" s="39"/>
      <c r="Q3057" s="39"/>
      <c r="R3057" s="39"/>
      <c r="S3057" s="37">
        <f t="shared" si="653"/>
        <v>0</v>
      </c>
      <c r="T3057" s="37">
        <f t="shared" si="654"/>
        <v>0</v>
      </c>
      <c r="U3057" s="10"/>
      <c r="V3057" s="10"/>
      <c r="W3057" s="10"/>
      <c r="X3057" s="10"/>
      <c r="Y3057" s="10"/>
      <c r="Z3057" s="10"/>
      <c r="AA3057" s="10"/>
      <c r="AB3057" s="10"/>
      <c r="AC3057" s="10"/>
      <c r="AD3057" s="10"/>
      <c r="AE3057" s="10"/>
    </row>
    <row r="3058" spans="1:31" ht="14.25" customHeight="1">
      <c r="A3058" s="277" t="s">
        <v>6960</v>
      </c>
      <c r="B3058" s="9" t="s">
        <v>21</v>
      </c>
      <c r="C3058" s="9">
        <v>2023</v>
      </c>
      <c r="D3058" s="9"/>
      <c r="E3058" s="90" t="s">
        <v>1656</v>
      </c>
      <c r="F3058" s="9" t="s">
        <v>1658</v>
      </c>
      <c r="G3058" s="10"/>
      <c r="H3058" s="9"/>
      <c r="I3058" s="180" t="s">
        <v>1775</v>
      </c>
      <c r="J3058" s="12">
        <v>45261</v>
      </c>
      <c r="K3058" s="12"/>
      <c r="L3058" s="52"/>
      <c r="M3058" s="10" t="s">
        <v>1787</v>
      </c>
      <c r="N3058" s="231" t="s">
        <v>29</v>
      </c>
      <c r="O3058" s="125">
        <f t="shared" si="652"/>
        <v>0</v>
      </c>
      <c r="P3058" s="39"/>
      <c r="Q3058" s="39"/>
      <c r="R3058" s="39"/>
      <c r="S3058" s="37">
        <f t="shared" si="653"/>
        <v>0</v>
      </c>
      <c r="T3058" s="37">
        <f t="shared" si="654"/>
        <v>0</v>
      </c>
      <c r="U3058" s="10"/>
      <c r="V3058" s="10"/>
      <c r="W3058" s="10"/>
      <c r="X3058" s="10"/>
      <c r="Y3058" s="10"/>
      <c r="Z3058" s="10"/>
      <c r="AA3058" s="10"/>
      <c r="AB3058" s="10"/>
      <c r="AC3058" s="10"/>
      <c r="AD3058" s="10"/>
      <c r="AE3058" s="10"/>
    </row>
    <row r="3059" spans="1:31" ht="14.25" customHeight="1">
      <c r="A3059" s="277" t="s">
        <v>6961</v>
      </c>
      <c r="B3059" s="9" t="s">
        <v>21</v>
      </c>
      <c r="C3059" s="9"/>
      <c r="D3059" s="9"/>
      <c r="E3059" s="90"/>
      <c r="F3059" s="9"/>
      <c r="G3059" s="10"/>
      <c r="H3059" s="9"/>
      <c r="I3059" s="11"/>
      <c r="J3059" s="228"/>
      <c r="K3059" s="12"/>
      <c r="L3059" s="52"/>
      <c r="M3059" s="10"/>
      <c r="N3059" s="114">
        <f ca="1">$J$3-J3059</f>
        <v>46240.46377638889</v>
      </c>
      <c r="O3059" s="11"/>
      <c r="P3059" s="39"/>
      <c r="Q3059" s="39"/>
      <c r="R3059" s="39"/>
      <c r="S3059" s="37">
        <f t="shared" si="653"/>
        <v>0</v>
      </c>
      <c r="T3059" s="37">
        <f t="shared" si="654"/>
        <v>0</v>
      </c>
      <c r="U3059" s="10"/>
      <c r="V3059" s="10"/>
      <c r="W3059" s="10"/>
      <c r="X3059" s="10"/>
      <c r="Y3059" s="10"/>
      <c r="Z3059" s="10"/>
      <c r="AA3059" s="10"/>
      <c r="AB3059" s="10"/>
      <c r="AC3059" s="10"/>
      <c r="AD3059" s="10"/>
      <c r="AE3059" s="10"/>
    </row>
    <row r="3060" spans="1:31" ht="14.25" customHeight="1">
      <c r="A3060" s="277" t="s">
        <v>6962</v>
      </c>
      <c r="B3060" s="9" t="s">
        <v>21</v>
      </c>
      <c r="C3060" s="9"/>
      <c r="D3060" s="9"/>
      <c r="E3060" s="90"/>
      <c r="F3060" s="9"/>
      <c r="G3060" s="10"/>
      <c r="H3060" s="33"/>
      <c r="I3060" s="11"/>
      <c r="J3060" s="182"/>
      <c r="K3060" s="182"/>
      <c r="L3060" s="103"/>
      <c r="M3060" s="103"/>
      <c r="N3060" s="33"/>
      <c r="O3060" s="93"/>
      <c r="P3060" s="10"/>
      <c r="Q3060" s="10"/>
      <c r="R3060" s="10"/>
      <c r="S3060" s="10"/>
      <c r="T3060" s="10"/>
      <c r="U3060" s="10"/>
      <c r="V3060" s="10"/>
      <c r="W3060" s="10"/>
      <c r="X3060" s="10"/>
      <c r="Y3060" s="10"/>
      <c r="Z3060" s="10"/>
      <c r="AA3060" s="10"/>
      <c r="AB3060" s="10"/>
      <c r="AC3060" s="10"/>
      <c r="AD3060" s="10"/>
      <c r="AE3060" s="10"/>
    </row>
    <row r="3061" spans="1:31" ht="14.25" customHeight="1">
      <c r="A3061" s="277" t="s">
        <v>6963</v>
      </c>
      <c r="B3061" s="9" t="s">
        <v>21</v>
      </c>
      <c r="C3061" s="9"/>
      <c r="D3061" s="9"/>
      <c r="E3061" s="90"/>
      <c r="F3061" s="9"/>
      <c r="G3061" s="10"/>
      <c r="H3061" s="9"/>
      <c r="I3061" s="11"/>
      <c r="J3061" s="12"/>
      <c r="K3061" s="12"/>
      <c r="L3061" s="27"/>
      <c r="M3061" s="10"/>
      <c r="N3061" s="9"/>
      <c r="O3061" s="10"/>
      <c r="P3061" s="39"/>
      <c r="Q3061" s="39"/>
      <c r="R3061" s="39"/>
      <c r="S3061" s="37"/>
      <c r="T3061" s="37"/>
      <c r="U3061" s="10"/>
      <c r="V3061" s="10"/>
      <c r="W3061" s="10"/>
      <c r="X3061" s="10"/>
      <c r="Y3061" s="10"/>
      <c r="Z3061" s="10"/>
      <c r="AA3061" s="10"/>
      <c r="AB3061" s="10"/>
      <c r="AC3061" s="10"/>
      <c r="AD3061" s="10"/>
      <c r="AE3061" s="10"/>
    </row>
    <row r="3062" spans="1:31" ht="14.25" customHeight="1">
      <c r="A3062" s="277" t="s">
        <v>6964</v>
      </c>
      <c r="B3062" s="9" t="s">
        <v>21</v>
      </c>
      <c r="C3062" s="9"/>
      <c r="D3062" s="9"/>
      <c r="E3062" s="90"/>
      <c r="F3062" s="9"/>
      <c r="G3062" s="91" t="s">
        <v>22</v>
      </c>
      <c r="H3062" s="187" t="s">
        <v>1788</v>
      </c>
      <c r="I3062" s="159"/>
      <c r="J3062" s="160"/>
      <c r="K3062" s="160"/>
      <c r="L3062" s="161">
        <f>L3064+L3068</f>
        <v>0</v>
      </c>
      <c r="M3062" s="162"/>
      <c r="N3062" s="163"/>
      <c r="O3062" s="159"/>
      <c r="P3062" s="164"/>
      <c r="Q3062" s="164"/>
      <c r="R3062" s="164"/>
      <c r="S3062" s="161">
        <f>S3064+S3068</f>
        <v>0</v>
      </c>
      <c r="T3062" s="161">
        <f>T3064+T3068</f>
        <v>0</v>
      </c>
      <c r="U3062" s="171"/>
      <c r="V3062" s="52">
        <f>L3062-S3062</f>
        <v>0</v>
      </c>
      <c r="W3062" s="52">
        <f>T3062-V3062</f>
        <v>0</v>
      </c>
      <c r="X3062" s="171"/>
      <c r="Y3062" s="171"/>
      <c r="Z3062" s="171"/>
      <c r="AA3062" s="171"/>
      <c r="AB3062" s="171"/>
      <c r="AC3062" s="171"/>
      <c r="AD3062" s="171"/>
      <c r="AE3062" s="171"/>
    </row>
    <row r="3063" spans="1:31" ht="14.25" customHeight="1">
      <c r="A3063" s="277" t="s">
        <v>6965</v>
      </c>
      <c r="B3063" s="9" t="s">
        <v>21</v>
      </c>
      <c r="C3063" s="9"/>
      <c r="D3063" s="9"/>
      <c r="E3063" s="90"/>
      <c r="F3063" s="9"/>
      <c r="G3063" s="9"/>
      <c r="H3063" s="93"/>
      <c r="I3063" s="11"/>
      <c r="J3063" s="12"/>
      <c r="K3063" s="12"/>
      <c r="L3063" s="118"/>
      <c r="M3063" s="103"/>
      <c r="N3063" s="33"/>
      <c r="O3063" s="33"/>
      <c r="P3063" s="33"/>
      <c r="Q3063" s="33"/>
      <c r="R3063" s="33"/>
      <c r="S3063" s="118"/>
      <c r="T3063" s="118"/>
      <c r="U3063" s="10"/>
      <c r="V3063" s="10"/>
      <c r="W3063" s="10"/>
      <c r="X3063" s="10"/>
      <c r="Y3063" s="10"/>
      <c r="Z3063" s="10"/>
      <c r="AA3063" s="10"/>
      <c r="AB3063" s="10"/>
      <c r="AC3063" s="10"/>
      <c r="AD3063" s="10"/>
      <c r="AE3063" s="10"/>
    </row>
    <row r="3064" spans="1:31" ht="14.25" customHeight="1">
      <c r="A3064" s="277" t="s">
        <v>6966</v>
      </c>
      <c r="B3064" s="9" t="s">
        <v>21</v>
      </c>
      <c r="C3064" s="9"/>
      <c r="D3064" s="9"/>
      <c r="E3064" s="90"/>
      <c r="F3064" s="9"/>
      <c r="G3064" s="94" t="s">
        <v>24</v>
      </c>
      <c r="H3064" s="95" t="s">
        <v>1789</v>
      </c>
      <c r="I3064" s="104"/>
      <c r="J3064" s="105"/>
      <c r="K3064" s="105"/>
      <c r="L3064" s="106">
        <f>SUM(L3065:L3066)</f>
        <v>0</v>
      </c>
      <c r="M3064" s="107"/>
      <c r="N3064" s="108" t="s">
        <v>26</v>
      </c>
      <c r="O3064" s="108"/>
      <c r="P3064" s="108"/>
      <c r="Q3064" s="108"/>
      <c r="R3064" s="108"/>
      <c r="S3064" s="106">
        <f>SUM(S3065:S3066)</f>
        <v>0</v>
      </c>
      <c r="T3064" s="106">
        <f>SUM(T3065:T3066)</f>
        <v>0</v>
      </c>
      <c r="U3064" s="10"/>
      <c r="V3064" s="52">
        <f>L3064-S3064</f>
        <v>0</v>
      </c>
      <c r="W3064" s="52">
        <f>T3064-V3064</f>
        <v>0</v>
      </c>
      <c r="X3064" s="10"/>
      <c r="Y3064" s="10"/>
      <c r="Z3064" s="10"/>
      <c r="AA3064" s="10"/>
      <c r="AB3064" s="10"/>
      <c r="AC3064" s="10"/>
      <c r="AD3064" s="10"/>
      <c r="AE3064" s="10"/>
    </row>
    <row r="3065" spans="1:31" ht="14.25" customHeight="1">
      <c r="A3065" s="277" t="s">
        <v>6967</v>
      </c>
      <c r="B3065" s="9" t="s">
        <v>21</v>
      </c>
      <c r="C3065" s="9"/>
      <c r="D3065" s="9"/>
      <c r="E3065" s="90" t="s">
        <v>1788</v>
      </c>
      <c r="F3065" s="9" t="s">
        <v>27</v>
      </c>
      <c r="G3065" s="10"/>
      <c r="H3065" s="9"/>
      <c r="I3065" s="180" t="s">
        <v>1789</v>
      </c>
      <c r="J3065" s="49"/>
      <c r="K3065" s="12"/>
      <c r="L3065" s="52"/>
      <c r="M3065" s="10"/>
      <c r="N3065" s="231" t="s">
        <v>29</v>
      </c>
      <c r="O3065" s="125">
        <f>L3065</f>
        <v>0</v>
      </c>
      <c r="P3065" s="39"/>
      <c r="Q3065" s="39"/>
      <c r="R3065" s="39"/>
      <c r="S3065" s="37">
        <f>IF(R3065="",0,L3065)</f>
        <v>0</v>
      </c>
      <c r="T3065" s="37">
        <f>L3065-S3065</f>
        <v>0</v>
      </c>
      <c r="U3065" s="10"/>
      <c r="V3065" s="10"/>
      <c r="W3065" s="10"/>
      <c r="X3065" s="10"/>
      <c r="Y3065" s="10"/>
      <c r="Z3065" s="10"/>
      <c r="AA3065" s="10"/>
      <c r="AB3065" s="10"/>
      <c r="AC3065" s="10"/>
      <c r="AD3065" s="10"/>
      <c r="AE3065" s="10"/>
    </row>
    <row r="3066" spans="1:31" ht="14.25" customHeight="1">
      <c r="A3066" s="277" t="s">
        <v>6968</v>
      </c>
      <c r="B3066" s="9" t="s">
        <v>21</v>
      </c>
      <c r="C3066" s="9"/>
      <c r="D3066" s="9"/>
      <c r="E3066" s="90"/>
      <c r="F3066" s="9"/>
      <c r="G3066" s="10"/>
      <c r="H3066" s="9"/>
      <c r="I3066" s="11"/>
      <c r="J3066" s="12"/>
      <c r="K3066" s="12"/>
      <c r="L3066" s="52"/>
      <c r="M3066" s="10"/>
      <c r="N3066" s="114">
        <f ca="1">$J$3-J3066</f>
        <v>46240.46377638889</v>
      </c>
      <c r="O3066" s="11"/>
      <c r="P3066" s="39"/>
      <c r="Q3066" s="39"/>
      <c r="R3066" s="39"/>
      <c r="S3066" s="37">
        <f>IF(R3066="",0,L3066)</f>
        <v>0</v>
      </c>
      <c r="T3066" s="37">
        <f>L3066-S3066</f>
        <v>0</v>
      </c>
      <c r="U3066" s="10"/>
      <c r="V3066" s="10"/>
      <c r="W3066" s="10"/>
      <c r="X3066" s="10"/>
      <c r="Y3066" s="10"/>
      <c r="Z3066" s="10"/>
      <c r="AA3066" s="10"/>
      <c r="AB3066" s="10"/>
      <c r="AC3066" s="10"/>
      <c r="AD3066" s="10"/>
      <c r="AE3066" s="10"/>
    </row>
    <row r="3067" spans="1:31" ht="14.25" customHeight="1">
      <c r="A3067" s="277" t="s">
        <v>6969</v>
      </c>
      <c r="B3067" s="9" t="s">
        <v>21</v>
      </c>
      <c r="C3067" s="9"/>
      <c r="D3067" s="9"/>
      <c r="E3067" s="90"/>
      <c r="F3067" s="9"/>
      <c r="G3067" s="9"/>
      <c r="H3067" s="93"/>
      <c r="I3067" s="11"/>
      <c r="J3067" s="12"/>
      <c r="K3067" s="12"/>
      <c r="L3067" s="118"/>
      <c r="M3067" s="103"/>
      <c r="N3067" s="33"/>
      <c r="O3067" s="33"/>
      <c r="P3067" s="33"/>
      <c r="Q3067" s="33"/>
      <c r="R3067" s="33"/>
      <c r="S3067" s="118"/>
      <c r="T3067" s="118"/>
      <c r="U3067" s="10"/>
      <c r="V3067" s="10"/>
      <c r="W3067" s="10"/>
      <c r="X3067" s="10"/>
      <c r="Y3067" s="10"/>
      <c r="Z3067" s="10"/>
      <c r="AA3067" s="10"/>
      <c r="AB3067" s="10"/>
      <c r="AC3067" s="10"/>
      <c r="AD3067" s="10"/>
      <c r="AE3067" s="10"/>
    </row>
    <row r="3068" spans="1:31" ht="14.25" customHeight="1">
      <c r="A3068" s="277" t="s">
        <v>6970</v>
      </c>
      <c r="B3068" s="9" t="s">
        <v>21</v>
      </c>
      <c r="C3068" s="9"/>
      <c r="D3068" s="9"/>
      <c r="E3068" s="90"/>
      <c r="F3068" s="9"/>
      <c r="G3068" s="94" t="s">
        <v>24</v>
      </c>
      <c r="H3068" s="95" t="s">
        <v>1790</v>
      </c>
      <c r="I3068" s="104"/>
      <c r="J3068" s="105"/>
      <c r="K3068" s="105"/>
      <c r="L3068" s="106">
        <f>SUM(L3069:L3070)</f>
        <v>0</v>
      </c>
      <c r="M3068" s="107"/>
      <c r="N3068" s="108" t="s">
        <v>26</v>
      </c>
      <c r="O3068" s="108"/>
      <c r="P3068" s="108"/>
      <c r="Q3068" s="108"/>
      <c r="R3068" s="108"/>
      <c r="S3068" s="106">
        <f>SUM(S3069:S3070)</f>
        <v>0</v>
      </c>
      <c r="T3068" s="106">
        <f>SUM(T3069:T3070)</f>
        <v>0</v>
      </c>
      <c r="U3068" s="10"/>
      <c r="V3068" s="52">
        <f>L3068-S3068</f>
        <v>0</v>
      </c>
      <c r="W3068" s="52">
        <f>T3068-V3068</f>
        <v>0</v>
      </c>
      <c r="X3068" s="10"/>
      <c r="Y3068" s="10"/>
      <c r="Z3068" s="10"/>
      <c r="AA3068" s="10"/>
      <c r="AB3068" s="10"/>
      <c r="AC3068" s="10"/>
      <c r="AD3068" s="10"/>
      <c r="AE3068" s="10"/>
    </row>
    <row r="3069" spans="1:31" ht="14.25" customHeight="1">
      <c r="A3069" s="277" t="s">
        <v>6971</v>
      </c>
      <c r="B3069" s="9" t="s">
        <v>21</v>
      </c>
      <c r="C3069" s="9"/>
      <c r="D3069" s="9"/>
      <c r="E3069" s="90" t="s">
        <v>1788</v>
      </c>
      <c r="F3069" s="9" t="s">
        <v>27</v>
      </c>
      <c r="G3069" s="10"/>
      <c r="H3069" s="9"/>
      <c r="I3069" s="180" t="s">
        <v>1790</v>
      </c>
      <c r="J3069" s="49"/>
      <c r="K3069" s="12"/>
      <c r="L3069" s="52"/>
      <c r="M3069" s="10"/>
      <c r="N3069" s="231" t="s">
        <v>29</v>
      </c>
      <c r="O3069" s="125">
        <f>L3069</f>
        <v>0</v>
      </c>
      <c r="P3069" s="39"/>
      <c r="Q3069" s="39"/>
      <c r="R3069" s="39"/>
      <c r="S3069" s="37">
        <f>IF(R3069="",0,L3069)</f>
        <v>0</v>
      </c>
      <c r="T3069" s="37">
        <f>L3069-S3069</f>
        <v>0</v>
      </c>
      <c r="U3069" s="10"/>
      <c r="V3069" s="10"/>
      <c r="W3069" s="10"/>
      <c r="X3069" s="10"/>
      <c r="Y3069" s="10"/>
      <c r="Z3069" s="10"/>
      <c r="AA3069" s="10"/>
      <c r="AB3069" s="10"/>
      <c r="AC3069" s="10"/>
      <c r="AD3069" s="10"/>
      <c r="AE3069" s="10"/>
    </row>
    <row r="3070" spans="1:31" ht="14.25" customHeight="1">
      <c r="A3070" s="277" t="s">
        <v>6972</v>
      </c>
      <c r="B3070" s="9" t="s">
        <v>21</v>
      </c>
      <c r="C3070" s="9"/>
      <c r="D3070" s="9"/>
      <c r="E3070" s="90"/>
      <c r="F3070" s="9"/>
      <c r="G3070" s="10"/>
      <c r="H3070" s="9"/>
      <c r="I3070" s="11"/>
      <c r="J3070" s="12"/>
      <c r="K3070" s="12"/>
      <c r="L3070" s="52"/>
      <c r="M3070" s="10"/>
      <c r="N3070" s="114">
        <f ca="1">$J$3-J3070</f>
        <v>46240.46377638889</v>
      </c>
      <c r="O3070" s="11"/>
      <c r="P3070" s="39"/>
      <c r="Q3070" s="39"/>
      <c r="R3070" s="39"/>
      <c r="S3070" s="37">
        <f>IF(R3070="",0,L3070)</f>
        <v>0</v>
      </c>
      <c r="T3070" s="37">
        <f>L3070-S3070</f>
        <v>0</v>
      </c>
      <c r="U3070" s="10"/>
      <c r="V3070" s="10"/>
      <c r="W3070" s="10"/>
      <c r="X3070" s="10"/>
      <c r="Y3070" s="10"/>
      <c r="Z3070" s="10"/>
      <c r="AA3070" s="10"/>
      <c r="AB3070" s="10"/>
      <c r="AC3070" s="10"/>
      <c r="AD3070" s="10"/>
      <c r="AE3070" s="10"/>
    </row>
    <row r="3071" spans="1:31" ht="14.25" customHeight="1">
      <c r="A3071" s="277" t="s">
        <v>7306</v>
      </c>
      <c r="B3071" s="9"/>
      <c r="C3071" s="9"/>
      <c r="D3071" s="9"/>
      <c r="E3071" s="90"/>
      <c r="F3071" s="9"/>
      <c r="G3071" s="10"/>
      <c r="H3071" s="9"/>
      <c r="I3071" s="11"/>
      <c r="J3071" s="12"/>
      <c r="K3071" s="12"/>
      <c r="L3071" s="52"/>
      <c r="M3071" s="10"/>
      <c r="N3071" s="9"/>
      <c r="O3071" s="11"/>
      <c r="P3071" s="10"/>
      <c r="Q3071" s="10"/>
      <c r="R3071" s="10"/>
      <c r="S3071" s="10"/>
      <c r="T3071" s="10"/>
      <c r="U3071" s="10"/>
      <c r="V3071" s="10"/>
      <c r="W3071" s="10"/>
      <c r="X3071" s="10"/>
      <c r="Y3071" s="10"/>
      <c r="Z3071" s="10"/>
      <c r="AA3071" s="10"/>
      <c r="AB3071" s="10"/>
      <c r="AC3071" s="10"/>
      <c r="AD3071" s="10"/>
      <c r="AE3071" s="10"/>
    </row>
    <row r="3072" spans="1:31" ht="14.25" customHeight="1">
      <c r="A3072" s="277" t="s">
        <v>7307</v>
      </c>
      <c r="B3072" s="9"/>
      <c r="C3072" s="9"/>
      <c r="D3072" s="9"/>
      <c r="E3072" s="90"/>
      <c r="F3072" s="9"/>
      <c r="G3072" s="10"/>
      <c r="H3072" s="9"/>
      <c r="I3072" s="11"/>
      <c r="J3072" s="12"/>
      <c r="K3072" s="12"/>
      <c r="L3072" s="52"/>
      <c r="M3072" s="10"/>
      <c r="N3072" s="9"/>
      <c r="O3072" s="11"/>
      <c r="P3072" s="10"/>
      <c r="Q3072" s="10"/>
      <c r="R3072" s="10"/>
      <c r="S3072" s="10"/>
      <c r="T3072" s="10"/>
      <c r="U3072" s="10"/>
      <c r="V3072" s="10"/>
      <c r="W3072" s="10"/>
      <c r="X3072" s="10"/>
      <c r="Y3072" s="10"/>
      <c r="Z3072" s="10"/>
      <c r="AA3072" s="10"/>
      <c r="AB3072" s="10"/>
      <c r="AC3072" s="10"/>
      <c r="AD3072" s="10"/>
      <c r="AE3072" s="10"/>
    </row>
    <row r="3073" spans="1:31" ht="14.25" customHeight="1">
      <c r="A3073" s="9"/>
      <c r="B3073" s="9"/>
      <c r="C3073" s="9"/>
      <c r="D3073" s="9"/>
      <c r="E3073" s="90"/>
      <c r="F3073" s="9"/>
      <c r="G3073" s="10"/>
      <c r="H3073" s="9"/>
      <c r="I3073" s="11"/>
      <c r="J3073" s="12"/>
      <c r="K3073" s="12"/>
      <c r="L3073" s="52"/>
      <c r="M3073" s="10"/>
      <c r="N3073" s="9"/>
      <c r="O3073" s="11"/>
      <c r="P3073" s="10"/>
      <c r="Q3073" s="10"/>
      <c r="R3073" s="10"/>
      <c r="S3073" s="10"/>
      <c r="T3073" s="10"/>
      <c r="U3073" s="10"/>
      <c r="V3073" s="10"/>
      <c r="W3073" s="10"/>
      <c r="X3073" s="10"/>
      <c r="Y3073" s="10"/>
      <c r="Z3073" s="10"/>
      <c r="AA3073" s="10"/>
      <c r="AB3073" s="10"/>
      <c r="AC3073" s="10"/>
      <c r="AD3073" s="10"/>
      <c r="AE3073" s="10"/>
    </row>
    <row r="3074" spans="1:31" ht="14.25" customHeight="1">
      <c r="A3074" s="9" t="s">
        <v>1518</v>
      </c>
      <c r="B3074" s="9"/>
      <c r="C3074" s="9"/>
      <c r="D3074" s="9"/>
      <c r="E3074" s="90"/>
      <c r="F3074" s="9"/>
      <c r="G3074" s="10"/>
      <c r="H3074" s="9"/>
      <c r="I3074" s="11"/>
      <c r="J3074" s="12"/>
      <c r="K3074" s="12"/>
      <c r="L3074" s="52"/>
      <c r="M3074" s="10"/>
      <c r="N3074" s="9"/>
      <c r="O3074" s="11"/>
      <c r="P3074" s="10"/>
      <c r="Q3074" s="10"/>
      <c r="R3074" s="10"/>
      <c r="S3074" s="10"/>
      <c r="T3074" s="10"/>
      <c r="U3074" s="10"/>
      <c r="V3074" s="10"/>
      <c r="W3074" s="10"/>
      <c r="X3074" s="10"/>
      <c r="Y3074" s="10"/>
      <c r="Z3074" s="10"/>
      <c r="AA3074" s="10"/>
      <c r="AB3074" s="10"/>
      <c r="AC3074" s="10"/>
      <c r="AD3074" s="10"/>
      <c r="AE3074" s="10"/>
    </row>
    <row r="3075" spans="1:31" ht="17.100000000000001" customHeight="1">
      <c r="A3075" s="9"/>
      <c r="B3075" s="9"/>
      <c r="C3075" s="9"/>
      <c r="D3075" s="9"/>
      <c r="E3075" s="90"/>
      <c r="F3075" s="9"/>
      <c r="G3075" s="10"/>
      <c r="H3075" s="9"/>
      <c r="I3075" s="11"/>
      <c r="J3075" s="12"/>
      <c r="K3075" s="12"/>
      <c r="L3075" s="52"/>
      <c r="M3075" s="10"/>
      <c r="N3075" s="229" t="s">
        <v>1791</v>
      </c>
      <c r="O3075" s="11"/>
      <c r="P3075" s="10"/>
      <c r="Q3075" s="10"/>
      <c r="R3075" s="10"/>
      <c r="S3075" s="10" t="s">
        <v>1792</v>
      </c>
      <c r="T3075" s="230" t="e">
        <f>SUM(#REF!)</f>
        <v>#REF!</v>
      </c>
      <c r="U3075" s="10"/>
      <c r="V3075" s="10"/>
      <c r="W3075" s="10"/>
      <c r="X3075" s="10"/>
      <c r="Y3075" s="10"/>
      <c r="Z3075" s="10"/>
      <c r="AA3075" s="10"/>
      <c r="AB3075" s="10"/>
      <c r="AC3075" s="10"/>
      <c r="AD3075" s="10"/>
      <c r="AE3075" s="10"/>
    </row>
    <row r="3076" spans="1:31" ht="14.25" customHeight="1">
      <c r="A3076" s="9"/>
      <c r="B3076" s="9"/>
      <c r="C3076" s="9"/>
      <c r="D3076" s="9"/>
      <c r="E3076" s="90"/>
      <c r="F3076" s="9"/>
      <c r="G3076" s="10"/>
      <c r="H3076" s="9"/>
      <c r="I3076" s="11"/>
      <c r="J3076" s="12"/>
      <c r="K3076" s="12"/>
      <c r="L3076" s="52"/>
      <c r="M3076" s="10"/>
      <c r="N3076" s="9"/>
      <c r="O3076" s="11"/>
      <c r="P3076" s="10"/>
      <c r="Q3076" s="10"/>
      <c r="R3076" s="10"/>
      <c r="S3076" s="10"/>
      <c r="T3076" s="10"/>
      <c r="U3076" s="10"/>
      <c r="V3076" s="10"/>
      <c r="W3076" s="10"/>
      <c r="X3076" s="10"/>
      <c r="Y3076" s="10"/>
      <c r="Z3076" s="10"/>
      <c r="AA3076" s="10"/>
      <c r="AB3076" s="10"/>
      <c r="AC3076" s="10"/>
      <c r="AD3076" s="10"/>
      <c r="AE3076" s="10"/>
    </row>
    <row r="3077" spans="1:31" ht="14.25" customHeight="1">
      <c r="A3077" s="9"/>
      <c r="B3077" s="9"/>
      <c r="C3077" s="9"/>
      <c r="D3077" s="9"/>
      <c r="E3077" s="90"/>
      <c r="F3077" s="9"/>
      <c r="G3077" s="10"/>
      <c r="H3077" s="9"/>
      <c r="I3077" s="11"/>
      <c r="J3077" s="12"/>
      <c r="K3077" s="12"/>
      <c r="L3077" s="52"/>
      <c r="M3077" s="10"/>
      <c r="N3077" s="9"/>
      <c r="O3077" s="11"/>
      <c r="P3077" s="10"/>
      <c r="Q3077" s="10"/>
      <c r="R3077" s="10"/>
      <c r="S3077" s="10"/>
      <c r="T3077" s="10"/>
      <c r="U3077" s="10"/>
      <c r="V3077" s="10"/>
      <c r="W3077" s="10"/>
      <c r="X3077" s="10"/>
      <c r="Y3077" s="10"/>
      <c r="Z3077" s="10"/>
      <c r="AA3077" s="10"/>
      <c r="AB3077" s="10"/>
      <c r="AC3077" s="10"/>
      <c r="AD3077" s="10"/>
      <c r="AE3077" s="10"/>
    </row>
    <row r="3078" spans="1:31" ht="14.25" customHeight="1">
      <c r="A3078" s="9"/>
      <c r="B3078" s="9"/>
      <c r="C3078" s="9"/>
      <c r="D3078" s="9"/>
      <c r="E3078" s="90"/>
      <c r="F3078" s="9"/>
      <c r="G3078" s="10"/>
      <c r="H3078" s="9"/>
      <c r="I3078" s="11"/>
      <c r="J3078" s="12"/>
      <c r="K3078" s="12"/>
      <c r="L3078" s="52"/>
      <c r="M3078" s="10"/>
      <c r="N3078" s="9"/>
      <c r="O3078" s="11"/>
      <c r="P3078" s="10"/>
      <c r="Q3078" s="10"/>
      <c r="R3078" s="10"/>
      <c r="S3078" s="10"/>
      <c r="T3078" s="10"/>
      <c r="U3078" s="10"/>
      <c r="V3078" s="10"/>
      <c r="W3078" s="10"/>
      <c r="X3078" s="10"/>
      <c r="Y3078" s="10"/>
      <c r="Z3078" s="10"/>
      <c r="AA3078" s="10"/>
      <c r="AB3078" s="10"/>
      <c r="AC3078" s="10"/>
      <c r="AD3078" s="10"/>
      <c r="AE3078" s="10"/>
    </row>
    <row r="3079" spans="1:31" ht="14.25" customHeight="1">
      <c r="A3079" s="9"/>
      <c r="B3079" s="9"/>
      <c r="C3079" s="9"/>
      <c r="D3079" s="9"/>
      <c r="E3079" s="90"/>
      <c r="F3079" s="9"/>
      <c r="G3079" s="10"/>
      <c r="H3079" s="9"/>
      <c r="I3079" s="11"/>
      <c r="J3079" s="12"/>
      <c r="K3079" s="12"/>
      <c r="L3079" s="52"/>
      <c r="M3079" s="10"/>
      <c r="N3079" s="9"/>
      <c r="O3079" s="11"/>
      <c r="P3079" s="10"/>
      <c r="Q3079" s="10"/>
      <c r="R3079" s="10"/>
      <c r="S3079" s="10"/>
      <c r="T3079" s="10"/>
      <c r="U3079" s="10"/>
      <c r="V3079" s="10"/>
      <c r="W3079" s="10"/>
      <c r="X3079" s="10"/>
      <c r="Y3079" s="10"/>
      <c r="Z3079" s="10"/>
      <c r="AA3079" s="10"/>
      <c r="AB3079" s="10"/>
      <c r="AC3079" s="10"/>
      <c r="AD3079" s="10"/>
      <c r="AE3079" s="10"/>
    </row>
    <row r="3080" spans="1:31" ht="14.25" customHeight="1">
      <c r="A3080" s="9"/>
      <c r="B3080" s="9"/>
      <c r="C3080" s="9"/>
      <c r="D3080" s="9"/>
      <c r="E3080" s="90"/>
      <c r="F3080" s="9"/>
      <c r="G3080" s="10"/>
      <c r="H3080" s="9"/>
      <c r="I3080" s="11"/>
      <c r="J3080" s="12"/>
      <c r="K3080" s="12"/>
      <c r="L3080" s="52"/>
      <c r="M3080" s="10"/>
      <c r="N3080" s="9"/>
      <c r="O3080" s="11"/>
      <c r="P3080" s="10"/>
      <c r="Q3080" s="10"/>
      <c r="R3080" s="10"/>
      <c r="S3080" s="10"/>
      <c r="T3080" s="10"/>
      <c r="U3080" s="10"/>
      <c r="V3080" s="10"/>
      <c r="W3080" s="10"/>
      <c r="X3080" s="10"/>
      <c r="Y3080" s="10"/>
      <c r="Z3080" s="10"/>
      <c r="AA3080" s="10"/>
      <c r="AB3080" s="10"/>
      <c r="AC3080" s="10"/>
      <c r="AD3080" s="10"/>
      <c r="AE3080" s="10"/>
    </row>
    <row r="3081" spans="1:31" ht="14.25" customHeight="1">
      <c r="A3081" s="9"/>
      <c r="B3081" s="9"/>
      <c r="C3081" s="9"/>
      <c r="D3081" s="9"/>
      <c r="E3081" s="90"/>
      <c r="F3081" s="9"/>
      <c r="G3081" s="10"/>
      <c r="H3081" s="9"/>
      <c r="I3081" s="11"/>
      <c r="J3081" s="12"/>
      <c r="K3081" s="12"/>
      <c r="L3081" s="52"/>
      <c r="M3081" s="10"/>
      <c r="N3081" s="9"/>
      <c r="O3081" s="11"/>
      <c r="P3081" s="10"/>
      <c r="Q3081" s="10"/>
      <c r="R3081" s="10"/>
      <c r="S3081" s="10"/>
      <c r="T3081" s="10"/>
      <c r="U3081" s="10"/>
      <c r="V3081" s="10"/>
      <c r="W3081" s="10"/>
      <c r="X3081" s="10"/>
      <c r="Y3081" s="10"/>
      <c r="Z3081" s="10"/>
      <c r="AA3081" s="10"/>
      <c r="AB3081" s="10"/>
      <c r="AC3081" s="10"/>
      <c r="AD3081" s="10"/>
      <c r="AE3081" s="10"/>
    </row>
    <row r="3082" spans="1:31" ht="14.25" customHeight="1">
      <c r="A3082" s="9"/>
      <c r="B3082" s="9"/>
      <c r="C3082" s="9"/>
      <c r="D3082" s="9"/>
      <c r="E3082" s="90"/>
      <c r="F3082" s="9"/>
      <c r="G3082" s="10"/>
      <c r="H3082" s="9"/>
      <c r="I3082" s="11"/>
      <c r="J3082" s="12"/>
      <c r="K3082" s="12"/>
      <c r="L3082" s="52"/>
      <c r="M3082" s="10"/>
      <c r="N3082" s="9"/>
      <c r="O3082" s="11"/>
      <c r="P3082" s="10"/>
      <c r="Q3082" s="10"/>
      <c r="R3082" s="10"/>
      <c r="S3082" s="10"/>
      <c r="T3082" s="10"/>
      <c r="U3082" s="10"/>
      <c r="V3082" s="10"/>
      <c r="W3082" s="10"/>
      <c r="X3082" s="10"/>
      <c r="Y3082" s="10"/>
      <c r="Z3082" s="10"/>
      <c r="AA3082" s="10"/>
      <c r="AB3082" s="10"/>
      <c r="AC3082" s="10"/>
      <c r="AD3082" s="10"/>
      <c r="AE3082" s="10"/>
    </row>
    <row r="3083" spans="1:31" ht="14.25" customHeight="1">
      <c r="A3083" s="9"/>
      <c r="B3083" s="9"/>
      <c r="C3083" s="9"/>
      <c r="D3083" s="9"/>
      <c r="E3083" s="90"/>
      <c r="F3083" s="9"/>
      <c r="G3083" s="10"/>
      <c r="H3083" s="9"/>
      <c r="I3083" s="11"/>
      <c r="J3083" s="12"/>
      <c r="K3083" s="12"/>
      <c r="L3083" s="52"/>
      <c r="M3083" s="10"/>
      <c r="N3083" s="9"/>
      <c r="O3083" s="11"/>
      <c r="P3083" s="10"/>
      <c r="Q3083" s="10"/>
      <c r="R3083" s="10"/>
      <c r="S3083" s="10"/>
      <c r="T3083" s="10"/>
      <c r="U3083" s="10"/>
      <c r="V3083" s="10"/>
      <c r="W3083" s="10"/>
      <c r="X3083" s="10"/>
      <c r="Y3083" s="10"/>
      <c r="Z3083" s="10"/>
      <c r="AA3083" s="10"/>
      <c r="AB3083" s="10"/>
      <c r="AC3083" s="10"/>
      <c r="AD3083" s="10"/>
      <c r="AE3083" s="10"/>
    </row>
    <row r="3084" spans="1:31" ht="14.25" customHeight="1">
      <c r="A3084" s="9"/>
      <c r="B3084" s="9"/>
      <c r="C3084" s="9"/>
      <c r="D3084" s="9"/>
      <c r="E3084" s="90"/>
      <c r="F3084" s="9"/>
      <c r="G3084" s="10"/>
      <c r="H3084" s="9"/>
      <c r="I3084" s="11"/>
      <c r="J3084" s="12"/>
      <c r="K3084" s="12"/>
      <c r="L3084" s="52"/>
      <c r="M3084" s="10"/>
      <c r="N3084" s="9"/>
      <c r="O3084" s="11"/>
      <c r="P3084" s="10"/>
      <c r="Q3084" s="10"/>
      <c r="R3084" s="10"/>
      <c r="S3084" s="10"/>
      <c r="T3084" s="10"/>
      <c r="U3084" s="10"/>
      <c r="V3084" s="10"/>
      <c r="W3084" s="10"/>
      <c r="X3084" s="10"/>
      <c r="Y3084" s="10"/>
      <c r="Z3084" s="10"/>
      <c r="AA3084" s="10"/>
      <c r="AB3084" s="10"/>
      <c r="AC3084" s="10"/>
      <c r="AD3084" s="10"/>
      <c r="AE3084" s="10"/>
    </row>
    <row r="3085" spans="1:31" ht="14.25" customHeight="1">
      <c r="A3085" s="9"/>
      <c r="B3085" s="9"/>
      <c r="C3085" s="9"/>
      <c r="D3085" s="9"/>
      <c r="E3085" s="90"/>
      <c r="F3085" s="9"/>
      <c r="G3085" s="10"/>
      <c r="H3085" s="9"/>
      <c r="I3085" s="11"/>
      <c r="J3085" s="12"/>
      <c r="K3085" s="12"/>
      <c r="L3085" s="52"/>
      <c r="M3085" s="10"/>
      <c r="N3085" s="9"/>
      <c r="O3085" s="11"/>
      <c r="P3085" s="10"/>
      <c r="Q3085" s="10"/>
      <c r="R3085" s="10"/>
      <c r="S3085" s="10"/>
      <c r="T3085" s="10"/>
      <c r="U3085" s="10"/>
      <c r="V3085" s="10"/>
      <c r="W3085" s="10"/>
      <c r="X3085" s="10"/>
      <c r="Y3085" s="10"/>
      <c r="Z3085" s="10"/>
      <c r="AA3085" s="10"/>
      <c r="AB3085" s="10"/>
      <c r="AC3085" s="10"/>
      <c r="AD3085" s="10"/>
      <c r="AE3085" s="10"/>
    </row>
    <row r="3086" spans="1:31" ht="14.25" customHeight="1">
      <c r="A3086" s="9"/>
      <c r="B3086" s="9"/>
      <c r="C3086" s="9"/>
      <c r="D3086" s="9"/>
      <c r="E3086" s="90"/>
      <c r="F3086" s="9"/>
      <c r="G3086" s="10"/>
      <c r="H3086" s="9"/>
      <c r="I3086" s="11"/>
      <c r="J3086" s="12"/>
      <c r="K3086" s="12"/>
      <c r="L3086" s="52"/>
      <c r="M3086" s="10"/>
      <c r="N3086" s="9"/>
      <c r="O3086" s="11"/>
      <c r="P3086" s="10"/>
      <c r="Q3086" s="10"/>
      <c r="R3086" s="10"/>
      <c r="S3086" s="10"/>
      <c r="T3086" s="10"/>
      <c r="U3086" s="10"/>
      <c r="V3086" s="10"/>
      <c r="W3086" s="10"/>
      <c r="X3086" s="10"/>
      <c r="Y3086" s="10"/>
      <c r="Z3086" s="10"/>
      <c r="AA3086" s="10"/>
      <c r="AB3086" s="10"/>
      <c r="AC3086" s="10"/>
      <c r="AD3086" s="10"/>
      <c r="AE3086" s="10"/>
    </row>
    <row r="3087" spans="1:31" ht="14.25" customHeight="1">
      <c r="A3087" s="9"/>
      <c r="B3087" s="9"/>
      <c r="C3087" s="9"/>
      <c r="D3087" s="9"/>
      <c r="E3087" s="90"/>
      <c r="F3087" s="9"/>
      <c r="G3087" s="10"/>
      <c r="H3087" s="9"/>
      <c r="I3087" s="11"/>
      <c r="J3087" s="12"/>
      <c r="K3087" s="12"/>
      <c r="L3087" s="52"/>
      <c r="M3087" s="10"/>
      <c r="N3087" s="9"/>
      <c r="O3087" s="11"/>
      <c r="P3087" s="10"/>
      <c r="Q3087" s="10"/>
      <c r="R3087" s="10"/>
      <c r="S3087" s="10"/>
      <c r="T3087" s="10"/>
      <c r="U3087" s="10"/>
      <c r="V3087" s="10"/>
      <c r="W3087" s="10"/>
      <c r="X3087" s="10"/>
      <c r="Y3087" s="10"/>
      <c r="Z3087" s="10"/>
      <c r="AA3087" s="10"/>
      <c r="AB3087" s="10"/>
      <c r="AC3087" s="10"/>
      <c r="AD3087" s="10"/>
      <c r="AE3087" s="10"/>
    </row>
    <row r="3088" spans="1:31" ht="14.25" customHeight="1">
      <c r="A3088" s="9"/>
      <c r="B3088" s="9"/>
      <c r="C3088" s="9"/>
      <c r="D3088" s="9"/>
      <c r="E3088" s="90"/>
      <c r="F3088" s="9"/>
      <c r="G3088" s="10"/>
      <c r="H3088" s="9"/>
      <c r="I3088" s="11"/>
      <c r="J3088" s="12"/>
      <c r="K3088" s="12"/>
      <c r="L3088" s="52"/>
      <c r="M3088" s="10"/>
      <c r="N3088" s="9"/>
      <c r="O3088" s="11"/>
      <c r="P3088" s="10"/>
      <c r="Q3088" s="10"/>
      <c r="R3088" s="10"/>
      <c r="S3088" s="10"/>
      <c r="T3088" s="10"/>
      <c r="U3088" s="10"/>
      <c r="V3088" s="10"/>
      <c r="W3088" s="10"/>
      <c r="X3088" s="10"/>
      <c r="Y3088" s="10"/>
      <c r="Z3088" s="10"/>
      <c r="AA3088" s="10"/>
      <c r="AB3088" s="10"/>
      <c r="AC3088" s="10"/>
      <c r="AD3088" s="10"/>
      <c r="AE3088" s="10"/>
    </row>
    <row r="3089" spans="1:31" ht="14.25" customHeight="1">
      <c r="A3089" s="9"/>
      <c r="B3089" s="9"/>
      <c r="C3089" s="9"/>
      <c r="D3089" s="9"/>
      <c r="E3089" s="90"/>
      <c r="F3089" s="9"/>
      <c r="G3089" s="10"/>
      <c r="H3089" s="9"/>
      <c r="I3089" s="11"/>
      <c r="J3089" s="12"/>
      <c r="K3089" s="12"/>
      <c r="L3089" s="52"/>
      <c r="M3089" s="10"/>
      <c r="N3089" s="9"/>
      <c r="O3089" s="11"/>
      <c r="P3089" s="10"/>
      <c r="Q3089" s="10"/>
      <c r="R3089" s="10"/>
      <c r="S3089" s="10"/>
      <c r="T3089" s="10"/>
      <c r="U3089" s="10"/>
      <c r="V3089" s="10"/>
      <c r="W3089" s="10"/>
      <c r="X3089" s="10"/>
      <c r="Y3089" s="10"/>
      <c r="Z3089" s="10"/>
      <c r="AA3089" s="10"/>
      <c r="AB3089" s="10"/>
      <c r="AC3089" s="10"/>
      <c r="AD3089" s="10"/>
      <c r="AE3089" s="10"/>
    </row>
    <row r="3090" spans="1:31" ht="14.25" customHeight="1">
      <c r="A3090" s="9"/>
      <c r="B3090" s="9"/>
      <c r="C3090" s="9"/>
      <c r="D3090" s="9"/>
      <c r="E3090" s="90"/>
      <c r="F3090" s="9"/>
      <c r="G3090" s="10"/>
      <c r="H3090" s="9"/>
      <c r="I3090" s="11"/>
      <c r="J3090" s="12"/>
      <c r="K3090" s="12"/>
      <c r="L3090" s="52"/>
      <c r="M3090" s="10"/>
      <c r="N3090" s="9"/>
      <c r="O3090" s="11"/>
      <c r="P3090" s="10"/>
      <c r="Q3090" s="10"/>
      <c r="R3090" s="10"/>
      <c r="S3090" s="10"/>
      <c r="T3090" s="10"/>
      <c r="U3090" s="10"/>
      <c r="V3090" s="10"/>
      <c r="W3090" s="10"/>
      <c r="X3090" s="10"/>
      <c r="Y3090" s="10"/>
      <c r="Z3090" s="10"/>
      <c r="AA3090" s="10"/>
      <c r="AB3090" s="10"/>
      <c r="AC3090" s="10"/>
      <c r="AD3090" s="10"/>
      <c r="AE3090" s="10"/>
    </row>
    <row r="3091" spans="1:31" ht="14.25" customHeight="1">
      <c r="A3091" s="9"/>
      <c r="B3091" s="9"/>
      <c r="C3091" s="9"/>
      <c r="D3091" s="9"/>
      <c r="E3091" s="90"/>
      <c r="F3091" s="9"/>
      <c r="G3091" s="10"/>
      <c r="H3091" s="9"/>
      <c r="I3091" s="11"/>
      <c r="J3091" s="12"/>
      <c r="K3091" s="12"/>
      <c r="L3091" s="52"/>
      <c r="M3091" s="10"/>
      <c r="N3091" s="9"/>
      <c r="O3091" s="11"/>
      <c r="P3091" s="10"/>
      <c r="Q3091" s="10"/>
      <c r="R3091" s="10"/>
      <c r="S3091" s="10"/>
      <c r="T3091" s="10"/>
      <c r="U3091" s="10"/>
      <c r="V3091" s="10"/>
      <c r="W3091" s="10"/>
      <c r="X3091" s="10"/>
      <c r="Y3091" s="10"/>
      <c r="Z3091" s="10"/>
      <c r="AA3091" s="10"/>
      <c r="AB3091" s="10"/>
      <c r="AC3091" s="10"/>
      <c r="AD3091" s="10"/>
      <c r="AE3091" s="10"/>
    </row>
    <row r="3092" spans="1:31" ht="14.25" customHeight="1">
      <c r="A3092" s="9"/>
      <c r="B3092" s="9"/>
      <c r="C3092" s="9"/>
      <c r="D3092" s="9"/>
      <c r="E3092" s="90"/>
      <c r="F3092" s="9"/>
      <c r="G3092" s="10"/>
      <c r="H3092" s="9"/>
      <c r="I3092" s="11"/>
      <c r="J3092" s="12"/>
      <c r="K3092" s="12"/>
      <c r="L3092" s="52"/>
      <c r="M3092" s="10"/>
      <c r="N3092" s="9"/>
      <c r="O3092" s="11"/>
      <c r="P3092" s="10"/>
      <c r="Q3092" s="10"/>
      <c r="R3092" s="10"/>
      <c r="S3092" s="10"/>
      <c r="T3092" s="10"/>
      <c r="U3092" s="10"/>
      <c r="V3092" s="10"/>
      <c r="W3092" s="10"/>
      <c r="X3092" s="10"/>
      <c r="Y3092" s="10"/>
      <c r="Z3092" s="10"/>
      <c r="AA3092" s="10"/>
      <c r="AB3092" s="10"/>
      <c r="AC3092" s="10"/>
      <c r="AD3092" s="10"/>
      <c r="AE3092" s="10"/>
    </row>
    <row r="3093" spans="1:31" ht="14.25" customHeight="1">
      <c r="A3093" s="9"/>
      <c r="B3093" s="9"/>
      <c r="C3093" s="9"/>
      <c r="D3093" s="9"/>
      <c r="E3093" s="90"/>
      <c r="F3093" s="9"/>
      <c r="G3093" s="10"/>
      <c r="H3093" s="9"/>
      <c r="I3093" s="11"/>
      <c r="J3093" s="12"/>
      <c r="K3093" s="12"/>
      <c r="L3093" s="52"/>
      <c r="M3093" s="10"/>
      <c r="N3093" s="9"/>
      <c r="O3093" s="11"/>
      <c r="P3093" s="10"/>
      <c r="Q3093" s="10"/>
      <c r="R3093" s="10"/>
      <c r="S3093" s="10"/>
      <c r="T3093" s="10"/>
      <c r="U3093" s="10"/>
      <c r="V3093" s="10"/>
      <c r="W3093" s="10"/>
      <c r="X3093" s="10"/>
      <c r="Y3093" s="10"/>
      <c r="Z3093" s="10"/>
      <c r="AA3093" s="10"/>
      <c r="AB3093" s="10"/>
      <c r="AC3093" s="10"/>
      <c r="AD3093" s="10"/>
      <c r="AE3093" s="10"/>
    </row>
    <row r="3094" spans="1:31" ht="14.25" customHeight="1">
      <c r="A3094" s="9"/>
      <c r="B3094" s="9"/>
      <c r="C3094" s="9"/>
      <c r="D3094" s="9"/>
      <c r="E3094" s="90"/>
      <c r="F3094" s="9"/>
      <c r="G3094" s="10"/>
      <c r="H3094" s="9"/>
      <c r="I3094" s="11"/>
      <c r="J3094" s="12"/>
      <c r="K3094" s="12"/>
      <c r="L3094" s="52"/>
      <c r="M3094" s="10"/>
      <c r="N3094" s="9"/>
      <c r="O3094" s="11"/>
      <c r="P3094" s="10"/>
      <c r="Q3094" s="10"/>
      <c r="R3094" s="10"/>
      <c r="S3094" s="10"/>
      <c r="T3094" s="10"/>
      <c r="U3094" s="10"/>
      <c r="V3094" s="10"/>
      <c r="W3094" s="10"/>
      <c r="X3094" s="10"/>
      <c r="Y3094" s="10"/>
      <c r="Z3094" s="10"/>
      <c r="AA3094" s="10"/>
      <c r="AB3094" s="10"/>
      <c r="AC3094" s="10"/>
      <c r="AD3094" s="10"/>
      <c r="AE3094" s="10"/>
    </row>
    <row r="3095" spans="1:31" ht="14.25" customHeight="1">
      <c r="A3095" s="9"/>
      <c r="B3095" s="9"/>
      <c r="C3095" s="9"/>
      <c r="D3095" s="9"/>
      <c r="E3095" s="90"/>
      <c r="F3095" s="9"/>
      <c r="G3095" s="10"/>
      <c r="H3095" s="9"/>
      <c r="I3095" s="11"/>
      <c r="J3095" s="12"/>
      <c r="K3095" s="12"/>
      <c r="L3095" s="52"/>
      <c r="M3095" s="10"/>
      <c r="N3095" s="9"/>
      <c r="O3095" s="11"/>
      <c r="P3095" s="10"/>
      <c r="Q3095" s="10"/>
      <c r="R3095" s="10"/>
      <c r="S3095" s="10"/>
      <c r="T3095" s="10"/>
      <c r="U3095" s="10"/>
      <c r="V3095" s="10"/>
      <c r="W3095" s="10"/>
      <c r="X3095" s="10"/>
      <c r="Y3095" s="10"/>
      <c r="Z3095" s="10"/>
      <c r="AA3095" s="10"/>
      <c r="AB3095" s="10"/>
      <c r="AC3095" s="10"/>
      <c r="AD3095" s="10"/>
      <c r="AE3095" s="10"/>
    </row>
    <row r="3096" spans="1:31" ht="14.25" customHeight="1">
      <c r="A3096" s="9"/>
      <c r="B3096" s="9"/>
      <c r="C3096" s="9"/>
      <c r="D3096" s="9"/>
      <c r="E3096" s="90"/>
      <c r="F3096" s="9"/>
      <c r="G3096" s="10"/>
      <c r="H3096" s="9"/>
      <c r="I3096" s="11"/>
      <c r="J3096" s="12"/>
      <c r="K3096" s="12"/>
      <c r="L3096" s="52"/>
      <c r="M3096" s="10"/>
      <c r="N3096" s="9"/>
      <c r="O3096" s="11"/>
      <c r="P3096" s="10"/>
      <c r="Q3096" s="10"/>
      <c r="R3096" s="10"/>
      <c r="S3096" s="10"/>
      <c r="T3096" s="10"/>
      <c r="U3096" s="10"/>
      <c r="V3096" s="10"/>
      <c r="W3096" s="10"/>
      <c r="X3096" s="10"/>
      <c r="Y3096" s="10"/>
      <c r="Z3096" s="10"/>
      <c r="AA3096" s="10"/>
      <c r="AB3096" s="10"/>
      <c r="AC3096" s="10"/>
      <c r="AD3096" s="10"/>
      <c r="AE3096" s="10"/>
    </row>
    <row r="3097" spans="1:31" ht="14.25" customHeight="1">
      <c r="A3097" s="9"/>
      <c r="B3097" s="9"/>
      <c r="C3097" s="9"/>
      <c r="D3097" s="9"/>
      <c r="E3097" s="90"/>
      <c r="F3097" s="9"/>
      <c r="G3097" s="10"/>
      <c r="H3097" s="9"/>
      <c r="I3097" s="11"/>
      <c r="J3097" s="12"/>
      <c r="K3097" s="12"/>
      <c r="L3097" s="52"/>
      <c r="M3097" s="10"/>
      <c r="N3097" s="9"/>
      <c r="O3097" s="11"/>
      <c r="P3097" s="10"/>
      <c r="Q3097" s="10"/>
      <c r="R3097" s="10"/>
      <c r="S3097" s="10"/>
      <c r="T3097" s="10"/>
      <c r="U3097" s="10"/>
      <c r="V3097" s="10"/>
      <c r="W3097" s="10"/>
      <c r="X3097" s="10"/>
      <c r="Y3097" s="10"/>
      <c r="Z3097" s="10"/>
      <c r="AA3097" s="10"/>
      <c r="AB3097" s="10"/>
      <c r="AC3097" s="10"/>
      <c r="AD3097" s="10"/>
      <c r="AE3097" s="10"/>
    </row>
    <row r="3098" spans="1:31" ht="14.25" customHeight="1">
      <c r="A3098" s="9"/>
      <c r="B3098" s="9"/>
      <c r="C3098" s="9"/>
      <c r="D3098" s="9"/>
      <c r="E3098" s="90"/>
      <c r="F3098" s="9"/>
      <c r="G3098" s="10"/>
      <c r="H3098" s="9"/>
      <c r="I3098" s="11"/>
      <c r="J3098" s="12"/>
      <c r="K3098" s="12"/>
      <c r="L3098" s="52"/>
      <c r="M3098" s="10"/>
      <c r="N3098" s="9"/>
      <c r="O3098" s="11"/>
      <c r="P3098" s="10"/>
      <c r="Q3098" s="10"/>
      <c r="R3098" s="10"/>
      <c r="S3098" s="10"/>
      <c r="T3098" s="10"/>
      <c r="U3098" s="10"/>
      <c r="V3098" s="10"/>
      <c r="W3098" s="10"/>
      <c r="X3098" s="10"/>
      <c r="Y3098" s="10"/>
      <c r="Z3098" s="10"/>
      <c r="AA3098" s="10"/>
      <c r="AB3098" s="10"/>
      <c r="AC3098" s="10"/>
      <c r="AD3098" s="10"/>
      <c r="AE3098" s="10"/>
    </row>
    <row r="3099" spans="1:31" ht="14.25" customHeight="1">
      <c r="A3099" s="9"/>
      <c r="B3099" s="9"/>
      <c r="C3099" s="9"/>
      <c r="D3099" s="9"/>
      <c r="E3099" s="90"/>
      <c r="F3099" s="9"/>
      <c r="G3099" s="10"/>
      <c r="H3099" s="9"/>
      <c r="I3099" s="11"/>
      <c r="J3099" s="12"/>
      <c r="K3099" s="12"/>
      <c r="L3099" s="52"/>
      <c r="M3099" s="10"/>
      <c r="N3099" s="9"/>
      <c r="O3099" s="11"/>
      <c r="P3099" s="10"/>
      <c r="Q3099" s="10"/>
      <c r="R3099" s="10"/>
      <c r="S3099" s="10"/>
      <c r="T3099" s="10"/>
      <c r="U3099" s="10"/>
      <c r="V3099" s="10"/>
      <c r="W3099" s="10"/>
      <c r="X3099" s="10"/>
      <c r="Y3099" s="10"/>
      <c r="Z3099" s="10"/>
      <c r="AA3099" s="10"/>
      <c r="AB3099" s="10"/>
      <c r="AC3099" s="10"/>
      <c r="AD3099" s="10"/>
      <c r="AE3099" s="10"/>
    </row>
    <row r="3100" spans="1:31" ht="14.25" customHeight="1">
      <c r="A3100" s="9"/>
      <c r="B3100" s="9"/>
      <c r="C3100" s="9"/>
      <c r="D3100" s="9"/>
      <c r="E3100" s="90"/>
      <c r="F3100" s="9"/>
      <c r="G3100" s="10"/>
      <c r="H3100" s="9"/>
      <c r="I3100" s="11"/>
      <c r="J3100" s="12"/>
      <c r="K3100" s="12"/>
      <c r="L3100" s="52"/>
      <c r="M3100" s="10"/>
      <c r="N3100" s="9"/>
      <c r="O3100" s="11"/>
      <c r="P3100" s="10"/>
      <c r="Q3100" s="10"/>
      <c r="R3100" s="10"/>
      <c r="S3100" s="10"/>
      <c r="T3100" s="10"/>
      <c r="U3100" s="10"/>
      <c r="V3100" s="10"/>
      <c r="W3100" s="10"/>
      <c r="X3100" s="10"/>
      <c r="Y3100" s="10"/>
      <c r="Z3100" s="10"/>
      <c r="AA3100" s="10"/>
      <c r="AB3100" s="10"/>
      <c r="AC3100" s="10"/>
      <c r="AD3100" s="10"/>
      <c r="AE3100" s="10"/>
    </row>
    <row r="3101" spans="1:31" ht="14.25" customHeight="1">
      <c r="A3101" s="9"/>
      <c r="B3101" s="9"/>
      <c r="C3101" s="9"/>
      <c r="D3101" s="9"/>
      <c r="E3101" s="90"/>
      <c r="F3101" s="9"/>
      <c r="G3101" s="10"/>
      <c r="H3101" s="9"/>
      <c r="I3101" s="11"/>
      <c r="J3101" s="12"/>
      <c r="K3101" s="12"/>
      <c r="L3101" s="52"/>
      <c r="M3101" s="10"/>
      <c r="N3101" s="9"/>
      <c r="O3101" s="11"/>
      <c r="P3101" s="10"/>
      <c r="Q3101" s="10"/>
      <c r="R3101" s="10"/>
      <c r="S3101" s="10"/>
      <c r="T3101" s="10"/>
      <c r="U3101" s="10"/>
      <c r="V3101" s="10"/>
      <c r="W3101" s="10"/>
      <c r="X3101" s="10"/>
      <c r="Y3101" s="10"/>
      <c r="Z3101" s="10"/>
      <c r="AA3101" s="10"/>
      <c r="AB3101" s="10"/>
      <c r="AC3101" s="10"/>
      <c r="AD3101" s="10"/>
      <c r="AE3101" s="10"/>
    </row>
    <row r="3102" spans="1:31" ht="14.25" customHeight="1">
      <c r="A3102" s="9"/>
      <c r="B3102" s="9"/>
      <c r="C3102" s="9"/>
      <c r="D3102" s="9"/>
      <c r="E3102" s="90"/>
      <c r="F3102" s="9"/>
      <c r="G3102" s="10"/>
      <c r="H3102" s="9"/>
      <c r="I3102" s="11"/>
      <c r="J3102" s="12"/>
      <c r="K3102" s="12"/>
      <c r="L3102" s="52"/>
      <c r="M3102" s="10"/>
      <c r="N3102" s="9"/>
      <c r="O3102" s="11"/>
      <c r="P3102" s="10"/>
      <c r="Q3102" s="10"/>
      <c r="R3102" s="10"/>
      <c r="S3102" s="10"/>
      <c r="T3102" s="10"/>
      <c r="U3102" s="10"/>
      <c r="V3102" s="10"/>
      <c r="W3102" s="10"/>
      <c r="X3102" s="10"/>
      <c r="Y3102" s="10"/>
      <c r="Z3102" s="10"/>
      <c r="AA3102" s="10"/>
      <c r="AB3102" s="10"/>
      <c r="AC3102" s="10"/>
      <c r="AD3102" s="10"/>
      <c r="AE3102" s="10"/>
    </row>
    <row r="3103" spans="1:31" ht="14.25" customHeight="1">
      <c r="A3103" s="9"/>
      <c r="B3103" s="9"/>
      <c r="C3103" s="9"/>
      <c r="D3103" s="9"/>
      <c r="E3103" s="90"/>
      <c r="F3103" s="9"/>
      <c r="G3103" s="10"/>
      <c r="H3103" s="9"/>
      <c r="I3103" s="11"/>
      <c r="J3103" s="12"/>
      <c r="K3103" s="12"/>
      <c r="L3103" s="52"/>
      <c r="M3103" s="10"/>
      <c r="N3103" s="9"/>
      <c r="O3103" s="11"/>
      <c r="P3103" s="10"/>
      <c r="Q3103" s="10"/>
      <c r="R3103" s="10"/>
      <c r="S3103" s="10"/>
      <c r="T3103" s="10"/>
      <c r="U3103" s="10"/>
      <c r="V3103" s="10"/>
      <c r="W3103" s="10"/>
      <c r="X3103" s="10"/>
      <c r="Y3103" s="10"/>
      <c r="Z3103" s="10"/>
      <c r="AA3103" s="10"/>
      <c r="AB3103" s="10"/>
      <c r="AC3103" s="10"/>
      <c r="AD3103" s="10"/>
      <c r="AE3103" s="10"/>
    </row>
    <row r="3104" spans="1:31" ht="14.25" customHeight="1">
      <c r="A3104" s="9"/>
      <c r="B3104" s="9"/>
      <c r="C3104" s="9"/>
      <c r="D3104" s="9"/>
      <c r="E3104" s="90"/>
      <c r="F3104" s="9"/>
      <c r="G3104" s="10"/>
      <c r="H3104" s="9"/>
      <c r="I3104" s="11"/>
      <c r="J3104" s="12"/>
      <c r="K3104" s="12"/>
      <c r="L3104" s="52"/>
      <c r="M3104" s="10"/>
      <c r="N3104" s="9"/>
      <c r="O3104" s="11"/>
      <c r="P3104" s="10"/>
      <c r="Q3104" s="10"/>
      <c r="R3104" s="10"/>
      <c r="S3104" s="10"/>
      <c r="T3104" s="10"/>
      <c r="U3104" s="10"/>
      <c r="V3104" s="10"/>
      <c r="W3104" s="10"/>
      <c r="X3104" s="10"/>
      <c r="Y3104" s="10"/>
      <c r="Z3104" s="10"/>
      <c r="AA3104" s="10"/>
      <c r="AB3104" s="10"/>
      <c r="AC3104" s="10"/>
      <c r="AD3104" s="10"/>
      <c r="AE3104" s="10"/>
    </row>
    <row r="3105" spans="1:31" ht="14.25" customHeight="1">
      <c r="A3105" s="9"/>
      <c r="B3105" s="9"/>
      <c r="C3105" s="9"/>
      <c r="D3105" s="9"/>
      <c r="E3105" s="90"/>
      <c r="F3105" s="9"/>
      <c r="G3105" s="10"/>
      <c r="H3105" s="9"/>
      <c r="I3105" s="11"/>
      <c r="J3105" s="12"/>
      <c r="K3105" s="12"/>
      <c r="L3105" s="52"/>
      <c r="M3105" s="10"/>
      <c r="N3105" s="9"/>
      <c r="O3105" s="11"/>
      <c r="P3105" s="10"/>
      <c r="Q3105" s="10"/>
      <c r="R3105" s="10"/>
      <c r="S3105" s="10"/>
      <c r="T3105" s="10"/>
      <c r="U3105" s="10"/>
      <c r="V3105" s="10"/>
      <c r="W3105" s="10"/>
      <c r="X3105" s="10"/>
      <c r="Y3105" s="10"/>
      <c r="Z3105" s="10"/>
      <c r="AA3105" s="10"/>
      <c r="AB3105" s="10"/>
      <c r="AC3105" s="10"/>
      <c r="AD3105" s="10"/>
      <c r="AE3105" s="10"/>
    </row>
    <row r="3106" spans="1:31" ht="14.25" customHeight="1">
      <c r="A3106" s="9"/>
      <c r="B3106" s="9"/>
      <c r="C3106" s="9"/>
      <c r="D3106" s="9"/>
      <c r="E3106" s="90"/>
      <c r="F3106" s="9"/>
      <c r="G3106" s="10"/>
      <c r="H3106" s="9"/>
      <c r="I3106" s="11"/>
      <c r="J3106" s="12"/>
      <c r="K3106" s="12"/>
      <c r="L3106" s="52"/>
      <c r="M3106" s="10"/>
      <c r="N3106" s="9"/>
      <c r="O3106" s="11"/>
      <c r="P3106" s="10"/>
      <c r="Q3106" s="10"/>
      <c r="R3106" s="10"/>
      <c r="S3106" s="10"/>
      <c r="T3106" s="10"/>
      <c r="U3106" s="10"/>
      <c r="V3106" s="10"/>
      <c r="W3106" s="10"/>
      <c r="X3106" s="10"/>
      <c r="Y3106" s="10"/>
      <c r="Z3106" s="10"/>
      <c r="AA3106" s="10"/>
      <c r="AB3106" s="10"/>
      <c r="AC3106" s="10"/>
      <c r="AD3106" s="10"/>
      <c r="AE3106" s="10"/>
    </row>
    <row r="3107" spans="1:31" ht="14.25" customHeight="1">
      <c r="A3107" s="9"/>
      <c r="B3107" s="9"/>
      <c r="C3107" s="9"/>
      <c r="D3107" s="9"/>
      <c r="E3107" s="90"/>
      <c r="F3107" s="9"/>
      <c r="G3107" s="10"/>
      <c r="H3107" s="9"/>
      <c r="I3107" s="11"/>
      <c r="J3107" s="12"/>
      <c r="K3107" s="12"/>
      <c r="L3107" s="52"/>
      <c r="M3107" s="10"/>
      <c r="N3107" s="9"/>
      <c r="O3107" s="11"/>
      <c r="P3107" s="10"/>
      <c r="Q3107" s="10"/>
      <c r="R3107" s="10"/>
      <c r="S3107" s="10"/>
      <c r="T3107" s="10"/>
      <c r="U3107" s="10"/>
      <c r="V3107" s="10"/>
      <c r="W3107" s="10"/>
      <c r="X3107" s="10"/>
      <c r="Y3107" s="10"/>
      <c r="Z3107" s="10"/>
      <c r="AA3107" s="10"/>
      <c r="AB3107" s="10"/>
      <c r="AC3107" s="10"/>
      <c r="AD3107" s="10"/>
      <c r="AE3107" s="10"/>
    </row>
    <row r="3108" spans="1:31" ht="14.25" customHeight="1">
      <c r="A3108" s="9"/>
      <c r="B3108" s="9"/>
      <c r="C3108" s="9"/>
      <c r="D3108" s="9"/>
      <c r="E3108" s="90"/>
      <c r="F3108" s="9"/>
      <c r="G3108" s="10"/>
      <c r="H3108" s="9"/>
      <c r="I3108" s="11"/>
      <c r="J3108" s="12"/>
      <c r="K3108" s="12"/>
      <c r="L3108" s="52"/>
      <c r="M3108" s="10"/>
      <c r="N3108" s="9"/>
      <c r="O3108" s="11"/>
      <c r="P3108" s="10"/>
      <c r="Q3108" s="10"/>
      <c r="R3108" s="10"/>
      <c r="S3108" s="10"/>
      <c r="T3108" s="10"/>
      <c r="U3108" s="10"/>
      <c r="V3108" s="10"/>
      <c r="W3108" s="10"/>
      <c r="X3108" s="10"/>
      <c r="Y3108" s="10"/>
      <c r="Z3108" s="10"/>
      <c r="AA3108" s="10"/>
      <c r="AB3108" s="10"/>
      <c r="AC3108" s="10"/>
      <c r="AD3108" s="10"/>
      <c r="AE3108" s="10"/>
    </row>
    <row r="3109" spans="1:31" ht="14.25" customHeight="1">
      <c r="A3109" s="9"/>
      <c r="B3109" s="9"/>
      <c r="C3109" s="9"/>
      <c r="D3109" s="9"/>
      <c r="E3109" s="90"/>
      <c r="F3109" s="9"/>
      <c r="G3109" s="10"/>
      <c r="H3109" s="9"/>
      <c r="I3109" s="11"/>
      <c r="J3109" s="12"/>
      <c r="K3109" s="12"/>
      <c r="L3109" s="52"/>
      <c r="M3109" s="10"/>
      <c r="N3109" s="9"/>
      <c r="O3109" s="11"/>
      <c r="P3109" s="10"/>
      <c r="Q3109" s="10"/>
      <c r="R3109" s="10"/>
      <c r="S3109" s="10"/>
      <c r="T3109" s="10"/>
      <c r="U3109" s="10"/>
      <c r="V3109" s="10"/>
      <c r="W3109" s="10"/>
      <c r="X3109" s="10"/>
      <c r="Y3109" s="10"/>
      <c r="Z3109" s="10"/>
      <c r="AA3109" s="10"/>
      <c r="AB3109" s="10"/>
      <c r="AC3109" s="10"/>
      <c r="AD3109" s="10"/>
      <c r="AE3109" s="10"/>
    </row>
    <row r="3110" spans="1:31" ht="14.25" customHeight="1">
      <c r="A3110" s="9"/>
      <c r="B3110" s="9"/>
      <c r="C3110" s="9"/>
      <c r="D3110" s="9"/>
      <c r="E3110" s="90"/>
      <c r="F3110" s="9"/>
      <c r="G3110" s="10"/>
      <c r="H3110" s="9"/>
      <c r="I3110" s="11"/>
      <c r="J3110" s="12"/>
      <c r="K3110" s="12"/>
      <c r="L3110" s="52"/>
      <c r="M3110" s="10"/>
      <c r="N3110" s="9"/>
      <c r="O3110" s="11"/>
      <c r="P3110" s="10"/>
      <c r="Q3110" s="10"/>
      <c r="R3110" s="10"/>
      <c r="S3110" s="10"/>
      <c r="T3110" s="10"/>
      <c r="U3110" s="10"/>
      <c r="V3110" s="10"/>
      <c r="W3110" s="10"/>
      <c r="X3110" s="10"/>
      <c r="Y3110" s="10"/>
      <c r="Z3110" s="10"/>
      <c r="AA3110" s="10"/>
      <c r="AB3110" s="10"/>
      <c r="AC3110" s="10"/>
      <c r="AD3110" s="10"/>
      <c r="AE3110" s="10"/>
    </row>
    <row r="3111" spans="1:31" ht="14.25" customHeight="1">
      <c r="A3111" s="9"/>
      <c r="B3111" s="9"/>
      <c r="C3111" s="9"/>
      <c r="D3111" s="9"/>
      <c r="E3111" s="90"/>
      <c r="F3111" s="9"/>
      <c r="G3111" s="10"/>
      <c r="H3111" s="9"/>
      <c r="I3111" s="11"/>
      <c r="J3111" s="12"/>
      <c r="K3111" s="12"/>
      <c r="L3111" s="52"/>
      <c r="M3111" s="10"/>
      <c r="N3111" s="9"/>
      <c r="O3111" s="11"/>
      <c r="P3111" s="10"/>
      <c r="Q3111" s="10"/>
      <c r="R3111" s="10"/>
      <c r="S3111" s="10"/>
      <c r="T3111" s="10"/>
      <c r="U3111" s="10"/>
      <c r="V3111" s="10"/>
      <c r="W3111" s="10"/>
      <c r="X3111" s="10"/>
      <c r="Y3111" s="10"/>
      <c r="Z3111" s="10"/>
      <c r="AA3111" s="10"/>
      <c r="AB3111" s="10"/>
      <c r="AC3111" s="10"/>
      <c r="AD3111" s="10"/>
      <c r="AE3111" s="10"/>
    </row>
    <row r="3112" spans="1:31" ht="14.25" customHeight="1">
      <c r="A3112" s="9"/>
      <c r="B3112" s="9"/>
      <c r="C3112" s="9"/>
      <c r="D3112" s="9"/>
      <c r="E3112" s="90"/>
      <c r="F3112" s="9"/>
      <c r="G3112" s="10"/>
      <c r="H3112" s="9"/>
      <c r="I3112" s="11"/>
      <c r="J3112" s="12"/>
      <c r="K3112" s="12"/>
      <c r="L3112" s="52"/>
      <c r="M3112" s="10"/>
      <c r="N3112" s="9"/>
      <c r="O3112" s="11"/>
      <c r="P3112" s="10"/>
      <c r="Q3112" s="10"/>
      <c r="R3112" s="10"/>
      <c r="S3112" s="10"/>
      <c r="T3112" s="10"/>
      <c r="U3112" s="10"/>
      <c r="V3112" s="10"/>
      <c r="W3112" s="10"/>
      <c r="X3112" s="10"/>
      <c r="Y3112" s="10"/>
      <c r="Z3112" s="10"/>
      <c r="AA3112" s="10"/>
      <c r="AB3112" s="10"/>
      <c r="AC3112" s="10"/>
      <c r="AD3112" s="10"/>
      <c r="AE3112" s="10"/>
    </row>
    <row r="3113" spans="1:31" ht="14.25" customHeight="1">
      <c r="A3113" s="9"/>
      <c r="B3113" s="9"/>
      <c r="C3113" s="9"/>
      <c r="D3113" s="9"/>
      <c r="E3113" s="90"/>
      <c r="F3113" s="9"/>
      <c r="G3113" s="10"/>
      <c r="H3113" s="9"/>
      <c r="I3113" s="11"/>
      <c r="J3113" s="12"/>
      <c r="K3113" s="12"/>
      <c r="L3113" s="52"/>
      <c r="M3113" s="10"/>
      <c r="N3113" s="9"/>
      <c r="O3113" s="11"/>
      <c r="P3113" s="10"/>
      <c r="Q3113" s="10"/>
      <c r="R3113" s="10"/>
      <c r="S3113" s="10"/>
      <c r="T3113" s="10"/>
      <c r="U3113" s="10"/>
      <c r="V3113" s="10"/>
      <c r="W3113" s="10"/>
      <c r="X3113" s="10"/>
      <c r="Y3113" s="10"/>
      <c r="Z3113" s="10"/>
      <c r="AA3113" s="10"/>
      <c r="AB3113" s="10"/>
      <c r="AC3113" s="10"/>
      <c r="AD3113" s="10"/>
      <c r="AE3113" s="10"/>
    </row>
    <row r="3114" spans="1:31" ht="14.25" customHeight="1">
      <c r="A3114" s="9"/>
      <c r="B3114" s="9"/>
      <c r="C3114" s="9"/>
      <c r="D3114" s="9"/>
      <c r="E3114" s="90"/>
      <c r="F3114" s="9"/>
      <c r="G3114" s="10"/>
      <c r="H3114" s="9"/>
      <c r="I3114" s="11"/>
      <c r="J3114" s="12"/>
      <c r="K3114" s="12"/>
      <c r="L3114" s="52"/>
      <c r="M3114" s="10"/>
      <c r="N3114" s="9"/>
      <c r="O3114" s="11"/>
      <c r="P3114" s="10"/>
      <c r="Q3114" s="10"/>
      <c r="R3114" s="10"/>
      <c r="S3114" s="10"/>
      <c r="T3114" s="10"/>
      <c r="U3114" s="10"/>
      <c r="V3114" s="10"/>
      <c r="W3114" s="10"/>
      <c r="X3114" s="10"/>
      <c r="Y3114" s="10"/>
      <c r="Z3114" s="10"/>
      <c r="AA3114" s="10"/>
      <c r="AB3114" s="10"/>
      <c r="AC3114" s="10"/>
      <c r="AD3114" s="10"/>
      <c r="AE3114" s="10"/>
    </row>
    <row r="3115" spans="1:31" ht="14.25" customHeight="1">
      <c r="A3115" s="9"/>
      <c r="B3115" s="9"/>
      <c r="C3115" s="9"/>
      <c r="D3115" s="9"/>
      <c r="E3115" s="90"/>
      <c r="F3115" s="9"/>
      <c r="G3115" s="10"/>
      <c r="H3115" s="9"/>
      <c r="I3115" s="11"/>
      <c r="J3115" s="12"/>
      <c r="K3115" s="12"/>
      <c r="L3115" s="52"/>
      <c r="M3115" s="10"/>
      <c r="N3115" s="9"/>
      <c r="O3115" s="11"/>
      <c r="P3115" s="10"/>
      <c r="Q3115" s="10"/>
      <c r="R3115" s="10"/>
      <c r="S3115" s="10"/>
      <c r="T3115" s="10"/>
      <c r="U3115" s="10"/>
      <c r="V3115" s="10"/>
      <c r="W3115" s="10"/>
      <c r="X3115" s="10"/>
      <c r="Y3115" s="10"/>
      <c r="Z3115" s="10"/>
      <c r="AA3115" s="10"/>
      <c r="AB3115" s="10"/>
      <c r="AC3115" s="10"/>
      <c r="AD3115" s="10"/>
      <c r="AE3115" s="10"/>
    </row>
    <row r="3116" spans="1:31" ht="14.25" customHeight="1">
      <c r="A3116" s="9"/>
      <c r="B3116" s="9"/>
      <c r="C3116" s="9"/>
      <c r="D3116" s="9"/>
      <c r="E3116" s="90"/>
      <c r="F3116" s="9"/>
      <c r="G3116" s="10"/>
      <c r="H3116" s="9"/>
      <c r="I3116" s="11"/>
      <c r="J3116" s="12"/>
      <c r="K3116" s="12"/>
      <c r="L3116" s="52"/>
      <c r="M3116" s="10"/>
      <c r="N3116" s="9"/>
      <c r="O3116" s="11"/>
      <c r="P3116" s="10"/>
      <c r="Q3116" s="10"/>
      <c r="R3116" s="10"/>
      <c r="S3116" s="10"/>
      <c r="T3116" s="10"/>
      <c r="U3116" s="10"/>
      <c r="V3116" s="10"/>
      <c r="W3116" s="10"/>
      <c r="X3116" s="10"/>
      <c r="Y3116" s="10"/>
      <c r="Z3116" s="10"/>
      <c r="AA3116" s="10"/>
      <c r="AB3116" s="10"/>
      <c r="AC3116" s="10"/>
      <c r="AD3116" s="10"/>
      <c r="AE3116" s="10"/>
    </row>
    <row r="3117" spans="1:31" ht="14.25" customHeight="1">
      <c r="A3117" s="9"/>
      <c r="B3117" s="9"/>
      <c r="C3117" s="9"/>
      <c r="D3117" s="9"/>
      <c r="E3117" s="90"/>
      <c r="F3117" s="9"/>
      <c r="G3117" s="10"/>
      <c r="H3117" s="9"/>
      <c r="I3117" s="11"/>
      <c r="J3117" s="12"/>
      <c r="K3117" s="12"/>
      <c r="L3117" s="52"/>
      <c r="M3117" s="10"/>
      <c r="N3117" s="9"/>
      <c r="O3117" s="11"/>
      <c r="P3117" s="10"/>
      <c r="Q3117" s="10"/>
      <c r="R3117" s="10"/>
      <c r="S3117" s="10"/>
      <c r="T3117" s="10"/>
      <c r="U3117" s="10"/>
      <c r="V3117" s="10"/>
      <c r="W3117" s="10"/>
      <c r="X3117" s="10"/>
      <c r="Y3117" s="10"/>
      <c r="Z3117" s="10"/>
      <c r="AA3117" s="10"/>
      <c r="AB3117" s="10"/>
      <c r="AC3117" s="10"/>
      <c r="AD3117" s="10"/>
      <c r="AE3117" s="10"/>
    </row>
    <row r="3118" spans="1:31" ht="14.25" customHeight="1">
      <c r="A3118" s="9"/>
      <c r="B3118" s="9"/>
      <c r="C3118" s="9"/>
      <c r="D3118" s="9"/>
      <c r="E3118" s="90"/>
      <c r="F3118" s="9"/>
      <c r="G3118" s="10"/>
      <c r="H3118" s="9"/>
      <c r="I3118" s="11"/>
      <c r="J3118" s="12"/>
      <c r="K3118" s="12"/>
      <c r="L3118" s="52"/>
      <c r="M3118" s="10"/>
      <c r="N3118" s="9"/>
      <c r="O3118" s="11"/>
      <c r="P3118" s="10"/>
      <c r="Q3118" s="10"/>
      <c r="R3118" s="10"/>
      <c r="S3118" s="10"/>
      <c r="T3118" s="10"/>
      <c r="U3118" s="10"/>
      <c r="V3118" s="10"/>
      <c r="W3118" s="10"/>
      <c r="X3118" s="10"/>
      <c r="Y3118" s="10"/>
      <c r="Z3118" s="10"/>
      <c r="AA3118" s="10"/>
      <c r="AB3118" s="10"/>
      <c r="AC3118" s="10"/>
      <c r="AD3118" s="10"/>
      <c r="AE3118" s="10"/>
    </row>
    <row r="3119" spans="1:31" ht="14.25" customHeight="1">
      <c r="A3119" s="9"/>
      <c r="B3119" s="9"/>
      <c r="C3119" s="9"/>
      <c r="D3119" s="9"/>
      <c r="E3119" s="90"/>
      <c r="F3119" s="9"/>
      <c r="G3119" s="10"/>
      <c r="H3119" s="9"/>
      <c r="I3119" s="11"/>
      <c r="J3119" s="12"/>
      <c r="K3119" s="12"/>
      <c r="L3119" s="52"/>
      <c r="M3119" s="10"/>
      <c r="N3119" s="9"/>
      <c r="O3119" s="11"/>
      <c r="P3119" s="10"/>
      <c r="Q3119" s="10"/>
      <c r="R3119" s="10"/>
      <c r="S3119" s="10"/>
      <c r="T3119" s="10"/>
      <c r="U3119" s="10"/>
      <c r="V3119" s="10"/>
      <c r="W3119" s="10"/>
      <c r="X3119" s="10"/>
      <c r="Y3119" s="10"/>
      <c r="Z3119" s="10"/>
      <c r="AA3119" s="10"/>
      <c r="AB3119" s="10"/>
      <c r="AC3119" s="10"/>
      <c r="AD3119" s="10"/>
      <c r="AE3119" s="10"/>
    </row>
    <row r="3120" spans="1:31" ht="14.25" customHeight="1">
      <c r="A3120" s="9"/>
      <c r="B3120" s="9"/>
      <c r="C3120" s="9"/>
      <c r="D3120" s="9"/>
      <c r="E3120" s="90"/>
      <c r="F3120" s="9"/>
      <c r="G3120" s="10"/>
      <c r="H3120" s="9"/>
      <c r="I3120" s="11"/>
      <c r="J3120" s="12"/>
      <c r="K3120" s="12"/>
      <c r="L3120" s="52"/>
      <c r="M3120" s="10"/>
      <c r="N3120" s="9"/>
      <c r="O3120" s="11"/>
      <c r="P3120" s="10"/>
      <c r="Q3120" s="10"/>
      <c r="R3120" s="10"/>
      <c r="S3120" s="10"/>
      <c r="T3120" s="10"/>
      <c r="U3120" s="10"/>
      <c r="V3120" s="10"/>
      <c r="W3120" s="10"/>
      <c r="X3120" s="10"/>
      <c r="Y3120" s="10"/>
      <c r="Z3120" s="10"/>
      <c r="AA3120" s="10"/>
      <c r="AB3120" s="10"/>
      <c r="AC3120" s="10"/>
      <c r="AD3120" s="10"/>
      <c r="AE3120" s="10"/>
    </row>
    <row r="3121" spans="1:31" ht="14.25" customHeight="1">
      <c r="A3121" s="9"/>
      <c r="B3121" s="9"/>
      <c r="C3121" s="9"/>
      <c r="D3121" s="9"/>
      <c r="E3121" s="90"/>
      <c r="F3121" s="9"/>
      <c r="G3121" s="10"/>
      <c r="H3121" s="9"/>
      <c r="I3121" s="11"/>
      <c r="J3121" s="12"/>
      <c r="K3121" s="12"/>
      <c r="L3121" s="52"/>
      <c r="M3121" s="10"/>
      <c r="N3121" s="9"/>
      <c r="O3121" s="11"/>
      <c r="P3121" s="10"/>
      <c r="Q3121" s="10"/>
      <c r="R3121" s="10"/>
      <c r="S3121" s="10"/>
      <c r="T3121" s="10"/>
      <c r="U3121" s="10"/>
      <c r="V3121" s="10"/>
      <c r="W3121" s="10"/>
      <c r="X3121" s="10"/>
      <c r="Y3121" s="10"/>
      <c r="Z3121" s="10"/>
      <c r="AA3121" s="10"/>
      <c r="AB3121" s="10"/>
      <c r="AC3121" s="10"/>
      <c r="AD3121" s="10"/>
      <c r="AE3121" s="10"/>
    </row>
    <row r="3122" spans="1:31" ht="14.25" customHeight="1">
      <c r="A3122" s="9"/>
      <c r="B3122" s="9"/>
      <c r="C3122" s="9"/>
      <c r="D3122" s="9"/>
      <c r="E3122" s="90"/>
      <c r="F3122" s="9"/>
      <c r="G3122" s="10"/>
      <c r="H3122" s="9"/>
      <c r="I3122" s="11"/>
      <c r="J3122" s="12"/>
      <c r="K3122" s="12"/>
      <c r="L3122" s="52"/>
      <c r="M3122" s="10"/>
      <c r="N3122" s="9"/>
      <c r="O3122" s="11"/>
      <c r="P3122" s="10"/>
      <c r="Q3122" s="10"/>
      <c r="R3122" s="10"/>
      <c r="S3122" s="10"/>
      <c r="T3122" s="10"/>
      <c r="U3122" s="10"/>
      <c r="V3122" s="10"/>
      <c r="W3122" s="10"/>
      <c r="X3122" s="10"/>
      <c r="Y3122" s="10"/>
      <c r="Z3122" s="10"/>
      <c r="AA3122" s="10"/>
      <c r="AB3122" s="10"/>
      <c r="AC3122" s="10"/>
      <c r="AD3122" s="10"/>
      <c r="AE3122" s="10"/>
    </row>
    <row r="3123" spans="1:31" ht="14.25" customHeight="1">
      <c r="A3123" s="9"/>
      <c r="B3123" s="9"/>
      <c r="C3123" s="9"/>
      <c r="D3123" s="9"/>
      <c r="E3123" s="90"/>
      <c r="F3123" s="9"/>
      <c r="G3123" s="10"/>
      <c r="H3123" s="9"/>
      <c r="I3123" s="11"/>
      <c r="J3123" s="12"/>
      <c r="K3123" s="12"/>
      <c r="L3123" s="52"/>
      <c r="M3123" s="10"/>
      <c r="N3123" s="9"/>
      <c r="O3123" s="11"/>
      <c r="P3123" s="10"/>
      <c r="Q3123" s="10"/>
      <c r="R3123" s="10"/>
      <c r="S3123" s="10"/>
      <c r="T3123" s="10"/>
      <c r="U3123" s="10"/>
      <c r="V3123" s="10"/>
      <c r="W3123" s="10"/>
      <c r="X3123" s="10"/>
      <c r="Y3123" s="10"/>
      <c r="Z3123" s="10"/>
      <c r="AA3123" s="10"/>
      <c r="AB3123" s="10"/>
      <c r="AC3123" s="10"/>
      <c r="AD3123" s="10"/>
      <c r="AE3123" s="10"/>
    </row>
    <row r="3124" spans="1:31" ht="14.25" customHeight="1">
      <c r="A3124" s="9"/>
      <c r="B3124" s="9"/>
      <c r="C3124" s="9"/>
      <c r="D3124" s="9"/>
      <c r="E3124" s="90"/>
      <c r="F3124" s="9"/>
      <c r="G3124" s="10"/>
      <c r="H3124" s="9"/>
      <c r="I3124" s="11"/>
      <c r="J3124" s="12"/>
      <c r="K3124" s="12"/>
      <c r="L3124" s="52"/>
      <c r="M3124" s="10"/>
      <c r="N3124" s="9"/>
      <c r="O3124" s="11"/>
      <c r="P3124" s="10"/>
      <c r="Q3124" s="10"/>
      <c r="R3124" s="10"/>
      <c r="S3124" s="10"/>
      <c r="T3124" s="10"/>
      <c r="U3124" s="10"/>
      <c r="V3124" s="10"/>
      <c r="W3124" s="10"/>
      <c r="X3124" s="10"/>
      <c r="Y3124" s="10"/>
      <c r="Z3124" s="10"/>
      <c r="AA3124" s="10"/>
      <c r="AB3124" s="10"/>
      <c r="AC3124" s="10"/>
      <c r="AD3124" s="10"/>
      <c r="AE3124" s="10"/>
    </row>
    <row r="3125" spans="1:31" ht="14.25" customHeight="1">
      <c r="A3125" s="9"/>
      <c r="B3125" s="9"/>
      <c r="C3125" s="9"/>
      <c r="D3125" s="9"/>
      <c r="E3125" s="90"/>
      <c r="F3125" s="9"/>
      <c r="G3125" s="10"/>
      <c r="H3125" s="9"/>
      <c r="I3125" s="11"/>
      <c r="J3125" s="12"/>
      <c r="K3125" s="12"/>
      <c r="L3125" s="52"/>
      <c r="M3125" s="10"/>
      <c r="N3125" s="9"/>
      <c r="O3125" s="11"/>
      <c r="P3125" s="10"/>
      <c r="Q3125" s="10"/>
      <c r="R3125" s="10"/>
      <c r="S3125" s="10"/>
      <c r="T3125" s="10"/>
      <c r="U3125" s="10"/>
      <c r="V3125" s="10"/>
      <c r="W3125" s="10"/>
      <c r="X3125" s="10"/>
      <c r="Y3125" s="10"/>
      <c r="Z3125" s="10"/>
      <c r="AA3125" s="10"/>
      <c r="AB3125" s="10"/>
      <c r="AC3125" s="10"/>
      <c r="AD3125" s="10"/>
      <c r="AE3125" s="10"/>
    </row>
    <row r="3126" spans="1:31" ht="14.25" customHeight="1">
      <c r="A3126" s="9"/>
      <c r="B3126" s="9"/>
      <c r="C3126" s="9"/>
      <c r="D3126" s="9"/>
      <c r="E3126" s="90"/>
      <c r="F3126" s="9"/>
      <c r="G3126" s="10"/>
      <c r="H3126" s="9"/>
      <c r="I3126" s="11"/>
      <c r="J3126" s="12"/>
      <c r="K3126" s="12"/>
      <c r="L3126" s="52"/>
      <c r="M3126" s="10"/>
      <c r="N3126" s="9"/>
      <c r="O3126" s="11"/>
      <c r="P3126" s="10"/>
      <c r="Q3126" s="10"/>
      <c r="R3126" s="10"/>
      <c r="S3126" s="10"/>
      <c r="T3126" s="10"/>
      <c r="U3126" s="10"/>
      <c r="V3126" s="10"/>
      <c r="W3126" s="10"/>
      <c r="X3126" s="10"/>
      <c r="Y3126" s="10"/>
      <c r="Z3126" s="10"/>
      <c r="AA3126" s="10"/>
      <c r="AB3126" s="10"/>
      <c r="AC3126" s="10"/>
      <c r="AD3126" s="10"/>
      <c r="AE3126" s="10"/>
    </row>
    <row r="3127" spans="1:31" ht="14.25" customHeight="1">
      <c r="A3127" s="9"/>
      <c r="B3127" s="9"/>
      <c r="C3127" s="9"/>
      <c r="D3127" s="9"/>
      <c r="E3127" s="90"/>
      <c r="F3127" s="9"/>
      <c r="G3127" s="10"/>
      <c r="H3127" s="9"/>
      <c r="I3127" s="11"/>
      <c r="J3127" s="12"/>
      <c r="K3127" s="12"/>
      <c r="L3127" s="52"/>
      <c r="M3127" s="10"/>
      <c r="N3127" s="9"/>
      <c r="O3127" s="11"/>
      <c r="P3127" s="10"/>
      <c r="Q3127" s="10"/>
      <c r="R3127" s="10"/>
      <c r="S3127" s="10"/>
      <c r="T3127" s="10"/>
      <c r="U3127" s="10"/>
      <c r="V3127" s="10"/>
      <c r="W3127" s="10"/>
      <c r="X3127" s="10"/>
      <c r="Y3127" s="10"/>
      <c r="Z3127" s="10"/>
      <c r="AA3127" s="10"/>
      <c r="AB3127" s="10"/>
      <c r="AC3127" s="10"/>
      <c r="AD3127" s="10"/>
      <c r="AE3127" s="10"/>
    </row>
    <row r="3128" spans="1:31" ht="14.25" customHeight="1">
      <c r="A3128" s="9"/>
      <c r="B3128" s="9"/>
      <c r="C3128" s="9"/>
      <c r="D3128" s="9"/>
      <c r="E3128" s="90"/>
      <c r="F3128" s="9"/>
      <c r="G3128" s="10"/>
      <c r="H3128" s="9"/>
      <c r="I3128" s="11"/>
      <c r="J3128" s="12"/>
      <c r="K3128" s="12"/>
      <c r="L3128" s="52"/>
      <c r="M3128" s="10"/>
      <c r="N3128" s="9"/>
      <c r="O3128" s="11"/>
      <c r="P3128" s="10"/>
      <c r="Q3128" s="10"/>
      <c r="R3128" s="10"/>
      <c r="S3128" s="10"/>
      <c r="T3128" s="10"/>
      <c r="U3128" s="10"/>
      <c r="V3128" s="10"/>
      <c r="W3128" s="10"/>
      <c r="X3128" s="10"/>
      <c r="Y3128" s="10"/>
      <c r="Z3128" s="10"/>
      <c r="AA3128" s="10"/>
      <c r="AB3128" s="10"/>
      <c r="AC3128" s="10"/>
      <c r="AD3128" s="10"/>
      <c r="AE3128" s="10"/>
    </row>
    <row r="3129" spans="1:31" ht="14.25" customHeight="1">
      <c r="A3129" s="9"/>
      <c r="B3129" s="9"/>
      <c r="C3129" s="9"/>
      <c r="D3129" s="9"/>
      <c r="E3129" s="90"/>
      <c r="F3129" s="9"/>
      <c r="G3129" s="10"/>
      <c r="H3129" s="9"/>
      <c r="I3129" s="11"/>
      <c r="J3129" s="12"/>
      <c r="K3129" s="12"/>
      <c r="L3129" s="52"/>
      <c r="M3129" s="10"/>
      <c r="N3129" s="9"/>
      <c r="O3129" s="11"/>
      <c r="P3129" s="10"/>
      <c r="Q3129" s="10"/>
      <c r="R3129" s="10"/>
      <c r="S3129" s="10"/>
      <c r="T3129" s="10"/>
      <c r="U3129" s="10"/>
      <c r="V3129" s="10"/>
      <c r="W3129" s="10"/>
      <c r="X3129" s="10"/>
      <c r="Y3129" s="10"/>
      <c r="Z3129" s="10"/>
      <c r="AA3129" s="10"/>
      <c r="AB3129" s="10"/>
      <c r="AC3129" s="10"/>
      <c r="AD3129" s="10"/>
      <c r="AE3129" s="10"/>
    </row>
    <row r="3130" spans="1:31" ht="14.25" customHeight="1">
      <c r="A3130" s="9"/>
      <c r="B3130" s="9"/>
      <c r="C3130" s="9"/>
      <c r="D3130" s="9"/>
      <c r="E3130" s="90"/>
      <c r="F3130" s="9"/>
      <c r="G3130" s="10"/>
      <c r="H3130" s="9"/>
      <c r="I3130" s="11"/>
      <c r="J3130" s="12"/>
      <c r="K3130" s="12"/>
      <c r="L3130" s="52"/>
      <c r="M3130" s="10"/>
      <c r="N3130" s="9"/>
      <c r="O3130" s="11"/>
      <c r="P3130" s="10"/>
      <c r="Q3130" s="10"/>
      <c r="R3130" s="10"/>
      <c r="S3130" s="10"/>
      <c r="T3130" s="10"/>
      <c r="U3130" s="10"/>
      <c r="V3130" s="10"/>
      <c r="W3130" s="10"/>
      <c r="X3130" s="10"/>
      <c r="Y3130" s="10"/>
      <c r="Z3130" s="10"/>
      <c r="AA3130" s="10"/>
      <c r="AB3130" s="10"/>
      <c r="AC3130" s="10"/>
      <c r="AD3130" s="10"/>
      <c r="AE3130" s="10"/>
    </row>
    <row r="3131" spans="1:31" ht="14.25" customHeight="1">
      <c r="A3131" s="9"/>
      <c r="B3131" s="9"/>
      <c r="C3131" s="9"/>
      <c r="D3131" s="9"/>
      <c r="E3131" s="90"/>
      <c r="F3131" s="9"/>
      <c r="G3131" s="10"/>
      <c r="H3131" s="9"/>
      <c r="I3131" s="11"/>
      <c r="J3131" s="12"/>
      <c r="K3131" s="12"/>
      <c r="L3131" s="52"/>
      <c r="M3131" s="10"/>
      <c r="N3131" s="9"/>
      <c r="O3131" s="11"/>
      <c r="P3131" s="10"/>
      <c r="Q3131" s="10"/>
      <c r="R3131" s="10"/>
      <c r="S3131" s="10"/>
      <c r="T3131" s="10"/>
      <c r="U3131" s="10"/>
      <c r="V3131" s="10"/>
      <c r="W3131" s="10"/>
      <c r="X3131" s="10"/>
      <c r="Y3131" s="10"/>
      <c r="Z3131" s="10"/>
      <c r="AA3131" s="10"/>
      <c r="AB3131" s="10"/>
      <c r="AC3131" s="10"/>
      <c r="AD3131" s="10"/>
      <c r="AE3131" s="10"/>
    </row>
    <row r="3132" spans="1:31" ht="14.25" customHeight="1">
      <c r="A3132" s="9"/>
      <c r="B3132" s="9"/>
      <c r="C3132" s="9"/>
      <c r="D3132" s="9"/>
      <c r="E3132" s="90"/>
      <c r="F3132" s="9"/>
      <c r="G3132" s="10"/>
      <c r="H3132" s="9"/>
      <c r="I3132" s="11"/>
      <c r="J3132" s="12"/>
      <c r="K3132" s="12"/>
      <c r="L3132" s="52"/>
      <c r="M3132" s="10"/>
      <c r="N3132" s="9"/>
      <c r="O3132" s="11"/>
      <c r="P3132" s="10"/>
      <c r="Q3132" s="10"/>
      <c r="R3132" s="10"/>
      <c r="S3132" s="10"/>
      <c r="T3132" s="10"/>
      <c r="U3132" s="10"/>
      <c r="V3132" s="10"/>
      <c r="W3132" s="10"/>
      <c r="X3132" s="10"/>
      <c r="Y3132" s="10"/>
      <c r="Z3132" s="10"/>
      <c r="AA3132" s="10"/>
      <c r="AB3132" s="10"/>
      <c r="AC3132" s="10"/>
      <c r="AD3132" s="10"/>
      <c r="AE3132" s="10"/>
    </row>
    <row r="3133" spans="1:31" ht="14.25" customHeight="1">
      <c r="A3133" s="9"/>
      <c r="B3133" s="9"/>
      <c r="C3133" s="9"/>
      <c r="D3133" s="9"/>
      <c r="E3133" s="90"/>
      <c r="F3133" s="9"/>
      <c r="G3133" s="10"/>
      <c r="H3133" s="9"/>
      <c r="I3133" s="11"/>
      <c r="J3133" s="12"/>
      <c r="K3133" s="12"/>
      <c r="L3133" s="52"/>
      <c r="M3133" s="10"/>
      <c r="N3133" s="9"/>
      <c r="O3133" s="11"/>
      <c r="P3133" s="10"/>
      <c r="Q3133" s="10"/>
      <c r="R3133" s="10"/>
      <c r="S3133" s="10"/>
      <c r="T3133" s="10"/>
      <c r="U3133" s="10"/>
      <c r="V3133" s="10"/>
      <c r="W3133" s="10"/>
      <c r="X3133" s="10"/>
      <c r="Y3133" s="10"/>
      <c r="Z3133" s="10"/>
      <c r="AA3133" s="10"/>
      <c r="AB3133" s="10"/>
      <c r="AC3133" s="10"/>
      <c r="AD3133" s="10"/>
      <c r="AE3133" s="10"/>
    </row>
    <row r="3134" spans="1:31" ht="14.25" customHeight="1">
      <c r="A3134" s="9"/>
      <c r="B3134" s="9"/>
      <c r="C3134" s="9"/>
      <c r="D3134" s="9"/>
      <c r="E3134" s="90"/>
      <c r="F3134" s="9"/>
      <c r="G3134" s="10"/>
      <c r="H3134" s="9"/>
      <c r="I3134" s="11"/>
      <c r="J3134" s="12"/>
      <c r="K3134" s="12"/>
      <c r="L3134" s="52"/>
      <c r="M3134" s="10"/>
      <c r="N3134" s="9"/>
      <c r="O3134" s="11"/>
      <c r="P3134" s="10"/>
      <c r="Q3134" s="10"/>
      <c r="R3134" s="10"/>
      <c r="S3134" s="10"/>
      <c r="T3134" s="10"/>
      <c r="U3134" s="10"/>
      <c r="V3134" s="10"/>
      <c r="W3134" s="10"/>
      <c r="X3134" s="10"/>
      <c r="Y3134" s="10"/>
      <c r="Z3134" s="10"/>
      <c r="AA3134" s="10"/>
      <c r="AB3134" s="10"/>
      <c r="AC3134" s="10"/>
      <c r="AD3134" s="10"/>
      <c r="AE3134" s="10"/>
    </row>
    <row r="3135" spans="1:31" ht="14.25" customHeight="1">
      <c r="A3135" s="9"/>
      <c r="B3135" s="9"/>
      <c r="C3135" s="9"/>
      <c r="D3135" s="9"/>
      <c r="E3135" s="90"/>
      <c r="F3135" s="9"/>
      <c r="G3135" s="10"/>
      <c r="H3135" s="9"/>
      <c r="I3135" s="11"/>
      <c r="J3135" s="12"/>
      <c r="K3135" s="12"/>
      <c r="L3135" s="52"/>
      <c r="M3135" s="10"/>
      <c r="N3135" s="9"/>
      <c r="O3135" s="11"/>
      <c r="P3135" s="10"/>
      <c r="Q3135" s="10"/>
      <c r="R3135" s="10"/>
      <c r="S3135" s="10"/>
      <c r="T3135" s="10"/>
      <c r="U3135" s="10"/>
      <c r="V3135" s="10"/>
      <c r="W3135" s="10"/>
      <c r="X3135" s="10"/>
      <c r="Y3135" s="10"/>
      <c r="Z3135" s="10"/>
      <c r="AA3135" s="10"/>
      <c r="AB3135" s="10"/>
      <c r="AC3135" s="10"/>
      <c r="AD3135" s="10"/>
      <c r="AE3135" s="10"/>
    </row>
    <row r="3136" spans="1:31" ht="14.25" customHeight="1">
      <c r="A3136" s="9"/>
      <c r="B3136" s="9"/>
      <c r="C3136" s="9"/>
      <c r="D3136" s="9"/>
      <c r="E3136" s="90"/>
      <c r="F3136" s="9"/>
      <c r="G3136" s="10"/>
      <c r="H3136" s="9"/>
      <c r="I3136" s="11"/>
      <c r="J3136" s="12"/>
      <c r="K3136" s="12"/>
      <c r="L3136" s="52"/>
      <c r="M3136" s="10"/>
      <c r="N3136" s="9"/>
      <c r="O3136" s="11"/>
      <c r="P3136" s="10"/>
      <c r="Q3136" s="10"/>
      <c r="R3136" s="10"/>
      <c r="S3136" s="10"/>
      <c r="T3136" s="10"/>
      <c r="U3136" s="10"/>
      <c r="V3136" s="10"/>
      <c r="W3136" s="10"/>
      <c r="X3136" s="10"/>
      <c r="Y3136" s="10"/>
      <c r="Z3136" s="10"/>
      <c r="AA3136" s="10"/>
      <c r="AB3136" s="10"/>
      <c r="AC3136" s="10"/>
      <c r="AD3136" s="10"/>
      <c r="AE3136" s="10"/>
    </row>
    <row r="3137" spans="1:31" ht="14.25" customHeight="1">
      <c r="A3137" s="9"/>
      <c r="B3137" s="9"/>
      <c r="C3137" s="9"/>
      <c r="D3137" s="9"/>
      <c r="E3137" s="90"/>
      <c r="F3137" s="9"/>
      <c r="G3137" s="10"/>
      <c r="H3137" s="9"/>
      <c r="I3137" s="11"/>
      <c r="J3137" s="12"/>
      <c r="K3137" s="12"/>
      <c r="L3137" s="52"/>
      <c r="M3137" s="10"/>
      <c r="N3137" s="9"/>
      <c r="O3137" s="11"/>
      <c r="P3137" s="10"/>
      <c r="Q3137" s="10"/>
      <c r="R3137" s="10"/>
      <c r="S3137" s="10"/>
      <c r="T3137" s="10"/>
      <c r="U3137" s="10"/>
      <c r="V3137" s="10"/>
      <c r="W3137" s="10"/>
      <c r="X3137" s="10"/>
      <c r="Y3137" s="10"/>
      <c r="Z3137" s="10"/>
      <c r="AA3137" s="10"/>
      <c r="AB3137" s="10"/>
      <c r="AC3137" s="10"/>
      <c r="AD3137" s="10"/>
      <c r="AE3137" s="10"/>
    </row>
    <row r="3138" spans="1:31" ht="14.25" customHeight="1">
      <c r="A3138" s="9"/>
      <c r="B3138" s="9"/>
      <c r="C3138" s="9"/>
      <c r="D3138" s="9"/>
      <c r="E3138" s="90"/>
      <c r="F3138" s="9"/>
      <c r="G3138" s="10"/>
      <c r="H3138" s="9"/>
      <c r="I3138" s="11"/>
      <c r="J3138" s="12"/>
      <c r="K3138" s="12"/>
      <c r="L3138" s="52"/>
      <c r="M3138" s="10"/>
      <c r="N3138" s="9"/>
      <c r="O3138" s="11"/>
      <c r="P3138" s="10"/>
      <c r="Q3138" s="10"/>
      <c r="R3138" s="10"/>
      <c r="S3138" s="10"/>
      <c r="T3138" s="10"/>
      <c r="U3138" s="10"/>
      <c r="V3138" s="10"/>
      <c r="W3138" s="10"/>
      <c r="X3138" s="10"/>
      <c r="Y3138" s="10"/>
      <c r="Z3138" s="10"/>
      <c r="AA3138" s="10"/>
      <c r="AB3138" s="10"/>
      <c r="AC3138" s="10"/>
      <c r="AD3138" s="10"/>
      <c r="AE3138" s="10"/>
    </row>
    <row r="3139" spans="1:31" ht="14.25" customHeight="1">
      <c r="A3139" s="9"/>
      <c r="B3139" s="9"/>
      <c r="C3139" s="9"/>
      <c r="D3139" s="9"/>
      <c r="E3139" s="90"/>
      <c r="F3139" s="9"/>
      <c r="G3139" s="10"/>
      <c r="H3139" s="9"/>
      <c r="I3139" s="11"/>
      <c r="J3139" s="12"/>
      <c r="K3139" s="12"/>
      <c r="L3139" s="52"/>
      <c r="M3139" s="10"/>
      <c r="N3139" s="9"/>
      <c r="O3139" s="11"/>
      <c r="P3139" s="10"/>
      <c r="Q3139" s="10"/>
      <c r="R3139" s="10"/>
      <c r="S3139" s="10"/>
      <c r="T3139" s="10"/>
      <c r="U3139" s="10"/>
      <c r="V3139" s="10"/>
      <c r="W3139" s="10"/>
      <c r="X3139" s="10"/>
      <c r="Y3139" s="10"/>
      <c r="Z3139" s="10"/>
      <c r="AA3139" s="10"/>
      <c r="AB3139" s="10"/>
      <c r="AC3139" s="10"/>
      <c r="AD3139" s="10"/>
      <c r="AE3139" s="10"/>
    </row>
    <row r="3140" spans="1:31" ht="14.25" customHeight="1">
      <c r="A3140" s="9"/>
      <c r="B3140" s="9"/>
      <c r="C3140" s="9"/>
      <c r="D3140" s="9"/>
      <c r="E3140" s="90"/>
      <c r="F3140" s="9"/>
      <c r="G3140" s="10"/>
      <c r="H3140" s="9"/>
      <c r="I3140" s="11"/>
      <c r="J3140" s="12"/>
      <c r="K3140" s="12"/>
      <c r="L3140" s="52"/>
      <c r="M3140" s="10"/>
      <c r="N3140" s="9"/>
      <c r="O3140" s="11"/>
      <c r="P3140" s="10"/>
      <c r="Q3140" s="10"/>
      <c r="R3140" s="10"/>
      <c r="S3140" s="10"/>
      <c r="T3140" s="10"/>
      <c r="U3140" s="10"/>
      <c r="V3140" s="10"/>
      <c r="W3140" s="10"/>
      <c r="X3140" s="10"/>
      <c r="Y3140" s="10"/>
      <c r="Z3140" s="10"/>
      <c r="AA3140" s="10"/>
      <c r="AB3140" s="10"/>
      <c r="AC3140" s="10"/>
      <c r="AD3140" s="10"/>
      <c r="AE3140" s="10"/>
    </row>
    <row r="3141" spans="1:31" ht="14.25" customHeight="1">
      <c r="A3141" s="9"/>
      <c r="B3141" s="9"/>
      <c r="C3141" s="9"/>
      <c r="D3141" s="9"/>
      <c r="E3141" s="90"/>
      <c r="F3141" s="9"/>
      <c r="G3141" s="10"/>
      <c r="H3141" s="9"/>
      <c r="I3141" s="11"/>
      <c r="J3141" s="12"/>
      <c r="K3141" s="12"/>
      <c r="L3141" s="52"/>
      <c r="M3141" s="10"/>
      <c r="N3141" s="9"/>
      <c r="O3141" s="11"/>
      <c r="P3141" s="10"/>
      <c r="Q3141" s="10"/>
      <c r="R3141" s="10"/>
      <c r="S3141" s="10"/>
      <c r="T3141" s="10"/>
      <c r="U3141" s="10"/>
      <c r="V3141" s="10"/>
      <c r="W3141" s="10"/>
      <c r="X3141" s="10"/>
      <c r="Y3141" s="10"/>
      <c r="Z3141" s="10"/>
      <c r="AA3141" s="10"/>
      <c r="AB3141" s="10"/>
      <c r="AC3141" s="10"/>
      <c r="AD3141" s="10"/>
      <c r="AE3141" s="10"/>
    </row>
    <row r="3142" spans="1:31" ht="14.25" customHeight="1">
      <c r="A3142" s="9"/>
      <c r="B3142" s="9"/>
      <c r="C3142" s="9"/>
      <c r="D3142" s="9"/>
      <c r="E3142" s="90"/>
      <c r="F3142" s="9"/>
      <c r="G3142" s="10"/>
      <c r="H3142" s="9"/>
      <c r="I3142" s="11"/>
      <c r="J3142" s="12"/>
      <c r="K3142" s="12"/>
      <c r="L3142" s="52"/>
      <c r="M3142" s="10"/>
      <c r="N3142" s="9"/>
      <c r="O3142" s="11"/>
      <c r="P3142" s="10"/>
      <c r="Q3142" s="10"/>
      <c r="R3142" s="10"/>
      <c r="S3142" s="10"/>
      <c r="T3142" s="10"/>
      <c r="U3142" s="10"/>
      <c r="V3142" s="10"/>
      <c r="W3142" s="10"/>
      <c r="X3142" s="10"/>
      <c r="Y3142" s="10"/>
      <c r="Z3142" s="10"/>
      <c r="AA3142" s="10"/>
      <c r="AB3142" s="10"/>
      <c r="AC3142" s="10"/>
      <c r="AD3142" s="10"/>
      <c r="AE3142" s="10"/>
    </row>
    <row r="3143" spans="1:31" ht="14.25" customHeight="1">
      <c r="A3143" s="9"/>
      <c r="B3143" s="9"/>
      <c r="C3143" s="9"/>
      <c r="D3143" s="9"/>
      <c r="E3143" s="90"/>
      <c r="F3143" s="9"/>
      <c r="G3143" s="10"/>
      <c r="H3143" s="9"/>
      <c r="I3143" s="11"/>
      <c r="J3143" s="12"/>
      <c r="K3143" s="12"/>
      <c r="L3143" s="52"/>
      <c r="M3143" s="10"/>
      <c r="N3143" s="9"/>
      <c r="O3143" s="11"/>
      <c r="P3143" s="10"/>
      <c r="Q3143" s="10"/>
      <c r="R3143" s="10"/>
      <c r="S3143" s="10"/>
      <c r="T3143" s="10"/>
      <c r="U3143" s="10"/>
      <c r="V3143" s="10"/>
      <c r="W3143" s="10"/>
      <c r="X3143" s="10"/>
      <c r="Y3143" s="10"/>
      <c r="Z3143" s="10"/>
      <c r="AA3143" s="10"/>
      <c r="AB3143" s="10"/>
      <c r="AC3143" s="10"/>
      <c r="AD3143" s="10"/>
      <c r="AE3143" s="10"/>
    </row>
    <row r="3144" spans="1:31" ht="14.25" customHeight="1">
      <c r="A3144" s="9"/>
      <c r="B3144" s="9"/>
      <c r="C3144" s="9"/>
      <c r="D3144" s="9"/>
      <c r="E3144" s="90"/>
      <c r="F3144" s="9"/>
      <c r="G3144" s="10"/>
      <c r="H3144" s="9"/>
      <c r="I3144" s="11"/>
      <c r="J3144" s="12"/>
      <c r="K3144" s="12"/>
      <c r="L3144" s="52"/>
      <c r="M3144" s="10"/>
      <c r="N3144" s="9"/>
      <c r="O3144" s="11"/>
      <c r="P3144" s="10"/>
      <c r="Q3144" s="10"/>
      <c r="R3144" s="10"/>
      <c r="S3144" s="10"/>
      <c r="T3144" s="10"/>
      <c r="U3144" s="10"/>
      <c r="V3144" s="10"/>
      <c r="W3144" s="10"/>
      <c r="X3144" s="10"/>
      <c r="Y3144" s="10"/>
      <c r="Z3144" s="10"/>
      <c r="AA3144" s="10"/>
      <c r="AB3144" s="10"/>
      <c r="AC3144" s="10"/>
      <c r="AD3144" s="10"/>
      <c r="AE3144" s="10"/>
    </row>
    <row r="3145" spans="1:31" ht="14.25" customHeight="1">
      <c r="A3145" s="9"/>
      <c r="B3145" s="9"/>
      <c r="C3145" s="9"/>
      <c r="D3145" s="9"/>
      <c r="E3145" s="90"/>
      <c r="F3145" s="9"/>
      <c r="G3145" s="10"/>
      <c r="H3145" s="9"/>
      <c r="I3145" s="11"/>
      <c r="J3145" s="12"/>
      <c r="K3145" s="12"/>
      <c r="L3145" s="52"/>
      <c r="M3145" s="10"/>
      <c r="N3145" s="9"/>
      <c r="O3145" s="11"/>
      <c r="P3145" s="10"/>
      <c r="Q3145" s="10"/>
      <c r="R3145" s="10"/>
      <c r="S3145" s="10"/>
      <c r="T3145" s="10"/>
      <c r="U3145" s="10"/>
      <c r="V3145" s="10"/>
      <c r="W3145" s="10"/>
      <c r="X3145" s="10"/>
      <c r="Y3145" s="10"/>
      <c r="Z3145" s="10"/>
      <c r="AA3145" s="10"/>
      <c r="AB3145" s="10"/>
      <c r="AC3145" s="10"/>
      <c r="AD3145" s="10"/>
      <c r="AE3145" s="10"/>
    </row>
    <row r="3146" spans="1:31" ht="14.25" customHeight="1">
      <c r="A3146" s="9"/>
      <c r="B3146" s="9"/>
      <c r="C3146" s="9"/>
      <c r="D3146" s="9"/>
      <c r="E3146" s="90"/>
      <c r="F3146" s="9"/>
      <c r="G3146" s="10"/>
      <c r="H3146" s="9"/>
      <c r="I3146" s="11"/>
      <c r="J3146" s="12"/>
      <c r="K3146" s="12"/>
      <c r="L3146" s="52"/>
      <c r="M3146" s="10"/>
      <c r="N3146" s="9"/>
      <c r="O3146" s="11"/>
      <c r="P3146" s="10"/>
      <c r="Q3146" s="10"/>
      <c r="R3146" s="10"/>
      <c r="S3146" s="10"/>
      <c r="T3146" s="10"/>
      <c r="U3146" s="10"/>
      <c r="V3146" s="10"/>
      <c r="W3146" s="10"/>
      <c r="X3146" s="10"/>
      <c r="Y3146" s="10"/>
      <c r="Z3146" s="10"/>
      <c r="AA3146" s="10"/>
      <c r="AB3146" s="10"/>
      <c r="AC3146" s="10"/>
      <c r="AD3146" s="10"/>
      <c r="AE3146" s="10"/>
    </row>
    <row r="3147" spans="1:31" ht="14.25" customHeight="1">
      <c r="A3147" s="9"/>
      <c r="B3147" s="9"/>
      <c r="C3147" s="9"/>
      <c r="D3147" s="9"/>
      <c r="E3147" s="90"/>
      <c r="F3147" s="9"/>
      <c r="G3147" s="10"/>
      <c r="H3147" s="9"/>
      <c r="I3147" s="11"/>
      <c r="J3147" s="12"/>
      <c r="K3147" s="12"/>
      <c r="L3147" s="52"/>
      <c r="M3147" s="10"/>
      <c r="N3147" s="9"/>
      <c r="O3147" s="11"/>
      <c r="P3147" s="10"/>
      <c r="Q3147" s="10"/>
      <c r="R3147" s="10"/>
      <c r="S3147" s="10"/>
      <c r="T3147" s="10"/>
      <c r="U3147" s="10"/>
      <c r="V3147" s="10"/>
      <c r="W3147" s="10"/>
      <c r="X3147" s="10"/>
      <c r="Y3147" s="10"/>
      <c r="Z3147" s="10"/>
      <c r="AA3147" s="10"/>
      <c r="AB3147" s="10"/>
      <c r="AC3147" s="10"/>
      <c r="AD3147" s="10"/>
      <c r="AE3147" s="10"/>
    </row>
    <row r="3148" spans="1:31" ht="14.25" customHeight="1">
      <c r="A3148" s="9"/>
      <c r="B3148" s="9"/>
      <c r="C3148" s="9"/>
      <c r="D3148" s="9"/>
      <c r="E3148" s="90"/>
      <c r="F3148" s="9"/>
      <c r="G3148" s="10"/>
      <c r="H3148" s="9"/>
      <c r="I3148" s="11"/>
      <c r="J3148" s="12"/>
      <c r="K3148" s="12"/>
      <c r="L3148" s="52"/>
      <c r="M3148" s="10"/>
      <c r="N3148" s="9"/>
      <c r="O3148" s="11"/>
      <c r="P3148" s="10"/>
      <c r="Q3148" s="10"/>
      <c r="R3148" s="10"/>
      <c r="S3148" s="10"/>
      <c r="T3148" s="10"/>
      <c r="U3148" s="10"/>
      <c r="V3148" s="10"/>
      <c r="W3148" s="10"/>
      <c r="X3148" s="10"/>
      <c r="Y3148" s="10"/>
      <c r="Z3148" s="10"/>
      <c r="AA3148" s="10"/>
      <c r="AB3148" s="10"/>
      <c r="AC3148" s="10"/>
      <c r="AD3148" s="10"/>
      <c r="AE3148" s="10"/>
    </row>
    <row r="3149" spans="1:31" ht="14.25" customHeight="1">
      <c r="A3149" s="9"/>
      <c r="B3149" s="9"/>
      <c r="C3149" s="9"/>
      <c r="D3149" s="9"/>
      <c r="E3149" s="90"/>
      <c r="F3149" s="9"/>
      <c r="G3149" s="10"/>
      <c r="H3149" s="9"/>
      <c r="I3149" s="11"/>
      <c r="J3149" s="12"/>
      <c r="K3149" s="12"/>
      <c r="L3149" s="52"/>
      <c r="M3149" s="10"/>
      <c r="N3149" s="9"/>
      <c r="O3149" s="11"/>
      <c r="P3149" s="10"/>
      <c r="Q3149" s="10"/>
      <c r="R3149" s="10"/>
      <c r="S3149" s="10"/>
      <c r="T3149" s="10"/>
      <c r="U3149" s="10"/>
      <c r="V3149" s="10"/>
      <c r="W3149" s="10"/>
      <c r="X3149" s="10"/>
      <c r="Y3149" s="10"/>
      <c r="Z3149" s="10"/>
      <c r="AA3149" s="10"/>
      <c r="AB3149" s="10"/>
      <c r="AC3149" s="10"/>
      <c r="AD3149" s="10"/>
      <c r="AE3149" s="10"/>
    </row>
    <row r="3150" spans="1:31" ht="14.25" customHeight="1">
      <c r="A3150" s="9"/>
      <c r="B3150" s="9"/>
      <c r="C3150" s="9"/>
      <c r="D3150" s="9"/>
      <c r="E3150" s="90"/>
      <c r="F3150" s="9"/>
      <c r="G3150" s="10"/>
      <c r="H3150" s="9"/>
      <c r="I3150" s="11"/>
      <c r="J3150" s="12"/>
      <c r="K3150" s="12"/>
      <c r="L3150" s="52"/>
      <c r="M3150" s="10"/>
      <c r="N3150" s="9"/>
      <c r="O3150" s="11"/>
      <c r="P3150" s="10"/>
      <c r="Q3150" s="10"/>
      <c r="R3150" s="10"/>
      <c r="S3150" s="10"/>
      <c r="T3150" s="10"/>
      <c r="U3150" s="10"/>
      <c r="V3150" s="10"/>
      <c r="W3150" s="10"/>
      <c r="X3150" s="10"/>
      <c r="Y3150" s="10"/>
      <c r="Z3150" s="10"/>
      <c r="AA3150" s="10"/>
      <c r="AB3150" s="10"/>
      <c r="AC3150" s="10"/>
      <c r="AD3150" s="10"/>
      <c r="AE3150" s="10"/>
    </row>
    <row r="3151" spans="1:31" ht="14.25" customHeight="1">
      <c r="A3151" s="9"/>
      <c r="B3151" s="9"/>
      <c r="C3151" s="9"/>
      <c r="D3151" s="9"/>
      <c r="E3151" s="90"/>
      <c r="F3151" s="9"/>
      <c r="G3151" s="10"/>
      <c r="H3151" s="9"/>
      <c r="I3151" s="11"/>
      <c r="J3151" s="12"/>
      <c r="K3151" s="12"/>
      <c r="L3151" s="52"/>
      <c r="M3151" s="10"/>
      <c r="N3151" s="9"/>
      <c r="O3151" s="11"/>
      <c r="P3151" s="10"/>
      <c r="Q3151" s="10"/>
      <c r="R3151" s="10"/>
      <c r="S3151" s="10"/>
      <c r="T3151" s="10"/>
      <c r="U3151" s="10"/>
      <c r="V3151" s="10"/>
      <c r="W3151" s="10"/>
      <c r="X3151" s="10"/>
      <c r="Y3151" s="10"/>
      <c r="Z3151" s="10"/>
      <c r="AA3151" s="10"/>
      <c r="AB3151" s="10"/>
      <c r="AC3151" s="10"/>
      <c r="AD3151" s="10"/>
      <c r="AE3151" s="10"/>
    </row>
    <row r="3152" spans="1:31" ht="14.25" customHeight="1">
      <c r="A3152" s="9"/>
      <c r="B3152" s="9"/>
      <c r="C3152" s="9"/>
      <c r="D3152" s="9"/>
      <c r="E3152" s="90"/>
      <c r="F3152" s="9"/>
      <c r="G3152" s="10"/>
      <c r="H3152" s="9"/>
      <c r="I3152" s="11"/>
      <c r="J3152" s="12"/>
      <c r="K3152" s="12"/>
      <c r="L3152" s="52"/>
      <c r="M3152" s="10"/>
      <c r="N3152" s="9"/>
      <c r="O3152" s="11"/>
      <c r="P3152" s="10"/>
      <c r="Q3152" s="10"/>
      <c r="R3152" s="10"/>
      <c r="S3152" s="10"/>
      <c r="T3152" s="10"/>
      <c r="U3152" s="10"/>
      <c r="V3152" s="10"/>
      <c r="W3152" s="10"/>
      <c r="X3152" s="10"/>
      <c r="Y3152" s="10"/>
      <c r="Z3152" s="10"/>
      <c r="AA3152" s="10"/>
      <c r="AB3152" s="10"/>
      <c r="AC3152" s="10"/>
      <c r="AD3152" s="10"/>
      <c r="AE3152" s="10"/>
    </row>
    <row r="3153" spans="1:31" ht="14.25" customHeight="1">
      <c r="A3153" s="9"/>
      <c r="B3153" s="9"/>
      <c r="C3153" s="9"/>
      <c r="D3153" s="9"/>
      <c r="E3153" s="90"/>
      <c r="F3153" s="9"/>
      <c r="G3153" s="10"/>
      <c r="H3153" s="9"/>
      <c r="I3153" s="11"/>
      <c r="J3153" s="12"/>
      <c r="K3153" s="12"/>
      <c r="L3153" s="52"/>
      <c r="M3153" s="10"/>
      <c r="N3153" s="9"/>
      <c r="O3153" s="11"/>
      <c r="P3153" s="10"/>
      <c r="Q3153" s="10"/>
      <c r="R3153" s="10"/>
      <c r="S3153" s="10"/>
      <c r="T3153" s="10"/>
      <c r="U3153" s="10"/>
      <c r="V3153" s="10"/>
      <c r="W3153" s="10"/>
      <c r="X3153" s="10"/>
      <c r="Y3153" s="10"/>
      <c r="Z3153" s="10"/>
      <c r="AA3153" s="10"/>
      <c r="AB3153" s="10"/>
      <c r="AC3153" s="10"/>
      <c r="AD3153" s="10"/>
      <c r="AE3153" s="10"/>
    </row>
    <row r="3154" spans="1:31" ht="14.25" customHeight="1">
      <c r="A3154" s="9"/>
      <c r="B3154" s="9"/>
      <c r="C3154" s="9"/>
      <c r="D3154" s="9"/>
      <c r="E3154" s="90"/>
      <c r="F3154" s="9"/>
      <c r="G3154" s="10"/>
      <c r="H3154" s="9"/>
      <c r="I3154" s="11"/>
      <c r="J3154" s="12"/>
      <c r="K3154" s="12"/>
      <c r="L3154" s="52"/>
      <c r="M3154" s="10"/>
      <c r="N3154" s="9"/>
      <c r="O3154" s="11"/>
      <c r="P3154" s="10"/>
      <c r="Q3154" s="10"/>
      <c r="R3154" s="10"/>
      <c r="S3154" s="10"/>
      <c r="T3154" s="10"/>
      <c r="U3154" s="10"/>
      <c r="V3154" s="10"/>
      <c r="W3154" s="10"/>
      <c r="X3154" s="10"/>
      <c r="Y3154" s="10"/>
      <c r="Z3154" s="10"/>
      <c r="AA3154" s="10"/>
      <c r="AB3154" s="10"/>
      <c r="AC3154" s="10"/>
      <c r="AD3154" s="10"/>
      <c r="AE3154" s="10"/>
    </row>
    <row r="3155" spans="1:31" ht="14.25" customHeight="1">
      <c r="A3155" s="9"/>
      <c r="B3155" s="9"/>
      <c r="C3155" s="9"/>
      <c r="D3155" s="9"/>
      <c r="E3155" s="90"/>
      <c r="F3155" s="9"/>
      <c r="G3155" s="10"/>
      <c r="H3155" s="9"/>
      <c r="I3155" s="11"/>
      <c r="J3155" s="12"/>
      <c r="K3155" s="12"/>
      <c r="L3155" s="52"/>
      <c r="M3155" s="10"/>
      <c r="N3155" s="9"/>
      <c r="O3155" s="11"/>
      <c r="P3155" s="10"/>
      <c r="Q3155" s="10"/>
      <c r="R3155" s="10"/>
      <c r="S3155" s="10"/>
      <c r="T3155" s="10"/>
      <c r="U3155" s="10"/>
      <c r="V3155" s="10"/>
      <c r="W3155" s="10"/>
      <c r="X3155" s="10"/>
      <c r="Y3155" s="10"/>
      <c r="Z3155" s="10"/>
      <c r="AA3155" s="10"/>
      <c r="AB3155" s="10"/>
      <c r="AC3155" s="10"/>
      <c r="AD3155" s="10"/>
      <c r="AE3155" s="10"/>
    </row>
    <row r="3156" spans="1:31" ht="14.25" customHeight="1">
      <c r="A3156" s="9"/>
      <c r="B3156" s="9"/>
      <c r="C3156" s="9"/>
      <c r="D3156" s="9"/>
      <c r="E3156" s="90"/>
      <c r="F3156" s="9"/>
      <c r="G3156" s="10"/>
      <c r="H3156" s="9"/>
      <c r="I3156" s="11"/>
      <c r="J3156" s="12"/>
      <c r="K3156" s="12"/>
      <c r="L3156" s="52"/>
      <c r="M3156" s="10"/>
      <c r="N3156" s="9"/>
      <c r="O3156" s="11"/>
      <c r="P3156" s="10"/>
      <c r="Q3156" s="10"/>
      <c r="R3156" s="10"/>
      <c r="S3156" s="10"/>
      <c r="T3156" s="10"/>
      <c r="U3156" s="10"/>
      <c r="V3156" s="10"/>
      <c r="W3156" s="10"/>
      <c r="X3156" s="10"/>
      <c r="Y3156" s="10"/>
      <c r="Z3156" s="10"/>
      <c r="AA3156" s="10"/>
      <c r="AB3156" s="10"/>
      <c r="AC3156" s="10"/>
      <c r="AD3156" s="10"/>
      <c r="AE3156" s="10"/>
    </row>
    <row r="3157" spans="1:31" ht="14.25" customHeight="1">
      <c r="A3157" s="9"/>
      <c r="B3157" s="9"/>
      <c r="C3157" s="9"/>
      <c r="D3157" s="9"/>
      <c r="E3157" s="90"/>
      <c r="F3157" s="9"/>
      <c r="G3157" s="10"/>
      <c r="H3157" s="9"/>
      <c r="I3157" s="11"/>
      <c r="J3157" s="12"/>
      <c r="K3157" s="12"/>
      <c r="L3157" s="52"/>
      <c r="M3157" s="10"/>
      <c r="N3157" s="9"/>
      <c r="O3157" s="11"/>
      <c r="P3157" s="10"/>
      <c r="Q3157" s="10"/>
      <c r="R3157" s="10"/>
      <c r="S3157" s="10"/>
      <c r="T3157" s="10"/>
      <c r="U3157" s="10"/>
      <c r="V3157" s="10"/>
      <c r="W3157" s="10"/>
      <c r="X3157" s="10"/>
      <c r="Y3157" s="10"/>
      <c r="Z3157" s="10"/>
      <c r="AA3157" s="10"/>
      <c r="AB3157" s="10"/>
      <c r="AC3157" s="10"/>
      <c r="AD3157" s="10"/>
      <c r="AE3157" s="10"/>
    </row>
    <row r="3158" spans="1:31" ht="14.25" customHeight="1">
      <c r="A3158" s="9"/>
      <c r="B3158" s="9"/>
      <c r="C3158" s="9"/>
      <c r="D3158" s="9"/>
      <c r="E3158" s="90"/>
      <c r="F3158" s="9"/>
      <c r="G3158" s="10"/>
      <c r="H3158" s="9"/>
      <c r="I3158" s="11"/>
      <c r="J3158" s="12"/>
      <c r="K3158" s="12"/>
      <c r="L3158" s="52"/>
      <c r="M3158" s="10"/>
      <c r="N3158" s="9"/>
      <c r="O3158" s="11"/>
      <c r="P3158" s="10"/>
      <c r="Q3158" s="10"/>
      <c r="R3158" s="10"/>
      <c r="S3158" s="10"/>
      <c r="T3158" s="10"/>
      <c r="U3158" s="10"/>
      <c r="V3158" s="10"/>
      <c r="W3158" s="10"/>
      <c r="X3158" s="10"/>
      <c r="Y3158" s="10"/>
      <c r="Z3158" s="10"/>
      <c r="AA3158" s="10"/>
      <c r="AB3158" s="10"/>
      <c r="AC3158" s="10"/>
      <c r="AD3158" s="10"/>
      <c r="AE3158" s="10"/>
    </row>
    <row r="3159" spans="1:31" ht="14.25" customHeight="1">
      <c r="A3159" s="9"/>
      <c r="B3159" s="9"/>
      <c r="C3159" s="9"/>
      <c r="D3159" s="9"/>
      <c r="E3159" s="90"/>
      <c r="F3159" s="9"/>
      <c r="G3159" s="10"/>
      <c r="H3159" s="9"/>
      <c r="I3159" s="11"/>
      <c r="J3159" s="12"/>
      <c r="K3159" s="12"/>
      <c r="L3159" s="52"/>
      <c r="M3159" s="10"/>
      <c r="N3159" s="9"/>
      <c r="O3159" s="11"/>
      <c r="P3159" s="10"/>
      <c r="Q3159" s="10"/>
      <c r="R3159" s="10"/>
      <c r="S3159" s="10"/>
      <c r="T3159" s="10"/>
      <c r="U3159" s="10"/>
      <c r="V3159" s="10"/>
      <c r="W3159" s="10"/>
      <c r="X3159" s="10"/>
      <c r="Y3159" s="10"/>
      <c r="Z3159" s="10"/>
      <c r="AA3159" s="10"/>
      <c r="AB3159" s="10"/>
      <c r="AC3159" s="10"/>
      <c r="AD3159" s="10"/>
      <c r="AE3159" s="10"/>
    </row>
    <row r="3160" spans="1:31" ht="14.25" customHeight="1">
      <c r="A3160" s="9"/>
      <c r="B3160" s="9"/>
      <c r="C3160" s="9"/>
      <c r="D3160" s="9"/>
      <c r="E3160" s="90"/>
      <c r="F3160" s="9"/>
      <c r="G3160" s="10"/>
      <c r="H3160" s="9"/>
      <c r="I3160" s="11"/>
      <c r="J3160" s="12"/>
      <c r="K3160" s="12"/>
      <c r="L3160" s="52"/>
      <c r="M3160" s="10"/>
      <c r="N3160" s="9"/>
      <c r="O3160" s="11"/>
      <c r="P3160" s="10"/>
      <c r="Q3160" s="10"/>
      <c r="R3160" s="10"/>
      <c r="S3160" s="10"/>
      <c r="T3160" s="10"/>
      <c r="U3160" s="10"/>
      <c r="V3160" s="10"/>
      <c r="W3160" s="10"/>
      <c r="X3160" s="10"/>
      <c r="Y3160" s="10"/>
      <c r="Z3160" s="10"/>
      <c r="AA3160" s="10"/>
      <c r="AB3160" s="10"/>
      <c r="AC3160" s="10"/>
      <c r="AD3160" s="10"/>
      <c r="AE3160" s="10"/>
    </row>
    <row r="3161" spans="1:31" ht="14.25" customHeight="1">
      <c r="A3161" s="9"/>
      <c r="B3161" s="9"/>
      <c r="C3161" s="9"/>
      <c r="D3161" s="9"/>
      <c r="E3161" s="90"/>
      <c r="F3161" s="9"/>
      <c r="G3161" s="10"/>
      <c r="H3161" s="9"/>
      <c r="I3161" s="11"/>
      <c r="J3161" s="12"/>
      <c r="K3161" s="12"/>
      <c r="L3161" s="52"/>
      <c r="M3161" s="10"/>
      <c r="N3161" s="9"/>
      <c r="O3161" s="11"/>
      <c r="P3161" s="10"/>
      <c r="Q3161" s="10"/>
      <c r="R3161" s="10"/>
      <c r="S3161" s="10"/>
      <c r="T3161" s="10"/>
      <c r="U3161" s="10"/>
      <c r="V3161" s="10"/>
      <c r="W3161" s="10"/>
      <c r="X3161" s="10"/>
      <c r="Y3161" s="10"/>
      <c r="Z3161" s="10"/>
      <c r="AA3161" s="10"/>
      <c r="AB3161" s="10"/>
      <c r="AC3161" s="10"/>
      <c r="AD3161" s="10"/>
      <c r="AE3161" s="10"/>
    </row>
    <row r="3162" spans="1:31" ht="14.25" customHeight="1">
      <c r="A3162" s="9"/>
      <c r="B3162" s="9"/>
      <c r="C3162" s="9"/>
      <c r="D3162" s="9"/>
      <c r="E3162" s="90"/>
      <c r="F3162" s="9"/>
      <c r="G3162" s="10"/>
      <c r="H3162" s="9"/>
      <c r="I3162" s="11"/>
      <c r="J3162" s="12"/>
      <c r="K3162" s="12"/>
      <c r="L3162" s="52"/>
      <c r="M3162" s="10"/>
      <c r="N3162" s="9"/>
      <c r="O3162" s="11"/>
      <c r="P3162" s="10"/>
      <c r="Q3162" s="10"/>
      <c r="R3162" s="10"/>
      <c r="S3162" s="10"/>
      <c r="T3162" s="10"/>
      <c r="U3162" s="10"/>
      <c r="V3162" s="10"/>
      <c r="W3162" s="10"/>
      <c r="X3162" s="10"/>
      <c r="Y3162" s="10"/>
      <c r="Z3162" s="10"/>
      <c r="AA3162" s="10"/>
      <c r="AB3162" s="10"/>
      <c r="AC3162" s="10"/>
      <c r="AD3162" s="10"/>
      <c r="AE3162" s="10"/>
    </row>
    <row r="3163" spans="1:31" ht="14.25" customHeight="1">
      <c r="A3163" s="9"/>
      <c r="B3163" s="9"/>
      <c r="C3163" s="9"/>
      <c r="D3163" s="9"/>
      <c r="E3163" s="90"/>
      <c r="F3163" s="9"/>
      <c r="G3163" s="10"/>
      <c r="H3163" s="9"/>
      <c r="I3163" s="11"/>
      <c r="J3163" s="12"/>
      <c r="K3163" s="12"/>
      <c r="L3163" s="52"/>
      <c r="M3163" s="10"/>
      <c r="N3163" s="9"/>
      <c r="O3163" s="11"/>
      <c r="P3163" s="10"/>
      <c r="Q3163" s="10"/>
      <c r="R3163" s="10"/>
      <c r="S3163" s="10"/>
      <c r="T3163" s="10"/>
      <c r="U3163" s="10"/>
      <c r="V3163" s="10"/>
      <c r="W3163" s="10"/>
      <c r="X3163" s="10"/>
      <c r="Y3163" s="10"/>
      <c r="Z3163" s="10"/>
      <c r="AA3163" s="10"/>
      <c r="AB3163" s="10"/>
      <c r="AC3163" s="10"/>
      <c r="AD3163" s="10"/>
      <c r="AE3163" s="10"/>
    </row>
    <row r="3164" spans="1:31" ht="14.25" customHeight="1">
      <c r="A3164" s="9"/>
      <c r="B3164" s="9"/>
      <c r="C3164" s="9"/>
      <c r="D3164" s="9"/>
      <c r="E3164" s="90"/>
      <c r="F3164" s="9"/>
      <c r="G3164" s="10"/>
      <c r="H3164" s="9"/>
      <c r="I3164" s="11"/>
      <c r="J3164" s="12"/>
      <c r="K3164" s="12"/>
      <c r="L3164" s="52"/>
      <c r="M3164" s="10"/>
      <c r="N3164" s="9"/>
      <c r="O3164" s="11"/>
      <c r="P3164" s="10"/>
      <c r="Q3164" s="10"/>
      <c r="R3164" s="10"/>
      <c r="S3164" s="10"/>
      <c r="T3164" s="10"/>
      <c r="U3164" s="10"/>
      <c r="V3164" s="10"/>
      <c r="W3164" s="10"/>
      <c r="X3164" s="10"/>
      <c r="Y3164" s="10"/>
      <c r="Z3164" s="10"/>
      <c r="AA3164" s="10"/>
      <c r="AB3164" s="10"/>
      <c r="AC3164" s="10"/>
      <c r="AD3164" s="10"/>
      <c r="AE3164" s="10"/>
    </row>
    <row r="3165" spans="1:31" ht="14.25" customHeight="1">
      <c r="A3165" s="9"/>
      <c r="B3165" s="9"/>
      <c r="C3165" s="9"/>
      <c r="D3165" s="9"/>
      <c r="E3165" s="90"/>
      <c r="F3165" s="9"/>
      <c r="G3165" s="10"/>
      <c r="H3165" s="9"/>
      <c r="I3165" s="11"/>
      <c r="J3165" s="12"/>
      <c r="K3165" s="12"/>
      <c r="L3165" s="52"/>
      <c r="M3165" s="10"/>
      <c r="N3165" s="9"/>
      <c r="O3165" s="11"/>
      <c r="P3165" s="10"/>
      <c r="Q3165" s="10"/>
      <c r="R3165" s="10"/>
      <c r="S3165" s="10"/>
      <c r="T3165" s="10"/>
      <c r="U3165" s="10"/>
      <c r="V3165" s="10"/>
      <c r="W3165" s="10"/>
      <c r="X3165" s="10"/>
      <c r="Y3165" s="10"/>
      <c r="Z3165" s="10"/>
      <c r="AA3165" s="10"/>
      <c r="AB3165" s="10"/>
      <c r="AC3165" s="10"/>
      <c r="AD3165" s="10"/>
      <c r="AE3165" s="10"/>
    </row>
    <row r="3166" spans="1:31" ht="14.25" customHeight="1">
      <c r="A3166" s="9"/>
      <c r="B3166" s="9"/>
      <c r="C3166" s="9"/>
      <c r="D3166" s="9"/>
      <c r="E3166" s="90"/>
      <c r="F3166" s="9"/>
      <c r="G3166" s="10"/>
      <c r="H3166" s="9"/>
      <c r="I3166" s="11"/>
      <c r="J3166" s="12"/>
      <c r="K3166" s="12"/>
      <c r="L3166" s="52"/>
      <c r="M3166" s="10"/>
      <c r="N3166" s="9"/>
      <c r="O3166" s="11"/>
      <c r="P3166" s="10"/>
      <c r="Q3166" s="10"/>
      <c r="R3166" s="10"/>
      <c r="S3166" s="10"/>
      <c r="T3166" s="10"/>
      <c r="U3166" s="10"/>
      <c r="V3166" s="10"/>
      <c r="W3166" s="10"/>
      <c r="X3166" s="10"/>
      <c r="Y3166" s="10"/>
      <c r="Z3166" s="10"/>
      <c r="AA3166" s="10"/>
      <c r="AB3166" s="10"/>
      <c r="AC3166" s="10"/>
      <c r="AD3166" s="10"/>
      <c r="AE3166" s="10"/>
    </row>
    <row r="3167" spans="1:31" ht="14.25" customHeight="1">
      <c r="A3167" s="9"/>
      <c r="B3167" s="9"/>
      <c r="C3167" s="9"/>
      <c r="D3167" s="9"/>
      <c r="E3167" s="90"/>
      <c r="F3167" s="9"/>
      <c r="G3167" s="10"/>
      <c r="H3167" s="9"/>
      <c r="I3167" s="11"/>
      <c r="J3167" s="12"/>
      <c r="K3167" s="12"/>
      <c r="L3167" s="52"/>
      <c r="M3167" s="10"/>
      <c r="N3167" s="9"/>
      <c r="O3167" s="11"/>
      <c r="P3167" s="10"/>
      <c r="Q3167" s="10"/>
      <c r="R3167" s="10"/>
      <c r="S3167" s="10"/>
      <c r="T3167" s="10"/>
      <c r="U3167" s="10"/>
      <c r="V3167" s="10"/>
      <c r="W3167" s="10"/>
      <c r="X3167" s="10"/>
      <c r="Y3167" s="10"/>
      <c r="Z3167" s="10"/>
      <c r="AA3167" s="10"/>
      <c r="AB3167" s="10"/>
      <c r="AC3167" s="10"/>
      <c r="AD3167" s="10"/>
      <c r="AE3167" s="10"/>
    </row>
    <row r="3168" spans="1:31" ht="14.25" customHeight="1">
      <c r="A3168" s="9"/>
      <c r="B3168" s="9"/>
      <c r="C3168" s="9"/>
      <c r="D3168" s="9"/>
      <c r="E3168" s="90"/>
      <c r="F3168" s="9"/>
      <c r="G3168" s="10"/>
      <c r="H3168" s="9"/>
      <c r="I3168" s="11"/>
      <c r="J3168" s="12"/>
      <c r="K3168" s="12"/>
      <c r="L3168" s="52"/>
      <c r="M3168" s="10"/>
      <c r="N3168" s="9"/>
      <c r="O3168" s="11"/>
      <c r="P3168" s="10"/>
      <c r="Q3168" s="10"/>
      <c r="R3168" s="10"/>
      <c r="S3168" s="10"/>
      <c r="T3168" s="10"/>
      <c r="U3168" s="10"/>
      <c r="V3168" s="10"/>
      <c r="W3168" s="10"/>
      <c r="X3168" s="10"/>
      <c r="Y3168" s="10"/>
      <c r="Z3168" s="10"/>
      <c r="AA3168" s="10"/>
      <c r="AB3168" s="10"/>
      <c r="AC3168" s="10"/>
      <c r="AD3168" s="10"/>
      <c r="AE3168" s="10"/>
    </row>
    <row r="3169" spans="1:31" ht="14.25" customHeight="1">
      <c r="A3169" s="9"/>
      <c r="B3169" s="9"/>
      <c r="C3169" s="9"/>
      <c r="D3169" s="9"/>
      <c r="E3169" s="90"/>
      <c r="F3169" s="9"/>
      <c r="G3169" s="10"/>
      <c r="H3169" s="9"/>
      <c r="I3169" s="11"/>
      <c r="J3169" s="12"/>
      <c r="K3169" s="12"/>
      <c r="L3169" s="52"/>
      <c r="M3169" s="10"/>
      <c r="N3169" s="9"/>
      <c r="O3169" s="11"/>
      <c r="P3169" s="10"/>
      <c r="Q3169" s="10"/>
      <c r="R3169" s="10"/>
      <c r="S3169" s="10"/>
      <c r="T3169" s="10"/>
      <c r="U3169" s="10"/>
      <c r="V3169" s="10"/>
      <c r="W3169" s="10"/>
      <c r="X3169" s="10"/>
      <c r="Y3169" s="10"/>
      <c r="Z3169" s="10"/>
      <c r="AA3169" s="10"/>
      <c r="AB3169" s="10"/>
      <c r="AC3169" s="10"/>
      <c r="AD3169" s="10"/>
      <c r="AE3169" s="10"/>
    </row>
    <row r="3170" spans="1:31" ht="14.25" customHeight="1">
      <c r="A3170" s="9"/>
      <c r="B3170" s="9"/>
      <c r="C3170" s="9"/>
      <c r="D3170" s="9"/>
      <c r="E3170" s="90"/>
      <c r="F3170" s="9"/>
      <c r="G3170" s="10"/>
      <c r="H3170" s="9"/>
      <c r="I3170" s="11"/>
      <c r="J3170" s="12"/>
      <c r="K3170" s="12"/>
      <c r="L3170" s="52"/>
      <c r="M3170" s="10"/>
      <c r="N3170" s="9"/>
      <c r="O3170" s="11"/>
      <c r="P3170" s="10"/>
      <c r="Q3170" s="10"/>
      <c r="R3170" s="10"/>
      <c r="S3170" s="10"/>
      <c r="T3170" s="10"/>
      <c r="U3170" s="10"/>
      <c r="V3170" s="10"/>
      <c r="W3170" s="10"/>
      <c r="X3170" s="10"/>
      <c r="Y3170" s="10"/>
      <c r="Z3170" s="10"/>
      <c r="AA3170" s="10"/>
      <c r="AB3170" s="10"/>
      <c r="AC3170" s="10"/>
      <c r="AD3170" s="10"/>
      <c r="AE3170" s="10"/>
    </row>
    <row r="3171" spans="1:31" ht="14.25" customHeight="1">
      <c r="A3171" s="9"/>
      <c r="B3171" s="9"/>
      <c r="C3171" s="9"/>
      <c r="D3171" s="9"/>
      <c r="E3171" s="90"/>
      <c r="F3171" s="9"/>
      <c r="G3171" s="10"/>
      <c r="H3171" s="9"/>
      <c r="I3171" s="11"/>
      <c r="J3171" s="12"/>
      <c r="K3171" s="12"/>
      <c r="L3171" s="52"/>
      <c r="M3171" s="10"/>
      <c r="N3171" s="9"/>
      <c r="O3171" s="11"/>
      <c r="P3171" s="10"/>
      <c r="Q3171" s="10"/>
      <c r="R3171" s="10"/>
      <c r="S3171" s="10"/>
      <c r="T3171" s="10"/>
      <c r="U3171" s="10"/>
      <c r="V3171" s="10"/>
      <c r="W3171" s="10"/>
      <c r="X3171" s="10"/>
      <c r="Y3171" s="10"/>
      <c r="Z3171" s="10"/>
      <c r="AA3171" s="10"/>
      <c r="AB3171" s="10"/>
      <c r="AC3171" s="10"/>
      <c r="AD3171" s="10"/>
      <c r="AE3171" s="10"/>
    </row>
    <row r="3172" spans="1:31" ht="14.25" customHeight="1">
      <c r="A3172" s="9"/>
      <c r="B3172" s="9"/>
      <c r="C3172" s="9"/>
      <c r="D3172" s="9"/>
      <c r="E3172" s="90"/>
      <c r="F3172" s="9"/>
      <c r="G3172" s="10"/>
      <c r="H3172" s="9"/>
      <c r="I3172" s="11"/>
      <c r="J3172" s="12"/>
      <c r="K3172" s="12"/>
      <c r="L3172" s="52"/>
      <c r="M3172" s="10"/>
      <c r="N3172" s="9"/>
      <c r="O3172" s="11"/>
      <c r="P3172" s="10"/>
      <c r="Q3172" s="10"/>
      <c r="R3172" s="10"/>
      <c r="S3172" s="10"/>
      <c r="T3172" s="10"/>
      <c r="U3172" s="10"/>
      <c r="V3172" s="10"/>
      <c r="W3172" s="10"/>
      <c r="X3172" s="10"/>
      <c r="Y3172" s="10"/>
      <c r="Z3172" s="10"/>
      <c r="AA3172" s="10"/>
      <c r="AB3172" s="10"/>
      <c r="AC3172" s="10"/>
      <c r="AD3172" s="10"/>
      <c r="AE3172" s="10"/>
    </row>
    <row r="3173" spans="1:31" ht="14.25" customHeight="1">
      <c r="A3173" s="9"/>
      <c r="B3173" s="9"/>
      <c r="C3173" s="9"/>
      <c r="D3173" s="9"/>
      <c r="E3173" s="90"/>
      <c r="F3173" s="9"/>
      <c r="G3173" s="10"/>
      <c r="H3173" s="9"/>
      <c r="I3173" s="11"/>
      <c r="J3173" s="12"/>
      <c r="K3173" s="12"/>
      <c r="L3173" s="52"/>
      <c r="M3173" s="10"/>
      <c r="N3173" s="9"/>
      <c r="O3173" s="11"/>
      <c r="P3173" s="10"/>
      <c r="Q3173" s="10"/>
      <c r="R3173" s="10"/>
      <c r="S3173" s="10"/>
      <c r="T3173" s="10"/>
      <c r="U3173" s="10"/>
      <c r="V3173" s="10"/>
      <c r="W3173" s="10"/>
      <c r="X3173" s="10"/>
      <c r="Y3173" s="10"/>
      <c r="Z3173" s="10"/>
      <c r="AA3173" s="10"/>
      <c r="AB3173" s="10"/>
      <c r="AC3173" s="10"/>
      <c r="AD3173" s="10"/>
      <c r="AE3173" s="10"/>
    </row>
    <row r="3174" spans="1:31" ht="14.25" customHeight="1">
      <c r="A3174" s="9"/>
      <c r="B3174" s="9"/>
      <c r="C3174" s="9"/>
      <c r="D3174" s="9"/>
      <c r="E3174" s="90"/>
      <c r="F3174" s="9"/>
      <c r="G3174" s="10"/>
      <c r="H3174" s="9"/>
      <c r="I3174" s="11"/>
      <c r="J3174" s="12"/>
      <c r="K3174" s="12"/>
      <c r="L3174" s="52"/>
      <c r="M3174" s="10"/>
      <c r="N3174" s="9"/>
      <c r="O3174" s="11"/>
      <c r="P3174" s="10"/>
      <c r="Q3174" s="10"/>
      <c r="R3174" s="10"/>
      <c r="S3174" s="10"/>
      <c r="T3174" s="10"/>
      <c r="U3174" s="10"/>
      <c r="V3174" s="10"/>
      <c r="W3174" s="10"/>
      <c r="X3174" s="10"/>
      <c r="Y3174" s="10"/>
      <c r="Z3174" s="10"/>
      <c r="AA3174" s="10"/>
      <c r="AB3174" s="10"/>
      <c r="AC3174" s="10"/>
      <c r="AD3174" s="10"/>
      <c r="AE3174" s="10"/>
    </row>
    <row r="3175" spans="1:31" ht="14.25" customHeight="1">
      <c r="A3175" s="9"/>
      <c r="B3175" s="9"/>
      <c r="C3175" s="9"/>
      <c r="D3175" s="9"/>
      <c r="E3175" s="90"/>
      <c r="F3175" s="9"/>
      <c r="G3175" s="10"/>
      <c r="H3175" s="9"/>
      <c r="I3175" s="11"/>
      <c r="J3175" s="12"/>
      <c r="K3175" s="12"/>
      <c r="L3175" s="52"/>
      <c r="M3175" s="10"/>
      <c r="N3175" s="9"/>
      <c r="O3175" s="11"/>
      <c r="P3175" s="10"/>
      <c r="Q3175" s="10"/>
      <c r="R3175" s="10"/>
      <c r="S3175" s="10"/>
      <c r="T3175" s="10"/>
      <c r="U3175" s="10"/>
      <c r="V3175" s="10"/>
      <c r="W3175" s="10"/>
      <c r="X3175" s="10"/>
      <c r="Y3175" s="10"/>
      <c r="Z3175" s="10"/>
      <c r="AA3175" s="10"/>
      <c r="AB3175" s="10"/>
      <c r="AC3175" s="10"/>
      <c r="AD3175" s="10"/>
      <c r="AE3175" s="10"/>
    </row>
    <row r="3176" spans="1:31" ht="14.25" customHeight="1">
      <c r="A3176" s="9"/>
      <c r="B3176" s="9"/>
      <c r="C3176" s="9"/>
      <c r="D3176" s="9"/>
      <c r="E3176" s="90"/>
      <c r="F3176" s="9"/>
      <c r="G3176" s="10"/>
      <c r="H3176" s="9"/>
      <c r="I3176" s="11"/>
      <c r="J3176" s="12"/>
      <c r="K3176" s="12"/>
      <c r="L3176" s="52"/>
      <c r="M3176" s="10"/>
      <c r="N3176" s="9"/>
      <c r="O3176" s="11"/>
      <c r="P3176" s="10"/>
      <c r="Q3176" s="10"/>
      <c r="R3176" s="10"/>
      <c r="S3176" s="10"/>
      <c r="T3176" s="10"/>
      <c r="U3176" s="10"/>
      <c r="V3176" s="10"/>
      <c r="W3176" s="10"/>
      <c r="X3176" s="10"/>
      <c r="Y3176" s="10"/>
      <c r="Z3176" s="10"/>
      <c r="AA3176" s="10"/>
      <c r="AB3176" s="10"/>
      <c r="AC3176" s="10"/>
      <c r="AD3176" s="10"/>
      <c r="AE3176" s="10"/>
    </row>
    <row r="3177" spans="1:31" ht="14.25" customHeight="1">
      <c r="A3177" s="9"/>
      <c r="B3177" s="9"/>
      <c r="C3177" s="9"/>
      <c r="D3177" s="9"/>
      <c r="E3177" s="90"/>
      <c r="F3177" s="9"/>
      <c r="G3177" s="10"/>
      <c r="H3177" s="9"/>
      <c r="I3177" s="11"/>
      <c r="J3177" s="12"/>
      <c r="K3177" s="12"/>
      <c r="L3177" s="52"/>
      <c r="M3177" s="10"/>
      <c r="N3177" s="9"/>
      <c r="O3177" s="11"/>
      <c r="P3177" s="10"/>
      <c r="Q3177" s="10"/>
      <c r="R3177" s="10"/>
      <c r="S3177" s="10"/>
      <c r="T3177" s="10"/>
      <c r="U3177" s="10"/>
      <c r="V3177" s="10"/>
      <c r="W3177" s="10"/>
      <c r="X3177" s="10"/>
      <c r="Y3177" s="10"/>
      <c r="Z3177" s="10"/>
      <c r="AA3177" s="10"/>
      <c r="AB3177" s="10"/>
      <c r="AC3177" s="10"/>
      <c r="AD3177" s="10"/>
      <c r="AE3177" s="10"/>
    </row>
    <row r="3178" spans="1:31" ht="14.25" customHeight="1">
      <c r="A3178" s="9"/>
      <c r="B3178" s="9"/>
      <c r="C3178" s="9"/>
      <c r="D3178" s="9"/>
      <c r="E3178" s="90"/>
      <c r="F3178" s="9"/>
      <c r="G3178" s="10"/>
      <c r="H3178" s="9"/>
      <c r="I3178" s="11"/>
      <c r="J3178" s="12"/>
      <c r="K3178" s="12"/>
      <c r="L3178" s="52"/>
      <c r="M3178" s="10"/>
      <c r="N3178" s="9"/>
      <c r="O3178" s="11"/>
      <c r="P3178" s="10"/>
      <c r="Q3178" s="10"/>
      <c r="R3178" s="10"/>
      <c r="S3178" s="10"/>
      <c r="T3178" s="10"/>
      <c r="U3178" s="10"/>
      <c r="V3178" s="10"/>
      <c r="W3178" s="10"/>
      <c r="X3178" s="10"/>
      <c r="Y3178" s="10"/>
      <c r="Z3178" s="10"/>
      <c r="AA3178" s="10"/>
      <c r="AB3178" s="10"/>
      <c r="AC3178" s="10"/>
      <c r="AD3178" s="10"/>
      <c r="AE3178" s="10"/>
    </row>
    <row r="3179" spans="1:31" ht="14.25" customHeight="1">
      <c r="A3179" s="9"/>
      <c r="B3179" s="9"/>
      <c r="C3179" s="9"/>
      <c r="D3179" s="9"/>
      <c r="E3179" s="90"/>
      <c r="F3179" s="9"/>
      <c r="G3179" s="10"/>
      <c r="H3179" s="9"/>
      <c r="I3179" s="11"/>
      <c r="J3179" s="12"/>
      <c r="K3179" s="12"/>
      <c r="L3179" s="52"/>
      <c r="M3179" s="10"/>
      <c r="N3179" s="9"/>
      <c r="O3179" s="11"/>
      <c r="P3179" s="10"/>
      <c r="Q3179" s="10"/>
      <c r="R3179" s="10"/>
      <c r="S3179" s="10"/>
      <c r="T3179" s="10"/>
      <c r="U3179" s="10"/>
      <c r="V3179" s="10"/>
      <c r="W3179" s="10"/>
      <c r="X3179" s="10"/>
      <c r="Y3179" s="10"/>
      <c r="Z3179" s="10"/>
      <c r="AA3179" s="10"/>
      <c r="AB3179" s="10"/>
      <c r="AC3179" s="10"/>
      <c r="AD3179" s="10"/>
      <c r="AE3179" s="10"/>
    </row>
    <row r="3180" spans="1:31" ht="14.25" customHeight="1">
      <c r="A3180" s="9"/>
      <c r="B3180" s="9"/>
      <c r="C3180" s="9"/>
      <c r="D3180" s="9"/>
      <c r="E3180" s="90"/>
      <c r="F3180" s="9"/>
      <c r="G3180" s="10"/>
      <c r="H3180" s="9"/>
      <c r="I3180" s="11"/>
      <c r="J3180" s="12"/>
      <c r="K3180" s="12"/>
      <c r="L3180" s="52"/>
      <c r="M3180" s="10"/>
      <c r="N3180" s="9"/>
      <c r="O3180" s="11"/>
      <c r="P3180" s="10"/>
      <c r="Q3180" s="10"/>
      <c r="R3180" s="10"/>
      <c r="S3180" s="10"/>
      <c r="T3180" s="10"/>
      <c r="U3180" s="10"/>
      <c r="V3180" s="10"/>
      <c r="W3180" s="10"/>
      <c r="X3180" s="10"/>
      <c r="Y3180" s="10"/>
      <c r="Z3180" s="10"/>
      <c r="AA3180" s="10"/>
      <c r="AB3180" s="10"/>
      <c r="AC3180" s="10"/>
      <c r="AD3180" s="10"/>
      <c r="AE3180" s="10"/>
    </row>
    <row r="3181" spans="1:31" ht="14.25" customHeight="1">
      <c r="A3181" s="9"/>
      <c r="B3181" s="9"/>
      <c r="C3181" s="9"/>
      <c r="D3181" s="9"/>
      <c r="E3181" s="90"/>
      <c r="F3181" s="9"/>
      <c r="G3181" s="10"/>
      <c r="H3181" s="9"/>
      <c r="I3181" s="11"/>
      <c r="J3181" s="12"/>
      <c r="K3181" s="12"/>
      <c r="L3181" s="52"/>
      <c r="M3181" s="10"/>
      <c r="N3181" s="9"/>
      <c r="O3181" s="11"/>
      <c r="P3181" s="10"/>
      <c r="Q3181" s="10"/>
      <c r="R3181" s="10"/>
      <c r="S3181" s="10"/>
      <c r="T3181" s="10"/>
      <c r="U3181" s="10"/>
      <c r="V3181" s="10"/>
      <c r="W3181" s="10"/>
      <c r="X3181" s="10"/>
      <c r="Y3181" s="10"/>
      <c r="Z3181" s="10"/>
      <c r="AA3181" s="10"/>
      <c r="AB3181" s="10"/>
      <c r="AC3181" s="10"/>
      <c r="AD3181" s="10"/>
      <c r="AE3181" s="10"/>
    </row>
    <row r="3182" spans="1:31" ht="14.25" customHeight="1">
      <c r="A3182" s="9"/>
      <c r="B3182" s="9"/>
      <c r="C3182" s="9"/>
      <c r="D3182" s="9"/>
      <c r="E3182" s="90"/>
      <c r="F3182" s="9"/>
      <c r="G3182" s="10"/>
      <c r="H3182" s="9"/>
      <c r="I3182" s="11"/>
      <c r="J3182" s="12"/>
      <c r="K3182" s="12"/>
      <c r="L3182" s="52"/>
      <c r="M3182" s="10"/>
      <c r="N3182" s="9"/>
      <c r="O3182" s="11"/>
      <c r="P3182" s="10"/>
      <c r="Q3182" s="10"/>
      <c r="R3182" s="10"/>
      <c r="S3182" s="10"/>
      <c r="T3182" s="10"/>
      <c r="U3182" s="10"/>
      <c r="V3182" s="10"/>
      <c r="W3182" s="10"/>
      <c r="X3182" s="10"/>
      <c r="Y3182" s="10"/>
      <c r="Z3182" s="10"/>
      <c r="AA3182" s="10"/>
      <c r="AB3182" s="10"/>
      <c r="AC3182" s="10"/>
      <c r="AD3182" s="10"/>
      <c r="AE3182" s="10"/>
    </row>
    <row r="3183" spans="1:31" ht="14.25" customHeight="1">
      <c r="A3183" s="9"/>
      <c r="B3183" s="9"/>
      <c r="C3183" s="9"/>
      <c r="D3183" s="9"/>
      <c r="E3183" s="90"/>
      <c r="F3183" s="9"/>
      <c r="G3183" s="10"/>
      <c r="H3183" s="9"/>
      <c r="I3183" s="11"/>
      <c r="J3183" s="12"/>
      <c r="K3183" s="12"/>
      <c r="L3183" s="52"/>
      <c r="M3183" s="10"/>
      <c r="N3183" s="9"/>
      <c r="O3183" s="11"/>
      <c r="P3183" s="10"/>
      <c r="Q3183" s="10"/>
      <c r="R3183" s="10"/>
      <c r="S3183" s="10"/>
      <c r="T3183" s="10"/>
      <c r="U3183" s="10"/>
      <c r="V3183" s="10"/>
      <c r="W3183" s="10"/>
      <c r="X3183" s="10"/>
      <c r="Y3183" s="10"/>
      <c r="Z3183" s="10"/>
      <c r="AA3183" s="10"/>
      <c r="AB3183" s="10"/>
      <c r="AC3183" s="10"/>
      <c r="AD3183" s="10"/>
      <c r="AE3183" s="10"/>
    </row>
    <row r="3184" spans="1:31" ht="14.25" customHeight="1">
      <c r="A3184" s="9"/>
      <c r="B3184" s="9"/>
      <c r="C3184" s="9"/>
      <c r="D3184" s="9"/>
      <c r="E3184" s="90"/>
      <c r="F3184" s="9"/>
      <c r="G3184" s="10"/>
      <c r="H3184" s="9"/>
      <c r="I3184" s="11"/>
      <c r="J3184" s="12"/>
      <c r="K3184" s="12"/>
      <c r="L3184" s="52"/>
      <c r="M3184" s="10"/>
      <c r="N3184" s="9"/>
      <c r="O3184" s="11"/>
      <c r="P3184" s="10"/>
      <c r="Q3184" s="10"/>
      <c r="R3184" s="10"/>
      <c r="S3184" s="10"/>
      <c r="T3184" s="10"/>
      <c r="U3184" s="10"/>
      <c r="V3184" s="10"/>
      <c r="W3184" s="10"/>
      <c r="X3184" s="10"/>
      <c r="Y3184" s="10"/>
      <c r="Z3184" s="10"/>
      <c r="AA3184" s="10"/>
      <c r="AB3184" s="10"/>
      <c r="AC3184" s="10"/>
      <c r="AD3184" s="10"/>
      <c r="AE3184" s="10"/>
    </row>
    <row r="3185" spans="1:31" ht="14.25" customHeight="1">
      <c r="A3185" s="9"/>
      <c r="B3185" s="9"/>
      <c r="C3185" s="9"/>
      <c r="D3185" s="9"/>
      <c r="E3185" s="90"/>
      <c r="F3185" s="9"/>
      <c r="G3185" s="10"/>
      <c r="H3185" s="9"/>
      <c r="I3185" s="11"/>
      <c r="J3185" s="12"/>
      <c r="K3185" s="12"/>
      <c r="L3185" s="52"/>
      <c r="M3185" s="10"/>
      <c r="N3185" s="9"/>
      <c r="O3185" s="11"/>
      <c r="P3185" s="10"/>
      <c r="Q3185" s="10"/>
      <c r="R3185" s="10"/>
      <c r="S3185" s="10"/>
      <c r="T3185" s="10"/>
      <c r="U3185" s="10"/>
      <c r="V3185" s="10"/>
      <c r="W3185" s="10"/>
      <c r="X3185" s="10"/>
      <c r="Y3185" s="10"/>
      <c r="Z3185" s="10"/>
      <c r="AA3185" s="10"/>
      <c r="AB3185" s="10"/>
      <c r="AC3185" s="10"/>
      <c r="AD3185" s="10"/>
      <c r="AE3185" s="10"/>
    </row>
    <row r="3186" spans="1:31" ht="14.25" customHeight="1">
      <c r="A3186" s="9"/>
      <c r="B3186" s="9"/>
      <c r="C3186" s="9"/>
      <c r="D3186" s="9"/>
      <c r="E3186" s="90"/>
      <c r="F3186" s="9"/>
      <c r="G3186" s="10"/>
      <c r="H3186" s="9"/>
      <c r="I3186" s="11"/>
      <c r="J3186" s="12"/>
      <c r="K3186" s="12"/>
      <c r="L3186" s="52"/>
      <c r="M3186" s="10"/>
      <c r="N3186" s="9"/>
      <c r="O3186" s="11"/>
      <c r="P3186" s="10"/>
      <c r="Q3186" s="10"/>
      <c r="R3186" s="10"/>
      <c r="S3186" s="10"/>
      <c r="T3186" s="10"/>
      <c r="U3186" s="10"/>
      <c r="V3186" s="10"/>
      <c r="W3186" s="10"/>
      <c r="X3186" s="10"/>
      <c r="Y3186" s="10"/>
      <c r="Z3186" s="10"/>
      <c r="AA3186" s="10"/>
      <c r="AB3186" s="10"/>
      <c r="AC3186" s="10"/>
      <c r="AD3186" s="10"/>
      <c r="AE3186" s="10"/>
    </row>
    <row r="3187" spans="1:31" ht="14.25" customHeight="1">
      <c r="A3187" s="9"/>
      <c r="B3187" s="9"/>
      <c r="C3187" s="9"/>
      <c r="D3187" s="9"/>
      <c r="E3187" s="90"/>
      <c r="F3187" s="9"/>
      <c r="G3187" s="10"/>
      <c r="H3187" s="9"/>
      <c r="I3187" s="11"/>
      <c r="J3187" s="12"/>
      <c r="K3187" s="12"/>
      <c r="L3187" s="52"/>
      <c r="M3187" s="10"/>
      <c r="N3187" s="9"/>
      <c r="O3187" s="11"/>
      <c r="P3187" s="10"/>
      <c r="Q3187" s="10"/>
      <c r="R3187" s="10"/>
      <c r="S3187" s="10"/>
      <c r="T3187" s="10"/>
      <c r="U3187" s="10"/>
      <c r="V3187" s="10"/>
      <c r="W3187" s="10"/>
      <c r="X3187" s="10"/>
      <c r="Y3187" s="10"/>
      <c r="Z3187" s="10"/>
      <c r="AA3187" s="10"/>
      <c r="AB3187" s="10"/>
      <c r="AC3187" s="10"/>
      <c r="AD3187" s="10"/>
      <c r="AE3187" s="10"/>
    </row>
    <row r="3188" spans="1:31" ht="14.25" customHeight="1">
      <c r="A3188" s="9"/>
      <c r="B3188" s="9"/>
      <c r="C3188" s="9"/>
      <c r="D3188" s="9"/>
      <c r="E3188" s="90"/>
      <c r="F3188" s="9"/>
      <c r="G3188" s="10"/>
      <c r="H3188" s="9"/>
      <c r="I3188" s="11"/>
      <c r="J3188" s="12"/>
      <c r="K3188" s="12"/>
      <c r="L3188" s="52"/>
      <c r="M3188" s="10"/>
      <c r="N3188" s="9"/>
      <c r="O3188" s="11"/>
      <c r="P3188" s="10"/>
      <c r="Q3188" s="10"/>
      <c r="R3188" s="10"/>
      <c r="S3188" s="10"/>
      <c r="T3188" s="10"/>
      <c r="U3188" s="10"/>
      <c r="V3188" s="10"/>
      <c r="W3188" s="10"/>
      <c r="X3188" s="10"/>
      <c r="Y3188" s="10"/>
      <c r="Z3188" s="10"/>
      <c r="AA3188" s="10"/>
      <c r="AB3188" s="10"/>
      <c r="AC3188" s="10"/>
      <c r="AD3188" s="10"/>
      <c r="AE3188" s="10"/>
    </row>
    <row r="3189" spans="1:31" ht="14.25" customHeight="1">
      <c r="A3189" s="9"/>
      <c r="B3189" s="9"/>
      <c r="C3189" s="9"/>
      <c r="D3189" s="9"/>
      <c r="E3189" s="90"/>
      <c r="F3189" s="9"/>
      <c r="G3189" s="10"/>
      <c r="H3189" s="9"/>
      <c r="I3189" s="11"/>
      <c r="J3189" s="12"/>
      <c r="K3189" s="12"/>
      <c r="L3189" s="52"/>
      <c r="M3189" s="10"/>
      <c r="N3189" s="9"/>
      <c r="O3189" s="11"/>
      <c r="P3189" s="10"/>
      <c r="Q3189" s="10"/>
      <c r="R3189" s="10"/>
      <c r="S3189" s="10"/>
      <c r="T3189" s="10"/>
      <c r="U3189" s="10"/>
      <c r="V3189" s="10"/>
      <c r="W3189" s="10"/>
      <c r="X3189" s="10"/>
      <c r="Y3189" s="10"/>
      <c r="Z3189" s="10"/>
      <c r="AA3189" s="10"/>
      <c r="AB3189" s="10"/>
      <c r="AC3189" s="10"/>
      <c r="AD3189" s="10"/>
      <c r="AE3189" s="10"/>
    </row>
    <row r="3190" spans="1:31" ht="14.25" customHeight="1">
      <c r="A3190" s="9"/>
      <c r="B3190" s="9"/>
      <c r="C3190" s="9"/>
      <c r="D3190" s="9"/>
      <c r="E3190" s="90"/>
      <c r="F3190" s="9"/>
      <c r="G3190" s="10"/>
      <c r="H3190" s="9"/>
      <c r="I3190" s="11"/>
      <c r="J3190" s="12"/>
      <c r="K3190" s="12"/>
      <c r="L3190" s="52"/>
      <c r="M3190" s="10"/>
      <c r="N3190" s="9"/>
      <c r="O3190" s="11"/>
      <c r="P3190" s="10"/>
      <c r="Q3190" s="10"/>
      <c r="R3190" s="10"/>
      <c r="S3190" s="10"/>
      <c r="T3190" s="10"/>
      <c r="U3190" s="10"/>
      <c r="V3190" s="10"/>
      <c r="W3190" s="10"/>
      <c r="X3190" s="10"/>
      <c r="Y3190" s="10"/>
      <c r="Z3190" s="10"/>
      <c r="AA3190" s="10"/>
      <c r="AB3190" s="10"/>
      <c r="AC3190" s="10"/>
      <c r="AD3190" s="10"/>
      <c r="AE3190" s="10"/>
    </row>
    <row r="3191" spans="1:31" ht="14.25" customHeight="1">
      <c r="A3191" s="9"/>
      <c r="B3191" s="9"/>
      <c r="C3191" s="9"/>
      <c r="D3191" s="9"/>
      <c r="E3191" s="90"/>
      <c r="F3191" s="9"/>
      <c r="G3191" s="10"/>
      <c r="H3191" s="9"/>
      <c r="I3191" s="11"/>
      <c r="J3191" s="12"/>
      <c r="K3191" s="12"/>
      <c r="L3191" s="52"/>
      <c r="M3191" s="10"/>
      <c r="N3191" s="9"/>
      <c r="O3191" s="11"/>
      <c r="P3191" s="10"/>
      <c r="Q3191" s="10"/>
      <c r="R3191" s="10"/>
      <c r="S3191" s="10"/>
      <c r="T3191" s="10"/>
      <c r="U3191" s="10"/>
      <c r="V3191" s="10"/>
      <c r="W3191" s="10"/>
      <c r="X3191" s="10"/>
      <c r="Y3191" s="10"/>
      <c r="Z3191" s="10"/>
      <c r="AA3191" s="10"/>
      <c r="AB3191" s="10"/>
      <c r="AC3191" s="10"/>
      <c r="AD3191" s="10"/>
      <c r="AE3191" s="10"/>
    </row>
    <row r="3192" spans="1:31" ht="14.25" customHeight="1">
      <c r="A3192" s="9"/>
      <c r="B3192" s="9"/>
      <c r="C3192" s="9"/>
      <c r="D3192" s="9"/>
      <c r="E3192" s="90"/>
      <c r="F3192" s="9"/>
      <c r="G3192" s="10"/>
      <c r="H3192" s="9"/>
      <c r="I3192" s="11"/>
      <c r="J3192" s="12"/>
      <c r="K3192" s="12"/>
      <c r="L3192" s="52"/>
      <c r="M3192" s="10"/>
      <c r="N3192" s="9"/>
      <c r="O3192" s="11"/>
      <c r="P3192" s="10"/>
      <c r="Q3192" s="10"/>
      <c r="R3192" s="10"/>
      <c r="S3192" s="10"/>
      <c r="T3192" s="10"/>
      <c r="U3192" s="10"/>
      <c r="V3192" s="10"/>
      <c r="W3192" s="10"/>
      <c r="X3192" s="10"/>
      <c r="Y3192" s="10"/>
      <c r="Z3192" s="10"/>
      <c r="AA3192" s="10"/>
      <c r="AB3192" s="10"/>
      <c r="AC3192" s="10"/>
      <c r="AD3192" s="10"/>
      <c r="AE3192" s="10"/>
    </row>
    <row r="3193" spans="1:31" ht="14.25" customHeight="1">
      <c r="A3193" s="9"/>
      <c r="B3193" s="9"/>
      <c r="C3193" s="9"/>
      <c r="D3193" s="9"/>
      <c r="E3193" s="90"/>
      <c r="F3193" s="9"/>
      <c r="G3193" s="10"/>
      <c r="H3193" s="9"/>
      <c r="I3193" s="11"/>
      <c r="J3193" s="12"/>
      <c r="K3193" s="12"/>
      <c r="L3193" s="52"/>
      <c r="M3193" s="10"/>
      <c r="N3193" s="9"/>
      <c r="O3193" s="11"/>
      <c r="P3193" s="10"/>
      <c r="Q3193" s="10"/>
      <c r="R3193" s="10"/>
      <c r="S3193" s="10"/>
      <c r="T3193" s="10"/>
      <c r="U3193" s="10"/>
      <c r="V3193" s="10"/>
      <c r="W3193" s="10"/>
      <c r="X3193" s="10"/>
      <c r="Y3193" s="10"/>
      <c r="Z3193" s="10"/>
      <c r="AA3193" s="10"/>
      <c r="AB3193" s="10"/>
      <c r="AC3193" s="10"/>
      <c r="AD3193" s="10"/>
      <c r="AE3193" s="10"/>
    </row>
    <row r="3194" spans="1:31" ht="14.25" customHeight="1">
      <c r="A3194" s="9"/>
      <c r="B3194" s="9"/>
      <c r="C3194" s="9"/>
      <c r="D3194" s="9"/>
      <c r="E3194" s="90"/>
      <c r="F3194" s="9"/>
      <c r="G3194" s="10"/>
      <c r="H3194" s="9"/>
      <c r="I3194" s="11"/>
      <c r="J3194" s="12"/>
      <c r="K3194" s="12"/>
      <c r="L3194" s="52"/>
      <c r="M3194" s="10"/>
      <c r="N3194" s="9"/>
      <c r="O3194" s="11"/>
      <c r="P3194" s="10"/>
      <c r="Q3194" s="10"/>
      <c r="R3194" s="10"/>
      <c r="S3194" s="10"/>
      <c r="T3194" s="10"/>
      <c r="U3194" s="10"/>
      <c r="V3194" s="10"/>
      <c r="W3194" s="10"/>
      <c r="X3194" s="10"/>
      <c r="Y3194" s="10"/>
      <c r="Z3194" s="10"/>
      <c r="AA3194" s="10"/>
      <c r="AB3194" s="10"/>
      <c r="AC3194" s="10"/>
      <c r="AD3194" s="10"/>
      <c r="AE3194" s="10"/>
    </row>
    <row r="3195" spans="1:31" ht="14.25" customHeight="1">
      <c r="A3195" s="9"/>
      <c r="B3195" s="9"/>
      <c r="C3195" s="9"/>
      <c r="D3195" s="9"/>
      <c r="E3195" s="90"/>
      <c r="F3195" s="9"/>
      <c r="G3195" s="10"/>
      <c r="H3195" s="9"/>
      <c r="I3195" s="11"/>
      <c r="J3195" s="12"/>
      <c r="K3195" s="12"/>
      <c r="L3195" s="52"/>
      <c r="M3195" s="10"/>
      <c r="N3195" s="9"/>
      <c r="O3195" s="11"/>
      <c r="P3195" s="10"/>
      <c r="Q3195" s="10"/>
      <c r="R3195" s="10"/>
      <c r="S3195" s="10"/>
      <c r="T3195" s="10"/>
      <c r="U3195" s="10"/>
      <c r="V3195" s="10"/>
      <c r="W3195" s="10"/>
      <c r="X3195" s="10"/>
      <c r="Y3195" s="10"/>
      <c r="Z3195" s="10"/>
      <c r="AA3195" s="10"/>
      <c r="AB3195" s="10"/>
      <c r="AC3195" s="10"/>
      <c r="AD3195" s="10"/>
      <c r="AE3195" s="10"/>
    </row>
    <row r="3196" spans="1:31" ht="14.25" customHeight="1">
      <c r="A3196" s="9"/>
      <c r="B3196" s="9"/>
      <c r="C3196" s="9"/>
      <c r="D3196" s="9"/>
      <c r="E3196" s="90"/>
      <c r="F3196" s="9"/>
      <c r="G3196" s="10"/>
      <c r="H3196" s="9"/>
      <c r="I3196" s="11"/>
      <c r="J3196" s="12"/>
      <c r="K3196" s="12"/>
      <c r="L3196" s="52"/>
      <c r="M3196" s="10"/>
      <c r="N3196" s="9"/>
      <c r="O3196" s="11"/>
      <c r="P3196" s="10"/>
      <c r="Q3196" s="10"/>
      <c r="R3196" s="10"/>
      <c r="S3196" s="10"/>
      <c r="T3196" s="10"/>
      <c r="U3196" s="10"/>
      <c r="V3196" s="10"/>
      <c r="W3196" s="10"/>
      <c r="X3196" s="10"/>
      <c r="Y3196" s="10"/>
      <c r="Z3196" s="10"/>
      <c r="AA3196" s="10"/>
      <c r="AB3196" s="10"/>
      <c r="AC3196" s="10"/>
      <c r="AD3196" s="10"/>
      <c r="AE3196" s="10"/>
    </row>
    <row r="3197" spans="1:31" ht="14.25" customHeight="1">
      <c r="A3197" s="9"/>
      <c r="B3197" s="9"/>
      <c r="C3197" s="9"/>
      <c r="D3197" s="9"/>
      <c r="E3197" s="90"/>
      <c r="F3197" s="9"/>
      <c r="G3197" s="10"/>
      <c r="H3197" s="9"/>
      <c r="I3197" s="11"/>
      <c r="J3197" s="12"/>
      <c r="K3197" s="12"/>
      <c r="L3197" s="52"/>
      <c r="M3197" s="10"/>
      <c r="N3197" s="9"/>
      <c r="O3197" s="11"/>
      <c r="P3197" s="10"/>
      <c r="Q3197" s="10"/>
      <c r="R3197" s="10"/>
      <c r="S3197" s="10"/>
      <c r="T3197" s="10"/>
      <c r="U3197" s="10"/>
      <c r="V3197" s="10"/>
      <c r="W3197" s="10"/>
      <c r="X3197" s="10"/>
      <c r="Y3197" s="10"/>
      <c r="Z3197" s="10"/>
      <c r="AA3197" s="10"/>
      <c r="AB3197" s="10"/>
      <c r="AC3197" s="10"/>
      <c r="AD3197" s="10"/>
      <c r="AE3197" s="10"/>
    </row>
    <row r="3198" spans="1:31" ht="14.25" customHeight="1">
      <c r="A3198" s="9"/>
      <c r="B3198" s="9"/>
      <c r="C3198" s="9"/>
      <c r="D3198" s="9"/>
      <c r="E3198" s="90"/>
      <c r="F3198" s="9"/>
      <c r="G3198" s="10"/>
      <c r="H3198" s="9"/>
      <c r="I3198" s="11"/>
      <c r="J3198" s="12"/>
      <c r="K3198" s="12"/>
      <c r="L3198" s="52"/>
      <c r="M3198" s="10"/>
      <c r="N3198" s="9"/>
      <c r="O3198" s="11"/>
      <c r="P3198" s="10"/>
      <c r="Q3198" s="10"/>
      <c r="R3198" s="10"/>
      <c r="S3198" s="10"/>
      <c r="T3198" s="10"/>
      <c r="U3198" s="10"/>
      <c r="V3198" s="10"/>
      <c r="W3198" s="10"/>
      <c r="X3198" s="10"/>
      <c r="Y3198" s="10"/>
      <c r="Z3198" s="10"/>
      <c r="AA3198" s="10"/>
      <c r="AB3198" s="10"/>
      <c r="AC3198" s="10"/>
      <c r="AD3198" s="10"/>
      <c r="AE3198" s="10"/>
    </row>
    <row r="3199" spans="1:31" ht="14.25" customHeight="1">
      <c r="A3199" s="9"/>
      <c r="B3199" s="9"/>
      <c r="C3199" s="9"/>
      <c r="D3199" s="9"/>
      <c r="E3199" s="90"/>
      <c r="F3199" s="9"/>
      <c r="G3199" s="10"/>
      <c r="H3199" s="9"/>
      <c r="I3199" s="11"/>
      <c r="J3199" s="12"/>
      <c r="K3199" s="12"/>
      <c r="L3199" s="52"/>
      <c r="M3199" s="10"/>
      <c r="N3199" s="9"/>
      <c r="O3199" s="11"/>
      <c r="P3199" s="10"/>
      <c r="Q3199" s="10"/>
      <c r="R3199" s="10"/>
      <c r="S3199" s="10"/>
      <c r="T3199" s="10"/>
      <c r="U3199" s="10"/>
      <c r="V3199" s="10"/>
      <c r="W3199" s="10"/>
      <c r="X3199" s="10"/>
      <c r="Y3199" s="10"/>
      <c r="Z3199" s="10"/>
      <c r="AA3199" s="10"/>
      <c r="AB3199" s="10"/>
      <c r="AC3199" s="10"/>
      <c r="AD3199" s="10"/>
      <c r="AE3199" s="10"/>
    </row>
    <row r="3200" spans="1:31" ht="14.25" customHeight="1">
      <c r="A3200" s="9"/>
      <c r="B3200" s="9"/>
      <c r="C3200" s="9"/>
      <c r="D3200" s="9"/>
      <c r="E3200" s="90"/>
      <c r="F3200" s="9"/>
      <c r="G3200" s="10"/>
      <c r="H3200" s="9"/>
      <c r="I3200" s="11"/>
      <c r="J3200" s="12"/>
      <c r="K3200" s="12"/>
      <c r="L3200" s="52"/>
      <c r="M3200" s="10"/>
      <c r="N3200" s="9"/>
      <c r="O3200" s="11"/>
      <c r="P3200" s="10"/>
      <c r="Q3200" s="10"/>
      <c r="R3200" s="10"/>
      <c r="S3200" s="10"/>
      <c r="T3200" s="10"/>
      <c r="U3200" s="10"/>
      <c r="V3200" s="10"/>
      <c r="W3200" s="10"/>
      <c r="X3200" s="10"/>
      <c r="Y3200" s="10"/>
      <c r="Z3200" s="10"/>
      <c r="AA3200" s="10"/>
      <c r="AB3200" s="10"/>
      <c r="AC3200" s="10"/>
      <c r="AD3200" s="10"/>
      <c r="AE3200" s="10"/>
    </row>
    <row r="3201" spans="1:31" ht="14.25" customHeight="1">
      <c r="A3201" s="9"/>
      <c r="B3201" s="9"/>
      <c r="C3201" s="9"/>
      <c r="D3201" s="9"/>
      <c r="E3201" s="90"/>
      <c r="F3201" s="9"/>
      <c r="G3201" s="10"/>
      <c r="H3201" s="9"/>
      <c r="I3201" s="11"/>
      <c r="J3201" s="12"/>
      <c r="K3201" s="12"/>
      <c r="L3201" s="52"/>
      <c r="M3201" s="10"/>
      <c r="N3201" s="9"/>
      <c r="O3201" s="11"/>
      <c r="P3201" s="10"/>
      <c r="Q3201" s="10"/>
      <c r="R3201" s="10"/>
      <c r="S3201" s="10"/>
      <c r="T3201" s="10"/>
      <c r="U3201" s="10"/>
      <c r="V3201" s="10"/>
      <c r="W3201" s="10"/>
      <c r="X3201" s="10"/>
      <c r="Y3201" s="10"/>
      <c r="Z3201" s="10"/>
      <c r="AA3201" s="10"/>
      <c r="AB3201" s="10"/>
      <c r="AC3201" s="10"/>
      <c r="AD3201" s="10"/>
      <c r="AE3201" s="10"/>
    </row>
    <row r="3202" spans="1:31" ht="14.25" customHeight="1">
      <c r="A3202" s="9"/>
      <c r="B3202" s="9"/>
      <c r="C3202" s="9"/>
      <c r="D3202" s="9"/>
      <c r="E3202" s="90"/>
      <c r="F3202" s="9"/>
      <c r="G3202" s="10"/>
      <c r="H3202" s="9"/>
      <c r="I3202" s="11"/>
      <c r="J3202" s="12"/>
      <c r="K3202" s="12"/>
      <c r="L3202" s="52"/>
      <c r="M3202" s="10"/>
      <c r="N3202" s="9"/>
      <c r="O3202" s="11"/>
      <c r="P3202" s="10"/>
      <c r="Q3202" s="10"/>
      <c r="R3202" s="10"/>
      <c r="S3202" s="10"/>
      <c r="T3202" s="10"/>
      <c r="U3202" s="10"/>
      <c r="V3202" s="10"/>
      <c r="W3202" s="10"/>
      <c r="X3202" s="10"/>
      <c r="Y3202" s="10"/>
      <c r="Z3202" s="10"/>
      <c r="AA3202" s="10"/>
      <c r="AB3202" s="10"/>
      <c r="AC3202" s="10"/>
      <c r="AD3202" s="10"/>
      <c r="AE3202" s="10"/>
    </row>
    <row r="3203" spans="1:31" ht="14.25" customHeight="1">
      <c r="A3203" s="9"/>
      <c r="B3203" s="9"/>
      <c r="C3203" s="9"/>
      <c r="D3203" s="9"/>
      <c r="E3203" s="90"/>
      <c r="F3203" s="9"/>
      <c r="G3203" s="10"/>
      <c r="H3203" s="9"/>
      <c r="I3203" s="11"/>
      <c r="J3203" s="12"/>
      <c r="K3203" s="12"/>
      <c r="L3203" s="52"/>
      <c r="M3203" s="10"/>
      <c r="N3203" s="9"/>
      <c r="O3203" s="11"/>
      <c r="P3203" s="10"/>
      <c r="Q3203" s="10"/>
      <c r="R3203" s="10"/>
      <c r="S3203" s="10"/>
      <c r="T3203" s="10"/>
      <c r="U3203" s="10"/>
      <c r="V3203" s="10"/>
      <c r="W3203" s="10"/>
      <c r="X3203" s="10"/>
      <c r="Y3203" s="10"/>
      <c r="Z3203" s="10"/>
      <c r="AA3203" s="10"/>
      <c r="AB3203" s="10"/>
      <c r="AC3203" s="10"/>
      <c r="AD3203" s="10"/>
      <c r="AE3203" s="10"/>
    </row>
    <row r="3204" spans="1:31" ht="14.25" customHeight="1">
      <c r="A3204" s="9"/>
      <c r="B3204" s="9"/>
      <c r="C3204" s="9"/>
      <c r="D3204" s="9"/>
      <c r="E3204" s="90"/>
      <c r="F3204" s="9"/>
      <c r="G3204" s="10"/>
      <c r="H3204" s="9"/>
      <c r="I3204" s="11"/>
      <c r="J3204" s="12"/>
      <c r="K3204" s="12"/>
      <c r="L3204" s="52"/>
      <c r="M3204" s="10"/>
      <c r="N3204" s="9"/>
      <c r="O3204" s="11"/>
      <c r="P3204" s="10"/>
      <c r="Q3204" s="10"/>
      <c r="R3204" s="10"/>
      <c r="S3204" s="10"/>
      <c r="T3204" s="10"/>
      <c r="U3204" s="10"/>
      <c r="V3204" s="10"/>
      <c r="W3204" s="10"/>
      <c r="X3204" s="10"/>
      <c r="Y3204" s="10"/>
      <c r="Z3204" s="10"/>
      <c r="AA3204" s="10"/>
      <c r="AB3204" s="10"/>
      <c r="AC3204" s="10"/>
      <c r="AD3204" s="10"/>
      <c r="AE3204" s="10"/>
    </row>
    <row r="3205" spans="1:31" ht="14.25" customHeight="1">
      <c r="A3205" s="9"/>
      <c r="B3205" s="9"/>
      <c r="C3205" s="9"/>
      <c r="D3205" s="9"/>
      <c r="E3205" s="90"/>
      <c r="F3205" s="9"/>
      <c r="G3205" s="10"/>
      <c r="H3205" s="9"/>
      <c r="I3205" s="11"/>
      <c r="J3205" s="12"/>
      <c r="K3205" s="12"/>
      <c r="L3205" s="52"/>
      <c r="M3205" s="10"/>
      <c r="N3205" s="9"/>
      <c r="O3205" s="11"/>
      <c r="P3205" s="10"/>
      <c r="Q3205" s="10"/>
      <c r="R3205" s="10"/>
      <c r="S3205" s="10"/>
      <c r="T3205" s="10"/>
      <c r="U3205" s="10"/>
      <c r="V3205" s="10"/>
      <c r="W3205" s="10"/>
      <c r="X3205" s="10"/>
      <c r="Y3205" s="10"/>
      <c r="Z3205" s="10"/>
      <c r="AA3205" s="10"/>
      <c r="AB3205" s="10"/>
      <c r="AC3205" s="10"/>
      <c r="AD3205" s="10"/>
      <c r="AE3205" s="10"/>
    </row>
    <row r="3206" spans="1:31" ht="14.25" customHeight="1">
      <c r="A3206" s="9"/>
      <c r="B3206" s="9"/>
      <c r="C3206" s="9"/>
      <c r="D3206" s="9"/>
      <c r="E3206" s="90"/>
      <c r="F3206" s="9"/>
      <c r="G3206" s="10"/>
      <c r="H3206" s="9"/>
      <c r="I3206" s="11"/>
      <c r="J3206" s="12"/>
      <c r="K3206" s="12"/>
      <c r="L3206" s="52"/>
      <c r="M3206" s="10"/>
      <c r="N3206" s="9"/>
      <c r="O3206" s="11"/>
      <c r="P3206" s="10"/>
      <c r="Q3206" s="10"/>
      <c r="R3206" s="10"/>
      <c r="S3206" s="10"/>
      <c r="T3206" s="10"/>
      <c r="U3206" s="10"/>
      <c r="V3206" s="10"/>
      <c r="W3206" s="10"/>
      <c r="X3206" s="10"/>
      <c r="Y3206" s="10"/>
      <c r="Z3206" s="10"/>
      <c r="AA3206" s="10"/>
      <c r="AB3206" s="10"/>
      <c r="AC3206" s="10"/>
      <c r="AD3206" s="10"/>
      <c r="AE3206" s="10"/>
    </row>
    <row r="3207" spans="1:31" ht="14.25" customHeight="1">
      <c r="A3207" s="9"/>
      <c r="B3207" s="9"/>
      <c r="C3207" s="9"/>
      <c r="D3207" s="9"/>
      <c r="E3207" s="90"/>
      <c r="F3207" s="9"/>
      <c r="G3207" s="10"/>
      <c r="H3207" s="9"/>
      <c r="I3207" s="11"/>
      <c r="J3207" s="12"/>
      <c r="K3207" s="12"/>
      <c r="L3207" s="52"/>
      <c r="M3207" s="10"/>
      <c r="N3207" s="9"/>
      <c r="O3207" s="11"/>
      <c r="P3207" s="10"/>
      <c r="Q3207" s="10"/>
      <c r="R3207" s="10"/>
      <c r="S3207" s="10"/>
      <c r="T3207" s="10"/>
      <c r="U3207" s="10"/>
      <c r="V3207" s="10"/>
      <c r="W3207" s="10"/>
      <c r="X3207" s="10"/>
      <c r="Y3207" s="10"/>
      <c r="Z3207" s="10"/>
      <c r="AA3207" s="10"/>
      <c r="AB3207" s="10"/>
      <c r="AC3207" s="10"/>
      <c r="AD3207" s="10"/>
      <c r="AE3207" s="10"/>
    </row>
    <row r="3208" spans="1:31" ht="14.25" customHeight="1">
      <c r="A3208" s="9"/>
      <c r="B3208" s="9"/>
      <c r="C3208" s="9"/>
      <c r="D3208" s="9"/>
      <c r="E3208" s="90"/>
      <c r="F3208" s="9"/>
      <c r="G3208" s="10"/>
      <c r="H3208" s="9"/>
      <c r="I3208" s="11"/>
      <c r="J3208" s="12"/>
      <c r="K3208" s="12"/>
      <c r="L3208" s="52"/>
      <c r="M3208" s="10"/>
      <c r="N3208" s="9"/>
      <c r="O3208" s="11"/>
      <c r="P3208" s="10"/>
      <c r="Q3208" s="10"/>
      <c r="R3208" s="10"/>
      <c r="S3208" s="10"/>
      <c r="T3208" s="10"/>
      <c r="U3208" s="10"/>
      <c r="V3208" s="10"/>
      <c r="W3208" s="10"/>
      <c r="X3208" s="10"/>
      <c r="Y3208" s="10"/>
      <c r="Z3208" s="10"/>
      <c r="AA3208" s="10"/>
      <c r="AB3208" s="10"/>
      <c r="AC3208" s="10"/>
      <c r="AD3208" s="10"/>
      <c r="AE3208" s="10"/>
    </row>
    <row r="3209" spans="1:31" ht="14.25" customHeight="1">
      <c r="A3209" s="9"/>
      <c r="B3209" s="9"/>
      <c r="C3209" s="9"/>
      <c r="D3209" s="9"/>
      <c r="E3209" s="90"/>
      <c r="F3209" s="9"/>
      <c r="G3209" s="10"/>
      <c r="H3209" s="9"/>
      <c r="I3209" s="11"/>
      <c r="J3209" s="12"/>
      <c r="K3209" s="12"/>
      <c r="L3209" s="52"/>
      <c r="M3209" s="10"/>
      <c r="N3209" s="9"/>
      <c r="O3209" s="11"/>
      <c r="P3209" s="10"/>
      <c r="Q3209" s="10"/>
      <c r="R3209" s="10"/>
      <c r="S3209" s="10"/>
      <c r="T3209" s="10"/>
      <c r="U3209" s="10"/>
      <c r="V3209" s="10"/>
      <c r="W3209" s="10"/>
      <c r="X3209" s="10"/>
      <c r="Y3209" s="10"/>
      <c r="Z3209" s="10"/>
      <c r="AA3209" s="10"/>
      <c r="AB3209" s="10"/>
      <c r="AC3209" s="10"/>
      <c r="AD3209" s="10"/>
      <c r="AE3209" s="10"/>
    </row>
    <row r="3210" spans="1:31" ht="14.25" customHeight="1">
      <c r="A3210" s="9"/>
      <c r="B3210" s="9"/>
      <c r="C3210" s="9"/>
      <c r="D3210" s="9"/>
      <c r="E3210" s="90"/>
      <c r="F3210" s="9"/>
      <c r="G3210" s="10"/>
      <c r="H3210" s="9"/>
      <c r="I3210" s="11"/>
      <c r="J3210" s="12"/>
      <c r="K3210" s="12"/>
      <c r="L3210" s="52"/>
      <c r="M3210" s="10"/>
      <c r="N3210" s="9"/>
      <c r="O3210" s="11"/>
      <c r="P3210" s="10"/>
      <c r="Q3210" s="10"/>
      <c r="R3210" s="10"/>
      <c r="S3210" s="10"/>
      <c r="T3210" s="10"/>
      <c r="U3210" s="10"/>
      <c r="V3210" s="10"/>
      <c r="W3210" s="10"/>
      <c r="X3210" s="10"/>
      <c r="Y3210" s="10"/>
      <c r="Z3210" s="10"/>
      <c r="AA3210" s="10"/>
      <c r="AB3210" s="10"/>
      <c r="AC3210" s="10"/>
      <c r="AD3210" s="10"/>
      <c r="AE3210" s="10"/>
    </row>
    <row r="3211" spans="1:31" ht="14.25" customHeight="1">
      <c r="A3211" s="9"/>
      <c r="B3211" s="9"/>
      <c r="C3211" s="9"/>
      <c r="D3211" s="9"/>
      <c r="E3211" s="90"/>
      <c r="F3211" s="9"/>
      <c r="G3211" s="10"/>
      <c r="H3211" s="9"/>
      <c r="I3211" s="11"/>
      <c r="J3211" s="12"/>
      <c r="K3211" s="12"/>
      <c r="L3211" s="52"/>
      <c r="M3211" s="10"/>
      <c r="N3211" s="9"/>
      <c r="O3211" s="11"/>
      <c r="P3211" s="10"/>
      <c r="Q3211" s="10"/>
      <c r="R3211" s="10"/>
      <c r="S3211" s="10"/>
      <c r="T3211" s="10"/>
      <c r="U3211" s="10"/>
      <c r="V3211" s="10"/>
      <c r="W3211" s="10"/>
      <c r="X3211" s="10"/>
      <c r="Y3211" s="10"/>
      <c r="Z3211" s="10"/>
      <c r="AA3211" s="10"/>
      <c r="AB3211" s="10"/>
      <c r="AC3211" s="10"/>
      <c r="AD3211" s="10"/>
      <c r="AE3211" s="10"/>
    </row>
    <row r="3212" spans="1:31" ht="14.25" customHeight="1">
      <c r="A3212" s="9"/>
      <c r="B3212" s="9"/>
      <c r="C3212" s="9"/>
      <c r="D3212" s="9"/>
      <c r="E3212" s="90"/>
      <c r="F3212" s="9"/>
      <c r="G3212" s="10"/>
      <c r="H3212" s="9"/>
      <c r="I3212" s="11"/>
      <c r="J3212" s="12"/>
      <c r="K3212" s="12"/>
      <c r="L3212" s="52"/>
      <c r="M3212" s="10"/>
      <c r="N3212" s="9"/>
      <c r="O3212" s="11"/>
      <c r="P3212" s="10"/>
      <c r="Q3212" s="10"/>
      <c r="R3212" s="10"/>
      <c r="S3212" s="10"/>
      <c r="T3212" s="10"/>
      <c r="U3212" s="10"/>
      <c r="V3212" s="10"/>
      <c r="W3212" s="10"/>
      <c r="X3212" s="10"/>
      <c r="Y3212" s="10"/>
      <c r="Z3212" s="10"/>
      <c r="AA3212" s="10"/>
      <c r="AB3212" s="10"/>
      <c r="AC3212" s="10"/>
      <c r="AD3212" s="10"/>
      <c r="AE3212" s="10"/>
    </row>
    <row r="3213" spans="1:31" ht="14.25" customHeight="1">
      <c r="A3213" s="9"/>
      <c r="B3213" s="9"/>
      <c r="C3213" s="9"/>
      <c r="D3213" s="9"/>
      <c r="E3213" s="90"/>
      <c r="F3213" s="9"/>
      <c r="G3213" s="10"/>
      <c r="H3213" s="9"/>
      <c r="I3213" s="11"/>
      <c r="J3213" s="12"/>
      <c r="K3213" s="12"/>
      <c r="L3213" s="52"/>
      <c r="M3213" s="10"/>
      <c r="N3213" s="9"/>
      <c r="O3213" s="11"/>
      <c r="P3213" s="10"/>
      <c r="Q3213" s="10"/>
      <c r="R3213" s="10"/>
      <c r="S3213" s="10"/>
      <c r="T3213" s="10"/>
      <c r="U3213" s="10"/>
      <c r="V3213" s="10"/>
      <c r="W3213" s="10"/>
      <c r="X3213" s="10"/>
      <c r="Y3213" s="10"/>
      <c r="Z3213" s="10"/>
      <c r="AA3213" s="10"/>
      <c r="AB3213" s="10"/>
      <c r="AC3213" s="10"/>
      <c r="AD3213" s="10"/>
      <c r="AE3213" s="10"/>
    </row>
    <row r="3214" spans="1:31" ht="14.25" customHeight="1">
      <c r="A3214" s="9"/>
      <c r="B3214" s="9"/>
      <c r="C3214" s="9"/>
      <c r="D3214" s="9"/>
      <c r="E3214" s="90"/>
      <c r="F3214" s="9"/>
      <c r="G3214" s="10"/>
      <c r="H3214" s="9"/>
      <c r="I3214" s="11"/>
      <c r="J3214" s="12"/>
      <c r="K3214" s="12"/>
      <c r="L3214" s="52"/>
      <c r="M3214" s="10"/>
      <c r="N3214" s="9"/>
      <c r="O3214" s="11"/>
      <c r="P3214" s="10"/>
      <c r="Q3214" s="10"/>
      <c r="R3214" s="10"/>
      <c r="S3214" s="10"/>
      <c r="T3214" s="10"/>
      <c r="U3214" s="10"/>
      <c r="V3214" s="10"/>
      <c r="W3214" s="10"/>
      <c r="X3214" s="10"/>
      <c r="Y3214" s="10"/>
      <c r="Z3214" s="10"/>
      <c r="AA3214" s="10"/>
      <c r="AB3214" s="10"/>
      <c r="AC3214" s="10"/>
      <c r="AD3214" s="10"/>
      <c r="AE3214" s="10"/>
    </row>
    <row r="3215" spans="1:31" ht="14.25" customHeight="1">
      <c r="A3215" s="9"/>
      <c r="B3215" s="9"/>
      <c r="C3215" s="9"/>
      <c r="D3215" s="9"/>
      <c r="E3215" s="90"/>
      <c r="F3215" s="9"/>
      <c r="G3215" s="10"/>
      <c r="H3215" s="9"/>
      <c r="I3215" s="11"/>
      <c r="J3215" s="12"/>
      <c r="K3215" s="12"/>
      <c r="L3215" s="52"/>
      <c r="M3215" s="10"/>
      <c r="N3215" s="9"/>
      <c r="O3215" s="11"/>
      <c r="P3215" s="10"/>
      <c r="Q3215" s="10"/>
      <c r="R3215" s="10"/>
      <c r="S3215" s="10"/>
      <c r="T3215" s="10"/>
      <c r="U3215" s="10"/>
      <c r="V3215" s="10"/>
      <c r="W3215" s="10"/>
      <c r="X3215" s="10"/>
      <c r="Y3215" s="10"/>
      <c r="Z3215" s="10"/>
      <c r="AA3215" s="10"/>
      <c r="AB3215" s="10"/>
      <c r="AC3215" s="10"/>
      <c r="AD3215" s="10"/>
      <c r="AE3215" s="10"/>
    </row>
    <row r="3216" spans="1:31" ht="14.25" customHeight="1">
      <c r="A3216" s="9"/>
      <c r="B3216" s="9"/>
      <c r="C3216" s="9"/>
      <c r="D3216" s="9"/>
      <c r="E3216" s="90"/>
      <c r="F3216" s="9"/>
      <c r="G3216" s="10"/>
      <c r="H3216" s="9"/>
      <c r="I3216" s="11"/>
      <c r="J3216" s="12"/>
      <c r="K3216" s="12"/>
      <c r="L3216" s="52"/>
      <c r="M3216" s="10"/>
      <c r="N3216" s="9"/>
      <c r="O3216" s="11"/>
      <c r="P3216" s="10"/>
      <c r="Q3216" s="10"/>
      <c r="R3216" s="10"/>
      <c r="S3216" s="10"/>
      <c r="T3216" s="10"/>
      <c r="U3216" s="10"/>
      <c r="V3216" s="10"/>
      <c r="W3216" s="10"/>
      <c r="X3216" s="10"/>
      <c r="Y3216" s="10"/>
      <c r="Z3216" s="10"/>
      <c r="AA3216" s="10"/>
      <c r="AB3216" s="10"/>
      <c r="AC3216" s="10"/>
      <c r="AD3216" s="10"/>
      <c r="AE3216" s="10"/>
    </row>
    <row r="3217" spans="1:31" ht="14.25" customHeight="1">
      <c r="A3217" s="9"/>
      <c r="B3217" s="9"/>
      <c r="C3217" s="9"/>
      <c r="D3217" s="9"/>
      <c r="E3217" s="90"/>
      <c r="F3217" s="9"/>
      <c r="G3217" s="10"/>
      <c r="H3217" s="9"/>
      <c r="I3217" s="11"/>
      <c r="J3217" s="12"/>
      <c r="K3217" s="12"/>
      <c r="L3217" s="52"/>
      <c r="M3217" s="10"/>
      <c r="N3217" s="9"/>
      <c r="O3217" s="11"/>
      <c r="P3217" s="10"/>
      <c r="Q3217" s="10"/>
      <c r="R3217" s="10"/>
      <c r="S3217" s="10"/>
      <c r="T3217" s="10"/>
      <c r="U3217" s="10"/>
      <c r="V3217" s="10"/>
      <c r="W3217" s="10"/>
      <c r="X3217" s="10"/>
      <c r="Y3217" s="10"/>
      <c r="Z3217" s="10"/>
      <c r="AA3217" s="10"/>
      <c r="AB3217" s="10"/>
      <c r="AC3217" s="10"/>
      <c r="AD3217" s="10"/>
      <c r="AE3217" s="10"/>
    </row>
    <row r="3218" spans="1:31" ht="14.25" customHeight="1">
      <c r="A3218" s="9"/>
      <c r="B3218" s="9"/>
      <c r="C3218" s="9"/>
      <c r="D3218" s="9"/>
      <c r="E3218" s="90"/>
      <c r="F3218" s="9"/>
      <c r="G3218" s="10"/>
      <c r="H3218" s="9"/>
      <c r="I3218" s="11"/>
      <c r="J3218" s="12"/>
      <c r="K3218" s="12"/>
      <c r="L3218" s="52"/>
      <c r="M3218" s="10"/>
      <c r="N3218" s="9"/>
      <c r="O3218" s="11"/>
      <c r="P3218" s="10"/>
      <c r="Q3218" s="10"/>
      <c r="R3218" s="10"/>
      <c r="S3218" s="10"/>
      <c r="T3218" s="10"/>
      <c r="U3218" s="10"/>
      <c r="V3218" s="10"/>
      <c r="W3218" s="10"/>
      <c r="X3218" s="10"/>
      <c r="Y3218" s="10"/>
      <c r="Z3218" s="10"/>
      <c r="AA3218" s="10"/>
      <c r="AB3218" s="10"/>
      <c r="AC3218" s="10"/>
      <c r="AD3218" s="10"/>
      <c r="AE3218" s="10"/>
    </row>
    <row r="3219" spans="1:31" ht="14.25" customHeight="1">
      <c r="A3219" s="9"/>
      <c r="B3219" s="9"/>
      <c r="C3219" s="9"/>
      <c r="D3219" s="9"/>
      <c r="E3219" s="90"/>
      <c r="F3219" s="9"/>
      <c r="G3219" s="10"/>
      <c r="H3219" s="9"/>
      <c r="I3219" s="11"/>
      <c r="J3219" s="12"/>
      <c r="K3219" s="12"/>
      <c r="L3219" s="52"/>
      <c r="M3219" s="10"/>
      <c r="N3219" s="9"/>
      <c r="O3219" s="11"/>
      <c r="P3219" s="10"/>
      <c r="Q3219" s="10"/>
      <c r="R3219" s="10"/>
      <c r="S3219" s="10"/>
      <c r="T3219" s="10"/>
      <c r="U3219" s="10"/>
      <c r="V3219" s="10"/>
      <c r="W3219" s="10"/>
      <c r="X3219" s="10"/>
      <c r="Y3219" s="10"/>
      <c r="Z3219" s="10"/>
      <c r="AA3219" s="10"/>
      <c r="AB3219" s="10"/>
      <c r="AC3219" s="10"/>
      <c r="AD3219" s="10"/>
      <c r="AE3219" s="10"/>
    </row>
    <row r="3220" spans="1:31" ht="14.25" customHeight="1">
      <c r="A3220" s="9"/>
      <c r="B3220" s="9"/>
      <c r="C3220" s="9"/>
      <c r="D3220" s="9"/>
      <c r="E3220" s="90"/>
      <c r="F3220" s="9"/>
      <c r="G3220" s="10"/>
      <c r="H3220" s="9"/>
      <c r="I3220" s="11"/>
      <c r="J3220" s="12"/>
      <c r="K3220" s="12"/>
      <c r="L3220" s="52"/>
      <c r="M3220" s="10"/>
      <c r="N3220" s="9"/>
      <c r="O3220" s="11"/>
      <c r="P3220" s="10"/>
      <c r="Q3220" s="10"/>
      <c r="R3220" s="10"/>
      <c r="S3220" s="10"/>
      <c r="T3220" s="10"/>
      <c r="U3220" s="10"/>
      <c r="V3220" s="10"/>
      <c r="W3220" s="10"/>
      <c r="X3220" s="10"/>
      <c r="Y3220" s="10"/>
      <c r="Z3220" s="10"/>
      <c r="AA3220" s="10"/>
      <c r="AB3220" s="10"/>
      <c r="AC3220" s="10"/>
      <c r="AD3220" s="10"/>
      <c r="AE3220" s="10"/>
    </row>
    <row r="3221" spans="1:31" ht="14.25" customHeight="1">
      <c r="A3221" s="9"/>
      <c r="B3221" s="9"/>
      <c r="C3221" s="9"/>
      <c r="D3221" s="9"/>
      <c r="E3221" s="90"/>
      <c r="F3221" s="9"/>
      <c r="G3221" s="10"/>
      <c r="H3221" s="9"/>
      <c r="I3221" s="11"/>
      <c r="J3221" s="12"/>
      <c r="K3221" s="12"/>
      <c r="L3221" s="52"/>
      <c r="M3221" s="10"/>
      <c r="N3221" s="9"/>
      <c r="O3221" s="11"/>
      <c r="P3221" s="10"/>
      <c r="Q3221" s="10"/>
      <c r="R3221" s="10"/>
      <c r="S3221" s="10"/>
      <c r="T3221" s="10"/>
      <c r="U3221" s="10"/>
      <c r="V3221" s="10"/>
      <c r="W3221" s="10"/>
      <c r="X3221" s="10"/>
      <c r="Y3221" s="10"/>
      <c r="Z3221" s="10"/>
      <c r="AA3221" s="10"/>
      <c r="AB3221" s="10"/>
      <c r="AC3221" s="10"/>
      <c r="AD3221" s="10"/>
      <c r="AE3221" s="10"/>
    </row>
    <row r="3222" spans="1:31" ht="14.25" customHeight="1">
      <c r="A3222" s="9"/>
      <c r="B3222" s="9"/>
      <c r="C3222" s="9"/>
      <c r="D3222" s="9"/>
      <c r="E3222" s="90"/>
      <c r="F3222" s="9"/>
      <c r="G3222" s="10"/>
      <c r="H3222" s="9"/>
      <c r="I3222" s="11"/>
      <c r="J3222" s="12"/>
      <c r="K3222" s="12"/>
      <c r="L3222" s="52"/>
      <c r="M3222" s="10"/>
      <c r="N3222" s="9"/>
      <c r="O3222" s="11"/>
      <c r="P3222" s="10"/>
      <c r="Q3222" s="10"/>
      <c r="R3222" s="10"/>
      <c r="S3222" s="10"/>
      <c r="T3222" s="10"/>
      <c r="U3222" s="10"/>
      <c r="V3222" s="10"/>
      <c r="W3222" s="10"/>
      <c r="X3222" s="10"/>
      <c r="Y3222" s="10"/>
      <c r="Z3222" s="10"/>
      <c r="AA3222" s="10"/>
      <c r="AB3222" s="10"/>
      <c r="AC3222" s="10"/>
      <c r="AD3222" s="10"/>
      <c r="AE3222" s="10"/>
    </row>
    <row r="3223" spans="1:31" ht="14.25" customHeight="1">
      <c r="A3223" s="9"/>
      <c r="B3223" s="9"/>
      <c r="C3223" s="9"/>
      <c r="D3223" s="9"/>
      <c r="E3223" s="90"/>
      <c r="F3223" s="9"/>
      <c r="G3223" s="10"/>
      <c r="H3223" s="9"/>
      <c r="I3223" s="11"/>
      <c r="J3223" s="12"/>
      <c r="K3223" s="12"/>
      <c r="L3223" s="52"/>
      <c r="M3223" s="10"/>
      <c r="N3223" s="9"/>
      <c r="O3223" s="11"/>
      <c r="P3223" s="10"/>
      <c r="Q3223" s="10"/>
      <c r="R3223" s="10"/>
      <c r="S3223" s="10"/>
      <c r="T3223" s="10"/>
      <c r="U3223" s="10"/>
      <c r="V3223" s="10"/>
      <c r="W3223" s="10"/>
      <c r="X3223" s="10"/>
      <c r="Y3223" s="10"/>
      <c r="Z3223" s="10"/>
      <c r="AA3223" s="10"/>
      <c r="AB3223" s="10"/>
      <c r="AC3223" s="10"/>
      <c r="AD3223" s="10"/>
      <c r="AE3223" s="10"/>
    </row>
    <row r="3224" spans="1:31" ht="14.25" customHeight="1">
      <c r="A3224" s="9"/>
      <c r="B3224" s="9"/>
      <c r="C3224" s="9"/>
      <c r="D3224" s="9"/>
      <c r="E3224" s="90"/>
      <c r="F3224" s="9"/>
      <c r="G3224" s="10"/>
      <c r="H3224" s="9"/>
      <c r="I3224" s="11"/>
      <c r="J3224" s="12"/>
      <c r="K3224" s="12"/>
      <c r="L3224" s="52"/>
      <c r="M3224" s="10"/>
      <c r="N3224" s="9"/>
      <c r="O3224" s="11"/>
      <c r="P3224" s="10"/>
      <c r="Q3224" s="10"/>
      <c r="R3224" s="10"/>
      <c r="S3224" s="10"/>
      <c r="T3224" s="10"/>
      <c r="U3224" s="10"/>
      <c r="V3224" s="10"/>
      <c r="W3224" s="10"/>
      <c r="X3224" s="10"/>
      <c r="Y3224" s="10"/>
      <c r="Z3224" s="10"/>
      <c r="AA3224" s="10"/>
      <c r="AB3224" s="10"/>
      <c r="AC3224" s="10"/>
      <c r="AD3224" s="10"/>
      <c r="AE3224" s="10"/>
    </row>
    <row r="3225" spans="1:31" ht="14.25" customHeight="1">
      <c r="A3225" s="9"/>
      <c r="B3225" s="9"/>
      <c r="C3225" s="9"/>
      <c r="D3225" s="9"/>
      <c r="E3225" s="90"/>
      <c r="F3225" s="9"/>
      <c r="G3225" s="10"/>
      <c r="H3225" s="9"/>
      <c r="I3225" s="11"/>
      <c r="J3225" s="12"/>
      <c r="K3225" s="12"/>
      <c r="L3225" s="52"/>
      <c r="M3225" s="10"/>
      <c r="N3225" s="9"/>
      <c r="O3225" s="11"/>
      <c r="P3225" s="10"/>
      <c r="Q3225" s="10"/>
      <c r="R3225" s="10"/>
      <c r="S3225" s="10"/>
      <c r="T3225" s="10"/>
      <c r="U3225" s="10"/>
      <c r="V3225" s="10"/>
      <c r="W3225" s="10"/>
      <c r="X3225" s="10"/>
      <c r="Y3225" s="10"/>
      <c r="Z3225" s="10"/>
      <c r="AA3225" s="10"/>
      <c r="AB3225" s="10"/>
      <c r="AC3225" s="10"/>
      <c r="AD3225" s="10"/>
      <c r="AE3225" s="10"/>
    </row>
    <row r="3226" spans="1:31" ht="14.25" customHeight="1">
      <c r="A3226" s="9"/>
      <c r="B3226" s="9"/>
      <c r="C3226" s="9"/>
      <c r="D3226" s="9"/>
      <c r="E3226" s="90"/>
      <c r="F3226" s="9"/>
      <c r="G3226" s="10"/>
      <c r="H3226" s="9"/>
      <c r="I3226" s="11"/>
      <c r="J3226" s="12"/>
      <c r="K3226" s="12"/>
      <c r="L3226" s="52"/>
      <c r="M3226" s="10"/>
      <c r="N3226" s="9"/>
      <c r="O3226" s="11"/>
      <c r="P3226" s="10"/>
      <c r="Q3226" s="10"/>
      <c r="R3226" s="10"/>
      <c r="S3226" s="10"/>
      <c r="T3226" s="10"/>
      <c r="U3226" s="10"/>
      <c r="V3226" s="10"/>
      <c r="W3226" s="10"/>
      <c r="X3226" s="10"/>
      <c r="Y3226" s="10"/>
      <c r="Z3226" s="10"/>
      <c r="AA3226" s="10"/>
      <c r="AB3226" s="10"/>
      <c r="AC3226" s="10"/>
      <c r="AD3226" s="10"/>
      <c r="AE3226" s="10"/>
    </row>
    <row r="3227" spans="1:31" ht="14.25" customHeight="1">
      <c r="A3227" s="9"/>
      <c r="B3227" s="9"/>
      <c r="C3227" s="9"/>
      <c r="D3227" s="9"/>
      <c r="E3227" s="90"/>
      <c r="F3227" s="9"/>
      <c r="G3227" s="10"/>
      <c r="H3227" s="9"/>
      <c r="I3227" s="11"/>
      <c r="J3227" s="12"/>
      <c r="K3227" s="12"/>
      <c r="L3227" s="52"/>
      <c r="M3227" s="10"/>
      <c r="N3227" s="9"/>
      <c r="O3227" s="11"/>
      <c r="P3227" s="10"/>
      <c r="Q3227" s="10"/>
      <c r="R3227" s="10"/>
      <c r="S3227" s="10"/>
      <c r="T3227" s="10"/>
      <c r="U3227" s="10"/>
      <c r="V3227" s="10"/>
      <c r="W3227" s="10"/>
      <c r="X3227" s="10"/>
      <c r="Y3227" s="10"/>
      <c r="Z3227" s="10"/>
      <c r="AA3227" s="10"/>
      <c r="AB3227" s="10"/>
      <c r="AC3227" s="10"/>
      <c r="AD3227" s="10"/>
      <c r="AE3227" s="10"/>
    </row>
    <row r="3228" spans="1:31" ht="14.25" customHeight="1">
      <c r="A3228" s="9"/>
      <c r="B3228" s="9"/>
      <c r="C3228" s="9"/>
      <c r="D3228" s="9"/>
      <c r="E3228" s="90"/>
      <c r="F3228" s="9"/>
      <c r="G3228" s="10"/>
      <c r="H3228" s="9"/>
      <c r="I3228" s="11"/>
      <c r="J3228" s="12"/>
      <c r="K3228" s="12"/>
      <c r="L3228" s="52"/>
      <c r="M3228" s="10"/>
      <c r="N3228" s="9"/>
      <c r="O3228" s="11"/>
      <c r="P3228" s="10"/>
      <c r="Q3228" s="10"/>
      <c r="R3228" s="10"/>
      <c r="S3228" s="10"/>
      <c r="T3228" s="10"/>
      <c r="U3228" s="10"/>
      <c r="V3228" s="10"/>
      <c r="W3228" s="10"/>
      <c r="X3228" s="10"/>
      <c r="Y3228" s="10"/>
      <c r="Z3228" s="10"/>
      <c r="AA3228" s="10"/>
      <c r="AB3228" s="10"/>
      <c r="AC3228" s="10"/>
      <c r="AD3228" s="10"/>
      <c r="AE3228" s="10"/>
    </row>
    <row r="3229" spans="1:31" ht="14.25" customHeight="1">
      <c r="A3229" s="9"/>
      <c r="B3229" s="9"/>
      <c r="C3229" s="9"/>
      <c r="D3229" s="9"/>
      <c r="E3229" s="90"/>
      <c r="F3229" s="9"/>
      <c r="G3229" s="10"/>
      <c r="H3229" s="9"/>
      <c r="I3229" s="11"/>
      <c r="J3229" s="12"/>
      <c r="K3229" s="12"/>
      <c r="L3229" s="52"/>
      <c r="M3229" s="10"/>
      <c r="N3229" s="9"/>
      <c r="O3229" s="11"/>
      <c r="P3229" s="10"/>
      <c r="Q3229" s="10"/>
      <c r="R3229" s="10"/>
      <c r="S3229" s="10"/>
      <c r="T3229" s="10"/>
      <c r="U3229" s="10"/>
      <c r="V3229" s="10"/>
      <c r="W3229" s="10"/>
      <c r="X3229" s="10"/>
      <c r="Y3229" s="10"/>
      <c r="Z3229" s="10"/>
      <c r="AA3229" s="10"/>
      <c r="AB3229" s="10"/>
      <c r="AC3229" s="10"/>
      <c r="AD3229" s="10"/>
      <c r="AE3229" s="10"/>
    </row>
    <row r="3230" spans="1:31" ht="14.25" customHeight="1">
      <c r="A3230" s="9"/>
      <c r="B3230" s="9"/>
      <c r="C3230" s="9"/>
      <c r="D3230" s="9"/>
      <c r="E3230" s="90"/>
      <c r="F3230" s="9"/>
      <c r="G3230" s="10"/>
      <c r="H3230" s="9"/>
      <c r="I3230" s="11"/>
      <c r="J3230" s="12"/>
      <c r="K3230" s="12"/>
      <c r="L3230" s="52"/>
      <c r="M3230" s="10"/>
      <c r="N3230" s="9"/>
      <c r="O3230" s="11"/>
      <c r="P3230" s="10"/>
      <c r="Q3230" s="10"/>
      <c r="R3230" s="10"/>
      <c r="S3230" s="10"/>
      <c r="T3230" s="10"/>
      <c r="U3230" s="10"/>
      <c r="V3230" s="10"/>
      <c r="W3230" s="10"/>
      <c r="X3230" s="10"/>
      <c r="Y3230" s="10"/>
      <c r="Z3230" s="10"/>
      <c r="AA3230" s="10"/>
      <c r="AB3230" s="10"/>
      <c r="AC3230" s="10"/>
      <c r="AD3230" s="10"/>
      <c r="AE3230" s="10"/>
    </row>
    <row r="3231" spans="1:31" ht="14.25" customHeight="1">
      <c r="A3231" s="9"/>
      <c r="B3231" s="9"/>
      <c r="C3231" s="9"/>
      <c r="D3231" s="9"/>
      <c r="E3231" s="90"/>
      <c r="F3231" s="9"/>
      <c r="G3231" s="10"/>
      <c r="H3231" s="9"/>
      <c r="I3231" s="11"/>
      <c r="J3231" s="12"/>
      <c r="K3231" s="12"/>
      <c r="L3231" s="52"/>
      <c r="M3231" s="10"/>
      <c r="N3231" s="9"/>
      <c r="O3231" s="11"/>
      <c r="P3231" s="10"/>
      <c r="Q3231" s="10"/>
      <c r="R3231" s="10"/>
      <c r="S3231" s="10"/>
      <c r="T3231" s="10"/>
      <c r="U3231" s="10"/>
      <c r="V3231" s="10"/>
      <c r="W3231" s="10"/>
      <c r="X3231" s="10"/>
      <c r="Y3231" s="10"/>
      <c r="Z3231" s="10"/>
      <c r="AA3231" s="10"/>
      <c r="AB3231" s="10"/>
      <c r="AC3231" s="10"/>
      <c r="AD3231" s="10"/>
      <c r="AE3231" s="10"/>
    </row>
    <row r="3232" spans="1:31" ht="14.25" customHeight="1">
      <c r="A3232" s="9"/>
      <c r="B3232" s="9"/>
      <c r="C3232" s="9"/>
      <c r="D3232" s="9"/>
      <c r="E3232" s="90"/>
      <c r="F3232" s="9"/>
      <c r="G3232" s="10"/>
      <c r="H3232" s="9"/>
      <c r="I3232" s="11"/>
      <c r="J3232" s="12"/>
      <c r="K3232" s="12"/>
      <c r="L3232" s="52"/>
      <c r="M3232" s="10"/>
      <c r="N3232" s="9"/>
      <c r="O3232" s="11"/>
      <c r="P3232" s="10"/>
      <c r="Q3232" s="10"/>
      <c r="R3232" s="10"/>
      <c r="S3232" s="10"/>
      <c r="T3232" s="10"/>
      <c r="U3232" s="10"/>
      <c r="V3232" s="10"/>
      <c r="W3232" s="10"/>
      <c r="X3232" s="10"/>
      <c r="Y3232" s="10"/>
      <c r="Z3232" s="10"/>
      <c r="AA3232" s="10"/>
      <c r="AB3232" s="10"/>
      <c r="AC3232" s="10"/>
      <c r="AD3232" s="10"/>
      <c r="AE3232" s="10"/>
    </row>
    <row r="3233" spans="1:31" ht="14.25" customHeight="1">
      <c r="A3233" s="9"/>
      <c r="B3233" s="9"/>
      <c r="C3233" s="9"/>
      <c r="D3233" s="9"/>
      <c r="E3233" s="90"/>
      <c r="F3233" s="9"/>
      <c r="G3233" s="10"/>
      <c r="H3233" s="9"/>
      <c r="I3233" s="11"/>
      <c r="J3233" s="12"/>
      <c r="K3233" s="12"/>
      <c r="L3233" s="52"/>
      <c r="M3233" s="10"/>
      <c r="N3233" s="9"/>
      <c r="O3233" s="11"/>
      <c r="P3233" s="10"/>
      <c r="Q3233" s="10"/>
      <c r="R3233" s="10"/>
      <c r="S3233" s="10"/>
      <c r="T3233" s="10"/>
      <c r="U3233" s="10"/>
      <c r="V3233" s="10"/>
      <c r="W3233" s="10"/>
      <c r="X3233" s="10"/>
      <c r="Y3233" s="10"/>
      <c r="Z3233" s="10"/>
      <c r="AA3233" s="10"/>
      <c r="AB3233" s="10"/>
      <c r="AC3233" s="10"/>
      <c r="AD3233" s="10"/>
      <c r="AE3233" s="10"/>
    </row>
    <row r="3234" spans="1:31" ht="14.25" customHeight="1">
      <c r="A3234" s="9"/>
      <c r="B3234" s="9"/>
      <c r="C3234" s="9"/>
      <c r="D3234" s="9"/>
      <c r="E3234" s="90"/>
      <c r="F3234" s="9"/>
      <c r="G3234" s="10"/>
      <c r="H3234" s="9"/>
      <c r="I3234" s="11"/>
      <c r="J3234" s="12"/>
      <c r="K3234" s="12"/>
      <c r="L3234" s="52"/>
      <c r="M3234" s="10"/>
      <c r="N3234" s="9"/>
      <c r="O3234" s="11"/>
      <c r="P3234" s="10"/>
      <c r="Q3234" s="10"/>
      <c r="R3234" s="10"/>
      <c r="S3234" s="10"/>
      <c r="T3234" s="10"/>
      <c r="U3234" s="10"/>
      <c r="V3234" s="10"/>
      <c r="W3234" s="10"/>
      <c r="X3234" s="10"/>
      <c r="Y3234" s="10"/>
      <c r="Z3234" s="10"/>
      <c r="AA3234" s="10"/>
      <c r="AB3234" s="10"/>
      <c r="AC3234" s="10"/>
      <c r="AD3234" s="10"/>
      <c r="AE3234" s="10"/>
    </row>
    <row r="3235" spans="1:31" ht="14.25" customHeight="1">
      <c r="A3235" s="9"/>
      <c r="B3235" s="9"/>
      <c r="C3235" s="9"/>
      <c r="D3235" s="9"/>
      <c r="E3235" s="90"/>
      <c r="F3235" s="9"/>
      <c r="G3235" s="10"/>
      <c r="H3235" s="9"/>
      <c r="I3235" s="11"/>
      <c r="J3235" s="12"/>
      <c r="K3235" s="12"/>
      <c r="L3235" s="52"/>
      <c r="M3235" s="10"/>
      <c r="N3235" s="9"/>
      <c r="O3235" s="11"/>
      <c r="P3235" s="10"/>
      <c r="Q3235" s="10"/>
      <c r="R3235" s="10"/>
      <c r="S3235" s="10"/>
      <c r="T3235" s="10"/>
      <c r="U3235" s="10"/>
      <c r="V3235" s="10"/>
      <c r="W3235" s="10"/>
      <c r="X3235" s="10"/>
      <c r="Y3235" s="10"/>
      <c r="Z3235" s="10"/>
      <c r="AA3235" s="10"/>
      <c r="AB3235" s="10"/>
      <c r="AC3235" s="10"/>
      <c r="AD3235" s="10"/>
      <c r="AE3235" s="10"/>
    </row>
    <row r="3236" spans="1:31" ht="14.25" customHeight="1">
      <c r="A3236" s="9"/>
      <c r="B3236" s="9"/>
      <c r="C3236" s="9"/>
      <c r="D3236" s="9"/>
      <c r="E3236" s="90"/>
      <c r="F3236" s="9"/>
      <c r="G3236" s="10"/>
      <c r="H3236" s="9"/>
      <c r="I3236" s="11"/>
      <c r="J3236" s="12"/>
      <c r="K3236" s="12"/>
      <c r="L3236" s="52"/>
      <c r="M3236" s="10"/>
      <c r="N3236" s="9"/>
      <c r="O3236" s="11"/>
      <c r="P3236" s="10"/>
      <c r="Q3236" s="10"/>
      <c r="R3236" s="10"/>
      <c r="S3236" s="10"/>
      <c r="T3236" s="10"/>
      <c r="U3236" s="10"/>
      <c r="V3236" s="10"/>
      <c r="W3236" s="10"/>
      <c r="X3236" s="10"/>
      <c r="Y3236" s="10"/>
      <c r="Z3236" s="10"/>
      <c r="AA3236" s="10"/>
      <c r="AB3236" s="10"/>
      <c r="AC3236" s="10"/>
      <c r="AD3236" s="10"/>
      <c r="AE3236" s="10"/>
    </row>
    <row r="3237" spans="1:31" ht="14.25" customHeight="1">
      <c r="A3237" s="9"/>
      <c r="B3237" s="9"/>
      <c r="C3237" s="9"/>
      <c r="D3237" s="9"/>
      <c r="E3237" s="90"/>
      <c r="F3237" s="9"/>
      <c r="G3237" s="10"/>
      <c r="H3237" s="9"/>
      <c r="I3237" s="11"/>
      <c r="J3237" s="12"/>
      <c r="K3237" s="12"/>
      <c r="L3237" s="52"/>
      <c r="M3237" s="10"/>
      <c r="N3237" s="9"/>
      <c r="O3237" s="11"/>
      <c r="P3237" s="10"/>
      <c r="Q3237" s="10"/>
      <c r="R3237" s="10"/>
      <c r="S3237" s="10"/>
      <c r="T3237" s="10"/>
      <c r="U3237" s="10"/>
      <c r="V3237" s="10"/>
      <c r="W3237" s="10"/>
      <c r="X3237" s="10"/>
      <c r="Y3237" s="10"/>
      <c r="Z3237" s="10"/>
      <c r="AA3237" s="10"/>
      <c r="AB3237" s="10"/>
      <c r="AC3237" s="10"/>
      <c r="AD3237" s="10"/>
      <c r="AE3237" s="10"/>
    </row>
    <row r="3238" spans="1:31" ht="14.25" customHeight="1">
      <c r="A3238" s="9"/>
      <c r="B3238" s="9"/>
      <c r="C3238" s="9"/>
      <c r="D3238" s="9"/>
      <c r="E3238" s="90"/>
      <c r="F3238" s="9"/>
      <c r="G3238" s="10"/>
      <c r="H3238" s="9"/>
      <c r="I3238" s="11"/>
      <c r="J3238" s="12"/>
      <c r="K3238" s="12"/>
      <c r="L3238" s="52"/>
      <c r="M3238" s="10"/>
      <c r="N3238" s="9"/>
      <c r="O3238" s="11"/>
      <c r="P3238" s="10"/>
      <c r="Q3238" s="10"/>
      <c r="R3238" s="10"/>
      <c r="S3238" s="10"/>
      <c r="T3238" s="10"/>
      <c r="U3238" s="10"/>
      <c r="V3238" s="10"/>
      <c r="W3238" s="10"/>
      <c r="X3238" s="10"/>
      <c r="Y3238" s="10"/>
      <c r="Z3238" s="10"/>
      <c r="AA3238" s="10"/>
      <c r="AB3238" s="10"/>
      <c r="AC3238" s="10"/>
      <c r="AD3238" s="10"/>
      <c r="AE3238" s="10"/>
    </row>
    <row r="3239" spans="1:31" ht="14.25" customHeight="1">
      <c r="A3239" s="9"/>
      <c r="B3239" s="9"/>
      <c r="C3239" s="9"/>
      <c r="D3239" s="9"/>
      <c r="E3239" s="90"/>
      <c r="F3239" s="9"/>
      <c r="G3239" s="10"/>
      <c r="H3239" s="9"/>
      <c r="I3239" s="11"/>
      <c r="J3239" s="12"/>
      <c r="K3239" s="12"/>
      <c r="L3239" s="52"/>
      <c r="M3239" s="10"/>
      <c r="N3239" s="9"/>
      <c r="O3239" s="11"/>
      <c r="P3239" s="10"/>
      <c r="Q3239" s="10"/>
      <c r="R3239" s="10"/>
      <c r="S3239" s="10"/>
      <c r="T3239" s="10"/>
      <c r="U3239" s="10"/>
      <c r="V3239" s="10"/>
      <c r="W3239" s="10"/>
      <c r="X3239" s="10"/>
      <c r="Y3239" s="10"/>
      <c r="Z3239" s="10"/>
      <c r="AA3239" s="10"/>
      <c r="AB3239" s="10"/>
      <c r="AC3239" s="10"/>
      <c r="AD3239" s="10"/>
      <c r="AE3239" s="10"/>
    </row>
    <row r="3240" spans="1:31" ht="14.25" customHeight="1">
      <c r="A3240" s="9"/>
      <c r="B3240" s="9"/>
      <c r="C3240" s="9"/>
      <c r="D3240" s="9"/>
      <c r="E3240" s="90"/>
      <c r="F3240" s="9"/>
      <c r="G3240" s="10"/>
      <c r="H3240" s="9"/>
      <c r="I3240" s="11"/>
      <c r="J3240" s="12"/>
      <c r="K3240" s="12"/>
      <c r="L3240" s="52"/>
      <c r="M3240" s="10"/>
      <c r="N3240" s="9"/>
      <c r="O3240" s="11"/>
      <c r="P3240" s="10"/>
      <c r="Q3240" s="10"/>
      <c r="R3240" s="10"/>
      <c r="S3240" s="10"/>
      <c r="T3240" s="10"/>
      <c r="U3240" s="10"/>
      <c r="V3240" s="10"/>
      <c r="W3240" s="10"/>
      <c r="X3240" s="10"/>
      <c r="Y3240" s="10"/>
      <c r="Z3240" s="10"/>
      <c r="AA3240" s="10"/>
      <c r="AB3240" s="10"/>
      <c r="AC3240" s="10"/>
      <c r="AD3240" s="10"/>
      <c r="AE3240" s="10"/>
    </row>
    <row r="3241" spans="1:31" ht="14.25" customHeight="1">
      <c r="A3241" s="9"/>
      <c r="B3241" s="9"/>
      <c r="C3241" s="9"/>
      <c r="D3241" s="9"/>
      <c r="E3241" s="90"/>
      <c r="F3241" s="9"/>
      <c r="G3241" s="10"/>
      <c r="H3241" s="9"/>
      <c r="I3241" s="11"/>
      <c r="J3241" s="12"/>
      <c r="K3241" s="12"/>
      <c r="L3241" s="52"/>
      <c r="M3241" s="10"/>
      <c r="N3241" s="9"/>
      <c r="O3241" s="11"/>
      <c r="P3241" s="10"/>
      <c r="Q3241" s="10"/>
      <c r="R3241" s="10"/>
      <c r="S3241" s="10"/>
      <c r="T3241" s="10"/>
      <c r="U3241" s="10"/>
      <c r="V3241" s="10"/>
      <c r="W3241" s="10"/>
      <c r="X3241" s="10"/>
      <c r="Y3241" s="10"/>
      <c r="Z3241" s="10"/>
      <c r="AA3241" s="10"/>
      <c r="AB3241" s="10"/>
      <c r="AC3241" s="10"/>
      <c r="AD3241" s="10"/>
      <c r="AE3241" s="10"/>
    </row>
    <row r="3242" spans="1:31" ht="14.25" customHeight="1">
      <c r="A3242" s="9"/>
      <c r="B3242" s="9"/>
      <c r="C3242" s="9"/>
      <c r="D3242" s="9"/>
      <c r="E3242" s="90"/>
      <c r="F3242" s="9"/>
      <c r="G3242" s="10"/>
      <c r="H3242" s="9"/>
      <c r="I3242" s="11"/>
      <c r="J3242" s="12"/>
      <c r="K3242" s="12"/>
      <c r="L3242" s="52"/>
      <c r="M3242" s="10"/>
      <c r="N3242" s="9"/>
      <c r="O3242" s="11"/>
      <c r="P3242" s="10"/>
      <c r="Q3242" s="10"/>
      <c r="R3242" s="10"/>
      <c r="S3242" s="10"/>
      <c r="T3242" s="10"/>
      <c r="U3242" s="10"/>
      <c r="V3242" s="10"/>
      <c r="W3242" s="10"/>
      <c r="X3242" s="10"/>
      <c r="Y3242" s="10"/>
      <c r="Z3242" s="10"/>
      <c r="AA3242" s="10"/>
      <c r="AB3242" s="10"/>
      <c r="AC3242" s="10"/>
      <c r="AD3242" s="10"/>
      <c r="AE3242" s="10"/>
    </row>
    <row r="3243" spans="1:31" ht="14.25" customHeight="1">
      <c r="E3243" s="176"/>
    </row>
    <row r="3244" spans="1:31" ht="14.25" customHeight="1">
      <c r="E3244" s="176"/>
    </row>
    <row r="3245" spans="1:31" ht="14.25" customHeight="1">
      <c r="E3245" s="176"/>
    </row>
    <row r="3246" spans="1:31" ht="14.25" customHeight="1">
      <c r="E3246" s="176"/>
    </row>
    <row r="3247" spans="1:31" ht="14.25" customHeight="1">
      <c r="E3247" s="176"/>
    </row>
    <row r="3248" spans="1:31" ht="14.25" customHeight="1">
      <c r="E3248" s="176"/>
    </row>
    <row r="3249" spans="5:5" ht="14.25" customHeight="1">
      <c r="E3249" s="176"/>
    </row>
    <row r="3250" spans="5:5" ht="14.25" customHeight="1">
      <c r="E3250" s="176"/>
    </row>
    <row r="3251" spans="5:5" ht="14.25" customHeight="1">
      <c r="E3251" s="176"/>
    </row>
    <row r="3252" spans="5:5" ht="14.25" customHeight="1">
      <c r="E3252" s="176"/>
    </row>
    <row r="3253" spans="5:5" ht="14.25" customHeight="1">
      <c r="E3253" s="176"/>
    </row>
    <row r="3254" spans="5:5" ht="14.25" customHeight="1">
      <c r="E3254" s="176"/>
    </row>
    <row r="3255" spans="5:5" ht="14.25" customHeight="1">
      <c r="E3255" s="176"/>
    </row>
    <row r="3256" spans="5:5" ht="14.25" customHeight="1">
      <c r="E3256" s="176"/>
    </row>
    <row r="3257" spans="5:5" ht="14.25" customHeight="1">
      <c r="E3257" s="176"/>
    </row>
    <row r="3258" spans="5:5" ht="14.25" customHeight="1">
      <c r="E3258" s="176"/>
    </row>
    <row r="3259" spans="5:5" ht="14.25" customHeight="1">
      <c r="E3259" s="176"/>
    </row>
    <row r="3260" spans="5:5" ht="14.25" customHeight="1">
      <c r="E3260" s="176"/>
    </row>
    <row r="3261" spans="5:5" ht="14.25" customHeight="1">
      <c r="E3261" s="176"/>
    </row>
    <row r="3262" spans="5:5" ht="14.25" customHeight="1">
      <c r="E3262" s="176"/>
    </row>
    <row r="3263" spans="5:5" ht="14.25" customHeight="1">
      <c r="E3263" s="176"/>
    </row>
    <row r="3264" spans="5:5" ht="14.25" customHeight="1">
      <c r="E3264" s="176"/>
    </row>
    <row r="3265" spans="5:5" ht="14.25" customHeight="1">
      <c r="E3265" s="176"/>
    </row>
    <row r="3266" spans="5:5" ht="14.25" customHeight="1">
      <c r="E3266" s="176"/>
    </row>
    <row r="3267" spans="5:5" ht="14.25" customHeight="1">
      <c r="E3267" s="176"/>
    </row>
    <row r="3268" spans="5:5" ht="14.25" customHeight="1">
      <c r="E3268" s="176"/>
    </row>
    <row r="3269" spans="5:5" ht="14.25" customHeight="1">
      <c r="E3269" s="176"/>
    </row>
    <row r="3270" spans="5:5" ht="14.25" customHeight="1">
      <c r="E3270" s="176"/>
    </row>
    <row r="3271" spans="5:5" ht="14.25" customHeight="1">
      <c r="E3271" s="176"/>
    </row>
    <row r="3272" spans="5:5" ht="14.25" customHeight="1">
      <c r="E3272" s="176"/>
    </row>
  </sheetData>
  <autoFilter ref="A2:Z3075" xr:uid="{00000000-0009-0000-0000-000000000000}"/>
  <sortState xmlns:xlrd2="http://schemas.microsoft.com/office/spreadsheetml/2017/richdata2" ref="H276:T290">
    <sortCondition ref="J276:J290"/>
  </sortState>
  <phoneticPr fontId="28" type="noConversion"/>
  <pageMargins left="0.25" right="0.25" top="0.75" bottom="0.75" header="0" footer="0"/>
  <pageSetup paperSize="9" scale="62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7D036-951A-4688-8E78-6DC7C31DC9AA}">
  <dimension ref="D1:G57"/>
  <sheetViews>
    <sheetView topLeftCell="A7" workbookViewId="0">
      <selection activeCell="C23" sqref="C23"/>
    </sheetView>
  </sheetViews>
  <sheetFormatPr defaultRowHeight="12.75"/>
  <cols>
    <col min="7" max="7" width="10.28515625" style="1" bestFit="1" customWidth="1"/>
  </cols>
  <sheetData>
    <row r="1" spans="7:7">
      <c r="G1" s="273">
        <v>21000</v>
      </c>
    </row>
    <row r="2" spans="7:7">
      <c r="G2" s="273">
        <v>40400</v>
      </c>
    </row>
    <row r="3" spans="7:7">
      <c r="G3" s="273">
        <v>141000</v>
      </c>
    </row>
    <row r="4" spans="7:7">
      <c r="G4" s="273">
        <v>109000</v>
      </c>
    </row>
    <row r="5" spans="7:7">
      <c r="G5" s="273">
        <v>95000</v>
      </c>
    </row>
    <row r="6" spans="7:7">
      <c r="G6" s="273">
        <v>61800</v>
      </c>
    </row>
    <row r="7" spans="7:7">
      <c r="G7" s="273">
        <v>98800</v>
      </c>
    </row>
    <row r="8" spans="7:7">
      <c r="G8" s="273">
        <v>65000</v>
      </c>
    </row>
    <row r="9" spans="7:7">
      <c r="G9" s="273">
        <v>18000</v>
      </c>
    </row>
    <row r="10" spans="7:7">
      <c r="G10" s="273">
        <v>61800</v>
      </c>
    </row>
    <row r="11" spans="7:7">
      <c r="G11" s="273">
        <v>123500</v>
      </c>
    </row>
    <row r="12" spans="7:7">
      <c r="G12" s="273">
        <v>20000</v>
      </c>
    </row>
    <row r="13" spans="7:7">
      <c r="G13" s="273">
        <v>41800</v>
      </c>
    </row>
    <row r="14" spans="7:7">
      <c r="G14" s="273">
        <v>61800</v>
      </c>
    </row>
    <row r="15" spans="7:7">
      <c r="G15" s="273">
        <v>98000</v>
      </c>
    </row>
    <row r="16" spans="7:7">
      <c r="G16" s="273">
        <v>20900</v>
      </c>
    </row>
    <row r="17" spans="7:7">
      <c r="G17" s="273">
        <v>82000</v>
      </c>
    </row>
    <row r="18" spans="7:7">
      <c r="G18" s="273">
        <v>41000</v>
      </c>
    </row>
    <row r="19" spans="7:7">
      <c r="G19" s="273">
        <v>60800</v>
      </c>
    </row>
    <row r="20" spans="7:7">
      <c r="G20" s="273">
        <v>82700</v>
      </c>
    </row>
    <row r="21" spans="7:7">
      <c r="G21" s="273">
        <v>19000</v>
      </c>
    </row>
    <row r="22" spans="7:7">
      <c r="G22" s="273">
        <v>123000</v>
      </c>
    </row>
    <row r="23" spans="7:7">
      <c r="G23" s="273">
        <v>172400</v>
      </c>
    </row>
    <row r="24" spans="7:7">
      <c r="G24" s="273">
        <v>45000</v>
      </c>
    </row>
    <row r="25" spans="7:7">
      <c r="G25" s="273">
        <v>19000</v>
      </c>
    </row>
    <row r="26" spans="7:7">
      <c r="G26" s="273">
        <v>29600</v>
      </c>
    </row>
    <row r="27" spans="7:7">
      <c r="G27" s="273">
        <v>46000</v>
      </c>
    </row>
    <row r="28" spans="7:7">
      <c r="G28" s="273">
        <v>58000</v>
      </c>
    </row>
    <row r="29" spans="7:7">
      <c r="G29" s="273">
        <v>135000</v>
      </c>
    </row>
    <row r="30" spans="7:7">
      <c r="G30" s="273">
        <v>148000</v>
      </c>
    </row>
    <row r="31" spans="7:7">
      <c r="G31" s="273">
        <v>77900</v>
      </c>
    </row>
    <row r="32" spans="7:7">
      <c r="G32" s="273">
        <v>16000</v>
      </c>
    </row>
    <row r="33" spans="7:7">
      <c r="G33" s="273">
        <v>34000</v>
      </c>
    </row>
    <row r="34" spans="7:7">
      <c r="G34" s="273">
        <v>34000</v>
      </c>
    </row>
    <row r="35" spans="7:7">
      <c r="G35" s="273">
        <v>26000</v>
      </c>
    </row>
    <row r="36" spans="7:7">
      <c r="G36" s="273">
        <v>26000</v>
      </c>
    </row>
    <row r="37" spans="7:7">
      <c r="G37" s="273">
        <v>46700</v>
      </c>
    </row>
    <row r="38" spans="7:7">
      <c r="G38" s="273">
        <v>80000</v>
      </c>
    </row>
    <row r="39" spans="7:7">
      <c r="G39" s="273">
        <v>117700</v>
      </c>
    </row>
    <row r="40" spans="7:7">
      <c r="G40" s="273">
        <v>79000</v>
      </c>
    </row>
    <row r="41" spans="7:7">
      <c r="G41" s="273">
        <v>77900</v>
      </c>
    </row>
    <row r="42" spans="7:7">
      <c r="G42" s="273">
        <v>77000</v>
      </c>
    </row>
    <row r="43" spans="7:7">
      <c r="G43" s="273">
        <v>41000</v>
      </c>
    </row>
    <row r="44" spans="7:7">
      <c r="G44" s="273">
        <v>113000</v>
      </c>
    </row>
    <row r="45" spans="7:7">
      <c r="G45" s="273">
        <v>276000</v>
      </c>
    </row>
    <row r="46" spans="7:7">
      <c r="G46" s="273">
        <v>107600</v>
      </c>
    </row>
    <row r="47" spans="7:7">
      <c r="G47" s="273">
        <v>25800</v>
      </c>
    </row>
    <row r="48" spans="7:7">
      <c r="G48" s="273">
        <v>18200</v>
      </c>
    </row>
    <row r="49" spans="4:7">
      <c r="G49" s="273">
        <v>325000</v>
      </c>
    </row>
    <row r="50" spans="4:7">
      <c r="G50" s="273">
        <v>163400</v>
      </c>
    </row>
    <row r="51" spans="4:7">
      <c r="G51" s="273">
        <v>75758</v>
      </c>
    </row>
    <row r="52" spans="4:7">
      <c r="G52" s="273">
        <v>78000</v>
      </c>
    </row>
    <row r="53" spans="4:7">
      <c r="G53" s="2">
        <f>SUM(G1:G52)</f>
        <v>4055258</v>
      </c>
    </row>
    <row r="54" spans="4:7">
      <c r="F54" s="264"/>
    </row>
    <row r="55" spans="4:7">
      <c r="D55" s="3" t="s">
        <v>4476</v>
      </c>
      <c r="G55" s="1">
        <v>739260</v>
      </c>
    </row>
    <row r="57" spans="4:7">
      <c r="G57" s="1">
        <f>+G55+G53</f>
        <v>4794518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0070C0"/>
  </sheetPr>
  <dimension ref="A1:Z1842"/>
  <sheetViews>
    <sheetView showGridLines="0" workbookViewId="0">
      <pane xSplit="5" ySplit="2" topLeftCell="F282" activePane="bottomRight" state="frozen"/>
      <selection activeCell="C23" sqref="C23"/>
      <selection pane="topRight" activeCell="C23" sqref="C23"/>
      <selection pane="bottomLeft" activeCell="C23" sqref="C23"/>
      <selection pane="bottomRight" activeCell="C23" sqref="C23"/>
    </sheetView>
  </sheetViews>
  <sheetFormatPr defaultColWidth="12.5703125" defaultRowHeight="15" customHeight="1"/>
  <cols>
    <col min="1" max="1" width="6.42578125" customWidth="1"/>
    <col min="2" max="2" width="5" customWidth="1"/>
    <col min="3" max="3" width="10.42578125" customWidth="1"/>
    <col min="4" max="4" width="38.85546875" customWidth="1"/>
    <col min="5" max="5" width="13.42578125" customWidth="1"/>
    <col min="6" max="6" width="15.5703125" customWidth="1"/>
    <col min="7" max="7" width="16.85546875" customWidth="1"/>
    <col min="8" max="8" width="32" customWidth="1"/>
    <col min="9" max="9" width="15" customWidth="1"/>
    <col min="10" max="10" width="17.28515625" customWidth="1"/>
    <col min="11" max="11" width="16.85546875" customWidth="1"/>
    <col min="12" max="12" width="17.5703125" customWidth="1"/>
    <col min="13" max="13" width="16.5703125" customWidth="1"/>
    <col min="14" max="14" width="16.42578125" customWidth="1"/>
    <col min="15" max="15" width="17.42578125" customWidth="1"/>
    <col min="16" max="16" width="1.42578125" customWidth="1"/>
    <col min="17" max="17" width="11.85546875" customWidth="1"/>
    <col min="18" max="20" width="8" customWidth="1"/>
    <col min="21" max="21" width="13.28515625" customWidth="1"/>
    <col min="22" max="22" width="14.140625" customWidth="1"/>
    <col min="23" max="23" width="8" customWidth="1"/>
    <col min="24" max="26" width="7.5703125" customWidth="1"/>
  </cols>
  <sheetData>
    <row r="1" spans="1:26" ht="12.75" customHeight="1">
      <c r="A1" s="9"/>
      <c r="B1" s="10"/>
      <c r="C1" s="9">
        <v>232445</v>
      </c>
      <c r="D1" s="11"/>
      <c r="E1" s="12"/>
      <c r="F1" s="13"/>
      <c r="G1" s="14">
        <f>SUM(G3:G1839)</f>
        <v>3936852580</v>
      </c>
      <c r="H1" s="10"/>
      <c r="I1" s="9"/>
      <c r="J1" s="31">
        <v>47454652</v>
      </c>
      <c r="K1" s="10"/>
      <c r="L1" s="10"/>
      <c r="M1" s="10"/>
      <c r="N1" s="14" t="e">
        <v>#REF!</v>
      </c>
      <c r="O1" s="14" t="e">
        <v>#REF!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2.75" customHeight="1">
      <c r="A2" s="9">
        <v>0</v>
      </c>
      <c r="B2" s="15" t="s">
        <v>7</v>
      </c>
      <c r="C2" s="16" t="s">
        <v>8</v>
      </c>
      <c r="D2" s="17" t="s">
        <v>9</v>
      </c>
      <c r="E2" s="18" t="s">
        <v>10</v>
      </c>
      <c r="F2" s="19" t="s">
        <v>1793</v>
      </c>
      <c r="G2" s="20" t="s">
        <v>12</v>
      </c>
      <c r="H2" s="20" t="s">
        <v>13</v>
      </c>
      <c r="I2" s="32" t="s">
        <v>14</v>
      </c>
      <c r="J2" s="32" t="s">
        <v>15</v>
      </c>
      <c r="K2" s="32" t="s">
        <v>16</v>
      </c>
      <c r="L2" s="32" t="s">
        <v>17</v>
      </c>
      <c r="M2" s="32" t="s">
        <v>18</v>
      </c>
      <c r="N2" s="20" t="s">
        <v>19</v>
      </c>
      <c r="O2" s="20" t="s">
        <v>20</v>
      </c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14.25" customHeight="1">
      <c r="A3" s="9">
        <v>4</v>
      </c>
      <c r="B3" s="10"/>
      <c r="C3" s="21">
        <v>231053</v>
      </c>
      <c r="D3" s="22" t="s">
        <v>25</v>
      </c>
      <c r="E3" s="23">
        <v>45075</v>
      </c>
      <c r="F3" s="24">
        <v>45047</v>
      </c>
      <c r="G3" s="25">
        <v>2081250</v>
      </c>
      <c r="H3" s="26" t="s">
        <v>1794</v>
      </c>
      <c r="I3" s="233" t="s">
        <v>29</v>
      </c>
      <c r="J3" s="35">
        <v>2081250</v>
      </c>
      <c r="K3" s="36">
        <v>45189</v>
      </c>
      <c r="L3" s="36">
        <v>45189</v>
      </c>
      <c r="M3" s="36">
        <v>45189</v>
      </c>
      <c r="N3" s="37">
        <v>2081250</v>
      </c>
      <c r="O3" s="37">
        <v>0</v>
      </c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4.25" customHeight="1">
      <c r="A4" s="9">
        <v>5</v>
      </c>
      <c r="B4" s="10"/>
      <c r="C4" s="9">
        <v>231555</v>
      </c>
      <c r="D4" s="11" t="s">
        <v>25</v>
      </c>
      <c r="E4" s="12">
        <v>45148</v>
      </c>
      <c r="F4" s="13">
        <v>45139</v>
      </c>
      <c r="G4" s="27">
        <v>1040625</v>
      </c>
      <c r="H4" s="10" t="s">
        <v>1795</v>
      </c>
      <c r="I4" s="34">
        <v>142.606678703705</v>
      </c>
      <c r="J4" s="31">
        <v>3121875</v>
      </c>
      <c r="K4" s="36">
        <v>45290</v>
      </c>
      <c r="L4" s="39"/>
      <c r="M4" s="39"/>
      <c r="N4" s="37">
        <v>0</v>
      </c>
      <c r="O4" s="37">
        <v>1040625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4.25" customHeight="1">
      <c r="A5" s="9">
        <v>6</v>
      </c>
      <c r="B5" s="10"/>
      <c r="C5" s="9">
        <v>232146</v>
      </c>
      <c r="D5" s="11" t="s">
        <v>25</v>
      </c>
      <c r="E5" s="12">
        <v>45216</v>
      </c>
      <c r="F5" s="13">
        <v>45200</v>
      </c>
      <c r="G5" s="27">
        <v>2081250</v>
      </c>
      <c r="H5" s="10" t="s">
        <v>1796</v>
      </c>
      <c r="I5" s="34">
        <v>74.606678703705299</v>
      </c>
      <c r="J5" s="31"/>
      <c r="K5" s="39"/>
      <c r="L5" s="39"/>
      <c r="M5" s="39"/>
      <c r="N5" s="37">
        <v>0</v>
      </c>
      <c r="O5" s="37">
        <v>2081250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4.25" customHeight="1">
      <c r="A6" s="9">
        <v>11</v>
      </c>
      <c r="B6" s="10"/>
      <c r="C6" s="21">
        <v>230367</v>
      </c>
      <c r="D6" s="22" t="s">
        <v>1797</v>
      </c>
      <c r="E6" s="23">
        <v>44977</v>
      </c>
      <c r="F6" s="24">
        <v>44958</v>
      </c>
      <c r="G6" s="25">
        <v>975000</v>
      </c>
      <c r="H6" s="26" t="s">
        <v>1798</v>
      </c>
      <c r="I6" s="34" t="s">
        <v>29</v>
      </c>
      <c r="J6" s="25">
        <v>2525010</v>
      </c>
      <c r="K6" s="40">
        <v>45044</v>
      </c>
      <c r="L6" s="40">
        <v>45044</v>
      </c>
      <c r="M6" s="40">
        <v>45045</v>
      </c>
      <c r="N6" s="37">
        <v>975000</v>
      </c>
      <c r="O6" s="37">
        <v>0</v>
      </c>
      <c r="P6" s="10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14.25" customHeight="1">
      <c r="A7" s="9">
        <v>12</v>
      </c>
      <c r="B7" s="10"/>
      <c r="C7" s="21">
        <v>230528</v>
      </c>
      <c r="D7" s="22" t="s">
        <v>1797</v>
      </c>
      <c r="E7" s="23">
        <v>44993</v>
      </c>
      <c r="F7" s="24">
        <v>44986</v>
      </c>
      <c r="G7" s="25">
        <v>850000</v>
      </c>
      <c r="H7" s="26" t="s">
        <v>1799</v>
      </c>
      <c r="I7" s="34" t="s">
        <v>29</v>
      </c>
      <c r="J7" s="10"/>
      <c r="K7" s="39"/>
      <c r="L7" s="40">
        <v>45044</v>
      </c>
      <c r="M7" s="40">
        <v>45045</v>
      </c>
      <c r="N7" s="37">
        <v>850000</v>
      </c>
      <c r="O7" s="37">
        <v>0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4.25" customHeight="1">
      <c r="A8" s="9">
        <v>13</v>
      </c>
      <c r="B8" s="10"/>
      <c r="C8" s="21">
        <v>230651</v>
      </c>
      <c r="D8" s="22" t="s">
        <v>1797</v>
      </c>
      <c r="E8" s="23">
        <v>45012</v>
      </c>
      <c r="F8" s="24">
        <v>44986</v>
      </c>
      <c r="G8" s="25">
        <v>700010</v>
      </c>
      <c r="H8" s="26" t="s">
        <v>1800</v>
      </c>
      <c r="I8" s="34" t="s">
        <v>29</v>
      </c>
      <c r="J8" s="10"/>
      <c r="K8" s="39"/>
      <c r="L8" s="40">
        <v>45044</v>
      </c>
      <c r="M8" s="40">
        <v>45045</v>
      </c>
      <c r="N8" s="37">
        <v>700010</v>
      </c>
      <c r="O8" s="37">
        <v>0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4.25" customHeight="1">
      <c r="A9" s="9">
        <v>16</v>
      </c>
      <c r="B9" s="10"/>
      <c r="C9" s="21">
        <v>230729</v>
      </c>
      <c r="D9" s="22" t="s">
        <v>1797</v>
      </c>
      <c r="E9" s="23">
        <v>45016</v>
      </c>
      <c r="F9" s="24">
        <v>44986</v>
      </c>
      <c r="G9" s="25">
        <v>339993</v>
      </c>
      <c r="H9" s="26" t="s">
        <v>1801</v>
      </c>
      <c r="I9" s="233" t="s">
        <v>29</v>
      </c>
      <c r="J9" s="10"/>
      <c r="K9" s="39"/>
      <c r="L9" s="40">
        <v>45093</v>
      </c>
      <c r="M9" s="40">
        <v>45093</v>
      </c>
      <c r="N9" s="37">
        <v>339993</v>
      </c>
      <c r="O9" s="37">
        <v>0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4.25" customHeight="1">
      <c r="A10" s="9">
        <v>14</v>
      </c>
      <c r="B10" s="10"/>
      <c r="C10" s="21">
        <v>230764</v>
      </c>
      <c r="D10" s="22" t="s">
        <v>1797</v>
      </c>
      <c r="E10" s="23">
        <v>45020</v>
      </c>
      <c r="F10" s="24">
        <v>45017</v>
      </c>
      <c r="G10" s="25">
        <v>462000</v>
      </c>
      <c r="H10" s="26" t="s">
        <v>1802</v>
      </c>
      <c r="I10" s="233" t="s">
        <v>29</v>
      </c>
      <c r="J10" s="25">
        <v>3191993</v>
      </c>
      <c r="K10" s="40">
        <v>45092</v>
      </c>
      <c r="L10" s="40">
        <v>45093</v>
      </c>
      <c r="M10" s="40">
        <v>45093</v>
      </c>
      <c r="N10" s="37">
        <v>462000</v>
      </c>
      <c r="O10" s="37">
        <v>0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4.25" customHeight="1">
      <c r="A11" s="9">
        <v>15</v>
      </c>
      <c r="B11" s="10"/>
      <c r="C11" s="21">
        <v>230828</v>
      </c>
      <c r="D11" s="22" t="s">
        <v>1797</v>
      </c>
      <c r="E11" s="23">
        <v>45030</v>
      </c>
      <c r="F11" s="24">
        <v>45017</v>
      </c>
      <c r="G11" s="25">
        <v>510000</v>
      </c>
      <c r="H11" s="26" t="s">
        <v>1803</v>
      </c>
      <c r="I11" s="233" t="s">
        <v>29</v>
      </c>
      <c r="J11" s="10"/>
      <c r="K11" s="39"/>
      <c r="L11" s="40">
        <v>45093</v>
      </c>
      <c r="M11" s="40">
        <v>45093</v>
      </c>
      <c r="N11" s="37">
        <v>510000</v>
      </c>
      <c r="O11" s="37">
        <v>0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4.25" customHeight="1">
      <c r="A12" s="9">
        <v>17</v>
      </c>
      <c r="B12" s="10"/>
      <c r="C12" s="21">
        <v>230843</v>
      </c>
      <c r="D12" s="22" t="s">
        <v>1797</v>
      </c>
      <c r="E12" s="23">
        <v>45034</v>
      </c>
      <c r="F12" s="24">
        <v>45017</v>
      </c>
      <c r="G12" s="25">
        <v>1540000</v>
      </c>
      <c r="H12" s="26" t="s">
        <v>1804</v>
      </c>
      <c r="I12" s="233" t="s">
        <v>29</v>
      </c>
      <c r="J12" s="10"/>
      <c r="K12" s="39"/>
      <c r="L12" s="40">
        <v>45093</v>
      </c>
      <c r="M12" s="40">
        <v>45093</v>
      </c>
      <c r="N12" s="37">
        <v>1540000</v>
      </c>
      <c r="O12" s="37">
        <v>0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4.25" customHeight="1">
      <c r="A13" s="9">
        <v>18</v>
      </c>
      <c r="B13" s="10"/>
      <c r="C13" s="21">
        <v>230949</v>
      </c>
      <c r="D13" s="22" t="s">
        <v>1797</v>
      </c>
      <c r="E13" s="23">
        <v>45043</v>
      </c>
      <c r="F13" s="24">
        <v>45017</v>
      </c>
      <c r="G13" s="25">
        <v>340000</v>
      </c>
      <c r="H13" s="26" t="s">
        <v>1805</v>
      </c>
      <c r="I13" s="233" t="s">
        <v>29</v>
      </c>
      <c r="J13" s="10"/>
      <c r="K13" s="39"/>
      <c r="L13" s="40">
        <v>45093</v>
      </c>
      <c r="M13" s="40">
        <v>45093</v>
      </c>
      <c r="N13" s="37">
        <v>340000</v>
      </c>
      <c r="O13" s="37">
        <v>0</v>
      </c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ht="14.25" customHeight="1">
      <c r="A14" s="9">
        <v>19</v>
      </c>
      <c r="B14" s="10"/>
      <c r="C14" s="21">
        <v>231018</v>
      </c>
      <c r="D14" s="22" t="s">
        <v>1797</v>
      </c>
      <c r="E14" s="23">
        <v>45069</v>
      </c>
      <c r="F14" s="24">
        <v>45047</v>
      </c>
      <c r="G14" s="25">
        <v>850000</v>
      </c>
      <c r="H14" s="26" t="s">
        <v>1806</v>
      </c>
      <c r="I14" s="233" t="s">
        <v>29</v>
      </c>
      <c r="J14" s="25">
        <v>2895000</v>
      </c>
      <c r="K14" s="36">
        <v>45189</v>
      </c>
      <c r="L14" s="36">
        <v>45189</v>
      </c>
      <c r="M14" s="36">
        <v>45189</v>
      </c>
      <c r="N14" s="37">
        <v>850000</v>
      </c>
      <c r="O14" s="37">
        <v>0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4.25" customHeight="1">
      <c r="A15" s="9">
        <v>20</v>
      </c>
      <c r="B15" s="10"/>
      <c r="C15" s="21">
        <v>231228</v>
      </c>
      <c r="D15" s="22" t="s">
        <v>1797</v>
      </c>
      <c r="E15" s="23">
        <v>45098</v>
      </c>
      <c r="F15" s="24">
        <v>45078</v>
      </c>
      <c r="G15" s="25">
        <v>1450000</v>
      </c>
      <c r="H15" s="26" t="s">
        <v>1807</v>
      </c>
      <c r="I15" s="233" t="s">
        <v>29</v>
      </c>
      <c r="J15" s="10"/>
      <c r="K15" s="39"/>
      <c r="L15" s="36">
        <v>45189</v>
      </c>
      <c r="M15" s="36">
        <v>45189</v>
      </c>
      <c r="N15" s="37">
        <v>1450000</v>
      </c>
      <c r="O15" s="37">
        <v>0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4.25" customHeight="1">
      <c r="A16" s="9">
        <v>21</v>
      </c>
      <c r="B16" s="10"/>
      <c r="C16" s="21">
        <v>231364</v>
      </c>
      <c r="D16" s="22" t="s">
        <v>1797</v>
      </c>
      <c r="E16" s="23">
        <v>45118</v>
      </c>
      <c r="F16" s="24">
        <v>45108</v>
      </c>
      <c r="G16" s="25">
        <v>595000</v>
      </c>
      <c r="H16" s="26" t="s">
        <v>1808</v>
      </c>
      <c r="I16" s="233" t="s">
        <v>29</v>
      </c>
      <c r="J16" s="10"/>
      <c r="K16" s="39"/>
      <c r="L16" s="36">
        <v>45189</v>
      </c>
      <c r="M16" s="36">
        <v>45189</v>
      </c>
      <c r="N16" s="37">
        <v>595000</v>
      </c>
      <c r="O16" s="37">
        <v>0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4.25" customHeight="1">
      <c r="A17" s="9">
        <v>22</v>
      </c>
      <c r="B17" s="10"/>
      <c r="C17" s="21">
        <v>231519</v>
      </c>
      <c r="D17" s="22" t="s">
        <v>1797</v>
      </c>
      <c r="E17" s="23">
        <v>45140</v>
      </c>
      <c r="F17" s="24">
        <v>45139</v>
      </c>
      <c r="G17" s="25">
        <v>374000</v>
      </c>
      <c r="H17" s="26" t="s">
        <v>1809</v>
      </c>
      <c r="I17" s="233" t="s">
        <v>29</v>
      </c>
      <c r="J17" s="27">
        <v>1914000</v>
      </c>
      <c r="K17" s="36">
        <v>45265</v>
      </c>
      <c r="L17" s="36">
        <v>45265</v>
      </c>
      <c r="M17" s="36">
        <v>45265</v>
      </c>
      <c r="N17" s="37">
        <v>374000</v>
      </c>
      <c r="O17" s="37">
        <v>0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4.25" customHeight="1">
      <c r="A18" s="9">
        <v>23</v>
      </c>
      <c r="B18" s="10"/>
      <c r="C18" s="21">
        <v>231666</v>
      </c>
      <c r="D18" s="22" t="s">
        <v>1797</v>
      </c>
      <c r="E18" s="23">
        <v>45153</v>
      </c>
      <c r="F18" s="24">
        <v>45139</v>
      </c>
      <c r="G18" s="25">
        <v>1540000</v>
      </c>
      <c r="H18" s="26" t="s">
        <v>1810</v>
      </c>
      <c r="I18" s="233" t="s">
        <v>29</v>
      </c>
      <c r="J18" s="10"/>
      <c r="K18" s="39"/>
      <c r="L18" s="36">
        <v>45265</v>
      </c>
      <c r="M18" s="36">
        <v>45265</v>
      </c>
      <c r="N18" s="37">
        <v>1540000</v>
      </c>
      <c r="O18" s="37">
        <v>0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4.25" customHeight="1">
      <c r="A19" s="9">
        <v>28</v>
      </c>
      <c r="B19" s="10"/>
      <c r="C19" s="21">
        <v>230405</v>
      </c>
      <c r="D19" s="22" t="s">
        <v>34</v>
      </c>
      <c r="E19" s="23">
        <v>44982</v>
      </c>
      <c r="F19" s="24">
        <v>44958</v>
      </c>
      <c r="G19" s="25">
        <v>564146</v>
      </c>
      <c r="H19" s="26" t="s">
        <v>1811</v>
      </c>
      <c r="I19" s="34" t="s">
        <v>29</v>
      </c>
      <c r="J19" s="25">
        <v>26683428</v>
      </c>
      <c r="K19" s="40">
        <v>45071</v>
      </c>
      <c r="L19" s="40">
        <v>45071</v>
      </c>
      <c r="M19" s="40">
        <v>45072</v>
      </c>
      <c r="N19" s="37">
        <v>564146</v>
      </c>
      <c r="O19" s="37">
        <v>0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4.25" customHeight="1">
      <c r="A20" s="9">
        <v>29</v>
      </c>
      <c r="B20" s="10"/>
      <c r="C20" s="21">
        <v>230472</v>
      </c>
      <c r="D20" s="22" t="s">
        <v>34</v>
      </c>
      <c r="E20" s="23">
        <v>44985</v>
      </c>
      <c r="F20" s="24">
        <v>44958</v>
      </c>
      <c r="G20" s="25">
        <v>12091985</v>
      </c>
      <c r="H20" s="26" t="s">
        <v>1812</v>
      </c>
      <c r="I20" s="34" t="s">
        <v>29</v>
      </c>
      <c r="J20" s="10"/>
      <c r="K20" s="39"/>
      <c r="L20" s="40">
        <v>45071</v>
      </c>
      <c r="M20" s="40">
        <v>45072</v>
      </c>
      <c r="N20" s="37">
        <v>12091985</v>
      </c>
      <c r="O20" s="37">
        <v>0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4.25" customHeight="1">
      <c r="A21" s="9">
        <v>30</v>
      </c>
      <c r="B21" s="10"/>
      <c r="C21" s="21">
        <v>230502</v>
      </c>
      <c r="D21" s="22" t="s">
        <v>34</v>
      </c>
      <c r="E21" s="23">
        <v>44991</v>
      </c>
      <c r="F21" s="24">
        <v>44986</v>
      </c>
      <c r="G21" s="25">
        <v>1749582</v>
      </c>
      <c r="H21" s="26" t="s">
        <v>1813</v>
      </c>
      <c r="I21" s="34" t="s">
        <v>29</v>
      </c>
      <c r="J21" s="10"/>
      <c r="K21" s="39"/>
      <c r="L21" s="40">
        <v>45071</v>
      </c>
      <c r="M21" s="40">
        <v>45072</v>
      </c>
      <c r="N21" s="37">
        <v>1749582</v>
      </c>
      <c r="O21" s="37">
        <v>0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4.25" customHeight="1">
      <c r="A22" s="9">
        <v>31</v>
      </c>
      <c r="B22" s="10"/>
      <c r="C22" s="21">
        <v>230554</v>
      </c>
      <c r="D22" s="22" t="s">
        <v>34</v>
      </c>
      <c r="E22" s="23">
        <v>44995</v>
      </c>
      <c r="F22" s="24">
        <v>44986</v>
      </c>
      <c r="G22" s="25">
        <v>2013984</v>
      </c>
      <c r="H22" s="26" t="s">
        <v>1814</v>
      </c>
      <c r="I22" s="34" t="s">
        <v>29</v>
      </c>
      <c r="J22" s="10"/>
      <c r="K22" s="39"/>
      <c r="L22" s="40">
        <v>45071</v>
      </c>
      <c r="M22" s="40">
        <v>45072</v>
      </c>
      <c r="N22" s="37">
        <v>2013984</v>
      </c>
      <c r="O22" s="37">
        <v>0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4.25" customHeight="1">
      <c r="A23" s="9">
        <v>32</v>
      </c>
      <c r="B23" s="10"/>
      <c r="C23" s="21">
        <v>230576</v>
      </c>
      <c r="D23" s="22" t="s">
        <v>34</v>
      </c>
      <c r="E23" s="23">
        <v>45000</v>
      </c>
      <c r="F23" s="24">
        <v>44986</v>
      </c>
      <c r="G23" s="25">
        <v>1495315</v>
      </c>
      <c r="H23" s="26" t="s">
        <v>1815</v>
      </c>
      <c r="I23" s="34" t="s">
        <v>29</v>
      </c>
      <c r="J23" s="10"/>
      <c r="K23" s="39"/>
      <c r="L23" s="40">
        <v>45071</v>
      </c>
      <c r="M23" s="40">
        <v>45072</v>
      </c>
      <c r="N23" s="37">
        <v>1495315</v>
      </c>
      <c r="O23" s="37">
        <v>0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4.25" customHeight="1">
      <c r="A24" s="9">
        <v>33</v>
      </c>
      <c r="B24" s="10"/>
      <c r="C24" s="21">
        <v>230593</v>
      </c>
      <c r="D24" s="22" t="s">
        <v>34</v>
      </c>
      <c r="E24" s="23">
        <v>45002</v>
      </c>
      <c r="F24" s="24">
        <v>44986</v>
      </c>
      <c r="G24" s="25">
        <v>1315696</v>
      </c>
      <c r="H24" s="26" t="s">
        <v>1816</v>
      </c>
      <c r="I24" s="34" t="s">
        <v>29</v>
      </c>
      <c r="J24" s="10"/>
      <c r="K24" s="39"/>
      <c r="L24" s="40">
        <v>45071</v>
      </c>
      <c r="M24" s="40">
        <v>45072</v>
      </c>
      <c r="N24" s="37">
        <v>1315696</v>
      </c>
      <c r="O24" s="37">
        <v>0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4.25" customHeight="1">
      <c r="A25" s="9">
        <v>34</v>
      </c>
      <c r="B25" s="10"/>
      <c r="C25" s="21">
        <v>230648</v>
      </c>
      <c r="D25" s="22" t="s">
        <v>34</v>
      </c>
      <c r="E25" s="23">
        <v>45012</v>
      </c>
      <c r="F25" s="24">
        <v>44986</v>
      </c>
      <c r="G25" s="25">
        <v>1922256</v>
      </c>
      <c r="H25" s="26" t="s">
        <v>1817</v>
      </c>
      <c r="I25" s="34" t="s">
        <v>29</v>
      </c>
      <c r="J25" s="10"/>
      <c r="K25" s="39"/>
      <c r="L25" s="40">
        <v>45071</v>
      </c>
      <c r="M25" s="40">
        <v>45072</v>
      </c>
      <c r="N25" s="37">
        <v>1922256</v>
      </c>
      <c r="O25" s="37">
        <v>0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4.25" customHeight="1">
      <c r="A26" s="9">
        <v>36</v>
      </c>
      <c r="B26" s="10"/>
      <c r="C26" s="21">
        <v>230705</v>
      </c>
      <c r="D26" s="22" t="s">
        <v>34</v>
      </c>
      <c r="E26" s="23">
        <v>45014</v>
      </c>
      <c r="F26" s="24">
        <v>44986</v>
      </c>
      <c r="G26" s="25">
        <v>5310684</v>
      </c>
      <c r="H26" s="26" t="s">
        <v>1818</v>
      </c>
      <c r="I26" s="34" t="s">
        <v>29</v>
      </c>
      <c r="J26" s="10"/>
      <c r="K26" s="39"/>
      <c r="L26" s="40">
        <v>45071</v>
      </c>
      <c r="M26" s="40">
        <v>45072</v>
      </c>
      <c r="N26" s="37">
        <v>5310684</v>
      </c>
      <c r="O26" s="37">
        <v>0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4.25" customHeight="1">
      <c r="A27" s="9">
        <v>35</v>
      </c>
      <c r="B27" s="10"/>
      <c r="C27" s="21">
        <v>230706</v>
      </c>
      <c r="D27" s="22" t="s">
        <v>34</v>
      </c>
      <c r="E27" s="23">
        <v>45014</v>
      </c>
      <c r="F27" s="24">
        <v>44986</v>
      </c>
      <c r="G27" s="25">
        <v>219780</v>
      </c>
      <c r="H27" s="26" t="s">
        <v>1819</v>
      </c>
      <c r="I27" s="34" t="s">
        <v>29</v>
      </c>
      <c r="J27" s="10"/>
      <c r="K27" s="39"/>
      <c r="L27" s="40">
        <v>45071</v>
      </c>
      <c r="M27" s="40">
        <v>45072</v>
      </c>
      <c r="N27" s="37">
        <v>219780</v>
      </c>
      <c r="O27" s="37">
        <v>0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4.25" customHeight="1">
      <c r="A28" s="9">
        <v>37</v>
      </c>
      <c r="B28" s="10"/>
      <c r="C28" s="21">
        <v>230760</v>
      </c>
      <c r="D28" s="22" t="s">
        <v>34</v>
      </c>
      <c r="E28" s="23">
        <v>45021</v>
      </c>
      <c r="F28" s="24">
        <v>45017</v>
      </c>
      <c r="G28" s="25">
        <v>3868093</v>
      </c>
      <c r="H28" s="26" t="s">
        <v>1820</v>
      </c>
      <c r="I28" s="233" t="s">
        <v>29</v>
      </c>
      <c r="J28" s="25">
        <v>5373519</v>
      </c>
      <c r="K28" s="40">
        <v>45092</v>
      </c>
      <c r="L28" s="40">
        <v>45093</v>
      </c>
      <c r="M28" s="40">
        <v>45093</v>
      </c>
      <c r="N28" s="37">
        <v>3868093</v>
      </c>
      <c r="O28" s="37">
        <v>0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4.25" customHeight="1">
      <c r="A29" s="9">
        <v>38</v>
      </c>
      <c r="B29" s="10"/>
      <c r="C29" s="21">
        <v>230818</v>
      </c>
      <c r="D29" s="22" t="s">
        <v>34</v>
      </c>
      <c r="E29" s="23">
        <v>45028</v>
      </c>
      <c r="F29" s="24">
        <v>45017</v>
      </c>
      <c r="G29" s="25">
        <v>382395</v>
      </c>
      <c r="H29" s="26" t="s">
        <v>1821</v>
      </c>
      <c r="I29" s="233" t="s">
        <v>29</v>
      </c>
      <c r="J29" s="10"/>
      <c r="K29" s="39"/>
      <c r="L29" s="40">
        <v>45093</v>
      </c>
      <c r="M29" s="40">
        <v>45093</v>
      </c>
      <c r="N29" s="37">
        <v>382395</v>
      </c>
      <c r="O29" s="37">
        <v>0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4.25" customHeight="1">
      <c r="A30" s="9">
        <v>39</v>
      </c>
      <c r="B30" s="10"/>
      <c r="C30" s="21">
        <v>230868</v>
      </c>
      <c r="D30" s="22" t="s">
        <v>34</v>
      </c>
      <c r="E30" s="23">
        <v>45042</v>
      </c>
      <c r="F30" s="24">
        <v>45017</v>
      </c>
      <c r="G30" s="25">
        <v>805749</v>
      </c>
      <c r="H30" s="26" t="s">
        <v>1822</v>
      </c>
      <c r="I30" s="233" t="s">
        <v>29</v>
      </c>
      <c r="J30" s="10"/>
      <c r="K30" s="39"/>
      <c r="L30" s="40">
        <v>45093</v>
      </c>
      <c r="M30" s="40">
        <v>45093</v>
      </c>
      <c r="N30" s="37">
        <v>805749</v>
      </c>
      <c r="O30" s="37">
        <v>0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4.25" customHeight="1">
      <c r="A31" s="9">
        <v>40</v>
      </c>
      <c r="B31" s="10"/>
      <c r="C31" s="21">
        <v>230886</v>
      </c>
      <c r="D31" s="22" t="s">
        <v>34</v>
      </c>
      <c r="E31" s="23">
        <v>45044</v>
      </c>
      <c r="F31" s="24">
        <v>45017</v>
      </c>
      <c r="G31" s="25">
        <v>317282</v>
      </c>
      <c r="H31" s="26" t="s">
        <v>1823</v>
      </c>
      <c r="I31" s="233" t="s">
        <v>29</v>
      </c>
      <c r="J31" s="10"/>
      <c r="K31" s="39"/>
      <c r="L31" s="40">
        <v>45093</v>
      </c>
      <c r="M31" s="40">
        <v>45093</v>
      </c>
      <c r="N31" s="37">
        <v>317282</v>
      </c>
      <c r="O31" s="37">
        <v>0</v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4.25" customHeight="1">
      <c r="A32" s="9">
        <v>41</v>
      </c>
      <c r="B32" s="10"/>
      <c r="C32" s="28">
        <v>231092</v>
      </c>
      <c r="D32" s="26" t="s">
        <v>34</v>
      </c>
      <c r="E32" s="23">
        <v>45073</v>
      </c>
      <c r="F32" s="24">
        <v>45047</v>
      </c>
      <c r="G32" s="29">
        <v>3549626</v>
      </c>
      <c r="H32" s="30" t="s">
        <v>1824</v>
      </c>
      <c r="I32" s="233" t="s">
        <v>29</v>
      </c>
      <c r="J32" s="25">
        <v>12653313</v>
      </c>
      <c r="K32" s="36">
        <v>45122</v>
      </c>
      <c r="L32" s="40">
        <v>45123</v>
      </c>
      <c r="M32" s="40">
        <v>45123</v>
      </c>
      <c r="N32" s="37">
        <v>3549626</v>
      </c>
      <c r="O32" s="37">
        <v>0</v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4.25" customHeight="1">
      <c r="A33" s="9">
        <v>42</v>
      </c>
      <c r="B33" s="10"/>
      <c r="C33" s="21">
        <v>231054</v>
      </c>
      <c r="D33" s="22" t="s">
        <v>34</v>
      </c>
      <c r="E33" s="23">
        <v>45075</v>
      </c>
      <c r="F33" s="24">
        <v>45047</v>
      </c>
      <c r="G33" s="25">
        <v>2289974</v>
      </c>
      <c r="H33" s="26" t="s">
        <v>1825</v>
      </c>
      <c r="I33" s="233" t="s">
        <v>29</v>
      </c>
      <c r="J33" s="10"/>
      <c r="K33" s="39"/>
      <c r="L33" s="40">
        <v>45123</v>
      </c>
      <c r="M33" s="40">
        <v>45123</v>
      </c>
      <c r="N33" s="37">
        <v>2289974</v>
      </c>
      <c r="O33" s="37">
        <v>0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4.25" customHeight="1">
      <c r="A34" s="9">
        <v>46</v>
      </c>
      <c r="B34" s="10"/>
      <c r="C34" s="21">
        <v>231072</v>
      </c>
      <c r="D34" s="22" t="s">
        <v>34</v>
      </c>
      <c r="E34" s="23">
        <v>45079</v>
      </c>
      <c r="F34" s="24">
        <v>45078</v>
      </c>
      <c r="G34" s="25">
        <v>536130</v>
      </c>
      <c r="H34" s="26" t="s">
        <v>1826</v>
      </c>
      <c r="I34" s="233" t="s">
        <v>29</v>
      </c>
      <c r="J34" s="10"/>
      <c r="K34" s="39"/>
      <c r="L34" s="40">
        <v>45123</v>
      </c>
      <c r="M34" s="40">
        <v>45123</v>
      </c>
      <c r="N34" s="37">
        <v>536130</v>
      </c>
      <c r="O34" s="37">
        <v>0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4.25" customHeight="1">
      <c r="A35" s="9">
        <v>45</v>
      </c>
      <c r="B35" s="10"/>
      <c r="C35" s="21">
        <v>231132</v>
      </c>
      <c r="D35" s="22" t="s">
        <v>34</v>
      </c>
      <c r="E35" s="23">
        <v>45086</v>
      </c>
      <c r="F35" s="24">
        <v>45078</v>
      </c>
      <c r="G35" s="25">
        <v>1495725</v>
      </c>
      <c r="H35" s="26" t="s">
        <v>1827</v>
      </c>
      <c r="I35" s="233" t="s">
        <v>29</v>
      </c>
      <c r="J35" s="10"/>
      <c r="K35" s="39"/>
      <c r="L35" s="40">
        <v>45123</v>
      </c>
      <c r="M35" s="40">
        <v>45123</v>
      </c>
      <c r="N35" s="37">
        <v>1495725</v>
      </c>
      <c r="O35" s="37">
        <v>0</v>
      </c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4.25" customHeight="1">
      <c r="A36" s="9">
        <v>44</v>
      </c>
      <c r="B36" s="10"/>
      <c r="C36" s="21">
        <v>231137</v>
      </c>
      <c r="D36" s="22" t="s">
        <v>34</v>
      </c>
      <c r="E36" s="23">
        <v>45086</v>
      </c>
      <c r="F36" s="24">
        <v>45078</v>
      </c>
      <c r="G36" s="25">
        <v>159840</v>
      </c>
      <c r="H36" s="26" t="s">
        <v>1828</v>
      </c>
      <c r="I36" s="233" t="s">
        <v>29</v>
      </c>
      <c r="J36" s="10"/>
      <c r="K36" s="39"/>
      <c r="L36" s="40">
        <v>45123</v>
      </c>
      <c r="M36" s="40">
        <v>45123</v>
      </c>
      <c r="N36" s="37">
        <v>159840</v>
      </c>
      <c r="O36" s="37">
        <v>0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4.25" customHeight="1">
      <c r="A37" s="9">
        <v>43</v>
      </c>
      <c r="B37" s="10"/>
      <c r="C37" s="21">
        <v>231144</v>
      </c>
      <c r="D37" s="22" t="s">
        <v>34</v>
      </c>
      <c r="E37" s="23">
        <v>45086</v>
      </c>
      <c r="F37" s="24">
        <v>45078</v>
      </c>
      <c r="G37" s="25">
        <v>1076589</v>
      </c>
      <c r="H37" s="26" t="s">
        <v>1829</v>
      </c>
      <c r="I37" s="233" t="s">
        <v>29</v>
      </c>
      <c r="J37" s="10"/>
      <c r="K37" s="39"/>
      <c r="L37" s="40">
        <v>45123</v>
      </c>
      <c r="M37" s="40">
        <v>45123</v>
      </c>
      <c r="N37" s="37">
        <v>1076589</v>
      </c>
      <c r="O37" s="37">
        <v>0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4.25" customHeight="1">
      <c r="A38" s="9">
        <v>51</v>
      </c>
      <c r="B38" s="10"/>
      <c r="C38" s="21">
        <v>231161</v>
      </c>
      <c r="D38" s="22" t="s">
        <v>34</v>
      </c>
      <c r="E38" s="23">
        <v>45089</v>
      </c>
      <c r="F38" s="24">
        <v>45078</v>
      </c>
      <c r="G38" s="25">
        <v>310800</v>
      </c>
      <c r="H38" s="26" t="s">
        <v>1830</v>
      </c>
      <c r="I38" s="233" t="s">
        <v>29</v>
      </c>
      <c r="J38" s="10"/>
      <c r="K38" s="39"/>
      <c r="L38" s="40">
        <v>45123</v>
      </c>
      <c r="M38" s="40">
        <v>45123</v>
      </c>
      <c r="N38" s="37">
        <v>310800</v>
      </c>
      <c r="O38" s="37">
        <v>0</v>
      </c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4.25" customHeight="1">
      <c r="A39" s="9">
        <v>50</v>
      </c>
      <c r="B39" s="10"/>
      <c r="C39" s="21">
        <v>231184</v>
      </c>
      <c r="D39" s="22" t="s">
        <v>34</v>
      </c>
      <c r="E39" s="23">
        <v>45089</v>
      </c>
      <c r="F39" s="24">
        <v>45078</v>
      </c>
      <c r="G39" s="25">
        <v>143290</v>
      </c>
      <c r="H39" s="26" t="s">
        <v>1831</v>
      </c>
      <c r="I39" s="233" t="s">
        <v>29</v>
      </c>
      <c r="J39" s="10"/>
      <c r="K39" s="39"/>
      <c r="L39" s="40">
        <v>45123</v>
      </c>
      <c r="M39" s="40">
        <v>45123</v>
      </c>
      <c r="N39" s="37">
        <v>143290</v>
      </c>
      <c r="O39" s="37">
        <v>0</v>
      </c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4.25" customHeight="1">
      <c r="A40" s="9">
        <v>49</v>
      </c>
      <c r="B40" s="10"/>
      <c r="C40" s="21">
        <v>231185</v>
      </c>
      <c r="D40" s="22" t="s">
        <v>34</v>
      </c>
      <c r="E40" s="23">
        <v>45089</v>
      </c>
      <c r="F40" s="24">
        <v>45078</v>
      </c>
      <c r="G40" s="25">
        <v>553513</v>
      </c>
      <c r="H40" s="26" t="s">
        <v>1832</v>
      </c>
      <c r="I40" s="233" t="s">
        <v>29</v>
      </c>
      <c r="J40" s="10"/>
      <c r="K40" s="39"/>
      <c r="L40" s="40">
        <v>45123</v>
      </c>
      <c r="M40" s="40">
        <v>45123</v>
      </c>
      <c r="N40" s="37">
        <v>553513</v>
      </c>
      <c r="O40" s="37">
        <v>0</v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4.25" customHeight="1">
      <c r="A41" s="9">
        <v>47</v>
      </c>
      <c r="B41" s="10"/>
      <c r="C41" s="21">
        <v>231167</v>
      </c>
      <c r="D41" s="22" t="s">
        <v>34</v>
      </c>
      <c r="E41" s="23">
        <v>45092</v>
      </c>
      <c r="F41" s="24">
        <v>45078</v>
      </c>
      <c r="G41" s="25">
        <v>186480</v>
      </c>
      <c r="H41" s="26" t="s">
        <v>1833</v>
      </c>
      <c r="I41" s="233" t="s">
        <v>29</v>
      </c>
      <c r="J41" s="10"/>
      <c r="K41" s="39"/>
      <c r="L41" s="40">
        <v>45123</v>
      </c>
      <c r="M41" s="40">
        <v>45123</v>
      </c>
      <c r="N41" s="37">
        <v>186480</v>
      </c>
      <c r="O41" s="37">
        <v>0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4.25" customHeight="1">
      <c r="A42" s="9">
        <v>48</v>
      </c>
      <c r="B42" s="10"/>
      <c r="C42" s="21">
        <v>231168</v>
      </c>
      <c r="D42" s="22" t="s">
        <v>34</v>
      </c>
      <c r="E42" s="23">
        <v>45092</v>
      </c>
      <c r="F42" s="24">
        <v>45078</v>
      </c>
      <c r="G42" s="25">
        <v>2351346</v>
      </c>
      <c r="H42" s="26" t="s">
        <v>1834</v>
      </c>
      <c r="I42" s="233" t="s">
        <v>29</v>
      </c>
      <c r="J42" s="10"/>
      <c r="K42" s="39"/>
      <c r="L42" s="40">
        <v>45123</v>
      </c>
      <c r="M42" s="40">
        <v>45123</v>
      </c>
      <c r="N42" s="37">
        <v>2351346</v>
      </c>
      <c r="O42" s="37">
        <v>0</v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4.25" customHeight="1">
      <c r="A43" s="9">
        <v>52</v>
      </c>
      <c r="B43" s="10"/>
      <c r="C43" s="21">
        <v>231217</v>
      </c>
      <c r="D43" s="22" t="s">
        <v>34</v>
      </c>
      <c r="E43" s="23">
        <v>45098</v>
      </c>
      <c r="F43" s="24">
        <v>45078</v>
      </c>
      <c r="G43" s="25">
        <v>367799</v>
      </c>
      <c r="H43" s="26" t="s">
        <v>1835</v>
      </c>
      <c r="I43" s="233" t="s">
        <v>29</v>
      </c>
      <c r="J43" s="25">
        <v>11393733</v>
      </c>
      <c r="K43" s="36">
        <v>45148</v>
      </c>
      <c r="L43" s="40">
        <v>45148</v>
      </c>
      <c r="M43" s="40">
        <v>45148</v>
      </c>
      <c r="N43" s="37">
        <v>367799</v>
      </c>
      <c r="O43" s="37">
        <v>0</v>
      </c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4.25" customHeight="1">
      <c r="A44" s="9">
        <v>53</v>
      </c>
      <c r="B44" s="10"/>
      <c r="C44" s="21">
        <v>231247</v>
      </c>
      <c r="D44" s="22" t="s">
        <v>34</v>
      </c>
      <c r="E44" s="23">
        <v>45103</v>
      </c>
      <c r="F44" s="24">
        <v>45078</v>
      </c>
      <c r="G44" s="25">
        <v>644460</v>
      </c>
      <c r="H44" s="26" t="s">
        <v>1836</v>
      </c>
      <c r="I44" s="233" t="s">
        <v>29</v>
      </c>
      <c r="J44" s="10"/>
      <c r="K44" s="39"/>
      <c r="L44" s="40">
        <v>45148</v>
      </c>
      <c r="M44" s="40">
        <v>45148</v>
      </c>
      <c r="N44" s="37">
        <v>644460</v>
      </c>
      <c r="O44" s="37">
        <v>0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4.25" customHeight="1">
      <c r="A45" s="9">
        <v>54</v>
      </c>
      <c r="B45" s="10"/>
      <c r="C45" s="21">
        <v>231267</v>
      </c>
      <c r="D45" s="22" t="s">
        <v>34</v>
      </c>
      <c r="E45" s="23">
        <v>45103</v>
      </c>
      <c r="F45" s="24">
        <v>45078</v>
      </c>
      <c r="G45" s="25">
        <v>454545</v>
      </c>
      <c r="H45" s="26" t="s">
        <v>1837</v>
      </c>
      <c r="I45" s="233" t="s">
        <v>29</v>
      </c>
      <c r="J45" s="10"/>
      <c r="K45" s="39"/>
      <c r="L45" s="40">
        <v>45148</v>
      </c>
      <c r="M45" s="40">
        <v>45148</v>
      </c>
      <c r="N45" s="37">
        <v>454545</v>
      </c>
      <c r="O45" s="37">
        <v>0</v>
      </c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4.25" customHeight="1">
      <c r="A46" s="9">
        <v>55</v>
      </c>
      <c r="B46" s="10"/>
      <c r="C46" s="21">
        <v>231268</v>
      </c>
      <c r="D46" s="22" t="s">
        <v>34</v>
      </c>
      <c r="E46" s="23">
        <v>45103</v>
      </c>
      <c r="F46" s="24">
        <v>45078</v>
      </c>
      <c r="G46" s="25">
        <v>155400</v>
      </c>
      <c r="H46" s="26" t="s">
        <v>1838</v>
      </c>
      <c r="I46" s="233" t="s">
        <v>29</v>
      </c>
      <c r="J46" s="10"/>
      <c r="K46" s="39"/>
      <c r="L46" s="40">
        <v>45148</v>
      </c>
      <c r="M46" s="40">
        <v>45148</v>
      </c>
      <c r="N46" s="37">
        <v>155400</v>
      </c>
      <c r="O46" s="37">
        <v>0</v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4.25" customHeight="1">
      <c r="A47" s="9">
        <v>57</v>
      </c>
      <c r="B47" s="10"/>
      <c r="C47" s="21">
        <v>231287</v>
      </c>
      <c r="D47" s="22" t="s">
        <v>34</v>
      </c>
      <c r="E47" s="23">
        <v>45107</v>
      </c>
      <c r="F47" s="24">
        <v>45078</v>
      </c>
      <c r="G47" s="25">
        <v>130536</v>
      </c>
      <c r="H47" s="26" t="s">
        <v>1839</v>
      </c>
      <c r="I47" s="233" t="s">
        <v>29</v>
      </c>
      <c r="J47" s="10"/>
      <c r="K47" s="39"/>
      <c r="L47" s="40">
        <v>45148</v>
      </c>
      <c r="M47" s="40">
        <v>45148</v>
      </c>
      <c r="N47" s="37">
        <v>130536</v>
      </c>
      <c r="O47" s="37">
        <v>0</v>
      </c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4.25" customHeight="1">
      <c r="A48" s="9">
        <v>58</v>
      </c>
      <c r="B48" s="10"/>
      <c r="C48" s="21">
        <v>231288</v>
      </c>
      <c r="D48" s="22" t="s">
        <v>34</v>
      </c>
      <c r="E48" s="23">
        <v>45107</v>
      </c>
      <c r="F48" s="24">
        <v>45078</v>
      </c>
      <c r="G48" s="25">
        <v>163170</v>
      </c>
      <c r="H48" s="26" t="s">
        <v>1840</v>
      </c>
      <c r="I48" s="233" t="s">
        <v>29</v>
      </c>
      <c r="J48" s="10"/>
      <c r="K48" s="39"/>
      <c r="L48" s="40">
        <v>45148</v>
      </c>
      <c r="M48" s="40">
        <v>45148</v>
      </c>
      <c r="N48" s="37">
        <v>163170</v>
      </c>
      <c r="O48" s="37">
        <v>0</v>
      </c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4.25" customHeight="1">
      <c r="A49" s="9">
        <v>56</v>
      </c>
      <c r="B49" s="10"/>
      <c r="C49" s="21">
        <v>231289</v>
      </c>
      <c r="D49" s="22" t="s">
        <v>34</v>
      </c>
      <c r="E49" s="23">
        <v>45107</v>
      </c>
      <c r="F49" s="24">
        <v>45078</v>
      </c>
      <c r="G49" s="25">
        <v>2424240</v>
      </c>
      <c r="H49" s="26" t="s">
        <v>1841</v>
      </c>
      <c r="I49" s="233" t="s">
        <v>29</v>
      </c>
      <c r="J49" s="10"/>
      <c r="K49" s="39"/>
      <c r="L49" s="40">
        <v>45148</v>
      </c>
      <c r="M49" s="40">
        <v>45148</v>
      </c>
      <c r="N49" s="37">
        <v>2424240</v>
      </c>
      <c r="O49" s="37">
        <v>0</v>
      </c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4.25" customHeight="1">
      <c r="A50" s="9">
        <v>59</v>
      </c>
      <c r="B50" s="10"/>
      <c r="C50" s="21">
        <v>231318</v>
      </c>
      <c r="D50" s="22" t="s">
        <v>34</v>
      </c>
      <c r="E50" s="23">
        <v>45110</v>
      </c>
      <c r="F50" s="24">
        <v>45108</v>
      </c>
      <c r="G50" s="25">
        <v>1411171</v>
      </c>
      <c r="H50" s="26" t="s">
        <v>1842</v>
      </c>
      <c r="I50" s="233" t="s">
        <v>29</v>
      </c>
      <c r="J50" s="10"/>
      <c r="K50" s="39"/>
      <c r="L50" s="40">
        <v>45148</v>
      </c>
      <c r="M50" s="40">
        <v>45148</v>
      </c>
      <c r="N50" s="37">
        <v>1411171</v>
      </c>
      <c r="O50" s="37">
        <v>0</v>
      </c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4.25" customHeight="1">
      <c r="A51" s="9">
        <v>60</v>
      </c>
      <c r="B51" s="10"/>
      <c r="C51" s="21">
        <v>231300</v>
      </c>
      <c r="D51" s="22" t="s">
        <v>34</v>
      </c>
      <c r="E51" s="23">
        <v>45111</v>
      </c>
      <c r="F51" s="24">
        <v>45108</v>
      </c>
      <c r="G51" s="25">
        <v>448085</v>
      </c>
      <c r="H51" s="26" t="s">
        <v>1843</v>
      </c>
      <c r="I51" s="233" t="s">
        <v>29</v>
      </c>
      <c r="J51" s="10"/>
      <c r="K51" s="39"/>
      <c r="L51" s="40">
        <v>45148</v>
      </c>
      <c r="M51" s="40">
        <v>45148</v>
      </c>
      <c r="N51" s="37">
        <v>448085</v>
      </c>
      <c r="O51" s="37">
        <v>0</v>
      </c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4.25" customHeight="1">
      <c r="A52" s="9">
        <v>61</v>
      </c>
      <c r="B52" s="10"/>
      <c r="C52" s="21">
        <v>231306</v>
      </c>
      <c r="D52" s="22" t="s">
        <v>34</v>
      </c>
      <c r="E52" s="23">
        <v>45112</v>
      </c>
      <c r="F52" s="24">
        <v>45108</v>
      </c>
      <c r="G52" s="25">
        <v>999000</v>
      </c>
      <c r="H52" s="26" t="s">
        <v>1844</v>
      </c>
      <c r="I52" s="233" t="s">
        <v>29</v>
      </c>
      <c r="J52" s="10"/>
      <c r="K52" s="39"/>
      <c r="L52" s="40">
        <v>45148</v>
      </c>
      <c r="M52" s="40">
        <v>45148</v>
      </c>
      <c r="N52" s="37">
        <v>999000</v>
      </c>
      <c r="O52" s="37">
        <v>0</v>
      </c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4.25" customHeight="1">
      <c r="A53" s="9">
        <v>62</v>
      </c>
      <c r="B53" s="10"/>
      <c r="C53" s="21">
        <v>231319</v>
      </c>
      <c r="D53" s="22" t="s">
        <v>34</v>
      </c>
      <c r="E53" s="23">
        <v>45112</v>
      </c>
      <c r="F53" s="24">
        <v>45108</v>
      </c>
      <c r="G53" s="25">
        <v>266400</v>
      </c>
      <c r="H53" s="26" t="s">
        <v>1845</v>
      </c>
      <c r="I53" s="233" t="s">
        <v>29</v>
      </c>
      <c r="J53" s="10"/>
      <c r="K53" s="39"/>
      <c r="L53" s="40">
        <v>45148</v>
      </c>
      <c r="M53" s="40">
        <v>45148</v>
      </c>
      <c r="N53" s="37">
        <v>266400</v>
      </c>
      <c r="O53" s="37">
        <v>0</v>
      </c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4.25" customHeight="1">
      <c r="A54" s="9">
        <v>64</v>
      </c>
      <c r="B54" s="10"/>
      <c r="C54" s="21">
        <v>231355</v>
      </c>
      <c r="D54" s="22" t="s">
        <v>34</v>
      </c>
      <c r="E54" s="23">
        <v>45117</v>
      </c>
      <c r="F54" s="24">
        <v>45108</v>
      </c>
      <c r="G54" s="25">
        <v>2542648</v>
      </c>
      <c r="H54" s="26" t="s">
        <v>1846</v>
      </c>
      <c r="I54" s="233" t="s">
        <v>29</v>
      </c>
      <c r="J54" s="10"/>
      <c r="K54" s="39"/>
      <c r="L54" s="40">
        <v>45148</v>
      </c>
      <c r="M54" s="40">
        <v>45148</v>
      </c>
      <c r="N54" s="37">
        <v>2542648</v>
      </c>
      <c r="O54" s="37">
        <v>0</v>
      </c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4.25" customHeight="1">
      <c r="A55" s="9">
        <v>63</v>
      </c>
      <c r="B55" s="10"/>
      <c r="C55" s="21">
        <v>231356</v>
      </c>
      <c r="D55" s="22" t="s">
        <v>34</v>
      </c>
      <c r="E55" s="23">
        <v>45117</v>
      </c>
      <c r="F55" s="24">
        <v>45108</v>
      </c>
      <c r="G55" s="25">
        <v>1386279</v>
      </c>
      <c r="H55" s="26" t="s">
        <v>1847</v>
      </c>
      <c r="I55" s="233" t="s">
        <v>29</v>
      </c>
      <c r="J55" s="10"/>
      <c r="K55" s="39"/>
      <c r="L55" s="40">
        <v>45148</v>
      </c>
      <c r="M55" s="40">
        <v>45148</v>
      </c>
      <c r="N55" s="37">
        <v>1386279</v>
      </c>
      <c r="O55" s="37">
        <v>0</v>
      </c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4.25" customHeight="1">
      <c r="A56" s="9">
        <v>65</v>
      </c>
      <c r="B56" s="10"/>
      <c r="C56" s="21">
        <v>231359</v>
      </c>
      <c r="D56" s="22" t="s">
        <v>34</v>
      </c>
      <c r="E56" s="23">
        <v>45119</v>
      </c>
      <c r="F56" s="24">
        <v>45108</v>
      </c>
      <c r="G56" s="25">
        <v>2424240</v>
      </c>
      <c r="H56" s="26" t="s">
        <v>1848</v>
      </c>
      <c r="I56" s="233" t="s">
        <v>29</v>
      </c>
      <c r="J56" s="25">
        <v>11879459</v>
      </c>
      <c r="K56" s="36">
        <v>45169</v>
      </c>
      <c r="L56" s="40">
        <v>45169</v>
      </c>
      <c r="M56" s="40">
        <v>45169</v>
      </c>
      <c r="N56" s="37">
        <v>2424240</v>
      </c>
      <c r="O56" s="37">
        <v>0</v>
      </c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4.25" customHeight="1">
      <c r="A57" s="9">
        <v>66</v>
      </c>
      <c r="B57" s="10"/>
      <c r="C57" s="21">
        <v>231393</v>
      </c>
      <c r="D57" s="22" t="s">
        <v>34</v>
      </c>
      <c r="E57" s="23">
        <v>45120</v>
      </c>
      <c r="F57" s="24">
        <v>45108</v>
      </c>
      <c r="G57" s="25">
        <v>131868</v>
      </c>
      <c r="H57" s="26" t="s">
        <v>1849</v>
      </c>
      <c r="I57" s="233" t="s">
        <v>29</v>
      </c>
      <c r="J57" s="10"/>
      <c r="K57" s="39"/>
      <c r="L57" s="40">
        <v>45169</v>
      </c>
      <c r="M57" s="40">
        <v>45169</v>
      </c>
      <c r="N57" s="37">
        <v>131868</v>
      </c>
      <c r="O57" s="37">
        <v>0</v>
      </c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4.25" customHeight="1">
      <c r="A58" s="9">
        <v>68</v>
      </c>
      <c r="B58" s="10"/>
      <c r="C58" s="21">
        <v>231392</v>
      </c>
      <c r="D58" s="22" t="s">
        <v>34</v>
      </c>
      <c r="E58" s="23">
        <v>45121</v>
      </c>
      <c r="F58" s="24">
        <v>45108</v>
      </c>
      <c r="G58" s="25">
        <v>245454</v>
      </c>
      <c r="H58" s="26" t="s">
        <v>1850</v>
      </c>
      <c r="I58" s="233" t="s">
        <v>29</v>
      </c>
      <c r="J58" s="10"/>
      <c r="K58" s="39"/>
      <c r="L58" s="40">
        <v>45169</v>
      </c>
      <c r="M58" s="40">
        <v>45169</v>
      </c>
      <c r="N58" s="37">
        <v>245454</v>
      </c>
      <c r="O58" s="37">
        <v>0</v>
      </c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4.25" customHeight="1">
      <c r="A59" s="9">
        <v>67</v>
      </c>
      <c r="B59" s="10"/>
      <c r="C59" s="21">
        <v>231394</v>
      </c>
      <c r="D59" s="22" t="s">
        <v>34</v>
      </c>
      <c r="E59" s="23">
        <v>45121</v>
      </c>
      <c r="F59" s="24">
        <v>45108</v>
      </c>
      <c r="G59" s="25">
        <v>1807730</v>
      </c>
      <c r="H59" s="26" t="s">
        <v>1851</v>
      </c>
      <c r="I59" s="233" t="s">
        <v>29</v>
      </c>
      <c r="J59" s="10"/>
      <c r="K59" s="39"/>
      <c r="L59" s="40">
        <v>45169</v>
      </c>
      <c r="M59" s="40">
        <v>45169</v>
      </c>
      <c r="N59" s="37">
        <v>1807730</v>
      </c>
      <c r="O59" s="37">
        <v>0</v>
      </c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4.25" customHeight="1">
      <c r="A60" s="9">
        <v>69</v>
      </c>
      <c r="B60" s="10"/>
      <c r="C60" s="21">
        <v>231408</v>
      </c>
      <c r="D60" s="22" t="s">
        <v>34</v>
      </c>
      <c r="E60" s="23">
        <v>45125</v>
      </c>
      <c r="F60" s="24">
        <v>45108</v>
      </c>
      <c r="G60" s="25">
        <v>163170</v>
      </c>
      <c r="H60" s="26" t="s">
        <v>1852</v>
      </c>
      <c r="I60" s="233" t="s">
        <v>29</v>
      </c>
      <c r="J60" s="10"/>
      <c r="K60" s="39"/>
      <c r="L60" s="40">
        <v>45169</v>
      </c>
      <c r="M60" s="40">
        <v>45169</v>
      </c>
      <c r="N60" s="37">
        <v>163170</v>
      </c>
      <c r="O60" s="37">
        <v>0</v>
      </c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4.25" customHeight="1">
      <c r="A61" s="9">
        <v>70</v>
      </c>
      <c r="B61" s="10"/>
      <c r="C61" s="21">
        <v>231416</v>
      </c>
      <c r="D61" s="22" t="s">
        <v>34</v>
      </c>
      <c r="E61" s="23">
        <v>45127</v>
      </c>
      <c r="F61" s="24">
        <v>45108</v>
      </c>
      <c r="G61" s="25">
        <v>5090704</v>
      </c>
      <c r="H61" s="26" t="s">
        <v>1853</v>
      </c>
      <c r="I61" s="233" t="s">
        <v>29</v>
      </c>
      <c r="J61" s="10"/>
      <c r="K61" s="39"/>
      <c r="L61" s="40">
        <v>45169</v>
      </c>
      <c r="M61" s="40">
        <v>45169</v>
      </c>
      <c r="N61" s="37">
        <v>5090704</v>
      </c>
      <c r="O61" s="37">
        <v>0</v>
      </c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4.25" customHeight="1">
      <c r="A62" s="9">
        <v>71</v>
      </c>
      <c r="B62" s="10"/>
      <c r="C62" s="21">
        <v>231416</v>
      </c>
      <c r="D62" s="22" t="s">
        <v>34</v>
      </c>
      <c r="E62" s="23">
        <v>45131</v>
      </c>
      <c r="F62" s="24">
        <v>45108</v>
      </c>
      <c r="G62" s="25">
        <v>935453</v>
      </c>
      <c r="H62" s="26" t="s">
        <v>1854</v>
      </c>
      <c r="I62" s="233" t="s">
        <v>29</v>
      </c>
      <c r="J62" s="10"/>
      <c r="K62" s="39"/>
      <c r="L62" s="40">
        <v>45169</v>
      </c>
      <c r="M62" s="40">
        <v>45169</v>
      </c>
      <c r="N62" s="37">
        <v>935453</v>
      </c>
      <c r="O62" s="37">
        <v>0</v>
      </c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4.25" customHeight="1">
      <c r="A63" s="9">
        <v>72</v>
      </c>
      <c r="B63" s="10"/>
      <c r="C63" s="21">
        <v>231462</v>
      </c>
      <c r="D63" s="22" t="s">
        <v>34</v>
      </c>
      <c r="E63" s="23">
        <v>45133</v>
      </c>
      <c r="F63" s="24">
        <v>45108</v>
      </c>
      <c r="G63" s="25">
        <v>380286</v>
      </c>
      <c r="H63" s="26" t="s">
        <v>1855</v>
      </c>
      <c r="I63" s="233" t="s">
        <v>29</v>
      </c>
      <c r="J63" s="10"/>
      <c r="K63" s="39"/>
      <c r="L63" s="40">
        <v>45169</v>
      </c>
      <c r="M63" s="40">
        <v>45169</v>
      </c>
      <c r="N63" s="37">
        <v>380286</v>
      </c>
      <c r="O63" s="37">
        <v>0</v>
      </c>
      <c r="P63" s="10"/>
      <c r="Q63" s="10"/>
      <c r="R63" s="10"/>
      <c r="S63" s="10"/>
      <c r="T63" s="10"/>
      <c r="U63" s="23"/>
      <c r="V63" s="23"/>
      <c r="W63" s="10"/>
      <c r="X63" s="10"/>
      <c r="Y63" s="10"/>
      <c r="Z63" s="10"/>
    </row>
    <row r="64" spans="1:26" ht="14.25" customHeight="1">
      <c r="A64" s="9">
        <v>73</v>
      </c>
      <c r="B64" s="10"/>
      <c r="C64" s="21">
        <v>231494</v>
      </c>
      <c r="D64" s="22" t="s">
        <v>34</v>
      </c>
      <c r="E64" s="23">
        <v>45135</v>
      </c>
      <c r="F64" s="24">
        <v>45108</v>
      </c>
      <c r="G64" s="25">
        <v>545154</v>
      </c>
      <c r="H64" s="26" t="s">
        <v>1856</v>
      </c>
      <c r="I64" s="233" t="s">
        <v>29</v>
      </c>
      <c r="J64" s="10"/>
      <c r="K64" s="39"/>
      <c r="L64" s="40">
        <v>45169</v>
      </c>
      <c r="M64" s="40">
        <v>45169</v>
      </c>
      <c r="N64" s="37">
        <v>545154</v>
      </c>
      <c r="O64" s="37">
        <v>0</v>
      </c>
      <c r="P64" s="10"/>
      <c r="Q64" s="10"/>
      <c r="R64" s="10"/>
      <c r="S64" s="10"/>
      <c r="T64" s="10">
        <v>5</v>
      </c>
      <c r="U64" s="23" t="s">
        <v>1857</v>
      </c>
      <c r="V64" s="23">
        <v>45112</v>
      </c>
      <c r="W64" s="10"/>
      <c r="X64" s="10"/>
      <c r="Y64" s="10"/>
      <c r="Z64" s="10"/>
    </row>
    <row r="65" spans="1:26" ht="14.25" customHeight="1">
      <c r="A65" s="9">
        <v>74</v>
      </c>
      <c r="B65" s="10"/>
      <c r="C65" s="21">
        <v>231506</v>
      </c>
      <c r="D65" s="22" t="s">
        <v>34</v>
      </c>
      <c r="E65" s="23">
        <v>45138</v>
      </c>
      <c r="F65" s="24">
        <v>45108</v>
      </c>
      <c r="G65" s="25">
        <v>155400</v>
      </c>
      <c r="H65" s="26" t="s">
        <v>1858</v>
      </c>
      <c r="I65" s="233" t="s">
        <v>29</v>
      </c>
      <c r="J65" s="10"/>
      <c r="K65" s="39"/>
      <c r="L65" s="40">
        <v>45169</v>
      </c>
      <c r="M65" s="40">
        <v>45169</v>
      </c>
      <c r="N65" s="37">
        <v>155400</v>
      </c>
      <c r="O65" s="37">
        <v>0</v>
      </c>
      <c r="P65" s="10"/>
      <c r="Q65" s="10"/>
      <c r="R65" s="10"/>
      <c r="S65" s="10"/>
      <c r="T65" s="10">
        <v>5</v>
      </c>
      <c r="U65" s="23" t="s">
        <v>1857</v>
      </c>
      <c r="V65" s="23">
        <v>45112</v>
      </c>
      <c r="W65" s="10"/>
      <c r="X65" s="10"/>
      <c r="Y65" s="10"/>
      <c r="Z65" s="10"/>
    </row>
    <row r="66" spans="1:26" ht="14.25" customHeight="1">
      <c r="A66" s="9">
        <v>75</v>
      </c>
      <c r="B66" s="10"/>
      <c r="C66" s="21">
        <v>231526</v>
      </c>
      <c r="D66" s="22" t="s">
        <v>34</v>
      </c>
      <c r="E66" s="23">
        <v>45140</v>
      </c>
      <c r="F66" s="24">
        <v>45139</v>
      </c>
      <c r="G66" s="25">
        <v>3136832</v>
      </c>
      <c r="H66" s="26" t="s">
        <v>1859</v>
      </c>
      <c r="I66" s="233" t="s">
        <v>29</v>
      </c>
      <c r="J66" s="25">
        <v>18046169</v>
      </c>
      <c r="K66" s="36">
        <v>45194</v>
      </c>
      <c r="L66" s="40">
        <v>45196</v>
      </c>
      <c r="M66" s="40">
        <v>45196</v>
      </c>
      <c r="N66" s="37">
        <v>3136832</v>
      </c>
      <c r="O66" s="37">
        <v>0</v>
      </c>
      <c r="P66" s="10"/>
      <c r="Q66" s="10"/>
      <c r="R66" s="10"/>
      <c r="S66" s="10"/>
      <c r="T66" s="10">
        <v>10</v>
      </c>
      <c r="U66" s="23" t="s">
        <v>1860</v>
      </c>
      <c r="V66" s="23">
        <v>45117</v>
      </c>
      <c r="W66" s="10"/>
      <c r="X66" s="10"/>
      <c r="Y66" s="10"/>
      <c r="Z66" s="10"/>
    </row>
    <row r="67" spans="1:26" ht="14.25" customHeight="1">
      <c r="A67" s="9">
        <v>76</v>
      </c>
      <c r="B67" s="10"/>
      <c r="C67" s="21">
        <v>231517</v>
      </c>
      <c r="D67" s="22" t="s">
        <v>34</v>
      </c>
      <c r="E67" s="23">
        <v>45141</v>
      </c>
      <c r="F67" s="24">
        <v>45139</v>
      </c>
      <c r="G67" s="25">
        <v>2424240</v>
      </c>
      <c r="H67" s="26" t="s">
        <v>1861</v>
      </c>
      <c r="I67" s="233" t="s">
        <v>29</v>
      </c>
      <c r="J67" s="10"/>
      <c r="K67" s="39"/>
      <c r="L67" s="40">
        <v>45196</v>
      </c>
      <c r="M67" s="40">
        <v>45196</v>
      </c>
      <c r="N67" s="37">
        <v>2424240</v>
      </c>
      <c r="O67" s="37">
        <v>0</v>
      </c>
      <c r="P67" s="10"/>
      <c r="Q67" s="10"/>
      <c r="R67" s="10"/>
      <c r="S67" s="10"/>
      <c r="T67" s="10">
        <v>10</v>
      </c>
      <c r="U67" s="23" t="s">
        <v>1860</v>
      </c>
      <c r="V67" s="23">
        <v>45117</v>
      </c>
      <c r="W67" s="10"/>
      <c r="X67" s="10"/>
      <c r="Y67" s="10"/>
      <c r="Z67" s="10"/>
    </row>
    <row r="68" spans="1:26" ht="14.25" customHeight="1">
      <c r="A68" s="9">
        <v>77</v>
      </c>
      <c r="B68" s="10"/>
      <c r="C68" s="21">
        <v>231533</v>
      </c>
      <c r="D68" s="22" t="s">
        <v>34</v>
      </c>
      <c r="E68" s="23">
        <v>45142</v>
      </c>
      <c r="F68" s="24">
        <v>45139</v>
      </c>
      <c r="G68" s="25">
        <v>737262</v>
      </c>
      <c r="H68" s="26" t="s">
        <v>1862</v>
      </c>
      <c r="I68" s="233" t="s">
        <v>29</v>
      </c>
      <c r="J68" s="10"/>
      <c r="K68" s="39"/>
      <c r="L68" s="40">
        <v>45196</v>
      </c>
      <c r="M68" s="40">
        <v>45196</v>
      </c>
      <c r="N68" s="37">
        <v>737262</v>
      </c>
      <c r="O68" s="37">
        <v>0</v>
      </c>
      <c r="P68" s="10"/>
      <c r="Q68" s="10"/>
      <c r="R68" s="10"/>
      <c r="S68" s="10"/>
      <c r="T68" s="10">
        <v>12</v>
      </c>
      <c r="U68" s="23" t="s">
        <v>1863</v>
      </c>
      <c r="V68" s="23">
        <v>45119</v>
      </c>
      <c r="W68" s="10"/>
      <c r="X68" s="10"/>
      <c r="Y68" s="10"/>
      <c r="Z68" s="10"/>
    </row>
    <row r="69" spans="1:26" ht="14.25" customHeight="1">
      <c r="A69" s="9">
        <v>78</v>
      </c>
      <c r="B69" s="10"/>
      <c r="C69" s="21">
        <v>231535</v>
      </c>
      <c r="D69" s="22" t="s">
        <v>34</v>
      </c>
      <c r="E69" s="23">
        <v>45145</v>
      </c>
      <c r="F69" s="24">
        <v>45139</v>
      </c>
      <c r="G69" s="25">
        <v>1391984</v>
      </c>
      <c r="H69" s="26" t="s">
        <v>1864</v>
      </c>
      <c r="I69" s="233" t="s">
        <v>29</v>
      </c>
      <c r="J69" s="10"/>
      <c r="K69" s="39"/>
      <c r="L69" s="40">
        <v>45196</v>
      </c>
      <c r="M69" s="40">
        <v>45196</v>
      </c>
      <c r="N69" s="37">
        <v>1391984</v>
      </c>
      <c r="O69" s="37">
        <v>0</v>
      </c>
      <c r="P69" s="10"/>
      <c r="Q69" s="10"/>
      <c r="R69" s="10"/>
      <c r="S69" s="10"/>
      <c r="T69" s="10">
        <v>13</v>
      </c>
      <c r="U69" s="23" t="s">
        <v>1865</v>
      </c>
      <c r="V69" s="23">
        <v>45120</v>
      </c>
      <c r="W69" s="10"/>
      <c r="X69" s="10"/>
      <c r="Y69" s="10"/>
      <c r="Z69" s="10"/>
    </row>
    <row r="70" spans="1:26" ht="14.25" customHeight="1">
      <c r="A70" s="9">
        <v>79</v>
      </c>
      <c r="B70" s="10"/>
      <c r="C70" s="21">
        <v>231537</v>
      </c>
      <c r="D70" s="22" t="s">
        <v>34</v>
      </c>
      <c r="E70" s="23">
        <v>45146</v>
      </c>
      <c r="F70" s="24">
        <v>45139</v>
      </c>
      <c r="G70" s="25">
        <v>633782</v>
      </c>
      <c r="H70" s="26" t="s">
        <v>1866</v>
      </c>
      <c r="I70" s="233" t="s">
        <v>29</v>
      </c>
      <c r="J70" s="10"/>
      <c r="K70" s="39"/>
      <c r="L70" s="40">
        <v>45196</v>
      </c>
      <c r="M70" s="40">
        <v>45196</v>
      </c>
      <c r="N70" s="37">
        <v>633782</v>
      </c>
      <c r="O70" s="37">
        <v>0</v>
      </c>
      <c r="P70" s="10"/>
      <c r="Q70" s="10"/>
      <c r="R70" s="10"/>
      <c r="S70" s="10"/>
      <c r="T70" s="10">
        <v>14</v>
      </c>
      <c r="U70" s="23" t="s">
        <v>1867</v>
      </c>
      <c r="V70" s="23">
        <v>45121</v>
      </c>
      <c r="W70" s="10"/>
      <c r="X70" s="10"/>
      <c r="Y70" s="10"/>
      <c r="Z70" s="10"/>
    </row>
    <row r="71" spans="1:26" ht="14.25" customHeight="1">
      <c r="A71" s="9">
        <v>80</v>
      </c>
      <c r="B71" s="10"/>
      <c r="C71" s="21">
        <v>231540</v>
      </c>
      <c r="D71" s="22" t="s">
        <v>34</v>
      </c>
      <c r="E71" s="23">
        <v>45146</v>
      </c>
      <c r="F71" s="24">
        <v>45139</v>
      </c>
      <c r="G71" s="25">
        <v>1803264</v>
      </c>
      <c r="H71" s="26" t="s">
        <v>1868</v>
      </c>
      <c r="I71" s="233" t="s">
        <v>29</v>
      </c>
      <c r="J71" s="10"/>
      <c r="K71" s="39"/>
      <c r="L71" s="40">
        <v>45196</v>
      </c>
      <c r="M71" s="40">
        <v>45196</v>
      </c>
      <c r="N71" s="37">
        <v>1803264</v>
      </c>
      <c r="O71" s="37">
        <v>0</v>
      </c>
      <c r="P71" s="10"/>
      <c r="Q71" s="10"/>
      <c r="R71" s="10"/>
      <c r="S71" s="10"/>
      <c r="T71" s="10">
        <v>14</v>
      </c>
      <c r="U71" s="23" t="s">
        <v>1867</v>
      </c>
      <c r="V71" s="23">
        <v>45121</v>
      </c>
      <c r="W71" s="10"/>
      <c r="X71" s="10"/>
      <c r="Y71" s="10"/>
      <c r="Z71" s="10"/>
    </row>
    <row r="72" spans="1:26" ht="14.25" customHeight="1">
      <c r="A72" s="9">
        <v>81</v>
      </c>
      <c r="B72" s="10"/>
      <c r="C72" s="21">
        <v>231576</v>
      </c>
      <c r="D72" s="22" t="s">
        <v>34</v>
      </c>
      <c r="E72" s="23">
        <v>45148</v>
      </c>
      <c r="F72" s="24">
        <v>45139</v>
      </c>
      <c r="G72" s="25">
        <v>613636</v>
      </c>
      <c r="H72" s="26" t="s">
        <v>1869</v>
      </c>
      <c r="I72" s="233" t="s">
        <v>29</v>
      </c>
      <c r="J72" s="10"/>
      <c r="K72" s="39"/>
      <c r="L72" s="40">
        <v>45196</v>
      </c>
      <c r="M72" s="40">
        <v>45196</v>
      </c>
      <c r="N72" s="37">
        <v>613636</v>
      </c>
      <c r="O72" s="37">
        <v>0</v>
      </c>
      <c r="P72" s="10"/>
      <c r="Q72" s="10"/>
      <c r="R72" s="10"/>
      <c r="S72" s="10"/>
      <c r="T72" s="10">
        <v>18</v>
      </c>
      <c r="U72" s="23" t="s">
        <v>1870</v>
      </c>
      <c r="V72" s="23">
        <v>45125</v>
      </c>
      <c r="W72" s="10"/>
      <c r="X72" s="10"/>
      <c r="Y72" s="10"/>
      <c r="Z72" s="10"/>
    </row>
    <row r="73" spans="1:26" ht="14.25" customHeight="1">
      <c r="A73" s="9">
        <v>82</v>
      </c>
      <c r="B73" s="10"/>
      <c r="C73" s="21">
        <v>231606</v>
      </c>
      <c r="D73" s="22" t="s">
        <v>34</v>
      </c>
      <c r="E73" s="23">
        <v>45153</v>
      </c>
      <c r="F73" s="24">
        <v>45139</v>
      </c>
      <c r="G73" s="25">
        <v>310356</v>
      </c>
      <c r="H73" s="26" t="s">
        <v>1871</v>
      </c>
      <c r="I73" s="233" t="s">
        <v>29</v>
      </c>
      <c r="J73" s="10"/>
      <c r="K73" s="39"/>
      <c r="L73" s="40">
        <v>45196</v>
      </c>
      <c r="M73" s="40">
        <v>45196</v>
      </c>
      <c r="N73" s="37">
        <v>310356</v>
      </c>
      <c r="O73" s="37">
        <v>0</v>
      </c>
      <c r="P73" s="10"/>
      <c r="Q73" s="10"/>
      <c r="R73" s="10"/>
      <c r="S73" s="10"/>
      <c r="T73" s="10">
        <v>20</v>
      </c>
      <c r="U73" s="23" t="s">
        <v>1872</v>
      </c>
      <c r="V73" s="23">
        <v>45127</v>
      </c>
      <c r="W73" s="10"/>
      <c r="X73" s="10"/>
      <c r="Y73" s="10"/>
      <c r="Z73" s="10"/>
    </row>
    <row r="74" spans="1:26" ht="14.25" customHeight="1">
      <c r="A74" s="9">
        <v>84</v>
      </c>
      <c r="B74" s="10"/>
      <c r="C74" s="21">
        <v>231607</v>
      </c>
      <c r="D74" s="22" t="s">
        <v>34</v>
      </c>
      <c r="E74" s="23">
        <v>45153</v>
      </c>
      <c r="F74" s="24">
        <v>45139</v>
      </c>
      <c r="G74" s="25">
        <v>466200</v>
      </c>
      <c r="H74" s="26" t="s">
        <v>1873</v>
      </c>
      <c r="I74" s="233" t="s">
        <v>29</v>
      </c>
      <c r="J74" s="10"/>
      <c r="K74" s="39"/>
      <c r="L74" s="40">
        <v>45196</v>
      </c>
      <c r="M74" s="40">
        <v>45196</v>
      </c>
      <c r="N74" s="37">
        <v>466200</v>
      </c>
      <c r="O74" s="37">
        <v>0</v>
      </c>
      <c r="P74" s="10"/>
      <c r="Q74" s="10"/>
      <c r="R74" s="10"/>
      <c r="S74" s="10"/>
      <c r="T74" s="10">
        <v>24</v>
      </c>
      <c r="U74" s="23" t="s">
        <v>1874</v>
      </c>
      <c r="V74" s="23">
        <v>45131</v>
      </c>
      <c r="W74" s="10"/>
      <c r="X74" s="10"/>
      <c r="Y74" s="10"/>
      <c r="Z74" s="10"/>
    </row>
    <row r="75" spans="1:26" ht="14.25" customHeight="1">
      <c r="A75" s="9">
        <v>85</v>
      </c>
      <c r="B75" s="10"/>
      <c r="C75" s="21">
        <v>231608</v>
      </c>
      <c r="D75" s="22" t="s">
        <v>34</v>
      </c>
      <c r="E75" s="23">
        <v>45153</v>
      </c>
      <c r="F75" s="24">
        <v>45139</v>
      </c>
      <c r="G75" s="25">
        <v>1717481</v>
      </c>
      <c r="H75" s="26" t="s">
        <v>1875</v>
      </c>
      <c r="I75" s="233" t="s">
        <v>29</v>
      </c>
      <c r="J75" s="10"/>
      <c r="K75" s="39"/>
      <c r="L75" s="40">
        <v>45196</v>
      </c>
      <c r="M75" s="40">
        <v>45196</v>
      </c>
      <c r="N75" s="37">
        <v>1717481</v>
      </c>
      <c r="O75" s="37">
        <v>0</v>
      </c>
      <c r="P75" s="10"/>
      <c r="Q75" s="10"/>
      <c r="R75" s="10"/>
      <c r="S75" s="10"/>
      <c r="T75" s="10">
        <v>26</v>
      </c>
      <c r="U75" s="23" t="s">
        <v>1876</v>
      </c>
      <c r="V75" s="23">
        <v>45133</v>
      </c>
      <c r="W75" s="10"/>
      <c r="X75" s="10"/>
      <c r="Y75" s="10"/>
      <c r="Z75" s="10"/>
    </row>
    <row r="76" spans="1:26" ht="14.25" customHeight="1">
      <c r="A76" s="9">
        <v>83</v>
      </c>
      <c r="B76" s="10"/>
      <c r="C76" s="21">
        <v>231609</v>
      </c>
      <c r="D76" s="22" t="s">
        <v>34</v>
      </c>
      <c r="E76" s="23">
        <v>45153</v>
      </c>
      <c r="F76" s="24">
        <v>45139</v>
      </c>
      <c r="G76" s="25">
        <v>868634</v>
      </c>
      <c r="H76" s="26" t="s">
        <v>1877</v>
      </c>
      <c r="I76" s="233" t="s">
        <v>29</v>
      </c>
      <c r="J76" s="10"/>
      <c r="K76" s="39"/>
      <c r="L76" s="40">
        <v>45196</v>
      </c>
      <c r="M76" s="40">
        <v>45196</v>
      </c>
      <c r="N76" s="37">
        <v>868634</v>
      </c>
      <c r="O76" s="37">
        <v>0</v>
      </c>
      <c r="P76" s="10"/>
      <c r="Q76" s="10"/>
      <c r="R76" s="10"/>
      <c r="S76" s="10"/>
      <c r="T76" s="10">
        <v>28</v>
      </c>
      <c r="U76" s="23" t="s">
        <v>1878</v>
      </c>
      <c r="V76" s="23">
        <v>45135</v>
      </c>
      <c r="W76" s="10"/>
      <c r="X76" s="10"/>
      <c r="Y76" s="10"/>
      <c r="Z76" s="10"/>
    </row>
    <row r="77" spans="1:26" ht="14.25" customHeight="1">
      <c r="A77" s="9">
        <v>86</v>
      </c>
      <c r="B77" s="10"/>
      <c r="C77" s="21">
        <v>231610</v>
      </c>
      <c r="D77" s="22" t="s">
        <v>34</v>
      </c>
      <c r="E77" s="23">
        <v>45153</v>
      </c>
      <c r="F77" s="24">
        <v>45139</v>
      </c>
      <c r="G77" s="25">
        <v>804195</v>
      </c>
      <c r="H77" s="26" t="s">
        <v>1879</v>
      </c>
      <c r="I77" s="233" t="s">
        <v>29</v>
      </c>
      <c r="J77" s="10"/>
      <c r="K77" s="39"/>
      <c r="L77" s="40">
        <v>45196</v>
      </c>
      <c r="M77" s="40">
        <v>45196</v>
      </c>
      <c r="N77" s="37">
        <v>804195</v>
      </c>
      <c r="O77" s="37">
        <v>0</v>
      </c>
      <c r="P77" s="10"/>
      <c r="Q77" s="10"/>
      <c r="R77" s="10"/>
      <c r="S77" s="10"/>
      <c r="T77" s="10">
        <v>31</v>
      </c>
      <c r="U77" s="23" t="s">
        <v>1880</v>
      </c>
      <c r="V77" s="23">
        <v>45138</v>
      </c>
      <c r="W77" s="10"/>
      <c r="X77" s="10"/>
      <c r="Y77" s="10"/>
      <c r="Z77" s="10"/>
    </row>
    <row r="78" spans="1:26" ht="14.25" customHeight="1">
      <c r="A78" s="9">
        <v>87</v>
      </c>
      <c r="B78" s="10"/>
      <c r="C78" s="21">
        <v>231611</v>
      </c>
      <c r="D78" s="22" t="s">
        <v>34</v>
      </c>
      <c r="E78" s="23">
        <v>45154</v>
      </c>
      <c r="F78" s="24">
        <v>45139</v>
      </c>
      <c r="G78" s="25">
        <v>1297313</v>
      </c>
      <c r="H78" s="26" t="s">
        <v>1881</v>
      </c>
      <c r="I78" s="233" t="s">
        <v>29</v>
      </c>
      <c r="J78" s="10"/>
      <c r="K78" s="39"/>
      <c r="L78" s="40">
        <v>45196</v>
      </c>
      <c r="M78" s="40">
        <v>45196</v>
      </c>
      <c r="N78" s="37">
        <v>1297313</v>
      </c>
      <c r="O78" s="37">
        <v>0</v>
      </c>
      <c r="P78" s="10"/>
      <c r="Q78" s="10"/>
      <c r="R78" s="10"/>
      <c r="S78" s="10"/>
      <c r="T78" s="10">
        <v>2</v>
      </c>
      <c r="U78" s="23" t="s">
        <v>1882</v>
      </c>
      <c r="V78" s="23">
        <v>45140</v>
      </c>
      <c r="W78" s="10"/>
      <c r="X78" s="10"/>
      <c r="Y78" s="10"/>
      <c r="Z78" s="10"/>
    </row>
    <row r="79" spans="1:26" ht="14.25" customHeight="1">
      <c r="A79" s="9">
        <v>88</v>
      </c>
      <c r="B79" s="10"/>
      <c r="C79" s="21">
        <v>231635</v>
      </c>
      <c r="D79" s="22" t="s">
        <v>34</v>
      </c>
      <c r="E79" s="23">
        <v>45156</v>
      </c>
      <c r="F79" s="24">
        <v>45139</v>
      </c>
      <c r="G79" s="25">
        <v>299700</v>
      </c>
      <c r="H79" s="26" t="s">
        <v>1883</v>
      </c>
      <c r="I79" s="233" t="s">
        <v>29</v>
      </c>
      <c r="J79" s="10"/>
      <c r="K79" s="39"/>
      <c r="L79" s="40">
        <v>45196</v>
      </c>
      <c r="M79" s="40">
        <v>45196</v>
      </c>
      <c r="N79" s="37">
        <v>299700</v>
      </c>
      <c r="O79" s="37">
        <v>0</v>
      </c>
      <c r="P79" s="10"/>
      <c r="Q79" s="10"/>
      <c r="R79" s="10"/>
      <c r="S79" s="10"/>
      <c r="T79" s="10">
        <v>3</v>
      </c>
      <c r="U79" s="23" t="s">
        <v>1884</v>
      </c>
      <c r="V79" s="23">
        <v>45141</v>
      </c>
      <c r="W79" s="10"/>
      <c r="X79" s="10"/>
      <c r="Y79" s="10"/>
      <c r="Z79" s="10"/>
    </row>
    <row r="80" spans="1:26" ht="14.25" customHeight="1">
      <c r="A80" s="9">
        <v>89</v>
      </c>
      <c r="B80" s="10"/>
      <c r="C80" s="21">
        <v>231626</v>
      </c>
      <c r="D80" s="22" t="s">
        <v>34</v>
      </c>
      <c r="E80" s="23">
        <v>45159</v>
      </c>
      <c r="F80" s="24">
        <v>45139</v>
      </c>
      <c r="G80" s="25">
        <v>861582</v>
      </c>
      <c r="H80" s="26" t="s">
        <v>1885</v>
      </c>
      <c r="I80" s="233" t="s">
        <v>29</v>
      </c>
      <c r="J80" s="10"/>
      <c r="K80" s="39"/>
      <c r="L80" s="40">
        <v>45196</v>
      </c>
      <c r="M80" s="40">
        <v>45196</v>
      </c>
      <c r="N80" s="37">
        <v>861582</v>
      </c>
      <c r="O80" s="37">
        <v>0</v>
      </c>
      <c r="P80" s="10"/>
      <c r="Q80" s="10"/>
      <c r="R80" s="10"/>
      <c r="S80" s="10"/>
      <c r="T80" s="10">
        <v>4</v>
      </c>
      <c r="U80" s="23" t="s">
        <v>1886</v>
      </c>
      <c r="V80" s="23">
        <v>45142</v>
      </c>
      <c r="W80" s="10"/>
      <c r="X80" s="10"/>
      <c r="Y80" s="10"/>
      <c r="Z80" s="10"/>
    </row>
    <row r="81" spans="1:26" ht="14.25" customHeight="1">
      <c r="A81" s="9">
        <v>90</v>
      </c>
      <c r="B81" s="10"/>
      <c r="C81" s="21">
        <v>231627</v>
      </c>
      <c r="D81" s="22" t="s">
        <v>34</v>
      </c>
      <c r="E81" s="23">
        <v>45159</v>
      </c>
      <c r="F81" s="24">
        <v>45139</v>
      </c>
      <c r="G81" s="25">
        <v>109235</v>
      </c>
      <c r="H81" s="26" t="s">
        <v>1887</v>
      </c>
      <c r="I81" s="233" t="s">
        <v>29</v>
      </c>
      <c r="J81" s="10"/>
      <c r="K81" s="39"/>
      <c r="L81" s="40">
        <v>45196</v>
      </c>
      <c r="M81" s="40">
        <v>45196</v>
      </c>
      <c r="N81" s="37">
        <v>109235</v>
      </c>
      <c r="O81" s="37">
        <v>0</v>
      </c>
      <c r="P81" s="10"/>
      <c r="Q81" s="10"/>
      <c r="R81" s="10"/>
      <c r="S81" s="10"/>
      <c r="T81" s="10">
        <v>7</v>
      </c>
      <c r="U81" s="23" t="s">
        <v>1888</v>
      </c>
      <c r="V81" s="23">
        <v>45145</v>
      </c>
      <c r="W81" s="10"/>
      <c r="X81" s="10"/>
      <c r="Y81" s="10"/>
      <c r="Z81" s="10"/>
    </row>
    <row r="82" spans="1:26" ht="14.25" customHeight="1">
      <c r="A82" s="9">
        <v>91</v>
      </c>
      <c r="B82" s="10"/>
      <c r="C82" s="21">
        <v>231663</v>
      </c>
      <c r="D82" s="22" t="s">
        <v>34</v>
      </c>
      <c r="E82" s="23">
        <v>45159</v>
      </c>
      <c r="F82" s="24">
        <v>45139</v>
      </c>
      <c r="G82" s="25">
        <v>570473</v>
      </c>
      <c r="H82" s="26" t="s">
        <v>1889</v>
      </c>
      <c r="I82" s="233" t="s">
        <v>29</v>
      </c>
      <c r="J82" s="10"/>
      <c r="K82" s="39"/>
      <c r="L82" s="40">
        <v>45196</v>
      </c>
      <c r="M82" s="40">
        <v>45196</v>
      </c>
      <c r="N82" s="37">
        <v>570473</v>
      </c>
      <c r="O82" s="37">
        <v>0</v>
      </c>
      <c r="P82" s="10"/>
      <c r="Q82" s="10"/>
      <c r="R82" s="10"/>
      <c r="S82" s="10"/>
      <c r="T82" s="10">
        <v>8</v>
      </c>
      <c r="U82" s="23" t="s">
        <v>1890</v>
      </c>
      <c r="V82" s="23">
        <v>45146</v>
      </c>
      <c r="W82" s="10"/>
      <c r="X82" s="10"/>
      <c r="Y82" s="10"/>
      <c r="Z82" s="10"/>
    </row>
    <row r="83" spans="1:26" ht="14.25" customHeight="1">
      <c r="A83" s="9">
        <v>92</v>
      </c>
      <c r="B83" s="10"/>
      <c r="C83" s="21">
        <v>231694</v>
      </c>
      <c r="D83" s="22" t="s">
        <v>34</v>
      </c>
      <c r="E83" s="23">
        <v>45161</v>
      </c>
      <c r="F83" s="24">
        <v>45139</v>
      </c>
      <c r="G83" s="25">
        <v>1221278</v>
      </c>
      <c r="H83" s="26" t="s">
        <v>1891</v>
      </c>
      <c r="I83" s="233" t="s">
        <v>29</v>
      </c>
      <c r="J83" s="27">
        <v>28771035</v>
      </c>
      <c r="K83" s="39">
        <v>45224</v>
      </c>
      <c r="L83" s="40">
        <v>45224</v>
      </c>
      <c r="M83" s="40">
        <v>45225</v>
      </c>
      <c r="N83" s="37">
        <v>1221278</v>
      </c>
      <c r="O83" s="37">
        <v>0</v>
      </c>
      <c r="P83" s="10"/>
      <c r="Q83" s="10"/>
      <c r="R83" s="10"/>
      <c r="S83" s="10"/>
      <c r="T83" s="10">
        <v>8</v>
      </c>
      <c r="U83" s="23" t="s">
        <v>1890</v>
      </c>
      <c r="V83" s="23">
        <v>45146</v>
      </c>
      <c r="W83" s="10"/>
      <c r="X83" s="10"/>
      <c r="Y83" s="10"/>
      <c r="Z83" s="10"/>
    </row>
    <row r="84" spans="1:26" ht="14.25" customHeight="1">
      <c r="A84" s="9">
        <v>93</v>
      </c>
      <c r="B84" s="10"/>
      <c r="C84" s="21">
        <v>231703</v>
      </c>
      <c r="D84" s="22" t="s">
        <v>34</v>
      </c>
      <c r="E84" s="23">
        <v>45162</v>
      </c>
      <c r="F84" s="24">
        <v>45139</v>
      </c>
      <c r="G84" s="25">
        <v>1963761</v>
      </c>
      <c r="H84" s="26" t="s">
        <v>1892</v>
      </c>
      <c r="I84" s="233" t="s">
        <v>29</v>
      </c>
      <c r="J84" s="10"/>
      <c r="K84" s="39"/>
      <c r="L84" s="40">
        <v>45224</v>
      </c>
      <c r="M84" s="40">
        <v>45225</v>
      </c>
      <c r="N84" s="37">
        <v>1963761</v>
      </c>
      <c r="O84" s="37">
        <v>0</v>
      </c>
      <c r="P84" s="10"/>
      <c r="Q84" s="10"/>
      <c r="R84" s="10"/>
      <c r="S84" s="10"/>
      <c r="T84" s="10">
        <v>10</v>
      </c>
      <c r="U84" s="23" t="s">
        <v>1893</v>
      </c>
      <c r="V84" s="23">
        <v>45148</v>
      </c>
      <c r="W84" s="10"/>
      <c r="X84" s="10"/>
      <c r="Y84" s="10"/>
      <c r="Z84" s="10"/>
    </row>
    <row r="85" spans="1:26" ht="14.25" customHeight="1">
      <c r="A85" s="9">
        <v>94</v>
      </c>
      <c r="B85" s="10"/>
      <c r="C85" s="21">
        <v>231707</v>
      </c>
      <c r="D85" s="22" t="s">
        <v>34</v>
      </c>
      <c r="E85" s="23">
        <v>45163</v>
      </c>
      <c r="F85" s="24">
        <v>45139</v>
      </c>
      <c r="G85" s="25">
        <v>727272</v>
      </c>
      <c r="H85" s="26" t="s">
        <v>1894</v>
      </c>
      <c r="I85" s="233" t="s">
        <v>29</v>
      </c>
      <c r="J85" s="10"/>
      <c r="K85" s="39"/>
      <c r="L85" s="40">
        <v>45224</v>
      </c>
      <c r="M85" s="40">
        <v>45225</v>
      </c>
      <c r="N85" s="37">
        <v>727272</v>
      </c>
      <c r="O85" s="37">
        <v>0</v>
      </c>
      <c r="P85" s="10"/>
      <c r="Q85" s="10"/>
      <c r="R85" s="10"/>
      <c r="S85" s="10"/>
      <c r="T85" s="10">
        <v>15</v>
      </c>
      <c r="U85" s="23" t="s">
        <v>1895</v>
      </c>
      <c r="V85" s="23">
        <v>45153</v>
      </c>
      <c r="W85" s="10"/>
      <c r="X85" s="10"/>
      <c r="Y85" s="10"/>
      <c r="Z85" s="10"/>
    </row>
    <row r="86" spans="1:26" ht="14.25" customHeight="1">
      <c r="A86" s="9">
        <v>95</v>
      </c>
      <c r="B86" s="10"/>
      <c r="C86" s="21">
        <v>231739</v>
      </c>
      <c r="D86" s="22" t="s">
        <v>34</v>
      </c>
      <c r="E86" s="23">
        <v>45166</v>
      </c>
      <c r="F86" s="24">
        <v>45139</v>
      </c>
      <c r="G86" s="25">
        <v>4460075</v>
      </c>
      <c r="H86" s="26" t="s">
        <v>1896</v>
      </c>
      <c r="I86" s="233" t="s">
        <v>29</v>
      </c>
      <c r="J86" s="10"/>
      <c r="K86" s="39"/>
      <c r="L86" s="40">
        <v>45224</v>
      </c>
      <c r="M86" s="40">
        <v>45225</v>
      </c>
      <c r="N86" s="37">
        <v>4460075</v>
      </c>
      <c r="O86" s="37">
        <v>0</v>
      </c>
      <c r="P86" s="10"/>
      <c r="Q86" s="10"/>
      <c r="R86" s="10"/>
      <c r="S86" s="10"/>
      <c r="T86" s="10">
        <v>15</v>
      </c>
      <c r="U86" s="23" t="s">
        <v>1895</v>
      </c>
      <c r="V86" s="23">
        <v>45153</v>
      </c>
      <c r="W86" s="10"/>
      <c r="X86" s="10"/>
      <c r="Y86" s="10"/>
      <c r="Z86" s="10"/>
    </row>
    <row r="87" spans="1:26" ht="14.25" customHeight="1">
      <c r="A87" s="9">
        <v>96</v>
      </c>
      <c r="B87" s="10"/>
      <c r="C87" s="21">
        <v>231745</v>
      </c>
      <c r="D87" s="22" t="s">
        <v>34</v>
      </c>
      <c r="E87" s="23">
        <v>45167</v>
      </c>
      <c r="F87" s="24">
        <v>45139</v>
      </c>
      <c r="G87" s="25">
        <v>953823</v>
      </c>
      <c r="H87" s="26" t="s">
        <v>1897</v>
      </c>
      <c r="I87" s="233" t="s">
        <v>29</v>
      </c>
      <c r="J87" s="10"/>
      <c r="K87" s="39"/>
      <c r="L87" s="40">
        <v>45224</v>
      </c>
      <c r="M87" s="40">
        <v>45225</v>
      </c>
      <c r="N87" s="37">
        <v>953823</v>
      </c>
      <c r="O87" s="37">
        <v>0</v>
      </c>
      <c r="P87" s="10"/>
      <c r="Q87" s="10"/>
      <c r="R87" s="10"/>
      <c r="S87" s="10"/>
      <c r="T87" s="10">
        <v>15</v>
      </c>
      <c r="U87" s="23" t="s">
        <v>1895</v>
      </c>
      <c r="V87" s="23">
        <v>45153</v>
      </c>
      <c r="W87" s="10"/>
      <c r="X87" s="10"/>
      <c r="Y87" s="10"/>
      <c r="Z87" s="10"/>
    </row>
    <row r="88" spans="1:26" ht="14.25" customHeight="1">
      <c r="A88" s="9">
        <v>97</v>
      </c>
      <c r="B88" s="10"/>
      <c r="C88" s="21">
        <v>231802</v>
      </c>
      <c r="D88" s="22" t="s">
        <v>34</v>
      </c>
      <c r="E88" s="23">
        <v>45169</v>
      </c>
      <c r="F88" s="24">
        <v>45139</v>
      </c>
      <c r="G88" s="25">
        <v>826728</v>
      </c>
      <c r="H88" s="26" t="s">
        <v>1898</v>
      </c>
      <c r="I88" s="233" t="s">
        <v>29</v>
      </c>
      <c r="J88" s="10"/>
      <c r="K88" s="39"/>
      <c r="L88" s="40">
        <v>45224</v>
      </c>
      <c r="M88" s="40">
        <v>45225</v>
      </c>
      <c r="N88" s="37">
        <v>826728</v>
      </c>
      <c r="O88" s="37">
        <v>0</v>
      </c>
      <c r="P88" s="10"/>
      <c r="Q88" s="10"/>
      <c r="R88" s="10"/>
      <c r="S88" s="10"/>
      <c r="T88" s="10">
        <v>15</v>
      </c>
      <c r="U88" s="23" t="s">
        <v>1895</v>
      </c>
      <c r="V88" s="23">
        <v>45153</v>
      </c>
      <c r="W88" s="10"/>
      <c r="X88" s="10"/>
      <c r="Y88" s="10"/>
      <c r="Z88" s="10"/>
    </row>
    <row r="89" spans="1:26" ht="14.25" customHeight="1">
      <c r="A89" s="9">
        <v>98</v>
      </c>
      <c r="B89" s="10"/>
      <c r="C89" s="21">
        <v>231816</v>
      </c>
      <c r="D89" s="22" t="s">
        <v>34</v>
      </c>
      <c r="E89" s="23">
        <v>45173</v>
      </c>
      <c r="F89" s="24">
        <v>45170</v>
      </c>
      <c r="G89" s="25">
        <v>2234547</v>
      </c>
      <c r="H89" s="26" t="s">
        <v>1899</v>
      </c>
      <c r="I89" s="233" t="s">
        <v>29</v>
      </c>
      <c r="J89" s="10"/>
      <c r="K89" s="39"/>
      <c r="L89" s="40">
        <v>45224</v>
      </c>
      <c r="M89" s="40">
        <v>45225</v>
      </c>
      <c r="N89" s="37">
        <v>2234547</v>
      </c>
      <c r="O89" s="37">
        <v>0</v>
      </c>
      <c r="P89" s="10"/>
      <c r="Q89" s="10"/>
      <c r="R89" s="10"/>
      <c r="S89" s="10"/>
      <c r="T89" s="10">
        <v>15</v>
      </c>
      <c r="U89" s="23" t="s">
        <v>1895</v>
      </c>
      <c r="V89" s="23">
        <v>45153</v>
      </c>
      <c r="W89" s="10"/>
      <c r="X89" s="10"/>
      <c r="Y89" s="10"/>
      <c r="Z89" s="10"/>
    </row>
    <row r="90" spans="1:26" ht="14.25" customHeight="1">
      <c r="A90" s="9">
        <v>100</v>
      </c>
      <c r="B90" s="10"/>
      <c r="C90" s="21">
        <v>231829</v>
      </c>
      <c r="D90" s="22" t="s">
        <v>34</v>
      </c>
      <c r="E90" s="23">
        <v>45174</v>
      </c>
      <c r="F90" s="24">
        <v>45170</v>
      </c>
      <c r="G90" s="25">
        <v>2424240</v>
      </c>
      <c r="H90" s="26" t="s">
        <v>1900</v>
      </c>
      <c r="I90" s="233" t="s">
        <v>29</v>
      </c>
      <c r="J90" s="10"/>
      <c r="K90" s="39"/>
      <c r="L90" s="40">
        <v>45224</v>
      </c>
      <c r="M90" s="40">
        <v>45225</v>
      </c>
      <c r="N90" s="37">
        <v>2424240</v>
      </c>
      <c r="O90" s="37">
        <v>0</v>
      </c>
      <c r="P90" s="10"/>
      <c r="Q90" s="10"/>
      <c r="R90" s="10"/>
      <c r="S90" s="10"/>
      <c r="T90" s="10">
        <v>16</v>
      </c>
      <c r="U90" s="23" t="s">
        <v>1901</v>
      </c>
      <c r="V90" s="23">
        <v>45154</v>
      </c>
      <c r="W90" s="10"/>
      <c r="X90" s="10"/>
      <c r="Y90" s="10"/>
      <c r="Z90" s="10"/>
    </row>
    <row r="91" spans="1:26" ht="14.25" customHeight="1">
      <c r="A91" s="9">
        <v>99</v>
      </c>
      <c r="B91" s="10"/>
      <c r="C91" s="21">
        <v>231831</v>
      </c>
      <c r="D91" s="22" t="s">
        <v>34</v>
      </c>
      <c r="E91" s="23">
        <v>45174</v>
      </c>
      <c r="F91" s="24">
        <v>45170</v>
      </c>
      <c r="G91" s="25">
        <v>7699626</v>
      </c>
      <c r="H91" s="26" t="s">
        <v>1902</v>
      </c>
      <c r="I91" s="233" t="s">
        <v>29</v>
      </c>
      <c r="J91" s="10"/>
      <c r="K91" s="39"/>
      <c r="L91" s="40">
        <v>45224</v>
      </c>
      <c r="M91" s="40">
        <v>45225</v>
      </c>
      <c r="N91" s="37">
        <v>7699626</v>
      </c>
      <c r="O91" s="37">
        <v>0</v>
      </c>
      <c r="P91" s="10"/>
      <c r="Q91" s="10"/>
      <c r="R91" s="10"/>
      <c r="S91" s="10"/>
      <c r="T91" s="10">
        <v>18</v>
      </c>
      <c r="U91" s="23" t="s">
        <v>1903</v>
      </c>
      <c r="V91" s="23">
        <v>45156</v>
      </c>
      <c r="W91" s="10"/>
      <c r="X91" s="10"/>
      <c r="Y91" s="10"/>
      <c r="Z91" s="10"/>
    </row>
    <row r="92" spans="1:26" ht="14.25" customHeight="1">
      <c r="A92" s="9">
        <v>101</v>
      </c>
      <c r="B92" s="10"/>
      <c r="C92" s="21">
        <v>231858</v>
      </c>
      <c r="D92" s="22" t="s">
        <v>34</v>
      </c>
      <c r="E92" s="23">
        <v>45177</v>
      </c>
      <c r="F92" s="24">
        <v>45170</v>
      </c>
      <c r="G92" s="25">
        <v>152958</v>
      </c>
      <c r="H92" s="26" t="s">
        <v>1904</v>
      </c>
      <c r="I92" s="233" t="s">
        <v>29</v>
      </c>
      <c r="J92" s="10"/>
      <c r="K92" s="39"/>
      <c r="L92" s="40">
        <v>45224</v>
      </c>
      <c r="M92" s="40">
        <v>45225</v>
      </c>
      <c r="N92" s="37">
        <v>152958</v>
      </c>
      <c r="O92" s="37">
        <v>0</v>
      </c>
      <c r="P92" s="10"/>
      <c r="Q92" s="10"/>
      <c r="R92" s="10"/>
      <c r="S92" s="10"/>
      <c r="T92" s="10">
        <v>21</v>
      </c>
      <c r="U92" s="23" t="s">
        <v>1905</v>
      </c>
      <c r="V92" s="23">
        <v>45159</v>
      </c>
      <c r="W92" s="10"/>
      <c r="X92" s="10"/>
      <c r="Y92" s="10"/>
      <c r="Z92" s="10"/>
    </row>
    <row r="93" spans="1:26" ht="14.25" customHeight="1">
      <c r="A93" s="9">
        <v>103</v>
      </c>
      <c r="B93" s="10"/>
      <c r="C93" s="21">
        <v>231850</v>
      </c>
      <c r="D93" s="22" t="s">
        <v>34</v>
      </c>
      <c r="E93" s="23">
        <v>45180</v>
      </c>
      <c r="F93" s="24">
        <v>45170</v>
      </c>
      <c r="G93" s="25">
        <v>666666</v>
      </c>
      <c r="H93" s="26" t="s">
        <v>1906</v>
      </c>
      <c r="I93" s="233" t="s">
        <v>29</v>
      </c>
      <c r="J93" s="10"/>
      <c r="K93" s="39"/>
      <c r="L93" s="40">
        <v>45224</v>
      </c>
      <c r="M93" s="40">
        <v>45225</v>
      </c>
      <c r="N93" s="37">
        <v>666666</v>
      </c>
      <c r="O93" s="37">
        <v>0</v>
      </c>
      <c r="P93" s="10"/>
      <c r="Q93" s="10"/>
      <c r="R93" s="10"/>
      <c r="S93" s="10"/>
      <c r="T93" s="10">
        <v>21</v>
      </c>
      <c r="U93" s="23" t="s">
        <v>1905</v>
      </c>
      <c r="V93" s="23">
        <v>45159</v>
      </c>
      <c r="W93" s="10"/>
      <c r="X93" s="10"/>
      <c r="Y93" s="10"/>
      <c r="Z93" s="10"/>
    </row>
    <row r="94" spans="1:26" ht="14.25" customHeight="1">
      <c r="A94" s="9">
        <v>102</v>
      </c>
      <c r="B94" s="10"/>
      <c r="C94" s="21">
        <v>231851</v>
      </c>
      <c r="D94" s="22" t="s">
        <v>34</v>
      </c>
      <c r="E94" s="23">
        <v>45180</v>
      </c>
      <c r="F94" s="24">
        <v>45170</v>
      </c>
      <c r="G94" s="25">
        <v>5310651</v>
      </c>
      <c r="H94" s="26" t="s">
        <v>1907</v>
      </c>
      <c r="I94" s="233" t="s">
        <v>29</v>
      </c>
      <c r="J94" s="10"/>
      <c r="K94" s="39"/>
      <c r="L94" s="40">
        <v>45224</v>
      </c>
      <c r="M94" s="40">
        <v>45225</v>
      </c>
      <c r="N94" s="37">
        <v>5310651</v>
      </c>
      <c r="O94" s="37">
        <v>0</v>
      </c>
      <c r="P94" s="10"/>
      <c r="Q94" s="10"/>
      <c r="R94" s="10"/>
      <c r="S94" s="10"/>
      <c r="T94" s="10">
        <v>21</v>
      </c>
      <c r="U94" s="23" t="s">
        <v>1905</v>
      </c>
      <c r="V94" s="23">
        <v>45159</v>
      </c>
      <c r="W94" s="10"/>
      <c r="X94" s="10"/>
      <c r="Y94" s="10"/>
      <c r="Z94" s="10"/>
    </row>
    <row r="95" spans="1:26" ht="14.25" customHeight="1">
      <c r="A95" s="9">
        <v>104</v>
      </c>
      <c r="B95" s="10"/>
      <c r="C95" s="21">
        <v>231874</v>
      </c>
      <c r="D95" s="22" t="s">
        <v>34</v>
      </c>
      <c r="E95" s="23">
        <v>45180</v>
      </c>
      <c r="F95" s="24">
        <v>45170</v>
      </c>
      <c r="G95" s="25">
        <v>129410</v>
      </c>
      <c r="H95" s="26" t="s">
        <v>1908</v>
      </c>
      <c r="I95" s="233" t="s">
        <v>29</v>
      </c>
      <c r="J95" s="10"/>
      <c r="K95" s="39"/>
      <c r="L95" s="40">
        <v>45224</v>
      </c>
      <c r="M95" s="40">
        <v>45225</v>
      </c>
      <c r="N95" s="37">
        <v>129410</v>
      </c>
      <c r="O95" s="37">
        <v>0</v>
      </c>
      <c r="P95" s="10"/>
      <c r="Q95" s="10"/>
      <c r="R95" s="10"/>
      <c r="S95" s="10"/>
      <c r="T95" s="10">
        <v>23</v>
      </c>
      <c r="U95" s="23" t="s">
        <v>1909</v>
      </c>
      <c r="V95" s="23">
        <v>45161</v>
      </c>
      <c r="W95" s="10"/>
      <c r="X95" s="10"/>
      <c r="Y95" s="10"/>
      <c r="Z95" s="10"/>
    </row>
    <row r="96" spans="1:26" ht="14.25" customHeight="1">
      <c r="A96" s="9">
        <v>105</v>
      </c>
      <c r="B96" s="10"/>
      <c r="C96" s="21">
        <v>231923</v>
      </c>
      <c r="D96" s="22" t="s">
        <v>34</v>
      </c>
      <c r="E96" s="23">
        <v>45185</v>
      </c>
      <c r="F96" s="24">
        <v>45170</v>
      </c>
      <c r="G96" s="25">
        <v>4455385</v>
      </c>
      <c r="H96" s="26" t="s">
        <v>1910</v>
      </c>
      <c r="I96" s="233" t="s">
        <v>29</v>
      </c>
      <c r="J96" s="27">
        <v>25836678</v>
      </c>
      <c r="K96" s="39">
        <v>45255</v>
      </c>
      <c r="L96" s="40">
        <v>45255</v>
      </c>
      <c r="M96" s="40">
        <v>45247</v>
      </c>
      <c r="N96" s="37">
        <v>4455385</v>
      </c>
      <c r="O96" s="37">
        <v>0</v>
      </c>
      <c r="P96" s="10"/>
      <c r="Q96" s="10"/>
      <c r="R96" s="10"/>
      <c r="S96" s="10"/>
      <c r="T96" s="10">
        <v>24</v>
      </c>
      <c r="U96" s="23" t="s">
        <v>1911</v>
      </c>
      <c r="V96" s="23">
        <v>45162</v>
      </c>
      <c r="W96" s="10"/>
      <c r="X96" s="10"/>
      <c r="Y96" s="10"/>
      <c r="Z96" s="10"/>
    </row>
    <row r="97" spans="1:26" ht="14.25" customHeight="1">
      <c r="A97" s="9">
        <v>106</v>
      </c>
      <c r="B97" s="10"/>
      <c r="C97" s="21">
        <v>231921</v>
      </c>
      <c r="D97" s="22" t="s">
        <v>34</v>
      </c>
      <c r="E97" s="23">
        <v>45189</v>
      </c>
      <c r="F97" s="24">
        <v>45170</v>
      </c>
      <c r="G97" s="25">
        <v>943781</v>
      </c>
      <c r="H97" s="26" t="s">
        <v>1912</v>
      </c>
      <c r="I97" s="233" t="s">
        <v>29</v>
      </c>
      <c r="J97" s="10"/>
      <c r="K97" s="39"/>
      <c r="L97" s="40">
        <v>45255</v>
      </c>
      <c r="M97" s="40">
        <v>45247</v>
      </c>
      <c r="N97" s="37">
        <v>943781</v>
      </c>
      <c r="O97" s="37">
        <v>0</v>
      </c>
      <c r="P97" s="10"/>
      <c r="Q97" s="10"/>
      <c r="R97" s="10"/>
      <c r="S97" s="10"/>
      <c r="T97" s="10">
        <v>25</v>
      </c>
      <c r="U97" s="23" t="s">
        <v>1913</v>
      </c>
      <c r="V97" s="23">
        <v>45163</v>
      </c>
      <c r="W97" s="10"/>
      <c r="X97" s="10"/>
      <c r="Y97" s="10"/>
      <c r="Z97" s="10"/>
    </row>
    <row r="98" spans="1:26" ht="14.25" customHeight="1">
      <c r="A98" s="9">
        <v>107</v>
      </c>
      <c r="B98" s="10"/>
      <c r="C98" s="21">
        <v>231922</v>
      </c>
      <c r="D98" s="22" t="s">
        <v>34</v>
      </c>
      <c r="E98" s="23">
        <v>45189</v>
      </c>
      <c r="F98" s="24">
        <v>45170</v>
      </c>
      <c r="G98" s="25">
        <v>1008140</v>
      </c>
      <c r="H98" s="26" t="s">
        <v>1914</v>
      </c>
      <c r="I98" s="233" t="s">
        <v>29</v>
      </c>
      <c r="J98" s="10"/>
      <c r="K98" s="39"/>
      <c r="L98" s="40">
        <v>45255</v>
      </c>
      <c r="M98" s="40">
        <v>45247</v>
      </c>
      <c r="N98" s="37">
        <v>1008140</v>
      </c>
      <c r="O98" s="37">
        <v>0</v>
      </c>
      <c r="P98" s="10"/>
      <c r="Q98" s="10"/>
      <c r="R98" s="10"/>
      <c r="S98" s="10"/>
      <c r="T98" s="10">
        <v>28</v>
      </c>
      <c r="U98" s="23" t="s">
        <v>1915</v>
      </c>
      <c r="V98" s="23">
        <v>45166</v>
      </c>
      <c r="W98" s="10"/>
      <c r="X98" s="10"/>
      <c r="Y98" s="10"/>
      <c r="Z98" s="10"/>
    </row>
    <row r="99" spans="1:26" ht="14.25" customHeight="1">
      <c r="A99" s="9">
        <v>108</v>
      </c>
      <c r="B99" s="10"/>
      <c r="C99" s="21">
        <v>231981</v>
      </c>
      <c r="D99" s="22" t="s">
        <v>34</v>
      </c>
      <c r="E99" s="23">
        <v>45195</v>
      </c>
      <c r="F99" s="24">
        <v>45170</v>
      </c>
      <c r="G99" s="25">
        <v>4252410</v>
      </c>
      <c r="H99" s="26" t="s">
        <v>1916</v>
      </c>
      <c r="I99" s="233" t="s">
        <v>29</v>
      </c>
      <c r="J99" s="10"/>
      <c r="K99" s="39"/>
      <c r="L99" s="40">
        <v>45255</v>
      </c>
      <c r="M99" s="40">
        <v>45247</v>
      </c>
      <c r="N99" s="37">
        <v>4252410</v>
      </c>
      <c r="O99" s="37">
        <v>0</v>
      </c>
      <c r="P99" s="10"/>
      <c r="Q99" s="10"/>
      <c r="R99" s="10"/>
      <c r="S99" s="10"/>
      <c r="T99" s="10">
        <v>29</v>
      </c>
      <c r="U99" s="23" t="s">
        <v>1917</v>
      </c>
      <c r="V99" s="23">
        <v>45167</v>
      </c>
      <c r="W99" s="10"/>
      <c r="X99" s="10"/>
      <c r="Y99" s="10"/>
      <c r="Z99" s="10"/>
    </row>
    <row r="100" spans="1:26" ht="14.25" customHeight="1">
      <c r="A100" s="9">
        <v>109</v>
      </c>
      <c r="B100" s="10"/>
      <c r="C100" s="21">
        <v>232006</v>
      </c>
      <c r="D100" s="22" t="s">
        <v>34</v>
      </c>
      <c r="E100" s="23">
        <v>45198</v>
      </c>
      <c r="F100" s="24">
        <v>45170</v>
      </c>
      <c r="G100" s="25">
        <v>333289</v>
      </c>
      <c r="H100" s="26" t="s">
        <v>1918</v>
      </c>
      <c r="I100" s="233" t="s">
        <v>29</v>
      </c>
      <c r="J100" s="10"/>
      <c r="K100" s="39"/>
      <c r="L100" s="40">
        <v>45255</v>
      </c>
      <c r="M100" s="40">
        <v>45247</v>
      </c>
      <c r="N100" s="37">
        <v>333289</v>
      </c>
      <c r="O100" s="37">
        <v>0</v>
      </c>
      <c r="P100" s="10"/>
      <c r="Q100" s="10"/>
      <c r="R100" s="10"/>
      <c r="S100" s="10"/>
      <c r="T100" s="10">
        <v>31</v>
      </c>
      <c r="U100" s="23" t="s">
        <v>1919</v>
      </c>
      <c r="V100" s="23">
        <v>45169</v>
      </c>
      <c r="W100" s="10"/>
      <c r="X100" s="10"/>
      <c r="Y100" s="10"/>
      <c r="Z100" s="10"/>
    </row>
    <row r="101" spans="1:26" ht="14.25" customHeight="1">
      <c r="A101" s="9">
        <v>110</v>
      </c>
      <c r="B101" s="10"/>
      <c r="C101" s="21">
        <v>232007</v>
      </c>
      <c r="D101" s="22" t="s">
        <v>34</v>
      </c>
      <c r="E101" s="23">
        <v>45198</v>
      </c>
      <c r="F101" s="24">
        <v>45170</v>
      </c>
      <c r="G101" s="25">
        <v>6178260</v>
      </c>
      <c r="H101" s="26" t="s">
        <v>1920</v>
      </c>
      <c r="I101" s="233" t="s">
        <v>29</v>
      </c>
      <c r="J101" s="10"/>
      <c r="K101" s="39"/>
      <c r="L101" s="40">
        <v>45255</v>
      </c>
      <c r="M101" s="40">
        <v>45247</v>
      </c>
      <c r="N101" s="37">
        <v>6178260</v>
      </c>
      <c r="O101" s="37">
        <v>0</v>
      </c>
      <c r="P101" s="10"/>
      <c r="Q101" s="10"/>
      <c r="R101" s="10"/>
      <c r="S101" s="10"/>
      <c r="T101" s="10">
        <v>4</v>
      </c>
      <c r="U101" s="23" t="s">
        <v>1921</v>
      </c>
      <c r="V101" s="23">
        <v>45173</v>
      </c>
      <c r="W101" s="10"/>
      <c r="X101" s="10"/>
      <c r="Y101" s="10"/>
      <c r="Z101" s="10"/>
    </row>
    <row r="102" spans="1:26" ht="14.25" customHeight="1">
      <c r="A102" s="9">
        <v>111</v>
      </c>
      <c r="B102" s="10"/>
      <c r="C102" s="21">
        <v>232037</v>
      </c>
      <c r="D102" s="22" t="s">
        <v>34</v>
      </c>
      <c r="E102" s="23">
        <v>45201</v>
      </c>
      <c r="F102" s="24">
        <v>45200</v>
      </c>
      <c r="G102" s="25">
        <v>761904</v>
      </c>
      <c r="H102" s="26" t="s">
        <v>1922</v>
      </c>
      <c r="I102" s="233" t="s">
        <v>29</v>
      </c>
      <c r="J102" s="10"/>
      <c r="K102" s="39"/>
      <c r="L102" s="40">
        <v>45255</v>
      </c>
      <c r="M102" s="40">
        <v>45247</v>
      </c>
      <c r="N102" s="37">
        <v>761904</v>
      </c>
      <c r="O102" s="37">
        <v>0</v>
      </c>
      <c r="P102" s="10"/>
      <c r="Q102" s="10"/>
      <c r="R102" s="10"/>
      <c r="S102" s="10"/>
      <c r="T102" s="10">
        <v>5</v>
      </c>
      <c r="U102" s="23" t="s">
        <v>1923</v>
      </c>
      <c r="V102" s="23">
        <v>45174</v>
      </c>
      <c r="W102" s="10"/>
      <c r="X102" s="10"/>
      <c r="Y102" s="10"/>
      <c r="Z102" s="10"/>
    </row>
    <row r="103" spans="1:26" ht="14.25" customHeight="1">
      <c r="A103" s="9">
        <v>112</v>
      </c>
      <c r="B103" s="10"/>
      <c r="C103" s="21">
        <v>232043</v>
      </c>
      <c r="D103" s="22" t="s">
        <v>34</v>
      </c>
      <c r="E103" s="23">
        <v>45203</v>
      </c>
      <c r="F103" s="24">
        <v>45200</v>
      </c>
      <c r="G103" s="25">
        <v>236288</v>
      </c>
      <c r="H103" s="26" t="s">
        <v>1924</v>
      </c>
      <c r="I103" s="233" t="s">
        <v>29</v>
      </c>
      <c r="J103" s="10"/>
      <c r="K103" s="39"/>
      <c r="L103" s="40">
        <v>45255</v>
      </c>
      <c r="M103" s="40">
        <v>45247</v>
      </c>
      <c r="N103" s="37">
        <v>236288</v>
      </c>
      <c r="O103" s="37">
        <v>0</v>
      </c>
      <c r="P103" s="10"/>
      <c r="Q103" s="10"/>
      <c r="R103" s="10"/>
      <c r="S103" s="10"/>
      <c r="T103" s="10">
        <v>5</v>
      </c>
      <c r="U103" s="23" t="s">
        <v>1923</v>
      </c>
      <c r="V103" s="23">
        <v>45174</v>
      </c>
      <c r="W103" s="10"/>
      <c r="X103" s="10"/>
      <c r="Y103" s="10"/>
      <c r="Z103" s="10"/>
    </row>
    <row r="104" spans="1:26" ht="14.25" customHeight="1">
      <c r="A104" s="9">
        <v>113</v>
      </c>
      <c r="B104" s="10"/>
      <c r="C104" s="21">
        <v>232059</v>
      </c>
      <c r="D104" s="22" t="s">
        <v>34</v>
      </c>
      <c r="E104" s="23">
        <v>45204</v>
      </c>
      <c r="F104" s="24">
        <v>45200</v>
      </c>
      <c r="G104" s="25">
        <v>2460204</v>
      </c>
      <c r="H104" s="26" t="s">
        <v>1925</v>
      </c>
      <c r="I104" s="233" t="s">
        <v>29</v>
      </c>
      <c r="J104" s="10"/>
      <c r="K104" s="39"/>
      <c r="L104" s="40">
        <v>45255</v>
      </c>
      <c r="M104" s="40">
        <v>45247</v>
      </c>
      <c r="N104" s="37">
        <v>2460204</v>
      </c>
      <c r="O104" s="37">
        <v>0</v>
      </c>
      <c r="P104" s="10"/>
      <c r="Q104" s="10"/>
      <c r="R104" s="10"/>
      <c r="S104" s="10"/>
      <c r="T104" s="10">
        <v>8</v>
      </c>
      <c r="U104" s="23" t="s">
        <v>1926</v>
      </c>
      <c r="V104" s="23">
        <v>45177</v>
      </c>
      <c r="W104" s="10"/>
      <c r="X104" s="10"/>
      <c r="Y104" s="10"/>
      <c r="Z104" s="10"/>
    </row>
    <row r="105" spans="1:26" ht="14.25" customHeight="1">
      <c r="A105" s="9">
        <v>114</v>
      </c>
      <c r="B105" s="10"/>
      <c r="C105" s="21">
        <v>232094</v>
      </c>
      <c r="D105" s="22" t="s">
        <v>34</v>
      </c>
      <c r="E105" s="23">
        <v>45208</v>
      </c>
      <c r="F105" s="24">
        <v>45200</v>
      </c>
      <c r="G105" s="25">
        <v>3112995</v>
      </c>
      <c r="H105" s="26" t="s">
        <v>1927</v>
      </c>
      <c r="I105" s="233" t="s">
        <v>29</v>
      </c>
      <c r="J105" s="10"/>
      <c r="K105" s="39"/>
      <c r="L105" s="40">
        <v>45255</v>
      </c>
      <c r="M105" s="40">
        <v>45247</v>
      </c>
      <c r="N105" s="37">
        <v>3112995</v>
      </c>
      <c r="O105" s="37">
        <v>0</v>
      </c>
      <c r="P105" s="10"/>
      <c r="Q105" s="10"/>
      <c r="R105" s="10"/>
      <c r="S105" s="10"/>
      <c r="T105" s="10">
        <v>11</v>
      </c>
      <c r="U105" s="23" t="s">
        <v>1928</v>
      </c>
      <c r="V105" s="23">
        <v>45180</v>
      </c>
      <c r="W105" s="10"/>
      <c r="X105" s="10"/>
      <c r="Y105" s="10"/>
      <c r="Z105" s="10"/>
    </row>
    <row r="106" spans="1:26" ht="14.25" customHeight="1">
      <c r="A106" s="9">
        <v>115</v>
      </c>
      <c r="B106" s="10"/>
      <c r="C106" s="21">
        <v>232095</v>
      </c>
      <c r="D106" s="22" t="s">
        <v>34</v>
      </c>
      <c r="E106" s="23">
        <v>45210</v>
      </c>
      <c r="F106" s="24">
        <v>45200</v>
      </c>
      <c r="G106" s="25">
        <v>2094022</v>
      </c>
      <c r="H106" s="26" t="s">
        <v>1929</v>
      </c>
      <c r="I106" s="233" t="s">
        <v>29</v>
      </c>
      <c r="J106" s="10"/>
      <c r="K106" s="39"/>
      <c r="L106" s="40">
        <v>45255</v>
      </c>
      <c r="M106" s="40">
        <v>45247</v>
      </c>
      <c r="N106" s="37">
        <v>2094022</v>
      </c>
      <c r="O106" s="37">
        <v>0</v>
      </c>
      <c r="P106" s="10"/>
      <c r="Q106" s="10"/>
      <c r="R106" s="10"/>
      <c r="S106" s="10"/>
      <c r="T106" s="10">
        <v>11</v>
      </c>
      <c r="U106" s="23" t="s">
        <v>1928</v>
      </c>
      <c r="V106" s="23">
        <v>45180</v>
      </c>
      <c r="W106" s="10"/>
      <c r="X106" s="10"/>
      <c r="Y106" s="10"/>
      <c r="Z106" s="10"/>
    </row>
    <row r="107" spans="1:26" ht="14.25" customHeight="1">
      <c r="A107" s="9">
        <v>116</v>
      </c>
      <c r="B107" s="10"/>
      <c r="C107" s="21">
        <v>232096</v>
      </c>
      <c r="D107" s="22" t="s">
        <v>34</v>
      </c>
      <c r="E107" s="23">
        <v>45212</v>
      </c>
      <c r="F107" s="24">
        <v>45200</v>
      </c>
      <c r="G107" s="25">
        <v>11990098</v>
      </c>
      <c r="H107" s="26" t="s">
        <v>1930</v>
      </c>
      <c r="I107" s="233" t="s">
        <v>29</v>
      </c>
      <c r="J107" s="27">
        <v>32749411</v>
      </c>
      <c r="K107" s="39">
        <v>45271</v>
      </c>
      <c r="L107" s="36">
        <v>45271</v>
      </c>
      <c r="M107" s="36">
        <v>45271</v>
      </c>
      <c r="N107" s="37">
        <v>11990098</v>
      </c>
      <c r="O107" s="37">
        <v>0</v>
      </c>
      <c r="P107" s="10"/>
      <c r="Q107" s="10"/>
      <c r="R107" s="10"/>
      <c r="S107" s="10"/>
      <c r="T107" s="10">
        <v>11</v>
      </c>
      <c r="U107" s="23" t="s">
        <v>1928</v>
      </c>
      <c r="V107" s="23">
        <v>45180</v>
      </c>
      <c r="W107" s="10"/>
      <c r="X107" s="10"/>
      <c r="Y107" s="10"/>
      <c r="Z107" s="10"/>
    </row>
    <row r="108" spans="1:26" ht="14.25" customHeight="1">
      <c r="A108" s="9">
        <v>117</v>
      </c>
      <c r="B108" s="10"/>
      <c r="C108" s="21">
        <v>232097</v>
      </c>
      <c r="D108" s="22" t="s">
        <v>34</v>
      </c>
      <c r="E108" s="23">
        <v>45216</v>
      </c>
      <c r="F108" s="24">
        <v>45200</v>
      </c>
      <c r="G108" s="25">
        <v>4348291</v>
      </c>
      <c r="H108" s="26" t="s">
        <v>1931</v>
      </c>
      <c r="I108" s="233" t="s">
        <v>29</v>
      </c>
      <c r="J108" s="10"/>
      <c r="K108" s="39"/>
      <c r="L108" s="36">
        <v>45271</v>
      </c>
      <c r="M108" s="36">
        <v>45271</v>
      </c>
      <c r="N108" s="37">
        <v>4348291</v>
      </c>
      <c r="O108" s="37">
        <v>0</v>
      </c>
      <c r="P108" s="10"/>
      <c r="Q108" s="10"/>
      <c r="R108" s="10"/>
      <c r="S108" s="10"/>
      <c r="T108" s="10">
        <v>16</v>
      </c>
      <c r="U108" s="23" t="s">
        <v>1932</v>
      </c>
      <c r="V108" s="23">
        <v>45185</v>
      </c>
      <c r="W108" s="10"/>
      <c r="X108" s="10"/>
      <c r="Y108" s="10"/>
      <c r="Z108" s="10"/>
    </row>
    <row r="109" spans="1:26" ht="14.25" customHeight="1">
      <c r="A109" s="9">
        <v>118</v>
      </c>
      <c r="B109" s="10"/>
      <c r="C109" s="21">
        <v>232105</v>
      </c>
      <c r="D109" s="22" t="s">
        <v>34</v>
      </c>
      <c r="E109" s="23">
        <v>45218</v>
      </c>
      <c r="F109" s="24">
        <v>45200</v>
      </c>
      <c r="G109" s="25">
        <v>2479385</v>
      </c>
      <c r="H109" s="26" t="s">
        <v>1933</v>
      </c>
      <c r="I109" s="233" t="s">
        <v>29</v>
      </c>
      <c r="J109" s="10"/>
      <c r="K109" s="39"/>
      <c r="L109" s="36">
        <v>45271</v>
      </c>
      <c r="M109" s="36">
        <v>45271</v>
      </c>
      <c r="N109" s="37">
        <v>2479385</v>
      </c>
      <c r="O109" s="37">
        <v>0</v>
      </c>
      <c r="P109" s="10"/>
      <c r="Q109" s="10"/>
      <c r="R109" s="10"/>
      <c r="S109" s="10"/>
      <c r="T109" s="10">
        <v>20</v>
      </c>
      <c r="U109" s="23" t="s">
        <v>1934</v>
      </c>
      <c r="V109" s="23">
        <v>45189</v>
      </c>
      <c r="W109" s="10"/>
      <c r="X109" s="10"/>
      <c r="Y109" s="10"/>
      <c r="Z109" s="10"/>
    </row>
    <row r="110" spans="1:26" ht="14.25" customHeight="1">
      <c r="A110" s="9">
        <v>119</v>
      </c>
      <c r="B110" s="10"/>
      <c r="C110" s="21">
        <v>232106</v>
      </c>
      <c r="D110" s="22" t="s">
        <v>34</v>
      </c>
      <c r="E110" s="23">
        <v>45218</v>
      </c>
      <c r="F110" s="24">
        <v>45200</v>
      </c>
      <c r="G110" s="25">
        <v>399600</v>
      </c>
      <c r="H110" s="26" t="s">
        <v>1935</v>
      </c>
      <c r="I110" s="233" t="s">
        <v>29</v>
      </c>
      <c r="J110" s="10"/>
      <c r="K110" s="39"/>
      <c r="L110" s="36">
        <v>45271</v>
      </c>
      <c r="M110" s="36">
        <v>45271</v>
      </c>
      <c r="N110" s="37">
        <v>399600</v>
      </c>
      <c r="O110" s="37">
        <v>0</v>
      </c>
      <c r="P110" s="10"/>
      <c r="Q110" s="10"/>
      <c r="R110" s="10"/>
      <c r="S110" s="10"/>
      <c r="T110" s="10">
        <v>20</v>
      </c>
      <c r="U110" s="23" t="s">
        <v>1934</v>
      </c>
      <c r="V110" s="23">
        <v>45189</v>
      </c>
      <c r="W110" s="10"/>
      <c r="X110" s="10"/>
      <c r="Y110" s="10"/>
      <c r="Z110" s="10"/>
    </row>
    <row r="111" spans="1:26" ht="14.25" customHeight="1">
      <c r="A111" s="9">
        <v>120</v>
      </c>
      <c r="B111" s="10"/>
      <c r="C111" s="21">
        <v>232157</v>
      </c>
      <c r="D111" s="22" t="s">
        <v>34</v>
      </c>
      <c r="E111" s="23">
        <v>45222</v>
      </c>
      <c r="F111" s="24">
        <v>45200</v>
      </c>
      <c r="G111" s="25">
        <v>321179</v>
      </c>
      <c r="H111" s="26" t="s">
        <v>1936</v>
      </c>
      <c r="I111" s="233" t="s">
        <v>29</v>
      </c>
      <c r="J111" s="10"/>
      <c r="K111" s="39"/>
      <c r="L111" s="36">
        <v>45271</v>
      </c>
      <c r="M111" s="36">
        <v>45271</v>
      </c>
      <c r="N111" s="37">
        <v>321179</v>
      </c>
      <c r="O111" s="37">
        <v>0</v>
      </c>
      <c r="P111" s="10"/>
      <c r="Q111" s="10"/>
      <c r="R111" s="10"/>
      <c r="S111" s="10"/>
      <c r="T111" s="10">
        <v>26</v>
      </c>
      <c r="U111" s="23" t="s">
        <v>1937</v>
      </c>
      <c r="V111" s="23">
        <v>45195</v>
      </c>
      <c r="W111" s="10"/>
      <c r="X111" s="10"/>
      <c r="Y111" s="10"/>
      <c r="Z111" s="10"/>
    </row>
    <row r="112" spans="1:26" ht="14.25" customHeight="1">
      <c r="A112" s="9">
        <v>121</v>
      </c>
      <c r="B112" s="10"/>
      <c r="C112" s="21">
        <v>232167</v>
      </c>
      <c r="D112" s="22" t="s">
        <v>34</v>
      </c>
      <c r="E112" s="23">
        <v>45224</v>
      </c>
      <c r="F112" s="24">
        <v>45200</v>
      </c>
      <c r="G112" s="25">
        <v>2798666</v>
      </c>
      <c r="H112" s="26" t="s">
        <v>1938</v>
      </c>
      <c r="I112" s="233" t="s">
        <v>29</v>
      </c>
      <c r="J112" s="10"/>
      <c r="K112" s="39"/>
      <c r="L112" s="36">
        <v>45271</v>
      </c>
      <c r="M112" s="36">
        <v>45271</v>
      </c>
      <c r="N112" s="37">
        <v>2798666</v>
      </c>
      <c r="O112" s="37">
        <v>0</v>
      </c>
      <c r="P112" s="10"/>
      <c r="Q112" s="10"/>
      <c r="R112" s="10"/>
      <c r="S112" s="10"/>
      <c r="T112" s="10">
        <v>29</v>
      </c>
      <c r="U112" s="23" t="s">
        <v>1939</v>
      </c>
      <c r="V112" s="23">
        <v>45198</v>
      </c>
      <c r="W112" s="10"/>
      <c r="X112" s="10"/>
      <c r="Y112" s="10"/>
      <c r="Z112" s="10"/>
    </row>
    <row r="113" spans="1:26" ht="14.25" customHeight="1">
      <c r="A113" s="9">
        <v>122</v>
      </c>
      <c r="B113" s="10"/>
      <c r="C113" s="21">
        <v>232183</v>
      </c>
      <c r="D113" s="22" t="s">
        <v>34</v>
      </c>
      <c r="E113" s="23">
        <v>45226</v>
      </c>
      <c r="F113" s="24">
        <v>45200</v>
      </c>
      <c r="G113" s="25">
        <v>6092971</v>
      </c>
      <c r="H113" s="26" t="s">
        <v>1940</v>
      </c>
      <c r="I113" s="233" t="s">
        <v>29</v>
      </c>
      <c r="J113" s="10"/>
      <c r="K113" s="39"/>
      <c r="L113" s="36">
        <v>45271</v>
      </c>
      <c r="M113" s="36">
        <v>45271</v>
      </c>
      <c r="N113" s="37">
        <v>6092971</v>
      </c>
      <c r="O113" s="37">
        <v>0</v>
      </c>
      <c r="P113" s="10"/>
      <c r="Q113" s="10"/>
      <c r="R113" s="10"/>
      <c r="S113" s="10"/>
      <c r="T113" s="10">
        <v>29</v>
      </c>
      <c r="U113" s="23" t="s">
        <v>1939</v>
      </c>
      <c r="V113" s="23">
        <v>45198</v>
      </c>
      <c r="W113" s="10"/>
      <c r="X113" s="10"/>
      <c r="Y113" s="10"/>
      <c r="Z113" s="10"/>
    </row>
    <row r="114" spans="1:26" ht="14.25" customHeight="1">
      <c r="A114" s="9">
        <v>123</v>
      </c>
      <c r="B114" s="10"/>
      <c r="C114" s="21">
        <v>232201</v>
      </c>
      <c r="D114" s="22" t="s">
        <v>34</v>
      </c>
      <c r="E114" s="23">
        <v>45230</v>
      </c>
      <c r="F114" s="24">
        <v>45200</v>
      </c>
      <c r="G114" s="25">
        <v>849150</v>
      </c>
      <c r="H114" s="26" t="s">
        <v>1941</v>
      </c>
      <c r="I114" s="233" t="s">
        <v>29</v>
      </c>
      <c r="J114" s="10"/>
      <c r="K114" s="39"/>
      <c r="L114" s="36">
        <v>45271</v>
      </c>
      <c r="M114" s="36">
        <v>45271</v>
      </c>
      <c r="N114" s="37">
        <v>849150</v>
      </c>
      <c r="O114" s="37">
        <v>0</v>
      </c>
      <c r="P114" s="10"/>
      <c r="Q114" s="10"/>
      <c r="R114" s="10"/>
      <c r="S114" s="10"/>
      <c r="T114" s="10">
        <v>2</v>
      </c>
      <c r="U114" s="23" t="s">
        <v>1942</v>
      </c>
      <c r="V114" s="23">
        <v>45201</v>
      </c>
      <c r="W114" s="10"/>
      <c r="X114" s="10"/>
      <c r="Y114" s="10"/>
      <c r="Z114" s="10"/>
    </row>
    <row r="115" spans="1:26" ht="14.25" customHeight="1">
      <c r="A115" s="9">
        <v>124</v>
      </c>
      <c r="B115" s="10"/>
      <c r="C115" s="21">
        <v>232203</v>
      </c>
      <c r="D115" s="22" t="s">
        <v>34</v>
      </c>
      <c r="E115" s="23">
        <v>45230</v>
      </c>
      <c r="F115" s="24">
        <v>45200</v>
      </c>
      <c r="G115" s="25">
        <v>454545</v>
      </c>
      <c r="H115" s="26" t="s">
        <v>1943</v>
      </c>
      <c r="I115" s="233" t="s">
        <v>29</v>
      </c>
      <c r="J115" s="10"/>
      <c r="K115" s="39"/>
      <c r="L115" s="36">
        <v>45271</v>
      </c>
      <c r="M115" s="36">
        <v>45271</v>
      </c>
      <c r="N115" s="37">
        <v>454545</v>
      </c>
      <c r="O115" s="37">
        <v>0</v>
      </c>
      <c r="P115" s="10"/>
      <c r="Q115" s="10"/>
      <c r="R115" s="10"/>
      <c r="S115" s="10"/>
      <c r="T115" s="10">
        <v>4</v>
      </c>
      <c r="U115" s="23" t="s">
        <v>1944</v>
      </c>
      <c r="V115" s="23">
        <v>45203</v>
      </c>
      <c r="W115" s="10"/>
      <c r="X115" s="10"/>
      <c r="Y115" s="10"/>
      <c r="Z115" s="10"/>
    </row>
    <row r="116" spans="1:26" ht="14.25" customHeight="1">
      <c r="A116" s="9">
        <v>125</v>
      </c>
      <c r="B116" s="10"/>
      <c r="C116" s="21">
        <v>232204</v>
      </c>
      <c r="D116" s="22" t="s">
        <v>34</v>
      </c>
      <c r="E116" s="23">
        <v>45230</v>
      </c>
      <c r="F116" s="24">
        <v>45200</v>
      </c>
      <c r="G116" s="25">
        <v>2627026</v>
      </c>
      <c r="H116" s="26" t="s">
        <v>1945</v>
      </c>
      <c r="I116" s="233" t="s">
        <v>29</v>
      </c>
      <c r="J116" s="10"/>
      <c r="K116" s="39"/>
      <c r="L116" s="36">
        <v>45271</v>
      </c>
      <c r="M116" s="36">
        <v>45271</v>
      </c>
      <c r="N116" s="37">
        <v>2627026</v>
      </c>
      <c r="O116" s="37">
        <v>0</v>
      </c>
      <c r="P116" s="10"/>
      <c r="Q116" s="10"/>
      <c r="R116" s="10"/>
      <c r="S116" s="10"/>
      <c r="T116" s="10">
        <v>5</v>
      </c>
      <c r="U116" s="23" t="s">
        <v>1946</v>
      </c>
      <c r="V116" s="23">
        <v>45204</v>
      </c>
      <c r="W116" s="10"/>
      <c r="X116" s="10"/>
      <c r="Y116" s="10"/>
      <c r="Z116" s="10"/>
    </row>
    <row r="117" spans="1:26" ht="14.25" customHeight="1">
      <c r="A117" s="9">
        <v>126</v>
      </c>
      <c r="B117" s="10"/>
      <c r="C117" s="21">
        <v>232205</v>
      </c>
      <c r="D117" s="22" t="s">
        <v>34</v>
      </c>
      <c r="E117" s="23">
        <v>45230</v>
      </c>
      <c r="F117" s="24">
        <v>45200</v>
      </c>
      <c r="G117" s="25">
        <v>388500</v>
      </c>
      <c r="H117" s="26" t="s">
        <v>1947</v>
      </c>
      <c r="I117" s="233" t="s">
        <v>29</v>
      </c>
      <c r="J117" s="10"/>
      <c r="K117" s="39"/>
      <c r="L117" s="36">
        <v>45271</v>
      </c>
      <c r="M117" s="36">
        <v>45271</v>
      </c>
      <c r="N117" s="37">
        <v>388500</v>
      </c>
      <c r="O117" s="37">
        <v>0</v>
      </c>
      <c r="P117" s="10"/>
      <c r="Q117" s="10"/>
      <c r="R117" s="10"/>
      <c r="S117" s="10"/>
      <c r="T117" s="10"/>
      <c r="U117" s="23"/>
      <c r="V117" s="23"/>
      <c r="W117" s="10"/>
      <c r="X117" s="10"/>
      <c r="Y117" s="10"/>
      <c r="Z117" s="10"/>
    </row>
    <row r="118" spans="1:26" ht="14.25" customHeight="1">
      <c r="A118" s="9">
        <v>127</v>
      </c>
      <c r="B118" s="10"/>
      <c r="C118" s="9">
        <v>232200</v>
      </c>
      <c r="D118" s="11" t="s">
        <v>34</v>
      </c>
      <c r="E118" s="12">
        <v>45232</v>
      </c>
      <c r="F118" s="13">
        <v>45231</v>
      </c>
      <c r="G118" s="27">
        <v>477855</v>
      </c>
      <c r="H118" s="10" t="s">
        <v>1948</v>
      </c>
      <c r="I118" s="34">
        <v>58.606678703705299</v>
      </c>
      <c r="J118" s="10"/>
      <c r="K118" s="39"/>
      <c r="L118" s="39"/>
      <c r="M118" s="39"/>
      <c r="N118" s="37">
        <v>0</v>
      </c>
      <c r="O118" s="37">
        <v>477855</v>
      </c>
      <c r="P118" s="10"/>
      <c r="Q118" s="10"/>
      <c r="R118" s="10"/>
      <c r="S118" s="10"/>
      <c r="T118" s="10"/>
      <c r="U118" s="23"/>
      <c r="V118" s="23"/>
      <c r="W118" s="10"/>
      <c r="X118" s="10"/>
      <c r="Y118" s="10"/>
      <c r="Z118" s="10"/>
    </row>
    <row r="119" spans="1:26" ht="14.25" customHeight="1">
      <c r="A119" s="9">
        <v>128</v>
      </c>
      <c r="B119" s="10"/>
      <c r="C119" s="9">
        <v>232237</v>
      </c>
      <c r="D119" s="11" t="s">
        <v>34</v>
      </c>
      <c r="E119" s="12">
        <v>45233</v>
      </c>
      <c r="F119" s="13">
        <v>45231</v>
      </c>
      <c r="G119" s="27">
        <v>7870303</v>
      </c>
      <c r="H119" s="10" t="s">
        <v>1949</v>
      </c>
      <c r="I119" s="34">
        <v>57.606678703705299</v>
      </c>
      <c r="J119" s="10"/>
      <c r="K119" s="39"/>
      <c r="L119" s="39"/>
      <c r="M119" s="39"/>
      <c r="N119" s="37">
        <v>0</v>
      </c>
      <c r="O119" s="37">
        <v>7870303</v>
      </c>
      <c r="P119" s="10"/>
      <c r="Q119" s="10"/>
      <c r="R119" s="10"/>
      <c r="S119" s="10"/>
      <c r="T119" s="10"/>
      <c r="U119" s="23"/>
      <c r="V119" s="23"/>
      <c r="W119" s="10"/>
      <c r="X119" s="10"/>
      <c r="Y119" s="10"/>
      <c r="Z119" s="10"/>
    </row>
    <row r="120" spans="1:26" ht="14.25" customHeight="1">
      <c r="A120" s="9">
        <v>129</v>
      </c>
      <c r="B120" s="10"/>
      <c r="C120" s="9">
        <v>232238</v>
      </c>
      <c r="D120" s="11" t="s">
        <v>34</v>
      </c>
      <c r="E120" s="12">
        <v>45234</v>
      </c>
      <c r="F120" s="13">
        <v>45231</v>
      </c>
      <c r="G120" s="27">
        <v>1165500</v>
      </c>
      <c r="H120" s="10" t="s">
        <v>1950</v>
      </c>
      <c r="I120" s="34">
        <v>56.606678703705299</v>
      </c>
      <c r="J120" s="10"/>
      <c r="K120" s="39"/>
      <c r="L120" s="39"/>
      <c r="M120" s="39"/>
      <c r="N120" s="37">
        <v>0</v>
      </c>
      <c r="O120" s="37">
        <v>1165500</v>
      </c>
      <c r="P120" s="10"/>
      <c r="Q120" s="10"/>
      <c r="R120" s="10"/>
      <c r="S120" s="10"/>
      <c r="T120" s="10"/>
      <c r="U120" s="23"/>
      <c r="V120" s="23"/>
      <c r="W120" s="10"/>
      <c r="X120" s="10"/>
      <c r="Y120" s="10"/>
      <c r="Z120" s="10"/>
    </row>
    <row r="121" spans="1:26" ht="14.25" customHeight="1">
      <c r="A121" s="9">
        <v>130</v>
      </c>
      <c r="B121" s="10"/>
      <c r="C121" s="9">
        <v>232279</v>
      </c>
      <c r="D121" s="11" t="s">
        <v>34</v>
      </c>
      <c r="E121" s="12">
        <v>45238</v>
      </c>
      <c r="F121" s="13">
        <v>45231</v>
      </c>
      <c r="G121" s="27">
        <v>4824504</v>
      </c>
      <c r="H121" s="10" t="s">
        <v>1951</v>
      </c>
      <c r="I121" s="34">
        <v>52.606678703705299</v>
      </c>
      <c r="J121" s="10"/>
      <c r="K121" s="39"/>
      <c r="L121" s="39"/>
      <c r="M121" s="39"/>
      <c r="N121" s="37">
        <v>0</v>
      </c>
      <c r="O121" s="37">
        <v>4824504</v>
      </c>
      <c r="P121" s="10"/>
      <c r="Q121" s="10"/>
      <c r="R121" s="10"/>
      <c r="S121" s="10"/>
      <c r="T121" s="10"/>
      <c r="U121" s="23"/>
      <c r="V121" s="23"/>
      <c r="W121" s="10"/>
      <c r="X121" s="10"/>
      <c r="Y121" s="10"/>
      <c r="Z121" s="10"/>
    </row>
    <row r="122" spans="1:26" ht="14.25" customHeight="1">
      <c r="A122" s="9">
        <v>131</v>
      </c>
      <c r="B122" s="10"/>
      <c r="C122" s="9">
        <v>232278</v>
      </c>
      <c r="D122" s="11" t="s">
        <v>34</v>
      </c>
      <c r="E122" s="12">
        <v>45240</v>
      </c>
      <c r="F122" s="13">
        <v>45231</v>
      </c>
      <c r="G122" s="27">
        <v>4995000</v>
      </c>
      <c r="H122" s="10" t="s">
        <v>1952</v>
      </c>
      <c r="I122" s="34">
        <v>50.606678703705299</v>
      </c>
      <c r="J122" s="10"/>
      <c r="K122" s="39"/>
      <c r="L122" s="39"/>
      <c r="M122" s="39"/>
      <c r="N122" s="37">
        <v>0</v>
      </c>
      <c r="O122" s="37">
        <v>4995000</v>
      </c>
      <c r="P122" s="10"/>
      <c r="Q122" s="10"/>
      <c r="R122" s="10"/>
      <c r="S122" s="10"/>
      <c r="T122" s="10"/>
      <c r="U122" s="23"/>
      <c r="V122" s="23"/>
      <c r="W122" s="10"/>
      <c r="X122" s="10"/>
      <c r="Y122" s="10"/>
      <c r="Z122" s="10"/>
    </row>
    <row r="123" spans="1:26" ht="14.25" customHeight="1">
      <c r="A123" s="9">
        <v>132</v>
      </c>
      <c r="B123" s="10"/>
      <c r="C123" s="9">
        <v>232332</v>
      </c>
      <c r="D123" s="11" t="s">
        <v>34</v>
      </c>
      <c r="E123" s="12">
        <v>45244</v>
      </c>
      <c r="F123" s="13">
        <v>45231</v>
      </c>
      <c r="G123" s="27">
        <v>5037887</v>
      </c>
      <c r="H123" s="10" t="s">
        <v>1953</v>
      </c>
      <c r="I123" s="34">
        <v>46.606678703705299</v>
      </c>
      <c r="J123" s="10"/>
      <c r="K123" s="39"/>
      <c r="L123" s="39"/>
      <c r="M123" s="39"/>
      <c r="N123" s="37">
        <v>0</v>
      </c>
      <c r="O123" s="37">
        <v>5037887</v>
      </c>
      <c r="P123" s="10"/>
      <c r="Q123" s="10"/>
      <c r="R123" s="10"/>
      <c r="S123" s="10"/>
      <c r="T123" s="10"/>
      <c r="U123" s="23"/>
      <c r="V123" s="23"/>
      <c r="W123" s="10"/>
      <c r="X123" s="10"/>
      <c r="Y123" s="10"/>
      <c r="Z123" s="10"/>
    </row>
    <row r="124" spans="1:26" ht="14.25" customHeight="1">
      <c r="A124" s="9">
        <v>133</v>
      </c>
      <c r="B124" s="10"/>
      <c r="C124" s="9">
        <v>232312</v>
      </c>
      <c r="D124" s="11" t="s">
        <v>34</v>
      </c>
      <c r="E124" s="12">
        <v>45245</v>
      </c>
      <c r="F124" s="13">
        <v>45231</v>
      </c>
      <c r="G124" s="27">
        <v>310800</v>
      </c>
      <c r="H124" s="10" t="s">
        <v>1954</v>
      </c>
      <c r="I124" s="34">
        <v>45.606678703705299</v>
      </c>
      <c r="J124" s="10"/>
      <c r="K124" s="39"/>
      <c r="L124" s="39"/>
      <c r="M124" s="39"/>
      <c r="N124" s="37">
        <v>0</v>
      </c>
      <c r="O124" s="37">
        <v>310800</v>
      </c>
      <c r="P124" s="10"/>
      <c r="Q124" s="10"/>
      <c r="R124" s="10"/>
      <c r="S124" s="10"/>
      <c r="T124" s="10"/>
      <c r="U124" s="23"/>
      <c r="V124" s="23"/>
      <c r="W124" s="10"/>
      <c r="X124" s="10"/>
      <c r="Y124" s="10"/>
      <c r="Z124" s="10"/>
    </row>
    <row r="125" spans="1:26" ht="14.25" customHeight="1">
      <c r="A125" s="9">
        <v>135</v>
      </c>
      <c r="B125" s="10"/>
      <c r="C125" s="9">
        <v>232333</v>
      </c>
      <c r="D125" s="11" t="s">
        <v>34</v>
      </c>
      <c r="E125" s="12">
        <v>45251</v>
      </c>
      <c r="F125" s="13">
        <v>45231</v>
      </c>
      <c r="G125" s="27">
        <v>624375</v>
      </c>
      <c r="H125" s="10" t="s">
        <v>1955</v>
      </c>
      <c r="I125" s="34">
        <v>39.606678703705299</v>
      </c>
      <c r="J125" s="10"/>
      <c r="K125" s="39"/>
      <c r="L125" s="39"/>
      <c r="M125" s="39"/>
      <c r="N125" s="37">
        <v>0</v>
      </c>
      <c r="O125" s="37">
        <v>624375</v>
      </c>
      <c r="P125" s="10"/>
      <c r="Q125" s="10"/>
      <c r="R125" s="10"/>
      <c r="S125" s="10"/>
      <c r="T125" s="10"/>
      <c r="U125" s="23"/>
      <c r="V125" s="23"/>
      <c r="W125" s="10"/>
      <c r="X125" s="10"/>
      <c r="Y125" s="10"/>
      <c r="Z125" s="10"/>
    </row>
    <row r="126" spans="1:26" ht="14.25" customHeight="1">
      <c r="A126" s="9">
        <v>134</v>
      </c>
      <c r="B126" s="10"/>
      <c r="C126" s="9">
        <v>232334</v>
      </c>
      <c r="D126" s="11" t="s">
        <v>34</v>
      </c>
      <c r="E126" s="12">
        <v>45251</v>
      </c>
      <c r="F126" s="13">
        <v>45231</v>
      </c>
      <c r="G126" s="27">
        <v>5819741</v>
      </c>
      <c r="H126" s="10" t="s">
        <v>1956</v>
      </c>
      <c r="I126" s="34">
        <v>39.606678703705299</v>
      </c>
      <c r="J126" s="10"/>
      <c r="K126" s="39"/>
      <c r="L126" s="39"/>
      <c r="M126" s="39"/>
      <c r="N126" s="37">
        <v>0</v>
      </c>
      <c r="O126" s="37">
        <v>5819741</v>
      </c>
      <c r="P126" s="10"/>
      <c r="Q126" s="10"/>
      <c r="R126" s="10"/>
      <c r="S126" s="10"/>
      <c r="T126" s="10"/>
      <c r="U126" s="23"/>
      <c r="V126" s="23"/>
      <c r="W126" s="10"/>
      <c r="X126" s="10"/>
      <c r="Y126" s="10"/>
      <c r="Z126" s="10"/>
    </row>
    <row r="127" spans="1:26" ht="14.25" customHeight="1">
      <c r="A127" s="9">
        <v>136</v>
      </c>
      <c r="B127" s="10"/>
      <c r="C127" s="9">
        <v>232416</v>
      </c>
      <c r="D127" s="11" t="s">
        <v>34</v>
      </c>
      <c r="E127" s="12">
        <v>45258</v>
      </c>
      <c r="F127" s="13">
        <v>45231</v>
      </c>
      <c r="G127" s="27">
        <v>9547540</v>
      </c>
      <c r="H127" s="10" t="s">
        <v>1957</v>
      </c>
      <c r="I127" s="34">
        <v>32.606678703705299</v>
      </c>
      <c r="J127" s="10"/>
      <c r="K127" s="39"/>
      <c r="L127" s="39"/>
      <c r="M127" s="39"/>
      <c r="N127" s="37">
        <v>0</v>
      </c>
      <c r="O127" s="37">
        <v>9547540</v>
      </c>
      <c r="P127" s="10"/>
      <c r="Q127" s="10"/>
      <c r="R127" s="10"/>
      <c r="S127" s="10"/>
      <c r="T127" s="10"/>
      <c r="U127" s="23"/>
      <c r="V127" s="23"/>
      <c r="W127" s="10"/>
      <c r="X127" s="10"/>
      <c r="Y127" s="10"/>
      <c r="Z127" s="10"/>
    </row>
    <row r="128" spans="1:26" ht="14.25" customHeight="1">
      <c r="A128" s="9">
        <v>137</v>
      </c>
      <c r="B128" s="10"/>
      <c r="C128" s="9">
        <v>232436</v>
      </c>
      <c r="D128" s="11" t="s">
        <v>34</v>
      </c>
      <c r="E128" s="12">
        <v>45260</v>
      </c>
      <c r="F128" s="13">
        <v>45231</v>
      </c>
      <c r="G128" s="27">
        <v>2523004</v>
      </c>
      <c r="H128" s="10" t="s">
        <v>1958</v>
      </c>
      <c r="I128" s="34">
        <v>30.606678703705299</v>
      </c>
      <c r="J128" s="10"/>
      <c r="K128" s="39"/>
      <c r="L128" s="39"/>
      <c r="M128" s="39"/>
      <c r="N128" s="37">
        <v>0</v>
      </c>
      <c r="O128" s="37">
        <v>2523004</v>
      </c>
      <c r="P128" s="10"/>
      <c r="Q128" s="10"/>
      <c r="R128" s="10"/>
      <c r="S128" s="10"/>
      <c r="T128" s="10"/>
      <c r="U128" s="23"/>
      <c r="V128" s="23"/>
      <c r="W128" s="10"/>
      <c r="X128" s="10"/>
      <c r="Y128" s="10"/>
      <c r="Z128" s="10"/>
    </row>
    <row r="129" spans="1:26" ht="14.25" customHeight="1">
      <c r="A129" s="9">
        <v>139</v>
      </c>
      <c r="B129" s="10"/>
      <c r="C129" s="9">
        <v>232443</v>
      </c>
      <c r="D129" s="11" t="s">
        <v>34</v>
      </c>
      <c r="E129" s="12">
        <v>45260</v>
      </c>
      <c r="F129" s="13">
        <v>45231</v>
      </c>
      <c r="G129" s="27">
        <v>3698520</v>
      </c>
      <c r="H129" s="10" t="s">
        <v>1959</v>
      </c>
      <c r="I129" s="34">
        <v>30.606678703705299</v>
      </c>
      <c r="J129" s="10"/>
      <c r="K129" s="39"/>
      <c r="L129" s="39"/>
      <c r="M129" s="39"/>
      <c r="N129" s="37">
        <v>0</v>
      </c>
      <c r="O129" s="37">
        <v>3698520</v>
      </c>
      <c r="P129" s="10"/>
      <c r="Q129" s="10"/>
      <c r="R129" s="10"/>
      <c r="S129" s="10"/>
      <c r="T129" s="10"/>
      <c r="U129" s="23"/>
      <c r="V129" s="23"/>
      <c r="W129" s="10"/>
      <c r="X129" s="10"/>
      <c r="Y129" s="10"/>
      <c r="Z129" s="10"/>
    </row>
    <row r="130" spans="1:26" ht="14.25" customHeight="1">
      <c r="A130" s="9">
        <v>138</v>
      </c>
      <c r="B130" s="10"/>
      <c r="C130" s="9">
        <v>232444</v>
      </c>
      <c r="D130" s="11" t="s">
        <v>34</v>
      </c>
      <c r="E130" s="12">
        <v>45260</v>
      </c>
      <c r="F130" s="13">
        <v>45231</v>
      </c>
      <c r="G130" s="27">
        <v>145688</v>
      </c>
      <c r="H130" s="10" t="s">
        <v>1960</v>
      </c>
      <c r="I130" s="34">
        <v>30.606678703705299</v>
      </c>
      <c r="J130" s="10"/>
      <c r="K130" s="39"/>
      <c r="L130" s="39"/>
      <c r="M130" s="39"/>
      <c r="N130" s="37">
        <v>0</v>
      </c>
      <c r="O130" s="37">
        <v>145688</v>
      </c>
      <c r="P130" s="10"/>
      <c r="Q130" s="10"/>
      <c r="R130" s="10"/>
      <c r="S130" s="10"/>
      <c r="T130" s="10"/>
      <c r="U130" s="23"/>
      <c r="V130" s="23"/>
      <c r="W130" s="10"/>
      <c r="X130" s="10"/>
      <c r="Y130" s="10"/>
      <c r="Z130" s="10"/>
    </row>
    <row r="131" spans="1:26" ht="14.25" customHeight="1">
      <c r="A131" s="9">
        <v>140</v>
      </c>
      <c r="B131" s="10"/>
      <c r="C131" s="9">
        <v>232445</v>
      </c>
      <c r="D131" s="11" t="s">
        <v>34</v>
      </c>
      <c r="E131" s="12">
        <v>45261</v>
      </c>
      <c r="F131" s="13">
        <v>45261</v>
      </c>
      <c r="G131" s="27">
        <v>6079143</v>
      </c>
      <c r="H131" s="10" t="s">
        <v>1961</v>
      </c>
      <c r="I131" s="34">
        <v>29.606678703705299</v>
      </c>
      <c r="J131" s="10"/>
      <c r="K131" s="39"/>
      <c r="L131" s="39"/>
      <c r="M131" s="39"/>
      <c r="N131" s="37">
        <v>0</v>
      </c>
      <c r="O131" s="37">
        <v>6079143</v>
      </c>
      <c r="P131" s="10"/>
      <c r="Q131" s="10"/>
      <c r="R131" s="10"/>
      <c r="S131" s="10"/>
      <c r="T131" s="10"/>
      <c r="U131" s="23"/>
      <c r="V131" s="23"/>
      <c r="W131" s="10"/>
      <c r="X131" s="10"/>
      <c r="Y131" s="10"/>
      <c r="Z131" s="10"/>
    </row>
    <row r="132" spans="1:26" ht="14.25" customHeight="1">
      <c r="A132" s="9">
        <v>148</v>
      </c>
      <c r="B132" s="10"/>
      <c r="C132" s="21">
        <v>230225</v>
      </c>
      <c r="D132" s="22" t="s">
        <v>86</v>
      </c>
      <c r="E132" s="23">
        <v>44957</v>
      </c>
      <c r="F132" s="24">
        <v>44927</v>
      </c>
      <c r="G132" s="25">
        <v>3001884</v>
      </c>
      <c r="H132" s="26" t="s">
        <v>1962</v>
      </c>
      <c r="I132" s="34" t="s">
        <v>29</v>
      </c>
      <c r="J132" s="25">
        <v>30086759</v>
      </c>
      <c r="K132" s="40">
        <v>45044</v>
      </c>
      <c r="L132" s="40">
        <v>45044</v>
      </c>
      <c r="M132" s="40">
        <v>45045</v>
      </c>
      <c r="N132" s="37">
        <v>3001884</v>
      </c>
      <c r="O132" s="37">
        <v>0</v>
      </c>
      <c r="P132" s="10"/>
      <c r="Q132" s="10"/>
      <c r="R132" s="10"/>
      <c r="S132" s="10"/>
      <c r="T132" s="10"/>
      <c r="U132" s="23"/>
      <c r="V132" s="23"/>
      <c r="W132" s="10"/>
      <c r="X132" s="10"/>
      <c r="Y132" s="10"/>
      <c r="Z132" s="10"/>
    </row>
    <row r="133" spans="1:26" ht="14.25" customHeight="1">
      <c r="A133" s="9">
        <v>149</v>
      </c>
      <c r="B133" s="10"/>
      <c r="C133" s="21">
        <v>230240</v>
      </c>
      <c r="D133" s="22" t="s">
        <v>86</v>
      </c>
      <c r="E133" s="23">
        <v>44960</v>
      </c>
      <c r="F133" s="24">
        <v>44958</v>
      </c>
      <c r="G133" s="25">
        <v>469530</v>
      </c>
      <c r="H133" s="26" t="s">
        <v>1963</v>
      </c>
      <c r="I133" s="34" t="s">
        <v>29</v>
      </c>
      <c r="J133" s="10"/>
      <c r="K133" s="39"/>
      <c r="L133" s="40">
        <v>45044</v>
      </c>
      <c r="M133" s="40">
        <v>45045</v>
      </c>
      <c r="N133" s="37">
        <v>469530</v>
      </c>
      <c r="O133" s="37">
        <v>0</v>
      </c>
      <c r="P133" s="10"/>
      <c r="Q133" s="10"/>
      <c r="R133" s="10"/>
      <c r="S133" s="10"/>
      <c r="T133" s="10"/>
      <c r="U133" s="23"/>
      <c r="V133" s="23"/>
      <c r="W133" s="10"/>
      <c r="X133" s="10"/>
      <c r="Y133" s="10"/>
      <c r="Z133" s="10"/>
    </row>
    <row r="134" spans="1:26" ht="14.25" customHeight="1">
      <c r="A134" s="9">
        <v>152</v>
      </c>
      <c r="B134" s="10"/>
      <c r="C134" s="21">
        <v>230245</v>
      </c>
      <c r="D134" s="22" t="s">
        <v>86</v>
      </c>
      <c r="E134" s="23">
        <v>44960</v>
      </c>
      <c r="F134" s="24">
        <v>44958</v>
      </c>
      <c r="G134" s="25">
        <v>377801</v>
      </c>
      <c r="H134" s="26" t="s">
        <v>1964</v>
      </c>
      <c r="I134" s="34" t="s">
        <v>29</v>
      </c>
      <c r="J134" s="10"/>
      <c r="K134" s="39"/>
      <c r="L134" s="40">
        <v>45044</v>
      </c>
      <c r="M134" s="40">
        <v>45045</v>
      </c>
      <c r="N134" s="37">
        <v>377801</v>
      </c>
      <c r="O134" s="37">
        <v>0</v>
      </c>
      <c r="P134" s="10"/>
      <c r="Q134" s="10"/>
      <c r="R134" s="10"/>
      <c r="S134" s="10"/>
      <c r="T134" s="10"/>
      <c r="U134" s="23"/>
      <c r="V134" s="23"/>
      <c r="W134" s="10"/>
      <c r="X134" s="10"/>
      <c r="Y134" s="10"/>
      <c r="Z134" s="10"/>
    </row>
    <row r="135" spans="1:26" ht="14.25" customHeight="1">
      <c r="A135" s="9">
        <v>151</v>
      </c>
      <c r="B135" s="10"/>
      <c r="C135" s="21">
        <v>230246</v>
      </c>
      <c r="D135" s="22" t="s">
        <v>86</v>
      </c>
      <c r="E135" s="23">
        <v>44960</v>
      </c>
      <c r="F135" s="24">
        <v>44958</v>
      </c>
      <c r="G135" s="25">
        <v>1210011</v>
      </c>
      <c r="H135" s="26" t="s">
        <v>1965</v>
      </c>
      <c r="I135" s="34" t="s">
        <v>29</v>
      </c>
      <c r="J135" s="10"/>
      <c r="K135" s="39"/>
      <c r="L135" s="40">
        <v>45044</v>
      </c>
      <c r="M135" s="40">
        <v>45045</v>
      </c>
      <c r="N135" s="37">
        <v>1210011</v>
      </c>
      <c r="O135" s="37">
        <v>0</v>
      </c>
      <c r="P135" s="10"/>
      <c r="Q135" s="10"/>
      <c r="R135" s="10"/>
      <c r="S135" s="10"/>
      <c r="T135" s="10"/>
      <c r="U135" s="23"/>
      <c r="V135" s="23"/>
      <c r="W135" s="10"/>
      <c r="X135" s="10"/>
      <c r="Y135" s="10"/>
      <c r="Z135" s="10"/>
    </row>
    <row r="136" spans="1:26" ht="14.25" customHeight="1">
      <c r="A136" s="9">
        <v>150</v>
      </c>
      <c r="B136" s="10"/>
      <c r="C136" s="21">
        <v>230249</v>
      </c>
      <c r="D136" s="22" t="s">
        <v>86</v>
      </c>
      <c r="E136" s="23">
        <v>44960</v>
      </c>
      <c r="F136" s="24">
        <v>44958</v>
      </c>
      <c r="G136" s="25">
        <v>4515679</v>
      </c>
      <c r="H136" s="26" t="s">
        <v>1966</v>
      </c>
      <c r="I136" s="34" t="s">
        <v>29</v>
      </c>
      <c r="J136" s="10"/>
      <c r="K136" s="39"/>
      <c r="L136" s="40">
        <v>45044</v>
      </c>
      <c r="M136" s="40">
        <v>45045</v>
      </c>
      <c r="N136" s="37">
        <v>4515679</v>
      </c>
      <c r="O136" s="37">
        <v>0</v>
      </c>
      <c r="P136" s="10"/>
      <c r="Q136" s="10"/>
      <c r="R136" s="10"/>
      <c r="S136" s="10"/>
      <c r="T136" s="10"/>
      <c r="U136" s="23"/>
      <c r="V136" s="23"/>
      <c r="W136" s="10"/>
      <c r="X136" s="10"/>
      <c r="Y136" s="10"/>
      <c r="Z136" s="10"/>
    </row>
    <row r="137" spans="1:26" ht="14.25" customHeight="1">
      <c r="A137" s="9">
        <v>153</v>
      </c>
      <c r="B137" s="10"/>
      <c r="C137" s="21">
        <v>230314</v>
      </c>
      <c r="D137" s="22" t="s">
        <v>86</v>
      </c>
      <c r="E137" s="23">
        <v>44966</v>
      </c>
      <c r="F137" s="24">
        <v>44958</v>
      </c>
      <c r="G137" s="25">
        <v>634292</v>
      </c>
      <c r="H137" s="26" t="s">
        <v>1967</v>
      </c>
      <c r="I137" s="34" t="s">
        <v>29</v>
      </c>
      <c r="J137" s="10"/>
      <c r="K137" s="39"/>
      <c r="L137" s="40">
        <v>45044</v>
      </c>
      <c r="M137" s="40">
        <v>45045</v>
      </c>
      <c r="N137" s="37">
        <v>634292</v>
      </c>
      <c r="O137" s="37">
        <v>0</v>
      </c>
      <c r="P137" s="10"/>
      <c r="Q137" s="10"/>
      <c r="R137" s="10"/>
      <c r="S137" s="10"/>
      <c r="T137" s="10"/>
      <c r="U137" s="23"/>
      <c r="V137" s="23"/>
      <c r="W137" s="10"/>
      <c r="X137" s="10"/>
      <c r="Y137" s="10"/>
      <c r="Z137" s="10"/>
    </row>
    <row r="138" spans="1:26" ht="14.25" customHeight="1">
      <c r="A138" s="9">
        <v>154</v>
      </c>
      <c r="B138" s="10"/>
      <c r="C138" s="21">
        <v>230317</v>
      </c>
      <c r="D138" s="22" t="s">
        <v>86</v>
      </c>
      <c r="E138" s="23">
        <v>44971</v>
      </c>
      <c r="F138" s="24">
        <v>44958</v>
      </c>
      <c r="G138" s="25">
        <v>732899</v>
      </c>
      <c r="H138" s="26" t="s">
        <v>1968</v>
      </c>
      <c r="I138" s="34" t="s">
        <v>29</v>
      </c>
      <c r="J138" s="10"/>
      <c r="K138" s="39"/>
      <c r="L138" s="40">
        <v>45044</v>
      </c>
      <c r="M138" s="40">
        <v>45045</v>
      </c>
      <c r="N138" s="37">
        <v>732899</v>
      </c>
      <c r="O138" s="37">
        <v>0</v>
      </c>
      <c r="P138" s="10"/>
      <c r="Q138" s="10"/>
      <c r="R138" s="10"/>
      <c r="S138" s="10"/>
      <c r="T138" s="10"/>
      <c r="U138" s="23"/>
      <c r="V138" s="23"/>
      <c r="W138" s="10"/>
      <c r="X138" s="10"/>
      <c r="Y138" s="10"/>
      <c r="Z138" s="10"/>
    </row>
    <row r="139" spans="1:26" ht="14.25" customHeight="1">
      <c r="A139" s="9">
        <v>155</v>
      </c>
      <c r="B139" s="10"/>
      <c r="C139" s="21">
        <v>230373</v>
      </c>
      <c r="D139" s="22" t="s">
        <v>86</v>
      </c>
      <c r="E139" s="23">
        <v>44973</v>
      </c>
      <c r="F139" s="24">
        <v>44958</v>
      </c>
      <c r="G139" s="25">
        <v>48840</v>
      </c>
      <c r="H139" s="26" t="s">
        <v>1969</v>
      </c>
      <c r="I139" s="34" t="s">
        <v>29</v>
      </c>
      <c r="J139" s="10"/>
      <c r="K139" s="39"/>
      <c r="L139" s="40">
        <v>45044</v>
      </c>
      <c r="M139" s="40">
        <v>45045</v>
      </c>
      <c r="N139" s="37">
        <v>48840</v>
      </c>
      <c r="O139" s="37">
        <v>0</v>
      </c>
      <c r="P139" s="10"/>
      <c r="Q139" s="10"/>
      <c r="R139" s="10"/>
      <c r="S139" s="10"/>
      <c r="T139" s="10"/>
      <c r="U139" s="23"/>
      <c r="V139" s="23"/>
      <c r="W139" s="10"/>
      <c r="X139" s="10"/>
      <c r="Y139" s="10"/>
      <c r="Z139" s="10"/>
    </row>
    <row r="140" spans="1:26" ht="14.25" customHeight="1">
      <c r="A140" s="9">
        <v>157</v>
      </c>
      <c r="B140" s="10"/>
      <c r="C140" s="21">
        <v>230362</v>
      </c>
      <c r="D140" s="22" t="s">
        <v>86</v>
      </c>
      <c r="E140" s="23">
        <v>44974</v>
      </c>
      <c r="F140" s="24">
        <v>44958</v>
      </c>
      <c r="G140" s="25">
        <v>1465799</v>
      </c>
      <c r="H140" s="26" t="s">
        <v>1970</v>
      </c>
      <c r="I140" s="34" t="s">
        <v>29</v>
      </c>
      <c r="J140" s="10"/>
      <c r="K140" s="39"/>
      <c r="L140" s="40">
        <v>45044</v>
      </c>
      <c r="M140" s="40">
        <v>45045</v>
      </c>
      <c r="N140" s="37">
        <v>1465799</v>
      </c>
      <c r="O140" s="37">
        <v>0</v>
      </c>
      <c r="P140" s="10"/>
      <c r="Q140" s="10"/>
      <c r="R140" s="10"/>
      <c r="S140" s="10"/>
      <c r="T140" s="10"/>
      <c r="U140" s="23"/>
      <c r="V140" s="23"/>
      <c r="W140" s="10"/>
      <c r="X140" s="10"/>
      <c r="Y140" s="10"/>
      <c r="Z140" s="10"/>
    </row>
    <row r="141" spans="1:26" ht="14.25" customHeight="1">
      <c r="A141" s="9">
        <v>156</v>
      </c>
      <c r="B141" s="10"/>
      <c r="C141" s="21">
        <v>230363</v>
      </c>
      <c r="D141" s="22" t="s">
        <v>86</v>
      </c>
      <c r="E141" s="23">
        <v>44974</v>
      </c>
      <c r="F141" s="24">
        <v>44958</v>
      </c>
      <c r="G141" s="25">
        <v>119071</v>
      </c>
      <c r="H141" s="26" t="s">
        <v>1971</v>
      </c>
      <c r="I141" s="34" t="s">
        <v>29</v>
      </c>
      <c r="J141" s="10"/>
      <c r="K141" s="39"/>
      <c r="L141" s="40">
        <v>45044</v>
      </c>
      <c r="M141" s="40">
        <v>45045</v>
      </c>
      <c r="N141" s="37">
        <v>119071</v>
      </c>
      <c r="O141" s="37">
        <v>0</v>
      </c>
      <c r="P141" s="10"/>
      <c r="Q141" s="10"/>
      <c r="R141" s="10"/>
      <c r="S141" s="10"/>
      <c r="T141" s="10"/>
      <c r="U141" s="23"/>
      <c r="V141" s="23"/>
      <c r="W141" s="10"/>
      <c r="X141" s="10"/>
      <c r="Y141" s="10"/>
      <c r="Z141" s="10"/>
    </row>
    <row r="142" spans="1:26" ht="14.25" customHeight="1">
      <c r="A142" s="9">
        <v>158</v>
      </c>
      <c r="B142" s="10"/>
      <c r="C142" s="21">
        <v>230354</v>
      </c>
      <c r="D142" s="22" t="s">
        <v>86</v>
      </c>
      <c r="E142" s="23">
        <v>44978</v>
      </c>
      <c r="F142" s="24">
        <v>44958</v>
      </c>
      <c r="G142" s="25">
        <v>774813</v>
      </c>
      <c r="H142" s="26" t="s">
        <v>1972</v>
      </c>
      <c r="I142" s="34" t="s">
        <v>29</v>
      </c>
      <c r="J142" s="10"/>
      <c r="K142" s="39"/>
      <c r="L142" s="40">
        <v>45044</v>
      </c>
      <c r="M142" s="40">
        <v>45045</v>
      </c>
      <c r="N142" s="37">
        <v>774813</v>
      </c>
      <c r="O142" s="37">
        <v>0</v>
      </c>
      <c r="P142" s="10"/>
      <c r="Q142" s="10"/>
      <c r="R142" s="10"/>
      <c r="S142" s="10"/>
      <c r="T142" s="10"/>
      <c r="U142" s="23"/>
      <c r="V142" s="23"/>
      <c r="W142" s="10"/>
      <c r="X142" s="10"/>
      <c r="Y142" s="10"/>
      <c r="Z142" s="10"/>
    </row>
    <row r="143" spans="1:26" ht="14.25" customHeight="1">
      <c r="A143" s="9">
        <v>159</v>
      </c>
      <c r="B143" s="10"/>
      <c r="C143" s="21">
        <v>230415</v>
      </c>
      <c r="D143" s="22" t="s">
        <v>86</v>
      </c>
      <c r="E143" s="23">
        <v>44980</v>
      </c>
      <c r="F143" s="24">
        <v>44958</v>
      </c>
      <c r="G143" s="25">
        <v>13186800</v>
      </c>
      <c r="H143" s="26" t="s">
        <v>1973</v>
      </c>
      <c r="I143" s="34" t="s">
        <v>29</v>
      </c>
      <c r="J143" s="10"/>
      <c r="K143" s="39"/>
      <c r="L143" s="40">
        <v>45044</v>
      </c>
      <c r="M143" s="40">
        <v>45045</v>
      </c>
      <c r="N143" s="37">
        <v>13186800</v>
      </c>
      <c r="O143" s="37">
        <v>0</v>
      </c>
      <c r="P143" s="10"/>
      <c r="Q143" s="10"/>
      <c r="R143" s="10"/>
      <c r="S143" s="10"/>
      <c r="T143" s="10"/>
      <c r="U143" s="23"/>
      <c r="V143" s="23"/>
      <c r="W143" s="10"/>
      <c r="X143" s="10"/>
      <c r="Y143" s="10"/>
      <c r="Z143" s="10"/>
    </row>
    <row r="144" spans="1:26" ht="14.25" customHeight="1">
      <c r="A144" s="9">
        <v>160</v>
      </c>
      <c r="B144" s="10"/>
      <c r="C144" s="21">
        <v>230411</v>
      </c>
      <c r="D144" s="22" t="s">
        <v>86</v>
      </c>
      <c r="E144" s="23">
        <v>44981</v>
      </c>
      <c r="F144" s="24">
        <v>44958</v>
      </c>
      <c r="G144" s="25">
        <v>547456</v>
      </c>
      <c r="H144" s="26" t="s">
        <v>1974</v>
      </c>
      <c r="I144" s="34" t="s">
        <v>29</v>
      </c>
      <c r="J144" s="10"/>
      <c r="K144" s="39"/>
      <c r="L144" s="40">
        <v>45044</v>
      </c>
      <c r="M144" s="40">
        <v>45045</v>
      </c>
      <c r="N144" s="37">
        <v>547456</v>
      </c>
      <c r="O144" s="37">
        <v>0</v>
      </c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4.25" customHeight="1">
      <c r="A145" s="9">
        <v>161</v>
      </c>
      <c r="B145" s="10"/>
      <c r="C145" s="21">
        <v>230412</v>
      </c>
      <c r="D145" s="22" t="s">
        <v>86</v>
      </c>
      <c r="E145" s="23">
        <v>44981</v>
      </c>
      <c r="F145" s="24">
        <v>44958</v>
      </c>
      <c r="G145" s="25">
        <v>3001884</v>
      </c>
      <c r="H145" s="26" t="s">
        <v>1975</v>
      </c>
      <c r="I145" s="34" t="s">
        <v>29</v>
      </c>
      <c r="J145" s="10"/>
      <c r="K145" s="39"/>
      <c r="L145" s="40">
        <v>45044</v>
      </c>
      <c r="M145" s="40">
        <v>45045</v>
      </c>
      <c r="N145" s="37">
        <v>3001884</v>
      </c>
      <c r="O145" s="37">
        <v>0</v>
      </c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4.25" customHeight="1">
      <c r="A146" s="9">
        <v>164</v>
      </c>
      <c r="B146" s="10"/>
      <c r="C146" s="21">
        <v>230446</v>
      </c>
      <c r="D146" s="22" t="s">
        <v>86</v>
      </c>
      <c r="E146" s="23">
        <v>44985</v>
      </c>
      <c r="F146" s="24">
        <v>44958</v>
      </c>
      <c r="G146" s="25">
        <v>1411623</v>
      </c>
      <c r="H146" s="26" t="s">
        <v>1976</v>
      </c>
      <c r="I146" s="34" t="s">
        <v>29</v>
      </c>
      <c r="J146" s="10"/>
      <c r="K146" s="39"/>
      <c r="L146" s="40">
        <v>45058</v>
      </c>
      <c r="M146" s="40">
        <v>45058</v>
      </c>
      <c r="N146" s="37">
        <v>1411623</v>
      </c>
      <c r="O146" s="37">
        <v>0</v>
      </c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4.25" customHeight="1">
      <c r="A147" s="9">
        <v>163</v>
      </c>
      <c r="B147" s="10"/>
      <c r="C147" s="21">
        <v>230447</v>
      </c>
      <c r="D147" s="22" t="s">
        <v>86</v>
      </c>
      <c r="E147" s="23">
        <v>44985</v>
      </c>
      <c r="F147" s="24">
        <v>44958</v>
      </c>
      <c r="G147" s="25">
        <v>1818180</v>
      </c>
      <c r="H147" s="26" t="s">
        <v>1977</v>
      </c>
      <c r="I147" s="34" t="s">
        <v>29</v>
      </c>
      <c r="J147" s="10"/>
      <c r="K147" s="39"/>
      <c r="L147" s="40">
        <v>45058</v>
      </c>
      <c r="M147" s="40">
        <v>45058</v>
      </c>
      <c r="N147" s="37">
        <v>1818180</v>
      </c>
      <c r="O147" s="37">
        <v>0</v>
      </c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4.25" customHeight="1">
      <c r="A148" s="9">
        <v>162</v>
      </c>
      <c r="B148" s="10"/>
      <c r="C148" s="21">
        <v>230481</v>
      </c>
      <c r="D148" s="22" t="s">
        <v>86</v>
      </c>
      <c r="E148" s="23">
        <v>44985</v>
      </c>
      <c r="F148" s="24">
        <v>44958</v>
      </c>
      <c r="G148" s="25">
        <v>854700</v>
      </c>
      <c r="H148" s="26" t="s">
        <v>1978</v>
      </c>
      <c r="I148" s="34" t="s">
        <v>29</v>
      </c>
      <c r="J148" s="25">
        <v>35601942</v>
      </c>
      <c r="K148" s="40">
        <v>45056</v>
      </c>
      <c r="L148" s="40">
        <v>45058</v>
      </c>
      <c r="M148" s="40">
        <v>45058</v>
      </c>
      <c r="N148" s="37">
        <v>854700</v>
      </c>
      <c r="O148" s="37">
        <v>0</v>
      </c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4.25" customHeight="1">
      <c r="A149" s="9">
        <v>171</v>
      </c>
      <c r="B149" s="10"/>
      <c r="C149" s="21">
        <v>230520</v>
      </c>
      <c r="D149" s="22" t="s">
        <v>86</v>
      </c>
      <c r="E149" s="23">
        <v>44987</v>
      </c>
      <c r="F149" s="24">
        <v>44986</v>
      </c>
      <c r="G149" s="25">
        <v>4515679</v>
      </c>
      <c r="H149" s="26" t="s">
        <v>1979</v>
      </c>
      <c r="I149" s="34" t="s">
        <v>29</v>
      </c>
      <c r="J149" s="10"/>
      <c r="K149" s="39"/>
      <c r="L149" s="40">
        <v>45058</v>
      </c>
      <c r="M149" s="40">
        <v>45058</v>
      </c>
      <c r="N149" s="37">
        <v>4515679</v>
      </c>
      <c r="O149" s="37">
        <v>0</v>
      </c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4.25" customHeight="1">
      <c r="A150" s="9">
        <v>172</v>
      </c>
      <c r="B150" s="10"/>
      <c r="C150" s="21">
        <v>230521</v>
      </c>
      <c r="D150" s="22" t="s">
        <v>86</v>
      </c>
      <c r="E150" s="23">
        <v>44987</v>
      </c>
      <c r="F150" s="24">
        <v>44986</v>
      </c>
      <c r="G150" s="25">
        <v>1311997</v>
      </c>
      <c r="H150" s="26" t="s">
        <v>1980</v>
      </c>
      <c r="I150" s="34" t="s">
        <v>29</v>
      </c>
      <c r="J150" s="10"/>
      <c r="K150" s="39"/>
      <c r="L150" s="40">
        <v>45058</v>
      </c>
      <c r="M150" s="40">
        <v>45058</v>
      </c>
      <c r="N150" s="37">
        <v>1311997</v>
      </c>
      <c r="O150" s="37">
        <v>0</v>
      </c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4.25" customHeight="1">
      <c r="A151" s="9">
        <v>165</v>
      </c>
      <c r="B151" s="10"/>
      <c r="C151" s="21">
        <v>230522</v>
      </c>
      <c r="D151" s="22" t="s">
        <v>86</v>
      </c>
      <c r="E151" s="23">
        <v>44987</v>
      </c>
      <c r="F151" s="24">
        <v>44986</v>
      </c>
      <c r="G151" s="25">
        <v>681096</v>
      </c>
      <c r="H151" s="26" t="s">
        <v>1981</v>
      </c>
      <c r="I151" s="34" t="s">
        <v>29</v>
      </c>
      <c r="J151" s="10"/>
      <c r="K151" s="39"/>
      <c r="L151" s="40">
        <v>45058</v>
      </c>
      <c r="M151" s="40">
        <v>45058</v>
      </c>
      <c r="N151" s="37">
        <v>681096</v>
      </c>
      <c r="O151" s="37">
        <v>0</v>
      </c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4.25" customHeight="1">
      <c r="A152" s="9">
        <v>166</v>
      </c>
      <c r="B152" s="10"/>
      <c r="C152" s="21">
        <v>230464</v>
      </c>
      <c r="D152" s="22" t="s">
        <v>86</v>
      </c>
      <c r="E152" s="23">
        <v>44988</v>
      </c>
      <c r="F152" s="24">
        <v>44986</v>
      </c>
      <c r="G152" s="25">
        <v>7264775</v>
      </c>
      <c r="H152" s="26" t="s">
        <v>1982</v>
      </c>
      <c r="I152" s="34" t="s">
        <v>29</v>
      </c>
      <c r="J152" s="10"/>
      <c r="K152" s="39"/>
      <c r="L152" s="40">
        <v>45058</v>
      </c>
      <c r="M152" s="40">
        <v>45058</v>
      </c>
      <c r="N152" s="37">
        <v>7264775</v>
      </c>
      <c r="O152" s="37">
        <v>0</v>
      </c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4.25" customHeight="1">
      <c r="A153" s="9">
        <v>174</v>
      </c>
      <c r="B153" s="10"/>
      <c r="C153" s="21">
        <v>230467</v>
      </c>
      <c r="D153" s="22" t="s">
        <v>86</v>
      </c>
      <c r="E153" s="23">
        <v>44988</v>
      </c>
      <c r="F153" s="24">
        <v>44986</v>
      </c>
      <c r="G153" s="25">
        <v>471922</v>
      </c>
      <c r="H153" s="26" t="s">
        <v>1983</v>
      </c>
      <c r="I153" s="34" t="s">
        <v>29</v>
      </c>
      <c r="J153" s="10"/>
      <c r="K153" s="39"/>
      <c r="L153" s="40">
        <v>45058</v>
      </c>
      <c r="M153" s="40">
        <v>45058</v>
      </c>
      <c r="N153" s="37">
        <v>471922</v>
      </c>
      <c r="O153" s="37">
        <v>0</v>
      </c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4.25" customHeight="1">
      <c r="A154" s="9">
        <v>167</v>
      </c>
      <c r="B154" s="10"/>
      <c r="C154" s="21">
        <v>230523</v>
      </c>
      <c r="D154" s="22" t="s">
        <v>86</v>
      </c>
      <c r="E154" s="23">
        <v>44988</v>
      </c>
      <c r="F154" s="24">
        <v>44986</v>
      </c>
      <c r="G154" s="25">
        <v>1107225</v>
      </c>
      <c r="H154" s="26" t="s">
        <v>1984</v>
      </c>
      <c r="I154" s="34" t="s">
        <v>29</v>
      </c>
      <c r="J154" s="10"/>
      <c r="K154" s="39"/>
      <c r="L154" s="40">
        <v>45058</v>
      </c>
      <c r="M154" s="40">
        <v>45058</v>
      </c>
      <c r="N154" s="37">
        <v>1107225</v>
      </c>
      <c r="O154" s="37">
        <v>0</v>
      </c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4.25" customHeight="1">
      <c r="A155" s="9">
        <v>173</v>
      </c>
      <c r="B155" s="10"/>
      <c r="C155" s="21">
        <v>230524</v>
      </c>
      <c r="D155" s="22" t="s">
        <v>86</v>
      </c>
      <c r="E155" s="23">
        <v>44988</v>
      </c>
      <c r="F155" s="24">
        <v>44986</v>
      </c>
      <c r="G155" s="25">
        <v>469530</v>
      </c>
      <c r="H155" s="26" t="s">
        <v>1985</v>
      </c>
      <c r="I155" s="34" t="s">
        <v>29</v>
      </c>
      <c r="J155" s="10"/>
      <c r="K155" s="39"/>
      <c r="L155" s="40">
        <v>45058</v>
      </c>
      <c r="M155" s="40">
        <v>45058</v>
      </c>
      <c r="N155" s="37">
        <v>469530</v>
      </c>
      <c r="O155" s="37">
        <v>0</v>
      </c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4.25" customHeight="1">
      <c r="A156" s="9">
        <v>175</v>
      </c>
      <c r="B156" s="10"/>
      <c r="C156" s="21">
        <v>230463</v>
      </c>
      <c r="D156" s="22" t="s">
        <v>86</v>
      </c>
      <c r="E156" s="23">
        <v>44989</v>
      </c>
      <c r="F156" s="24">
        <v>44986</v>
      </c>
      <c r="G156" s="25">
        <v>685997</v>
      </c>
      <c r="H156" s="26" t="s">
        <v>1986</v>
      </c>
      <c r="I156" s="34" t="s">
        <v>29</v>
      </c>
      <c r="J156" s="10"/>
      <c r="K156" s="39"/>
      <c r="L156" s="40">
        <v>45058</v>
      </c>
      <c r="M156" s="40">
        <v>45058</v>
      </c>
      <c r="N156" s="37">
        <v>685997</v>
      </c>
      <c r="O156" s="37">
        <v>0</v>
      </c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4.25" customHeight="1">
      <c r="A157" s="9">
        <v>168</v>
      </c>
      <c r="B157" s="10"/>
      <c r="C157" s="21">
        <v>230538</v>
      </c>
      <c r="D157" s="22" t="s">
        <v>86</v>
      </c>
      <c r="E157" s="23">
        <v>44993</v>
      </c>
      <c r="F157" s="24">
        <v>44986</v>
      </c>
      <c r="G157" s="25">
        <v>633861</v>
      </c>
      <c r="H157" s="26" t="s">
        <v>1987</v>
      </c>
      <c r="I157" s="34" t="s">
        <v>29</v>
      </c>
      <c r="J157" s="10"/>
      <c r="K157" s="39"/>
      <c r="L157" s="40">
        <v>45058</v>
      </c>
      <c r="M157" s="40">
        <v>45058</v>
      </c>
      <c r="N157" s="37">
        <v>633861</v>
      </c>
      <c r="O157" s="37">
        <v>0</v>
      </c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4.25" customHeight="1">
      <c r="A158" s="9">
        <v>176</v>
      </c>
      <c r="B158" s="10"/>
      <c r="C158" s="21">
        <v>230536</v>
      </c>
      <c r="D158" s="22" t="s">
        <v>86</v>
      </c>
      <c r="E158" s="23">
        <v>44994</v>
      </c>
      <c r="F158" s="24">
        <v>44986</v>
      </c>
      <c r="G158" s="25">
        <v>979996</v>
      </c>
      <c r="H158" s="26" t="s">
        <v>1988</v>
      </c>
      <c r="I158" s="34" t="s">
        <v>29</v>
      </c>
      <c r="J158" s="10"/>
      <c r="K158" s="39"/>
      <c r="L158" s="40">
        <v>45058</v>
      </c>
      <c r="M158" s="40">
        <v>45058</v>
      </c>
      <c r="N158" s="37">
        <v>979996</v>
      </c>
      <c r="O158" s="37">
        <v>0</v>
      </c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4.25" customHeight="1">
      <c r="A159" s="9">
        <v>170</v>
      </c>
      <c r="B159" s="42"/>
      <c r="C159" s="21">
        <v>230546</v>
      </c>
      <c r="D159" s="22" t="s">
        <v>86</v>
      </c>
      <c r="E159" s="23">
        <v>44995</v>
      </c>
      <c r="F159" s="24">
        <v>44986</v>
      </c>
      <c r="G159" s="25">
        <v>1631838</v>
      </c>
      <c r="H159" s="26" t="s">
        <v>1989</v>
      </c>
      <c r="I159" s="34" t="s">
        <v>29</v>
      </c>
      <c r="J159" s="10"/>
      <c r="K159" s="39"/>
      <c r="L159" s="40">
        <v>45058</v>
      </c>
      <c r="M159" s="40">
        <v>45058</v>
      </c>
      <c r="N159" s="37">
        <v>1631838</v>
      </c>
      <c r="O159" s="37">
        <v>0</v>
      </c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4.25" customHeight="1">
      <c r="A160" s="9">
        <v>179</v>
      </c>
      <c r="B160" s="42"/>
      <c r="C160" s="21">
        <v>230547</v>
      </c>
      <c r="D160" s="22" t="s">
        <v>86</v>
      </c>
      <c r="E160" s="23">
        <v>44995</v>
      </c>
      <c r="F160" s="24">
        <v>44986</v>
      </c>
      <c r="G160" s="25">
        <v>9031359</v>
      </c>
      <c r="H160" s="26" t="s">
        <v>1990</v>
      </c>
      <c r="I160" s="34" t="s">
        <v>29</v>
      </c>
      <c r="J160" s="10"/>
      <c r="K160" s="39"/>
      <c r="L160" s="40">
        <v>45058</v>
      </c>
      <c r="M160" s="40">
        <v>45058</v>
      </c>
      <c r="N160" s="37">
        <v>9031359</v>
      </c>
      <c r="O160" s="37">
        <v>0</v>
      </c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4.25" customHeight="1">
      <c r="A161" s="9">
        <v>178</v>
      </c>
      <c r="B161" s="42"/>
      <c r="C161" s="21">
        <v>230548</v>
      </c>
      <c r="D161" s="22" t="s">
        <v>86</v>
      </c>
      <c r="E161" s="23">
        <v>44995</v>
      </c>
      <c r="F161" s="24">
        <v>44986</v>
      </c>
      <c r="G161" s="25">
        <v>329670</v>
      </c>
      <c r="H161" s="26" t="s">
        <v>1991</v>
      </c>
      <c r="I161" s="34" t="s">
        <v>29</v>
      </c>
      <c r="J161" s="10"/>
      <c r="K161" s="39"/>
      <c r="L161" s="40">
        <v>45058</v>
      </c>
      <c r="M161" s="40">
        <v>45058</v>
      </c>
      <c r="N161" s="37">
        <v>329670</v>
      </c>
      <c r="O161" s="37">
        <v>0</v>
      </c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4.25" customHeight="1">
      <c r="A162" s="9">
        <v>169</v>
      </c>
      <c r="B162" s="42"/>
      <c r="C162" s="21">
        <v>230549</v>
      </c>
      <c r="D162" s="22" t="s">
        <v>86</v>
      </c>
      <c r="E162" s="23">
        <v>44995</v>
      </c>
      <c r="F162" s="24">
        <v>44986</v>
      </c>
      <c r="G162" s="25">
        <v>442501</v>
      </c>
      <c r="H162" s="26" t="s">
        <v>1992</v>
      </c>
      <c r="I162" s="34" t="s">
        <v>29</v>
      </c>
      <c r="J162" s="10"/>
      <c r="K162" s="39"/>
      <c r="L162" s="40">
        <v>45058</v>
      </c>
      <c r="M162" s="40">
        <v>45058</v>
      </c>
      <c r="N162" s="37">
        <v>442501</v>
      </c>
      <c r="O162" s="37">
        <v>0</v>
      </c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4.25" customHeight="1">
      <c r="A163" s="9">
        <v>177</v>
      </c>
      <c r="B163" s="10"/>
      <c r="C163" s="21">
        <v>230551</v>
      </c>
      <c r="D163" s="22" t="s">
        <v>86</v>
      </c>
      <c r="E163" s="23">
        <v>44995</v>
      </c>
      <c r="F163" s="24">
        <v>44986</v>
      </c>
      <c r="G163" s="25">
        <v>1959993</v>
      </c>
      <c r="H163" s="26" t="s">
        <v>1993</v>
      </c>
      <c r="I163" s="34" t="s">
        <v>29</v>
      </c>
      <c r="J163" s="10"/>
      <c r="K163" s="39"/>
      <c r="L163" s="40">
        <v>45058</v>
      </c>
      <c r="M163" s="40">
        <v>45058</v>
      </c>
      <c r="N163" s="37">
        <v>1959993</v>
      </c>
      <c r="O163" s="37">
        <v>0</v>
      </c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4.25" customHeight="1">
      <c r="A164" s="9">
        <v>180</v>
      </c>
      <c r="B164" s="10"/>
      <c r="C164" s="21">
        <v>230573</v>
      </c>
      <c r="D164" s="22" t="s">
        <v>86</v>
      </c>
      <c r="E164" s="23">
        <v>45000</v>
      </c>
      <c r="F164" s="24">
        <v>44986</v>
      </c>
      <c r="G164" s="43">
        <v>774813</v>
      </c>
      <c r="H164" s="26" t="s">
        <v>1994</v>
      </c>
      <c r="I164" s="34" t="s">
        <v>29</v>
      </c>
      <c r="J164" s="45">
        <v>40713371</v>
      </c>
      <c r="K164" s="40">
        <v>45061</v>
      </c>
      <c r="L164" s="40">
        <v>45061</v>
      </c>
      <c r="M164" s="40">
        <v>45063</v>
      </c>
      <c r="N164" s="37">
        <v>774813</v>
      </c>
      <c r="O164" s="37">
        <v>0</v>
      </c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4.25" customHeight="1">
      <c r="A165" s="9">
        <v>181</v>
      </c>
      <c r="B165" s="10"/>
      <c r="C165" s="21">
        <v>230603</v>
      </c>
      <c r="D165" s="22" t="s">
        <v>86</v>
      </c>
      <c r="E165" s="23">
        <v>45001</v>
      </c>
      <c r="F165" s="24">
        <v>44986</v>
      </c>
      <c r="G165" s="44">
        <v>1412808</v>
      </c>
      <c r="H165" s="26" t="s">
        <v>1995</v>
      </c>
      <c r="I165" s="34" t="s">
        <v>29</v>
      </c>
      <c r="J165" s="11"/>
      <c r="K165" s="39"/>
      <c r="L165" s="40">
        <v>45061</v>
      </c>
      <c r="M165" s="40">
        <v>45063</v>
      </c>
      <c r="N165" s="37">
        <v>1412808</v>
      </c>
      <c r="O165" s="37">
        <v>0</v>
      </c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4.25" customHeight="1">
      <c r="A166" s="9">
        <v>182</v>
      </c>
      <c r="B166" s="10"/>
      <c r="C166" s="21">
        <v>230604</v>
      </c>
      <c r="D166" s="22" t="s">
        <v>86</v>
      </c>
      <c r="E166" s="23">
        <v>45001</v>
      </c>
      <c r="F166" s="24">
        <v>44986</v>
      </c>
      <c r="G166" s="44">
        <v>899100</v>
      </c>
      <c r="H166" s="26" t="s">
        <v>1996</v>
      </c>
      <c r="I166" s="34" t="s">
        <v>29</v>
      </c>
      <c r="J166" s="11"/>
      <c r="K166" s="39"/>
      <c r="L166" s="40">
        <v>45061</v>
      </c>
      <c r="M166" s="40">
        <v>45063</v>
      </c>
      <c r="N166" s="37">
        <v>899100</v>
      </c>
      <c r="O166" s="37">
        <v>0</v>
      </c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4.25" customHeight="1">
      <c r="A167" s="9">
        <v>183</v>
      </c>
      <c r="B167" s="10"/>
      <c r="C167" s="21">
        <v>230590</v>
      </c>
      <c r="D167" s="22" t="s">
        <v>86</v>
      </c>
      <c r="E167" s="23">
        <v>45002</v>
      </c>
      <c r="F167" s="24">
        <v>44986</v>
      </c>
      <c r="G167" s="44">
        <v>171003</v>
      </c>
      <c r="H167" s="26" t="s">
        <v>1997</v>
      </c>
      <c r="I167" s="34" t="s">
        <v>29</v>
      </c>
      <c r="J167" s="11"/>
      <c r="K167" s="39"/>
      <c r="L167" s="40">
        <v>45061</v>
      </c>
      <c r="M167" s="40">
        <v>45063</v>
      </c>
      <c r="N167" s="37">
        <v>171003</v>
      </c>
      <c r="O167" s="37">
        <v>0</v>
      </c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4.25" customHeight="1">
      <c r="A168" s="9">
        <v>184</v>
      </c>
      <c r="B168" s="10"/>
      <c r="C168" s="21">
        <v>230599</v>
      </c>
      <c r="D168" s="22" t="s">
        <v>86</v>
      </c>
      <c r="E168" s="23">
        <v>45002</v>
      </c>
      <c r="F168" s="24">
        <v>44986</v>
      </c>
      <c r="G168" s="44">
        <v>4703984</v>
      </c>
      <c r="H168" s="26" t="s">
        <v>1998</v>
      </c>
      <c r="I168" s="34" t="s">
        <v>29</v>
      </c>
      <c r="J168" s="11"/>
      <c r="K168" s="39"/>
      <c r="L168" s="40">
        <v>45061</v>
      </c>
      <c r="M168" s="40">
        <v>45063</v>
      </c>
      <c r="N168" s="37">
        <v>4703984</v>
      </c>
      <c r="O168" s="37">
        <v>0</v>
      </c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4.25" customHeight="1">
      <c r="A169" s="9">
        <v>185</v>
      </c>
      <c r="B169" s="10"/>
      <c r="C169" s="21">
        <v>230600</v>
      </c>
      <c r="D169" s="22" t="s">
        <v>86</v>
      </c>
      <c r="E169" s="23">
        <v>45002</v>
      </c>
      <c r="F169" s="24">
        <v>44986</v>
      </c>
      <c r="G169" s="44">
        <v>2361636</v>
      </c>
      <c r="H169" s="26" t="s">
        <v>1999</v>
      </c>
      <c r="I169" s="34" t="s">
        <v>29</v>
      </c>
      <c r="J169" s="11"/>
      <c r="K169" s="39"/>
      <c r="L169" s="40">
        <v>45061</v>
      </c>
      <c r="M169" s="40">
        <v>45063</v>
      </c>
      <c r="N169" s="37">
        <v>2361636</v>
      </c>
      <c r="O169" s="37">
        <v>0</v>
      </c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4.25" customHeight="1">
      <c r="A170" s="9">
        <v>186</v>
      </c>
      <c r="B170" s="10"/>
      <c r="C170" s="21">
        <v>230601</v>
      </c>
      <c r="D170" s="22" t="s">
        <v>86</v>
      </c>
      <c r="E170" s="23">
        <v>45002</v>
      </c>
      <c r="F170" s="24">
        <v>44986</v>
      </c>
      <c r="G170" s="44">
        <v>442890</v>
      </c>
      <c r="H170" s="26" t="s">
        <v>2000</v>
      </c>
      <c r="I170" s="34" t="s">
        <v>29</v>
      </c>
      <c r="J170" s="11"/>
      <c r="K170" s="39"/>
      <c r="L170" s="40">
        <v>45061</v>
      </c>
      <c r="M170" s="40">
        <v>45063</v>
      </c>
      <c r="N170" s="37">
        <v>442890</v>
      </c>
      <c r="O170" s="37">
        <v>0</v>
      </c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4.25" customHeight="1">
      <c r="A171" s="9">
        <v>187</v>
      </c>
      <c r="B171" s="10"/>
      <c r="C171" s="21">
        <v>230714</v>
      </c>
      <c r="D171" s="22" t="s">
        <v>86</v>
      </c>
      <c r="E171" s="23">
        <v>45006</v>
      </c>
      <c r="F171" s="24">
        <v>44986</v>
      </c>
      <c r="G171" s="44">
        <v>1465799</v>
      </c>
      <c r="H171" s="26" t="s">
        <v>2001</v>
      </c>
      <c r="I171" s="34" t="s">
        <v>29</v>
      </c>
      <c r="J171" s="11"/>
      <c r="K171" s="39"/>
      <c r="L171" s="40">
        <v>45061</v>
      </c>
      <c r="M171" s="40">
        <v>45063</v>
      </c>
      <c r="N171" s="37">
        <v>1465799</v>
      </c>
      <c r="O171" s="37">
        <v>0</v>
      </c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4.25" customHeight="1">
      <c r="A172" s="9">
        <v>188</v>
      </c>
      <c r="B172" s="10"/>
      <c r="C172" s="21">
        <v>230626</v>
      </c>
      <c r="D172" s="22" t="s">
        <v>86</v>
      </c>
      <c r="E172" s="23">
        <v>45010</v>
      </c>
      <c r="F172" s="24">
        <v>44986</v>
      </c>
      <c r="G172" s="44">
        <v>2277741</v>
      </c>
      <c r="H172" s="26" t="s">
        <v>2002</v>
      </c>
      <c r="I172" s="34" t="s">
        <v>29</v>
      </c>
      <c r="J172" s="11"/>
      <c r="K172" s="39"/>
      <c r="L172" s="40">
        <v>45061</v>
      </c>
      <c r="M172" s="40">
        <v>45063</v>
      </c>
      <c r="N172" s="37">
        <v>2277741</v>
      </c>
      <c r="O172" s="37">
        <v>0</v>
      </c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14.25" customHeight="1">
      <c r="A173" s="9">
        <v>189</v>
      </c>
      <c r="B173" s="10"/>
      <c r="C173" s="21">
        <v>230672</v>
      </c>
      <c r="D173" s="22" t="s">
        <v>86</v>
      </c>
      <c r="E173" s="23">
        <v>45013</v>
      </c>
      <c r="F173" s="24">
        <v>44986</v>
      </c>
      <c r="G173" s="44">
        <v>329670</v>
      </c>
      <c r="H173" s="26" t="s">
        <v>2003</v>
      </c>
      <c r="I173" s="34" t="s">
        <v>29</v>
      </c>
      <c r="J173" s="11"/>
      <c r="K173" s="39"/>
      <c r="L173" s="40">
        <v>45061</v>
      </c>
      <c r="M173" s="40">
        <v>45063</v>
      </c>
      <c r="N173" s="37">
        <v>329670</v>
      </c>
      <c r="O173" s="37">
        <v>0</v>
      </c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14.25" customHeight="1">
      <c r="A174" s="9">
        <v>190</v>
      </c>
      <c r="B174" s="10"/>
      <c r="C174" s="21">
        <v>230673</v>
      </c>
      <c r="D174" s="22" t="s">
        <v>86</v>
      </c>
      <c r="E174" s="23">
        <v>45013</v>
      </c>
      <c r="F174" s="24">
        <v>44986</v>
      </c>
      <c r="G174" s="44">
        <v>329670</v>
      </c>
      <c r="H174" s="26" t="s">
        <v>2004</v>
      </c>
      <c r="I174" s="34" t="s">
        <v>29</v>
      </c>
      <c r="J174" s="11"/>
      <c r="K174" s="39"/>
      <c r="L174" s="40">
        <v>45061</v>
      </c>
      <c r="M174" s="40">
        <v>45063</v>
      </c>
      <c r="N174" s="37">
        <v>329670</v>
      </c>
      <c r="O174" s="37">
        <v>0</v>
      </c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4.25" customHeight="1">
      <c r="A175" s="9">
        <v>191</v>
      </c>
      <c r="B175" s="10"/>
      <c r="C175" s="21">
        <v>230674</v>
      </c>
      <c r="D175" s="22" t="s">
        <v>86</v>
      </c>
      <c r="E175" s="23">
        <v>45013</v>
      </c>
      <c r="F175" s="24">
        <v>44986</v>
      </c>
      <c r="G175" s="44">
        <v>122100</v>
      </c>
      <c r="H175" s="26" t="s">
        <v>2005</v>
      </c>
      <c r="I175" s="34" t="s">
        <v>29</v>
      </c>
      <c r="J175" s="11"/>
      <c r="K175" s="39"/>
      <c r="L175" s="40">
        <v>45061</v>
      </c>
      <c r="M175" s="40">
        <v>45063</v>
      </c>
      <c r="N175" s="37">
        <v>122100</v>
      </c>
      <c r="O175" s="37">
        <v>0</v>
      </c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4.25" customHeight="1">
      <c r="A176" s="9">
        <v>192</v>
      </c>
      <c r="B176" s="10"/>
      <c r="C176" s="21">
        <v>230675</v>
      </c>
      <c r="D176" s="22" t="s">
        <v>86</v>
      </c>
      <c r="E176" s="23">
        <v>45013</v>
      </c>
      <c r="F176" s="24">
        <v>44986</v>
      </c>
      <c r="G176" s="44">
        <v>469530</v>
      </c>
      <c r="H176" s="26" t="s">
        <v>2006</v>
      </c>
      <c r="I176" s="34" t="s">
        <v>29</v>
      </c>
      <c r="J176" s="11"/>
      <c r="K176" s="39"/>
      <c r="L176" s="40">
        <v>45061</v>
      </c>
      <c r="M176" s="40">
        <v>45063</v>
      </c>
      <c r="N176" s="37">
        <v>469530</v>
      </c>
      <c r="O176" s="37">
        <v>0</v>
      </c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4.25" customHeight="1">
      <c r="A177" s="9">
        <v>193</v>
      </c>
      <c r="B177" s="10"/>
      <c r="C177" s="21">
        <v>230680</v>
      </c>
      <c r="D177" s="22" t="s">
        <v>86</v>
      </c>
      <c r="E177" s="23">
        <v>45014</v>
      </c>
      <c r="F177" s="24">
        <v>44986</v>
      </c>
      <c r="G177" s="44">
        <v>801173</v>
      </c>
      <c r="H177" s="26" t="s">
        <v>2007</v>
      </c>
      <c r="I177" s="34" t="s">
        <v>29</v>
      </c>
      <c r="J177" s="11"/>
      <c r="K177" s="39"/>
      <c r="L177" s="40">
        <v>45061</v>
      </c>
      <c r="M177" s="40">
        <v>45063</v>
      </c>
      <c r="N177" s="37">
        <v>801173</v>
      </c>
      <c r="O177" s="37">
        <v>0</v>
      </c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4.25" customHeight="1">
      <c r="A178" s="9">
        <v>195</v>
      </c>
      <c r="B178" s="10"/>
      <c r="C178" s="21">
        <v>230721</v>
      </c>
      <c r="D178" s="22" t="s">
        <v>86</v>
      </c>
      <c r="E178" s="23">
        <v>45015</v>
      </c>
      <c r="F178" s="24">
        <v>44986</v>
      </c>
      <c r="G178" s="44">
        <v>9031359</v>
      </c>
      <c r="H178" s="26" t="s">
        <v>2008</v>
      </c>
      <c r="I178" s="34" t="s">
        <v>29</v>
      </c>
      <c r="J178" s="11"/>
      <c r="K178" s="39"/>
      <c r="L178" s="40">
        <v>45061</v>
      </c>
      <c r="M178" s="40">
        <v>45063</v>
      </c>
      <c r="N178" s="37">
        <v>9031359</v>
      </c>
      <c r="O178" s="37">
        <v>0</v>
      </c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4.25" customHeight="1">
      <c r="A179" s="9">
        <v>194</v>
      </c>
      <c r="B179" s="10"/>
      <c r="C179" s="21">
        <v>230728</v>
      </c>
      <c r="D179" s="22" t="s">
        <v>86</v>
      </c>
      <c r="E179" s="23">
        <v>45015</v>
      </c>
      <c r="F179" s="24">
        <v>44986</v>
      </c>
      <c r="G179" s="44">
        <v>681096</v>
      </c>
      <c r="H179" s="26" t="s">
        <v>2009</v>
      </c>
      <c r="I179" s="34" t="s">
        <v>29</v>
      </c>
      <c r="J179" s="11"/>
      <c r="K179" s="39"/>
      <c r="L179" s="40">
        <v>45061</v>
      </c>
      <c r="M179" s="40">
        <v>45063</v>
      </c>
      <c r="N179" s="37">
        <v>681096</v>
      </c>
      <c r="O179" s="37">
        <v>0</v>
      </c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4.25" customHeight="1">
      <c r="A180" s="9">
        <v>198</v>
      </c>
      <c r="B180" s="10"/>
      <c r="C180" s="21">
        <v>230715</v>
      </c>
      <c r="D180" s="22" t="s">
        <v>86</v>
      </c>
      <c r="E180" s="23">
        <v>45016</v>
      </c>
      <c r="F180" s="24">
        <v>44986</v>
      </c>
      <c r="G180" s="44">
        <v>460001</v>
      </c>
      <c r="H180" s="26" t="s">
        <v>2010</v>
      </c>
      <c r="I180" s="34" t="s">
        <v>29</v>
      </c>
      <c r="J180" s="11"/>
      <c r="K180" s="39"/>
      <c r="L180" s="40">
        <v>45061</v>
      </c>
      <c r="M180" s="40">
        <v>45063</v>
      </c>
      <c r="N180" s="37">
        <v>460001</v>
      </c>
      <c r="O180" s="37">
        <v>0</v>
      </c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4.25" customHeight="1">
      <c r="A181" s="9">
        <v>199</v>
      </c>
      <c r="B181" s="10"/>
      <c r="C181" s="21">
        <v>230717</v>
      </c>
      <c r="D181" s="22" t="s">
        <v>86</v>
      </c>
      <c r="E181" s="23">
        <v>45016</v>
      </c>
      <c r="F181" s="24">
        <v>44986</v>
      </c>
      <c r="G181" s="44">
        <v>664335</v>
      </c>
      <c r="H181" s="26" t="s">
        <v>2011</v>
      </c>
      <c r="I181" s="34" t="s">
        <v>29</v>
      </c>
      <c r="J181" s="11"/>
      <c r="K181" s="39"/>
      <c r="L181" s="40">
        <v>45061</v>
      </c>
      <c r="M181" s="40">
        <v>45063</v>
      </c>
      <c r="N181" s="37">
        <v>664335</v>
      </c>
      <c r="O181" s="37">
        <v>0</v>
      </c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14.25" customHeight="1">
      <c r="A182" s="9">
        <v>196</v>
      </c>
      <c r="B182" s="10"/>
      <c r="C182" s="21">
        <v>230733</v>
      </c>
      <c r="D182" s="22" t="s">
        <v>86</v>
      </c>
      <c r="E182" s="23">
        <v>45016</v>
      </c>
      <c r="F182" s="24">
        <v>44986</v>
      </c>
      <c r="G182" s="44">
        <v>801173</v>
      </c>
      <c r="H182" s="26" t="s">
        <v>2012</v>
      </c>
      <c r="I182" s="34" t="s">
        <v>29</v>
      </c>
      <c r="J182" s="11"/>
      <c r="K182" s="39"/>
      <c r="L182" s="40">
        <v>45061</v>
      </c>
      <c r="M182" s="40">
        <v>45063</v>
      </c>
      <c r="N182" s="37">
        <v>801173</v>
      </c>
      <c r="O182" s="37">
        <v>0</v>
      </c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14.25" customHeight="1">
      <c r="A183" s="9">
        <v>197</v>
      </c>
      <c r="B183" s="10"/>
      <c r="C183" s="21">
        <v>230735</v>
      </c>
      <c r="D183" s="22" t="s">
        <v>86</v>
      </c>
      <c r="E183" s="23">
        <v>45016</v>
      </c>
      <c r="F183" s="24">
        <v>44986</v>
      </c>
      <c r="G183" s="44">
        <v>2509958</v>
      </c>
      <c r="H183" s="26" t="s">
        <v>2013</v>
      </c>
      <c r="I183" s="34" t="s">
        <v>29</v>
      </c>
      <c r="J183" s="11"/>
      <c r="K183" s="39"/>
      <c r="L183" s="40">
        <v>45061</v>
      </c>
      <c r="M183" s="40">
        <v>45063</v>
      </c>
      <c r="N183" s="37">
        <v>2509958</v>
      </c>
      <c r="O183" s="37">
        <v>0</v>
      </c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4.25" customHeight="1">
      <c r="A184" s="9">
        <v>200</v>
      </c>
      <c r="B184" s="10"/>
      <c r="C184" s="21">
        <v>230723</v>
      </c>
      <c r="D184" s="22" t="s">
        <v>86</v>
      </c>
      <c r="E184" s="23">
        <v>45017</v>
      </c>
      <c r="F184" s="24">
        <v>45017</v>
      </c>
      <c r="G184" s="44">
        <v>1554000</v>
      </c>
      <c r="H184" s="26" t="s">
        <v>2014</v>
      </c>
      <c r="I184" s="34" t="s">
        <v>29</v>
      </c>
      <c r="J184" s="11"/>
      <c r="K184" s="39"/>
      <c r="L184" s="40">
        <v>45061</v>
      </c>
      <c r="M184" s="40">
        <v>45063</v>
      </c>
      <c r="N184" s="37">
        <v>1554000</v>
      </c>
      <c r="O184" s="37">
        <v>0</v>
      </c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4.25" customHeight="1">
      <c r="A185" s="9">
        <v>212</v>
      </c>
      <c r="B185" s="10"/>
      <c r="C185" s="21">
        <v>230769</v>
      </c>
      <c r="D185" s="22" t="s">
        <v>86</v>
      </c>
      <c r="E185" s="23">
        <v>45022</v>
      </c>
      <c r="F185" s="24">
        <v>45017</v>
      </c>
      <c r="G185" s="44">
        <v>3636360</v>
      </c>
      <c r="H185" s="26" t="s">
        <v>2015</v>
      </c>
      <c r="I185" s="34" t="s">
        <v>29</v>
      </c>
      <c r="J185" s="45">
        <v>13968253</v>
      </c>
      <c r="K185" s="40">
        <v>45071</v>
      </c>
      <c r="L185" s="40">
        <v>45071</v>
      </c>
      <c r="M185" s="40">
        <v>45072</v>
      </c>
      <c r="N185" s="37">
        <v>3636360</v>
      </c>
      <c r="O185" s="37">
        <v>0</v>
      </c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4.25" customHeight="1">
      <c r="A186" s="9">
        <v>201</v>
      </c>
      <c r="B186" s="10"/>
      <c r="C186" s="21">
        <v>230777</v>
      </c>
      <c r="D186" s="22" t="s">
        <v>86</v>
      </c>
      <c r="E186" s="23">
        <v>45026</v>
      </c>
      <c r="F186" s="24">
        <v>45017</v>
      </c>
      <c r="G186" s="44">
        <v>898089</v>
      </c>
      <c r="H186" s="26" t="s">
        <v>2016</v>
      </c>
      <c r="I186" s="34" t="s">
        <v>29</v>
      </c>
      <c r="J186" s="11"/>
      <c r="K186" s="39"/>
      <c r="L186" s="40">
        <v>45061</v>
      </c>
      <c r="M186" s="40">
        <v>45063</v>
      </c>
      <c r="N186" s="37">
        <v>898089</v>
      </c>
      <c r="O186" s="37">
        <v>0</v>
      </c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4.25" customHeight="1">
      <c r="A187" s="9">
        <v>202</v>
      </c>
      <c r="B187" s="10"/>
      <c r="C187" s="21">
        <v>230791</v>
      </c>
      <c r="D187" s="22" t="s">
        <v>86</v>
      </c>
      <c r="E187" s="23">
        <v>45027</v>
      </c>
      <c r="F187" s="24">
        <v>45017</v>
      </c>
      <c r="G187" s="44">
        <v>471922</v>
      </c>
      <c r="H187" s="26" t="s">
        <v>2017</v>
      </c>
      <c r="I187" s="34" t="s">
        <v>29</v>
      </c>
      <c r="J187" s="11"/>
      <c r="K187" s="39"/>
      <c r="L187" s="40">
        <v>45061</v>
      </c>
      <c r="M187" s="40">
        <v>45063</v>
      </c>
      <c r="N187" s="37">
        <v>471922</v>
      </c>
      <c r="O187" s="37">
        <v>0</v>
      </c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4.25" customHeight="1">
      <c r="A188" s="9">
        <v>203</v>
      </c>
      <c r="B188" s="10"/>
      <c r="C188" s="21">
        <v>230792</v>
      </c>
      <c r="D188" s="22" t="s">
        <v>86</v>
      </c>
      <c r="E188" s="23">
        <v>45027</v>
      </c>
      <c r="F188" s="24">
        <v>45017</v>
      </c>
      <c r="G188" s="44">
        <v>221445</v>
      </c>
      <c r="H188" s="26" t="s">
        <v>2018</v>
      </c>
      <c r="I188" s="34" t="s">
        <v>29</v>
      </c>
      <c r="J188" s="11"/>
      <c r="K188" s="39"/>
      <c r="L188" s="40">
        <v>45061</v>
      </c>
      <c r="M188" s="40">
        <v>45063</v>
      </c>
      <c r="N188" s="37">
        <v>221445</v>
      </c>
      <c r="O188" s="37">
        <v>0</v>
      </c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4.25" customHeight="1">
      <c r="A189" s="9">
        <v>204</v>
      </c>
      <c r="B189" s="10"/>
      <c r="C189" s="21">
        <v>230808</v>
      </c>
      <c r="D189" s="22" t="s">
        <v>86</v>
      </c>
      <c r="E189" s="23">
        <v>45028</v>
      </c>
      <c r="F189" s="24">
        <v>45017</v>
      </c>
      <c r="G189" s="44">
        <v>2998798</v>
      </c>
      <c r="H189" s="26" t="s">
        <v>2019</v>
      </c>
      <c r="I189" s="34" t="s">
        <v>29</v>
      </c>
      <c r="J189" s="11"/>
      <c r="K189" s="39"/>
      <c r="L189" s="40">
        <v>45061</v>
      </c>
      <c r="M189" s="40">
        <v>45063</v>
      </c>
      <c r="N189" s="37">
        <v>2998798</v>
      </c>
      <c r="O189" s="37">
        <v>0</v>
      </c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4.25" customHeight="1">
      <c r="A190" s="9">
        <v>205</v>
      </c>
      <c r="B190" s="10"/>
      <c r="C190" s="21">
        <v>230820</v>
      </c>
      <c r="D190" s="22" t="s">
        <v>86</v>
      </c>
      <c r="E190" s="23">
        <v>45029</v>
      </c>
      <c r="F190" s="24">
        <v>45017</v>
      </c>
      <c r="G190" s="44">
        <v>135975</v>
      </c>
      <c r="H190" s="26" t="s">
        <v>2020</v>
      </c>
      <c r="I190" s="34" t="s">
        <v>29</v>
      </c>
      <c r="J190" s="11"/>
      <c r="K190" s="39"/>
      <c r="L190" s="40">
        <v>45061</v>
      </c>
      <c r="M190" s="40">
        <v>45063</v>
      </c>
      <c r="N190" s="37">
        <v>135975</v>
      </c>
      <c r="O190" s="37">
        <v>0</v>
      </c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4.25" customHeight="1">
      <c r="A191" s="9">
        <v>206</v>
      </c>
      <c r="B191" s="10"/>
      <c r="C191" s="21">
        <v>230825</v>
      </c>
      <c r="D191" s="22" t="s">
        <v>86</v>
      </c>
      <c r="E191" s="23">
        <v>45030</v>
      </c>
      <c r="F191" s="24">
        <v>45017</v>
      </c>
      <c r="G191" s="44">
        <v>838287</v>
      </c>
      <c r="H191" s="26" t="s">
        <v>2021</v>
      </c>
      <c r="I191" s="34" t="s">
        <v>29</v>
      </c>
      <c r="J191" s="11"/>
      <c r="K191" s="39"/>
      <c r="L191" s="40">
        <v>45061</v>
      </c>
      <c r="M191" s="40">
        <v>45063</v>
      </c>
      <c r="N191" s="37">
        <v>838287</v>
      </c>
      <c r="O191" s="37">
        <v>0</v>
      </c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4.25" customHeight="1">
      <c r="A192" s="9">
        <v>208</v>
      </c>
      <c r="B192" s="10"/>
      <c r="C192" s="21">
        <v>230826</v>
      </c>
      <c r="D192" s="22" t="s">
        <v>86</v>
      </c>
      <c r="E192" s="23">
        <v>45030</v>
      </c>
      <c r="F192" s="24">
        <v>45017</v>
      </c>
      <c r="G192" s="44">
        <v>307808</v>
      </c>
      <c r="H192" s="26" t="s">
        <v>2022</v>
      </c>
      <c r="I192" s="34" t="s">
        <v>29</v>
      </c>
      <c r="J192" s="11"/>
      <c r="K192" s="39"/>
      <c r="L192" s="40">
        <v>45061</v>
      </c>
      <c r="M192" s="40">
        <v>45063</v>
      </c>
      <c r="N192" s="37">
        <v>307808</v>
      </c>
      <c r="O192" s="37">
        <v>0</v>
      </c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4.25" customHeight="1">
      <c r="A193" s="9">
        <v>207</v>
      </c>
      <c r="B193" s="10"/>
      <c r="C193" s="21">
        <v>230827</v>
      </c>
      <c r="D193" s="22" t="s">
        <v>86</v>
      </c>
      <c r="E193" s="23">
        <v>45030</v>
      </c>
      <c r="F193" s="24">
        <v>45017</v>
      </c>
      <c r="G193" s="44">
        <v>664751</v>
      </c>
      <c r="H193" s="26" t="s">
        <v>2023</v>
      </c>
      <c r="I193" s="34" t="s">
        <v>29</v>
      </c>
      <c r="J193" s="11"/>
      <c r="K193" s="39"/>
      <c r="L193" s="40">
        <v>45061</v>
      </c>
      <c r="M193" s="40">
        <v>45063</v>
      </c>
      <c r="N193" s="37">
        <v>664751</v>
      </c>
      <c r="O193" s="37">
        <v>0</v>
      </c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4.25" customHeight="1">
      <c r="A194" s="9">
        <v>209</v>
      </c>
      <c r="B194" s="10"/>
      <c r="C194" s="21">
        <v>230831</v>
      </c>
      <c r="D194" s="22" t="s">
        <v>86</v>
      </c>
      <c r="E194" s="23">
        <v>45030</v>
      </c>
      <c r="F194" s="24">
        <v>45017</v>
      </c>
      <c r="G194" s="44">
        <v>424725</v>
      </c>
      <c r="H194" s="26" t="s">
        <v>2024</v>
      </c>
      <c r="I194" s="34" t="s">
        <v>29</v>
      </c>
      <c r="J194" s="11"/>
      <c r="K194" s="39"/>
      <c r="L194" s="40">
        <v>45061</v>
      </c>
      <c r="M194" s="40">
        <v>45063</v>
      </c>
      <c r="N194" s="37">
        <v>424725</v>
      </c>
      <c r="O194" s="37">
        <v>0</v>
      </c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4.25" customHeight="1">
      <c r="A195" s="9">
        <v>210</v>
      </c>
      <c r="B195" s="10"/>
      <c r="C195" s="21">
        <v>230829</v>
      </c>
      <c r="D195" s="22" t="s">
        <v>86</v>
      </c>
      <c r="E195" s="23">
        <v>45031</v>
      </c>
      <c r="F195" s="24">
        <v>45017</v>
      </c>
      <c r="G195" s="44">
        <v>1465799</v>
      </c>
      <c r="H195" s="26" t="s">
        <v>2025</v>
      </c>
      <c r="I195" s="34" t="s">
        <v>29</v>
      </c>
      <c r="J195" s="11"/>
      <c r="K195" s="39"/>
      <c r="L195" s="40">
        <v>45061</v>
      </c>
      <c r="M195" s="40">
        <v>45063</v>
      </c>
      <c r="N195" s="37">
        <v>1465799</v>
      </c>
      <c r="O195" s="37">
        <v>0</v>
      </c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4.25" customHeight="1">
      <c r="A196" s="9">
        <v>211</v>
      </c>
      <c r="B196" s="10"/>
      <c r="C196" s="21">
        <v>230830</v>
      </c>
      <c r="D196" s="22" t="s">
        <v>86</v>
      </c>
      <c r="E196" s="23">
        <v>45031</v>
      </c>
      <c r="F196" s="24">
        <v>45017</v>
      </c>
      <c r="G196" s="44">
        <v>21933</v>
      </c>
      <c r="H196" s="26" t="s">
        <v>2026</v>
      </c>
      <c r="I196" s="34" t="s">
        <v>29</v>
      </c>
      <c r="J196" s="11"/>
      <c r="K196" s="39"/>
      <c r="L196" s="40">
        <v>45061</v>
      </c>
      <c r="M196" s="40">
        <v>45063</v>
      </c>
      <c r="N196" s="37">
        <v>21933</v>
      </c>
      <c r="O196" s="37">
        <v>0</v>
      </c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4.25" customHeight="1">
      <c r="A197" s="9">
        <v>213</v>
      </c>
      <c r="B197" s="10"/>
      <c r="C197" s="21">
        <v>230842</v>
      </c>
      <c r="D197" s="22" t="s">
        <v>86</v>
      </c>
      <c r="E197" s="23">
        <v>45034</v>
      </c>
      <c r="F197" s="24">
        <v>45017</v>
      </c>
      <c r="G197" s="44">
        <v>3087009</v>
      </c>
      <c r="H197" s="26" t="s">
        <v>2027</v>
      </c>
      <c r="I197" s="34" t="s">
        <v>29</v>
      </c>
      <c r="L197" s="40">
        <v>45071</v>
      </c>
      <c r="M197" s="40">
        <v>45072</v>
      </c>
      <c r="N197" s="37">
        <v>3087009</v>
      </c>
      <c r="O197" s="37">
        <v>0</v>
      </c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4.25" customHeight="1">
      <c r="A198" s="9">
        <v>215</v>
      </c>
      <c r="B198" s="10"/>
      <c r="C198" s="21">
        <v>230872</v>
      </c>
      <c r="D198" s="22" t="s">
        <v>86</v>
      </c>
      <c r="E198" s="23">
        <v>45043</v>
      </c>
      <c r="F198" s="24">
        <v>45017</v>
      </c>
      <c r="G198" s="44">
        <v>4515679</v>
      </c>
      <c r="H198" s="26" t="s">
        <v>2028</v>
      </c>
      <c r="I198" s="34" t="s">
        <v>29</v>
      </c>
      <c r="J198" s="11"/>
      <c r="K198" s="39"/>
      <c r="L198" s="40">
        <v>45071</v>
      </c>
      <c r="M198" s="40">
        <v>45072</v>
      </c>
      <c r="N198" s="37">
        <v>4515679</v>
      </c>
      <c r="O198" s="37">
        <v>0</v>
      </c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4.25" customHeight="1">
      <c r="A199" s="9">
        <v>214</v>
      </c>
      <c r="B199" s="10"/>
      <c r="C199" s="21">
        <v>230873</v>
      </c>
      <c r="D199" s="22" t="s">
        <v>86</v>
      </c>
      <c r="E199" s="23">
        <v>45043</v>
      </c>
      <c r="F199" s="24">
        <v>45017</v>
      </c>
      <c r="G199" s="44">
        <v>947678</v>
      </c>
      <c r="H199" s="26" t="s">
        <v>2029</v>
      </c>
      <c r="I199" s="34" t="s">
        <v>29</v>
      </c>
      <c r="J199" s="11"/>
      <c r="K199" s="39"/>
      <c r="L199" s="40">
        <v>45071</v>
      </c>
      <c r="M199" s="40">
        <v>45072</v>
      </c>
      <c r="N199" s="37">
        <v>947678</v>
      </c>
      <c r="O199" s="37">
        <v>0</v>
      </c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4.25" customHeight="1">
      <c r="A200" s="9">
        <v>216</v>
      </c>
      <c r="B200" s="10"/>
      <c r="C200" s="21">
        <v>230880</v>
      </c>
      <c r="D200" s="22" t="s">
        <v>86</v>
      </c>
      <c r="E200" s="23">
        <v>45043</v>
      </c>
      <c r="F200" s="24">
        <v>45017</v>
      </c>
      <c r="G200" s="44">
        <v>469530</v>
      </c>
      <c r="H200" s="26" t="s">
        <v>2030</v>
      </c>
      <c r="I200" s="34" t="s">
        <v>29</v>
      </c>
      <c r="J200" s="11"/>
      <c r="K200" s="39"/>
      <c r="L200" s="40">
        <v>45071</v>
      </c>
      <c r="M200" s="40">
        <v>45072</v>
      </c>
      <c r="N200" s="37">
        <v>469530</v>
      </c>
      <c r="O200" s="37">
        <v>0</v>
      </c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4.25" customHeight="1">
      <c r="A201" s="9">
        <v>217</v>
      </c>
      <c r="B201" s="10"/>
      <c r="C201" s="21">
        <v>230878</v>
      </c>
      <c r="D201" s="22" t="s">
        <v>86</v>
      </c>
      <c r="E201" s="23">
        <v>45044</v>
      </c>
      <c r="F201" s="24">
        <v>45017</v>
      </c>
      <c r="G201" s="44">
        <v>1311997</v>
      </c>
      <c r="H201" s="26" t="s">
        <v>2031</v>
      </c>
      <c r="I201" s="34" t="s">
        <v>29</v>
      </c>
      <c r="J201" s="11"/>
      <c r="K201" s="39"/>
      <c r="L201" s="40">
        <v>45071</v>
      </c>
      <c r="M201" s="40">
        <v>45072</v>
      </c>
      <c r="N201" s="37">
        <v>1311997</v>
      </c>
      <c r="O201" s="37">
        <v>0</v>
      </c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4.25" customHeight="1">
      <c r="A202" s="9">
        <v>218</v>
      </c>
      <c r="B202" s="10"/>
      <c r="C202" s="21">
        <v>230913</v>
      </c>
      <c r="D202" s="22" t="s">
        <v>86</v>
      </c>
      <c r="E202" s="23">
        <v>45060</v>
      </c>
      <c r="F202" s="24">
        <v>45047</v>
      </c>
      <c r="G202" s="44">
        <v>486180</v>
      </c>
      <c r="H202" s="26" t="s">
        <v>2032</v>
      </c>
      <c r="I202" s="233" t="s">
        <v>29</v>
      </c>
      <c r="J202" s="45">
        <v>16869549</v>
      </c>
      <c r="K202" s="40">
        <v>45092</v>
      </c>
      <c r="L202" s="40">
        <v>45093</v>
      </c>
      <c r="M202" s="40">
        <v>45093</v>
      </c>
      <c r="N202" s="37">
        <v>486180</v>
      </c>
      <c r="O202" s="37">
        <v>0</v>
      </c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4.25" customHeight="1">
      <c r="A203" s="9">
        <v>222</v>
      </c>
      <c r="B203" s="10"/>
      <c r="C203" s="21">
        <v>230997</v>
      </c>
      <c r="D203" s="22" t="s">
        <v>86</v>
      </c>
      <c r="E203" s="23">
        <v>45065</v>
      </c>
      <c r="F203" s="24">
        <v>45047</v>
      </c>
      <c r="G203" s="44">
        <v>3310075</v>
      </c>
      <c r="H203" s="26" t="s">
        <v>2033</v>
      </c>
      <c r="I203" s="233" t="s">
        <v>29</v>
      </c>
      <c r="J203" s="11"/>
      <c r="K203" s="39"/>
      <c r="L203" s="40">
        <v>45093</v>
      </c>
      <c r="M203" s="40">
        <v>45093</v>
      </c>
      <c r="N203" s="37">
        <v>3310075</v>
      </c>
      <c r="O203" s="37">
        <v>0</v>
      </c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4.25" customHeight="1">
      <c r="A204" s="9">
        <v>219</v>
      </c>
      <c r="B204" s="10"/>
      <c r="C204" s="21">
        <v>230998</v>
      </c>
      <c r="D204" s="22" t="s">
        <v>86</v>
      </c>
      <c r="E204" s="23">
        <v>45065</v>
      </c>
      <c r="F204" s="24">
        <v>45047</v>
      </c>
      <c r="G204" s="44">
        <v>1993421</v>
      </c>
      <c r="H204" s="26" t="s">
        <v>2034</v>
      </c>
      <c r="I204" s="233" t="s">
        <v>29</v>
      </c>
      <c r="L204" s="40">
        <v>45093</v>
      </c>
      <c r="M204" s="40">
        <v>45093</v>
      </c>
      <c r="N204" s="37">
        <v>1993421</v>
      </c>
      <c r="O204" s="37">
        <v>0</v>
      </c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4.25" customHeight="1">
      <c r="A205" s="9">
        <v>225</v>
      </c>
      <c r="B205" s="10"/>
      <c r="C205" s="21">
        <v>230999</v>
      </c>
      <c r="D205" s="22" t="s">
        <v>86</v>
      </c>
      <c r="E205" s="23">
        <v>45065</v>
      </c>
      <c r="F205" s="24">
        <v>45047</v>
      </c>
      <c r="G205" s="44">
        <v>65800</v>
      </c>
      <c r="H205" s="26" t="s">
        <v>2035</v>
      </c>
      <c r="I205" s="233" t="s">
        <v>29</v>
      </c>
      <c r="J205" s="11"/>
      <c r="K205" s="39"/>
      <c r="L205" s="40">
        <v>45093</v>
      </c>
      <c r="M205" s="40">
        <v>45093</v>
      </c>
      <c r="N205" s="37">
        <v>65800</v>
      </c>
      <c r="O205" s="37">
        <v>0</v>
      </c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4.25" customHeight="1">
      <c r="A206" s="9">
        <v>221</v>
      </c>
      <c r="B206" s="10"/>
      <c r="C206" s="21">
        <v>231000</v>
      </c>
      <c r="D206" s="22" t="s">
        <v>86</v>
      </c>
      <c r="E206" s="23">
        <v>45065</v>
      </c>
      <c r="F206" s="24">
        <v>45047</v>
      </c>
      <c r="G206" s="44">
        <v>306140</v>
      </c>
      <c r="H206" s="26" t="s">
        <v>2036</v>
      </c>
      <c r="I206" s="233" t="s">
        <v>29</v>
      </c>
      <c r="J206" s="11"/>
      <c r="K206" s="39"/>
      <c r="L206" s="40">
        <v>45093</v>
      </c>
      <c r="M206" s="40">
        <v>45093</v>
      </c>
      <c r="N206" s="37">
        <v>306140</v>
      </c>
      <c r="O206" s="37">
        <v>0</v>
      </c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4.25" customHeight="1">
      <c r="A207" s="9">
        <v>220</v>
      </c>
      <c r="B207" s="10"/>
      <c r="C207" s="21">
        <v>231004</v>
      </c>
      <c r="D207" s="22" t="s">
        <v>86</v>
      </c>
      <c r="E207" s="23">
        <v>45065</v>
      </c>
      <c r="F207" s="24">
        <v>45047</v>
      </c>
      <c r="G207" s="44">
        <v>838287</v>
      </c>
      <c r="H207" s="26" t="s">
        <v>2037</v>
      </c>
      <c r="I207" s="233" t="s">
        <v>29</v>
      </c>
      <c r="J207" s="11"/>
      <c r="K207" s="39"/>
      <c r="L207" s="40">
        <v>45093</v>
      </c>
      <c r="M207" s="40">
        <v>45093</v>
      </c>
      <c r="N207" s="37">
        <v>838287</v>
      </c>
      <c r="O207" s="37">
        <v>0</v>
      </c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4.25" customHeight="1">
      <c r="A208" s="9">
        <v>223</v>
      </c>
      <c r="B208" s="10"/>
      <c r="C208" s="21">
        <v>231005</v>
      </c>
      <c r="D208" s="22" t="s">
        <v>86</v>
      </c>
      <c r="E208" s="23">
        <v>45065</v>
      </c>
      <c r="F208" s="24">
        <v>45047</v>
      </c>
      <c r="G208" s="44">
        <v>838287</v>
      </c>
      <c r="H208" s="26" t="s">
        <v>2038</v>
      </c>
      <c r="I208" s="233" t="s">
        <v>29</v>
      </c>
      <c r="J208" s="11"/>
      <c r="K208" s="39"/>
      <c r="L208" s="40">
        <v>45093</v>
      </c>
      <c r="M208" s="40">
        <v>45093</v>
      </c>
      <c r="N208" s="37">
        <v>838287</v>
      </c>
      <c r="O208" s="37">
        <v>0</v>
      </c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4.25" customHeight="1">
      <c r="A209" s="9">
        <v>224</v>
      </c>
      <c r="B209" s="10"/>
      <c r="C209" s="21">
        <v>231006</v>
      </c>
      <c r="D209" s="22" t="s">
        <v>86</v>
      </c>
      <c r="E209" s="23">
        <v>45065</v>
      </c>
      <c r="F209" s="24">
        <v>45047</v>
      </c>
      <c r="G209" s="44">
        <v>9031359</v>
      </c>
      <c r="H209" s="26" t="s">
        <v>2039</v>
      </c>
      <c r="I209" s="233" t="s">
        <v>29</v>
      </c>
      <c r="J209" s="11"/>
      <c r="K209" s="39"/>
      <c r="L209" s="40">
        <v>45093</v>
      </c>
      <c r="M209" s="40">
        <v>45093</v>
      </c>
      <c r="N209" s="37">
        <v>9031359</v>
      </c>
      <c r="O209" s="37">
        <v>0</v>
      </c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4.25" customHeight="1">
      <c r="A210" s="9">
        <v>227</v>
      </c>
      <c r="B210" s="10"/>
      <c r="C210" s="21">
        <v>231079</v>
      </c>
      <c r="D210" s="22" t="s">
        <v>86</v>
      </c>
      <c r="E210" s="23">
        <v>45065</v>
      </c>
      <c r="F210" s="24">
        <v>45047</v>
      </c>
      <c r="G210" s="25">
        <v>2107439</v>
      </c>
      <c r="H210" s="26" t="s">
        <v>2040</v>
      </c>
      <c r="I210" s="233" t="s">
        <v>29</v>
      </c>
      <c r="J210" s="11"/>
      <c r="K210" s="39"/>
      <c r="L210" s="40">
        <v>45105</v>
      </c>
      <c r="M210" s="40">
        <v>45106</v>
      </c>
      <c r="N210" s="37">
        <v>2107439</v>
      </c>
      <c r="O210" s="37">
        <v>0</v>
      </c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4.25" customHeight="1">
      <c r="A211" s="9">
        <v>229</v>
      </c>
      <c r="B211" s="10"/>
      <c r="C211" s="21">
        <v>230995</v>
      </c>
      <c r="D211" s="22" t="s">
        <v>86</v>
      </c>
      <c r="E211" s="23">
        <v>45066</v>
      </c>
      <c r="F211" s="24">
        <v>45047</v>
      </c>
      <c r="G211" s="25">
        <v>82584</v>
      </c>
      <c r="H211" s="26" t="s">
        <v>2041</v>
      </c>
      <c r="I211" s="233" t="s">
        <v>29</v>
      </c>
      <c r="J211" s="11"/>
      <c r="K211" s="39"/>
      <c r="L211" s="40">
        <v>45105</v>
      </c>
      <c r="M211" s="40">
        <v>45106</v>
      </c>
      <c r="N211" s="37">
        <v>82584</v>
      </c>
      <c r="O211" s="37">
        <v>0</v>
      </c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4.25" customHeight="1">
      <c r="A212" s="9">
        <v>230</v>
      </c>
      <c r="B212" s="10"/>
      <c r="C212" s="21">
        <v>231001</v>
      </c>
      <c r="D212" s="22" t="s">
        <v>86</v>
      </c>
      <c r="E212" s="23">
        <v>45066</v>
      </c>
      <c r="F212" s="24">
        <v>45047</v>
      </c>
      <c r="G212" s="25">
        <v>1165500</v>
      </c>
      <c r="H212" s="26" t="s">
        <v>2042</v>
      </c>
      <c r="I212" s="233" t="s">
        <v>29</v>
      </c>
      <c r="J212" s="11"/>
      <c r="K212" s="39"/>
      <c r="L212" s="40">
        <v>45105</v>
      </c>
      <c r="M212" s="40">
        <v>45106</v>
      </c>
      <c r="N212" s="37">
        <v>1165500</v>
      </c>
      <c r="O212" s="37">
        <v>0</v>
      </c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4.25" customHeight="1">
      <c r="A213" s="9">
        <v>226</v>
      </c>
      <c r="B213" s="10"/>
      <c r="C213" s="21">
        <v>231002</v>
      </c>
      <c r="D213" s="22" t="s">
        <v>86</v>
      </c>
      <c r="E213" s="23">
        <v>45066</v>
      </c>
      <c r="F213" s="24">
        <v>45047</v>
      </c>
      <c r="G213" s="25">
        <v>1465799</v>
      </c>
      <c r="H213" s="26" t="s">
        <v>2043</v>
      </c>
      <c r="I213" s="233" t="s">
        <v>29</v>
      </c>
      <c r="J213" s="35">
        <v>13575930</v>
      </c>
      <c r="K213" s="40">
        <v>45102</v>
      </c>
      <c r="L213" s="40">
        <v>45105</v>
      </c>
      <c r="M213" s="40">
        <v>45106</v>
      </c>
      <c r="N213" s="37">
        <v>1465799</v>
      </c>
      <c r="O213" s="37">
        <v>0</v>
      </c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4.25" customHeight="1">
      <c r="A214" s="9">
        <v>228</v>
      </c>
      <c r="B214" s="10"/>
      <c r="C214" s="21">
        <v>231003</v>
      </c>
      <c r="D214" s="22" t="s">
        <v>86</v>
      </c>
      <c r="E214" s="23">
        <v>45066</v>
      </c>
      <c r="F214" s="24">
        <v>45047</v>
      </c>
      <c r="G214" s="25">
        <v>1311997</v>
      </c>
      <c r="H214" s="26" t="s">
        <v>2044</v>
      </c>
      <c r="I214" s="233" t="s">
        <v>29</v>
      </c>
      <c r="J214" s="11"/>
      <c r="K214" s="39"/>
      <c r="L214" s="40">
        <v>45105</v>
      </c>
      <c r="M214" s="40">
        <v>45106</v>
      </c>
      <c r="N214" s="37">
        <v>1311997</v>
      </c>
      <c r="O214" s="37">
        <v>0</v>
      </c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4.25" customHeight="1">
      <c r="A215" s="9">
        <v>231</v>
      </c>
      <c r="B215" s="10"/>
      <c r="C215" s="21">
        <v>231012</v>
      </c>
      <c r="D215" s="22" t="s">
        <v>86</v>
      </c>
      <c r="E215" s="23">
        <v>45068</v>
      </c>
      <c r="F215" s="24">
        <v>45047</v>
      </c>
      <c r="G215" s="25">
        <v>1367520</v>
      </c>
      <c r="H215" s="26" t="s">
        <v>2045</v>
      </c>
      <c r="I215" s="233" t="s">
        <v>29</v>
      </c>
      <c r="J215" s="11"/>
      <c r="K215" s="39"/>
      <c r="L215" s="40">
        <v>45105</v>
      </c>
      <c r="M215" s="40">
        <v>45106</v>
      </c>
      <c r="N215" s="37">
        <v>1367520</v>
      </c>
      <c r="O215" s="37">
        <v>0</v>
      </c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4.25" customHeight="1">
      <c r="A216" s="9">
        <v>232</v>
      </c>
      <c r="B216" s="10"/>
      <c r="C216" s="21">
        <v>231020</v>
      </c>
      <c r="D216" s="22" t="s">
        <v>86</v>
      </c>
      <c r="E216" s="23">
        <v>45070</v>
      </c>
      <c r="F216" s="24">
        <v>45047</v>
      </c>
      <c r="G216" s="25">
        <v>165168</v>
      </c>
      <c r="H216" s="26" t="s">
        <v>2046</v>
      </c>
      <c r="I216" s="233" t="s">
        <v>29</v>
      </c>
      <c r="J216" s="11"/>
      <c r="K216" s="39"/>
      <c r="L216" s="40">
        <v>45105</v>
      </c>
      <c r="M216" s="40">
        <v>45106</v>
      </c>
      <c r="N216" s="37">
        <v>165168</v>
      </c>
      <c r="O216" s="37">
        <v>0</v>
      </c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4.25" customHeight="1">
      <c r="A217" s="9">
        <v>234</v>
      </c>
      <c r="B217" s="10"/>
      <c r="C217" s="21">
        <v>231021</v>
      </c>
      <c r="D217" s="22" t="s">
        <v>86</v>
      </c>
      <c r="E217" s="23">
        <v>45070</v>
      </c>
      <c r="F217" s="24">
        <v>45047</v>
      </c>
      <c r="G217" s="25">
        <v>1022498</v>
      </c>
      <c r="H217" s="26" t="s">
        <v>2047</v>
      </c>
      <c r="I217" s="233" t="s">
        <v>29</v>
      </c>
      <c r="J217" s="11"/>
      <c r="K217" s="39"/>
      <c r="L217" s="40">
        <v>45105</v>
      </c>
      <c r="M217" s="40">
        <v>45106</v>
      </c>
      <c r="N217" s="37">
        <v>1022498</v>
      </c>
      <c r="O217" s="37">
        <v>0</v>
      </c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4.25" customHeight="1">
      <c r="A218" s="9">
        <v>233</v>
      </c>
      <c r="B218" s="10"/>
      <c r="C218" s="21">
        <v>231022</v>
      </c>
      <c r="D218" s="22" t="s">
        <v>86</v>
      </c>
      <c r="E218" s="23">
        <v>45070</v>
      </c>
      <c r="F218" s="24">
        <v>45047</v>
      </c>
      <c r="G218" s="25">
        <v>265385</v>
      </c>
      <c r="H218" s="26" t="s">
        <v>2048</v>
      </c>
      <c r="I218" s="233" t="s">
        <v>29</v>
      </c>
      <c r="J218" s="11"/>
      <c r="K218" s="39"/>
      <c r="L218" s="40">
        <v>45105</v>
      </c>
      <c r="M218" s="40">
        <v>45106</v>
      </c>
      <c r="N218" s="37">
        <v>265385</v>
      </c>
      <c r="O218" s="37">
        <v>0</v>
      </c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4.25" customHeight="1">
      <c r="A219" s="9">
        <v>235</v>
      </c>
      <c r="B219" s="10"/>
      <c r="C219" s="21">
        <v>231040</v>
      </c>
      <c r="D219" s="22" t="s">
        <v>86</v>
      </c>
      <c r="E219" s="23">
        <v>45072</v>
      </c>
      <c r="F219" s="24">
        <v>45047</v>
      </c>
      <c r="G219" s="25">
        <v>626040</v>
      </c>
      <c r="H219" s="26" t="s">
        <v>2049</v>
      </c>
      <c r="I219" s="233" t="s">
        <v>29</v>
      </c>
      <c r="J219" s="11"/>
      <c r="K219" s="39"/>
      <c r="L219" s="40">
        <v>45105</v>
      </c>
      <c r="M219" s="40">
        <v>45106</v>
      </c>
      <c r="N219" s="37">
        <v>626040</v>
      </c>
      <c r="O219" s="37">
        <v>0</v>
      </c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4.25" customHeight="1">
      <c r="A220" s="9">
        <v>236</v>
      </c>
      <c r="B220" s="10"/>
      <c r="C220" s="21">
        <v>231041</v>
      </c>
      <c r="D220" s="22" t="s">
        <v>86</v>
      </c>
      <c r="E220" s="23">
        <v>45072</v>
      </c>
      <c r="F220" s="24">
        <v>45047</v>
      </c>
      <c r="G220" s="25">
        <v>3996000</v>
      </c>
      <c r="H220" s="26" t="s">
        <v>2050</v>
      </c>
      <c r="I220" s="233" t="s">
        <v>29</v>
      </c>
      <c r="J220" s="11"/>
      <c r="K220" s="39"/>
      <c r="L220" s="40">
        <v>45105</v>
      </c>
      <c r="M220" s="40">
        <v>45106</v>
      </c>
      <c r="N220" s="37">
        <v>3996000</v>
      </c>
      <c r="O220" s="37">
        <v>0</v>
      </c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4.25" customHeight="1">
      <c r="A221" s="9">
        <v>240</v>
      </c>
      <c r="B221" s="10"/>
      <c r="C221" s="21">
        <v>231044</v>
      </c>
      <c r="D221" s="22" t="s">
        <v>86</v>
      </c>
      <c r="E221" s="23">
        <v>45073</v>
      </c>
      <c r="F221" s="24">
        <v>45047</v>
      </c>
      <c r="G221" s="25">
        <v>3956406</v>
      </c>
      <c r="H221" s="26" t="s">
        <v>2051</v>
      </c>
      <c r="I221" s="233" t="s">
        <v>29</v>
      </c>
      <c r="J221" s="11"/>
      <c r="K221" s="39"/>
      <c r="L221" s="40">
        <v>45117</v>
      </c>
      <c r="M221" s="40">
        <v>45117</v>
      </c>
      <c r="N221" s="37">
        <v>3956406</v>
      </c>
      <c r="O221" s="37">
        <v>0</v>
      </c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4.25" customHeight="1">
      <c r="A222" s="9">
        <v>238</v>
      </c>
      <c r="B222" s="10"/>
      <c r="C222" s="21">
        <v>231089</v>
      </c>
      <c r="D222" s="22" t="s">
        <v>86</v>
      </c>
      <c r="E222" s="23">
        <v>45073</v>
      </c>
      <c r="F222" s="24">
        <v>45047</v>
      </c>
      <c r="G222" s="25">
        <v>469530</v>
      </c>
      <c r="H222" s="26" t="s">
        <v>2052</v>
      </c>
      <c r="I222" s="233" t="s">
        <v>29</v>
      </c>
      <c r="J222" s="11"/>
      <c r="K222" s="39"/>
      <c r="L222" s="40">
        <v>45117</v>
      </c>
      <c r="M222" s="40">
        <v>45117</v>
      </c>
      <c r="N222" s="37">
        <v>469530</v>
      </c>
      <c r="O222" s="37">
        <v>0</v>
      </c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4.25" customHeight="1">
      <c r="A223" s="9">
        <v>237</v>
      </c>
      <c r="B223" s="10"/>
      <c r="C223" s="21">
        <v>231090</v>
      </c>
      <c r="D223" s="22" t="s">
        <v>86</v>
      </c>
      <c r="E223" s="23">
        <v>45073</v>
      </c>
      <c r="F223" s="24">
        <v>45047</v>
      </c>
      <c r="G223" s="25">
        <v>706404</v>
      </c>
      <c r="H223" s="26" t="s">
        <v>2053</v>
      </c>
      <c r="I223" s="233" t="s">
        <v>29</v>
      </c>
      <c r="J223" s="35">
        <v>41920137</v>
      </c>
      <c r="K223" s="36">
        <v>45117</v>
      </c>
      <c r="L223" s="40">
        <v>45117</v>
      </c>
      <c r="M223" s="40">
        <v>45117</v>
      </c>
      <c r="N223" s="37">
        <v>706404</v>
      </c>
      <c r="O223" s="37">
        <v>0</v>
      </c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4.25" customHeight="1">
      <c r="A224" s="9">
        <v>239</v>
      </c>
      <c r="B224" s="10"/>
      <c r="C224" s="21">
        <v>231091</v>
      </c>
      <c r="D224" s="22" t="s">
        <v>86</v>
      </c>
      <c r="E224" s="23">
        <v>45073</v>
      </c>
      <c r="F224" s="24">
        <v>45047</v>
      </c>
      <c r="G224" s="25">
        <v>2931598</v>
      </c>
      <c r="H224" s="26" t="s">
        <v>2054</v>
      </c>
      <c r="I224" s="233" t="s">
        <v>29</v>
      </c>
      <c r="J224" s="11"/>
      <c r="K224" s="39"/>
      <c r="L224" s="40">
        <v>45117</v>
      </c>
      <c r="M224" s="40">
        <v>45117</v>
      </c>
      <c r="N224" s="37">
        <v>2931598</v>
      </c>
      <c r="O224" s="37">
        <v>0</v>
      </c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4.25" customHeight="1">
      <c r="A225" s="9">
        <v>241</v>
      </c>
      <c r="B225" s="10"/>
      <c r="C225" s="21">
        <v>231077</v>
      </c>
      <c r="D225" s="22" t="s">
        <v>86</v>
      </c>
      <c r="E225" s="23">
        <v>45075</v>
      </c>
      <c r="F225" s="24">
        <v>45047</v>
      </c>
      <c r="G225" s="25">
        <v>511854</v>
      </c>
      <c r="H225" s="26" t="s">
        <v>2055</v>
      </c>
      <c r="I225" s="233" t="s">
        <v>29</v>
      </c>
      <c r="J225" s="11"/>
      <c r="K225" s="39"/>
      <c r="L225" s="40">
        <v>45117</v>
      </c>
      <c r="M225" s="40">
        <v>45117</v>
      </c>
      <c r="N225" s="37">
        <v>511854</v>
      </c>
      <c r="O225" s="37">
        <v>0</v>
      </c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4.25" customHeight="1">
      <c r="A226" s="9">
        <v>242</v>
      </c>
      <c r="B226" s="10"/>
      <c r="C226" s="21">
        <v>231078</v>
      </c>
      <c r="D226" s="22" t="s">
        <v>86</v>
      </c>
      <c r="E226" s="23">
        <v>45075</v>
      </c>
      <c r="F226" s="24">
        <v>45047</v>
      </c>
      <c r="G226" s="25">
        <v>117999</v>
      </c>
      <c r="H226" s="26" t="s">
        <v>2056</v>
      </c>
      <c r="I226" s="233" t="s">
        <v>29</v>
      </c>
      <c r="J226" s="11"/>
      <c r="K226" s="39"/>
      <c r="L226" s="40">
        <v>45117</v>
      </c>
      <c r="M226" s="40">
        <v>45117</v>
      </c>
      <c r="N226" s="37">
        <v>117999</v>
      </c>
      <c r="O226" s="37">
        <v>0</v>
      </c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4.25" customHeight="1">
      <c r="A227" s="9">
        <v>243</v>
      </c>
      <c r="B227" s="10"/>
      <c r="C227" s="21">
        <v>231082</v>
      </c>
      <c r="D227" s="22" t="s">
        <v>86</v>
      </c>
      <c r="E227" s="23">
        <v>45079</v>
      </c>
      <c r="F227" s="24">
        <v>45078</v>
      </c>
      <c r="G227" s="25">
        <v>664335</v>
      </c>
      <c r="H227" s="26" t="s">
        <v>2057</v>
      </c>
      <c r="I227" s="233" t="s">
        <v>29</v>
      </c>
      <c r="J227" s="11"/>
      <c r="K227" s="39"/>
      <c r="L227" s="40">
        <v>45117</v>
      </c>
      <c r="M227" s="40">
        <v>45117</v>
      </c>
      <c r="N227" s="37">
        <v>664335</v>
      </c>
      <c r="O227" s="37">
        <v>0</v>
      </c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4.25" customHeight="1">
      <c r="A228" s="9">
        <v>244</v>
      </c>
      <c r="B228" s="10"/>
      <c r="C228" s="21">
        <v>231083</v>
      </c>
      <c r="D228" s="22" t="s">
        <v>86</v>
      </c>
      <c r="E228" s="23">
        <v>45079</v>
      </c>
      <c r="F228" s="24">
        <v>45078</v>
      </c>
      <c r="G228" s="25">
        <v>3387093</v>
      </c>
      <c r="H228" s="26" t="s">
        <v>2058</v>
      </c>
      <c r="I228" s="233" t="s">
        <v>29</v>
      </c>
      <c r="J228" s="11"/>
      <c r="K228" s="39"/>
      <c r="L228" s="40">
        <v>45117</v>
      </c>
      <c r="M228" s="40">
        <v>45117</v>
      </c>
      <c r="N228" s="37">
        <v>3387093</v>
      </c>
      <c r="O228" s="37">
        <v>0</v>
      </c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4.25" customHeight="1">
      <c r="A229" s="9">
        <v>245</v>
      </c>
      <c r="B229" s="10"/>
      <c r="C229" s="21">
        <v>231103</v>
      </c>
      <c r="D229" s="22" t="s">
        <v>86</v>
      </c>
      <c r="E229" s="23">
        <v>45079</v>
      </c>
      <c r="F229" s="24">
        <v>45078</v>
      </c>
      <c r="G229" s="25">
        <v>2049273</v>
      </c>
      <c r="H229" s="26" t="s">
        <v>2059</v>
      </c>
      <c r="I229" s="233" t="s">
        <v>29</v>
      </c>
      <c r="J229" s="11"/>
      <c r="K229" s="39"/>
      <c r="L229" s="40">
        <v>45117</v>
      </c>
      <c r="M229" s="40">
        <v>45117</v>
      </c>
      <c r="N229" s="37">
        <v>2049273</v>
      </c>
      <c r="O229" s="37">
        <v>0</v>
      </c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4.25" customHeight="1">
      <c r="A230" s="9">
        <v>246</v>
      </c>
      <c r="B230" s="10"/>
      <c r="C230" s="21">
        <v>231104</v>
      </c>
      <c r="D230" s="22" t="s">
        <v>86</v>
      </c>
      <c r="E230" s="23">
        <v>45080</v>
      </c>
      <c r="F230" s="24">
        <v>45078</v>
      </c>
      <c r="G230" s="25">
        <v>247752</v>
      </c>
      <c r="H230" s="26" t="s">
        <v>2060</v>
      </c>
      <c r="I230" s="233" t="s">
        <v>29</v>
      </c>
      <c r="J230" s="11"/>
      <c r="K230" s="39"/>
      <c r="L230" s="40">
        <v>45117</v>
      </c>
      <c r="M230" s="40">
        <v>45117</v>
      </c>
      <c r="N230" s="37">
        <v>247752</v>
      </c>
      <c r="O230" s="37">
        <v>0</v>
      </c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4.25" customHeight="1">
      <c r="A231" s="9">
        <v>247</v>
      </c>
      <c r="B231" s="10"/>
      <c r="C231" s="21">
        <v>231105</v>
      </c>
      <c r="D231" s="22" t="s">
        <v>86</v>
      </c>
      <c r="E231" s="23">
        <v>45080</v>
      </c>
      <c r="F231" s="24">
        <v>45078</v>
      </c>
      <c r="G231" s="25">
        <v>394124</v>
      </c>
      <c r="H231" s="26" t="s">
        <v>2061</v>
      </c>
      <c r="I231" s="233" t="s">
        <v>29</v>
      </c>
      <c r="J231" s="11"/>
      <c r="K231" s="39"/>
      <c r="L231" s="40">
        <v>45117</v>
      </c>
      <c r="M231" s="40">
        <v>45117</v>
      </c>
      <c r="N231" s="37">
        <v>394124</v>
      </c>
      <c r="O231" s="37">
        <v>0</v>
      </c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4.25" customHeight="1">
      <c r="A232" s="9">
        <v>248</v>
      </c>
      <c r="B232" s="10"/>
      <c r="C232" s="21">
        <v>231114</v>
      </c>
      <c r="D232" s="22" t="s">
        <v>86</v>
      </c>
      <c r="E232" s="23">
        <v>45083</v>
      </c>
      <c r="F232" s="24">
        <v>45078</v>
      </c>
      <c r="G232" s="25">
        <v>236596</v>
      </c>
      <c r="H232" s="26" t="s">
        <v>2062</v>
      </c>
      <c r="I232" s="233" t="s">
        <v>29</v>
      </c>
      <c r="J232" s="11"/>
      <c r="K232" s="39"/>
      <c r="L232" s="40">
        <v>45117</v>
      </c>
      <c r="M232" s="40">
        <v>45117</v>
      </c>
      <c r="N232" s="37">
        <v>236596</v>
      </c>
      <c r="O232" s="37">
        <v>0</v>
      </c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4.25" customHeight="1">
      <c r="A233" s="9">
        <v>249</v>
      </c>
      <c r="B233" s="10"/>
      <c r="C233" s="21">
        <v>231138</v>
      </c>
      <c r="D233" s="22" t="s">
        <v>86</v>
      </c>
      <c r="E233" s="23">
        <v>45084</v>
      </c>
      <c r="F233" s="24">
        <v>45078</v>
      </c>
      <c r="G233" s="25">
        <v>10378344</v>
      </c>
      <c r="H233" s="26" t="s">
        <v>2063</v>
      </c>
      <c r="I233" s="233" t="s">
        <v>29</v>
      </c>
      <c r="J233" s="11"/>
      <c r="K233" s="39"/>
      <c r="L233" s="40">
        <v>45117</v>
      </c>
      <c r="M233" s="40">
        <v>45117</v>
      </c>
      <c r="N233" s="37">
        <v>10378344</v>
      </c>
      <c r="O233" s="37">
        <v>0</v>
      </c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4.25" customHeight="1">
      <c r="A234" s="9">
        <v>251</v>
      </c>
      <c r="B234" s="10"/>
      <c r="C234" s="21">
        <v>231134</v>
      </c>
      <c r="D234" s="22" t="s">
        <v>86</v>
      </c>
      <c r="E234" s="23">
        <v>45087</v>
      </c>
      <c r="F234" s="24">
        <v>45078</v>
      </c>
      <c r="G234" s="25">
        <v>10290033</v>
      </c>
      <c r="H234" s="26" t="s">
        <v>2064</v>
      </c>
      <c r="I234" s="233" t="s">
        <v>29</v>
      </c>
      <c r="J234" s="11"/>
      <c r="K234" s="39"/>
      <c r="L234" s="40">
        <v>45117</v>
      </c>
      <c r="M234" s="40">
        <v>45117</v>
      </c>
      <c r="N234" s="37">
        <v>10290033</v>
      </c>
      <c r="O234" s="37">
        <v>0</v>
      </c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4.25" customHeight="1">
      <c r="A235" s="9">
        <v>250</v>
      </c>
      <c r="B235" s="10"/>
      <c r="C235" s="21">
        <v>231135</v>
      </c>
      <c r="D235" s="22" t="s">
        <v>86</v>
      </c>
      <c r="E235" s="23">
        <v>45087</v>
      </c>
      <c r="F235" s="24">
        <v>45078</v>
      </c>
      <c r="G235" s="25">
        <v>424725</v>
      </c>
      <c r="H235" s="26" t="s">
        <v>2065</v>
      </c>
      <c r="I235" s="233" t="s">
        <v>29</v>
      </c>
      <c r="J235" s="11"/>
      <c r="K235" s="39"/>
      <c r="L235" s="40">
        <v>45117</v>
      </c>
      <c r="M235" s="40">
        <v>45117</v>
      </c>
      <c r="N235" s="37">
        <v>424725</v>
      </c>
      <c r="O235" s="37">
        <v>0</v>
      </c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4.25" customHeight="1">
      <c r="A236" s="9">
        <v>252</v>
      </c>
      <c r="B236" s="10"/>
      <c r="C236" s="21">
        <v>231162</v>
      </c>
      <c r="D236" s="22" t="s">
        <v>86</v>
      </c>
      <c r="E236" s="23">
        <v>45089</v>
      </c>
      <c r="F236" s="24">
        <v>45078</v>
      </c>
      <c r="G236" s="25">
        <v>3956406</v>
      </c>
      <c r="H236" s="26" t="s">
        <v>2066</v>
      </c>
      <c r="I236" s="233" t="s">
        <v>29</v>
      </c>
      <c r="J236" s="11"/>
      <c r="K236" s="39"/>
      <c r="L236" s="40">
        <v>45117</v>
      </c>
      <c r="M236" s="40">
        <v>45117</v>
      </c>
      <c r="N236" s="37">
        <v>3956406</v>
      </c>
      <c r="O236" s="37">
        <v>0</v>
      </c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4.25" customHeight="1">
      <c r="A237" s="9">
        <v>253</v>
      </c>
      <c r="B237" s="10"/>
      <c r="C237" s="21">
        <v>231163</v>
      </c>
      <c r="D237" s="22" t="s">
        <v>86</v>
      </c>
      <c r="E237" s="23">
        <v>45089</v>
      </c>
      <c r="F237" s="24">
        <v>45078</v>
      </c>
      <c r="G237" s="25">
        <v>257514</v>
      </c>
      <c r="H237" s="26" t="s">
        <v>2067</v>
      </c>
      <c r="I237" s="233" t="s">
        <v>29</v>
      </c>
      <c r="J237" s="11"/>
      <c r="K237" s="39"/>
      <c r="L237" s="40">
        <v>45117</v>
      </c>
      <c r="M237" s="40">
        <v>45117</v>
      </c>
      <c r="N237" s="37">
        <v>257514</v>
      </c>
      <c r="O237" s="37">
        <v>0</v>
      </c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4.25" customHeight="1">
      <c r="A238" s="9">
        <v>254</v>
      </c>
      <c r="B238" s="10"/>
      <c r="C238" s="21">
        <v>231166</v>
      </c>
      <c r="D238" s="22" t="s">
        <v>86</v>
      </c>
      <c r="E238" s="23">
        <v>45091</v>
      </c>
      <c r="F238" s="24">
        <v>45078</v>
      </c>
      <c r="G238" s="25">
        <v>498371</v>
      </c>
      <c r="H238" s="26" t="s">
        <v>2068</v>
      </c>
      <c r="I238" s="233" t="s">
        <v>29</v>
      </c>
      <c r="J238" s="11"/>
      <c r="K238" s="39"/>
      <c r="L238" s="40">
        <v>45117</v>
      </c>
      <c r="M238" s="40">
        <v>45117</v>
      </c>
      <c r="N238" s="37">
        <v>498371</v>
      </c>
      <c r="O238" s="37">
        <v>0</v>
      </c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4.25" customHeight="1">
      <c r="A239" s="9">
        <v>255</v>
      </c>
      <c r="B239" s="10"/>
      <c r="C239" s="21">
        <v>231203</v>
      </c>
      <c r="D239" s="22" t="s">
        <v>86</v>
      </c>
      <c r="E239" s="23">
        <v>45092</v>
      </c>
      <c r="F239" s="24">
        <v>45078</v>
      </c>
      <c r="G239" s="25">
        <v>360750</v>
      </c>
      <c r="H239" s="26" t="s">
        <v>2069</v>
      </c>
      <c r="I239" s="233" t="s">
        <v>29</v>
      </c>
      <c r="J239" s="11"/>
      <c r="K239" s="39"/>
      <c r="L239" s="40">
        <v>45117</v>
      </c>
      <c r="M239" s="40">
        <v>45117</v>
      </c>
      <c r="N239" s="37">
        <v>360750</v>
      </c>
      <c r="O239" s="37">
        <v>0</v>
      </c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4.25" customHeight="1">
      <c r="A240" s="9">
        <v>256</v>
      </c>
      <c r="B240" s="10"/>
      <c r="C240" s="21">
        <v>231204</v>
      </c>
      <c r="D240" s="22" t="s">
        <v>86</v>
      </c>
      <c r="E240" s="23">
        <v>45092</v>
      </c>
      <c r="F240" s="24">
        <v>45078</v>
      </c>
      <c r="G240" s="25">
        <v>81030</v>
      </c>
      <c r="H240" s="26" t="s">
        <v>2070</v>
      </c>
      <c r="I240" s="233" t="s">
        <v>29</v>
      </c>
      <c r="J240" s="11"/>
      <c r="K240" s="39"/>
      <c r="L240" s="40">
        <v>45117</v>
      </c>
      <c r="M240" s="40">
        <v>45117</v>
      </c>
      <c r="N240" s="37">
        <v>81030</v>
      </c>
      <c r="O240" s="37">
        <v>0</v>
      </c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4.25" customHeight="1">
      <c r="A241" s="9">
        <v>259</v>
      </c>
      <c r="B241" s="10"/>
      <c r="C241" s="21">
        <v>231200</v>
      </c>
      <c r="D241" s="22" t="s">
        <v>86</v>
      </c>
      <c r="E241" s="23">
        <v>45093</v>
      </c>
      <c r="F241" s="24">
        <v>45078</v>
      </c>
      <c r="G241" s="25">
        <v>221861</v>
      </c>
      <c r="H241" s="26" t="s">
        <v>2071</v>
      </c>
      <c r="I241" s="233" t="s">
        <v>29</v>
      </c>
      <c r="J241" s="11"/>
      <c r="K241" s="39"/>
      <c r="L241" s="40">
        <v>45148</v>
      </c>
      <c r="M241" s="40">
        <v>45148</v>
      </c>
      <c r="N241" s="37">
        <v>221861</v>
      </c>
      <c r="O241" s="37">
        <v>0</v>
      </c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4.25" customHeight="1">
      <c r="A242" s="9">
        <v>258</v>
      </c>
      <c r="B242" s="10"/>
      <c r="C242" s="21">
        <v>231201</v>
      </c>
      <c r="D242" s="22" t="s">
        <v>86</v>
      </c>
      <c r="E242" s="23">
        <v>45093</v>
      </c>
      <c r="F242" s="24">
        <v>45078</v>
      </c>
      <c r="G242" s="25">
        <v>596516</v>
      </c>
      <c r="H242" s="26" t="s">
        <v>2072</v>
      </c>
      <c r="I242" s="233" t="s">
        <v>29</v>
      </c>
      <c r="J242" s="11"/>
      <c r="K242" s="39"/>
      <c r="L242" s="40">
        <v>45148</v>
      </c>
      <c r="M242" s="40">
        <v>45148</v>
      </c>
      <c r="N242" s="37">
        <v>596516</v>
      </c>
      <c r="O242" s="37">
        <v>0</v>
      </c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4.25" customHeight="1">
      <c r="A243" s="9">
        <v>257</v>
      </c>
      <c r="B243" s="10"/>
      <c r="C243" s="21">
        <v>231202</v>
      </c>
      <c r="D243" s="22" t="s">
        <v>86</v>
      </c>
      <c r="E243" s="23">
        <v>45093</v>
      </c>
      <c r="F243" s="24">
        <v>45078</v>
      </c>
      <c r="G243" s="25">
        <v>11276334</v>
      </c>
      <c r="H243" s="26" t="s">
        <v>2073</v>
      </c>
      <c r="I243" s="233" t="s">
        <v>29</v>
      </c>
      <c r="J243" s="35">
        <v>46917846</v>
      </c>
      <c r="K243" s="36">
        <v>45148</v>
      </c>
      <c r="L243" s="40">
        <v>45148</v>
      </c>
      <c r="M243" s="40">
        <v>45148</v>
      </c>
      <c r="N243" s="37">
        <v>11276334</v>
      </c>
      <c r="O243" s="37">
        <v>0</v>
      </c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4.25" customHeight="1">
      <c r="A244" s="9">
        <v>264</v>
      </c>
      <c r="B244" s="10"/>
      <c r="C244" s="21">
        <v>231235</v>
      </c>
      <c r="D244" s="22" t="s">
        <v>86</v>
      </c>
      <c r="E244" s="23">
        <v>45100</v>
      </c>
      <c r="F244" s="24">
        <v>45078</v>
      </c>
      <c r="G244" s="25">
        <v>802141</v>
      </c>
      <c r="H244" s="26" t="s">
        <v>2074</v>
      </c>
      <c r="I244" s="233" t="s">
        <v>29</v>
      </c>
      <c r="J244" s="11"/>
      <c r="K244" s="39"/>
      <c r="L244" s="40">
        <v>45148</v>
      </c>
      <c r="M244" s="40">
        <v>45148</v>
      </c>
      <c r="N244" s="37">
        <v>802141</v>
      </c>
      <c r="O244" s="37">
        <v>0</v>
      </c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4.25" customHeight="1">
      <c r="A245" s="9">
        <v>262</v>
      </c>
      <c r="B245" s="10"/>
      <c r="C245" s="21">
        <v>231236</v>
      </c>
      <c r="D245" s="22" t="s">
        <v>86</v>
      </c>
      <c r="E245" s="23">
        <v>45100</v>
      </c>
      <c r="F245" s="24">
        <v>45078</v>
      </c>
      <c r="G245" s="25">
        <v>62841</v>
      </c>
      <c r="H245" s="26" t="s">
        <v>2075</v>
      </c>
      <c r="I245" s="233" t="s">
        <v>29</v>
      </c>
      <c r="J245" s="11"/>
      <c r="K245" s="39"/>
      <c r="L245" s="40">
        <v>45148</v>
      </c>
      <c r="M245" s="40">
        <v>45148</v>
      </c>
      <c r="N245" s="37">
        <v>62841</v>
      </c>
      <c r="O245" s="37">
        <v>0</v>
      </c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4.25" customHeight="1">
      <c r="A246" s="9">
        <v>263</v>
      </c>
      <c r="B246" s="10"/>
      <c r="C246" s="21">
        <v>231237</v>
      </c>
      <c r="D246" s="22" t="s">
        <v>86</v>
      </c>
      <c r="E246" s="23">
        <v>45100</v>
      </c>
      <c r="F246" s="24">
        <v>45078</v>
      </c>
      <c r="G246" s="25">
        <v>377801</v>
      </c>
      <c r="H246" s="26" t="s">
        <v>2076</v>
      </c>
      <c r="I246" s="233" t="s">
        <v>29</v>
      </c>
      <c r="J246" s="11"/>
      <c r="K246" s="39"/>
      <c r="L246" s="40">
        <v>45148</v>
      </c>
      <c r="M246" s="40">
        <v>45148</v>
      </c>
      <c r="N246" s="37">
        <v>377801</v>
      </c>
      <c r="O246" s="37">
        <v>0</v>
      </c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4.25" customHeight="1">
      <c r="A247" s="9">
        <v>265</v>
      </c>
      <c r="B247" s="10"/>
      <c r="C247" s="21">
        <v>231238</v>
      </c>
      <c r="D247" s="22" t="s">
        <v>86</v>
      </c>
      <c r="E247" s="23">
        <v>45100</v>
      </c>
      <c r="F247" s="24">
        <v>45078</v>
      </c>
      <c r="G247" s="25">
        <v>2244975</v>
      </c>
      <c r="H247" s="26" t="s">
        <v>2077</v>
      </c>
      <c r="I247" s="233" t="s">
        <v>29</v>
      </c>
      <c r="J247" s="11"/>
      <c r="K247" s="39"/>
      <c r="L247" s="40">
        <v>45148</v>
      </c>
      <c r="M247" s="40">
        <v>45148</v>
      </c>
      <c r="N247" s="37">
        <v>2244975</v>
      </c>
      <c r="O247" s="37">
        <v>0</v>
      </c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4.25" customHeight="1">
      <c r="A248" s="9">
        <v>260</v>
      </c>
      <c r="B248" s="10"/>
      <c r="C248" s="21">
        <v>231239</v>
      </c>
      <c r="D248" s="22" t="s">
        <v>86</v>
      </c>
      <c r="E248" s="23">
        <v>45100</v>
      </c>
      <c r="F248" s="24">
        <v>45078</v>
      </c>
      <c r="G248" s="25">
        <v>469530</v>
      </c>
      <c r="H248" s="26" t="s">
        <v>2078</v>
      </c>
      <c r="I248" s="233" t="s">
        <v>29</v>
      </c>
      <c r="J248" s="11"/>
      <c r="K248" s="39"/>
      <c r="L248" s="40">
        <v>45148</v>
      </c>
      <c r="M248" s="40">
        <v>45148</v>
      </c>
      <c r="N248" s="37">
        <v>469530</v>
      </c>
      <c r="O248" s="37">
        <v>0</v>
      </c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4.25" customHeight="1">
      <c r="A249" s="9">
        <v>261</v>
      </c>
      <c r="B249" s="10"/>
      <c r="C249" s="21">
        <v>231240</v>
      </c>
      <c r="D249" s="22" t="s">
        <v>86</v>
      </c>
      <c r="E249" s="23">
        <v>45100</v>
      </c>
      <c r="F249" s="24">
        <v>45078</v>
      </c>
      <c r="G249" s="25">
        <v>1459999</v>
      </c>
      <c r="H249" s="26" t="s">
        <v>2079</v>
      </c>
      <c r="I249" s="233" t="s">
        <v>29</v>
      </c>
      <c r="J249" s="11"/>
      <c r="K249" s="39"/>
      <c r="L249" s="40">
        <v>45148</v>
      </c>
      <c r="M249" s="40">
        <v>45148</v>
      </c>
      <c r="N249" s="37">
        <v>1459999</v>
      </c>
      <c r="O249" s="37">
        <v>0</v>
      </c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4.25" customHeight="1">
      <c r="A250" s="9">
        <v>268</v>
      </c>
      <c r="B250" s="10"/>
      <c r="C250" s="21">
        <v>231253</v>
      </c>
      <c r="D250" s="22" t="s">
        <v>86</v>
      </c>
      <c r="E250" s="23">
        <v>45101</v>
      </c>
      <c r="F250" s="24">
        <v>45078</v>
      </c>
      <c r="G250" s="25">
        <v>777000</v>
      </c>
      <c r="H250" s="26" t="s">
        <v>2080</v>
      </c>
      <c r="I250" s="233" t="s">
        <v>29</v>
      </c>
      <c r="J250" s="11"/>
      <c r="K250" s="39"/>
      <c r="L250" s="40">
        <v>45148</v>
      </c>
      <c r="M250" s="40">
        <v>45148</v>
      </c>
      <c r="N250" s="37">
        <v>777000</v>
      </c>
      <c r="O250" s="37">
        <v>0</v>
      </c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4.25" customHeight="1">
      <c r="A251" s="9">
        <v>266</v>
      </c>
      <c r="B251" s="10"/>
      <c r="C251" s="21">
        <v>231256</v>
      </c>
      <c r="D251" s="22" t="s">
        <v>86</v>
      </c>
      <c r="E251" s="23">
        <v>45101</v>
      </c>
      <c r="F251" s="24">
        <v>45078</v>
      </c>
      <c r="G251" s="25">
        <v>1311997</v>
      </c>
      <c r="H251" s="26" t="s">
        <v>2081</v>
      </c>
      <c r="I251" s="233" t="s">
        <v>29</v>
      </c>
      <c r="J251" s="11"/>
      <c r="K251" s="39"/>
      <c r="L251" s="40">
        <v>45148</v>
      </c>
      <c r="M251" s="40">
        <v>45148</v>
      </c>
      <c r="N251" s="37">
        <v>1311997</v>
      </c>
      <c r="O251" s="37">
        <v>0</v>
      </c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4.25" customHeight="1">
      <c r="A252" s="9">
        <v>267</v>
      </c>
      <c r="B252" s="10"/>
      <c r="C252" s="21">
        <v>231257</v>
      </c>
      <c r="D252" s="22" t="s">
        <v>86</v>
      </c>
      <c r="E252" s="23">
        <v>45101</v>
      </c>
      <c r="F252" s="24">
        <v>45078</v>
      </c>
      <c r="G252" s="25">
        <v>6594010</v>
      </c>
      <c r="H252" s="26" t="s">
        <v>2082</v>
      </c>
      <c r="I252" s="233" t="s">
        <v>29</v>
      </c>
      <c r="J252" s="11"/>
      <c r="K252" s="39"/>
      <c r="L252" s="40">
        <v>45148</v>
      </c>
      <c r="M252" s="40">
        <v>45148</v>
      </c>
      <c r="N252" s="37">
        <v>6594010</v>
      </c>
      <c r="O252" s="37">
        <v>0</v>
      </c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4.25" customHeight="1">
      <c r="A253" s="9">
        <v>269</v>
      </c>
      <c r="B253" s="10"/>
      <c r="C253" s="21">
        <v>231248</v>
      </c>
      <c r="D253" s="22" t="s">
        <v>86</v>
      </c>
      <c r="E253" s="23">
        <v>45103</v>
      </c>
      <c r="F253" s="24">
        <v>45078</v>
      </c>
      <c r="G253" s="25">
        <v>268501</v>
      </c>
      <c r="H253" s="26" t="s">
        <v>2083</v>
      </c>
      <c r="I253" s="233" t="s">
        <v>29</v>
      </c>
      <c r="J253" s="11"/>
      <c r="K253" s="39"/>
      <c r="L253" s="40">
        <v>45148</v>
      </c>
      <c r="M253" s="40">
        <v>45148</v>
      </c>
      <c r="N253" s="37">
        <v>268501</v>
      </c>
      <c r="O253" s="37">
        <v>0</v>
      </c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4.25" customHeight="1">
      <c r="A254" s="9">
        <v>285</v>
      </c>
      <c r="B254" s="10"/>
      <c r="C254" s="21">
        <v>231291</v>
      </c>
      <c r="D254" s="22" t="s">
        <v>86</v>
      </c>
      <c r="E254" s="23">
        <v>45107</v>
      </c>
      <c r="F254" s="24">
        <v>45078</v>
      </c>
      <c r="G254" s="25">
        <v>1465799</v>
      </c>
      <c r="H254" s="26" t="s">
        <v>2084</v>
      </c>
      <c r="I254" s="233" t="s">
        <v>29</v>
      </c>
      <c r="J254" s="11"/>
      <c r="K254" s="39"/>
      <c r="L254" s="40">
        <v>45169</v>
      </c>
      <c r="M254" s="40">
        <v>45169</v>
      </c>
      <c r="N254" s="37">
        <v>1465799</v>
      </c>
      <c r="O254" s="37">
        <v>0</v>
      </c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4.25" customHeight="1">
      <c r="A255" s="9">
        <v>271</v>
      </c>
      <c r="B255" s="10"/>
      <c r="C255" s="21">
        <v>231314</v>
      </c>
      <c r="D255" s="22" t="s">
        <v>86</v>
      </c>
      <c r="E255" s="23">
        <v>45113</v>
      </c>
      <c r="F255" s="24">
        <v>45108</v>
      </c>
      <c r="G255" s="25">
        <v>7717524</v>
      </c>
      <c r="H255" s="26" t="s">
        <v>2085</v>
      </c>
      <c r="I255" s="233" t="s">
        <v>29</v>
      </c>
      <c r="J255" s="11"/>
      <c r="K255" s="39"/>
      <c r="L255" s="40">
        <v>45148</v>
      </c>
      <c r="M255" s="40">
        <v>45148</v>
      </c>
      <c r="N255" s="37">
        <v>7717524</v>
      </c>
      <c r="O255" s="37">
        <v>0</v>
      </c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4.25" customHeight="1">
      <c r="A256" s="9">
        <v>270</v>
      </c>
      <c r="B256" s="10"/>
      <c r="C256" s="21">
        <v>231315</v>
      </c>
      <c r="D256" s="22" t="s">
        <v>86</v>
      </c>
      <c r="E256" s="23">
        <v>45113</v>
      </c>
      <c r="F256" s="24">
        <v>45108</v>
      </c>
      <c r="G256" s="25">
        <v>1579463</v>
      </c>
      <c r="H256" s="26" t="s">
        <v>2086</v>
      </c>
      <c r="I256" s="233" t="s">
        <v>29</v>
      </c>
      <c r="J256" s="11"/>
      <c r="K256" s="39"/>
      <c r="L256" s="40">
        <v>45148</v>
      </c>
      <c r="M256" s="40">
        <v>45148</v>
      </c>
      <c r="N256" s="37">
        <v>1579463</v>
      </c>
      <c r="O256" s="37">
        <v>0</v>
      </c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4.25" customHeight="1">
      <c r="A257" s="9">
        <v>274</v>
      </c>
      <c r="B257" s="10"/>
      <c r="C257" s="21">
        <v>231338</v>
      </c>
      <c r="D257" s="22" t="s">
        <v>86</v>
      </c>
      <c r="E257" s="23">
        <v>45114</v>
      </c>
      <c r="F257" s="24">
        <v>45108</v>
      </c>
      <c r="G257" s="25">
        <v>442890</v>
      </c>
      <c r="H257" s="26" t="s">
        <v>2087</v>
      </c>
      <c r="I257" s="233" t="s">
        <v>29</v>
      </c>
      <c r="J257" s="11"/>
      <c r="K257" s="39"/>
      <c r="L257" s="40">
        <v>45148</v>
      </c>
      <c r="M257" s="40">
        <v>45148</v>
      </c>
      <c r="N257" s="37">
        <v>442890</v>
      </c>
      <c r="O257" s="37">
        <v>0</v>
      </c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4.25" customHeight="1">
      <c r="A258" s="9">
        <v>272</v>
      </c>
      <c r="B258" s="10"/>
      <c r="C258" s="21">
        <v>231339</v>
      </c>
      <c r="D258" s="22" t="s">
        <v>86</v>
      </c>
      <c r="E258" s="23">
        <v>45114</v>
      </c>
      <c r="F258" s="24">
        <v>45108</v>
      </c>
      <c r="G258" s="25">
        <v>1193032</v>
      </c>
      <c r="H258" s="26" t="s">
        <v>2088</v>
      </c>
      <c r="I258" s="233" t="s">
        <v>29</v>
      </c>
      <c r="J258" s="11"/>
      <c r="K258" s="39"/>
      <c r="L258" s="40">
        <v>45148</v>
      </c>
      <c r="M258" s="40">
        <v>45148</v>
      </c>
      <c r="N258" s="37">
        <v>1193032</v>
      </c>
      <c r="O258" s="37">
        <v>0</v>
      </c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4.25" customHeight="1">
      <c r="A259" s="9">
        <v>273</v>
      </c>
      <c r="B259" s="10"/>
      <c r="C259" s="21">
        <v>231340</v>
      </c>
      <c r="D259" s="22" t="s">
        <v>86</v>
      </c>
      <c r="E259" s="23">
        <v>45114</v>
      </c>
      <c r="F259" s="24">
        <v>45108</v>
      </c>
      <c r="G259" s="25">
        <v>1875974</v>
      </c>
      <c r="H259" s="26" t="s">
        <v>2089</v>
      </c>
      <c r="I259" s="233" t="s">
        <v>29</v>
      </c>
      <c r="J259" s="11"/>
      <c r="K259" s="39"/>
      <c r="L259" s="40">
        <v>45148</v>
      </c>
      <c r="M259" s="40">
        <v>45148</v>
      </c>
      <c r="N259" s="37">
        <v>1875974</v>
      </c>
      <c r="O259" s="37">
        <v>0</v>
      </c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4.25" customHeight="1">
      <c r="A260" s="9">
        <v>275</v>
      </c>
      <c r="B260" s="10"/>
      <c r="C260" s="21">
        <v>231354</v>
      </c>
      <c r="D260" s="22" t="s">
        <v>86</v>
      </c>
      <c r="E260" s="23">
        <v>45117</v>
      </c>
      <c r="F260" s="24">
        <v>45108</v>
      </c>
      <c r="G260" s="25">
        <v>1050060</v>
      </c>
      <c r="H260" s="26" t="s">
        <v>2090</v>
      </c>
      <c r="I260" s="233" t="s">
        <v>29</v>
      </c>
      <c r="J260" s="11"/>
      <c r="K260" s="39"/>
      <c r="L260" s="40">
        <v>45148</v>
      </c>
      <c r="M260" s="40">
        <v>45148</v>
      </c>
      <c r="N260" s="37">
        <v>1050060</v>
      </c>
      <c r="O260" s="37">
        <v>0</v>
      </c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4.25" customHeight="1">
      <c r="A261" s="9">
        <v>276</v>
      </c>
      <c r="B261" s="10"/>
      <c r="C261" s="21">
        <v>231351</v>
      </c>
      <c r="D261" s="22" t="s">
        <v>86</v>
      </c>
      <c r="E261" s="23">
        <v>45118</v>
      </c>
      <c r="F261" s="24">
        <v>45108</v>
      </c>
      <c r="G261" s="25">
        <v>469530</v>
      </c>
      <c r="H261" s="26" t="s">
        <v>2091</v>
      </c>
      <c r="I261" s="233" t="s">
        <v>29</v>
      </c>
      <c r="J261" s="11"/>
      <c r="K261" s="39"/>
      <c r="L261" s="40">
        <v>45148</v>
      </c>
      <c r="M261" s="40">
        <v>45148</v>
      </c>
      <c r="N261" s="37">
        <v>469530</v>
      </c>
      <c r="O261" s="37">
        <v>0</v>
      </c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4.25" customHeight="1">
      <c r="A262" s="9">
        <v>277</v>
      </c>
      <c r="B262" s="10"/>
      <c r="C262" s="21">
        <v>231352</v>
      </c>
      <c r="D262" s="22" t="s">
        <v>86</v>
      </c>
      <c r="E262" s="23">
        <v>45118</v>
      </c>
      <c r="F262" s="24">
        <v>45108</v>
      </c>
      <c r="G262" s="25">
        <v>1023708</v>
      </c>
      <c r="H262" s="26" t="s">
        <v>2092</v>
      </c>
      <c r="I262" s="233" t="s">
        <v>29</v>
      </c>
      <c r="J262" s="11"/>
      <c r="K262" s="39"/>
      <c r="L262" s="40">
        <v>45148</v>
      </c>
      <c r="M262" s="40">
        <v>45148</v>
      </c>
      <c r="N262" s="37">
        <v>1023708</v>
      </c>
      <c r="O262" s="37">
        <v>0</v>
      </c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4.25" customHeight="1">
      <c r="A263" s="9">
        <v>278</v>
      </c>
      <c r="B263" s="10"/>
      <c r="C263" s="21">
        <v>231353</v>
      </c>
      <c r="D263" s="22" t="s">
        <v>86</v>
      </c>
      <c r="E263" s="23">
        <v>45118</v>
      </c>
      <c r="F263" s="24">
        <v>45108</v>
      </c>
      <c r="G263" s="25">
        <v>1465799</v>
      </c>
      <c r="H263" s="26" t="s">
        <v>2093</v>
      </c>
      <c r="I263" s="233" t="s">
        <v>29</v>
      </c>
      <c r="J263" s="11"/>
      <c r="K263" s="39"/>
      <c r="L263" s="40">
        <v>45148</v>
      </c>
      <c r="M263" s="40">
        <v>45148</v>
      </c>
      <c r="N263" s="37">
        <v>1465799</v>
      </c>
      <c r="O263" s="37">
        <v>0</v>
      </c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4.25" customHeight="1">
      <c r="A264" s="9">
        <v>279</v>
      </c>
      <c r="B264" s="10"/>
      <c r="C264" s="21">
        <v>231371</v>
      </c>
      <c r="D264" s="22" t="s">
        <v>86</v>
      </c>
      <c r="E264" s="23">
        <v>45119</v>
      </c>
      <c r="F264" s="24">
        <v>45108</v>
      </c>
      <c r="G264" s="25">
        <v>3636360</v>
      </c>
      <c r="H264" s="26" t="s">
        <v>2094</v>
      </c>
      <c r="I264" s="233" t="s">
        <v>29</v>
      </c>
      <c r="J264" s="11"/>
      <c r="K264" s="39"/>
      <c r="L264" s="40">
        <v>45148</v>
      </c>
      <c r="M264" s="40">
        <v>45148</v>
      </c>
      <c r="N264" s="37">
        <v>3636360</v>
      </c>
      <c r="O264" s="37">
        <v>0</v>
      </c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4.25" customHeight="1">
      <c r="A265" s="9">
        <v>281</v>
      </c>
      <c r="B265" s="10"/>
      <c r="C265" s="21">
        <v>231388</v>
      </c>
      <c r="D265" s="22" t="s">
        <v>86</v>
      </c>
      <c r="E265" s="23">
        <v>45121</v>
      </c>
      <c r="F265" s="24">
        <v>45108</v>
      </c>
      <c r="G265" s="25">
        <v>399916</v>
      </c>
      <c r="H265" s="26" t="s">
        <v>2095</v>
      </c>
      <c r="I265" s="233" t="s">
        <v>29</v>
      </c>
      <c r="J265" s="11"/>
      <c r="K265" s="39"/>
      <c r="L265" s="40">
        <v>45169</v>
      </c>
      <c r="M265" s="40">
        <v>45169</v>
      </c>
      <c r="N265" s="37">
        <v>399916</v>
      </c>
      <c r="O265" s="37">
        <v>0</v>
      </c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4.25" customHeight="1">
      <c r="A266" s="9">
        <v>282</v>
      </c>
      <c r="B266" s="10"/>
      <c r="C266" s="21">
        <v>231389</v>
      </c>
      <c r="D266" s="22" t="s">
        <v>86</v>
      </c>
      <c r="E266" s="23">
        <v>45121</v>
      </c>
      <c r="F266" s="24">
        <v>45108</v>
      </c>
      <c r="G266" s="25">
        <v>838287</v>
      </c>
      <c r="H266" s="26" t="s">
        <v>2096</v>
      </c>
      <c r="I266" s="233" t="s">
        <v>29</v>
      </c>
      <c r="J266" s="11"/>
      <c r="K266" s="39"/>
      <c r="L266" s="40">
        <v>45169</v>
      </c>
      <c r="M266" s="40">
        <v>45169</v>
      </c>
      <c r="N266" s="37">
        <v>838287</v>
      </c>
      <c r="O266" s="37">
        <v>0</v>
      </c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4.25" customHeight="1">
      <c r="A267" s="9">
        <v>280</v>
      </c>
      <c r="B267" s="10"/>
      <c r="C267" s="21">
        <v>231390</v>
      </c>
      <c r="D267" s="22" t="s">
        <v>86</v>
      </c>
      <c r="E267" s="23">
        <v>45121</v>
      </c>
      <c r="F267" s="24">
        <v>45108</v>
      </c>
      <c r="G267" s="25">
        <v>2198699</v>
      </c>
      <c r="H267" s="26" t="s">
        <v>2097</v>
      </c>
      <c r="I267" s="233" t="s">
        <v>29</v>
      </c>
      <c r="J267" s="35">
        <v>25769911</v>
      </c>
      <c r="K267" s="36">
        <v>45169</v>
      </c>
      <c r="L267" s="40">
        <v>45169</v>
      </c>
      <c r="M267" s="40">
        <v>45169</v>
      </c>
      <c r="N267" s="37">
        <v>2198699</v>
      </c>
      <c r="O267" s="37">
        <v>0</v>
      </c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4.25" customHeight="1">
      <c r="A268" s="9">
        <v>283</v>
      </c>
      <c r="B268" s="10"/>
      <c r="C268" s="21">
        <v>231399</v>
      </c>
      <c r="D268" s="22" t="s">
        <v>86</v>
      </c>
      <c r="E268" s="23">
        <v>45122</v>
      </c>
      <c r="F268" s="24">
        <v>45108</v>
      </c>
      <c r="G268" s="25">
        <v>889439</v>
      </c>
      <c r="H268" s="26" t="s">
        <v>2098</v>
      </c>
      <c r="I268" s="233" t="s">
        <v>29</v>
      </c>
      <c r="J268" s="11"/>
      <c r="K268" s="39"/>
      <c r="L268" s="40">
        <v>45169</v>
      </c>
      <c r="M268" s="40">
        <v>45169</v>
      </c>
      <c r="N268" s="37">
        <v>889439</v>
      </c>
      <c r="O268" s="37">
        <v>0</v>
      </c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4.25" customHeight="1">
      <c r="A269" s="9">
        <v>284</v>
      </c>
      <c r="B269" s="10"/>
      <c r="C269" s="21">
        <v>231429</v>
      </c>
      <c r="D269" s="22" t="s">
        <v>86</v>
      </c>
      <c r="E269" s="23">
        <v>45124</v>
      </c>
      <c r="F269" s="24">
        <v>45108</v>
      </c>
      <c r="G269" s="25">
        <v>565089</v>
      </c>
      <c r="H269" s="26" t="s">
        <v>2099</v>
      </c>
      <c r="I269" s="233" t="s">
        <v>29</v>
      </c>
      <c r="J269" s="11"/>
      <c r="K269" s="39"/>
      <c r="L269" s="40">
        <v>45169</v>
      </c>
      <c r="M269" s="40">
        <v>45169</v>
      </c>
      <c r="N269" s="37">
        <v>565089</v>
      </c>
      <c r="O269" s="37">
        <v>0</v>
      </c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4.25" customHeight="1">
      <c r="A270" s="9">
        <v>287</v>
      </c>
      <c r="B270" s="10"/>
      <c r="C270" s="21">
        <v>231445</v>
      </c>
      <c r="D270" s="22" t="s">
        <v>86</v>
      </c>
      <c r="E270" s="23">
        <v>45132</v>
      </c>
      <c r="F270" s="24">
        <v>45108</v>
      </c>
      <c r="G270" s="25">
        <v>458900</v>
      </c>
      <c r="H270" s="26" t="s">
        <v>2100</v>
      </c>
      <c r="I270" s="233" t="s">
        <v>29</v>
      </c>
      <c r="J270" s="11"/>
      <c r="K270" s="39"/>
      <c r="L270" s="40">
        <v>45169</v>
      </c>
      <c r="M270" s="40">
        <v>45169</v>
      </c>
      <c r="N270" s="37">
        <v>458900</v>
      </c>
      <c r="O270" s="37">
        <v>0</v>
      </c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4.25" customHeight="1">
      <c r="A271" s="9">
        <v>286</v>
      </c>
      <c r="B271" s="10"/>
      <c r="C271" s="21">
        <v>231455</v>
      </c>
      <c r="D271" s="22" t="s">
        <v>86</v>
      </c>
      <c r="E271" s="23">
        <v>45133</v>
      </c>
      <c r="F271" s="24">
        <v>45108</v>
      </c>
      <c r="G271" s="25">
        <v>424725</v>
      </c>
      <c r="H271" s="26" t="s">
        <v>2101</v>
      </c>
      <c r="I271" s="233" t="s">
        <v>29</v>
      </c>
      <c r="J271" s="11"/>
      <c r="K271" s="39"/>
      <c r="L271" s="40">
        <v>45169</v>
      </c>
      <c r="M271" s="40">
        <v>45169</v>
      </c>
      <c r="N271" s="37">
        <v>424725</v>
      </c>
      <c r="O271" s="37">
        <v>0</v>
      </c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4.25" customHeight="1">
      <c r="A272" s="9">
        <v>290</v>
      </c>
      <c r="B272" s="10"/>
      <c r="C272" s="21">
        <v>231458</v>
      </c>
      <c r="D272" s="22" t="s">
        <v>86</v>
      </c>
      <c r="E272" s="23">
        <v>45133</v>
      </c>
      <c r="F272" s="24">
        <v>45108</v>
      </c>
      <c r="G272" s="25">
        <v>486180</v>
      </c>
      <c r="H272" s="26" t="s">
        <v>2102</v>
      </c>
      <c r="I272" s="233" t="s">
        <v>29</v>
      </c>
      <c r="J272" s="11"/>
      <c r="K272" s="39"/>
      <c r="L272" s="40">
        <v>45169</v>
      </c>
      <c r="M272" s="40">
        <v>45169</v>
      </c>
      <c r="N272" s="37">
        <v>486180</v>
      </c>
      <c r="O272" s="37">
        <v>0</v>
      </c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4.25" customHeight="1">
      <c r="A273" s="9">
        <v>289</v>
      </c>
      <c r="B273" s="10"/>
      <c r="C273" s="21">
        <v>231459</v>
      </c>
      <c r="D273" s="22" t="s">
        <v>86</v>
      </c>
      <c r="E273" s="23">
        <v>45133</v>
      </c>
      <c r="F273" s="24">
        <v>45108</v>
      </c>
      <c r="G273" s="25">
        <v>3956406</v>
      </c>
      <c r="H273" s="26" t="s">
        <v>2103</v>
      </c>
      <c r="I273" s="233" t="s">
        <v>29</v>
      </c>
      <c r="J273" s="11"/>
      <c r="K273" s="39"/>
      <c r="L273" s="40">
        <v>45169</v>
      </c>
      <c r="M273" s="40">
        <v>45169</v>
      </c>
      <c r="N273" s="37">
        <v>3956406</v>
      </c>
      <c r="O273" s="37">
        <v>0</v>
      </c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4.25" customHeight="1">
      <c r="A274" s="9">
        <v>288</v>
      </c>
      <c r="B274" s="10"/>
      <c r="C274" s="21">
        <v>231460</v>
      </c>
      <c r="D274" s="22" t="s">
        <v>86</v>
      </c>
      <c r="E274" s="23">
        <v>45133</v>
      </c>
      <c r="F274" s="24">
        <v>45108</v>
      </c>
      <c r="G274" s="25">
        <v>3956406</v>
      </c>
      <c r="H274" s="26" t="s">
        <v>2104</v>
      </c>
      <c r="I274" s="233" t="s">
        <v>29</v>
      </c>
      <c r="J274" s="11"/>
      <c r="K274" s="39"/>
      <c r="L274" s="40">
        <v>45169</v>
      </c>
      <c r="M274" s="40">
        <v>45169</v>
      </c>
      <c r="N274" s="37">
        <v>3956406</v>
      </c>
      <c r="O274" s="37">
        <v>0</v>
      </c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4.25" customHeight="1">
      <c r="A275" s="9">
        <v>293</v>
      </c>
      <c r="B275" s="10"/>
      <c r="C275" s="21">
        <v>231486</v>
      </c>
      <c r="D275" s="22" t="s">
        <v>86</v>
      </c>
      <c r="E275" s="23">
        <v>45134</v>
      </c>
      <c r="F275" s="24">
        <v>45108</v>
      </c>
      <c r="G275" s="25">
        <v>763756</v>
      </c>
      <c r="H275" s="26" t="s">
        <v>2105</v>
      </c>
      <c r="I275" s="233" t="s">
        <v>29</v>
      </c>
      <c r="J275" s="11"/>
      <c r="K275" s="39"/>
      <c r="L275" s="40">
        <v>45169</v>
      </c>
      <c r="M275" s="40">
        <v>45169</v>
      </c>
      <c r="N275" s="37">
        <v>763756</v>
      </c>
      <c r="O275" s="37">
        <v>0</v>
      </c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4.25" customHeight="1">
      <c r="A276" s="9">
        <v>291</v>
      </c>
      <c r="B276" s="10"/>
      <c r="C276" s="21">
        <v>231488</v>
      </c>
      <c r="D276" s="22" t="s">
        <v>86</v>
      </c>
      <c r="E276" s="23">
        <v>45134</v>
      </c>
      <c r="F276" s="24">
        <v>45108</v>
      </c>
      <c r="G276" s="25">
        <v>329670</v>
      </c>
      <c r="H276" s="26" t="s">
        <v>2106</v>
      </c>
      <c r="I276" s="233" t="s">
        <v>29</v>
      </c>
      <c r="J276" s="11"/>
      <c r="K276" s="39"/>
      <c r="L276" s="40">
        <v>45169</v>
      </c>
      <c r="M276" s="40">
        <v>45169</v>
      </c>
      <c r="N276" s="37">
        <v>329670</v>
      </c>
      <c r="O276" s="37">
        <v>0</v>
      </c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4.25" customHeight="1">
      <c r="A277" s="9">
        <v>294</v>
      </c>
      <c r="B277" s="10"/>
      <c r="C277" s="21">
        <v>231489</v>
      </c>
      <c r="D277" s="22" t="s">
        <v>86</v>
      </c>
      <c r="E277" s="23">
        <v>45134</v>
      </c>
      <c r="F277" s="24">
        <v>45108</v>
      </c>
      <c r="G277" s="25">
        <v>1465799</v>
      </c>
      <c r="H277" s="26" t="s">
        <v>2107</v>
      </c>
      <c r="I277" s="233" t="s">
        <v>29</v>
      </c>
      <c r="J277" s="11"/>
      <c r="K277" s="39"/>
      <c r="L277" s="40">
        <v>45169</v>
      </c>
      <c r="M277" s="40">
        <v>45169</v>
      </c>
      <c r="N277" s="37">
        <v>1465799</v>
      </c>
      <c r="O277" s="37">
        <v>0</v>
      </c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4.25" customHeight="1">
      <c r="A278" s="9">
        <v>292</v>
      </c>
      <c r="B278" s="10"/>
      <c r="C278" s="21">
        <v>231491</v>
      </c>
      <c r="D278" s="22" t="s">
        <v>86</v>
      </c>
      <c r="E278" s="23">
        <v>45134</v>
      </c>
      <c r="F278" s="24">
        <v>45108</v>
      </c>
      <c r="G278" s="25">
        <v>469530</v>
      </c>
      <c r="H278" s="26" t="s">
        <v>2108</v>
      </c>
      <c r="I278" s="233" t="s">
        <v>29</v>
      </c>
      <c r="J278" s="11"/>
      <c r="K278" s="39"/>
      <c r="L278" s="40">
        <v>45169</v>
      </c>
      <c r="M278" s="40">
        <v>45169</v>
      </c>
      <c r="N278" s="37">
        <v>469530</v>
      </c>
      <c r="O278" s="37">
        <v>0</v>
      </c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4.25" customHeight="1">
      <c r="A279" s="9">
        <v>297</v>
      </c>
      <c r="B279" s="10"/>
      <c r="C279" s="21">
        <v>231482</v>
      </c>
      <c r="D279" s="22" t="s">
        <v>86</v>
      </c>
      <c r="E279" s="23">
        <v>45135</v>
      </c>
      <c r="F279" s="24">
        <v>45108</v>
      </c>
      <c r="G279" s="25">
        <v>596516</v>
      </c>
      <c r="H279" s="26" t="s">
        <v>2109</v>
      </c>
      <c r="I279" s="233" t="s">
        <v>29</v>
      </c>
      <c r="J279" s="11"/>
      <c r="K279" s="39"/>
      <c r="L279" s="40">
        <v>45169</v>
      </c>
      <c r="M279" s="40">
        <v>45169</v>
      </c>
      <c r="N279" s="37">
        <v>596516</v>
      </c>
      <c r="O279" s="37">
        <v>0</v>
      </c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4.25" customHeight="1">
      <c r="A280" s="9">
        <v>296</v>
      </c>
      <c r="B280" s="10"/>
      <c r="C280" s="21">
        <v>231483</v>
      </c>
      <c r="D280" s="22" t="s">
        <v>86</v>
      </c>
      <c r="E280" s="23">
        <v>45135</v>
      </c>
      <c r="F280" s="24">
        <v>45108</v>
      </c>
      <c r="G280" s="25">
        <v>838287</v>
      </c>
      <c r="H280" s="26" t="s">
        <v>2110</v>
      </c>
      <c r="I280" s="233" t="s">
        <v>29</v>
      </c>
      <c r="J280" s="11"/>
      <c r="K280" s="39"/>
      <c r="L280" s="40">
        <v>45169</v>
      </c>
      <c r="M280" s="40">
        <v>45169</v>
      </c>
      <c r="N280" s="37">
        <v>838287</v>
      </c>
      <c r="O280" s="37">
        <v>0</v>
      </c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4.25" customHeight="1">
      <c r="A281" s="9">
        <v>295</v>
      </c>
      <c r="B281" s="10"/>
      <c r="C281" s="21">
        <v>231484</v>
      </c>
      <c r="D281" s="22" t="s">
        <v>86</v>
      </c>
      <c r="E281" s="23">
        <v>45135</v>
      </c>
      <c r="F281" s="24">
        <v>45108</v>
      </c>
      <c r="G281" s="25">
        <v>1339369</v>
      </c>
      <c r="H281" s="26" t="s">
        <v>2111</v>
      </c>
      <c r="I281" s="233" t="s">
        <v>29</v>
      </c>
      <c r="J281" s="11"/>
      <c r="K281" s="39"/>
      <c r="L281" s="40">
        <v>45169</v>
      </c>
      <c r="M281" s="40">
        <v>45169</v>
      </c>
      <c r="N281" s="37">
        <v>1339369</v>
      </c>
      <c r="O281" s="37">
        <v>0</v>
      </c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4.25" customHeight="1">
      <c r="A282" s="9">
        <v>299</v>
      </c>
      <c r="B282" s="10"/>
      <c r="C282" s="21">
        <v>231487</v>
      </c>
      <c r="D282" s="22" t="s">
        <v>86</v>
      </c>
      <c r="E282" s="23">
        <v>45138</v>
      </c>
      <c r="F282" s="24">
        <v>45108</v>
      </c>
      <c r="G282" s="25">
        <v>4218913</v>
      </c>
      <c r="H282" s="26" t="s">
        <v>2112</v>
      </c>
      <c r="I282" s="233" t="s">
        <v>29</v>
      </c>
      <c r="J282" s="11"/>
      <c r="K282" s="39"/>
      <c r="L282" s="40">
        <v>45169</v>
      </c>
      <c r="M282" s="40">
        <v>45169</v>
      </c>
      <c r="N282" s="37">
        <v>4218913</v>
      </c>
      <c r="O282" s="37">
        <v>0</v>
      </c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4.25" customHeight="1">
      <c r="A283" s="9">
        <v>298</v>
      </c>
      <c r="B283" s="10"/>
      <c r="C283" s="21">
        <v>231544</v>
      </c>
      <c r="D283" s="22" t="s">
        <v>86</v>
      </c>
      <c r="E283" s="23">
        <v>45138</v>
      </c>
      <c r="F283" s="24">
        <v>45108</v>
      </c>
      <c r="G283" s="25">
        <v>108225</v>
      </c>
      <c r="H283" s="26" t="s">
        <v>2113</v>
      </c>
      <c r="I283" s="233" t="s">
        <v>29</v>
      </c>
      <c r="J283" s="11"/>
      <c r="K283" s="39"/>
      <c r="L283" s="40">
        <v>45169</v>
      </c>
      <c r="M283" s="40">
        <v>45169</v>
      </c>
      <c r="N283" s="37">
        <v>108225</v>
      </c>
      <c r="O283" s="37">
        <v>0</v>
      </c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4.25" customHeight="1">
      <c r="A284" s="9">
        <v>301</v>
      </c>
      <c r="B284" s="10"/>
      <c r="C284" s="21">
        <v>231529</v>
      </c>
      <c r="D284" s="22" t="s">
        <v>86</v>
      </c>
      <c r="E284" s="23">
        <v>45141</v>
      </c>
      <c r="F284" s="24">
        <v>45139</v>
      </c>
      <c r="G284" s="25">
        <v>450282</v>
      </c>
      <c r="H284" s="26" t="s">
        <v>2114</v>
      </c>
      <c r="I284" s="233" t="s">
        <v>29</v>
      </c>
      <c r="J284" s="11"/>
      <c r="K284" s="39"/>
      <c r="L284" s="40">
        <v>45196</v>
      </c>
      <c r="M284" s="40">
        <v>45196</v>
      </c>
      <c r="N284" s="37">
        <v>450282</v>
      </c>
      <c r="O284" s="37">
        <v>0</v>
      </c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4.25" customHeight="1">
      <c r="A285" s="9">
        <v>300</v>
      </c>
      <c r="B285" s="10"/>
      <c r="C285" s="21">
        <v>231539</v>
      </c>
      <c r="D285" s="22" t="s">
        <v>86</v>
      </c>
      <c r="E285" s="23">
        <v>45146</v>
      </c>
      <c r="F285" s="24">
        <v>45139</v>
      </c>
      <c r="G285" s="25">
        <v>1500942</v>
      </c>
      <c r="H285" s="26" t="s">
        <v>2115</v>
      </c>
      <c r="I285" s="233" t="s">
        <v>29</v>
      </c>
      <c r="J285" s="35">
        <v>34060012</v>
      </c>
      <c r="K285" s="36">
        <v>45194</v>
      </c>
      <c r="L285" s="40">
        <v>45196</v>
      </c>
      <c r="M285" s="40">
        <v>45196</v>
      </c>
      <c r="N285" s="37">
        <v>1500942</v>
      </c>
      <c r="O285" s="37">
        <v>0</v>
      </c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4.25" customHeight="1">
      <c r="A286" s="9">
        <v>303</v>
      </c>
      <c r="B286" s="10"/>
      <c r="C286" s="21">
        <v>231595</v>
      </c>
      <c r="D286" s="22" t="s">
        <v>86</v>
      </c>
      <c r="E286" s="23">
        <v>45149</v>
      </c>
      <c r="F286" s="24">
        <v>45139</v>
      </c>
      <c r="G286" s="25">
        <v>5312719</v>
      </c>
      <c r="H286" s="26" t="s">
        <v>2116</v>
      </c>
      <c r="I286" s="233" t="s">
        <v>29</v>
      </c>
      <c r="J286" s="11"/>
      <c r="K286" s="39"/>
      <c r="L286" s="40">
        <v>45196</v>
      </c>
      <c r="M286" s="40">
        <v>45196</v>
      </c>
      <c r="N286" s="37">
        <v>5312719</v>
      </c>
      <c r="O286" s="37">
        <v>0</v>
      </c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4.25" customHeight="1">
      <c r="A287" s="9">
        <v>302</v>
      </c>
      <c r="B287" s="10"/>
      <c r="C287" s="21">
        <v>231599</v>
      </c>
      <c r="D287" s="22" t="s">
        <v>86</v>
      </c>
      <c r="E287" s="23">
        <v>45149</v>
      </c>
      <c r="F287" s="24">
        <v>45139</v>
      </c>
      <c r="G287" s="25">
        <v>2514862</v>
      </c>
      <c r="H287" s="26" t="s">
        <v>2117</v>
      </c>
      <c r="I287" s="233" t="s">
        <v>29</v>
      </c>
      <c r="J287" s="11"/>
      <c r="K287" s="39"/>
      <c r="L287" s="40">
        <v>45196</v>
      </c>
      <c r="M287" s="40">
        <v>45196</v>
      </c>
      <c r="N287" s="37">
        <v>2514862</v>
      </c>
      <c r="O287" s="37">
        <v>0</v>
      </c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4.25" customHeight="1">
      <c r="A288" s="9">
        <v>305</v>
      </c>
      <c r="B288" s="10"/>
      <c r="C288" s="21">
        <v>231603</v>
      </c>
      <c r="D288" s="22" t="s">
        <v>86</v>
      </c>
      <c r="E288" s="23">
        <v>45149</v>
      </c>
      <c r="F288" s="24">
        <v>45139</v>
      </c>
      <c r="G288" s="25">
        <v>847607</v>
      </c>
      <c r="H288" s="26" t="s">
        <v>2118</v>
      </c>
      <c r="I288" s="233" t="s">
        <v>29</v>
      </c>
      <c r="J288" s="11"/>
      <c r="K288" s="39"/>
      <c r="L288" s="40">
        <v>45196</v>
      </c>
      <c r="M288" s="40">
        <v>45196</v>
      </c>
      <c r="N288" s="37">
        <v>847607</v>
      </c>
      <c r="O288" s="37">
        <v>0</v>
      </c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4.25" customHeight="1">
      <c r="A289" s="9">
        <v>304</v>
      </c>
      <c r="B289" s="10"/>
      <c r="C289" s="21">
        <v>231604</v>
      </c>
      <c r="D289" s="22" t="s">
        <v>86</v>
      </c>
      <c r="E289" s="23">
        <v>45149</v>
      </c>
      <c r="F289" s="24">
        <v>45139</v>
      </c>
      <c r="G289" s="25">
        <v>1311997</v>
      </c>
      <c r="H289" s="26" t="s">
        <v>2119</v>
      </c>
      <c r="I289" s="233" t="s">
        <v>29</v>
      </c>
      <c r="J289" s="11"/>
      <c r="K289" s="39"/>
      <c r="L289" s="40">
        <v>45196</v>
      </c>
      <c r="M289" s="40">
        <v>45196</v>
      </c>
      <c r="N289" s="37">
        <v>1311997</v>
      </c>
      <c r="O289" s="37">
        <v>0</v>
      </c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4.25" customHeight="1">
      <c r="A290" s="9">
        <v>306</v>
      </c>
      <c r="B290" s="10"/>
      <c r="C290" s="21">
        <v>231600</v>
      </c>
      <c r="D290" s="22" t="s">
        <v>86</v>
      </c>
      <c r="E290" s="23">
        <v>45150</v>
      </c>
      <c r="F290" s="24">
        <v>45139</v>
      </c>
      <c r="G290" s="25">
        <v>469530</v>
      </c>
      <c r="H290" s="26" t="s">
        <v>2120</v>
      </c>
      <c r="I290" s="233" t="s">
        <v>29</v>
      </c>
      <c r="J290" s="11"/>
      <c r="K290" s="39"/>
      <c r="L290" s="40">
        <v>45196</v>
      </c>
      <c r="M290" s="40">
        <v>45196</v>
      </c>
      <c r="N290" s="37">
        <v>469530</v>
      </c>
      <c r="O290" s="37">
        <v>0</v>
      </c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4.25" customHeight="1">
      <c r="A291" s="9">
        <v>307</v>
      </c>
      <c r="B291" s="10"/>
      <c r="C291" s="21">
        <v>231601</v>
      </c>
      <c r="D291" s="22" t="s">
        <v>86</v>
      </c>
      <c r="E291" s="23">
        <v>45150</v>
      </c>
      <c r="F291" s="24">
        <v>45139</v>
      </c>
      <c r="G291" s="25">
        <v>1465799</v>
      </c>
      <c r="H291" s="26" t="s">
        <v>2121</v>
      </c>
      <c r="I291" s="233" t="s">
        <v>29</v>
      </c>
      <c r="J291" s="11"/>
      <c r="K291" s="39"/>
      <c r="L291" s="40">
        <v>45196</v>
      </c>
      <c r="M291" s="40">
        <v>45196</v>
      </c>
      <c r="N291" s="37">
        <v>1465799</v>
      </c>
      <c r="O291" s="37">
        <v>0</v>
      </c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4.25" customHeight="1">
      <c r="A292" s="9">
        <v>308</v>
      </c>
      <c r="B292" s="10"/>
      <c r="C292" s="21">
        <v>231602</v>
      </c>
      <c r="D292" s="22" t="s">
        <v>86</v>
      </c>
      <c r="E292" s="23">
        <v>45152</v>
      </c>
      <c r="F292" s="24">
        <v>45139</v>
      </c>
      <c r="G292" s="25">
        <v>1709400</v>
      </c>
      <c r="H292" s="26" t="s">
        <v>2122</v>
      </c>
      <c r="I292" s="233" t="s">
        <v>29</v>
      </c>
      <c r="J292" s="11"/>
      <c r="K292" s="39"/>
      <c r="L292" s="40">
        <v>45196</v>
      </c>
      <c r="M292" s="40">
        <v>45196</v>
      </c>
      <c r="N292" s="37">
        <v>1709400</v>
      </c>
      <c r="O292" s="37">
        <v>0</v>
      </c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4.25" customHeight="1">
      <c r="A293" s="9">
        <v>310</v>
      </c>
      <c r="B293" s="10"/>
      <c r="C293" s="21">
        <v>231597</v>
      </c>
      <c r="D293" s="22" t="s">
        <v>86</v>
      </c>
      <c r="E293" s="23">
        <v>45153</v>
      </c>
      <c r="F293" s="24">
        <v>45139</v>
      </c>
      <c r="G293" s="25">
        <v>3636360</v>
      </c>
      <c r="H293" s="26" t="s">
        <v>2123</v>
      </c>
      <c r="I293" s="233" t="s">
        <v>29</v>
      </c>
      <c r="J293" s="11"/>
      <c r="K293" s="39"/>
      <c r="L293" s="40">
        <v>45196</v>
      </c>
      <c r="M293" s="40">
        <v>45196</v>
      </c>
      <c r="N293" s="37">
        <v>3636360</v>
      </c>
      <c r="O293" s="37">
        <v>0</v>
      </c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4.25" customHeight="1">
      <c r="A294" s="9">
        <v>309</v>
      </c>
      <c r="B294" s="10"/>
      <c r="C294" s="21">
        <v>231598</v>
      </c>
      <c r="D294" s="22" t="s">
        <v>86</v>
      </c>
      <c r="E294" s="23">
        <v>45153</v>
      </c>
      <c r="F294" s="24">
        <v>45139</v>
      </c>
      <c r="G294" s="25">
        <v>2867753</v>
      </c>
      <c r="H294" s="26" t="s">
        <v>2124</v>
      </c>
      <c r="I294" s="233" t="s">
        <v>29</v>
      </c>
      <c r="J294" s="11"/>
      <c r="K294" s="39"/>
      <c r="L294" s="40">
        <v>45196</v>
      </c>
      <c r="M294" s="40">
        <v>45196</v>
      </c>
      <c r="N294" s="37">
        <v>2867753</v>
      </c>
      <c r="O294" s="37">
        <v>0</v>
      </c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4.25" customHeight="1">
      <c r="A295" s="9">
        <v>311</v>
      </c>
      <c r="B295" s="10"/>
      <c r="C295" s="21">
        <v>231596</v>
      </c>
      <c r="D295" s="22" t="s">
        <v>86</v>
      </c>
      <c r="E295" s="23">
        <v>45154</v>
      </c>
      <c r="F295" s="24">
        <v>45139</v>
      </c>
      <c r="G295" s="25">
        <v>1579463</v>
      </c>
      <c r="H295" s="26" t="s">
        <v>2125</v>
      </c>
      <c r="I295" s="233" t="s">
        <v>29</v>
      </c>
      <c r="J295" s="11"/>
      <c r="K295" s="39"/>
      <c r="L295" s="40">
        <v>45196</v>
      </c>
      <c r="M295" s="40">
        <v>45196</v>
      </c>
      <c r="N295" s="37">
        <v>1579463</v>
      </c>
      <c r="O295" s="37">
        <v>0</v>
      </c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4.25" customHeight="1">
      <c r="A296" s="9">
        <v>313</v>
      </c>
      <c r="B296" s="10"/>
      <c r="C296" s="21">
        <v>231648</v>
      </c>
      <c r="D296" s="22" t="s">
        <v>86</v>
      </c>
      <c r="E296" s="23">
        <v>45156</v>
      </c>
      <c r="F296" s="24">
        <v>45139</v>
      </c>
      <c r="G296" s="25">
        <v>708356</v>
      </c>
      <c r="H296" s="26" t="s">
        <v>2126</v>
      </c>
      <c r="I296" s="233" t="s">
        <v>29</v>
      </c>
      <c r="J296" s="11"/>
      <c r="K296" s="39"/>
      <c r="L296" s="40">
        <v>45196</v>
      </c>
      <c r="M296" s="40">
        <v>45196</v>
      </c>
      <c r="N296" s="37">
        <v>708356</v>
      </c>
      <c r="O296" s="37">
        <v>0</v>
      </c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4.25" customHeight="1">
      <c r="A297" s="9">
        <v>312</v>
      </c>
      <c r="B297" s="10"/>
      <c r="C297" s="21">
        <v>231649</v>
      </c>
      <c r="D297" s="22" t="s">
        <v>86</v>
      </c>
      <c r="E297" s="23">
        <v>45156</v>
      </c>
      <c r="F297" s="24">
        <v>45139</v>
      </c>
      <c r="G297" s="25">
        <v>596516</v>
      </c>
      <c r="H297" s="26" t="s">
        <v>2127</v>
      </c>
      <c r="I297" s="233" t="s">
        <v>29</v>
      </c>
      <c r="J297" s="11"/>
      <c r="K297" s="39"/>
      <c r="L297" s="40">
        <v>45196</v>
      </c>
      <c r="M297" s="40">
        <v>45196</v>
      </c>
      <c r="N297" s="37">
        <v>596516</v>
      </c>
      <c r="O297" s="37">
        <v>0</v>
      </c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4.25" customHeight="1">
      <c r="A298" s="9">
        <v>314</v>
      </c>
      <c r="B298" s="10"/>
      <c r="C298" s="21">
        <v>231650</v>
      </c>
      <c r="D298" s="22" t="s">
        <v>86</v>
      </c>
      <c r="E298" s="23">
        <v>45156</v>
      </c>
      <c r="F298" s="24">
        <v>45139</v>
      </c>
      <c r="G298" s="25">
        <v>596516</v>
      </c>
      <c r="H298" s="26" t="s">
        <v>2128</v>
      </c>
      <c r="I298" s="233" t="s">
        <v>29</v>
      </c>
      <c r="J298" s="11"/>
      <c r="K298" s="39"/>
      <c r="L298" s="40">
        <v>45196</v>
      </c>
      <c r="M298" s="40">
        <v>45196</v>
      </c>
      <c r="N298" s="37">
        <v>596516</v>
      </c>
      <c r="O298" s="37">
        <v>0</v>
      </c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4.25" customHeight="1">
      <c r="A299" s="9">
        <v>315</v>
      </c>
      <c r="B299" s="10"/>
      <c r="C299" s="21">
        <v>231647</v>
      </c>
      <c r="D299" s="22" t="s">
        <v>86</v>
      </c>
      <c r="E299" s="23">
        <v>45157</v>
      </c>
      <c r="F299" s="24">
        <v>45139</v>
      </c>
      <c r="G299" s="25">
        <v>5145016</v>
      </c>
      <c r="H299" s="26" t="s">
        <v>2129</v>
      </c>
      <c r="I299" s="233" t="s">
        <v>29</v>
      </c>
      <c r="J299" s="11"/>
      <c r="K299" s="39"/>
      <c r="L299" s="40">
        <v>45196</v>
      </c>
      <c r="M299" s="40">
        <v>45196</v>
      </c>
      <c r="N299" s="37">
        <v>5145016</v>
      </c>
      <c r="O299" s="37">
        <v>0</v>
      </c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4.25" customHeight="1">
      <c r="A300" s="9">
        <v>316</v>
      </c>
      <c r="B300" s="10"/>
      <c r="C300" s="21">
        <v>231677</v>
      </c>
      <c r="D300" s="22" t="s">
        <v>86</v>
      </c>
      <c r="E300" s="23">
        <v>45160</v>
      </c>
      <c r="F300" s="24">
        <v>45139</v>
      </c>
      <c r="G300" s="25">
        <v>466200</v>
      </c>
      <c r="H300" s="26" t="s">
        <v>2130</v>
      </c>
      <c r="I300" s="233" t="s">
        <v>29</v>
      </c>
      <c r="J300" s="11"/>
      <c r="K300" s="39"/>
      <c r="L300" s="40">
        <v>45196</v>
      </c>
      <c r="M300" s="40">
        <v>45196</v>
      </c>
      <c r="N300" s="37">
        <v>466200</v>
      </c>
      <c r="O300" s="37">
        <v>0</v>
      </c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4.25" customHeight="1">
      <c r="A301" s="9">
        <v>317</v>
      </c>
      <c r="B301" s="10"/>
      <c r="C301" s="21">
        <v>231696</v>
      </c>
      <c r="D301" s="22" t="s">
        <v>86</v>
      </c>
      <c r="E301" s="23">
        <v>45161</v>
      </c>
      <c r="F301" s="24">
        <v>45139</v>
      </c>
      <c r="G301" s="25">
        <v>2637604</v>
      </c>
      <c r="H301" s="26" t="s">
        <v>2131</v>
      </c>
      <c r="I301" s="233" t="s">
        <v>29</v>
      </c>
      <c r="J301" s="11"/>
      <c r="K301" s="39"/>
      <c r="L301" s="40">
        <v>45196</v>
      </c>
      <c r="M301" s="40">
        <v>45196</v>
      </c>
      <c r="N301" s="37">
        <v>2637604</v>
      </c>
      <c r="O301" s="37">
        <v>0</v>
      </c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4.25" customHeight="1">
      <c r="A302" s="9">
        <v>318</v>
      </c>
      <c r="B302" s="10"/>
      <c r="C302" s="21">
        <v>231697</v>
      </c>
      <c r="D302" s="22" t="s">
        <v>86</v>
      </c>
      <c r="E302" s="23">
        <v>45161</v>
      </c>
      <c r="F302" s="24">
        <v>45139</v>
      </c>
      <c r="G302" s="25">
        <v>243090</v>
      </c>
      <c r="H302" s="26" t="s">
        <v>2132</v>
      </c>
      <c r="I302" s="233" t="s">
        <v>29</v>
      </c>
      <c r="J302" s="11"/>
      <c r="K302" s="39"/>
      <c r="L302" s="40">
        <v>45196</v>
      </c>
      <c r="M302" s="40">
        <v>45196</v>
      </c>
      <c r="N302" s="37">
        <v>243090</v>
      </c>
      <c r="O302" s="37">
        <v>0</v>
      </c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4.25" customHeight="1">
      <c r="A303" s="9">
        <v>319</v>
      </c>
      <c r="B303" s="10"/>
      <c r="C303" s="21">
        <v>231743</v>
      </c>
      <c r="D303" s="22" t="s">
        <v>86</v>
      </c>
      <c r="E303" s="23">
        <v>45166</v>
      </c>
      <c r="F303" s="24">
        <v>45139</v>
      </c>
      <c r="G303" s="25">
        <v>677371</v>
      </c>
      <c r="H303" s="26" t="s">
        <v>2133</v>
      </c>
      <c r="I303" s="233" t="s">
        <v>29</v>
      </c>
      <c r="J303" s="31">
        <v>35230418</v>
      </c>
      <c r="K303" s="39">
        <v>45229</v>
      </c>
      <c r="L303" s="40">
        <v>45229</v>
      </c>
      <c r="M303" s="40">
        <v>45229</v>
      </c>
      <c r="N303" s="37">
        <v>677371</v>
      </c>
      <c r="O303" s="37">
        <v>0</v>
      </c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4.25" customHeight="1">
      <c r="A304" s="9">
        <v>320</v>
      </c>
      <c r="B304" s="10"/>
      <c r="C304" s="21">
        <v>231744</v>
      </c>
      <c r="D304" s="22" t="s">
        <v>86</v>
      </c>
      <c r="E304" s="23">
        <v>45166</v>
      </c>
      <c r="F304" s="24">
        <v>45139</v>
      </c>
      <c r="G304" s="25">
        <v>469530</v>
      </c>
      <c r="H304" s="26" t="s">
        <v>2134</v>
      </c>
      <c r="I304" s="233" t="s">
        <v>29</v>
      </c>
      <c r="J304" s="11"/>
      <c r="K304" s="39"/>
      <c r="L304" s="40">
        <v>45229</v>
      </c>
      <c r="M304" s="40">
        <v>45229</v>
      </c>
      <c r="N304" s="37">
        <v>469530</v>
      </c>
      <c r="O304" s="37">
        <v>0</v>
      </c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4.25" customHeight="1">
      <c r="A305" s="9">
        <v>321</v>
      </c>
      <c r="B305" s="10"/>
      <c r="C305" s="21">
        <v>231775</v>
      </c>
      <c r="D305" s="22" t="s">
        <v>86</v>
      </c>
      <c r="E305" s="23">
        <v>45168</v>
      </c>
      <c r="F305" s="24">
        <v>45139</v>
      </c>
      <c r="G305" s="25">
        <v>1500942</v>
      </c>
      <c r="H305" s="26" t="s">
        <v>2135</v>
      </c>
      <c r="I305" s="233" t="s">
        <v>29</v>
      </c>
      <c r="J305" s="11"/>
      <c r="K305" s="39"/>
      <c r="L305" s="40">
        <v>45229</v>
      </c>
      <c r="M305" s="40">
        <v>45229</v>
      </c>
      <c r="N305" s="37">
        <v>1500942</v>
      </c>
      <c r="O305" s="37">
        <v>0</v>
      </c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4.25" customHeight="1">
      <c r="A306" s="9">
        <v>324</v>
      </c>
      <c r="B306" s="10"/>
      <c r="C306" s="21">
        <v>231786</v>
      </c>
      <c r="D306" s="22" t="s">
        <v>86</v>
      </c>
      <c r="E306" s="23">
        <v>45169</v>
      </c>
      <c r="F306" s="24">
        <v>45139</v>
      </c>
      <c r="G306" s="25">
        <v>109668</v>
      </c>
      <c r="H306" s="26" t="s">
        <v>2136</v>
      </c>
      <c r="I306" s="233" t="s">
        <v>29</v>
      </c>
      <c r="J306" s="11"/>
      <c r="K306" s="39"/>
      <c r="L306" s="40">
        <v>45229</v>
      </c>
      <c r="M306" s="40">
        <v>45229</v>
      </c>
      <c r="N306" s="37">
        <v>109668</v>
      </c>
      <c r="O306" s="37">
        <v>0</v>
      </c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4.25" customHeight="1">
      <c r="A307" s="9">
        <v>323</v>
      </c>
      <c r="B307" s="10"/>
      <c r="C307" s="21">
        <v>231787</v>
      </c>
      <c r="D307" s="22" t="s">
        <v>86</v>
      </c>
      <c r="E307" s="23">
        <v>45169</v>
      </c>
      <c r="F307" s="24">
        <v>45139</v>
      </c>
      <c r="G307" s="25">
        <v>565089</v>
      </c>
      <c r="H307" s="26" t="s">
        <v>2137</v>
      </c>
      <c r="I307" s="233" t="s">
        <v>29</v>
      </c>
      <c r="J307" s="11"/>
      <c r="K307" s="39"/>
      <c r="L307" s="40">
        <v>45229</v>
      </c>
      <c r="M307" s="40">
        <v>45229</v>
      </c>
      <c r="N307" s="37">
        <v>565089</v>
      </c>
      <c r="O307" s="37">
        <v>0</v>
      </c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4.25" customHeight="1">
      <c r="A308" s="9">
        <v>322</v>
      </c>
      <c r="B308" s="10"/>
      <c r="C308" s="21">
        <v>231788</v>
      </c>
      <c r="D308" s="22" t="s">
        <v>86</v>
      </c>
      <c r="E308" s="23">
        <v>45169</v>
      </c>
      <c r="F308" s="24">
        <v>45139</v>
      </c>
      <c r="G308" s="25">
        <v>1416711</v>
      </c>
      <c r="H308" s="26" t="s">
        <v>2138</v>
      </c>
      <c r="I308" s="233" t="s">
        <v>29</v>
      </c>
      <c r="J308" s="11"/>
      <c r="K308" s="39"/>
      <c r="L308" s="40">
        <v>45229</v>
      </c>
      <c r="M308" s="40">
        <v>45229</v>
      </c>
      <c r="N308" s="37">
        <v>1416711</v>
      </c>
      <c r="O308" s="37">
        <v>0</v>
      </c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4.25" customHeight="1">
      <c r="A309" s="9">
        <v>327</v>
      </c>
      <c r="B309" s="10"/>
      <c r="C309" s="21">
        <v>231804</v>
      </c>
      <c r="D309" s="22" t="s">
        <v>86</v>
      </c>
      <c r="E309" s="23">
        <v>45170</v>
      </c>
      <c r="F309" s="24">
        <v>45170</v>
      </c>
      <c r="G309" s="25">
        <v>739509</v>
      </c>
      <c r="H309" s="26" t="s">
        <v>2139</v>
      </c>
      <c r="I309" s="233" t="s">
        <v>29</v>
      </c>
      <c r="J309" s="11"/>
      <c r="K309" s="39"/>
      <c r="L309" s="40">
        <v>45229</v>
      </c>
      <c r="M309" s="40">
        <v>45229</v>
      </c>
      <c r="N309" s="37">
        <v>739509</v>
      </c>
      <c r="O309" s="37">
        <v>0</v>
      </c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4.25" customHeight="1">
      <c r="A310" s="9">
        <v>325</v>
      </c>
      <c r="B310" s="10"/>
      <c r="C310" s="21">
        <v>231805</v>
      </c>
      <c r="D310" s="22" t="s">
        <v>86</v>
      </c>
      <c r="E310" s="23">
        <v>45170</v>
      </c>
      <c r="F310" s="24">
        <v>45170</v>
      </c>
      <c r="G310" s="25">
        <v>3751845</v>
      </c>
      <c r="H310" s="26" t="s">
        <v>2140</v>
      </c>
      <c r="I310" s="233" t="s">
        <v>29</v>
      </c>
      <c r="J310" s="11"/>
      <c r="K310" s="39"/>
      <c r="L310" s="40">
        <v>45229</v>
      </c>
      <c r="M310" s="40">
        <v>45229</v>
      </c>
      <c r="N310" s="37">
        <v>3751845</v>
      </c>
      <c r="O310" s="37">
        <v>0</v>
      </c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4.25" customHeight="1">
      <c r="A311" s="9">
        <v>326</v>
      </c>
      <c r="B311" s="10"/>
      <c r="C311" s="21">
        <v>231806</v>
      </c>
      <c r="D311" s="22" t="s">
        <v>86</v>
      </c>
      <c r="E311" s="23">
        <v>45170</v>
      </c>
      <c r="F311" s="24">
        <v>45170</v>
      </c>
      <c r="G311" s="25">
        <v>1676575</v>
      </c>
      <c r="H311" s="26" t="s">
        <v>2141</v>
      </c>
      <c r="I311" s="233" t="s">
        <v>29</v>
      </c>
      <c r="J311" s="11"/>
      <c r="K311" s="39"/>
      <c r="L311" s="40">
        <v>45229</v>
      </c>
      <c r="M311" s="40">
        <v>45229</v>
      </c>
      <c r="N311" s="37">
        <v>1676575</v>
      </c>
      <c r="O311" s="37">
        <v>0</v>
      </c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4.25" customHeight="1">
      <c r="A312" s="9">
        <v>328</v>
      </c>
      <c r="B312" s="10"/>
      <c r="C312" s="21">
        <v>231820</v>
      </c>
      <c r="D312" s="22" t="s">
        <v>86</v>
      </c>
      <c r="E312" s="23">
        <v>45173</v>
      </c>
      <c r="F312" s="24">
        <v>45170</v>
      </c>
      <c r="G312" s="25">
        <v>755603</v>
      </c>
      <c r="H312" s="26" t="s">
        <v>2142</v>
      </c>
      <c r="I312" s="233" t="s">
        <v>29</v>
      </c>
      <c r="J312" s="11"/>
      <c r="K312" s="39"/>
      <c r="L312" s="40">
        <v>45229</v>
      </c>
      <c r="M312" s="40">
        <v>45229</v>
      </c>
      <c r="N312" s="37">
        <v>755603</v>
      </c>
      <c r="O312" s="37">
        <v>0</v>
      </c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4.25" customHeight="1">
      <c r="A313" s="9">
        <v>330</v>
      </c>
      <c r="B313" s="10"/>
      <c r="C313" s="21">
        <v>231824</v>
      </c>
      <c r="D313" s="22" t="s">
        <v>86</v>
      </c>
      <c r="E313" s="23">
        <v>45173</v>
      </c>
      <c r="F313" s="24">
        <v>45170</v>
      </c>
      <c r="G313" s="25">
        <v>965761</v>
      </c>
      <c r="H313" s="26" t="s">
        <v>2143</v>
      </c>
      <c r="I313" s="233" t="s">
        <v>29</v>
      </c>
      <c r="J313" s="11"/>
      <c r="K313" s="39"/>
      <c r="L313" s="40">
        <v>45229</v>
      </c>
      <c r="M313" s="40">
        <v>45229</v>
      </c>
      <c r="N313" s="37">
        <v>965761</v>
      </c>
      <c r="O313" s="37">
        <v>0</v>
      </c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4.25" customHeight="1">
      <c r="A314" s="9">
        <v>329</v>
      </c>
      <c r="B314" s="10"/>
      <c r="C314" s="21">
        <v>231825</v>
      </c>
      <c r="D314" s="22" t="s">
        <v>86</v>
      </c>
      <c r="E314" s="23">
        <v>45173</v>
      </c>
      <c r="F314" s="24">
        <v>45170</v>
      </c>
      <c r="G314" s="25">
        <v>739785</v>
      </c>
      <c r="H314" s="26" t="s">
        <v>2144</v>
      </c>
      <c r="I314" s="233" t="s">
        <v>29</v>
      </c>
      <c r="J314" s="11"/>
      <c r="K314" s="39"/>
      <c r="L314" s="40">
        <v>45229</v>
      </c>
      <c r="M314" s="40">
        <v>45229</v>
      </c>
      <c r="N314" s="37">
        <v>739785</v>
      </c>
      <c r="O314" s="37">
        <v>0</v>
      </c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4.25" customHeight="1">
      <c r="A315" s="9">
        <v>331</v>
      </c>
      <c r="B315" s="10"/>
      <c r="C315" s="21">
        <v>231826</v>
      </c>
      <c r="D315" s="22" t="s">
        <v>86</v>
      </c>
      <c r="E315" s="23">
        <v>45173</v>
      </c>
      <c r="F315" s="24">
        <v>45170</v>
      </c>
      <c r="G315" s="25">
        <v>3956406</v>
      </c>
      <c r="H315" s="26" t="s">
        <v>2145</v>
      </c>
      <c r="I315" s="233" t="s">
        <v>29</v>
      </c>
      <c r="J315" s="11"/>
      <c r="K315" s="39"/>
      <c r="L315" s="40">
        <v>45229</v>
      </c>
      <c r="M315" s="40">
        <v>45229</v>
      </c>
      <c r="N315" s="37">
        <v>3956406</v>
      </c>
      <c r="O315" s="37">
        <v>0</v>
      </c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4.25" customHeight="1">
      <c r="A316" s="9">
        <v>332</v>
      </c>
      <c r="B316" s="10"/>
      <c r="C316" s="21">
        <v>231866</v>
      </c>
      <c r="D316" s="22" t="s">
        <v>86</v>
      </c>
      <c r="E316" s="23">
        <v>45176</v>
      </c>
      <c r="F316" s="24">
        <v>45170</v>
      </c>
      <c r="G316" s="25">
        <v>937153</v>
      </c>
      <c r="H316" s="26" t="s">
        <v>2146</v>
      </c>
      <c r="I316" s="233" t="s">
        <v>29</v>
      </c>
      <c r="J316" s="11"/>
      <c r="K316" s="39"/>
      <c r="L316" s="40">
        <v>45229</v>
      </c>
      <c r="M316" s="40">
        <v>45229</v>
      </c>
      <c r="N316" s="37">
        <v>937153</v>
      </c>
      <c r="O316" s="37">
        <v>0</v>
      </c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4.25" customHeight="1">
      <c r="A317" s="9">
        <v>335</v>
      </c>
      <c r="B317" s="10"/>
      <c r="C317" s="21">
        <v>231842</v>
      </c>
      <c r="D317" s="22" t="s">
        <v>86</v>
      </c>
      <c r="E317" s="23">
        <v>45177</v>
      </c>
      <c r="F317" s="24">
        <v>45170</v>
      </c>
      <c r="G317" s="25">
        <v>243090</v>
      </c>
      <c r="H317" s="26" t="s">
        <v>2147</v>
      </c>
      <c r="I317" s="233" t="s">
        <v>29</v>
      </c>
      <c r="J317" s="11"/>
      <c r="K317" s="39"/>
      <c r="L317" s="40">
        <v>45229</v>
      </c>
      <c r="M317" s="40">
        <v>45229</v>
      </c>
      <c r="N317" s="37">
        <v>243090</v>
      </c>
      <c r="O317" s="37">
        <v>0</v>
      </c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4.25" customHeight="1">
      <c r="A318" s="9">
        <v>333</v>
      </c>
      <c r="B318" s="10"/>
      <c r="C318" s="21">
        <v>231859</v>
      </c>
      <c r="D318" s="22" t="s">
        <v>86</v>
      </c>
      <c r="E318" s="23">
        <v>45177</v>
      </c>
      <c r="F318" s="24">
        <v>45170</v>
      </c>
      <c r="G318" s="25">
        <v>469530</v>
      </c>
      <c r="H318" s="26" t="s">
        <v>2148</v>
      </c>
      <c r="I318" s="233" t="s">
        <v>29</v>
      </c>
      <c r="J318" s="11"/>
      <c r="K318" s="39"/>
      <c r="L318" s="40">
        <v>45229</v>
      </c>
      <c r="M318" s="40">
        <v>45229</v>
      </c>
      <c r="N318" s="37">
        <v>469530</v>
      </c>
      <c r="O318" s="37">
        <v>0</v>
      </c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4.25" customHeight="1">
      <c r="A319" s="9">
        <v>336</v>
      </c>
      <c r="B319" s="10"/>
      <c r="C319" s="21">
        <v>231860</v>
      </c>
      <c r="D319" s="22" t="s">
        <v>86</v>
      </c>
      <c r="E319" s="23">
        <v>45177</v>
      </c>
      <c r="F319" s="24">
        <v>45170</v>
      </c>
      <c r="G319" s="25">
        <v>701470</v>
      </c>
      <c r="H319" s="26" t="s">
        <v>2149</v>
      </c>
      <c r="I319" s="233" t="s">
        <v>29</v>
      </c>
      <c r="J319" s="11"/>
      <c r="K319" s="39"/>
      <c r="L319" s="40">
        <v>45229</v>
      </c>
      <c r="M319" s="40">
        <v>45229</v>
      </c>
      <c r="N319" s="37">
        <v>701470</v>
      </c>
      <c r="O319" s="37">
        <v>0</v>
      </c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4.25" customHeight="1">
      <c r="A320" s="9">
        <v>334</v>
      </c>
      <c r="B320" s="10"/>
      <c r="C320" s="21">
        <v>231861</v>
      </c>
      <c r="D320" s="22" t="s">
        <v>86</v>
      </c>
      <c r="E320" s="23">
        <v>45177</v>
      </c>
      <c r="F320" s="24">
        <v>45170</v>
      </c>
      <c r="G320" s="25">
        <v>1500942</v>
      </c>
      <c r="H320" s="26" t="s">
        <v>2150</v>
      </c>
      <c r="I320" s="233" t="s">
        <v>29</v>
      </c>
      <c r="J320" s="11"/>
      <c r="K320" s="39"/>
      <c r="L320" s="40">
        <v>45229</v>
      </c>
      <c r="M320" s="40">
        <v>45229</v>
      </c>
      <c r="N320" s="37">
        <v>1500942</v>
      </c>
      <c r="O320" s="37">
        <v>0</v>
      </c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4.25" customHeight="1">
      <c r="A321" s="9">
        <v>340</v>
      </c>
      <c r="B321" s="10"/>
      <c r="C321" s="21">
        <v>231862</v>
      </c>
      <c r="D321" s="22" t="s">
        <v>86</v>
      </c>
      <c r="E321" s="23">
        <v>45177</v>
      </c>
      <c r="F321" s="24">
        <v>45170</v>
      </c>
      <c r="G321" s="25">
        <v>704712</v>
      </c>
      <c r="H321" s="26" t="s">
        <v>2151</v>
      </c>
      <c r="I321" s="233" t="s">
        <v>29</v>
      </c>
      <c r="J321" s="11"/>
      <c r="K321" s="39"/>
      <c r="L321" s="40">
        <v>45229</v>
      </c>
      <c r="M321" s="40">
        <v>45229</v>
      </c>
      <c r="N321" s="37">
        <v>704712</v>
      </c>
      <c r="O321" s="37">
        <v>0</v>
      </c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4.25" customHeight="1">
      <c r="A322" s="9">
        <v>337</v>
      </c>
      <c r="B322" s="10"/>
      <c r="C322" s="21">
        <v>231864</v>
      </c>
      <c r="D322" s="22" t="s">
        <v>86</v>
      </c>
      <c r="E322" s="23">
        <v>45177</v>
      </c>
      <c r="F322" s="24">
        <v>45170</v>
      </c>
      <c r="G322" s="25">
        <v>856418</v>
      </c>
      <c r="H322" s="26" t="s">
        <v>2152</v>
      </c>
      <c r="I322" s="233" t="s">
        <v>29</v>
      </c>
      <c r="J322" s="11"/>
      <c r="K322" s="39"/>
      <c r="L322" s="40">
        <v>45229</v>
      </c>
      <c r="M322" s="40">
        <v>45229</v>
      </c>
      <c r="N322" s="37">
        <v>856418</v>
      </c>
      <c r="O322" s="37">
        <v>0</v>
      </c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4.25" customHeight="1">
      <c r="A323" s="9">
        <v>338</v>
      </c>
      <c r="B323" s="10"/>
      <c r="C323" s="21">
        <v>231865</v>
      </c>
      <c r="D323" s="22" t="s">
        <v>86</v>
      </c>
      <c r="E323" s="23">
        <v>45177</v>
      </c>
      <c r="F323" s="24">
        <v>45170</v>
      </c>
      <c r="G323" s="25">
        <v>1676575</v>
      </c>
      <c r="H323" s="26" t="s">
        <v>2153</v>
      </c>
      <c r="I323" s="233" t="s">
        <v>29</v>
      </c>
      <c r="J323" s="11"/>
      <c r="K323" s="39"/>
      <c r="L323" s="40">
        <v>45229</v>
      </c>
      <c r="M323" s="40">
        <v>45229</v>
      </c>
      <c r="N323" s="37">
        <v>1676575</v>
      </c>
      <c r="O323" s="37">
        <v>0</v>
      </c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4.25" customHeight="1">
      <c r="A324" s="9">
        <v>339</v>
      </c>
      <c r="B324" s="10"/>
      <c r="C324" s="21">
        <v>231867</v>
      </c>
      <c r="D324" s="22" t="s">
        <v>86</v>
      </c>
      <c r="E324" s="23">
        <v>45177</v>
      </c>
      <c r="F324" s="24">
        <v>45170</v>
      </c>
      <c r="G324" s="25">
        <v>1416711</v>
      </c>
      <c r="H324" s="26" t="s">
        <v>2154</v>
      </c>
      <c r="I324" s="233" t="s">
        <v>29</v>
      </c>
      <c r="J324" s="11"/>
      <c r="K324" s="39"/>
      <c r="L324" s="40">
        <v>45229</v>
      </c>
      <c r="M324" s="40">
        <v>45229</v>
      </c>
      <c r="N324" s="37">
        <v>1416711</v>
      </c>
      <c r="O324" s="37">
        <v>0</v>
      </c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4.25" customHeight="1">
      <c r="A325" s="9">
        <v>341</v>
      </c>
      <c r="B325" s="10"/>
      <c r="C325" s="21">
        <v>231875</v>
      </c>
      <c r="D325" s="22" t="s">
        <v>86</v>
      </c>
      <c r="E325" s="23">
        <v>45180</v>
      </c>
      <c r="F325" s="24">
        <v>45170</v>
      </c>
      <c r="G325" s="25">
        <v>101331</v>
      </c>
      <c r="H325" s="26" t="s">
        <v>2155</v>
      </c>
      <c r="I325" s="233" t="s">
        <v>29</v>
      </c>
      <c r="J325" s="11"/>
      <c r="K325" s="39"/>
      <c r="L325" s="40">
        <v>45229</v>
      </c>
      <c r="M325" s="40">
        <v>45229</v>
      </c>
      <c r="N325" s="37">
        <v>101331</v>
      </c>
      <c r="O325" s="37">
        <v>0</v>
      </c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4.25" customHeight="1">
      <c r="A326" s="9">
        <v>342</v>
      </c>
      <c r="B326" s="10"/>
      <c r="C326" s="21">
        <v>231876</v>
      </c>
      <c r="D326" s="22" t="s">
        <v>86</v>
      </c>
      <c r="E326" s="23">
        <v>45180</v>
      </c>
      <c r="F326" s="24">
        <v>45170</v>
      </c>
      <c r="G326" s="25">
        <v>3636360</v>
      </c>
      <c r="H326" s="26" t="s">
        <v>2156</v>
      </c>
      <c r="I326" s="233" t="s">
        <v>29</v>
      </c>
      <c r="J326" s="11"/>
      <c r="K326" s="39"/>
      <c r="L326" s="40">
        <v>45229</v>
      </c>
      <c r="M326" s="40">
        <v>45229</v>
      </c>
      <c r="N326" s="37">
        <v>3636360</v>
      </c>
      <c r="O326" s="37">
        <v>0</v>
      </c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4.25" customHeight="1">
      <c r="A327" s="9">
        <v>343</v>
      </c>
      <c r="B327" s="10"/>
      <c r="C327" s="21">
        <v>231877</v>
      </c>
      <c r="D327" s="22" t="s">
        <v>86</v>
      </c>
      <c r="E327" s="23">
        <v>45180</v>
      </c>
      <c r="F327" s="24">
        <v>45170</v>
      </c>
      <c r="G327" s="25">
        <v>1639997</v>
      </c>
      <c r="H327" s="26" t="s">
        <v>2157</v>
      </c>
      <c r="I327" s="233" t="s">
        <v>29</v>
      </c>
      <c r="J327" s="11"/>
      <c r="K327" s="39"/>
      <c r="L327" s="40">
        <v>45229</v>
      </c>
      <c r="M327" s="40">
        <v>45229</v>
      </c>
      <c r="N327" s="37">
        <v>1639997</v>
      </c>
      <c r="O327" s="37">
        <v>0</v>
      </c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4.25" customHeight="1">
      <c r="A328" s="9">
        <v>346</v>
      </c>
      <c r="B328" s="10"/>
      <c r="C328" s="21">
        <v>231910</v>
      </c>
      <c r="D328" s="22" t="s">
        <v>86</v>
      </c>
      <c r="E328" s="23">
        <v>45184</v>
      </c>
      <c r="F328" s="24">
        <v>45170</v>
      </c>
      <c r="G328" s="25">
        <v>615617</v>
      </c>
      <c r="H328" s="26" t="s">
        <v>2158</v>
      </c>
      <c r="I328" s="233" t="s">
        <v>29</v>
      </c>
      <c r="J328" s="11"/>
      <c r="K328" s="39"/>
      <c r="L328" s="40">
        <v>45229</v>
      </c>
      <c r="M328" s="40">
        <v>45229</v>
      </c>
      <c r="N328" s="37">
        <v>615617</v>
      </c>
      <c r="O328" s="37">
        <v>0</v>
      </c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4.25" customHeight="1">
      <c r="A329" s="9">
        <v>345</v>
      </c>
      <c r="B329" s="10"/>
      <c r="C329" s="21">
        <v>231911</v>
      </c>
      <c r="D329" s="22" t="s">
        <v>86</v>
      </c>
      <c r="E329" s="23">
        <v>45184</v>
      </c>
      <c r="F329" s="24">
        <v>45170</v>
      </c>
      <c r="G329" s="25">
        <v>428209</v>
      </c>
      <c r="H329" s="26" t="s">
        <v>2159</v>
      </c>
      <c r="I329" s="233" t="s">
        <v>29</v>
      </c>
      <c r="J329" s="11"/>
      <c r="K329" s="39"/>
      <c r="L329" s="40">
        <v>45229</v>
      </c>
      <c r="M329" s="40">
        <v>45229</v>
      </c>
      <c r="N329" s="37">
        <v>428209</v>
      </c>
      <c r="O329" s="37">
        <v>0</v>
      </c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4.25" customHeight="1">
      <c r="A330" s="9">
        <v>344</v>
      </c>
      <c r="B330" s="10"/>
      <c r="C330" s="21">
        <v>231948</v>
      </c>
      <c r="D330" s="22" t="s">
        <v>86</v>
      </c>
      <c r="E330" s="23">
        <v>45184</v>
      </c>
      <c r="F330" s="24">
        <v>45170</v>
      </c>
      <c r="G330" s="25">
        <v>405150</v>
      </c>
      <c r="H330" s="26" t="s">
        <v>2160</v>
      </c>
      <c r="I330" s="233" t="s">
        <v>29</v>
      </c>
      <c r="J330" s="11"/>
      <c r="K330" s="39"/>
      <c r="L330" s="40">
        <v>45229</v>
      </c>
      <c r="M330" s="40">
        <v>45229</v>
      </c>
      <c r="N330" s="37">
        <v>405150</v>
      </c>
      <c r="O330" s="37">
        <v>0</v>
      </c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4.25" customHeight="1">
      <c r="A331" s="9">
        <v>347</v>
      </c>
      <c r="B331" s="10"/>
      <c r="C331" s="21">
        <v>231949</v>
      </c>
      <c r="D331" s="22" t="s">
        <v>86</v>
      </c>
      <c r="E331" s="23">
        <v>45189</v>
      </c>
      <c r="F331" s="24">
        <v>45170</v>
      </c>
      <c r="G331" s="25">
        <v>2572358</v>
      </c>
      <c r="H331" s="26" t="s">
        <v>2161</v>
      </c>
      <c r="I331" s="233" t="s">
        <v>29</v>
      </c>
      <c r="J331" s="11"/>
      <c r="K331" s="39"/>
      <c r="L331" s="40">
        <v>45229</v>
      </c>
      <c r="M331" s="40">
        <v>45229</v>
      </c>
      <c r="N331" s="37">
        <v>2572358</v>
      </c>
      <c r="O331" s="37">
        <v>0</v>
      </c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4.25" customHeight="1">
      <c r="A332" s="9">
        <v>351</v>
      </c>
      <c r="B332" s="10"/>
      <c r="C332" s="21">
        <v>231942</v>
      </c>
      <c r="D332" s="22" t="s">
        <v>86</v>
      </c>
      <c r="E332" s="23">
        <v>45191</v>
      </c>
      <c r="F332" s="24">
        <v>45170</v>
      </c>
      <c r="G332" s="25">
        <v>71317</v>
      </c>
      <c r="H332" s="26" t="s">
        <v>2162</v>
      </c>
      <c r="I332" s="233" t="s">
        <v>29</v>
      </c>
      <c r="J332" s="11"/>
      <c r="K332" s="39"/>
      <c r="L332" s="40">
        <v>45236</v>
      </c>
      <c r="M332" s="40">
        <v>45237</v>
      </c>
      <c r="N332" s="37">
        <v>71317</v>
      </c>
      <c r="O332" s="37">
        <v>0</v>
      </c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4.25" customHeight="1">
      <c r="A333" s="9">
        <v>352</v>
      </c>
      <c r="B333" s="10"/>
      <c r="C333" s="21">
        <v>231943</v>
      </c>
      <c r="D333" s="22" t="s">
        <v>86</v>
      </c>
      <c r="E333" s="23">
        <v>45191</v>
      </c>
      <c r="F333" s="24">
        <v>45170</v>
      </c>
      <c r="G333" s="25">
        <v>1311997</v>
      </c>
      <c r="H333" s="26" t="s">
        <v>2163</v>
      </c>
      <c r="I333" s="233" t="s">
        <v>29</v>
      </c>
      <c r="J333" s="11"/>
      <c r="K333" s="39"/>
      <c r="L333" s="40">
        <v>45236</v>
      </c>
      <c r="M333" s="40">
        <v>45237</v>
      </c>
      <c r="N333" s="37">
        <v>1311997</v>
      </c>
      <c r="O333" s="37">
        <v>0</v>
      </c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4.25" customHeight="1">
      <c r="A334" s="9">
        <v>353</v>
      </c>
      <c r="B334" s="10"/>
      <c r="C334" s="21">
        <v>231944</v>
      </c>
      <c r="D334" s="22" t="s">
        <v>86</v>
      </c>
      <c r="E334" s="23">
        <v>45191</v>
      </c>
      <c r="F334" s="24">
        <v>45170</v>
      </c>
      <c r="G334" s="25">
        <v>847607</v>
      </c>
      <c r="H334" s="26" t="s">
        <v>2164</v>
      </c>
      <c r="I334" s="233" t="s">
        <v>29</v>
      </c>
      <c r="J334" s="11"/>
      <c r="K334" s="39"/>
      <c r="L334" s="40">
        <v>45236</v>
      </c>
      <c r="M334" s="40">
        <v>45237</v>
      </c>
      <c r="N334" s="37">
        <v>847607</v>
      </c>
      <c r="O334" s="37">
        <v>0</v>
      </c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4.25" customHeight="1">
      <c r="A335" s="9">
        <v>349</v>
      </c>
      <c r="B335" s="10"/>
      <c r="C335" s="21">
        <v>231945</v>
      </c>
      <c r="D335" s="22" t="s">
        <v>86</v>
      </c>
      <c r="E335" s="23">
        <v>45191</v>
      </c>
      <c r="F335" s="24">
        <v>45170</v>
      </c>
      <c r="G335" s="25">
        <v>842976</v>
      </c>
      <c r="H335" s="26" t="s">
        <v>2165</v>
      </c>
      <c r="I335" s="233" t="s">
        <v>29</v>
      </c>
      <c r="J335" s="11"/>
      <c r="K335" s="39"/>
      <c r="L335" s="40">
        <v>45236</v>
      </c>
      <c r="M335" s="40">
        <v>45237</v>
      </c>
      <c r="N335" s="37">
        <v>842976</v>
      </c>
      <c r="O335" s="37">
        <v>0</v>
      </c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4.25" customHeight="1">
      <c r="A336" s="9">
        <v>350</v>
      </c>
      <c r="B336" s="10"/>
      <c r="C336" s="21">
        <v>231946</v>
      </c>
      <c r="D336" s="22" t="s">
        <v>86</v>
      </c>
      <c r="E336" s="23">
        <v>45191</v>
      </c>
      <c r="F336" s="24">
        <v>45170</v>
      </c>
      <c r="G336" s="25">
        <v>3403352</v>
      </c>
      <c r="H336" s="26" t="s">
        <v>2166</v>
      </c>
      <c r="I336" s="233" t="s">
        <v>29</v>
      </c>
      <c r="J336" s="11"/>
      <c r="K336" s="39"/>
      <c r="L336" s="40">
        <v>45236</v>
      </c>
      <c r="M336" s="40">
        <v>45237</v>
      </c>
      <c r="N336" s="37">
        <v>3403352</v>
      </c>
      <c r="O336" s="37">
        <v>0</v>
      </c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4.25" customHeight="1">
      <c r="A337" s="9">
        <v>348</v>
      </c>
      <c r="B337" s="10"/>
      <c r="C337" s="21">
        <v>231947</v>
      </c>
      <c r="D337" s="22" t="s">
        <v>86</v>
      </c>
      <c r="E337" s="23">
        <v>45191</v>
      </c>
      <c r="F337" s="24">
        <v>45170</v>
      </c>
      <c r="G337" s="25">
        <v>2514862</v>
      </c>
      <c r="H337" s="26" t="s">
        <v>2167</v>
      </c>
      <c r="I337" s="233" t="s">
        <v>29</v>
      </c>
      <c r="J337" s="48">
        <v>24812545</v>
      </c>
      <c r="K337" s="39">
        <v>45235</v>
      </c>
      <c r="L337" s="40">
        <v>45236</v>
      </c>
      <c r="M337" s="40">
        <v>45237</v>
      </c>
      <c r="N337" s="37">
        <v>2514862</v>
      </c>
      <c r="O337" s="37">
        <v>0</v>
      </c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4.25" customHeight="1">
      <c r="A338" s="9">
        <v>354</v>
      </c>
      <c r="B338" s="10"/>
      <c r="C338" s="21">
        <v>231941</v>
      </c>
      <c r="D338" s="22" t="s">
        <v>86</v>
      </c>
      <c r="E338" s="23">
        <v>45192</v>
      </c>
      <c r="F338" s="24">
        <v>45170</v>
      </c>
      <c r="G338" s="25">
        <v>1668407</v>
      </c>
      <c r="H338" s="26" t="s">
        <v>2168</v>
      </c>
      <c r="I338" s="233" t="s">
        <v>29</v>
      </c>
      <c r="J338" s="11"/>
      <c r="K338" s="39"/>
      <c r="L338" s="40">
        <v>45236</v>
      </c>
      <c r="M338" s="40">
        <v>45237</v>
      </c>
      <c r="N338" s="37">
        <v>1668407</v>
      </c>
      <c r="O338" s="37">
        <v>0</v>
      </c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4.25" customHeight="1">
      <c r="A339" s="9">
        <v>355</v>
      </c>
      <c r="B339" s="10"/>
      <c r="C339" s="21">
        <v>231940</v>
      </c>
      <c r="D339" s="22" t="s">
        <v>86</v>
      </c>
      <c r="E339" s="23">
        <v>45194</v>
      </c>
      <c r="F339" s="24">
        <v>45170</v>
      </c>
      <c r="G339" s="25">
        <v>939060</v>
      </c>
      <c r="H339" s="26" t="s">
        <v>2169</v>
      </c>
      <c r="I339" s="233" t="s">
        <v>29</v>
      </c>
      <c r="J339" s="11"/>
      <c r="K339" s="39"/>
      <c r="L339" s="40">
        <v>45236</v>
      </c>
      <c r="M339" s="40">
        <v>45237</v>
      </c>
      <c r="N339" s="37">
        <v>939060</v>
      </c>
      <c r="O339" s="37">
        <v>0</v>
      </c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4.25" customHeight="1">
      <c r="A340" s="9">
        <v>356</v>
      </c>
      <c r="B340" s="10"/>
      <c r="C340" s="21">
        <v>231985</v>
      </c>
      <c r="D340" s="22" t="s">
        <v>86</v>
      </c>
      <c r="E340" s="23">
        <v>45196</v>
      </c>
      <c r="F340" s="24">
        <v>45170</v>
      </c>
      <c r="G340" s="25">
        <v>6174019</v>
      </c>
      <c r="H340" s="26" t="s">
        <v>2170</v>
      </c>
      <c r="I340" s="233" t="s">
        <v>29</v>
      </c>
      <c r="J340" s="11"/>
      <c r="K340" s="39"/>
      <c r="L340" s="40">
        <v>45236</v>
      </c>
      <c r="M340" s="40">
        <v>45237</v>
      </c>
      <c r="N340" s="37">
        <v>6174019</v>
      </c>
      <c r="O340" s="37">
        <v>0</v>
      </c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4.25" customHeight="1">
      <c r="A341" s="9">
        <v>358</v>
      </c>
      <c r="B341" s="10"/>
      <c r="C341" s="21">
        <v>231996</v>
      </c>
      <c r="D341" s="22" t="s">
        <v>86</v>
      </c>
      <c r="E341" s="23">
        <v>45198</v>
      </c>
      <c r="F341" s="24">
        <v>45170</v>
      </c>
      <c r="G341" s="25">
        <v>1367520</v>
      </c>
      <c r="H341" s="26" t="s">
        <v>2171</v>
      </c>
      <c r="I341" s="233" t="s">
        <v>29</v>
      </c>
      <c r="J341" s="11"/>
      <c r="K341" s="39"/>
      <c r="L341" s="40">
        <v>45236</v>
      </c>
      <c r="M341" s="40">
        <v>45237</v>
      </c>
      <c r="N341" s="37">
        <v>1367520</v>
      </c>
      <c r="O341" s="37">
        <v>0</v>
      </c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4.25" customHeight="1">
      <c r="A342" s="9">
        <v>357</v>
      </c>
      <c r="B342" s="10"/>
      <c r="C342" s="21">
        <v>231997</v>
      </c>
      <c r="D342" s="22" t="s">
        <v>86</v>
      </c>
      <c r="E342" s="23">
        <v>45198</v>
      </c>
      <c r="F342" s="24">
        <v>45170</v>
      </c>
      <c r="G342" s="25">
        <v>2612940</v>
      </c>
      <c r="H342" s="26" t="s">
        <v>2172</v>
      </c>
      <c r="I342" s="233" t="s">
        <v>29</v>
      </c>
      <c r="J342" s="11"/>
      <c r="K342" s="39"/>
      <c r="L342" s="40">
        <v>45236</v>
      </c>
      <c r="M342" s="40">
        <v>45237</v>
      </c>
      <c r="N342" s="37">
        <v>2612940</v>
      </c>
      <c r="O342" s="37">
        <v>0</v>
      </c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4.25" customHeight="1">
      <c r="A343" s="9">
        <v>359</v>
      </c>
      <c r="B343" s="10"/>
      <c r="C343" s="21">
        <v>232026</v>
      </c>
      <c r="D343" s="22" t="s">
        <v>86</v>
      </c>
      <c r="E343" s="23">
        <v>45199</v>
      </c>
      <c r="F343" s="24">
        <v>45170</v>
      </c>
      <c r="G343" s="25">
        <v>1372792</v>
      </c>
      <c r="H343" s="26" t="s">
        <v>2173</v>
      </c>
      <c r="I343" s="233" t="s">
        <v>29</v>
      </c>
      <c r="J343" s="11"/>
      <c r="K343" s="39"/>
      <c r="L343" s="40">
        <v>45236</v>
      </c>
      <c r="M343" s="40">
        <v>45237</v>
      </c>
      <c r="N343" s="37">
        <v>1372792</v>
      </c>
      <c r="O343" s="37">
        <v>0</v>
      </c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4.25" customHeight="1">
      <c r="A344" s="9">
        <v>360</v>
      </c>
      <c r="B344" s="10"/>
      <c r="C344" s="21">
        <v>232044</v>
      </c>
      <c r="D344" s="22" t="s">
        <v>86</v>
      </c>
      <c r="E344" s="23">
        <v>45202</v>
      </c>
      <c r="F344" s="24">
        <v>45200</v>
      </c>
      <c r="G344" s="25">
        <v>105350</v>
      </c>
      <c r="H344" s="26" t="s">
        <v>2174</v>
      </c>
      <c r="I344" s="233" t="s">
        <v>29</v>
      </c>
      <c r="J344" s="11"/>
      <c r="K344" s="39"/>
      <c r="L344" s="40">
        <v>45236</v>
      </c>
      <c r="M344" s="40">
        <v>45237</v>
      </c>
      <c r="N344" s="37">
        <v>105350</v>
      </c>
      <c r="O344" s="37">
        <v>0</v>
      </c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4.25" customHeight="1">
      <c r="A345" s="9">
        <v>361</v>
      </c>
      <c r="B345" s="10"/>
      <c r="C345" s="21">
        <v>232055</v>
      </c>
      <c r="D345" s="22" t="s">
        <v>86</v>
      </c>
      <c r="E345" s="23">
        <v>45204</v>
      </c>
      <c r="F345" s="24">
        <v>45200</v>
      </c>
      <c r="G345" s="25">
        <v>424725</v>
      </c>
      <c r="H345" s="26" t="s">
        <v>2175</v>
      </c>
      <c r="I345" s="233" t="s">
        <v>29</v>
      </c>
      <c r="J345" s="11"/>
      <c r="K345" s="39"/>
      <c r="L345" s="40">
        <v>45236</v>
      </c>
      <c r="M345" s="40">
        <v>45237</v>
      </c>
      <c r="N345" s="37">
        <v>424725</v>
      </c>
      <c r="O345" s="37">
        <v>0</v>
      </c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4.25" customHeight="1">
      <c r="A346" s="9">
        <v>362</v>
      </c>
      <c r="B346" s="10"/>
      <c r="C346" s="21">
        <v>232060</v>
      </c>
      <c r="D346" s="22" t="s">
        <v>86</v>
      </c>
      <c r="E346" s="23">
        <v>45204</v>
      </c>
      <c r="F346" s="24">
        <v>45200</v>
      </c>
      <c r="G346" s="25">
        <v>750471</v>
      </c>
      <c r="H346" s="26" t="s">
        <v>2176</v>
      </c>
      <c r="I346" s="233" t="s">
        <v>29</v>
      </c>
      <c r="J346" s="11"/>
      <c r="K346" s="39"/>
      <c r="L346" s="40">
        <v>45236</v>
      </c>
      <c r="M346" s="40">
        <v>45237</v>
      </c>
      <c r="N346" s="37">
        <v>750471</v>
      </c>
      <c r="O346" s="37">
        <v>0</v>
      </c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4.25" customHeight="1">
      <c r="A347" s="9">
        <v>364</v>
      </c>
      <c r="B347" s="10"/>
      <c r="C347" s="21">
        <v>232090</v>
      </c>
      <c r="D347" s="22" t="s">
        <v>86</v>
      </c>
      <c r="E347" s="23">
        <v>45210</v>
      </c>
      <c r="F347" s="24">
        <v>45200</v>
      </c>
      <c r="G347" s="25">
        <v>4089711</v>
      </c>
      <c r="H347" s="26" t="s">
        <v>2177</v>
      </c>
      <c r="I347" s="233" t="s">
        <v>29</v>
      </c>
      <c r="J347" s="31">
        <v>15349423</v>
      </c>
      <c r="K347" s="39"/>
      <c r="L347" s="40">
        <v>45261</v>
      </c>
      <c r="M347" s="40">
        <v>45261</v>
      </c>
      <c r="N347" s="37">
        <v>4089711</v>
      </c>
      <c r="O347" s="37">
        <v>0</v>
      </c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4.25" customHeight="1">
      <c r="A348" s="9">
        <v>363</v>
      </c>
      <c r="B348" s="10"/>
      <c r="C348" s="21">
        <v>232091</v>
      </c>
      <c r="D348" s="22" t="s">
        <v>86</v>
      </c>
      <c r="E348" s="23">
        <v>45210</v>
      </c>
      <c r="F348" s="24">
        <v>45200</v>
      </c>
      <c r="G348" s="25">
        <v>405150</v>
      </c>
      <c r="H348" s="26" t="s">
        <v>2178</v>
      </c>
      <c r="I348" s="233" t="s">
        <v>29</v>
      </c>
      <c r="J348" s="11"/>
      <c r="K348" s="39"/>
      <c r="L348" s="40">
        <v>45236</v>
      </c>
      <c r="M348" s="40">
        <v>45237</v>
      </c>
      <c r="N348" s="37">
        <v>405150</v>
      </c>
      <c r="O348" s="37">
        <v>0</v>
      </c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4.25" customHeight="1">
      <c r="A349" s="9">
        <v>367</v>
      </c>
      <c r="B349" s="10"/>
      <c r="C349" s="21">
        <v>232092</v>
      </c>
      <c r="D349" s="22" t="s">
        <v>86</v>
      </c>
      <c r="E349" s="23">
        <v>45211</v>
      </c>
      <c r="F349" s="24">
        <v>45200</v>
      </c>
      <c r="G349" s="25">
        <v>572019</v>
      </c>
      <c r="H349" s="26" t="s">
        <v>2179</v>
      </c>
      <c r="I349" s="233" t="s">
        <v>29</v>
      </c>
      <c r="J349" s="11"/>
      <c r="K349" s="39"/>
      <c r="L349" s="40">
        <v>45261</v>
      </c>
      <c r="M349" s="40">
        <v>45261</v>
      </c>
      <c r="N349" s="37">
        <v>572019</v>
      </c>
      <c r="O349" s="37">
        <v>0</v>
      </c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4.25" customHeight="1">
      <c r="A350" s="9">
        <v>365</v>
      </c>
      <c r="B350" s="10"/>
      <c r="C350" s="21">
        <v>232093</v>
      </c>
      <c r="D350" s="22" t="s">
        <v>86</v>
      </c>
      <c r="E350" s="23">
        <v>45211</v>
      </c>
      <c r="F350" s="24">
        <v>45200</v>
      </c>
      <c r="G350" s="25">
        <v>900565</v>
      </c>
      <c r="H350" s="26" t="s">
        <v>2180</v>
      </c>
      <c r="I350" s="233" t="s">
        <v>29</v>
      </c>
      <c r="J350" s="11"/>
      <c r="K350" s="39"/>
      <c r="L350" s="40">
        <v>45261</v>
      </c>
      <c r="M350" s="40">
        <v>45261</v>
      </c>
      <c r="N350" s="37">
        <v>900565</v>
      </c>
      <c r="O350" s="37">
        <v>0</v>
      </c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4.25" customHeight="1">
      <c r="A351" s="9">
        <v>366</v>
      </c>
      <c r="B351" s="10"/>
      <c r="C351" s="21">
        <v>232098</v>
      </c>
      <c r="D351" s="22" t="s">
        <v>86</v>
      </c>
      <c r="E351" s="23">
        <v>45211</v>
      </c>
      <c r="F351" s="24">
        <v>45200</v>
      </c>
      <c r="G351" s="25">
        <v>947678</v>
      </c>
      <c r="H351" s="26" t="s">
        <v>2181</v>
      </c>
      <c r="I351" s="233" t="s">
        <v>29</v>
      </c>
      <c r="J351" s="11"/>
      <c r="K351" s="39"/>
      <c r="L351" s="40">
        <v>45261</v>
      </c>
      <c r="M351" s="40">
        <v>45261</v>
      </c>
      <c r="N351" s="37">
        <v>947678</v>
      </c>
      <c r="O351" s="37">
        <v>0</v>
      </c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4.25" customHeight="1">
      <c r="A352" s="9">
        <v>368</v>
      </c>
      <c r="B352" s="10"/>
      <c r="C352" s="21">
        <v>232087</v>
      </c>
      <c r="D352" s="22" t="s">
        <v>86</v>
      </c>
      <c r="E352" s="23">
        <v>45212</v>
      </c>
      <c r="F352" s="24">
        <v>45200</v>
      </c>
      <c r="G352" s="25">
        <v>599400</v>
      </c>
      <c r="H352" s="26" t="s">
        <v>2182</v>
      </c>
      <c r="I352" s="233" t="s">
        <v>29</v>
      </c>
      <c r="J352" s="11"/>
      <c r="K352" s="39"/>
      <c r="L352" s="40">
        <v>45261</v>
      </c>
      <c r="M352" s="40">
        <v>45261</v>
      </c>
      <c r="N352" s="37">
        <v>599400</v>
      </c>
      <c r="O352" s="37">
        <v>0</v>
      </c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4.25" customHeight="1">
      <c r="A353" s="9">
        <v>370</v>
      </c>
      <c r="B353" s="10"/>
      <c r="C353" s="21">
        <v>232088</v>
      </c>
      <c r="D353" s="22" t="s">
        <v>86</v>
      </c>
      <c r="E353" s="23">
        <v>45212</v>
      </c>
      <c r="F353" s="24">
        <v>45200</v>
      </c>
      <c r="G353" s="25">
        <v>565089</v>
      </c>
      <c r="H353" s="26" t="s">
        <v>2183</v>
      </c>
      <c r="I353" s="233" t="s">
        <v>29</v>
      </c>
      <c r="J353" s="11"/>
      <c r="K353" s="39"/>
      <c r="L353" s="40">
        <v>45261</v>
      </c>
      <c r="M353" s="40">
        <v>45261</v>
      </c>
      <c r="N353" s="37">
        <v>565089</v>
      </c>
      <c r="O353" s="37">
        <v>0</v>
      </c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4.25" customHeight="1">
      <c r="A354" s="9">
        <v>369</v>
      </c>
      <c r="B354" s="10"/>
      <c r="C354" s="21">
        <v>232089</v>
      </c>
      <c r="D354" s="22" t="s">
        <v>86</v>
      </c>
      <c r="E354" s="23">
        <v>45212</v>
      </c>
      <c r="F354" s="24">
        <v>45200</v>
      </c>
      <c r="G354" s="25">
        <v>6174019</v>
      </c>
      <c r="H354" s="26" t="s">
        <v>2184</v>
      </c>
      <c r="I354" s="233" t="s">
        <v>29</v>
      </c>
      <c r="J354" s="11" t="s">
        <v>1238</v>
      </c>
      <c r="K354" s="39"/>
      <c r="L354" s="40">
        <v>45261</v>
      </c>
      <c r="M354" s="40">
        <v>45261</v>
      </c>
      <c r="N354" s="37">
        <v>6174019</v>
      </c>
      <c r="O354" s="37">
        <v>0</v>
      </c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4.25" customHeight="1">
      <c r="A355" s="9">
        <v>371</v>
      </c>
      <c r="B355" s="10"/>
      <c r="C355" s="21">
        <v>232109</v>
      </c>
      <c r="D355" s="22" t="s">
        <v>86</v>
      </c>
      <c r="E355" s="23">
        <v>45218</v>
      </c>
      <c r="F355" s="24">
        <v>45200</v>
      </c>
      <c r="G355" s="25">
        <v>1500942</v>
      </c>
      <c r="H355" s="26" t="s">
        <v>2185</v>
      </c>
      <c r="I355" s="233" t="s">
        <v>29</v>
      </c>
      <c r="J355" s="11"/>
      <c r="K355" s="39"/>
      <c r="L355" s="40">
        <v>45261</v>
      </c>
      <c r="M355" s="40">
        <v>45261</v>
      </c>
      <c r="N355" s="37">
        <v>1500942</v>
      </c>
      <c r="O355" s="37">
        <v>0</v>
      </c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4.25" customHeight="1">
      <c r="A356" s="9">
        <v>372</v>
      </c>
      <c r="B356" s="10"/>
      <c r="C356" s="21">
        <v>232206</v>
      </c>
      <c r="D356" s="22" t="s">
        <v>86</v>
      </c>
      <c r="E356" s="23">
        <v>45231</v>
      </c>
      <c r="F356" s="24">
        <v>45231</v>
      </c>
      <c r="G356" s="25">
        <v>1528470</v>
      </c>
      <c r="H356" s="26" t="s">
        <v>2186</v>
      </c>
      <c r="I356" s="233" t="s">
        <v>29</v>
      </c>
      <c r="J356" s="31">
        <v>34648290</v>
      </c>
      <c r="K356" s="39"/>
      <c r="L356" s="40">
        <v>45275</v>
      </c>
      <c r="M356" s="40">
        <v>45275</v>
      </c>
      <c r="N356" s="37">
        <v>1528470</v>
      </c>
      <c r="O356" s="37">
        <v>0</v>
      </c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4.25" customHeight="1">
      <c r="A357" s="9">
        <v>373</v>
      </c>
      <c r="B357" s="10"/>
      <c r="C357" s="21">
        <v>232210</v>
      </c>
      <c r="D357" s="22" t="s">
        <v>86</v>
      </c>
      <c r="E357" s="23">
        <v>45233</v>
      </c>
      <c r="F357" s="24">
        <v>45231</v>
      </c>
      <c r="G357" s="25">
        <v>1264463</v>
      </c>
      <c r="H357" s="26" t="s">
        <v>2187</v>
      </c>
      <c r="I357" s="233" t="s">
        <v>29</v>
      </c>
      <c r="J357" s="11"/>
      <c r="K357" s="39"/>
      <c r="L357" s="40">
        <v>45275</v>
      </c>
      <c r="M357" s="40">
        <v>45275</v>
      </c>
      <c r="N357" s="37">
        <v>1264463</v>
      </c>
      <c r="O357" s="37">
        <v>0</v>
      </c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4.25" customHeight="1">
      <c r="A358" s="9">
        <v>375</v>
      </c>
      <c r="B358" s="10"/>
      <c r="C358" s="21">
        <v>232226</v>
      </c>
      <c r="D358" s="22" t="s">
        <v>86</v>
      </c>
      <c r="E358" s="23">
        <v>45233</v>
      </c>
      <c r="F358" s="24">
        <v>45231</v>
      </c>
      <c r="G358" s="25">
        <v>5029725</v>
      </c>
      <c r="H358" s="26" t="s">
        <v>2188</v>
      </c>
      <c r="I358" s="233" t="s">
        <v>29</v>
      </c>
      <c r="J358" s="11"/>
      <c r="K358" s="39"/>
      <c r="L358" s="40">
        <v>45275</v>
      </c>
      <c r="M358" s="40">
        <v>45275</v>
      </c>
      <c r="N358" s="37">
        <v>5029725</v>
      </c>
      <c r="O358" s="37">
        <v>0</v>
      </c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4.25" customHeight="1">
      <c r="A359" s="9">
        <v>374</v>
      </c>
      <c r="B359" s="10"/>
      <c r="C359" s="21">
        <v>232227</v>
      </c>
      <c r="D359" s="22" t="s">
        <v>86</v>
      </c>
      <c r="E359" s="23">
        <v>45233</v>
      </c>
      <c r="F359" s="24">
        <v>45231</v>
      </c>
      <c r="G359" s="25">
        <v>3401683</v>
      </c>
      <c r="H359" s="26" t="s">
        <v>2189</v>
      </c>
      <c r="I359" s="233" t="s">
        <v>29</v>
      </c>
      <c r="J359" s="11"/>
      <c r="K359" s="39"/>
      <c r="L359" s="40">
        <v>45275</v>
      </c>
      <c r="M359" s="40">
        <v>45275</v>
      </c>
      <c r="N359" s="37">
        <v>3401683</v>
      </c>
      <c r="O359" s="37">
        <v>0</v>
      </c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4.25" customHeight="1">
      <c r="A360" s="9">
        <v>376</v>
      </c>
      <c r="B360" s="10"/>
      <c r="C360" s="21">
        <v>232225</v>
      </c>
      <c r="D360" s="22" t="s">
        <v>86</v>
      </c>
      <c r="E360" s="23">
        <v>45234</v>
      </c>
      <c r="F360" s="24">
        <v>45231</v>
      </c>
      <c r="G360" s="25">
        <v>732211</v>
      </c>
      <c r="H360" s="26" t="s">
        <v>2190</v>
      </c>
      <c r="I360" s="233" t="s">
        <v>29</v>
      </c>
      <c r="J360" s="11"/>
      <c r="K360" s="39"/>
      <c r="L360" s="40">
        <v>45275</v>
      </c>
      <c r="M360" s="40">
        <v>45275</v>
      </c>
      <c r="N360" s="37">
        <v>732211</v>
      </c>
      <c r="O360" s="37">
        <v>0</v>
      </c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4.25" customHeight="1">
      <c r="A361" s="9">
        <v>377</v>
      </c>
      <c r="B361" s="10"/>
      <c r="C361" s="21">
        <v>232250</v>
      </c>
      <c r="D361" s="22" t="s">
        <v>86</v>
      </c>
      <c r="E361" s="23">
        <v>45238</v>
      </c>
      <c r="F361" s="24">
        <v>45231</v>
      </c>
      <c r="G361" s="25">
        <v>10290033</v>
      </c>
      <c r="H361" s="26" t="s">
        <v>2191</v>
      </c>
      <c r="I361" s="233" t="s">
        <v>29</v>
      </c>
      <c r="J361" s="11"/>
      <c r="K361" s="39"/>
      <c r="L361" s="40">
        <v>45275</v>
      </c>
      <c r="M361" s="40">
        <v>45275</v>
      </c>
      <c r="N361" s="37">
        <v>10290033</v>
      </c>
      <c r="O361" s="37">
        <v>0</v>
      </c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4.25" customHeight="1">
      <c r="A362" s="9">
        <v>378</v>
      </c>
      <c r="B362" s="10"/>
      <c r="C362" s="21">
        <v>232251</v>
      </c>
      <c r="D362" s="22" t="s">
        <v>86</v>
      </c>
      <c r="E362" s="23">
        <v>45238</v>
      </c>
      <c r="F362" s="24">
        <v>45231</v>
      </c>
      <c r="G362" s="25">
        <v>786546</v>
      </c>
      <c r="H362" s="26" t="s">
        <v>2192</v>
      </c>
      <c r="I362" s="233" t="s">
        <v>29</v>
      </c>
      <c r="J362" s="11"/>
      <c r="K362" s="39"/>
      <c r="L362" s="40">
        <v>45275</v>
      </c>
      <c r="M362" s="40">
        <v>45275</v>
      </c>
      <c r="N362" s="37">
        <v>786546</v>
      </c>
      <c r="O362" s="37">
        <v>0</v>
      </c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4.25" customHeight="1">
      <c r="A363" s="9">
        <v>380</v>
      </c>
      <c r="B363" s="10"/>
      <c r="C363" s="21">
        <v>232343</v>
      </c>
      <c r="D363" s="22" t="s">
        <v>86</v>
      </c>
      <c r="E363" s="23">
        <v>45243</v>
      </c>
      <c r="F363" s="24">
        <v>45231</v>
      </c>
      <c r="G363" s="25">
        <v>6593400</v>
      </c>
      <c r="H363" s="26" t="s">
        <v>2193</v>
      </c>
      <c r="I363" s="233" t="s">
        <v>29</v>
      </c>
      <c r="J363" s="11"/>
      <c r="K363" s="39"/>
      <c r="L363" s="40">
        <v>45275</v>
      </c>
      <c r="M363" s="40">
        <v>45275</v>
      </c>
      <c r="N363" s="37">
        <v>6593400</v>
      </c>
      <c r="O363" s="37">
        <v>0</v>
      </c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4.25" customHeight="1">
      <c r="A364" s="9">
        <v>379</v>
      </c>
      <c r="B364" s="10"/>
      <c r="C364" s="21">
        <v>232344</v>
      </c>
      <c r="D364" s="22" t="s">
        <v>86</v>
      </c>
      <c r="E364" s="23">
        <v>45243</v>
      </c>
      <c r="F364" s="24">
        <v>45231</v>
      </c>
      <c r="G364" s="25">
        <v>574980</v>
      </c>
      <c r="H364" s="26" t="s">
        <v>2194</v>
      </c>
      <c r="I364" s="233" t="s">
        <v>29</v>
      </c>
      <c r="J364" s="11"/>
      <c r="K364" s="39"/>
      <c r="L364" s="40">
        <v>45275</v>
      </c>
      <c r="M364" s="40">
        <v>45275</v>
      </c>
      <c r="N364" s="37">
        <v>574980</v>
      </c>
      <c r="O364" s="37">
        <v>0</v>
      </c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4.25" customHeight="1">
      <c r="A365" s="9">
        <v>381</v>
      </c>
      <c r="B365" s="10"/>
      <c r="C365" s="21">
        <v>232342</v>
      </c>
      <c r="D365" s="22" t="s">
        <v>86</v>
      </c>
      <c r="E365" s="23">
        <v>45244</v>
      </c>
      <c r="F365" s="24">
        <v>45231</v>
      </c>
      <c r="G365" s="25">
        <v>664494</v>
      </c>
      <c r="H365" s="26" t="s">
        <v>2195</v>
      </c>
      <c r="I365" s="233" t="s">
        <v>29</v>
      </c>
      <c r="J365" s="11"/>
      <c r="K365" s="39"/>
      <c r="L365" s="40">
        <v>45275</v>
      </c>
      <c r="M365" s="40">
        <v>45275</v>
      </c>
      <c r="N365" s="37">
        <v>664494</v>
      </c>
      <c r="O365" s="37">
        <v>0</v>
      </c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4.25" customHeight="1">
      <c r="A366" s="9">
        <v>382</v>
      </c>
      <c r="B366" s="10"/>
      <c r="C366" s="21">
        <v>232346</v>
      </c>
      <c r="D366" s="22" t="s">
        <v>86</v>
      </c>
      <c r="E366" s="23">
        <v>45245</v>
      </c>
      <c r="F366" s="24">
        <v>45231</v>
      </c>
      <c r="G366" s="25">
        <v>2414402</v>
      </c>
      <c r="H366" s="26" t="s">
        <v>2196</v>
      </c>
      <c r="I366" s="233" t="s">
        <v>29</v>
      </c>
      <c r="J366" s="11"/>
      <c r="K366" s="39"/>
      <c r="L366" s="40">
        <v>45275</v>
      </c>
      <c r="M366" s="40">
        <v>45275</v>
      </c>
      <c r="N366" s="37">
        <v>2414402</v>
      </c>
      <c r="O366" s="37">
        <v>0</v>
      </c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4.25" customHeight="1">
      <c r="A367" s="9">
        <v>383</v>
      </c>
      <c r="B367" s="10"/>
      <c r="C367" s="21">
        <v>232345</v>
      </c>
      <c r="D367" s="22" t="s">
        <v>86</v>
      </c>
      <c r="E367" s="23">
        <v>45246</v>
      </c>
      <c r="F367" s="24">
        <v>45231</v>
      </c>
      <c r="G367" s="25">
        <v>612280</v>
      </c>
      <c r="H367" s="26" t="s">
        <v>2197</v>
      </c>
      <c r="I367" s="233" t="s">
        <v>29</v>
      </c>
      <c r="J367" s="11"/>
      <c r="K367" s="39"/>
      <c r="L367" s="40">
        <v>45275</v>
      </c>
      <c r="M367" s="40">
        <v>45275</v>
      </c>
      <c r="N367" s="37">
        <v>612280</v>
      </c>
      <c r="O367" s="37">
        <v>0</v>
      </c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4.25" customHeight="1">
      <c r="A368" s="9">
        <v>384</v>
      </c>
      <c r="B368" s="10"/>
      <c r="C368" s="21">
        <v>232348</v>
      </c>
      <c r="D368" s="22" t="s">
        <v>86</v>
      </c>
      <c r="E368" s="23">
        <v>45246</v>
      </c>
      <c r="F368" s="24">
        <v>45231</v>
      </c>
      <c r="G368" s="25">
        <v>755603</v>
      </c>
      <c r="H368" s="26" t="s">
        <v>2198</v>
      </c>
      <c r="I368" s="233" t="s">
        <v>29</v>
      </c>
      <c r="J368" s="11"/>
      <c r="K368" s="39"/>
      <c r="L368" s="40">
        <v>45275</v>
      </c>
      <c r="M368" s="40">
        <v>45275</v>
      </c>
      <c r="N368" s="37">
        <v>755603</v>
      </c>
      <c r="O368" s="37">
        <v>0</v>
      </c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4.25" customHeight="1">
      <c r="A369" s="9">
        <v>387</v>
      </c>
      <c r="B369" s="10"/>
      <c r="C369" s="9">
        <v>232340</v>
      </c>
      <c r="D369" s="11" t="s">
        <v>86</v>
      </c>
      <c r="E369" s="12">
        <v>45247</v>
      </c>
      <c r="F369" s="13">
        <v>45231</v>
      </c>
      <c r="G369" s="27">
        <v>3085616</v>
      </c>
      <c r="H369" s="10" t="s">
        <v>2199</v>
      </c>
      <c r="I369" s="34">
        <v>43.606678703705299</v>
      </c>
      <c r="J369" s="11"/>
      <c r="K369" s="39"/>
      <c r="L369" s="49"/>
      <c r="M369" s="49"/>
      <c r="N369" s="37">
        <v>0</v>
      </c>
      <c r="O369" s="37">
        <v>3085616</v>
      </c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4.25" customHeight="1">
      <c r="A370" s="9">
        <v>385</v>
      </c>
      <c r="B370" s="10"/>
      <c r="C370" s="9">
        <v>232347</v>
      </c>
      <c r="D370" s="11" t="s">
        <v>86</v>
      </c>
      <c r="E370" s="12">
        <v>45247</v>
      </c>
      <c r="F370" s="13">
        <v>45231</v>
      </c>
      <c r="G370" s="27">
        <v>1862501</v>
      </c>
      <c r="H370" s="10" t="s">
        <v>2200</v>
      </c>
      <c r="I370" s="34">
        <v>43.606678703705299</v>
      </c>
      <c r="J370" s="11"/>
      <c r="K370" s="39"/>
      <c r="L370" s="49"/>
      <c r="M370" s="49"/>
      <c r="N370" s="37">
        <v>0</v>
      </c>
      <c r="O370" s="37">
        <v>1862501</v>
      </c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4.25" customHeight="1">
      <c r="A371" s="9">
        <v>386</v>
      </c>
      <c r="B371" s="10"/>
      <c r="C371" s="9">
        <v>232349</v>
      </c>
      <c r="D371" s="11" t="s">
        <v>86</v>
      </c>
      <c r="E371" s="12">
        <v>45247</v>
      </c>
      <c r="F371" s="13">
        <v>45231</v>
      </c>
      <c r="G371" s="27">
        <v>842976</v>
      </c>
      <c r="H371" s="10" t="s">
        <v>2201</v>
      </c>
      <c r="I371" s="34">
        <v>43.606678703705299</v>
      </c>
      <c r="J371" s="11"/>
      <c r="K371" s="39"/>
      <c r="L371" s="49"/>
      <c r="M371" s="49"/>
      <c r="N371" s="37">
        <v>0</v>
      </c>
      <c r="O371" s="37">
        <v>842976</v>
      </c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4.25" customHeight="1">
      <c r="A372" s="9">
        <v>388</v>
      </c>
      <c r="B372" s="10"/>
      <c r="C372" s="9">
        <v>232341</v>
      </c>
      <c r="D372" s="11" t="s">
        <v>86</v>
      </c>
      <c r="E372" s="12">
        <v>45250</v>
      </c>
      <c r="F372" s="13">
        <v>45231</v>
      </c>
      <c r="G372" s="27">
        <v>4235760</v>
      </c>
      <c r="H372" s="10" t="s">
        <v>2202</v>
      </c>
      <c r="I372" s="34">
        <v>40.606678703705299</v>
      </c>
      <c r="J372" s="11"/>
      <c r="K372" s="39"/>
      <c r="L372" s="49"/>
      <c r="M372" s="49"/>
      <c r="N372" s="37">
        <v>0</v>
      </c>
      <c r="O372" s="37">
        <v>4235760</v>
      </c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4.25" customHeight="1">
      <c r="A373" s="9">
        <v>390</v>
      </c>
      <c r="B373" s="10"/>
      <c r="C373" s="9">
        <v>232336</v>
      </c>
      <c r="D373" s="11" t="s">
        <v>86</v>
      </c>
      <c r="E373" s="12">
        <v>45251</v>
      </c>
      <c r="F373" s="13">
        <v>45231</v>
      </c>
      <c r="G373" s="27">
        <v>1921909</v>
      </c>
      <c r="H373" s="10" t="s">
        <v>2203</v>
      </c>
      <c r="I373" s="34">
        <v>39.606678703705299</v>
      </c>
      <c r="J373" s="11"/>
      <c r="K373" s="39"/>
      <c r="L373" s="49"/>
      <c r="M373" s="49"/>
      <c r="N373" s="37">
        <v>0</v>
      </c>
      <c r="O373" s="37">
        <v>1921909</v>
      </c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4.25" customHeight="1">
      <c r="A374" s="9">
        <v>389</v>
      </c>
      <c r="B374" s="10"/>
      <c r="C374" s="9">
        <v>232339</v>
      </c>
      <c r="D374" s="11" t="s">
        <v>86</v>
      </c>
      <c r="E374" s="12">
        <v>45251</v>
      </c>
      <c r="F374" s="13">
        <v>45231</v>
      </c>
      <c r="G374" s="27">
        <v>393932</v>
      </c>
      <c r="H374" s="10" t="s">
        <v>2204</v>
      </c>
      <c r="I374" s="34">
        <v>39.606678703705299</v>
      </c>
      <c r="J374" s="11"/>
      <c r="K374" s="39"/>
      <c r="L374" s="49"/>
      <c r="M374" s="49"/>
      <c r="N374" s="37">
        <v>0</v>
      </c>
      <c r="O374" s="37">
        <v>393932</v>
      </c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4.25" customHeight="1">
      <c r="A375" s="9">
        <v>399</v>
      </c>
      <c r="B375" s="10"/>
      <c r="C375" s="21">
        <v>230738</v>
      </c>
      <c r="D375" s="46" t="s">
        <v>265</v>
      </c>
      <c r="E375" s="23">
        <v>45009</v>
      </c>
      <c r="F375" s="24">
        <v>44986</v>
      </c>
      <c r="G375" s="47">
        <v>5340000</v>
      </c>
      <c r="H375" s="47" t="s">
        <v>2205</v>
      </c>
      <c r="I375" s="34" t="s">
        <v>29</v>
      </c>
      <c r="J375" s="45">
        <v>5340000</v>
      </c>
      <c r="K375" s="50">
        <v>45143</v>
      </c>
      <c r="L375" s="50">
        <v>45143</v>
      </c>
      <c r="M375" s="50">
        <v>45143</v>
      </c>
      <c r="N375" s="37">
        <v>5340000</v>
      </c>
      <c r="O375" s="37">
        <v>0</v>
      </c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4.25" customHeight="1">
      <c r="A376" s="9">
        <v>404</v>
      </c>
      <c r="B376" s="10"/>
      <c r="C376" s="21">
        <v>230267</v>
      </c>
      <c r="D376" s="22" t="s">
        <v>266</v>
      </c>
      <c r="E376" s="23">
        <v>44963</v>
      </c>
      <c r="F376" s="24">
        <v>44958</v>
      </c>
      <c r="G376" s="25">
        <v>1720500</v>
      </c>
      <c r="H376" s="26" t="s">
        <v>2206</v>
      </c>
      <c r="I376" s="34" t="s">
        <v>29</v>
      </c>
      <c r="J376" s="25">
        <v>42467247</v>
      </c>
      <c r="K376" s="40">
        <v>45044</v>
      </c>
      <c r="L376" s="40">
        <v>45044</v>
      </c>
      <c r="M376" s="40">
        <v>45045</v>
      </c>
      <c r="N376" s="37">
        <v>1720500</v>
      </c>
      <c r="O376" s="37">
        <v>0</v>
      </c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4.25" customHeight="1">
      <c r="A377" s="9">
        <v>405</v>
      </c>
      <c r="B377" s="10"/>
      <c r="C377" s="21">
        <v>230293</v>
      </c>
      <c r="D377" s="22" t="s">
        <v>266</v>
      </c>
      <c r="E377" s="23">
        <v>44965</v>
      </c>
      <c r="F377" s="24">
        <v>44958</v>
      </c>
      <c r="G377" s="25">
        <v>9181587</v>
      </c>
      <c r="H377" s="26" t="s">
        <v>2207</v>
      </c>
      <c r="I377" s="34" t="s">
        <v>29</v>
      </c>
      <c r="J377" s="10"/>
      <c r="K377" s="39"/>
      <c r="L377" s="40">
        <v>45044</v>
      </c>
      <c r="M377" s="40">
        <v>45045</v>
      </c>
      <c r="N377" s="37">
        <v>9181587</v>
      </c>
      <c r="O377" s="37">
        <v>0</v>
      </c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4.25" customHeight="1">
      <c r="A378" s="9">
        <v>406</v>
      </c>
      <c r="B378" s="10"/>
      <c r="C378" s="21">
        <v>230294</v>
      </c>
      <c r="D378" s="22" t="s">
        <v>266</v>
      </c>
      <c r="E378" s="23">
        <v>44965</v>
      </c>
      <c r="F378" s="24">
        <v>44958</v>
      </c>
      <c r="G378" s="25">
        <v>160506</v>
      </c>
      <c r="H378" s="26" t="s">
        <v>2208</v>
      </c>
      <c r="I378" s="34" t="s">
        <v>29</v>
      </c>
      <c r="J378" s="10"/>
      <c r="K378" s="39"/>
      <c r="L378" s="40">
        <v>45044</v>
      </c>
      <c r="M378" s="40">
        <v>45045</v>
      </c>
      <c r="N378" s="37">
        <v>160506</v>
      </c>
      <c r="O378" s="37">
        <v>0</v>
      </c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4.25" customHeight="1">
      <c r="A379" s="9">
        <v>407</v>
      </c>
      <c r="B379" s="10"/>
      <c r="C379" s="21">
        <v>230323</v>
      </c>
      <c r="D379" s="22" t="s">
        <v>266</v>
      </c>
      <c r="E379" s="23">
        <v>44970</v>
      </c>
      <c r="F379" s="24">
        <v>44958</v>
      </c>
      <c r="G379" s="25">
        <v>2962035</v>
      </c>
      <c r="H379" s="26" t="s">
        <v>2209</v>
      </c>
      <c r="I379" s="34" t="s">
        <v>29</v>
      </c>
      <c r="J379" s="10"/>
      <c r="K379" s="39"/>
      <c r="L379" s="40">
        <v>45044</v>
      </c>
      <c r="M379" s="40">
        <v>45045</v>
      </c>
      <c r="N379" s="37">
        <v>2962035</v>
      </c>
      <c r="O379" s="37">
        <v>0</v>
      </c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4.25" customHeight="1">
      <c r="A380" s="9">
        <v>408</v>
      </c>
      <c r="B380" s="10"/>
      <c r="C380" s="21">
        <v>230324</v>
      </c>
      <c r="D380" s="22" t="s">
        <v>266</v>
      </c>
      <c r="E380" s="23">
        <v>44970</v>
      </c>
      <c r="F380" s="24">
        <v>44958</v>
      </c>
      <c r="G380" s="25">
        <v>8980261</v>
      </c>
      <c r="H380" s="26" t="s">
        <v>2210</v>
      </c>
      <c r="I380" s="34" t="s">
        <v>29</v>
      </c>
      <c r="J380" s="10"/>
      <c r="K380" s="39"/>
      <c r="L380" s="40">
        <v>45044</v>
      </c>
      <c r="M380" s="40">
        <v>45045</v>
      </c>
      <c r="N380" s="37">
        <v>8980261</v>
      </c>
      <c r="O380" s="37">
        <v>0</v>
      </c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4.25" customHeight="1">
      <c r="A381" s="9">
        <v>411</v>
      </c>
      <c r="B381" s="10"/>
      <c r="C381" s="21">
        <v>230330</v>
      </c>
      <c r="D381" s="22" t="s">
        <v>266</v>
      </c>
      <c r="E381" s="23">
        <v>44974</v>
      </c>
      <c r="F381" s="24">
        <v>44958</v>
      </c>
      <c r="G381" s="25">
        <v>4490131</v>
      </c>
      <c r="H381" s="26" t="s">
        <v>2211</v>
      </c>
      <c r="I381" s="34" t="s">
        <v>29</v>
      </c>
      <c r="J381" s="10"/>
      <c r="K381" s="39"/>
      <c r="L381" s="40">
        <v>45044</v>
      </c>
      <c r="M381" s="40">
        <v>45045</v>
      </c>
      <c r="N381" s="37">
        <v>4490131</v>
      </c>
      <c r="O381" s="37">
        <v>0</v>
      </c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4.25" customHeight="1">
      <c r="A382" s="9">
        <v>409</v>
      </c>
      <c r="B382" s="10"/>
      <c r="C382" s="21">
        <v>230364</v>
      </c>
      <c r="D382" s="22" t="s">
        <v>266</v>
      </c>
      <c r="E382" s="23">
        <v>44974</v>
      </c>
      <c r="F382" s="24">
        <v>44958</v>
      </c>
      <c r="G382" s="25">
        <v>5470635</v>
      </c>
      <c r="H382" s="26" t="s">
        <v>2212</v>
      </c>
      <c r="I382" s="34" t="s">
        <v>29</v>
      </c>
      <c r="J382" s="10"/>
      <c r="K382" s="39"/>
      <c r="L382" s="40">
        <v>45044</v>
      </c>
      <c r="M382" s="40">
        <v>45045</v>
      </c>
      <c r="N382" s="37">
        <v>5470635</v>
      </c>
      <c r="O382" s="37">
        <v>0</v>
      </c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4.25" customHeight="1">
      <c r="A383" s="9">
        <v>410</v>
      </c>
      <c r="B383" s="10"/>
      <c r="C383" s="21">
        <v>230365</v>
      </c>
      <c r="D383" s="22" t="s">
        <v>266</v>
      </c>
      <c r="E383" s="23">
        <v>44974</v>
      </c>
      <c r="F383" s="24">
        <v>44958</v>
      </c>
      <c r="G383" s="25">
        <v>3230092</v>
      </c>
      <c r="H383" s="26" t="s">
        <v>2213</v>
      </c>
      <c r="I383" s="34" t="s">
        <v>29</v>
      </c>
      <c r="J383" s="10"/>
      <c r="K383" s="39"/>
      <c r="L383" s="40">
        <v>45044</v>
      </c>
      <c r="M383" s="40">
        <v>45045</v>
      </c>
      <c r="N383" s="37">
        <v>3230092</v>
      </c>
      <c r="O383" s="37">
        <v>0</v>
      </c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4.25" customHeight="1">
      <c r="A384" s="9">
        <v>412</v>
      </c>
      <c r="B384" s="10"/>
      <c r="C384" s="21">
        <v>230379</v>
      </c>
      <c r="D384" s="22" t="s">
        <v>266</v>
      </c>
      <c r="E384" s="23">
        <v>44977</v>
      </c>
      <c r="F384" s="24">
        <v>44958</v>
      </c>
      <c r="G384" s="25">
        <v>6271500</v>
      </c>
      <c r="H384" s="26" t="s">
        <v>2214</v>
      </c>
      <c r="I384" s="34" t="s">
        <v>29</v>
      </c>
      <c r="J384" s="10"/>
      <c r="K384" s="39"/>
      <c r="L384" s="40">
        <v>45044</v>
      </c>
      <c r="M384" s="40">
        <v>45045</v>
      </c>
      <c r="N384" s="37">
        <v>6271500</v>
      </c>
      <c r="O384" s="37">
        <v>0</v>
      </c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4.25" customHeight="1">
      <c r="A385" s="9">
        <v>413</v>
      </c>
      <c r="B385" s="42"/>
      <c r="C385" s="21">
        <v>230479</v>
      </c>
      <c r="D385" s="22" t="s">
        <v>266</v>
      </c>
      <c r="E385" s="23">
        <v>44984</v>
      </c>
      <c r="F385" s="24">
        <v>44958</v>
      </c>
      <c r="G385" s="25">
        <v>3995745</v>
      </c>
      <c r="H385" s="26" t="s">
        <v>2215</v>
      </c>
      <c r="I385" s="34" t="s">
        <v>29</v>
      </c>
      <c r="J385" s="25">
        <v>14395779</v>
      </c>
      <c r="K385" s="40">
        <v>45061</v>
      </c>
      <c r="L385" s="40">
        <v>45061</v>
      </c>
      <c r="M385" s="40">
        <v>45063</v>
      </c>
      <c r="N385" s="37">
        <v>3995745</v>
      </c>
      <c r="O385" s="37">
        <v>0</v>
      </c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4.25" customHeight="1">
      <c r="A386" s="9">
        <v>414</v>
      </c>
      <c r="B386" s="42"/>
      <c r="C386" s="21">
        <v>230475</v>
      </c>
      <c r="D386" s="22" t="s">
        <v>266</v>
      </c>
      <c r="E386" s="23">
        <v>44985</v>
      </c>
      <c r="F386" s="24">
        <v>44958</v>
      </c>
      <c r="G386" s="25">
        <v>732600</v>
      </c>
      <c r="H386" s="26" t="s">
        <v>2216</v>
      </c>
      <c r="I386" s="34" t="s">
        <v>29</v>
      </c>
      <c r="J386" s="10"/>
      <c r="K386" s="39"/>
      <c r="L386" s="40">
        <v>45061</v>
      </c>
      <c r="M386" s="40">
        <v>45063</v>
      </c>
      <c r="N386" s="37">
        <v>732600</v>
      </c>
      <c r="O386" s="37">
        <v>0</v>
      </c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4.25" customHeight="1">
      <c r="A387" s="9">
        <v>417</v>
      </c>
      <c r="B387" s="10"/>
      <c r="C387" s="21">
        <v>230477</v>
      </c>
      <c r="D387" s="22" t="s">
        <v>266</v>
      </c>
      <c r="E387" s="23">
        <v>44985</v>
      </c>
      <c r="F387" s="24">
        <v>44958</v>
      </c>
      <c r="G387" s="25">
        <v>8980261</v>
      </c>
      <c r="H387" s="26" t="s">
        <v>2217</v>
      </c>
      <c r="I387" s="34" t="s">
        <v>29</v>
      </c>
      <c r="J387" s="25">
        <v>30199029</v>
      </c>
      <c r="K387" s="40">
        <v>45071</v>
      </c>
      <c r="L387" s="40">
        <v>45071</v>
      </c>
      <c r="M387" s="40">
        <v>45072</v>
      </c>
      <c r="N387" s="37">
        <v>8980261</v>
      </c>
      <c r="O387" s="37">
        <v>0</v>
      </c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4.25" customHeight="1">
      <c r="A388" s="9">
        <v>415</v>
      </c>
      <c r="B388" s="10"/>
      <c r="C388" s="21">
        <v>230478</v>
      </c>
      <c r="D388" s="22" t="s">
        <v>266</v>
      </c>
      <c r="E388" s="23">
        <v>44985</v>
      </c>
      <c r="F388" s="24">
        <v>44958</v>
      </c>
      <c r="G388" s="25">
        <v>2528802</v>
      </c>
      <c r="H388" s="26" t="s">
        <v>2218</v>
      </c>
      <c r="I388" s="34" t="s">
        <v>29</v>
      </c>
      <c r="J388" s="10"/>
      <c r="K388" s="39"/>
      <c r="L388" s="40">
        <v>45061</v>
      </c>
      <c r="M388" s="40">
        <v>45063</v>
      </c>
      <c r="N388" s="37">
        <v>2528802</v>
      </c>
      <c r="O388" s="37">
        <v>0</v>
      </c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4.25" customHeight="1">
      <c r="A389" s="9">
        <v>416</v>
      </c>
      <c r="B389" s="10"/>
      <c r="C389" s="21">
        <v>230480</v>
      </c>
      <c r="D389" s="22" t="s">
        <v>266</v>
      </c>
      <c r="E389" s="23">
        <v>44985</v>
      </c>
      <c r="F389" s="24">
        <v>44958</v>
      </c>
      <c r="G389" s="25">
        <v>7138632</v>
      </c>
      <c r="H389" s="26" t="s">
        <v>2219</v>
      </c>
      <c r="I389" s="34" t="s">
        <v>29</v>
      </c>
      <c r="J389" s="10"/>
      <c r="K389" s="39"/>
      <c r="L389" s="40">
        <v>45061</v>
      </c>
      <c r="M389" s="40">
        <v>45063</v>
      </c>
      <c r="N389" s="37">
        <v>7138632</v>
      </c>
      <c r="O389" s="37">
        <v>0</v>
      </c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4.25" customHeight="1">
      <c r="A390" s="9">
        <v>419</v>
      </c>
      <c r="B390" s="10"/>
      <c r="C390" s="21">
        <v>230501</v>
      </c>
      <c r="D390" s="22" t="s">
        <v>266</v>
      </c>
      <c r="E390" s="23">
        <v>44987</v>
      </c>
      <c r="F390" s="24">
        <v>44986</v>
      </c>
      <c r="G390" s="25">
        <v>2369573</v>
      </c>
      <c r="H390" s="26" t="s">
        <v>2220</v>
      </c>
      <c r="I390" s="34" t="s">
        <v>29</v>
      </c>
      <c r="J390" s="10"/>
      <c r="K390" s="39"/>
      <c r="L390" s="40">
        <v>45071</v>
      </c>
      <c r="M390" s="40">
        <v>45072</v>
      </c>
      <c r="N390" s="37">
        <v>2369573</v>
      </c>
      <c r="O390" s="37">
        <v>0</v>
      </c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4.25" customHeight="1">
      <c r="A391" s="9">
        <v>418</v>
      </c>
      <c r="B391" s="10"/>
      <c r="C391" s="21">
        <v>230508</v>
      </c>
      <c r="D391" s="22" t="s">
        <v>266</v>
      </c>
      <c r="E391" s="23">
        <v>44987</v>
      </c>
      <c r="F391" s="24">
        <v>44986</v>
      </c>
      <c r="G391" s="25">
        <v>1054500</v>
      </c>
      <c r="H391" s="26" t="s">
        <v>2221</v>
      </c>
      <c r="I391" s="34" t="s">
        <v>29</v>
      </c>
      <c r="J391" s="10"/>
      <c r="K391" s="39"/>
      <c r="L391" s="40">
        <v>45071</v>
      </c>
      <c r="M391" s="40">
        <v>45072</v>
      </c>
      <c r="N391" s="37">
        <v>1054500</v>
      </c>
      <c r="O391" s="37">
        <v>0</v>
      </c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4.25" customHeight="1">
      <c r="A392" s="9">
        <v>420</v>
      </c>
      <c r="B392" s="10"/>
      <c r="C392" s="21">
        <v>230540</v>
      </c>
      <c r="D392" s="22" t="s">
        <v>266</v>
      </c>
      <c r="E392" s="23">
        <v>44998</v>
      </c>
      <c r="F392" s="24">
        <v>44986</v>
      </c>
      <c r="G392" s="25">
        <v>739332</v>
      </c>
      <c r="H392" s="26" t="s">
        <v>2222</v>
      </c>
      <c r="I392" s="34" t="s">
        <v>29</v>
      </c>
      <c r="J392" s="10"/>
      <c r="K392" s="39"/>
      <c r="L392" s="40">
        <v>45071</v>
      </c>
      <c r="M392" s="40">
        <v>45072</v>
      </c>
      <c r="N392" s="37">
        <v>739332</v>
      </c>
      <c r="O392" s="37">
        <v>0</v>
      </c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4.25" customHeight="1">
      <c r="A393" s="9">
        <v>421</v>
      </c>
      <c r="B393" s="10"/>
      <c r="C393" s="21">
        <v>230586</v>
      </c>
      <c r="D393" s="22" t="s">
        <v>266</v>
      </c>
      <c r="E393" s="23">
        <v>45001</v>
      </c>
      <c r="F393" s="24">
        <v>44986</v>
      </c>
      <c r="G393" s="25">
        <v>604724</v>
      </c>
      <c r="H393" s="26" t="s">
        <v>2223</v>
      </c>
      <c r="I393" s="34" t="s">
        <v>29</v>
      </c>
      <c r="J393" s="10"/>
      <c r="K393" s="39"/>
      <c r="L393" s="40">
        <v>45071</v>
      </c>
      <c r="M393" s="40">
        <v>45072</v>
      </c>
      <c r="N393" s="37">
        <v>604724</v>
      </c>
      <c r="O393" s="37">
        <v>0</v>
      </c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4.25" customHeight="1">
      <c r="A394" s="9">
        <v>424</v>
      </c>
      <c r="B394" s="10"/>
      <c r="C394" s="21">
        <v>230587</v>
      </c>
      <c r="D394" s="22" t="s">
        <v>266</v>
      </c>
      <c r="E394" s="23">
        <v>45002</v>
      </c>
      <c r="F394" s="24">
        <v>44986</v>
      </c>
      <c r="G394" s="25">
        <v>8980261</v>
      </c>
      <c r="H394" s="26" t="s">
        <v>2224</v>
      </c>
      <c r="I394" s="34" t="s">
        <v>29</v>
      </c>
      <c r="J394" s="10"/>
      <c r="K394" s="39"/>
      <c r="L394" s="40">
        <v>45071</v>
      </c>
      <c r="M394" s="40">
        <v>45072</v>
      </c>
      <c r="N394" s="37">
        <v>8980261</v>
      </c>
      <c r="O394" s="37">
        <v>0</v>
      </c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4.25" customHeight="1">
      <c r="A395" s="9">
        <v>423</v>
      </c>
      <c r="B395" s="10"/>
      <c r="C395" s="21">
        <v>230588</v>
      </c>
      <c r="D395" s="22" t="s">
        <v>266</v>
      </c>
      <c r="E395" s="23">
        <v>45002</v>
      </c>
      <c r="F395" s="24">
        <v>44986</v>
      </c>
      <c r="G395" s="25">
        <v>3397710</v>
      </c>
      <c r="H395" s="26" t="s">
        <v>2225</v>
      </c>
      <c r="I395" s="34" t="s">
        <v>29</v>
      </c>
      <c r="J395" s="10"/>
      <c r="K395" s="39"/>
      <c r="L395" s="40">
        <v>45071</v>
      </c>
      <c r="M395" s="40">
        <v>45072</v>
      </c>
      <c r="N395" s="37">
        <v>3397710</v>
      </c>
      <c r="O395" s="37">
        <v>0</v>
      </c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4.25" customHeight="1">
      <c r="A396" s="9">
        <v>422</v>
      </c>
      <c r="B396" s="10"/>
      <c r="C396" s="21">
        <v>230589</v>
      </c>
      <c r="D396" s="22" t="s">
        <v>266</v>
      </c>
      <c r="E396" s="23">
        <v>45002</v>
      </c>
      <c r="F396" s="24">
        <v>44986</v>
      </c>
      <c r="G396" s="25">
        <v>76923</v>
      </c>
      <c r="H396" s="26" t="s">
        <v>2226</v>
      </c>
      <c r="I396" s="34" t="s">
        <v>29</v>
      </c>
      <c r="J396" s="10"/>
      <c r="K396" s="39"/>
      <c r="L396" s="40">
        <v>45071</v>
      </c>
      <c r="M396" s="40">
        <v>45072</v>
      </c>
      <c r="N396" s="37">
        <v>76923</v>
      </c>
      <c r="O396" s="37">
        <v>0</v>
      </c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4.25" customHeight="1">
      <c r="A397" s="9">
        <v>425</v>
      </c>
      <c r="B397" s="10"/>
      <c r="C397" s="21">
        <v>230598</v>
      </c>
      <c r="D397" s="22" t="s">
        <v>266</v>
      </c>
      <c r="E397" s="23">
        <v>45003</v>
      </c>
      <c r="F397" s="24">
        <v>44986</v>
      </c>
      <c r="G397" s="25">
        <v>3995745</v>
      </c>
      <c r="H397" s="26" t="s">
        <v>2227</v>
      </c>
      <c r="I397" s="34" t="s">
        <v>29</v>
      </c>
      <c r="J397" s="10"/>
      <c r="K397" s="39"/>
      <c r="L397" s="40">
        <v>45071</v>
      </c>
      <c r="M397" s="40">
        <v>45072</v>
      </c>
      <c r="N397" s="37">
        <v>3995745</v>
      </c>
      <c r="O397" s="37">
        <v>0</v>
      </c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4.25" customHeight="1">
      <c r="A398" s="9">
        <v>434</v>
      </c>
      <c r="B398" s="10"/>
      <c r="C398" s="21">
        <v>230709</v>
      </c>
      <c r="D398" s="22" t="s">
        <v>266</v>
      </c>
      <c r="E398" s="23">
        <v>45004</v>
      </c>
      <c r="F398" s="24">
        <v>44986</v>
      </c>
      <c r="G398" s="25">
        <v>549450</v>
      </c>
      <c r="H398" s="26" t="s">
        <v>2228</v>
      </c>
      <c r="I398" s="233" t="s">
        <v>29</v>
      </c>
      <c r="J398" s="51">
        <v>22802162</v>
      </c>
      <c r="K398" s="40">
        <v>45097</v>
      </c>
      <c r="L398" s="40">
        <v>45097</v>
      </c>
      <c r="M398" s="40">
        <v>45097</v>
      </c>
      <c r="N398" s="37">
        <v>549450</v>
      </c>
      <c r="O398" s="37">
        <v>0</v>
      </c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4.25" customHeight="1">
      <c r="A399" s="9">
        <v>431</v>
      </c>
      <c r="B399" s="10"/>
      <c r="C399" s="21">
        <v>230620</v>
      </c>
      <c r="D399" s="22" t="s">
        <v>266</v>
      </c>
      <c r="E399" s="23">
        <v>45010</v>
      </c>
      <c r="F399" s="24">
        <v>44986</v>
      </c>
      <c r="G399" s="25">
        <v>204795</v>
      </c>
      <c r="H399" s="26" t="s">
        <v>2229</v>
      </c>
      <c r="I399" s="233" t="s">
        <v>29</v>
      </c>
      <c r="J399" s="37"/>
      <c r="K399" s="39"/>
      <c r="L399" s="40">
        <v>45093</v>
      </c>
      <c r="M399" s="40">
        <v>45093</v>
      </c>
      <c r="N399" s="37">
        <v>204795</v>
      </c>
      <c r="O399" s="37">
        <v>0</v>
      </c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4.25" customHeight="1">
      <c r="A400" s="9">
        <v>428</v>
      </c>
      <c r="B400" s="10"/>
      <c r="C400" s="21">
        <v>230622</v>
      </c>
      <c r="D400" s="22" t="s">
        <v>266</v>
      </c>
      <c r="E400" s="23">
        <v>45010</v>
      </c>
      <c r="F400" s="24">
        <v>44986</v>
      </c>
      <c r="G400" s="25">
        <v>109224</v>
      </c>
      <c r="H400" s="26" t="s">
        <v>2230</v>
      </c>
      <c r="I400" s="233" t="s">
        <v>29</v>
      </c>
      <c r="J400" s="37"/>
      <c r="K400" s="39"/>
      <c r="L400" s="40">
        <v>45093</v>
      </c>
      <c r="M400" s="40">
        <v>45093</v>
      </c>
      <c r="N400" s="37">
        <v>109224</v>
      </c>
      <c r="O400" s="37">
        <v>0</v>
      </c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4.25" customHeight="1">
      <c r="A401" s="9">
        <v>430</v>
      </c>
      <c r="B401" s="10"/>
      <c r="C401" s="21">
        <v>230623</v>
      </c>
      <c r="D401" s="22" t="s">
        <v>266</v>
      </c>
      <c r="E401" s="23">
        <v>45010</v>
      </c>
      <c r="F401" s="24">
        <v>44986</v>
      </c>
      <c r="G401" s="25">
        <v>610500</v>
      </c>
      <c r="H401" s="26" t="s">
        <v>2231</v>
      </c>
      <c r="I401" s="233" t="s">
        <v>29</v>
      </c>
      <c r="J401" s="37"/>
      <c r="K401" s="39"/>
      <c r="L401" s="40">
        <v>45093</v>
      </c>
      <c r="M401" s="40">
        <v>45093</v>
      </c>
      <c r="N401" s="37">
        <v>610500</v>
      </c>
      <c r="O401" s="37">
        <v>0</v>
      </c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4.25" customHeight="1">
      <c r="A402" s="9">
        <v>429</v>
      </c>
      <c r="B402" s="10"/>
      <c r="C402" s="21">
        <v>230624</v>
      </c>
      <c r="D402" s="22" t="s">
        <v>266</v>
      </c>
      <c r="E402" s="23">
        <v>45010</v>
      </c>
      <c r="F402" s="24">
        <v>44986</v>
      </c>
      <c r="G402" s="25">
        <v>348540</v>
      </c>
      <c r="H402" s="26" t="s">
        <v>2232</v>
      </c>
      <c r="I402" s="233" t="s">
        <v>29</v>
      </c>
      <c r="J402" s="37"/>
      <c r="K402" s="39"/>
      <c r="L402" s="40">
        <v>45093</v>
      </c>
      <c r="M402" s="40">
        <v>45093</v>
      </c>
      <c r="N402" s="37">
        <v>348540</v>
      </c>
      <c r="O402" s="37">
        <v>0</v>
      </c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4.25" customHeight="1">
      <c r="A403" s="9">
        <v>427</v>
      </c>
      <c r="B403" s="10"/>
      <c r="C403" s="21">
        <v>230625</v>
      </c>
      <c r="D403" s="22" t="s">
        <v>266</v>
      </c>
      <c r="E403" s="23">
        <v>45010</v>
      </c>
      <c r="F403" s="24">
        <v>44986</v>
      </c>
      <c r="G403" s="25">
        <v>1665000</v>
      </c>
      <c r="H403" s="26" t="s">
        <v>2233</v>
      </c>
      <c r="I403" s="233" t="s">
        <v>29</v>
      </c>
      <c r="J403" s="10"/>
      <c r="K403" s="39"/>
      <c r="L403" s="40">
        <v>45093</v>
      </c>
      <c r="M403" s="40">
        <v>45093</v>
      </c>
      <c r="N403" s="37">
        <v>1665000</v>
      </c>
      <c r="O403" s="37">
        <v>0</v>
      </c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4.25" customHeight="1">
      <c r="A404" s="9">
        <v>433</v>
      </c>
      <c r="B404" s="10"/>
      <c r="C404" s="21">
        <v>230629</v>
      </c>
      <c r="D404" s="22" t="s">
        <v>266</v>
      </c>
      <c r="E404" s="23">
        <v>45010</v>
      </c>
      <c r="F404" s="24">
        <v>44986</v>
      </c>
      <c r="G404" s="25">
        <v>3441000</v>
      </c>
      <c r="H404" s="26" t="s">
        <v>2234</v>
      </c>
      <c r="I404" s="233" t="s">
        <v>29</v>
      </c>
      <c r="J404" s="37"/>
      <c r="K404" s="39"/>
      <c r="L404" s="40">
        <v>45093</v>
      </c>
      <c r="M404" s="40">
        <v>45093</v>
      </c>
      <c r="N404" s="37">
        <v>3441000</v>
      </c>
      <c r="O404" s="37">
        <v>0</v>
      </c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4.25" customHeight="1">
      <c r="A405" s="9">
        <v>426</v>
      </c>
      <c r="B405" s="10"/>
      <c r="C405" s="21">
        <v>230632</v>
      </c>
      <c r="D405" s="22" t="s">
        <v>266</v>
      </c>
      <c r="E405" s="23">
        <v>45010</v>
      </c>
      <c r="F405" s="24">
        <v>44986</v>
      </c>
      <c r="G405" s="25">
        <v>7323114</v>
      </c>
      <c r="H405" s="26" t="s">
        <v>2235</v>
      </c>
      <c r="I405" s="233" t="s">
        <v>29</v>
      </c>
      <c r="J405" s="25">
        <v>18354627</v>
      </c>
      <c r="K405" s="40">
        <v>45092</v>
      </c>
      <c r="L405" s="40">
        <v>45093</v>
      </c>
      <c r="M405" s="40">
        <v>45093</v>
      </c>
      <c r="N405" s="37">
        <v>7323114</v>
      </c>
      <c r="O405" s="37">
        <v>0</v>
      </c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4.25" customHeight="1">
      <c r="A406" s="9">
        <v>432</v>
      </c>
      <c r="B406" s="10"/>
      <c r="C406" s="21">
        <v>230634</v>
      </c>
      <c r="D406" s="22" t="s">
        <v>266</v>
      </c>
      <c r="E406" s="23">
        <v>45010</v>
      </c>
      <c r="F406" s="24">
        <v>44986</v>
      </c>
      <c r="G406" s="25">
        <v>4652454</v>
      </c>
      <c r="H406" s="26" t="s">
        <v>2236</v>
      </c>
      <c r="I406" s="233" t="s">
        <v>29</v>
      </c>
      <c r="J406" s="37"/>
      <c r="K406" s="39"/>
      <c r="L406" s="40">
        <v>45093</v>
      </c>
      <c r="M406" s="40">
        <v>45093</v>
      </c>
      <c r="N406" s="37">
        <v>4652454</v>
      </c>
      <c r="O406" s="37">
        <v>0</v>
      </c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spans="1:26" ht="14.25" customHeight="1">
      <c r="A407" s="9">
        <v>435</v>
      </c>
      <c r="B407" s="10"/>
      <c r="C407" s="21">
        <v>230661</v>
      </c>
      <c r="D407" s="22" t="s">
        <v>266</v>
      </c>
      <c r="E407" s="23">
        <v>45010</v>
      </c>
      <c r="F407" s="24">
        <v>44986</v>
      </c>
      <c r="G407" s="25">
        <v>366300</v>
      </c>
      <c r="H407" s="26" t="s">
        <v>2237</v>
      </c>
      <c r="I407" s="233" t="s">
        <v>29</v>
      </c>
      <c r="J407" s="37"/>
      <c r="K407" s="39"/>
      <c r="L407" s="40">
        <v>45097</v>
      </c>
      <c r="M407" s="40">
        <v>45097</v>
      </c>
      <c r="N407" s="37">
        <v>366300</v>
      </c>
      <c r="O407" s="37">
        <v>0</v>
      </c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4.25" customHeight="1">
      <c r="A408" s="9">
        <v>436</v>
      </c>
      <c r="B408" s="10"/>
      <c r="C408" s="21">
        <v>230637</v>
      </c>
      <c r="D408" s="22" t="s">
        <v>266</v>
      </c>
      <c r="E408" s="23">
        <v>45012</v>
      </c>
      <c r="F408" s="24">
        <v>44986</v>
      </c>
      <c r="G408" s="25">
        <v>7552718</v>
      </c>
      <c r="H408" s="26" t="s">
        <v>2238</v>
      </c>
      <c r="I408" s="233" t="s">
        <v>29</v>
      </c>
      <c r="J408" s="10"/>
      <c r="K408" s="39"/>
      <c r="L408" s="40">
        <v>45097</v>
      </c>
      <c r="M408" s="40">
        <v>45097</v>
      </c>
      <c r="N408" s="37">
        <v>7552718</v>
      </c>
      <c r="O408" s="37">
        <v>0</v>
      </c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4.25" customHeight="1">
      <c r="A409" s="9">
        <v>439</v>
      </c>
      <c r="B409" s="10"/>
      <c r="C409" s="21">
        <v>230699</v>
      </c>
      <c r="D409" s="22" t="s">
        <v>266</v>
      </c>
      <c r="E409" s="23">
        <v>45013</v>
      </c>
      <c r="F409" s="24">
        <v>44986</v>
      </c>
      <c r="G409" s="25">
        <v>16945815</v>
      </c>
      <c r="H409" s="26" t="s">
        <v>2239</v>
      </c>
      <c r="I409" s="34" t="s">
        <v>29</v>
      </c>
      <c r="J409" s="51">
        <v>26935176</v>
      </c>
      <c r="K409" s="40">
        <v>45102</v>
      </c>
      <c r="L409" s="40">
        <v>45105</v>
      </c>
      <c r="M409" s="40">
        <v>45106</v>
      </c>
      <c r="N409" s="37">
        <v>16945815</v>
      </c>
      <c r="O409" s="37">
        <v>0</v>
      </c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4.25" customHeight="1">
      <c r="A410" s="9">
        <v>437</v>
      </c>
      <c r="B410" s="10"/>
      <c r="C410" s="21">
        <v>230700</v>
      </c>
      <c r="D410" s="22" t="s">
        <v>266</v>
      </c>
      <c r="E410" s="23">
        <v>45013</v>
      </c>
      <c r="F410" s="24">
        <v>44986</v>
      </c>
      <c r="G410" s="25">
        <v>863303</v>
      </c>
      <c r="H410" s="26" t="s">
        <v>2240</v>
      </c>
      <c r="I410" s="233" t="s">
        <v>29</v>
      </c>
      <c r="J410" s="10"/>
      <c r="K410" s="39"/>
      <c r="L410" s="40">
        <v>45097</v>
      </c>
      <c r="M410" s="40">
        <v>45097</v>
      </c>
      <c r="N410" s="37">
        <v>863303</v>
      </c>
      <c r="O410" s="37">
        <v>0</v>
      </c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4.25" customHeight="1">
      <c r="A411" s="9">
        <v>438</v>
      </c>
      <c r="B411" s="10"/>
      <c r="C411" s="21">
        <v>230700</v>
      </c>
      <c r="D411" s="22" t="s">
        <v>266</v>
      </c>
      <c r="E411" s="23">
        <v>45013</v>
      </c>
      <c r="F411" s="24">
        <v>44986</v>
      </c>
      <c r="G411" s="25">
        <v>13470391</v>
      </c>
      <c r="H411" s="26" t="s">
        <v>2241</v>
      </c>
      <c r="I411" s="233" t="s">
        <v>29</v>
      </c>
      <c r="J411" s="10"/>
      <c r="K411" s="39"/>
      <c r="L411" s="40">
        <v>45097</v>
      </c>
      <c r="M411" s="40">
        <v>45097</v>
      </c>
      <c r="N411" s="37">
        <v>13470391</v>
      </c>
      <c r="O411" s="37">
        <v>0</v>
      </c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4.25" customHeight="1">
      <c r="A412" s="9">
        <v>440</v>
      </c>
      <c r="B412" s="10"/>
      <c r="C412" s="21">
        <v>230730</v>
      </c>
      <c r="D412" s="22" t="s">
        <v>266</v>
      </c>
      <c r="E412" s="23">
        <v>45014</v>
      </c>
      <c r="F412" s="24">
        <v>44986</v>
      </c>
      <c r="G412" s="25">
        <v>9989361</v>
      </c>
      <c r="H412" s="26" t="s">
        <v>2242</v>
      </c>
      <c r="I412" s="34" t="s">
        <v>29</v>
      </c>
      <c r="J412" s="27"/>
      <c r="K412" s="39"/>
      <c r="L412" s="40">
        <v>45105</v>
      </c>
      <c r="M412" s="40">
        <v>45106</v>
      </c>
      <c r="N412" s="37">
        <v>9989361</v>
      </c>
      <c r="O412" s="37">
        <v>0</v>
      </c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4.25" customHeight="1">
      <c r="A413" s="9">
        <v>441</v>
      </c>
      <c r="B413" s="10"/>
      <c r="C413" s="21">
        <v>230722</v>
      </c>
      <c r="D413" s="22" t="s">
        <v>266</v>
      </c>
      <c r="E413" s="23">
        <v>45016</v>
      </c>
      <c r="F413" s="24">
        <v>44986</v>
      </c>
      <c r="G413" s="25">
        <v>8020583</v>
      </c>
      <c r="H413" s="26" t="s">
        <v>2243</v>
      </c>
      <c r="I413" s="233" t="s">
        <v>29</v>
      </c>
      <c r="J413" s="51">
        <v>28636329</v>
      </c>
      <c r="K413" s="36">
        <v>45117</v>
      </c>
      <c r="L413" s="36">
        <v>45117</v>
      </c>
      <c r="M413" s="36">
        <v>45117</v>
      </c>
      <c r="N413" s="37">
        <v>8020583</v>
      </c>
      <c r="O413" s="37">
        <v>0</v>
      </c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4.25" customHeight="1">
      <c r="A414" s="9">
        <v>444</v>
      </c>
      <c r="B414" s="10"/>
      <c r="C414" s="21">
        <v>230805</v>
      </c>
      <c r="D414" s="22" t="s">
        <v>266</v>
      </c>
      <c r="E414" s="23">
        <v>45028</v>
      </c>
      <c r="F414" s="24">
        <v>45017</v>
      </c>
      <c r="G414" s="25">
        <v>4490130</v>
      </c>
      <c r="H414" s="26" t="s">
        <v>2244</v>
      </c>
      <c r="I414" s="233" t="s">
        <v>29</v>
      </c>
      <c r="J414" s="10"/>
      <c r="K414" s="39"/>
      <c r="L414" s="36">
        <v>45117</v>
      </c>
      <c r="M414" s="36">
        <v>45117</v>
      </c>
      <c r="N414" s="37">
        <v>4490130</v>
      </c>
      <c r="O414" s="37">
        <v>0</v>
      </c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4.25" customHeight="1">
      <c r="A415" s="9">
        <v>443</v>
      </c>
      <c r="B415" s="10"/>
      <c r="C415" s="21">
        <v>230806</v>
      </c>
      <c r="D415" s="22" t="s">
        <v>266</v>
      </c>
      <c r="E415" s="23">
        <v>45028</v>
      </c>
      <c r="F415" s="24">
        <v>45017</v>
      </c>
      <c r="G415" s="25">
        <v>1599233</v>
      </c>
      <c r="H415" s="26" t="s">
        <v>2245</v>
      </c>
      <c r="I415" s="34" t="s">
        <v>29</v>
      </c>
      <c r="J415" s="10"/>
      <c r="K415" s="39"/>
      <c r="L415" s="36">
        <v>45117</v>
      </c>
      <c r="M415" s="36">
        <v>45117</v>
      </c>
      <c r="N415" s="37">
        <v>1599233</v>
      </c>
      <c r="O415" s="37">
        <v>0</v>
      </c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4.25" customHeight="1">
      <c r="A416" s="9">
        <v>442</v>
      </c>
      <c r="B416" s="10"/>
      <c r="C416" s="21">
        <v>230807</v>
      </c>
      <c r="D416" s="22" t="s">
        <v>266</v>
      </c>
      <c r="E416" s="23">
        <v>45028</v>
      </c>
      <c r="F416" s="24">
        <v>45017</v>
      </c>
      <c r="G416" s="25">
        <v>266400</v>
      </c>
      <c r="H416" s="26" t="s">
        <v>2246</v>
      </c>
      <c r="I416" s="34" t="s">
        <v>29</v>
      </c>
      <c r="J416" s="37"/>
      <c r="K416" s="39"/>
      <c r="L416" s="36">
        <v>45117</v>
      </c>
      <c r="M416" s="36">
        <v>45117</v>
      </c>
      <c r="N416" s="37">
        <v>266400</v>
      </c>
      <c r="O416" s="37">
        <v>0</v>
      </c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14.25" customHeight="1">
      <c r="A417" s="9">
        <v>445</v>
      </c>
      <c r="B417" s="10"/>
      <c r="C417" s="21">
        <v>230893</v>
      </c>
      <c r="D417" s="22" t="s">
        <v>266</v>
      </c>
      <c r="E417" s="23">
        <v>45045</v>
      </c>
      <c r="F417" s="24">
        <v>45017</v>
      </c>
      <c r="G417" s="25">
        <v>2245065</v>
      </c>
      <c r="H417" s="26" t="s">
        <v>2247</v>
      </c>
      <c r="I417" s="34" t="s">
        <v>29</v>
      </c>
      <c r="J417" s="10"/>
      <c r="K417" s="39"/>
      <c r="L417" s="36">
        <v>45117</v>
      </c>
      <c r="M417" s="36">
        <v>45117</v>
      </c>
      <c r="N417" s="37">
        <v>2245065</v>
      </c>
      <c r="O417" s="37">
        <v>0</v>
      </c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14.25" customHeight="1">
      <c r="A418" s="9">
        <v>446</v>
      </c>
      <c r="B418" s="10"/>
      <c r="C418" s="21">
        <v>230894</v>
      </c>
      <c r="D418" s="22" t="s">
        <v>266</v>
      </c>
      <c r="E418" s="23">
        <v>45045</v>
      </c>
      <c r="F418" s="24">
        <v>45017</v>
      </c>
      <c r="G418" s="25">
        <v>10841093</v>
      </c>
      <c r="H418" s="26" t="s">
        <v>2248</v>
      </c>
      <c r="I418" s="34" t="s">
        <v>29</v>
      </c>
      <c r="J418" s="10"/>
      <c r="K418" s="39"/>
      <c r="L418" s="36">
        <v>45117</v>
      </c>
      <c r="M418" s="36">
        <v>45117</v>
      </c>
      <c r="N418" s="37">
        <v>10841093</v>
      </c>
      <c r="O418" s="37">
        <v>0</v>
      </c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4.25" customHeight="1">
      <c r="A419" s="9">
        <v>447</v>
      </c>
      <c r="B419" s="10"/>
      <c r="C419" s="21">
        <v>230895</v>
      </c>
      <c r="D419" s="22" t="s">
        <v>266</v>
      </c>
      <c r="E419" s="23">
        <v>45045</v>
      </c>
      <c r="F419" s="24">
        <v>45017</v>
      </c>
      <c r="G419" s="25">
        <v>965700</v>
      </c>
      <c r="H419" s="26" t="s">
        <v>2249</v>
      </c>
      <c r="I419" s="233" t="s">
        <v>29</v>
      </c>
      <c r="J419" s="10"/>
      <c r="K419" s="39"/>
      <c r="L419" s="36">
        <v>45117</v>
      </c>
      <c r="M419" s="36">
        <v>45117</v>
      </c>
      <c r="N419" s="37">
        <v>965700</v>
      </c>
      <c r="O419" s="37">
        <v>0</v>
      </c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4.25" customHeight="1">
      <c r="A420" s="9">
        <v>448</v>
      </c>
      <c r="B420" s="10"/>
      <c r="C420" s="21">
        <v>230911</v>
      </c>
      <c r="D420" s="22" t="s">
        <v>266</v>
      </c>
      <c r="E420" s="23">
        <v>45045</v>
      </c>
      <c r="F420" s="24">
        <v>45017</v>
      </c>
      <c r="G420" s="25">
        <v>208125</v>
      </c>
      <c r="H420" s="26" t="s">
        <v>2250</v>
      </c>
      <c r="I420" s="34" t="s">
        <v>29</v>
      </c>
      <c r="J420" s="10"/>
      <c r="K420" s="39"/>
      <c r="L420" s="36">
        <v>45117</v>
      </c>
      <c r="M420" s="36">
        <v>45117</v>
      </c>
      <c r="N420" s="37">
        <v>208125</v>
      </c>
      <c r="O420" s="37">
        <v>0</v>
      </c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4.25" customHeight="1">
      <c r="A421" s="9">
        <v>449</v>
      </c>
      <c r="B421" s="10"/>
      <c r="C421" s="21">
        <v>230927</v>
      </c>
      <c r="D421" s="22" t="s">
        <v>266</v>
      </c>
      <c r="E421" s="23">
        <v>45052</v>
      </c>
      <c r="F421" s="24">
        <v>45047</v>
      </c>
      <c r="G421" s="25">
        <v>923550</v>
      </c>
      <c r="H421" s="26" t="s">
        <v>2251</v>
      </c>
      <c r="I421" s="34" t="s">
        <v>29</v>
      </c>
      <c r="J421" s="27">
        <v>8579285</v>
      </c>
      <c r="K421" s="39">
        <v>45153</v>
      </c>
      <c r="L421" s="36">
        <v>45154</v>
      </c>
      <c r="M421" s="36">
        <v>45154</v>
      </c>
      <c r="N421" s="37">
        <v>923550</v>
      </c>
      <c r="O421" s="37">
        <v>0</v>
      </c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4.25" customHeight="1">
      <c r="A422" s="9">
        <v>450</v>
      </c>
      <c r="B422" s="10"/>
      <c r="C422" s="21">
        <v>230928</v>
      </c>
      <c r="D422" s="22" t="s">
        <v>266</v>
      </c>
      <c r="E422" s="23">
        <v>45052</v>
      </c>
      <c r="F422" s="24">
        <v>45047</v>
      </c>
      <c r="G422" s="25">
        <v>2819955</v>
      </c>
      <c r="H422" s="26" t="s">
        <v>2252</v>
      </c>
      <c r="I422" s="34" t="s">
        <v>29</v>
      </c>
      <c r="J422" s="10"/>
      <c r="K422" s="39"/>
      <c r="L422" s="36">
        <v>45154</v>
      </c>
      <c r="M422" s="36">
        <v>45154</v>
      </c>
      <c r="N422" s="37">
        <v>2819955</v>
      </c>
      <c r="O422" s="37">
        <v>0</v>
      </c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4.25" customHeight="1">
      <c r="A423" s="9">
        <v>452</v>
      </c>
      <c r="B423" s="10"/>
      <c r="C423" s="21">
        <v>230967</v>
      </c>
      <c r="D423" s="22" t="s">
        <v>266</v>
      </c>
      <c r="E423" s="23">
        <v>45059</v>
      </c>
      <c r="F423" s="24">
        <v>45047</v>
      </c>
      <c r="G423" s="25">
        <v>1046952</v>
      </c>
      <c r="H423" s="26" t="s">
        <v>2253</v>
      </c>
      <c r="I423" s="34" t="s">
        <v>29</v>
      </c>
      <c r="J423" s="10"/>
      <c r="K423" s="39"/>
      <c r="L423" s="36">
        <v>45154</v>
      </c>
      <c r="M423" s="36">
        <v>45154</v>
      </c>
      <c r="N423" s="37">
        <v>1046952</v>
      </c>
      <c r="O423" s="37">
        <v>0</v>
      </c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4.25" customHeight="1">
      <c r="A424" s="9">
        <v>451</v>
      </c>
      <c r="B424" s="10"/>
      <c r="C424" s="21">
        <v>230968</v>
      </c>
      <c r="D424" s="22" t="s">
        <v>266</v>
      </c>
      <c r="E424" s="23">
        <v>45059</v>
      </c>
      <c r="F424" s="24">
        <v>45047</v>
      </c>
      <c r="G424" s="25">
        <v>1232220</v>
      </c>
      <c r="H424" s="26" t="s">
        <v>2254</v>
      </c>
      <c r="I424" s="34" t="s">
        <v>29</v>
      </c>
      <c r="J424" s="10"/>
      <c r="K424" s="39"/>
      <c r="L424" s="36">
        <v>45154</v>
      </c>
      <c r="M424" s="36">
        <v>45154</v>
      </c>
      <c r="N424" s="37">
        <v>1232220</v>
      </c>
      <c r="O424" s="37">
        <v>0</v>
      </c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4.25" customHeight="1">
      <c r="A425" s="9">
        <v>453</v>
      </c>
      <c r="B425" s="10"/>
      <c r="C425" s="21">
        <v>231048</v>
      </c>
      <c r="D425" s="22" t="s">
        <v>266</v>
      </c>
      <c r="E425" s="23">
        <v>45075</v>
      </c>
      <c r="F425" s="24">
        <v>45047</v>
      </c>
      <c r="G425" s="25">
        <v>2556608</v>
      </c>
      <c r="H425" s="26" t="s">
        <v>2255</v>
      </c>
      <c r="I425" s="34" t="s">
        <v>29</v>
      </c>
      <c r="J425" s="10"/>
      <c r="K425" s="39"/>
      <c r="L425" s="36">
        <v>45154</v>
      </c>
      <c r="M425" s="36">
        <v>45154</v>
      </c>
      <c r="N425" s="37">
        <v>2556608</v>
      </c>
      <c r="O425" s="37">
        <v>0</v>
      </c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4.25" customHeight="1">
      <c r="A426" s="9">
        <v>456</v>
      </c>
      <c r="B426" s="10"/>
      <c r="C426" s="21">
        <v>231061</v>
      </c>
      <c r="D426" s="22" t="s">
        <v>266</v>
      </c>
      <c r="E426" s="23">
        <v>45075</v>
      </c>
      <c r="F426" s="24">
        <v>45047</v>
      </c>
      <c r="G426" s="25">
        <v>8980261</v>
      </c>
      <c r="H426" s="26" t="s">
        <v>2256</v>
      </c>
      <c r="I426" s="34" t="s">
        <v>29</v>
      </c>
      <c r="J426" s="25">
        <v>15317700</v>
      </c>
      <c r="K426" s="36">
        <v>45169</v>
      </c>
      <c r="L426" s="36">
        <v>45169</v>
      </c>
      <c r="M426" s="36">
        <v>45169</v>
      </c>
      <c r="N426" s="37">
        <v>8980261</v>
      </c>
      <c r="O426" s="37">
        <v>0</v>
      </c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4.25" customHeight="1">
      <c r="A427" s="9">
        <v>455</v>
      </c>
      <c r="B427" s="10"/>
      <c r="C427" s="21">
        <v>231062</v>
      </c>
      <c r="D427" s="22" t="s">
        <v>266</v>
      </c>
      <c r="E427" s="23">
        <v>45075</v>
      </c>
      <c r="F427" s="24">
        <v>45047</v>
      </c>
      <c r="G427" s="25">
        <v>7056714</v>
      </c>
      <c r="H427" s="26" t="s">
        <v>2257</v>
      </c>
      <c r="I427" s="34" t="s">
        <v>29</v>
      </c>
      <c r="J427" s="10"/>
      <c r="K427" s="39"/>
      <c r="L427" s="36">
        <v>45157</v>
      </c>
      <c r="M427" s="36">
        <v>45157</v>
      </c>
      <c r="N427" s="37">
        <v>7056714</v>
      </c>
      <c r="O427" s="37">
        <v>0</v>
      </c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4.25" customHeight="1">
      <c r="A428" s="9">
        <v>454</v>
      </c>
      <c r="B428" s="10"/>
      <c r="C428" s="21">
        <v>231063</v>
      </c>
      <c r="D428" s="22" t="s">
        <v>266</v>
      </c>
      <c r="E428" s="23">
        <v>45075</v>
      </c>
      <c r="F428" s="24">
        <v>45047</v>
      </c>
      <c r="G428" s="25">
        <v>10869065</v>
      </c>
      <c r="H428" s="26" t="s">
        <v>2258</v>
      </c>
      <c r="I428" s="34" t="s">
        <v>29</v>
      </c>
      <c r="J428" s="27">
        <v>17925779</v>
      </c>
      <c r="K428" s="39">
        <v>45157</v>
      </c>
      <c r="L428" s="36">
        <v>45157</v>
      </c>
      <c r="M428" s="36">
        <v>45157</v>
      </c>
      <c r="N428" s="37">
        <v>10869065</v>
      </c>
      <c r="O428" s="37">
        <v>0</v>
      </c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4.25" customHeight="1">
      <c r="A429" s="9">
        <v>457</v>
      </c>
      <c r="B429" s="10"/>
      <c r="C429" s="21">
        <v>231055</v>
      </c>
      <c r="D429" s="22" t="s">
        <v>266</v>
      </c>
      <c r="E429" s="23">
        <v>45076</v>
      </c>
      <c r="F429" s="24">
        <v>45047</v>
      </c>
      <c r="G429" s="25">
        <v>639360</v>
      </c>
      <c r="H429" s="26" t="s">
        <v>2259</v>
      </c>
      <c r="I429" s="34" t="s">
        <v>29</v>
      </c>
      <c r="J429" s="27"/>
      <c r="K429" s="39"/>
      <c r="L429" s="36">
        <v>45169</v>
      </c>
      <c r="M429" s="36">
        <v>45169</v>
      </c>
      <c r="N429" s="37">
        <v>639360</v>
      </c>
      <c r="O429" s="37">
        <v>0</v>
      </c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4.25" customHeight="1">
      <c r="A430" s="9">
        <v>458</v>
      </c>
      <c r="B430" s="10"/>
      <c r="C430" s="21">
        <v>231080</v>
      </c>
      <c r="D430" s="22" t="s">
        <v>266</v>
      </c>
      <c r="E430" s="23">
        <v>45077</v>
      </c>
      <c r="F430" s="24">
        <v>45047</v>
      </c>
      <c r="G430" s="25">
        <v>1209447</v>
      </c>
      <c r="H430" s="26" t="s">
        <v>2260</v>
      </c>
      <c r="I430" s="34" t="s">
        <v>29</v>
      </c>
      <c r="J430" s="10"/>
      <c r="K430" s="39"/>
      <c r="L430" s="36">
        <v>45169</v>
      </c>
      <c r="M430" s="36">
        <v>45169</v>
      </c>
      <c r="N430" s="37">
        <v>1209447</v>
      </c>
      <c r="O430" s="37">
        <v>0</v>
      </c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4.25" customHeight="1">
      <c r="A431" s="9">
        <v>459</v>
      </c>
      <c r="B431" s="10"/>
      <c r="C431" s="21">
        <v>231086</v>
      </c>
      <c r="D431" s="22" t="s">
        <v>266</v>
      </c>
      <c r="E431" s="23">
        <v>45077</v>
      </c>
      <c r="F431" s="24">
        <v>45047</v>
      </c>
      <c r="G431" s="25">
        <v>4488632</v>
      </c>
      <c r="H431" s="26" t="s">
        <v>2261</v>
      </c>
      <c r="I431" s="34" t="s">
        <v>29</v>
      </c>
      <c r="J431" s="10"/>
      <c r="K431" s="39"/>
      <c r="L431" s="36">
        <v>45169</v>
      </c>
      <c r="M431" s="36">
        <v>45169</v>
      </c>
      <c r="N431" s="37">
        <v>4488632</v>
      </c>
      <c r="O431" s="37">
        <v>0</v>
      </c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4.25" customHeight="1">
      <c r="A432" s="9">
        <v>460</v>
      </c>
      <c r="B432" s="10"/>
      <c r="C432" s="21">
        <v>231242</v>
      </c>
      <c r="D432" s="22" t="s">
        <v>266</v>
      </c>
      <c r="E432" s="23">
        <v>45098</v>
      </c>
      <c r="F432" s="24">
        <v>45078</v>
      </c>
      <c r="G432" s="25">
        <v>22450652</v>
      </c>
      <c r="H432" s="26" t="s">
        <v>2262</v>
      </c>
      <c r="I432" s="34" t="s">
        <v>29</v>
      </c>
      <c r="J432" s="25">
        <v>42685901</v>
      </c>
      <c r="K432" s="36">
        <v>45194</v>
      </c>
      <c r="L432" s="36">
        <v>45196</v>
      </c>
      <c r="M432" s="36">
        <v>45196</v>
      </c>
      <c r="N432" s="37">
        <v>22450652</v>
      </c>
      <c r="O432" s="37">
        <v>0</v>
      </c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4.25" customHeight="1">
      <c r="A433" s="9">
        <v>461</v>
      </c>
      <c r="B433" s="10"/>
      <c r="C433" s="21">
        <v>231260</v>
      </c>
      <c r="D433" s="22" t="s">
        <v>266</v>
      </c>
      <c r="E433" s="23">
        <v>45098</v>
      </c>
      <c r="F433" s="24">
        <v>45078</v>
      </c>
      <c r="G433" s="25">
        <v>5993616</v>
      </c>
      <c r="H433" s="26" t="s">
        <v>2263</v>
      </c>
      <c r="I433" s="34" t="s">
        <v>29</v>
      </c>
      <c r="J433" s="10"/>
      <c r="K433" s="39"/>
      <c r="L433" s="36">
        <v>45196</v>
      </c>
      <c r="M433" s="36">
        <v>45196</v>
      </c>
      <c r="N433" s="37">
        <v>5993616</v>
      </c>
      <c r="O433" s="37">
        <v>0</v>
      </c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4.25" customHeight="1">
      <c r="A434" s="9">
        <v>463</v>
      </c>
      <c r="B434" s="10"/>
      <c r="C434" s="21">
        <v>231292</v>
      </c>
      <c r="D434" s="22" t="s">
        <v>266</v>
      </c>
      <c r="E434" s="23">
        <v>45107</v>
      </c>
      <c r="F434" s="24">
        <v>45078</v>
      </c>
      <c r="G434" s="25">
        <v>14113428</v>
      </c>
      <c r="H434" s="26" t="s">
        <v>2264</v>
      </c>
      <c r="I434" s="34" t="s">
        <v>29</v>
      </c>
      <c r="J434" s="10"/>
      <c r="K434" s="39"/>
      <c r="L434" s="36">
        <v>45196</v>
      </c>
      <c r="M434" s="36">
        <v>45196</v>
      </c>
      <c r="N434" s="37">
        <v>14113428</v>
      </c>
      <c r="O434" s="37">
        <v>0</v>
      </c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4.25" customHeight="1">
      <c r="A435" s="9">
        <v>464</v>
      </c>
      <c r="B435" s="10"/>
      <c r="C435" s="21">
        <v>231293</v>
      </c>
      <c r="D435" s="22" t="s">
        <v>266</v>
      </c>
      <c r="E435" s="23">
        <v>45107</v>
      </c>
      <c r="F435" s="24">
        <v>45078</v>
      </c>
      <c r="G435" s="25">
        <v>391553</v>
      </c>
      <c r="H435" s="26" t="s">
        <v>2265</v>
      </c>
      <c r="I435" s="34" t="s">
        <v>29</v>
      </c>
      <c r="J435" s="27">
        <v>33308078</v>
      </c>
      <c r="K435" s="39">
        <v>45219</v>
      </c>
      <c r="L435" s="36">
        <v>45219</v>
      </c>
      <c r="M435" s="36">
        <v>45219</v>
      </c>
      <c r="N435" s="37">
        <v>391553</v>
      </c>
      <c r="O435" s="37">
        <v>0</v>
      </c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4.25" customHeight="1">
      <c r="A436" s="9">
        <v>462</v>
      </c>
      <c r="B436" s="10"/>
      <c r="C436" s="21">
        <v>231294</v>
      </c>
      <c r="D436" s="22" t="s">
        <v>266</v>
      </c>
      <c r="E436" s="23">
        <v>45107</v>
      </c>
      <c r="F436" s="24">
        <v>45078</v>
      </c>
      <c r="G436" s="25">
        <v>128205</v>
      </c>
      <c r="H436" s="26" t="s">
        <v>2266</v>
      </c>
      <c r="I436" s="34" t="s">
        <v>29</v>
      </c>
      <c r="J436" s="10"/>
      <c r="K436" s="39"/>
      <c r="L436" s="36">
        <v>45196</v>
      </c>
      <c r="M436" s="36">
        <v>45196</v>
      </c>
      <c r="N436" s="37">
        <v>128205</v>
      </c>
      <c r="O436" s="37">
        <v>0</v>
      </c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4.25" customHeight="1">
      <c r="A437" s="9">
        <v>465</v>
      </c>
      <c r="B437" s="10"/>
      <c r="C437" s="21">
        <v>231295</v>
      </c>
      <c r="D437" s="22" t="s">
        <v>266</v>
      </c>
      <c r="E437" s="23">
        <v>45107</v>
      </c>
      <c r="F437" s="24">
        <v>45078</v>
      </c>
      <c r="G437" s="25">
        <v>3649125</v>
      </c>
      <c r="H437" s="26" t="s">
        <v>2267</v>
      </c>
      <c r="I437" s="34" t="s">
        <v>29</v>
      </c>
      <c r="J437" s="10"/>
      <c r="K437" s="39"/>
      <c r="L437" s="36">
        <v>45219</v>
      </c>
      <c r="M437" s="36">
        <v>45219</v>
      </c>
      <c r="N437" s="37">
        <v>3649125</v>
      </c>
      <c r="O437" s="37">
        <v>0</v>
      </c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4.25" customHeight="1">
      <c r="A438" s="9">
        <v>468</v>
      </c>
      <c r="B438" s="10"/>
      <c r="C438" s="21">
        <v>231298</v>
      </c>
      <c r="D438" s="22" t="s">
        <v>266</v>
      </c>
      <c r="E438" s="23">
        <v>45107</v>
      </c>
      <c r="F438" s="24">
        <v>45078</v>
      </c>
      <c r="G438" s="25">
        <v>14048160</v>
      </c>
      <c r="H438" s="26" t="s">
        <v>2268</v>
      </c>
      <c r="I438" s="34" t="s">
        <v>29</v>
      </c>
      <c r="J438" s="10"/>
      <c r="K438" s="39"/>
      <c r="L438" s="36">
        <v>45219</v>
      </c>
      <c r="M438" s="36">
        <v>45219</v>
      </c>
      <c r="N438" s="37">
        <v>14048160</v>
      </c>
      <c r="O438" s="37">
        <v>0</v>
      </c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4.25" customHeight="1">
      <c r="A439" s="9">
        <v>466</v>
      </c>
      <c r="B439" s="10"/>
      <c r="C439" s="21">
        <v>231308</v>
      </c>
      <c r="D439" s="22" t="s">
        <v>266</v>
      </c>
      <c r="E439" s="23">
        <v>45107</v>
      </c>
      <c r="F439" s="24">
        <v>45078</v>
      </c>
      <c r="G439" s="25">
        <v>3230100</v>
      </c>
      <c r="H439" s="26" t="s">
        <v>2269</v>
      </c>
      <c r="I439" s="34" t="s">
        <v>29</v>
      </c>
      <c r="J439" s="10"/>
      <c r="K439" s="39"/>
      <c r="L439" s="36">
        <v>45219</v>
      </c>
      <c r="M439" s="36">
        <v>45219</v>
      </c>
      <c r="N439" s="37">
        <v>3230100</v>
      </c>
      <c r="O439" s="37">
        <v>0</v>
      </c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4.25" customHeight="1">
      <c r="A440" s="9">
        <v>467</v>
      </c>
      <c r="B440" s="10"/>
      <c r="C440" s="21">
        <v>231358</v>
      </c>
      <c r="D440" s="22" t="s">
        <v>266</v>
      </c>
      <c r="E440" s="23">
        <v>45107</v>
      </c>
      <c r="F440" s="24">
        <v>45078</v>
      </c>
      <c r="G440" s="25">
        <v>2996808</v>
      </c>
      <c r="H440" s="26" t="s">
        <v>2270</v>
      </c>
      <c r="I440" s="34" t="s">
        <v>29</v>
      </c>
      <c r="J440" s="10"/>
      <c r="K440" s="39"/>
      <c r="L440" s="36">
        <v>45219</v>
      </c>
      <c r="M440" s="36">
        <v>45219</v>
      </c>
      <c r="N440" s="37">
        <v>2996808</v>
      </c>
      <c r="O440" s="37">
        <v>0</v>
      </c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4.25" customHeight="1">
      <c r="A441" s="9">
        <v>471</v>
      </c>
      <c r="B441" s="10"/>
      <c r="C441" s="21">
        <v>231383</v>
      </c>
      <c r="D441" s="22" t="s">
        <v>266</v>
      </c>
      <c r="E441" s="23">
        <v>45119</v>
      </c>
      <c r="F441" s="24">
        <v>45108</v>
      </c>
      <c r="G441" s="25">
        <v>896325</v>
      </c>
      <c r="H441" s="26" t="s">
        <v>2271</v>
      </c>
      <c r="I441" s="34" t="s">
        <v>29</v>
      </c>
      <c r="J441" s="10"/>
      <c r="K441" s="39"/>
      <c r="L441" s="36">
        <v>45219</v>
      </c>
      <c r="M441" s="36">
        <v>45219</v>
      </c>
      <c r="N441" s="37">
        <v>896325</v>
      </c>
      <c r="O441" s="37">
        <v>0</v>
      </c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4.25" customHeight="1">
      <c r="A442" s="9">
        <v>469</v>
      </c>
      <c r="B442" s="10"/>
      <c r="C442" s="21">
        <v>231384</v>
      </c>
      <c r="D442" s="22" t="s">
        <v>266</v>
      </c>
      <c r="E442" s="23">
        <v>45119</v>
      </c>
      <c r="F442" s="24">
        <v>45108</v>
      </c>
      <c r="G442" s="25">
        <v>732600</v>
      </c>
      <c r="H442" s="26" t="s">
        <v>2272</v>
      </c>
      <c r="I442" s="34" t="s">
        <v>29</v>
      </c>
      <c r="J442" s="10"/>
      <c r="K442" s="39"/>
      <c r="L442" s="36">
        <v>45219</v>
      </c>
      <c r="M442" s="36">
        <v>45219</v>
      </c>
      <c r="N442" s="37">
        <v>732600</v>
      </c>
      <c r="O442" s="37">
        <v>0</v>
      </c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4.25" customHeight="1">
      <c r="A443" s="9">
        <v>470</v>
      </c>
      <c r="B443" s="10"/>
      <c r="C443" s="21">
        <v>231386</v>
      </c>
      <c r="D443" s="22" t="s">
        <v>266</v>
      </c>
      <c r="E443" s="23">
        <v>45119</v>
      </c>
      <c r="F443" s="24">
        <v>45108</v>
      </c>
      <c r="G443" s="25">
        <v>7363407</v>
      </c>
      <c r="H443" s="26" t="s">
        <v>2273</v>
      </c>
      <c r="I443" s="34" t="s">
        <v>29</v>
      </c>
      <c r="J443" s="10"/>
      <c r="K443" s="39"/>
      <c r="L443" s="36">
        <v>45219</v>
      </c>
      <c r="M443" s="36">
        <v>45219</v>
      </c>
      <c r="N443" s="37">
        <v>7363407</v>
      </c>
      <c r="O443" s="37">
        <v>0</v>
      </c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4.25" customHeight="1">
      <c r="A444" s="9">
        <v>472</v>
      </c>
      <c r="B444" s="10"/>
      <c r="C444" s="21">
        <v>231385</v>
      </c>
      <c r="D444" s="22" t="s">
        <v>266</v>
      </c>
      <c r="E444" s="23">
        <v>45120</v>
      </c>
      <c r="F444" s="24">
        <v>45108</v>
      </c>
      <c r="G444" s="25">
        <v>22450652</v>
      </c>
      <c r="H444" s="26" t="s">
        <v>2274</v>
      </c>
      <c r="I444" s="34" t="s">
        <v>29</v>
      </c>
      <c r="J444" s="27">
        <v>37853346</v>
      </c>
      <c r="K444" s="39">
        <v>45229</v>
      </c>
      <c r="L444" s="36">
        <v>45229</v>
      </c>
      <c r="M444" s="36">
        <v>45229</v>
      </c>
      <c r="N444" s="37">
        <v>22450652</v>
      </c>
      <c r="O444" s="37">
        <v>0</v>
      </c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4.25" customHeight="1">
      <c r="A445" s="9">
        <v>473</v>
      </c>
      <c r="B445" s="10"/>
      <c r="C445" s="21">
        <v>231430</v>
      </c>
      <c r="D445" s="22" t="s">
        <v>266</v>
      </c>
      <c r="E445" s="23">
        <v>45124</v>
      </c>
      <c r="F445" s="24">
        <v>45108</v>
      </c>
      <c r="G445" s="25">
        <v>3984900</v>
      </c>
      <c r="H445" s="26" t="s">
        <v>2275</v>
      </c>
      <c r="I445" s="34" t="s">
        <v>29</v>
      </c>
      <c r="J445" s="10"/>
      <c r="K445" s="39"/>
      <c r="L445" s="36">
        <v>45229</v>
      </c>
      <c r="M445" s="36">
        <v>45229</v>
      </c>
      <c r="N445" s="37">
        <v>3984900</v>
      </c>
      <c r="O445" s="37">
        <v>0</v>
      </c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4.25" customHeight="1">
      <c r="A446" s="9">
        <v>474</v>
      </c>
      <c r="B446" s="10"/>
      <c r="C446" s="21">
        <v>231431</v>
      </c>
      <c r="D446" s="22" t="s">
        <v>266</v>
      </c>
      <c r="E446" s="23">
        <v>45124</v>
      </c>
      <c r="F446" s="24">
        <v>45108</v>
      </c>
      <c r="G446" s="25">
        <v>995393</v>
      </c>
      <c r="H446" s="26" t="s">
        <v>2276</v>
      </c>
      <c r="I446" s="34" t="s">
        <v>29</v>
      </c>
      <c r="J446" s="10"/>
      <c r="K446" s="39"/>
      <c r="L446" s="36">
        <v>45229</v>
      </c>
      <c r="M446" s="36">
        <v>45229</v>
      </c>
      <c r="N446" s="37">
        <v>995393</v>
      </c>
      <c r="O446" s="37">
        <v>0</v>
      </c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4.25" customHeight="1">
      <c r="A447" s="9">
        <v>475</v>
      </c>
      <c r="B447" s="10"/>
      <c r="C447" s="21">
        <v>231426</v>
      </c>
      <c r="D447" s="22" t="s">
        <v>266</v>
      </c>
      <c r="E447" s="23">
        <v>45125</v>
      </c>
      <c r="F447" s="24">
        <v>45108</v>
      </c>
      <c r="G447" s="25">
        <v>196470</v>
      </c>
      <c r="H447" s="26" t="s">
        <v>2277</v>
      </c>
      <c r="I447" s="34" t="s">
        <v>29</v>
      </c>
      <c r="J447" s="10"/>
      <c r="K447" s="39"/>
      <c r="L447" s="36">
        <v>45229</v>
      </c>
      <c r="M447" s="36">
        <v>45229</v>
      </c>
      <c r="N447" s="37">
        <v>196470</v>
      </c>
      <c r="O447" s="37">
        <v>0</v>
      </c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4.25" customHeight="1">
      <c r="A448" s="9">
        <v>476</v>
      </c>
      <c r="B448" s="10"/>
      <c r="C448" s="21">
        <v>231468</v>
      </c>
      <c r="D448" s="22" t="s">
        <v>266</v>
      </c>
      <c r="E448" s="23">
        <v>45133</v>
      </c>
      <c r="F448" s="24">
        <v>45108</v>
      </c>
      <c r="G448" s="25">
        <v>186147</v>
      </c>
      <c r="H448" s="26" t="s">
        <v>2278</v>
      </c>
      <c r="I448" s="34" t="s">
        <v>29</v>
      </c>
      <c r="J448" s="10"/>
      <c r="K448" s="39"/>
      <c r="L448" s="36">
        <v>45229</v>
      </c>
      <c r="M448" s="36">
        <v>45229</v>
      </c>
      <c r="N448" s="37">
        <v>186147</v>
      </c>
      <c r="O448" s="37">
        <v>0</v>
      </c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4.25" customHeight="1">
      <c r="A449" s="9">
        <v>478</v>
      </c>
      <c r="B449" s="10"/>
      <c r="C449" s="21">
        <v>231471</v>
      </c>
      <c r="D449" s="22" t="s">
        <v>266</v>
      </c>
      <c r="E449" s="23">
        <v>45133</v>
      </c>
      <c r="F449" s="24">
        <v>45108</v>
      </c>
      <c r="G449" s="25">
        <v>9884106</v>
      </c>
      <c r="H449" s="26" t="s">
        <v>2279</v>
      </c>
      <c r="I449" s="34" t="s">
        <v>29</v>
      </c>
      <c r="J449" s="10"/>
      <c r="K449" s="39"/>
      <c r="L449" s="36">
        <v>45229</v>
      </c>
      <c r="M449" s="36">
        <v>45229</v>
      </c>
      <c r="N449" s="37">
        <v>9884106</v>
      </c>
      <c r="O449" s="37">
        <v>0</v>
      </c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4.25" customHeight="1">
      <c r="A450" s="9">
        <v>477</v>
      </c>
      <c r="B450" s="10"/>
      <c r="C450" s="21">
        <v>231480</v>
      </c>
      <c r="D450" s="22" t="s">
        <v>266</v>
      </c>
      <c r="E450" s="23">
        <v>45133</v>
      </c>
      <c r="F450" s="24">
        <v>45108</v>
      </c>
      <c r="G450" s="25">
        <v>155678</v>
      </c>
      <c r="H450" s="26" t="s">
        <v>2280</v>
      </c>
      <c r="I450" s="34" t="s">
        <v>29</v>
      </c>
      <c r="J450" s="10"/>
      <c r="K450" s="39"/>
      <c r="L450" s="36">
        <v>45229</v>
      </c>
      <c r="M450" s="36">
        <v>45229</v>
      </c>
      <c r="N450" s="37">
        <v>155678</v>
      </c>
      <c r="O450" s="37">
        <v>0</v>
      </c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4.25" customHeight="1">
      <c r="A451" s="9">
        <v>479</v>
      </c>
      <c r="B451" s="10"/>
      <c r="C451" s="21">
        <v>231475</v>
      </c>
      <c r="D451" s="22" t="s">
        <v>266</v>
      </c>
      <c r="E451" s="23">
        <v>45136</v>
      </c>
      <c r="F451" s="24">
        <v>45108</v>
      </c>
      <c r="G451" s="25">
        <v>2300364</v>
      </c>
      <c r="H451" s="26" t="s">
        <v>2281</v>
      </c>
      <c r="I451" s="34" t="s">
        <v>29</v>
      </c>
      <c r="J451" s="27">
        <v>67644046</v>
      </c>
      <c r="K451" s="39">
        <v>45257</v>
      </c>
      <c r="L451" s="36">
        <v>45257</v>
      </c>
      <c r="M451" s="36">
        <v>45257</v>
      </c>
      <c r="N451" s="37">
        <v>2300364</v>
      </c>
      <c r="O451" s="37">
        <v>0</v>
      </c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4.25" customHeight="1">
      <c r="A452" s="9">
        <v>481</v>
      </c>
      <c r="B452" s="10"/>
      <c r="C452" s="21">
        <v>231504</v>
      </c>
      <c r="D452" s="22" t="s">
        <v>266</v>
      </c>
      <c r="E452" s="23">
        <v>45138</v>
      </c>
      <c r="F452" s="24">
        <v>45108</v>
      </c>
      <c r="G452" s="25">
        <v>391553</v>
      </c>
      <c r="H452" s="26" t="s">
        <v>2282</v>
      </c>
      <c r="I452" s="34" t="s">
        <v>29</v>
      </c>
      <c r="J452" s="10"/>
      <c r="K452" s="39"/>
      <c r="L452" s="36">
        <v>45257</v>
      </c>
      <c r="M452" s="36">
        <v>45257</v>
      </c>
      <c r="N452" s="37">
        <v>391553</v>
      </c>
      <c r="O452" s="37">
        <v>0</v>
      </c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4.25" customHeight="1">
      <c r="A453" s="9">
        <v>480</v>
      </c>
      <c r="B453" s="10"/>
      <c r="C453" s="21">
        <v>231505</v>
      </c>
      <c r="D453" s="22" t="s">
        <v>266</v>
      </c>
      <c r="E453" s="23">
        <v>45138</v>
      </c>
      <c r="F453" s="24">
        <v>45108</v>
      </c>
      <c r="G453" s="25">
        <v>2244087</v>
      </c>
      <c r="H453" s="26" t="s">
        <v>2283</v>
      </c>
      <c r="I453" s="34" t="s">
        <v>29</v>
      </c>
      <c r="J453" s="10"/>
      <c r="K453" s="39"/>
      <c r="L453" s="36">
        <v>45257</v>
      </c>
      <c r="M453" s="36">
        <v>45257</v>
      </c>
      <c r="N453" s="37">
        <v>2244087</v>
      </c>
      <c r="O453" s="37">
        <v>0</v>
      </c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4.25" customHeight="1">
      <c r="A454" s="9">
        <v>483</v>
      </c>
      <c r="B454" s="10"/>
      <c r="C454" s="21">
        <v>231523</v>
      </c>
      <c r="D454" s="22" t="s">
        <v>266</v>
      </c>
      <c r="E454" s="23">
        <v>45138</v>
      </c>
      <c r="F454" s="24">
        <v>45108</v>
      </c>
      <c r="G454" s="25">
        <v>888000</v>
      </c>
      <c r="H454" s="26" t="s">
        <v>2284</v>
      </c>
      <c r="I454" s="34" t="s">
        <v>29</v>
      </c>
      <c r="J454" s="10"/>
      <c r="K454" s="39"/>
      <c r="L454" s="36">
        <v>45257</v>
      </c>
      <c r="M454" s="36">
        <v>45257</v>
      </c>
      <c r="N454" s="37">
        <v>888000</v>
      </c>
      <c r="O454" s="37">
        <v>0</v>
      </c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4.25" customHeight="1">
      <c r="A455" s="9">
        <v>482</v>
      </c>
      <c r="B455" s="10"/>
      <c r="C455" s="21">
        <v>231524</v>
      </c>
      <c r="D455" s="22" t="s">
        <v>266</v>
      </c>
      <c r="E455" s="23">
        <v>45138</v>
      </c>
      <c r="F455" s="24">
        <v>45108</v>
      </c>
      <c r="G455" s="25">
        <v>7056714</v>
      </c>
      <c r="H455" s="26" t="s">
        <v>2285</v>
      </c>
      <c r="I455" s="34" t="s">
        <v>29</v>
      </c>
      <c r="J455" s="10"/>
      <c r="K455" s="39"/>
      <c r="L455" s="36">
        <v>45257</v>
      </c>
      <c r="M455" s="36">
        <v>45257</v>
      </c>
      <c r="N455" s="37">
        <v>7056714</v>
      </c>
      <c r="O455" s="37">
        <v>0</v>
      </c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4.25" customHeight="1">
      <c r="A456" s="9">
        <v>484</v>
      </c>
      <c r="B456" s="10"/>
      <c r="C456" s="21">
        <v>231561</v>
      </c>
      <c r="D456" s="22" t="s">
        <v>266</v>
      </c>
      <c r="E456" s="23">
        <v>45142</v>
      </c>
      <c r="F456" s="24">
        <v>45139</v>
      </c>
      <c r="G456" s="25">
        <v>3995745</v>
      </c>
      <c r="H456" s="26" t="s">
        <v>2286</v>
      </c>
      <c r="I456" s="34" t="s">
        <v>29</v>
      </c>
      <c r="J456" s="10"/>
      <c r="K456" s="39"/>
      <c r="L456" s="36">
        <v>45257</v>
      </c>
      <c r="M456" s="36">
        <v>45257</v>
      </c>
      <c r="N456" s="37">
        <v>3995745</v>
      </c>
      <c r="O456" s="37">
        <v>0</v>
      </c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4.25" customHeight="1">
      <c r="A457" s="9">
        <v>485</v>
      </c>
      <c r="B457" s="10"/>
      <c r="C457" s="21">
        <v>231678</v>
      </c>
      <c r="D457" s="22" t="s">
        <v>266</v>
      </c>
      <c r="E457" s="23">
        <v>45157</v>
      </c>
      <c r="F457" s="24">
        <v>45139</v>
      </c>
      <c r="G457" s="25">
        <v>6964673</v>
      </c>
      <c r="H457" s="26" t="s">
        <v>2287</v>
      </c>
      <c r="I457" s="34" t="s">
        <v>29</v>
      </c>
      <c r="J457" s="10"/>
      <c r="K457" s="39"/>
      <c r="L457" s="36">
        <v>45257</v>
      </c>
      <c r="M457" s="36">
        <v>45257</v>
      </c>
      <c r="N457" s="37">
        <v>6964673</v>
      </c>
      <c r="O457" s="37">
        <v>0</v>
      </c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4.25" customHeight="1">
      <c r="A458" s="9">
        <v>487</v>
      </c>
      <c r="B458" s="10"/>
      <c r="C458" s="21">
        <v>231682</v>
      </c>
      <c r="D458" s="22" t="s">
        <v>266</v>
      </c>
      <c r="E458" s="23">
        <v>45160</v>
      </c>
      <c r="F458" s="24">
        <v>45139</v>
      </c>
      <c r="G458" s="25">
        <v>4924071</v>
      </c>
      <c r="H458" s="26" t="s">
        <v>2288</v>
      </c>
      <c r="I458" s="34" t="s">
        <v>29</v>
      </c>
      <c r="J458" s="10"/>
      <c r="K458" s="39"/>
      <c r="L458" s="36">
        <v>45257</v>
      </c>
      <c r="M458" s="36">
        <v>45257</v>
      </c>
      <c r="N458" s="37">
        <v>4924071</v>
      </c>
      <c r="O458" s="37">
        <v>0</v>
      </c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4.25" customHeight="1">
      <c r="A459" s="9">
        <v>486</v>
      </c>
      <c r="B459" s="10"/>
      <c r="C459" s="21">
        <v>231683</v>
      </c>
      <c r="D459" s="22" t="s">
        <v>266</v>
      </c>
      <c r="E459" s="23">
        <v>45160</v>
      </c>
      <c r="F459" s="24">
        <v>45139</v>
      </c>
      <c r="G459" s="25">
        <v>128205</v>
      </c>
      <c r="H459" s="26" t="s">
        <v>2289</v>
      </c>
      <c r="I459" s="34" t="s">
        <v>29</v>
      </c>
      <c r="J459" s="10"/>
      <c r="K459" s="39"/>
      <c r="L459" s="36">
        <v>45257</v>
      </c>
      <c r="M459" s="36">
        <v>45257</v>
      </c>
      <c r="N459" s="37">
        <v>128205</v>
      </c>
      <c r="O459" s="37">
        <v>0</v>
      </c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4.25" customHeight="1">
      <c r="A460" s="9">
        <v>488</v>
      </c>
      <c r="B460" s="10"/>
      <c r="C460" s="21">
        <v>231691</v>
      </c>
      <c r="D460" s="22" t="s">
        <v>266</v>
      </c>
      <c r="E460" s="23">
        <v>45160</v>
      </c>
      <c r="F460" s="24">
        <v>45139</v>
      </c>
      <c r="G460" s="25">
        <v>13470392</v>
      </c>
      <c r="H460" s="26" t="s">
        <v>2290</v>
      </c>
      <c r="I460" s="34" t="s">
        <v>29</v>
      </c>
      <c r="J460" s="10"/>
      <c r="K460" s="39"/>
      <c r="L460" s="36">
        <v>45257</v>
      </c>
      <c r="M460" s="36">
        <v>45257</v>
      </c>
      <c r="N460" s="37">
        <v>13470392</v>
      </c>
      <c r="O460" s="37">
        <v>0</v>
      </c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4.25" customHeight="1">
      <c r="A461" s="9">
        <v>490</v>
      </c>
      <c r="B461" s="10"/>
      <c r="C461" s="21">
        <v>231724</v>
      </c>
      <c r="D461" s="22" t="s">
        <v>266</v>
      </c>
      <c r="E461" s="23">
        <v>45163</v>
      </c>
      <c r="F461" s="24">
        <v>45139</v>
      </c>
      <c r="G461" s="25">
        <v>389194</v>
      </c>
      <c r="H461" s="26" t="s">
        <v>2291</v>
      </c>
      <c r="I461" s="34" t="s">
        <v>29</v>
      </c>
      <c r="J461" s="10"/>
      <c r="K461" s="39"/>
      <c r="L461" s="36">
        <v>45257</v>
      </c>
      <c r="M461" s="36">
        <v>45257</v>
      </c>
      <c r="N461" s="37">
        <v>389194</v>
      </c>
      <c r="O461" s="37">
        <v>0</v>
      </c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4.25" customHeight="1">
      <c r="A462" s="9">
        <v>489</v>
      </c>
      <c r="B462" s="10"/>
      <c r="C462" s="21">
        <v>231725</v>
      </c>
      <c r="D462" s="22" t="s">
        <v>266</v>
      </c>
      <c r="E462" s="23">
        <v>45163</v>
      </c>
      <c r="F462" s="24">
        <v>45139</v>
      </c>
      <c r="G462" s="25">
        <v>924158</v>
      </c>
      <c r="H462" s="26" t="s">
        <v>2292</v>
      </c>
      <c r="I462" s="34" t="s">
        <v>29</v>
      </c>
      <c r="J462" s="10"/>
      <c r="K462" s="39"/>
      <c r="L462" s="36">
        <v>45257</v>
      </c>
      <c r="M462" s="36">
        <v>45257</v>
      </c>
      <c r="N462" s="37">
        <v>924158</v>
      </c>
      <c r="O462" s="37">
        <v>0</v>
      </c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4.25" customHeight="1">
      <c r="A463" s="9">
        <v>491</v>
      </c>
      <c r="B463" s="10"/>
      <c r="C463" s="21">
        <v>231793</v>
      </c>
      <c r="D463" s="22" t="s">
        <v>266</v>
      </c>
      <c r="E463" s="23">
        <v>45168</v>
      </c>
      <c r="F463" s="24">
        <v>45139</v>
      </c>
      <c r="G463" s="25">
        <v>3441000</v>
      </c>
      <c r="H463" s="26" t="s">
        <v>2293</v>
      </c>
      <c r="I463" s="34" t="s">
        <v>29</v>
      </c>
      <c r="J463" s="10"/>
      <c r="K463" s="39"/>
      <c r="L463" s="36">
        <v>45257</v>
      </c>
      <c r="M463" s="36">
        <v>45257</v>
      </c>
      <c r="N463" s="37">
        <v>3441000</v>
      </c>
      <c r="O463" s="37">
        <v>0</v>
      </c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4.25" customHeight="1">
      <c r="A464" s="9">
        <v>492</v>
      </c>
      <c r="B464" s="10"/>
      <c r="C464" s="21">
        <v>231795</v>
      </c>
      <c r="D464" s="22" t="s">
        <v>266</v>
      </c>
      <c r="E464" s="23">
        <v>45168</v>
      </c>
      <c r="F464" s="24">
        <v>45139</v>
      </c>
      <c r="G464" s="25">
        <v>504051</v>
      </c>
      <c r="H464" s="26" t="s">
        <v>2294</v>
      </c>
      <c r="I464" s="34" t="s">
        <v>29</v>
      </c>
      <c r="J464" s="10"/>
      <c r="K464" s="39"/>
      <c r="L464" s="36">
        <v>45257</v>
      </c>
      <c r="M464" s="36">
        <v>45257</v>
      </c>
      <c r="N464" s="37">
        <v>504051</v>
      </c>
      <c r="O464" s="37">
        <v>0</v>
      </c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4.25" customHeight="1">
      <c r="A465" s="9">
        <v>495</v>
      </c>
      <c r="B465" s="10"/>
      <c r="C465" s="21">
        <v>231810</v>
      </c>
      <c r="D465" s="22" t="s">
        <v>266</v>
      </c>
      <c r="E465" s="23">
        <v>45169</v>
      </c>
      <c r="F465" s="24">
        <v>45139</v>
      </c>
      <c r="G465" s="25">
        <v>16413792</v>
      </c>
      <c r="H465" s="26" t="s">
        <v>2295</v>
      </c>
      <c r="I465" s="34" t="s">
        <v>29</v>
      </c>
      <c r="J465" s="10"/>
      <c r="K465" s="39"/>
      <c r="L465" s="36">
        <v>45257</v>
      </c>
      <c r="M465" s="36">
        <v>45257</v>
      </c>
      <c r="N465" s="37">
        <v>16413792</v>
      </c>
      <c r="O465" s="37">
        <v>0</v>
      </c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4.25" customHeight="1">
      <c r="A466" s="9">
        <v>494</v>
      </c>
      <c r="B466" s="10"/>
      <c r="C466" s="21">
        <v>231814</v>
      </c>
      <c r="D466" s="22" t="s">
        <v>266</v>
      </c>
      <c r="E466" s="23">
        <v>45169</v>
      </c>
      <c r="F466" s="24">
        <v>45139</v>
      </c>
      <c r="G466" s="25">
        <v>145632</v>
      </c>
      <c r="H466" s="26" t="s">
        <v>2296</v>
      </c>
      <c r="I466" s="34" t="s">
        <v>29</v>
      </c>
      <c r="J466" s="10"/>
      <c r="K466" s="39"/>
      <c r="L466" s="36">
        <v>45257</v>
      </c>
      <c r="M466" s="36">
        <v>45257</v>
      </c>
      <c r="N466" s="37">
        <v>145632</v>
      </c>
      <c r="O466" s="37">
        <v>0</v>
      </c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4.25" customHeight="1">
      <c r="A467" s="9">
        <v>493</v>
      </c>
      <c r="B467" s="10"/>
      <c r="C467" s="21">
        <v>231815</v>
      </c>
      <c r="D467" s="22" t="s">
        <v>266</v>
      </c>
      <c r="E467" s="23">
        <v>45169</v>
      </c>
      <c r="F467" s="24">
        <v>45139</v>
      </c>
      <c r="G467" s="25">
        <v>998936</v>
      </c>
      <c r="H467" s="26" t="s">
        <v>2297</v>
      </c>
      <c r="I467" s="34" t="s">
        <v>29</v>
      </c>
      <c r="J467" s="10"/>
      <c r="K467" s="39"/>
      <c r="L467" s="36">
        <v>45257</v>
      </c>
      <c r="M467" s="36">
        <v>45257</v>
      </c>
      <c r="N467" s="37">
        <v>998936</v>
      </c>
      <c r="O467" s="37">
        <v>0</v>
      </c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4.25" customHeight="1">
      <c r="A468" s="9">
        <v>496</v>
      </c>
      <c r="B468" s="10"/>
      <c r="C468" s="21">
        <v>231848</v>
      </c>
      <c r="D468" s="22" t="s">
        <v>266</v>
      </c>
      <c r="E468" s="23">
        <v>45175</v>
      </c>
      <c r="F468" s="24">
        <v>45170</v>
      </c>
      <c r="G468" s="25">
        <v>2463479</v>
      </c>
      <c r="H468" s="26" t="s">
        <v>2298</v>
      </c>
      <c r="I468" s="34" t="s">
        <v>29</v>
      </c>
      <c r="J468" s="10"/>
      <c r="K468" s="39"/>
      <c r="L468" s="36">
        <v>45257</v>
      </c>
      <c r="M468" s="36">
        <v>45257</v>
      </c>
      <c r="N468" s="37">
        <v>2463479</v>
      </c>
      <c r="O468" s="37">
        <v>0</v>
      </c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4.25" customHeight="1">
      <c r="A469" s="9">
        <v>497</v>
      </c>
      <c r="B469" s="10"/>
      <c r="C469" s="21">
        <v>232005</v>
      </c>
      <c r="D469" s="22" t="s">
        <v>266</v>
      </c>
      <c r="E469" s="23">
        <v>45198</v>
      </c>
      <c r="F469" s="24">
        <v>45170</v>
      </c>
      <c r="G469" s="25">
        <v>14113428</v>
      </c>
      <c r="H469" s="26" t="s">
        <v>2299</v>
      </c>
      <c r="I469" s="34" t="s">
        <v>29</v>
      </c>
      <c r="J469" s="27">
        <v>23144388</v>
      </c>
      <c r="K469" s="39">
        <v>45260</v>
      </c>
      <c r="L469" s="36">
        <v>45260</v>
      </c>
      <c r="M469" s="36">
        <v>45260</v>
      </c>
      <c r="N469" s="37">
        <v>14113428</v>
      </c>
      <c r="O469" s="37">
        <v>0</v>
      </c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4.25" customHeight="1">
      <c r="A470" s="9">
        <v>498</v>
      </c>
      <c r="B470" s="10"/>
      <c r="C470" s="21">
        <v>232018</v>
      </c>
      <c r="D470" s="22" t="s">
        <v>266</v>
      </c>
      <c r="E470" s="23">
        <v>45198</v>
      </c>
      <c r="F470" s="24">
        <v>45170</v>
      </c>
      <c r="G470" s="25">
        <v>9030960</v>
      </c>
      <c r="H470" s="26" t="s">
        <v>2300</v>
      </c>
      <c r="I470" s="34" t="s">
        <v>29</v>
      </c>
      <c r="J470" s="10"/>
      <c r="K470" s="39"/>
      <c r="L470" s="36">
        <v>45260</v>
      </c>
      <c r="M470" s="36">
        <v>45260</v>
      </c>
      <c r="N470" s="37">
        <v>9030960</v>
      </c>
      <c r="O470" s="37">
        <v>0</v>
      </c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4.25" customHeight="1">
      <c r="A471" s="9">
        <v>502</v>
      </c>
      <c r="B471" s="10"/>
      <c r="C471" s="21">
        <v>232019</v>
      </c>
      <c r="D471" s="22" t="s">
        <v>266</v>
      </c>
      <c r="E471" s="23">
        <v>45198</v>
      </c>
      <c r="F471" s="24">
        <v>45170</v>
      </c>
      <c r="G471" s="25">
        <v>3853920</v>
      </c>
      <c r="H471" s="26" t="s">
        <v>2301</v>
      </c>
      <c r="I471" s="34" t="s">
        <v>29</v>
      </c>
      <c r="J471" s="10"/>
      <c r="K471" s="39"/>
      <c r="L471" s="36">
        <v>45271</v>
      </c>
      <c r="M471" s="36">
        <v>45271</v>
      </c>
      <c r="N471" s="37">
        <v>3853920</v>
      </c>
      <c r="O471" s="37">
        <v>0</v>
      </c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4.25" customHeight="1">
      <c r="A472" s="9">
        <v>504</v>
      </c>
      <c r="B472" s="10"/>
      <c r="C472" s="21">
        <v>232020</v>
      </c>
      <c r="D472" s="22" t="s">
        <v>266</v>
      </c>
      <c r="E472" s="23">
        <v>45198</v>
      </c>
      <c r="F472" s="24">
        <v>45170</v>
      </c>
      <c r="G472" s="25">
        <v>4222773</v>
      </c>
      <c r="H472" s="26" t="s">
        <v>2302</v>
      </c>
      <c r="I472" s="34" t="s">
        <v>29</v>
      </c>
      <c r="J472" s="10"/>
      <c r="K472" s="39"/>
      <c r="L472" s="36">
        <v>45271</v>
      </c>
      <c r="M472" s="36">
        <v>45271</v>
      </c>
      <c r="N472" s="37">
        <v>4222773</v>
      </c>
      <c r="O472" s="37">
        <v>0</v>
      </c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4.25" customHeight="1">
      <c r="A473" s="9">
        <v>499</v>
      </c>
      <c r="B473" s="10"/>
      <c r="C473" s="21">
        <v>232021</v>
      </c>
      <c r="D473" s="22" t="s">
        <v>266</v>
      </c>
      <c r="E473" s="23">
        <v>45198</v>
      </c>
      <c r="F473" s="24">
        <v>45170</v>
      </c>
      <c r="G473" s="25">
        <v>1098900</v>
      </c>
      <c r="H473" s="26" t="s">
        <v>2303</v>
      </c>
      <c r="I473" s="34" t="s">
        <v>29</v>
      </c>
      <c r="J473" s="27">
        <v>45467095</v>
      </c>
      <c r="K473" s="39">
        <v>45271</v>
      </c>
      <c r="L473" s="36">
        <v>45271</v>
      </c>
      <c r="M473" s="36">
        <v>45271</v>
      </c>
      <c r="N473" s="37">
        <v>1098900</v>
      </c>
      <c r="O473" s="37">
        <v>0</v>
      </c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4.25" customHeight="1">
      <c r="A474" s="9">
        <v>501</v>
      </c>
      <c r="B474" s="10"/>
      <c r="C474" s="21">
        <v>232022</v>
      </c>
      <c r="D474" s="22" t="s">
        <v>266</v>
      </c>
      <c r="E474" s="23">
        <v>45198</v>
      </c>
      <c r="F474" s="24">
        <v>45170</v>
      </c>
      <c r="G474" s="25">
        <v>24751016</v>
      </c>
      <c r="H474" s="26" t="s">
        <v>2304</v>
      </c>
      <c r="I474" s="34" t="s">
        <v>29</v>
      </c>
      <c r="J474" s="10"/>
      <c r="K474" s="39"/>
      <c r="L474" s="36">
        <v>45271</v>
      </c>
      <c r="M474" s="36">
        <v>45271</v>
      </c>
      <c r="N474" s="37">
        <v>24751016</v>
      </c>
      <c r="O474" s="37">
        <v>0</v>
      </c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4.25" customHeight="1">
      <c r="A475" s="9">
        <v>500</v>
      </c>
      <c r="B475" s="10"/>
      <c r="C475" s="21">
        <v>232023</v>
      </c>
      <c r="D475" s="22" t="s">
        <v>266</v>
      </c>
      <c r="E475" s="23">
        <v>45198</v>
      </c>
      <c r="F475" s="24">
        <v>45170</v>
      </c>
      <c r="G475" s="25">
        <v>1409700</v>
      </c>
      <c r="H475" s="26" t="s">
        <v>2305</v>
      </c>
      <c r="I475" s="34" t="s">
        <v>29</v>
      </c>
      <c r="K475" s="39"/>
      <c r="L475" s="36">
        <v>45271</v>
      </c>
      <c r="M475" s="36">
        <v>45271</v>
      </c>
      <c r="N475" s="37">
        <v>1409700</v>
      </c>
      <c r="O475" s="37">
        <v>0</v>
      </c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4.25" customHeight="1">
      <c r="A476" s="9">
        <v>503</v>
      </c>
      <c r="B476" s="10"/>
      <c r="C476" s="21">
        <v>232025</v>
      </c>
      <c r="D476" s="22" t="s">
        <v>266</v>
      </c>
      <c r="E476" s="23">
        <v>45198</v>
      </c>
      <c r="F476" s="24">
        <v>45170</v>
      </c>
      <c r="G476" s="25">
        <v>1098900</v>
      </c>
      <c r="H476" s="26" t="s">
        <v>2306</v>
      </c>
      <c r="I476" s="34" t="s">
        <v>29</v>
      </c>
      <c r="J476" s="10"/>
      <c r="K476" s="39"/>
      <c r="L476" s="36">
        <v>45271</v>
      </c>
      <c r="M476" s="36">
        <v>45271</v>
      </c>
      <c r="N476" s="37">
        <v>1098900</v>
      </c>
      <c r="O476" s="37">
        <v>0</v>
      </c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4.25" customHeight="1">
      <c r="A477" s="9">
        <v>506</v>
      </c>
      <c r="B477" s="10"/>
      <c r="C477" s="21">
        <v>232016</v>
      </c>
      <c r="D477" s="22" t="s">
        <v>266</v>
      </c>
      <c r="E477" s="23">
        <v>45199</v>
      </c>
      <c r="F477" s="24">
        <v>45170</v>
      </c>
      <c r="G477" s="25">
        <v>4296810</v>
      </c>
      <c r="H477" s="26" t="s">
        <v>2307</v>
      </c>
      <c r="I477" s="34" t="s">
        <v>29</v>
      </c>
      <c r="J477" s="10"/>
      <c r="K477" s="39"/>
      <c r="L477" s="36">
        <v>45271</v>
      </c>
      <c r="M477" s="36">
        <v>45271</v>
      </c>
      <c r="N477" s="37">
        <v>4296810</v>
      </c>
      <c r="O477" s="37">
        <v>0</v>
      </c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4.25" customHeight="1">
      <c r="A478" s="9">
        <v>505</v>
      </c>
      <c r="B478" s="10"/>
      <c r="C478" s="21">
        <v>232017</v>
      </c>
      <c r="D478" s="22" t="s">
        <v>266</v>
      </c>
      <c r="E478" s="23">
        <v>45199</v>
      </c>
      <c r="F478" s="24">
        <v>45170</v>
      </c>
      <c r="G478" s="25">
        <v>4735076</v>
      </c>
      <c r="H478" s="26" t="s">
        <v>2308</v>
      </c>
      <c r="I478" s="34" t="s">
        <v>29</v>
      </c>
      <c r="J478" s="10"/>
      <c r="K478" s="39"/>
      <c r="L478" s="36">
        <v>45271</v>
      </c>
      <c r="M478" s="36">
        <v>45271</v>
      </c>
      <c r="N478" s="37">
        <v>4735076</v>
      </c>
      <c r="O478" s="37">
        <v>0</v>
      </c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4.25" customHeight="1">
      <c r="A479" s="9">
        <v>507</v>
      </c>
      <c r="B479" s="10"/>
      <c r="C479" s="21">
        <v>232181</v>
      </c>
      <c r="D479" s="22" t="s">
        <v>266</v>
      </c>
      <c r="E479" s="23">
        <v>45225</v>
      </c>
      <c r="F479" s="24">
        <v>45200</v>
      </c>
      <c r="G479" s="25">
        <v>1997872</v>
      </c>
      <c r="H479" s="26" t="s">
        <v>2309</v>
      </c>
      <c r="I479" s="34" t="s">
        <v>29</v>
      </c>
      <c r="J479" s="27">
        <v>20122923</v>
      </c>
      <c r="K479" s="39">
        <v>45280</v>
      </c>
      <c r="L479" s="36">
        <v>45280</v>
      </c>
      <c r="M479" s="36">
        <v>45280</v>
      </c>
      <c r="N479" s="37">
        <v>1997872</v>
      </c>
      <c r="O479" s="37">
        <v>0</v>
      </c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4.25" customHeight="1">
      <c r="A480" s="9">
        <v>516</v>
      </c>
      <c r="B480" s="10"/>
      <c r="C480" s="9">
        <v>232215</v>
      </c>
      <c r="D480" s="11" t="s">
        <v>266</v>
      </c>
      <c r="E480" s="12">
        <v>45230</v>
      </c>
      <c r="F480" s="13">
        <v>45200</v>
      </c>
      <c r="G480" s="27">
        <v>2760437</v>
      </c>
      <c r="H480" s="10" t="s">
        <v>2310</v>
      </c>
      <c r="I480" s="34">
        <v>60.606678703705299</v>
      </c>
      <c r="J480" s="10"/>
      <c r="K480" s="39"/>
      <c r="L480" s="39"/>
      <c r="M480" s="39"/>
      <c r="N480" s="37">
        <v>0</v>
      </c>
      <c r="O480" s="37">
        <v>2760437</v>
      </c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4.25" customHeight="1">
      <c r="A481" s="9">
        <v>513</v>
      </c>
      <c r="B481" s="10"/>
      <c r="C481" s="9">
        <v>232216</v>
      </c>
      <c r="D481" s="11" t="s">
        <v>266</v>
      </c>
      <c r="E481" s="12">
        <v>45230</v>
      </c>
      <c r="F481" s="13">
        <v>45200</v>
      </c>
      <c r="G481" s="27">
        <v>22450652</v>
      </c>
      <c r="H481" s="10" t="s">
        <v>2311</v>
      </c>
      <c r="I481" s="34">
        <v>60.606678703705299</v>
      </c>
      <c r="J481" s="10"/>
      <c r="K481" s="39"/>
      <c r="L481" s="39"/>
      <c r="M481" s="39"/>
      <c r="N481" s="37">
        <v>0</v>
      </c>
      <c r="O481" s="37">
        <v>22450652</v>
      </c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4.25" customHeight="1">
      <c r="A482" s="9">
        <v>517</v>
      </c>
      <c r="B482" s="10"/>
      <c r="C482" s="9">
        <v>232217</v>
      </c>
      <c r="D482" s="11" t="s">
        <v>266</v>
      </c>
      <c r="E482" s="12">
        <v>45230</v>
      </c>
      <c r="F482" s="13">
        <v>45200</v>
      </c>
      <c r="G482" s="27">
        <v>20243203</v>
      </c>
      <c r="H482" s="10" t="s">
        <v>2312</v>
      </c>
      <c r="I482" s="34">
        <v>60.606678703705299</v>
      </c>
      <c r="J482" s="10"/>
      <c r="K482" s="39"/>
      <c r="L482" s="39"/>
      <c r="M482" s="39"/>
      <c r="N482" s="37">
        <v>0</v>
      </c>
      <c r="O482" s="37">
        <v>20243203</v>
      </c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4.25" customHeight="1">
      <c r="A483" s="9">
        <v>511</v>
      </c>
      <c r="B483" s="10"/>
      <c r="C483" s="21">
        <v>232218</v>
      </c>
      <c r="D483" s="22" t="s">
        <v>266</v>
      </c>
      <c r="E483" s="23">
        <v>45230</v>
      </c>
      <c r="F483" s="24">
        <v>45200</v>
      </c>
      <c r="G483" s="25">
        <v>7056714</v>
      </c>
      <c r="H483" s="26" t="s">
        <v>2313</v>
      </c>
      <c r="I483" s="34" t="s">
        <v>29</v>
      </c>
      <c r="J483" s="10"/>
      <c r="K483" s="39"/>
      <c r="L483" s="36">
        <v>45280</v>
      </c>
      <c r="M483" s="36">
        <v>45280</v>
      </c>
      <c r="N483" s="37">
        <v>7056714</v>
      </c>
      <c r="O483" s="37">
        <v>0</v>
      </c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4.25" customHeight="1">
      <c r="A484" s="9">
        <v>509</v>
      </c>
      <c r="B484" s="10"/>
      <c r="C484" s="21">
        <v>232219</v>
      </c>
      <c r="D484" s="22" t="s">
        <v>266</v>
      </c>
      <c r="E484" s="23">
        <v>45230</v>
      </c>
      <c r="F484" s="24">
        <v>45200</v>
      </c>
      <c r="G484" s="25">
        <v>4544340</v>
      </c>
      <c r="H484" s="26" t="s">
        <v>2314</v>
      </c>
      <c r="I484" s="34" t="s">
        <v>29</v>
      </c>
      <c r="J484" s="10"/>
      <c r="K484" s="39"/>
      <c r="L484" s="36">
        <v>45280</v>
      </c>
      <c r="M484" s="36">
        <v>45280</v>
      </c>
      <c r="N484" s="37">
        <v>4544340</v>
      </c>
      <c r="O484" s="37">
        <v>0</v>
      </c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4.25" customHeight="1">
      <c r="A485" s="9">
        <v>510</v>
      </c>
      <c r="B485" s="10"/>
      <c r="C485" s="21">
        <v>232220</v>
      </c>
      <c r="D485" s="22" t="s">
        <v>266</v>
      </c>
      <c r="E485" s="23">
        <v>45230</v>
      </c>
      <c r="F485" s="24">
        <v>45200</v>
      </c>
      <c r="G485" s="25">
        <v>3483735</v>
      </c>
      <c r="H485" s="26" t="s">
        <v>2315</v>
      </c>
      <c r="I485" s="34" t="s">
        <v>29</v>
      </c>
      <c r="J485" s="10"/>
      <c r="K485" s="39"/>
      <c r="L485" s="36">
        <v>45280</v>
      </c>
      <c r="M485" s="36">
        <v>45280</v>
      </c>
      <c r="N485" s="37">
        <v>3483735</v>
      </c>
      <c r="O485" s="37">
        <v>0</v>
      </c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4.25" customHeight="1">
      <c r="A486" s="9">
        <v>512</v>
      </c>
      <c r="B486" s="10"/>
      <c r="C486" s="21">
        <v>232221</v>
      </c>
      <c r="D486" s="22" t="s">
        <v>266</v>
      </c>
      <c r="E486" s="23">
        <v>45230</v>
      </c>
      <c r="F486" s="24">
        <v>45200</v>
      </c>
      <c r="G486" s="25">
        <v>2730017</v>
      </c>
      <c r="H486" s="26" t="s">
        <v>2316</v>
      </c>
      <c r="I486" s="34" t="s">
        <v>29</v>
      </c>
      <c r="J486" s="10"/>
      <c r="K486" s="39"/>
      <c r="L486" s="36">
        <v>45280</v>
      </c>
      <c r="M486" s="36">
        <v>45280</v>
      </c>
      <c r="N486" s="37">
        <v>2730017</v>
      </c>
      <c r="O486" s="37">
        <v>0</v>
      </c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4.25" customHeight="1">
      <c r="A487" s="9">
        <v>508</v>
      </c>
      <c r="B487" s="10"/>
      <c r="C487" s="21">
        <v>232222</v>
      </c>
      <c r="D487" s="22" t="s">
        <v>266</v>
      </c>
      <c r="E487" s="23">
        <v>45230</v>
      </c>
      <c r="F487" s="24">
        <v>45200</v>
      </c>
      <c r="G487" s="25">
        <v>310245</v>
      </c>
      <c r="H487" s="26" t="s">
        <v>2317</v>
      </c>
      <c r="I487" s="34" t="s">
        <v>29</v>
      </c>
      <c r="J487" s="10"/>
      <c r="K487" s="39"/>
      <c r="L487" s="36">
        <v>45280</v>
      </c>
      <c r="M487" s="36">
        <v>45280</v>
      </c>
      <c r="N487" s="37">
        <v>310245</v>
      </c>
      <c r="O487" s="37">
        <v>0</v>
      </c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4.25" customHeight="1">
      <c r="A488" s="9">
        <v>514</v>
      </c>
      <c r="B488" s="10"/>
      <c r="C488" s="9">
        <v>232223</v>
      </c>
      <c r="D488" s="11" t="s">
        <v>266</v>
      </c>
      <c r="E488" s="12">
        <v>45230</v>
      </c>
      <c r="F488" s="13">
        <v>45200</v>
      </c>
      <c r="G488" s="27">
        <v>1365300</v>
      </c>
      <c r="H488" s="10" t="s">
        <v>2318</v>
      </c>
      <c r="I488" s="34">
        <v>60.606678703705299</v>
      </c>
      <c r="J488" s="10"/>
      <c r="K488" s="39"/>
      <c r="L488" s="39"/>
      <c r="M488" s="39"/>
      <c r="N488" s="37">
        <v>0</v>
      </c>
      <c r="O488" s="37">
        <v>1365300</v>
      </c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4.25" customHeight="1">
      <c r="A489" s="9">
        <v>515</v>
      </c>
      <c r="B489" s="10"/>
      <c r="C489" s="9">
        <v>232224</v>
      </c>
      <c r="D489" s="11" t="s">
        <v>266</v>
      </c>
      <c r="E489" s="12">
        <v>45230</v>
      </c>
      <c r="F489" s="13">
        <v>45200</v>
      </c>
      <c r="G489" s="27">
        <v>7319784</v>
      </c>
      <c r="H489" s="10" t="s">
        <v>2319</v>
      </c>
      <c r="I489" s="34">
        <v>60.606678703705299</v>
      </c>
      <c r="J489" s="10"/>
      <c r="K489" s="39"/>
      <c r="L489" s="39"/>
      <c r="M489" s="39"/>
      <c r="N489" s="37">
        <v>0</v>
      </c>
      <c r="O489" s="37">
        <v>7319784</v>
      </c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4.25" customHeight="1">
      <c r="A490" s="9">
        <v>518</v>
      </c>
      <c r="B490" s="10"/>
      <c r="C490" s="9">
        <v>232300</v>
      </c>
      <c r="D490" s="11" t="s">
        <v>266</v>
      </c>
      <c r="E490" s="12">
        <v>45241</v>
      </c>
      <c r="F490" s="13">
        <v>45231</v>
      </c>
      <c r="G490" s="27">
        <v>5972415</v>
      </c>
      <c r="H490" s="10" t="s">
        <v>2320</v>
      </c>
      <c r="I490" s="34">
        <v>49.606678703705299</v>
      </c>
      <c r="J490" s="10"/>
      <c r="K490" s="39"/>
      <c r="L490" s="39"/>
      <c r="M490" s="39"/>
      <c r="N490" s="37">
        <v>0</v>
      </c>
      <c r="O490" s="37">
        <v>5972415</v>
      </c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4.25" customHeight="1">
      <c r="A491" s="9">
        <v>519</v>
      </c>
      <c r="B491" s="10"/>
      <c r="C491" s="9">
        <v>232395</v>
      </c>
      <c r="D491" s="11" t="s">
        <v>266</v>
      </c>
      <c r="E491" s="12">
        <v>45258</v>
      </c>
      <c r="F491" s="13">
        <v>45231</v>
      </c>
      <c r="G491" s="27">
        <v>5993616</v>
      </c>
      <c r="H491" s="10" t="s">
        <v>2321</v>
      </c>
      <c r="I491" s="34">
        <v>32.606678703705299</v>
      </c>
      <c r="J491" s="10"/>
      <c r="K491" s="39"/>
      <c r="L491" s="39"/>
      <c r="M491" s="39"/>
      <c r="N491" s="37">
        <v>0</v>
      </c>
      <c r="O491" s="37">
        <v>5993616</v>
      </c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4.25" customHeight="1">
      <c r="A492" s="9">
        <v>520</v>
      </c>
      <c r="B492" s="10"/>
      <c r="C492" s="9">
        <v>232402</v>
      </c>
      <c r="D492" s="11" t="s">
        <v>266</v>
      </c>
      <c r="E492" s="12">
        <v>45259</v>
      </c>
      <c r="F492" s="13">
        <v>45231</v>
      </c>
      <c r="G492" s="27">
        <v>31430913</v>
      </c>
      <c r="H492" s="10" t="s">
        <v>2322</v>
      </c>
      <c r="I492" s="34">
        <v>31.606678703705299</v>
      </c>
      <c r="J492" s="10"/>
      <c r="K492" s="39"/>
      <c r="L492" s="39"/>
      <c r="M492" s="39"/>
      <c r="N492" s="37">
        <v>0</v>
      </c>
      <c r="O492" s="37">
        <v>31430913</v>
      </c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4.25" customHeight="1">
      <c r="A493" s="9">
        <v>524</v>
      </c>
      <c r="B493" s="10"/>
      <c r="C493" s="9">
        <v>232403</v>
      </c>
      <c r="D493" s="11" t="s">
        <v>266</v>
      </c>
      <c r="E493" s="12">
        <v>45259</v>
      </c>
      <c r="F493" s="13">
        <v>45231</v>
      </c>
      <c r="G493" s="27">
        <v>549450</v>
      </c>
      <c r="H493" s="10" t="s">
        <v>2323</v>
      </c>
      <c r="I493" s="34">
        <v>31.606678703705299</v>
      </c>
      <c r="J493" s="10"/>
      <c r="K493" s="39"/>
      <c r="L493" s="39"/>
      <c r="M493" s="39"/>
      <c r="N493" s="37">
        <v>0</v>
      </c>
      <c r="O493" s="37">
        <v>549450</v>
      </c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4.25" customHeight="1">
      <c r="A494" s="9">
        <v>525</v>
      </c>
      <c r="B494" s="10"/>
      <c r="C494" s="9">
        <v>232404</v>
      </c>
      <c r="D494" s="11" t="s">
        <v>266</v>
      </c>
      <c r="E494" s="12">
        <v>45259</v>
      </c>
      <c r="F494" s="13">
        <v>45231</v>
      </c>
      <c r="G494" s="27">
        <v>3441000</v>
      </c>
      <c r="H494" s="10" t="s">
        <v>2324</v>
      </c>
      <c r="I494" s="34">
        <v>31.606678703705299</v>
      </c>
      <c r="J494" s="10"/>
      <c r="K494" s="39"/>
      <c r="L494" s="39"/>
      <c r="M494" s="39"/>
      <c r="N494" s="37">
        <v>0</v>
      </c>
      <c r="O494" s="37">
        <v>3441000</v>
      </c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4.25" customHeight="1">
      <c r="A495" s="9">
        <v>521</v>
      </c>
      <c r="B495" s="10"/>
      <c r="C495" s="9">
        <v>232405</v>
      </c>
      <c r="D495" s="11" t="s">
        <v>266</v>
      </c>
      <c r="E495" s="12">
        <v>45259</v>
      </c>
      <c r="F495" s="13">
        <v>45231</v>
      </c>
      <c r="G495" s="27">
        <v>1589520</v>
      </c>
      <c r="H495" s="10" t="s">
        <v>2325</v>
      </c>
      <c r="I495" s="34">
        <v>31.606678703705299</v>
      </c>
      <c r="J495" s="10"/>
      <c r="K495" s="39"/>
      <c r="L495" s="39"/>
      <c r="M495" s="39"/>
      <c r="N495" s="37">
        <v>0</v>
      </c>
      <c r="O495" s="37">
        <v>1589520</v>
      </c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4.25" customHeight="1">
      <c r="A496" s="9">
        <v>526</v>
      </c>
      <c r="B496" s="10"/>
      <c r="C496" s="9">
        <v>232406</v>
      </c>
      <c r="D496" s="11" t="s">
        <v>266</v>
      </c>
      <c r="E496" s="12">
        <v>45259</v>
      </c>
      <c r="F496" s="13">
        <v>45231</v>
      </c>
      <c r="G496" s="27">
        <v>1372321</v>
      </c>
      <c r="H496" s="10" t="s">
        <v>2326</v>
      </c>
      <c r="I496" s="34">
        <v>31.606678703705299</v>
      </c>
      <c r="J496" s="10"/>
      <c r="K496" s="39"/>
      <c r="L496" s="39"/>
      <c r="M496" s="39"/>
      <c r="N496" s="37">
        <v>0</v>
      </c>
      <c r="O496" s="37">
        <v>1372321</v>
      </c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4.25" customHeight="1">
      <c r="A497" s="9">
        <v>522</v>
      </c>
      <c r="B497" s="10"/>
      <c r="C497" s="9">
        <v>232407</v>
      </c>
      <c r="D497" s="11" t="s">
        <v>266</v>
      </c>
      <c r="E497" s="12">
        <v>45259</v>
      </c>
      <c r="F497" s="13">
        <v>45231</v>
      </c>
      <c r="G497" s="27">
        <v>5688750</v>
      </c>
      <c r="H497" s="10" t="s">
        <v>2327</v>
      </c>
      <c r="I497" s="34">
        <v>31.606678703705299</v>
      </c>
      <c r="J497" s="10"/>
      <c r="K497" s="39"/>
      <c r="L497" s="39"/>
      <c r="M497" s="39"/>
      <c r="N497" s="37">
        <v>0</v>
      </c>
      <c r="O497" s="37">
        <v>5688750</v>
      </c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4.25" customHeight="1">
      <c r="A498" s="9">
        <v>523</v>
      </c>
      <c r="B498" s="10"/>
      <c r="C498" s="9">
        <v>232408</v>
      </c>
      <c r="D498" s="11" t="s">
        <v>266</v>
      </c>
      <c r="E498" s="12">
        <v>45259</v>
      </c>
      <c r="F498" s="13">
        <v>45231</v>
      </c>
      <c r="G498" s="27">
        <v>17890647</v>
      </c>
      <c r="H498" s="10" t="s">
        <v>2328</v>
      </c>
      <c r="I498" s="34">
        <v>31.606678703705299</v>
      </c>
      <c r="J498" s="10"/>
      <c r="K498" s="39"/>
      <c r="L498" s="39"/>
      <c r="M498" s="39"/>
      <c r="N498" s="37">
        <v>0</v>
      </c>
      <c r="O498" s="37">
        <v>17890647</v>
      </c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4.25" customHeight="1">
      <c r="A499" s="9">
        <v>527</v>
      </c>
      <c r="B499" s="10"/>
      <c r="C499" s="9">
        <v>232417</v>
      </c>
      <c r="D499" s="11" t="s">
        <v>266</v>
      </c>
      <c r="E499" s="12">
        <v>45259</v>
      </c>
      <c r="F499" s="13">
        <v>45231</v>
      </c>
      <c r="G499" s="27">
        <v>1172299</v>
      </c>
      <c r="H499" s="10" t="s">
        <v>2329</v>
      </c>
      <c r="I499" s="34">
        <v>31.606678703705299</v>
      </c>
      <c r="J499" s="10"/>
      <c r="K499" s="39"/>
      <c r="L499" s="39"/>
      <c r="M499" s="39"/>
      <c r="N499" s="37">
        <v>0</v>
      </c>
      <c r="O499" s="37">
        <v>1172299</v>
      </c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4.25" customHeight="1">
      <c r="A500" s="9">
        <v>528</v>
      </c>
      <c r="B500" s="10"/>
      <c r="C500" s="9">
        <v>232418</v>
      </c>
      <c r="D500" s="11" t="s">
        <v>266</v>
      </c>
      <c r="E500" s="12">
        <v>45259</v>
      </c>
      <c r="F500" s="13">
        <v>45231</v>
      </c>
      <c r="G500" s="27">
        <v>1997872</v>
      </c>
      <c r="H500" s="10" t="s">
        <v>2330</v>
      </c>
      <c r="I500" s="34">
        <v>31.606678703705299</v>
      </c>
      <c r="J500" s="10"/>
      <c r="K500" s="39"/>
      <c r="L500" s="39"/>
      <c r="M500" s="39"/>
      <c r="N500" s="37">
        <v>0</v>
      </c>
      <c r="O500" s="37">
        <v>1997872</v>
      </c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4.25" customHeight="1">
      <c r="A501" s="9">
        <v>529</v>
      </c>
      <c r="B501" s="10"/>
      <c r="C501" s="9">
        <v>232438</v>
      </c>
      <c r="D501" s="11" t="s">
        <v>266</v>
      </c>
      <c r="E501" s="12">
        <v>45260</v>
      </c>
      <c r="F501" s="13">
        <v>45231</v>
      </c>
      <c r="G501" s="27">
        <v>2455320</v>
      </c>
      <c r="H501" s="10" t="s">
        <v>2331</v>
      </c>
      <c r="I501" s="34">
        <v>30.606678703705299</v>
      </c>
      <c r="J501" s="10"/>
      <c r="K501" s="39"/>
      <c r="L501" s="39"/>
      <c r="M501" s="39"/>
      <c r="N501" s="37">
        <v>0</v>
      </c>
      <c r="O501" s="37">
        <v>2455320</v>
      </c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4.25" customHeight="1">
      <c r="A502" s="9">
        <v>530</v>
      </c>
      <c r="B502" s="10"/>
      <c r="C502" s="9">
        <v>232439</v>
      </c>
      <c r="D502" s="11" t="s">
        <v>266</v>
      </c>
      <c r="E502" s="12">
        <v>45260</v>
      </c>
      <c r="F502" s="13">
        <v>45231</v>
      </c>
      <c r="G502" s="27">
        <v>587329</v>
      </c>
      <c r="H502" s="10" t="s">
        <v>2332</v>
      </c>
      <c r="I502" s="34">
        <v>30.606678703705299</v>
      </c>
      <c r="J502" s="10"/>
      <c r="K502" s="39"/>
      <c r="L502" s="39"/>
      <c r="M502" s="39"/>
      <c r="N502" s="37">
        <v>0</v>
      </c>
      <c r="O502" s="37">
        <v>587329</v>
      </c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4.25" customHeight="1">
      <c r="A503" s="9">
        <v>532</v>
      </c>
      <c r="B503" s="10"/>
      <c r="C503" s="9">
        <v>232467</v>
      </c>
      <c r="D503" s="11" t="s">
        <v>266</v>
      </c>
      <c r="E503" s="12">
        <v>45260</v>
      </c>
      <c r="F503" s="13">
        <v>45231</v>
      </c>
      <c r="G503" s="27">
        <v>14113428</v>
      </c>
      <c r="H503" s="10" t="s">
        <v>2333</v>
      </c>
      <c r="I503" s="34">
        <v>30.606678703705299</v>
      </c>
      <c r="J503" s="10"/>
      <c r="K503" s="39"/>
      <c r="L503" s="39"/>
      <c r="M503" s="39"/>
      <c r="N503" s="37">
        <v>0</v>
      </c>
      <c r="O503" s="37">
        <v>14113428</v>
      </c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4.25" customHeight="1">
      <c r="A504" s="9">
        <v>531</v>
      </c>
      <c r="B504" s="10"/>
      <c r="C504" s="9">
        <v>232468</v>
      </c>
      <c r="D504" s="11" t="s">
        <v>266</v>
      </c>
      <c r="E504" s="12">
        <v>45260</v>
      </c>
      <c r="F504" s="13">
        <v>45231</v>
      </c>
      <c r="G504" s="27">
        <v>13470392</v>
      </c>
      <c r="H504" s="10" t="s">
        <v>2334</v>
      </c>
      <c r="I504" s="34">
        <v>30.606678703705299</v>
      </c>
      <c r="J504" s="10"/>
      <c r="K504" s="39"/>
      <c r="L504" s="39"/>
      <c r="M504" s="39"/>
      <c r="N504" s="37">
        <v>0</v>
      </c>
      <c r="O504" s="37">
        <v>13470392</v>
      </c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4.25" customHeight="1">
      <c r="A505" s="9">
        <v>537</v>
      </c>
      <c r="B505" s="9"/>
      <c r="C505" s="21">
        <v>230991</v>
      </c>
      <c r="D505" s="46" t="s">
        <v>313</v>
      </c>
      <c r="E505" s="23">
        <v>45063</v>
      </c>
      <c r="F505" s="24">
        <v>45047</v>
      </c>
      <c r="G505" s="47">
        <v>2220000</v>
      </c>
      <c r="H505" s="45" t="s">
        <v>2335</v>
      </c>
      <c r="I505" s="34" t="s">
        <v>29</v>
      </c>
      <c r="J505" s="27">
        <v>18870000</v>
      </c>
      <c r="K505" s="39">
        <v>45271</v>
      </c>
      <c r="L505" s="36">
        <v>45271</v>
      </c>
      <c r="M505" s="36">
        <v>45271</v>
      </c>
      <c r="N505" s="37">
        <v>2220000</v>
      </c>
      <c r="O505" s="37">
        <v>0</v>
      </c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4.25" customHeight="1">
      <c r="A506" s="9">
        <v>538</v>
      </c>
      <c r="B506" s="9"/>
      <c r="C506" s="21">
        <v>231227</v>
      </c>
      <c r="D506" s="46" t="s">
        <v>313</v>
      </c>
      <c r="E506" s="23">
        <v>45090</v>
      </c>
      <c r="F506" s="24">
        <v>45078</v>
      </c>
      <c r="G506" s="47">
        <v>2775000</v>
      </c>
      <c r="H506" s="45" t="s">
        <v>2336</v>
      </c>
      <c r="I506" s="34" t="s">
        <v>29</v>
      </c>
      <c r="J506" s="27"/>
      <c r="K506" s="39"/>
      <c r="L506" s="36">
        <v>45271</v>
      </c>
      <c r="M506" s="36">
        <v>45271</v>
      </c>
      <c r="N506" s="37">
        <v>2775000</v>
      </c>
      <c r="O506" s="37">
        <v>0</v>
      </c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4.25" customHeight="1">
      <c r="A507" s="9">
        <v>539</v>
      </c>
      <c r="B507" s="9"/>
      <c r="C507" s="21">
        <v>231444</v>
      </c>
      <c r="D507" s="46" t="s">
        <v>313</v>
      </c>
      <c r="E507" s="23">
        <v>45128</v>
      </c>
      <c r="F507" s="24">
        <v>45108</v>
      </c>
      <c r="G507" s="47">
        <v>2220000</v>
      </c>
      <c r="H507" s="45" t="s">
        <v>2337</v>
      </c>
      <c r="I507" s="34" t="s">
        <v>29</v>
      </c>
      <c r="J507" s="27"/>
      <c r="K507" s="39"/>
      <c r="L507" s="36">
        <v>45271</v>
      </c>
      <c r="M507" s="36">
        <v>45271</v>
      </c>
      <c r="N507" s="37">
        <v>2220000</v>
      </c>
      <c r="O507" s="37">
        <v>0</v>
      </c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4.25" customHeight="1">
      <c r="A508" s="9">
        <v>540</v>
      </c>
      <c r="B508" s="9"/>
      <c r="C508" s="21">
        <v>231568</v>
      </c>
      <c r="D508" s="46" t="s">
        <v>313</v>
      </c>
      <c r="E508" s="23">
        <v>45145</v>
      </c>
      <c r="F508" s="24">
        <v>45139</v>
      </c>
      <c r="G508" s="47">
        <v>3330000</v>
      </c>
      <c r="H508" s="45" t="s">
        <v>2338</v>
      </c>
      <c r="I508" s="34" t="s">
        <v>29</v>
      </c>
      <c r="J508" s="27"/>
      <c r="K508" s="39"/>
      <c r="L508" s="36">
        <v>45271</v>
      </c>
      <c r="M508" s="36">
        <v>45271</v>
      </c>
      <c r="N508" s="37">
        <v>3330000</v>
      </c>
      <c r="O508" s="37">
        <v>0</v>
      </c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4.25" customHeight="1">
      <c r="A509" s="9">
        <v>541</v>
      </c>
      <c r="B509" s="9"/>
      <c r="C509" s="21">
        <v>231646</v>
      </c>
      <c r="D509" s="46" t="s">
        <v>313</v>
      </c>
      <c r="E509" s="23">
        <v>45152</v>
      </c>
      <c r="F509" s="24">
        <v>45139</v>
      </c>
      <c r="G509" s="47">
        <v>832500</v>
      </c>
      <c r="H509" s="45" t="s">
        <v>2339</v>
      </c>
      <c r="I509" s="34" t="s">
        <v>29</v>
      </c>
      <c r="J509" s="27"/>
      <c r="K509" s="39"/>
      <c r="L509" s="36">
        <v>45271</v>
      </c>
      <c r="M509" s="36">
        <v>45271</v>
      </c>
      <c r="N509" s="37">
        <v>832500</v>
      </c>
      <c r="O509" s="37">
        <v>0</v>
      </c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4.25" customHeight="1">
      <c r="A510" s="9">
        <v>542</v>
      </c>
      <c r="B510" s="9"/>
      <c r="C510" s="21">
        <v>231974</v>
      </c>
      <c r="D510" s="46" t="s">
        <v>313</v>
      </c>
      <c r="E510" s="23">
        <v>45190</v>
      </c>
      <c r="F510" s="24">
        <v>45170</v>
      </c>
      <c r="G510" s="47">
        <v>4162500</v>
      </c>
      <c r="H510" s="45" t="s">
        <v>2340</v>
      </c>
      <c r="I510" s="34" t="s">
        <v>29</v>
      </c>
      <c r="J510" s="27"/>
      <c r="K510" s="39"/>
      <c r="L510" s="36">
        <v>45271</v>
      </c>
      <c r="M510" s="36">
        <v>45271</v>
      </c>
      <c r="N510" s="37">
        <v>4162500</v>
      </c>
      <c r="O510" s="37">
        <v>0</v>
      </c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4.25" customHeight="1">
      <c r="A511" s="9">
        <v>543</v>
      </c>
      <c r="B511" s="9"/>
      <c r="C511" s="21">
        <v>232196</v>
      </c>
      <c r="D511" s="46" t="s">
        <v>313</v>
      </c>
      <c r="E511" s="23">
        <v>45230</v>
      </c>
      <c r="F511" s="24">
        <v>45200</v>
      </c>
      <c r="G511" s="47">
        <v>3330000</v>
      </c>
      <c r="H511" s="45" t="s">
        <v>2341</v>
      </c>
      <c r="I511" s="34" t="s">
        <v>29</v>
      </c>
      <c r="J511" s="27"/>
      <c r="K511" s="39"/>
      <c r="L511" s="36">
        <v>45271</v>
      </c>
      <c r="M511" s="36">
        <v>45271</v>
      </c>
      <c r="N511" s="37">
        <v>3330000</v>
      </c>
      <c r="O511" s="37">
        <v>0</v>
      </c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4.25" customHeight="1">
      <c r="A512" s="9">
        <v>548</v>
      </c>
      <c r="B512" s="10"/>
      <c r="C512" s="21">
        <v>221245</v>
      </c>
      <c r="D512" s="22" t="s">
        <v>314</v>
      </c>
      <c r="E512" s="23">
        <v>44762</v>
      </c>
      <c r="F512" s="24">
        <v>44743</v>
      </c>
      <c r="G512" s="44">
        <v>429992</v>
      </c>
      <c r="H512" s="26" t="s">
        <v>2342</v>
      </c>
      <c r="I512" s="34" t="s">
        <v>29</v>
      </c>
      <c r="J512" s="25">
        <v>6952996</v>
      </c>
      <c r="K512" s="40">
        <v>45017</v>
      </c>
      <c r="L512" s="40">
        <v>45017</v>
      </c>
      <c r="M512" s="40">
        <v>45017</v>
      </c>
      <c r="N512" s="37">
        <v>429992</v>
      </c>
      <c r="O512" s="37">
        <v>0</v>
      </c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4.25" customHeight="1">
      <c r="A513" s="9">
        <v>549</v>
      </c>
      <c r="B513" s="10"/>
      <c r="C513" s="21">
        <v>221631</v>
      </c>
      <c r="D513" s="22" t="s">
        <v>314</v>
      </c>
      <c r="E513" s="23">
        <v>44817</v>
      </c>
      <c r="F513" s="24">
        <v>44805</v>
      </c>
      <c r="G513" s="44">
        <v>1750004</v>
      </c>
      <c r="H513" s="26" t="s">
        <v>2343</v>
      </c>
      <c r="I513" s="34" t="s">
        <v>29</v>
      </c>
      <c r="J513" s="10"/>
      <c r="K513" s="49"/>
      <c r="L513" s="40">
        <v>45017</v>
      </c>
      <c r="M513" s="40">
        <v>45017</v>
      </c>
      <c r="N513" s="37">
        <v>1750004</v>
      </c>
      <c r="O513" s="37">
        <v>0</v>
      </c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4.25" customHeight="1">
      <c r="A514" s="9">
        <v>550</v>
      </c>
      <c r="B514" s="10"/>
      <c r="C514" s="21">
        <v>221670</v>
      </c>
      <c r="D514" s="22" t="s">
        <v>314</v>
      </c>
      <c r="E514" s="23">
        <v>44823</v>
      </c>
      <c r="F514" s="24">
        <v>44805</v>
      </c>
      <c r="G514" s="44">
        <v>4773000</v>
      </c>
      <c r="H514" s="26" t="s">
        <v>2344</v>
      </c>
      <c r="I514" s="34" t="s">
        <v>29</v>
      </c>
      <c r="J514" s="10"/>
      <c r="K514" s="49"/>
      <c r="L514" s="40">
        <v>45017</v>
      </c>
      <c r="M514" s="40">
        <v>45017</v>
      </c>
      <c r="N514" s="37">
        <v>4773000</v>
      </c>
      <c r="O514" s="37">
        <v>0</v>
      </c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4.25" customHeight="1">
      <c r="A515" s="9">
        <v>551</v>
      </c>
      <c r="B515" s="10"/>
      <c r="C515" s="21">
        <v>221669</v>
      </c>
      <c r="D515" s="22" t="s">
        <v>314</v>
      </c>
      <c r="E515" s="23">
        <v>44826</v>
      </c>
      <c r="F515" s="24">
        <v>44805</v>
      </c>
      <c r="G515" s="44">
        <v>1400004</v>
      </c>
      <c r="H515" s="26" t="s">
        <v>2345</v>
      </c>
      <c r="I515" s="34" t="s">
        <v>29</v>
      </c>
      <c r="J515" s="25">
        <v>4909710</v>
      </c>
      <c r="K515" s="40">
        <v>45071</v>
      </c>
      <c r="L515" s="40">
        <v>45071</v>
      </c>
      <c r="M515" s="40">
        <v>45072</v>
      </c>
      <c r="N515" s="37">
        <v>1400004</v>
      </c>
      <c r="O515" s="37">
        <v>0</v>
      </c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4.25" customHeight="1">
      <c r="A516" s="9">
        <v>552</v>
      </c>
      <c r="B516" s="10"/>
      <c r="C516" s="21">
        <v>221799</v>
      </c>
      <c r="D516" s="22" t="s">
        <v>314</v>
      </c>
      <c r="E516" s="23">
        <v>44841</v>
      </c>
      <c r="F516" s="24">
        <v>44835</v>
      </c>
      <c r="G516" s="44">
        <v>1050003</v>
      </c>
      <c r="H516" s="26" t="s">
        <v>2346</v>
      </c>
      <c r="I516" s="34" t="s">
        <v>29</v>
      </c>
      <c r="J516" s="10"/>
      <c r="K516" s="39"/>
      <c r="L516" s="40">
        <v>45071</v>
      </c>
      <c r="M516" s="40">
        <v>45072</v>
      </c>
      <c r="N516" s="37">
        <v>1050003</v>
      </c>
      <c r="O516" s="37">
        <v>0</v>
      </c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4.25" customHeight="1">
      <c r="A517" s="9">
        <v>553</v>
      </c>
      <c r="B517" s="10"/>
      <c r="C517" s="21">
        <v>221877</v>
      </c>
      <c r="D517" s="22" t="s">
        <v>314</v>
      </c>
      <c r="E517" s="23">
        <v>44858</v>
      </c>
      <c r="F517" s="24">
        <v>44835</v>
      </c>
      <c r="G517" s="44">
        <v>1050003</v>
      </c>
      <c r="H517" s="26" t="s">
        <v>2347</v>
      </c>
      <c r="I517" s="34" t="s">
        <v>29</v>
      </c>
      <c r="J517" s="10"/>
      <c r="K517" s="39"/>
      <c r="L517" s="40">
        <v>45071</v>
      </c>
      <c r="M517" s="40">
        <v>45072</v>
      </c>
      <c r="N517" s="37">
        <v>1050003</v>
      </c>
      <c r="O517" s="37">
        <v>0</v>
      </c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4.25" customHeight="1">
      <c r="A518" s="9">
        <v>554</v>
      </c>
      <c r="B518" s="10"/>
      <c r="C518" s="21">
        <v>221922</v>
      </c>
      <c r="D518" s="22" t="s">
        <v>314</v>
      </c>
      <c r="E518" s="23">
        <v>44862</v>
      </c>
      <c r="F518" s="24">
        <v>44835</v>
      </c>
      <c r="G518" s="44">
        <v>1098900</v>
      </c>
      <c r="H518" s="26" t="s">
        <v>2348</v>
      </c>
      <c r="I518" s="34" t="s">
        <v>29</v>
      </c>
      <c r="J518" s="10"/>
      <c r="K518" s="39"/>
      <c r="L518" s="40">
        <v>45071</v>
      </c>
      <c r="M518" s="40">
        <v>45072</v>
      </c>
      <c r="N518" s="37">
        <v>1098900</v>
      </c>
      <c r="O518" s="37">
        <v>0</v>
      </c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4.25" customHeight="1">
      <c r="A519" s="9">
        <v>555</v>
      </c>
      <c r="B519" s="10"/>
      <c r="C519" s="21">
        <v>221923</v>
      </c>
      <c r="D519" s="22" t="s">
        <v>314</v>
      </c>
      <c r="E519" s="23">
        <v>44862</v>
      </c>
      <c r="F519" s="24">
        <v>44835</v>
      </c>
      <c r="G519" s="44">
        <v>310800</v>
      </c>
      <c r="H519" s="26" t="s">
        <v>2349</v>
      </c>
      <c r="I519" s="34" t="s">
        <v>29</v>
      </c>
      <c r="J519" s="10"/>
      <c r="K519" s="39"/>
      <c r="L519" s="40">
        <v>45071</v>
      </c>
      <c r="M519" s="40">
        <v>45072</v>
      </c>
      <c r="N519" s="37">
        <v>310800</v>
      </c>
      <c r="O519" s="37">
        <v>0</v>
      </c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4.25" customHeight="1">
      <c r="A520" s="9">
        <v>556</v>
      </c>
      <c r="B520" s="10"/>
      <c r="C520" s="21">
        <v>231409</v>
      </c>
      <c r="D520" s="22" t="s">
        <v>314</v>
      </c>
      <c r="E520" s="23">
        <v>45124</v>
      </c>
      <c r="F520" s="24">
        <v>45108</v>
      </c>
      <c r="G520" s="44">
        <v>1800000</v>
      </c>
      <c r="H520" s="26" t="s">
        <v>2350</v>
      </c>
      <c r="I520" s="34" t="s">
        <v>29</v>
      </c>
      <c r="J520" s="44">
        <v>1800000</v>
      </c>
      <c r="K520" s="36">
        <v>45209</v>
      </c>
      <c r="L520" s="40">
        <v>45209</v>
      </c>
      <c r="M520" s="40">
        <v>45209</v>
      </c>
      <c r="N520" s="51">
        <v>1800000</v>
      </c>
      <c r="O520" s="37">
        <v>0</v>
      </c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4.25" customHeight="1">
      <c r="A521" s="9">
        <v>557</v>
      </c>
      <c r="B521" s="10"/>
      <c r="C521" s="9">
        <v>232138</v>
      </c>
      <c r="D521" s="11" t="s">
        <v>314</v>
      </c>
      <c r="E521" s="12">
        <v>45216</v>
      </c>
      <c r="F521" s="13">
        <v>45200</v>
      </c>
      <c r="G521" s="52">
        <v>732600</v>
      </c>
      <c r="H521" s="10" t="s">
        <v>2351</v>
      </c>
      <c r="I521" s="34">
        <v>74.606678703705299</v>
      </c>
      <c r="J521" s="52"/>
      <c r="K521" s="39"/>
      <c r="L521" s="49"/>
      <c r="M521" s="49"/>
      <c r="N521" s="37">
        <v>0</v>
      </c>
      <c r="O521" s="37">
        <v>732600</v>
      </c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4.25" customHeight="1">
      <c r="A522" s="9">
        <v>558</v>
      </c>
      <c r="B522" s="10"/>
      <c r="C522" s="9">
        <v>232429</v>
      </c>
      <c r="D522" s="11" t="s">
        <v>314</v>
      </c>
      <c r="E522" s="12">
        <v>45260</v>
      </c>
      <c r="F522" s="13">
        <v>45231</v>
      </c>
      <c r="G522" s="52">
        <v>288600</v>
      </c>
      <c r="H522" s="10" t="s">
        <v>2352</v>
      </c>
      <c r="I522" s="34">
        <v>30.606678703705299</v>
      </c>
      <c r="J522" s="52"/>
      <c r="K522" s="39"/>
      <c r="L522" s="49"/>
      <c r="M522" s="49"/>
      <c r="N522" s="37">
        <v>0</v>
      </c>
      <c r="O522" s="37">
        <v>288600</v>
      </c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4.25" customHeight="1">
      <c r="A523" s="9">
        <v>563</v>
      </c>
      <c r="B523" s="10"/>
      <c r="C523" s="21">
        <v>230084</v>
      </c>
      <c r="D523" s="22" t="s">
        <v>318</v>
      </c>
      <c r="E523" s="23">
        <v>44931</v>
      </c>
      <c r="F523" s="24">
        <v>44927</v>
      </c>
      <c r="G523" s="25">
        <v>540001</v>
      </c>
      <c r="H523" s="26" t="s">
        <v>2353</v>
      </c>
      <c r="I523" s="34" t="s">
        <v>29</v>
      </c>
      <c r="J523" s="25">
        <v>6478480</v>
      </c>
      <c r="K523" s="40">
        <v>45017</v>
      </c>
      <c r="L523" s="40">
        <v>45017</v>
      </c>
      <c r="M523" s="40">
        <v>45017</v>
      </c>
      <c r="N523" s="37">
        <v>540001</v>
      </c>
      <c r="O523" s="37">
        <v>0</v>
      </c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4.25" customHeight="1">
      <c r="A524" s="9">
        <v>564</v>
      </c>
      <c r="B524" s="10"/>
      <c r="C524" s="21">
        <v>230102</v>
      </c>
      <c r="D524" s="22" t="s">
        <v>318</v>
      </c>
      <c r="E524" s="23">
        <v>44937</v>
      </c>
      <c r="F524" s="24">
        <v>44927</v>
      </c>
      <c r="G524" s="25">
        <v>1730012</v>
      </c>
      <c r="H524" s="26" t="s">
        <v>2354</v>
      </c>
      <c r="I524" s="34" t="s">
        <v>29</v>
      </c>
      <c r="J524" s="10"/>
      <c r="K524" s="49"/>
      <c r="L524" s="40">
        <v>45017</v>
      </c>
      <c r="M524" s="40">
        <v>45017</v>
      </c>
      <c r="N524" s="37">
        <v>1730012</v>
      </c>
      <c r="O524" s="37">
        <v>0</v>
      </c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4.25" customHeight="1">
      <c r="A525" s="9">
        <v>565</v>
      </c>
      <c r="B525" s="10"/>
      <c r="C525" s="21">
        <v>230114</v>
      </c>
      <c r="D525" s="22" t="s">
        <v>318</v>
      </c>
      <c r="E525" s="23">
        <v>44945</v>
      </c>
      <c r="F525" s="24">
        <v>44927</v>
      </c>
      <c r="G525" s="25">
        <v>110049</v>
      </c>
      <c r="H525" s="26" t="s">
        <v>2355</v>
      </c>
      <c r="I525" s="34" t="s">
        <v>29</v>
      </c>
      <c r="J525" s="10"/>
      <c r="K525" s="49"/>
      <c r="L525" s="40">
        <v>45017</v>
      </c>
      <c r="M525" s="40">
        <v>45017</v>
      </c>
      <c r="N525" s="37">
        <v>110049</v>
      </c>
      <c r="O525" s="37">
        <v>0</v>
      </c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4.25" customHeight="1">
      <c r="A526" s="9">
        <v>566</v>
      </c>
      <c r="B526" s="10"/>
      <c r="C526" s="21">
        <v>230163</v>
      </c>
      <c r="D526" s="22" t="s">
        <v>318</v>
      </c>
      <c r="E526" s="23">
        <v>44951</v>
      </c>
      <c r="F526" s="24">
        <v>44927</v>
      </c>
      <c r="G526" s="25">
        <v>490173</v>
      </c>
      <c r="H526" s="26" t="s">
        <v>2356</v>
      </c>
      <c r="I526" s="34" t="s">
        <v>29</v>
      </c>
      <c r="J526" s="10"/>
      <c r="K526" s="49"/>
      <c r="L526" s="40">
        <v>45017</v>
      </c>
      <c r="M526" s="40">
        <v>45017</v>
      </c>
      <c r="N526" s="37">
        <v>490173</v>
      </c>
      <c r="O526" s="37">
        <v>0</v>
      </c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4.25" customHeight="1">
      <c r="A527" s="9">
        <v>567</v>
      </c>
      <c r="B527" s="10"/>
      <c r="C527" s="21">
        <v>230164</v>
      </c>
      <c r="D527" s="22" t="s">
        <v>318</v>
      </c>
      <c r="E527" s="23">
        <v>44951</v>
      </c>
      <c r="F527" s="24">
        <v>44927</v>
      </c>
      <c r="G527" s="25">
        <v>760017</v>
      </c>
      <c r="H527" s="26" t="s">
        <v>2357</v>
      </c>
      <c r="I527" s="34" t="s">
        <v>29</v>
      </c>
      <c r="J527" s="10"/>
      <c r="K527" s="49"/>
      <c r="L527" s="40">
        <v>45017</v>
      </c>
      <c r="M527" s="40">
        <v>45017</v>
      </c>
      <c r="N527" s="37">
        <v>760017</v>
      </c>
      <c r="O527" s="37">
        <v>0</v>
      </c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4.25" customHeight="1">
      <c r="A528" s="9">
        <v>568</v>
      </c>
      <c r="B528" s="10"/>
      <c r="C528" s="21">
        <v>230213</v>
      </c>
      <c r="D528" s="22" t="s">
        <v>318</v>
      </c>
      <c r="E528" s="23">
        <v>44954</v>
      </c>
      <c r="F528" s="24">
        <v>44927</v>
      </c>
      <c r="G528" s="25">
        <v>2848228</v>
      </c>
      <c r="H528" s="26" t="s">
        <v>2358</v>
      </c>
      <c r="I528" s="34" t="s">
        <v>29</v>
      </c>
      <c r="J528" s="10"/>
      <c r="K528" s="49"/>
      <c r="L528" s="40">
        <v>45017</v>
      </c>
      <c r="M528" s="40">
        <v>45017</v>
      </c>
      <c r="N528" s="37">
        <v>2848228</v>
      </c>
      <c r="O528" s="37">
        <v>0</v>
      </c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4.25" customHeight="1">
      <c r="A529" s="9">
        <v>570</v>
      </c>
      <c r="B529" s="10"/>
      <c r="C529" s="21">
        <v>230237</v>
      </c>
      <c r="D529" s="22" t="s">
        <v>318</v>
      </c>
      <c r="E529" s="23">
        <v>44960</v>
      </c>
      <c r="F529" s="24">
        <v>44958</v>
      </c>
      <c r="G529" s="25">
        <v>1809500</v>
      </c>
      <c r="H529" s="26" t="s">
        <v>2359</v>
      </c>
      <c r="I529" s="34" t="s">
        <v>29</v>
      </c>
      <c r="J529" s="10"/>
      <c r="K529" s="39"/>
      <c r="L529" s="40">
        <v>45036</v>
      </c>
      <c r="M529" s="40">
        <v>45036</v>
      </c>
      <c r="N529" s="37">
        <v>1809500</v>
      </c>
      <c r="O529" s="37">
        <v>0</v>
      </c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4.25" customHeight="1">
      <c r="A530" s="9">
        <v>569</v>
      </c>
      <c r="B530" s="10"/>
      <c r="C530" s="21">
        <v>230252</v>
      </c>
      <c r="D530" s="22" t="s">
        <v>318</v>
      </c>
      <c r="E530" s="23">
        <v>44960</v>
      </c>
      <c r="F530" s="24">
        <v>44958</v>
      </c>
      <c r="G530" s="25">
        <v>810002</v>
      </c>
      <c r="H530" s="26" t="s">
        <v>2360</v>
      </c>
      <c r="I530" s="34" t="s">
        <v>29</v>
      </c>
      <c r="J530" s="25">
        <v>5500840</v>
      </c>
      <c r="K530" s="40">
        <v>45036</v>
      </c>
      <c r="L530" s="40">
        <v>45036</v>
      </c>
      <c r="M530" s="40">
        <v>45036</v>
      </c>
      <c r="N530" s="37">
        <v>810002</v>
      </c>
      <c r="O530" s="37">
        <v>0</v>
      </c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4.25" customHeight="1">
      <c r="A531" s="9">
        <v>572</v>
      </c>
      <c r="B531" s="10"/>
      <c r="C531" s="21">
        <v>230318</v>
      </c>
      <c r="D531" s="22" t="s">
        <v>318</v>
      </c>
      <c r="E531" s="23">
        <v>44967</v>
      </c>
      <c r="F531" s="24">
        <v>44958</v>
      </c>
      <c r="G531" s="25">
        <v>1345288</v>
      </c>
      <c r="H531" s="26" t="s">
        <v>2361</v>
      </c>
      <c r="I531" s="34" t="s">
        <v>29</v>
      </c>
      <c r="J531" s="10"/>
      <c r="K531" s="39"/>
      <c r="L531" s="40">
        <v>45036</v>
      </c>
      <c r="M531" s="40">
        <v>45036</v>
      </c>
      <c r="N531" s="37">
        <v>1345288</v>
      </c>
      <c r="O531" s="37">
        <v>0</v>
      </c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4.25" customHeight="1">
      <c r="A532" s="9">
        <v>571</v>
      </c>
      <c r="B532" s="10"/>
      <c r="C532" s="21">
        <v>230312</v>
      </c>
      <c r="D532" s="22" t="s">
        <v>318</v>
      </c>
      <c r="E532" s="23">
        <v>44970</v>
      </c>
      <c r="F532" s="24">
        <v>44958</v>
      </c>
      <c r="G532" s="25">
        <v>1536050</v>
      </c>
      <c r="H532" s="26" t="s">
        <v>2362</v>
      </c>
      <c r="I532" s="34" t="s">
        <v>29</v>
      </c>
      <c r="J532" s="10"/>
      <c r="K532" s="39"/>
      <c r="L532" s="40">
        <v>45036</v>
      </c>
      <c r="M532" s="40">
        <v>45036</v>
      </c>
      <c r="N532" s="37">
        <v>1536050</v>
      </c>
      <c r="O532" s="37">
        <v>0</v>
      </c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4.25" customHeight="1">
      <c r="A533" s="9">
        <v>577</v>
      </c>
      <c r="B533" s="10"/>
      <c r="C533" s="21">
        <v>230498</v>
      </c>
      <c r="D533" s="22" t="s">
        <v>318</v>
      </c>
      <c r="E533" s="23">
        <v>44989</v>
      </c>
      <c r="F533" s="24">
        <v>44986</v>
      </c>
      <c r="G533" s="25">
        <v>1449357</v>
      </c>
      <c r="H533" s="26" t="s">
        <v>2363</v>
      </c>
      <c r="I533" s="34" t="s">
        <v>29</v>
      </c>
      <c r="J533" s="25">
        <v>10168434</v>
      </c>
      <c r="K533" s="40">
        <v>45092</v>
      </c>
      <c r="L533" s="40">
        <v>45093</v>
      </c>
      <c r="M533" s="40">
        <v>45093</v>
      </c>
      <c r="N533" s="37">
        <v>1449357</v>
      </c>
      <c r="O533" s="37">
        <v>0</v>
      </c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4.25" customHeight="1">
      <c r="A534" s="9">
        <v>573</v>
      </c>
      <c r="B534" s="10"/>
      <c r="C534" s="21">
        <v>230557</v>
      </c>
      <c r="D534" s="22" t="s">
        <v>318</v>
      </c>
      <c r="E534" s="23">
        <v>44994</v>
      </c>
      <c r="F534" s="24">
        <v>44986</v>
      </c>
      <c r="G534" s="25">
        <v>3040068</v>
      </c>
      <c r="H534" s="26" t="s">
        <v>2364</v>
      </c>
      <c r="I534" s="34" t="s">
        <v>29</v>
      </c>
      <c r="J534" s="25">
        <v>4390072</v>
      </c>
      <c r="K534" s="40">
        <v>45061</v>
      </c>
      <c r="L534" s="40">
        <v>45061</v>
      </c>
      <c r="M534" s="40">
        <v>45063</v>
      </c>
      <c r="N534" s="37">
        <v>3040068</v>
      </c>
      <c r="O534" s="37">
        <v>0</v>
      </c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4.25" customHeight="1">
      <c r="A535" s="9">
        <v>574</v>
      </c>
      <c r="B535" s="10"/>
      <c r="C535" s="21">
        <v>230558</v>
      </c>
      <c r="D535" s="22" t="s">
        <v>318</v>
      </c>
      <c r="E535" s="23">
        <v>44995</v>
      </c>
      <c r="F535" s="24">
        <v>44986</v>
      </c>
      <c r="G535" s="25">
        <v>1350004</v>
      </c>
      <c r="H535" s="26" t="s">
        <v>2365</v>
      </c>
      <c r="I535" s="34" t="s">
        <v>29</v>
      </c>
      <c r="J535" s="10"/>
      <c r="K535" s="39"/>
      <c r="L535" s="40">
        <v>45061</v>
      </c>
      <c r="M535" s="40">
        <v>45063</v>
      </c>
      <c r="N535" s="37">
        <v>1350004</v>
      </c>
      <c r="O535" s="37">
        <v>0</v>
      </c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4.25" customHeight="1">
      <c r="A536" s="9">
        <v>579</v>
      </c>
      <c r="B536" s="10"/>
      <c r="C536" s="21">
        <v>230579</v>
      </c>
      <c r="D536" s="22" t="s">
        <v>318</v>
      </c>
      <c r="E536" s="23">
        <v>45001</v>
      </c>
      <c r="F536" s="24">
        <v>44986</v>
      </c>
      <c r="G536" s="25">
        <v>453402</v>
      </c>
      <c r="H536" s="26" t="s">
        <v>2366</v>
      </c>
      <c r="I536" s="34" t="s">
        <v>29</v>
      </c>
      <c r="J536" s="31"/>
      <c r="K536" s="39"/>
      <c r="L536" s="40">
        <v>45093</v>
      </c>
      <c r="M536" s="40">
        <v>45093</v>
      </c>
      <c r="N536" s="37">
        <v>453402</v>
      </c>
      <c r="O536" s="37">
        <v>0</v>
      </c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4.25" customHeight="1">
      <c r="A537" s="9">
        <v>580</v>
      </c>
      <c r="B537" s="10"/>
      <c r="C537" s="21">
        <v>230612</v>
      </c>
      <c r="D537" s="22" t="s">
        <v>318</v>
      </c>
      <c r="E537" s="23">
        <v>45005</v>
      </c>
      <c r="F537" s="24">
        <v>44986</v>
      </c>
      <c r="G537" s="25">
        <v>847079</v>
      </c>
      <c r="H537" s="26" t="s">
        <v>2367</v>
      </c>
      <c r="I537" s="34" t="s">
        <v>29</v>
      </c>
      <c r="J537" s="11"/>
      <c r="K537" s="39"/>
      <c r="L537" s="40">
        <v>45093</v>
      </c>
      <c r="M537" s="40">
        <v>45093</v>
      </c>
      <c r="N537" s="37">
        <v>847079</v>
      </c>
      <c r="O537" s="37">
        <v>0</v>
      </c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4.25" customHeight="1">
      <c r="A538" s="9">
        <v>578</v>
      </c>
      <c r="B538" s="10"/>
      <c r="C538" s="21">
        <v>230739</v>
      </c>
      <c r="D538" s="22" t="s">
        <v>318</v>
      </c>
      <c r="E538" s="23">
        <v>45009</v>
      </c>
      <c r="F538" s="24">
        <v>44986</v>
      </c>
      <c r="G538" s="25">
        <v>1350004</v>
      </c>
      <c r="H538" s="26" t="s">
        <v>2368</v>
      </c>
      <c r="I538" s="34" t="s">
        <v>29</v>
      </c>
      <c r="J538" s="31"/>
      <c r="K538" s="39"/>
      <c r="L538" s="40">
        <v>45093</v>
      </c>
      <c r="M538" s="40">
        <v>45093</v>
      </c>
      <c r="N538" s="37">
        <v>1350004</v>
      </c>
      <c r="O538" s="37">
        <v>0</v>
      </c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4.25" customHeight="1">
      <c r="A539" s="9">
        <v>575</v>
      </c>
      <c r="B539" s="10"/>
      <c r="C539" s="21">
        <v>230451</v>
      </c>
      <c r="D539" s="22" t="s">
        <v>318</v>
      </c>
      <c r="E539" s="23">
        <v>45012</v>
      </c>
      <c r="F539" s="24">
        <v>44986</v>
      </c>
      <c r="G539" s="25">
        <v>815845</v>
      </c>
      <c r="H539" s="26" t="s">
        <v>2369</v>
      </c>
      <c r="I539" s="34" t="s">
        <v>29</v>
      </c>
      <c r="J539" s="25">
        <v>6081211</v>
      </c>
      <c r="K539" s="40">
        <v>45071</v>
      </c>
      <c r="L539" s="40">
        <v>45071</v>
      </c>
      <c r="M539" s="40">
        <v>45072</v>
      </c>
      <c r="N539" s="37">
        <v>815845</v>
      </c>
      <c r="O539" s="37">
        <v>0</v>
      </c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4.25" customHeight="1">
      <c r="A540" s="9">
        <v>581</v>
      </c>
      <c r="B540" s="10"/>
      <c r="C540" s="21">
        <v>230665</v>
      </c>
      <c r="D540" s="22" t="s">
        <v>318</v>
      </c>
      <c r="E540" s="23">
        <v>45013</v>
      </c>
      <c r="F540" s="24">
        <v>44986</v>
      </c>
      <c r="G540" s="25">
        <v>852896</v>
      </c>
      <c r="H540" s="26" t="s">
        <v>2370</v>
      </c>
      <c r="I540" s="34" t="s">
        <v>29</v>
      </c>
      <c r="J540" s="11"/>
      <c r="K540" s="39"/>
      <c r="L540" s="40">
        <v>45093</v>
      </c>
      <c r="M540" s="40">
        <v>45093</v>
      </c>
      <c r="N540" s="37">
        <v>852896</v>
      </c>
      <c r="O540" s="37">
        <v>0</v>
      </c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4.25" customHeight="1">
      <c r="A541" s="9">
        <v>576</v>
      </c>
      <c r="B541" s="10"/>
      <c r="C541" s="21">
        <v>230450</v>
      </c>
      <c r="D541" s="22" t="s">
        <v>318</v>
      </c>
      <c r="E541" s="23">
        <v>45014</v>
      </c>
      <c r="F541" s="24">
        <v>44986</v>
      </c>
      <c r="G541" s="25">
        <v>5265366</v>
      </c>
      <c r="H541" s="26" t="s">
        <v>2371</v>
      </c>
      <c r="I541" s="34" t="s">
        <v>29</v>
      </c>
      <c r="J541" s="10"/>
      <c r="K541" s="39"/>
      <c r="L541" s="40">
        <v>45071</v>
      </c>
      <c r="M541" s="40">
        <v>45072</v>
      </c>
      <c r="N541" s="37">
        <v>5265366</v>
      </c>
      <c r="O541" s="37">
        <v>0</v>
      </c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4.25" customHeight="1">
      <c r="A542" s="9">
        <v>582</v>
      </c>
      <c r="B542" s="10"/>
      <c r="C542" s="21">
        <v>230692</v>
      </c>
      <c r="D542" s="22" t="s">
        <v>318</v>
      </c>
      <c r="E542" s="23">
        <v>45015</v>
      </c>
      <c r="F542" s="24">
        <v>44986</v>
      </c>
      <c r="G542" s="25">
        <v>2019312</v>
      </c>
      <c r="H542" s="26" t="s">
        <v>2372</v>
      </c>
      <c r="I542" s="34" t="s">
        <v>29</v>
      </c>
      <c r="J542" s="11"/>
      <c r="K542" s="39"/>
      <c r="L542" s="40">
        <v>45093</v>
      </c>
      <c r="M542" s="40">
        <v>45093</v>
      </c>
      <c r="N542" s="37">
        <v>2019312</v>
      </c>
      <c r="O542" s="37">
        <v>0</v>
      </c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4.25" customHeight="1">
      <c r="A543" s="9">
        <v>583</v>
      </c>
      <c r="B543" s="10"/>
      <c r="C543" s="21">
        <v>230693</v>
      </c>
      <c r="D543" s="22" t="s">
        <v>318</v>
      </c>
      <c r="E543" s="23">
        <v>45015</v>
      </c>
      <c r="F543" s="24">
        <v>44986</v>
      </c>
      <c r="G543" s="25">
        <v>158469</v>
      </c>
      <c r="H543" s="26" t="s">
        <v>2373</v>
      </c>
      <c r="I543" s="34" t="s">
        <v>29</v>
      </c>
      <c r="J543" s="11"/>
      <c r="K543" s="39"/>
      <c r="L543" s="40">
        <v>45093</v>
      </c>
      <c r="M543" s="40">
        <v>45093</v>
      </c>
      <c r="N543" s="37">
        <v>158469</v>
      </c>
      <c r="O543" s="37">
        <v>0</v>
      </c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4.25" customHeight="1">
      <c r="A544" s="9">
        <v>584</v>
      </c>
      <c r="B544" s="10"/>
      <c r="C544" s="21">
        <v>230754</v>
      </c>
      <c r="D544" s="22" t="s">
        <v>318</v>
      </c>
      <c r="E544" s="23">
        <v>45020</v>
      </c>
      <c r="F544" s="24">
        <v>45017</v>
      </c>
      <c r="G544" s="25">
        <v>308859</v>
      </c>
      <c r="H544" s="26" t="s">
        <v>2374</v>
      </c>
      <c r="I544" s="34" t="s">
        <v>29</v>
      </c>
      <c r="J544" s="11"/>
      <c r="K544" s="39"/>
      <c r="L544" s="40">
        <v>45093</v>
      </c>
      <c r="M544" s="40">
        <v>45093</v>
      </c>
      <c r="N544" s="37">
        <v>308859</v>
      </c>
      <c r="O544" s="37">
        <v>0</v>
      </c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4.25" customHeight="1">
      <c r="A545" s="9">
        <v>585</v>
      </c>
      <c r="B545" s="10"/>
      <c r="C545" s="21">
        <v>230757</v>
      </c>
      <c r="D545" s="22" t="s">
        <v>318</v>
      </c>
      <c r="E545" s="23">
        <v>45020</v>
      </c>
      <c r="F545" s="24">
        <v>45017</v>
      </c>
      <c r="G545" s="25">
        <v>1325787</v>
      </c>
      <c r="H545" s="26" t="s">
        <v>2375</v>
      </c>
      <c r="I545" s="34" t="s">
        <v>29</v>
      </c>
      <c r="J545" s="11"/>
      <c r="K545" s="39"/>
      <c r="L545" s="40">
        <v>45093</v>
      </c>
      <c r="M545" s="40">
        <v>45093</v>
      </c>
      <c r="N545" s="37">
        <v>1325787</v>
      </c>
      <c r="O545" s="37">
        <v>0</v>
      </c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4.25" customHeight="1">
      <c r="A546" s="9">
        <v>586</v>
      </c>
      <c r="B546" s="10"/>
      <c r="C546" s="21">
        <v>230864</v>
      </c>
      <c r="D546" s="22" t="s">
        <v>318</v>
      </c>
      <c r="E546" s="23">
        <v>45041</v>
      </c>
      <c r="F546" s="24">
        <v>45017</v>
      </c>
      <c r="G546" s="25">
        <v>651207</v>
      </c>
      <c r="H546" s="26" t="s">
        <v>2376</v>
      </c>
      <c r="I546" s="34" t="s">
        <v>29</v>
      </c>
      <c r="J546" s="11"/>
      <c r="K546" s="39"/>
      <c r="L546" s="40">
        <v>45093</v>
      </c>
      <c r="M546" s="40">
        <v>45093</v>
      </c>
      <c r="N546" s="37">
        <v>651207</v>
      </c>
      <c r="O546" s="37">
        <v>0</v>
      </c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4.25" customHeight="1">
      <c r="A547" s="9">
        <v>588</v>
      </c>
      <c r="B547" s="10"/>
      <c r="C547" s="21">
        <v>230901</v>
      </c>
      <c r="D547" s="22" t="s">
        <v>318</v>
      </c>
      <c r="E547" s="23">
        <v>45045</v>
      </c>
      <c r="F547" s="24">
        <v>45017</v>
      </c>
      <c r="G547" s="25">
        <v>298223</v>
      </c>
      <c r="H547" s="26" t="s">
        <v>2377</v>
      </c>
      <c r="I547" s="34" t="s">
        <v>29</v>
      </c>
      <c r="J547" s="11"/>
      <c r="K547" s="39"/>
      <c r="L547" s="40">
        <v>45093</v>
      </c>
      <c r="M547" s="40">
        <v>45093</v>
      </c>
      <c r="N547" s="37">
        <v>298223</v>
      </c>
      <c r="O547" s="37">
        <v>0</v>
      </c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4.25" customHeight="1">
      <c r="A548" s="9">
        <v>587</v>
      </c>
      <c r="B548" s="10"/>
      <c r="C548" s="21">
        <v>230902</v>
      </c>
      <c r="D548" s="22" t="s">
        <v>318</v>
      </c>
      <c r="E548" s="23">
        <v>45045</v>
      </c>
      <c r="F548" s="24">
        <v>45017</v>
      </c>
      <c r="G548" s="25">
        <v>94403</v>
      </c>
      <c r="H548" s="26" t="s">
        <v>2378</v>
      </c>
      <c r="I548" s="34" t="s">
        <v>29</v>
      </c>
      <c r="J548" s="11"/>
      <c r="K548" s="39"/>
      <c r="L548" s="40">
        <v>45093</v>
      </c>
      <c r="M548" s="40">
        <v>45093</v>
      </c>
      <c r="N548" s="37">
        <v>94403</v>
      </c>
      <c r="O548" s="37">
        <v>0</v>
      </c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4.25" customHeight="1">
      <c r="A549" s="9">
        <v>589</v>
      </c>
      <c r="B549" s="10"/>
      <c r="C549" s="21">
        <v>230946</v>
      </c>
      <c r="D549" s="22" t="s">
        <v>318</v>
      </c>
      <c r="E549" s="23">
        <v>45055</v>
      </c>
      <c r="F549" s="24">
        <v>45047</v>
      </c>
      <c r="G549" s="25">
        <v>359436</v>
      </c>
      <c r="H549" s="26" t="s">
        <v>2379</v>
      </c>
      <c r="I549" s="34" t="s">
        <v>29</v>
      </c>
      <c r="J549" s="11"/>
      <c r="K549" s="39"/>
      <c r="L549" s="40">
        <v>45093</v>
      </c>
      <c r="M549" s="40">
        <v>45093</v>
      </c>
      <c r="N549" s="37">
        <v>359436</v>
      </c>
      <c r="O549" s="37">
        <v>0</v>
      </c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4.25" customHeight="1">
      <c r="A550" s="9">
        <v>590</v>
      </c>
      <c r="B550" s="10"/>
      <c r="C550" s="21">
        <v>231046</v>
      </c>
      <c r="D550" s="22" t="s">
        <v>318</v>
      </c>
      <c r="E550" s="23">
        <v>45072</v>
      </c>
      <c r="F550" s="24">
        <v>45047</v>
      </c>
      <c r="G550" s="25">
        <v>1163798</v>
      </c>
      <c r="H550" s="26" t="s">
        <v>2380</v>
      </c>
      <c r="I550" s="34" t="s">
        <v>29</v>
      </c>
      <c r="J550" s="35">
        <v>2895333</v>
      </c>
      <c r="K550" s="36">
        <v>45157</v>
      </c>
      <c r="L550" s="36">
        <v>45157</v>
      </c>
      <c r="M550" s="36">
        <v>45157</v>
      </c>
      <c r="N550" s="37">
        <v>1163798</v>
      </c>
      <c r="O550" s="37">
        <v>0</v>
      </c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4.25" customHeight="1">
      <c r="A551" s="9">
        <v>591</v>
      </c>
      <c r="B551" s="10"/>
      <c r="C551" s="21">
        <v>231060</v>
      </c>
      <c r="D551" s="22" t="s">
        <v>318</v>
      </c>
      <c r="E551" s="23">
        <v>45076</v>
      </c>
      <c r="F551" s="24">
        <v>45047</v>
      </c>
      <c r="G551" s="25">
        <v>1731535</v>
      </c>
      <c r="H551" s="26" t="s">
        <v>2381</v>
      </c>
      <c r="I551" s="34" t="s">
        <v>29</v>
      </c>
      <c r="J551" s="11"/>
      <c r="K551" s="39"/>
      <c r="L551" s="36">
        <v>45157</v>
      </c>
      <c r="M551" s="36">
        <v>45157</v>
      </c>
      <c r="N551" s="37">
        <v>1731535</v>
      </c>
      <c r="O551" s="37">
        <v>0</v>
      </c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4.25" customHeight="1">
      <c r="A552" s="9">
        <v>592</v>
      </c>
      <c r="B552" s="10"/>
      <c r="C552" s="21">
        <v>231194</v>
      </c>
      <c r="D552" s="22" t="s">
        <v>318</v>
      </c>
      <c r="E552" s="23">
        <v>45087</v>
      </c>
      <c r="F552" s="24">
        <v>45078</v>
      </c>
      <c r="G552" s="25">
        <v>6224681</v>
      </c>
      <c r="H552" s="26" t="s">
        <v>2382</v>
      </c>
      <c r="I552" s="34" t="s">
        <v>29</v>
      </c>
      <c r="J552" s="35">
        <v>12012923</v>
      </c>
      <c r="K552" s="36">
        <v>45169</v>
      </c>
      <c r="L552" s="36">
        <v>45169</v>
      </c>
      <c r="M552" s="36">
        <v>45169</v>
      </c>
      <c r="N552" s="37">
        <v>6224681</v>
      </c>
      <c r="O552" s="37">
        <v>0</v>
      </c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4.25" customHeight="1">
      <c r="A553" s="9">
        <v>593</v>
      </c>
      <c r="B553" s="10"/>
      <c r="C553" s="21">
        <v>231180</v>
      </c>
      <c r="D553" s="22" t="s">
        <v>318</v>
      </c>
      <c r="E553" s="23">
        <v>45093</v>
      </c>
      <c r="F553" s="24">
        <v>45078</v>
      </c>
      <c r="G553" s="25">
        <v>2700008</v>
      </c>
      <c r="H553" s="26" t="s">
        <v>2383</v>
      </c>
      <c r="I553" s="34" t="s">
        <v>29</v>
      </c>
      <c r="J553" s="11"/>
      <c r="K553" s="39"/>
      <c r="L553" s="36">
        <v>45169</v>
      </c>
      <c r="M553" s="36">
        <v>45169</v>
      </c>
      <c r="N553" s="37">
        <v>2700008</v>
      </c>
      <c r="O553" s="37">
        <v>0</v>
      </c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4.25" customHeight="1">
      <c r="A554" s="9">
        <v>594</v>
      </c>
      <c r="B554" s="10"/>
      <c r="C554" s="21">
        <v>231210</v>
      </c>
      <c r="D554" s="22" t="s">
        <v>318</v>
      </c>
      <c r="E554" s="23">
        <v>45094</v>
      </c>
      <c r="F554" s="24">
        <v>45078</v>
      </c>
      <c r="G554" s="25">
        <v>2265724</v>
      </c>
      <c r="H554" s="26" t="s">
        <v>2384</v>
      </c>
      <c r="I554" s="34" t="s">
        <v>29</v>
      </c>
      <c r="J554" s="11"/>
      <c r="K554" s="39"/>
      <c r="L554" s="36">
        <v>45169</v>
      </c>
      <c r="M554" s="36">
        <v>45169</v>
      </c>
      <c r="N554" s="37">
        <v>2265724</v>
      </c>
      <c r="O554" s="37">
        <v>0</v>
      </c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4.25" customHeight="1">
      <c r="A555" s="9">
        <v>595</v>
      </c>
      <c r="B555" s="10"/>
      <c r="C555" s="21">
        <v>231211</v>
      </c>
      <c r="D555" s="22" t="s">
        <v>318</v>
      </c>
      <c r="E555" s="23">
        <v>45094</v>
      </c>
      <c r="F555" s="24">
        <v>45078</v>
      </c>
      <c r="G555" s="25">
        <v>822510</v>
      </c>
      <c r="H555" s="26" t="s">
        <v>2385</v>
      </c>
      <c r="I555" s="34" t="s">
        <v>29</v>
      </c>
      <c r="J555" s="11"/>
      <c r="K555" s="39"/>
      <c r="L555" s="36">
        <v>45169</v>
      </c>
      <c r="M555" s="36">
        <v>45169</v>
      </c>
      <c r="N555" s="37">
        <v>822510</v>
      </c>
      <c r="O555" s="37">
        <v>0</v>
      </c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4.25" customHeight="1">
      <c r="A556" s="9">
        <v>596</v>
      </c>
      <c r="B556" s="10"/>
      <c r="C556" s="21">
        <v>231208</v>
      </c>
      <c r="D556" s="22" t="s">
        <v>318</v>
      </c>
      <c r="E556" s="23">
        <v>45108</v>
      </c>
      <c r="F556" s="24">
        <v>45108</v>
      </c>
      <c r="G556" s="25">
        <v>1883072</v>
      </c>
      <c r="H556" s="26" t="s">
        <v>2386</v>
      </c>
      <c r="I556" s="34" t="s">
        <v>29</v>
      </c>
      <c r="J556" s="35">
        <v>11661219</v>
      </c>
      <c r="K556" s="36">
        <v>45199</v>
      </c>
      <c r="L556" s="36">
        <v>45199</v>
      </c>
      <c r="M556" s="36">
        <v>45199</v>
      </c>
      <c r="N556" s="37">
        <v>1883072</v>
      </c>
      <c r="O556" s="37">
        <v>0</v>
      </c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4.25" customHeight="1">
      <c r="A557" s="9">
        <v>598</v>
      </c>
      <c r="B557" s="10"/>
      <c r="C557" s="21">
        <v>231206</v>
      </c>
      <c r="D557" s="22" t="s">
        <v>318</v>
      </c>
      <c r="E557" s="23">
        <v>45111</v>
      </c>
      <c r="F557" s="24">
        <v>45108</v>
      </c>
      <c r="G557" s="25">
        <v>119074</v>
      </c>
      <c r="H557" s="26" t="s">
        <v>2387</v>
      </c>
      <c r="I557" s="34" t="s">
        <v>29</v>
      </c>
      <c r="J557" s="11"/>
      <c r="K557" s="39"/>
      <c r="L557" s="36">
        <v>45199</v>
      </c>
      <c r="M557" s="36">
        <v>45199</v>
      </c>
      <c r="N557" s="37">
        <v>119074</v>
      </c>
      <c r="O557" s="37">
        <v>0</v>
      </c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4.25" customHeight="1">
      <c r="A558" s="9">
        <v>597</v>
      </c>
      <c r="B558" s="10"/>
      <c r="C558" s="21">
        <v>231207</v>
      </c>
      <c r="D558" s="22" t="s">
        <v>318</v>
      </c>
      <c r="E558" s="23">
        <v>45111</v>
      </c>
      <c r="F558" s="24">
        <v>45108</v>
      </c>
      <c r="G558" s="25">
        <v>671273</v>
      </c>
      <c r="H558" s="26" t="s">
        <v>2388</v>
      </c>
      <c r="I558" s="34" t="s">
        <v>29</v>
      </c>
      <c r="J558" s="11"/>
      <c r="K558" s="39"/>
      <c r="L558" s="36">
        <v>45199</v>
      </c>
      <c r="M558" s="36">
        <v>45199</v>
      </c>
      <c r="N558" s="37">
        <v>671273</v>
      </c>
      <c r="O558" s="37">
        <v>0</v>
      </c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4.25" customHeight="1">
      <c r="A559" s="9">
        <v>599</v>
      </c>
      <c r="B559" s="10"/>
      <c r="C559" s="21">
        <v>231179</v>
      </c>
      <c r="D559" s="22" t="s">
        <v>318</v>
      </c>
      <c r="E559" s="23">
        <v>45114</v>
      </c>
      <c r="F559" s="24">
        <v>45108</v>
      </c>
      <c r="G559" s="25">
        <v>120033</v>
      </c>
      <c r="H559" s="26" t="s">
        <v>2389</v>
      </c>
      <c r="I559" s="34" t="s">
        <v>29</v>
      </c>
      <c r="J559" s="11"/>
      <c r="K559" s="39"/>
      <c r="L559" s="36">
        <v>45199</v>
      </c>
      <c r="M559" s="36">
        <v>45199</v>
      </c>
      <c r="N559" s="37">
        <v>120033</v>
      </c>
      <c r="O559" s="37">
        <v>0</v>
      </c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4.25" customHeight="1">
      <c r="A560" s="9">
        <v>600</v>
      </c>
      <c r="B560" s="10"/>
      <c r="C560" s="21">
        <v>231181</v>
      </c>
      <c r="D560" s="22" t="s">
        <v>318</v>
      </c>
      <c r="E560" s="23">
        <v>45114</v>
      </c>
      <c r="F560" s="24">
        <v>45108</v>
      </c>
      <c r="G560" s="25">
        <v>3045079</v>
      </c>
      <c r="H560" s="26" t="s">
        <v>2390</v>
      </c>
      <c r="I560" s="34" t="s">
        <v>29</v>
      </c>
      <c r="J560" s="11"/>
      <c r="K560" s="39"/>
      <c r="L560" s="36">
        <v>45199</v>
      </c>
      <c r="M560" s="36">
        <v>45199</v>
      </c>
      <c r="N560" s="37">
        <v>3045079</v>
      </c>
      <c r="O560" s="37">
        <v>0</v>
      </c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4.25" customHeight="1">
      <c r="A561" s="9">
        <v>601</v>
      </c>
      <c r="B561" s="10"/>
      <c r="C561" s="21">
        <v>231438</v>
      </c>
      <c r="D561" s="22" t="s">
        <v>318</v>
      </c>
      <c r="E561" s="23">
        <v>45121</v>
      </c>
      <c r="F561" s="24">
        <v>45108</v>
      </c>
      <c r="G561" s="25">
        <v>1060002</v>
      </c>
      <c r="H561" s="26" t="s">
        <v>2391</v>
      </c>
      <c r="I561" s="34" t="s">
        <v>29</v>
      </c>
      <c r="J561" s="11"/>
      <c r="K561" s="39"/>
      <c r="L561" s="36">
        <v>45199</v>
      </c>
      <c r="M561" s="36">
        <v>45199</v>
      </c>
      <c r="N561" s="37">
        <v>1060002</v>
      </c>
      <c r="O561" s="37">
        <v>0</v>
      </c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4.25" customHeight="1">
      <c r="A562" s="9">
        <v>602</v>
      </c>
      <c r="B562" s="10"/>
      <c r="C562" s="21">
        <v>231439</v>
      </c>
      <c r="D562" s="22" t="s">
        <v>318</v>
      </c>
      <c r="E562" s="23">
        <v>45122</v>
      </c>
      <c r="F562" s="24">
        <v>45108</v>
      </c>
      <c r="G562" s="25">
        <v>1126390</v>
      </c>
      <c r="H562" s="26" t="s">
        <v>2392</v>
      </c>
      <c r="I562" s="34" t="s">
        <v>29</v>
      </c>
      <c r="J562" s="11"/>
      <c r="K562" s="39"/>
      <c r="L562" s="36">
        <v>45199</v>
      </c>
      <c r="M562" s="36">
        <v>45199</v>
      </c>
      <c r="N562" s="37">
        <v>1126390</v>
      </c>
      <c r="O562" s="37">
        <v>0</v>
      </c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4.25" customHeight="1">
      <c r="A563" s="9">
        <v>603</v>
      </c>
      <c r="B563" s="10"/>
      <c r="C563" s="21">
        <v>231209</v>
      </c>
      <c r="D563" s="22" t="s">
        <v>318</v>
      </c>
      <c r="E563" s="23">
        <v>45131</v>
      </c>
      <c r="F563" s="24">
        <v>45108</v>
      </c>
      <c r="G563" s="25">
        <v>443427</v>
      </c>
      <c r="H563" s="26" t="s">
        <v>2393</v>
      </c>
      <c r="I563" s="34" t="s">
        <v>29</v>
      </c>
      <c r="J563" s="11"/>
      <c r="K563" s="39"/>
      <c r="L563" s="36">
        <v>45199</v>
      </c>
      <c r="M563" s="36">
        <v>45199</v>
      </c>
      <c r="N563" s="37">
        <v>443427</v>
      </c>
      <c r="O563" s="37">
        <v>0</v>
      </c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4.25" customHeight="1">
      <c r="A564" s="9">
        <v>604</v>
      </c>
      <c r="B564" s="10"/>
      <c r="C564" s="21">
        <v>231440</v>
      </c>
      <c r="D564" s="22" t="s">
        <v>318</v>
      </c>
      <c r="E564" s="23">
        <v>45131</v>
      </c>
      <c r="F564" s="24">
        <v>45108</v>
      </c>
      <c r="G564" s="25">
        <v>1842865</v>
      </c>
      <c r="H564" s="26" t="s">
        <v>2394</v>
      </c>
      <c r="I564" s="34" t="s">
        <v>29</v>
      </c>
      <c r="J564" s="11"/>
      <c r="K564" s="39"/>
      <c r="L564" s="36">
        <v>45199</v>
      </c>
      <c r="M564" s="36">
        <v>45199</v>
      </c>
      <c r="N564" s="37">
        <v>1842865</v>
      </c>
      <c r="O564" s="37">
        <v>0</v>
      </c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4.25" customHeight="1">
      <c r="A565" s="9">
        <v>605</v>
      </c>
      <c r="B565" s="10"/>
      <c r="C565" s="21">
        <v>231715</v>
      </c>
      <c r="D565" s="22" t="s">
        <v>318</v>
      </c>
      <c r="E565" s="23">
        <v>45133</v>
      </c>
      <c r="F565" s="24">
        <v>45108</v>
      </c>
      <c r="G565" s="25">
        <v>1350004</v>
      </c>
      <c r="H565" s="26" t="s">
        <v>2395</v>
      </c>
      <c r="I565" s="34" t="s">
        <v>29</v>
      </c>
      <c r="J565" s="11"/>
      <c r="K565" s="39"/>
      <c r="L565" s="36">
        <v>45199</v>
      </c>
      <c r="M565" s="36">
        <v>45199</v>
      </c>
      <c r="N565" s="37">
        <v>1350004</v>
      </c>
      <c r="O565" s="37">
        <v>0</v>
      </c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spans="1:26" ht="14.25" customHeight="1">
      <c r="A566" s="9">
        <v>606</v>
      </c>
      <c r="B566" s="10"/>
      <c r="C566" s="21">
        <v>231525</v>
      </c>
      <c r="D566" s="22" t="s">
        <v>318</v>
      </c>
      <c r="E566" s="23">
        <v>45139</v>
      </c>
      <c r="F566" s="24">
        <v>45139</v>
      </c>
      <c r="G566" s="25">
        <v>287129</v>
      </c>
      <c r="H566" s="26" t="s">
        <v>2396</v>
      </c>
      <c r="I566" s="233" t="s">
        <v>29</v>
      </c>
      <c r="J566" s="31">
        <v>2757135</v>
      </c>
      <c r="K566" s="39">
        <v>45224</v>
      </c>
      <c r="L566" s="36">
        <v>45225</v>
      </c>
      <c r="M566" s="36">
        <v>45225</v>
      </c>
      <c r="N566" s="37">
        <v>287129</v>
      </c>
      <c r="O566" s="37">
        <v>0</v>
      </c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4.25" customHeight="1">
      <c r="A567" s="9">
        <v>607</v>
      </c>
      <c r="B567" s="10"/>
      <c r="C567" s="21">
        <v>231668</v>
      </c>
      <c r="D567" s="22" t="s">
        <v>318</v>
      </c>
      <c r="E567" s="23">
        <v>45149</v>
      </c>
      <c r="F567" s="24">
        <v>45139</v>
      </c>
      <c r="G567" s="25">
        <v>1620005</v>
      </c>
      <c r="H567" s="26" t="s">
        <v>2397</v>
      </c>
      <c r="I567" s="233" t="s">
        <v>29</v>
      </c>
      <c r="J567" s="11"/>
      <c r="K567" s="39"/>
      <c r="L567" s="36">
        <v>45225</v>
      </c>
      <c r="M567" s="36">
        <v>45225</v>
      </c>
      <c r="N567" s="37">
        <v>1620005</v>
      </c>
      <c r="O567" s="37">
        <v>0</v>
      </c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4.25" customHeight="1">
      <c r="A568" s="9">
        <v>610</v>
      </c>
      <c r="B568" s="10"/>
      <c r="C568" s="21">
        <v>231710</v>
      </c>
      <c r="D568" s="22" t="s">
        <v>318</v>
      </c>
      <c r="E568" s="23">
        <v>45159</v>
      </c>
      <c r="F568" s="24">
        <v>45139</v>
      </c>
      <c r="G568" s="25">
        <v>3902965</v>
      </c>
      <c r="H568" s="26" t="s">
        <v>2398</v>
      </c>
      <c r="I568" s="34" t="s">
        <v>29</v>
      </c>
      <c r="J568" s="11"/>
      <c r="K568" s="39"/>
      <c r="L568" s="36">
        <v>45260</v>
      </c>
      <c r="M568" s="36">
        <v>45260</v>
      </c>
      <c r="N568" s="37">
        <v>3902965</v>
      </c>
      <c r="O568" s="37">
        <v>0</v>
      </c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4.25" customHeight="1">
      <c r="A569" s="9">
        <v>609</v>
      </c>
      <c r="B569" s="10"/>
      <c r="C569" s="21">
        <v>232013</v>
      </c>
      <c r="D569" s="22" t="s">
        <v>318</v>
      </c>
      <c r="E569" s="23">
        <v>45161</v>
      </c>
      <c r="F569" s="24">
        <v>45139</v>
      </c>
      <c r="G569" s="25">
        <v>932178</v>
      </c>
      <c r="H569" s="26" t="s">
        <v>2399</v>
      </c>
      <c r="I569" s="34" t="s">
        <v>29</v>
      </c>
      <c r="J569" s="31">
        <v>17703195</v>
      </c>
      <c r="K569" s="39">
        <v>45260</v>
      </c>
      <c r="L569" s="36">
        <v>45260</v>
      </c>
      <c r="M569" s="36">
        <v>45260</v>
      </c>
      <c r="N569" s="37">
        <v>932178</v>
      </c>
      <c r="O569" s="37">
        <v>0</v>
      </c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4.25" customHeight="1">
      <c r="A570" s="9">
        <v>612</v>
      </c>
      <c r="B570" s="10"/>
      <c r="C570" s="21">
        <v>231819</v>
      </c>
      <c r="D570" s="22" t="s">
        <v>318</v>
      </c>
      <c r="E570" s="23">
        <v>45171</v>
      </c>
      <c r="F570" s="24">
        <v>45170</v>
      </c>
      <c r="G570" s="25">
        <v>1445930</v>
      </c>
      <c r="H570" s="26" t="s">
        <v>2400</v>
      </c>
      <c r="I570" s="34" t="s">
        <v>29</v>
      </c>
      <c r="J570" s="11"/>
      <c r="K570" s="39"/>
      <c r="L570" s="36">
        <v>45260</v>
      </c>
      <c r="M570" s="36">
        <v>45260</v>
      </c>
      <c r="N570" s="37">
        <v>1445930</v>
      </c>
      <c r="O570" s="37">
        <v>0</v>
      </c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4.25" customHeight="1">
      <c r="A571" s="9">
        <v>611</v>
      </c>
      <c r="B571" s="10"/>
      <c r="C571" s="21">
        <v>231870</v>
      </c>
      <c r="D571" s="22" t="s">
        <v>318</v>
      </c>
      <c r="E571" s="23">
        <v>45176</v>
      </c>
      <c r="F571" s="24">
        <v>45170</v>
      </c>
      <c r="G571" s="25">
        <v>1425656</v>
      </c>
      <c r="H571" s="26" t="s">
        <v>2401</v>
      </c>
      <c r="I571" s="34" t="s">
        <v>29</v>
      </c>
      <c r="J571" s="11"/>
      <c r="K571" s="39"/>
      <c r="L571" s="36">
        <v>45260</v>
      </c>
      <c r="M571" s="36">
        <v>45260</v>
      </c>
      <c r="N571" s="37">
        <v>1425656</v>
      </c>
      <c r="O571" s="37">
        <v>0</v>
      </c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4.25" customHeight="1">
      <c r="A572" s="9">
        <v>608</v>
      </c>
      <c r="B572" s="10"/>
      <c r="C572" s="21">
        <v>231594</v>
      </c>
      <c r="D572" s="22" t="s">
        <v>318</v>
      </c>
      <c r="E572" s="23">
        <v>45181</v>
      </c>
      <c r="F572" s="24">
        <v>45170</v>
      </c>
      <c r="G572" s="25">
        <v>850001</v>
      </c>
      <c r="H572" s="26" t="s">
        <v>2402</v>
      </c>
      <c r="I572" s="34" t="s">
        <v>29</v>
      </c>
      <c r="J572" s="11"/>
      <c r="K572" s="39"/>
      <c r="L572" s="36">
        <v>45225</v>
      </c>
      <c r="M572" s="36">
        <v>45225</v>
      </c>
      <c r="N572" s="37">
        <v>850001</v>
      </c>
      <c r="O572" s="37">
        <v>0</v>
      </c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4.25" customHeight="1">
      <c r="A573" s="9">
        <v>613</v>
      </c>
      <c r="B573" s="10"/>
      <c r="C573" s="21">
        <v>231950</v>
      </c>
      <c r="D573" s="22" t="s">
        <v>318</v>
      </c>
      <c r="E573" s="23">
        <v>45185</v>
      </c>
      <c r="F573" s="24">
        <v>45170</v>
      </c>
      <c r="G573" s="25">
        <v>1417754</v>
      </c>
      <c r="H573" s="26" t="s">
        <v>2403</v>
      </c>
      <c r="I573" s="34" t="s">
        <v>29</v>
      </c>
      <c r="J573" s="11"/>
      <c r="K573" s="39"/>
      <c r="L573" s="36">
        <v>45260</v>
      </c>
      <c r="M573" s="36">
        <v>45260</v>
      </c>
      <c r="N573" s="37">
        <v>1417754</v>
      </c>
      <c r="O573" s="37">
        <v>0</v>
      </c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4.25" customHeight="1">
      <c r="A574" s="9">
        <v>614</v>
      </c>
      <c r="B574" s="10"/>
      <c r="C574" s="21">
        <v>231951</v>
      </c>
      <c r="D574" s="22" t="s">
        <v>318</v>
      </c>
      <c r="E574" s="23">
        <v>45188</v>
      </c>
      <c r="F574" s="24">
        <v>45170</v>
      </c>
      <c r="G574" s="25">
        <v>659738</v>
      </c>
      <c r="H574" s="26" t="s">
        <v>2404</v>
      </c>
      <c r="I574" s="34" t="s">
        <v>29</v>
      </c>
      <c r="J574" s="11"/>
      <c r="K574" s="39"/>
      <c r="L574" s="36">
        <v>45260</v>
      </c>
      <c r="M574" s="36">
        <v>45260</v>
      </c>
      <c r="N574" s="37">
        <v>659738</v>
      </c>
      <c r="O574" s="37">
        <v>0</v>
      </c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4.25" customHeight="1">
      <c r="A575" s="9">
        <v>616</v>
      </c>
      <c r="B575" s="10"/>
      <c r="C575" s="21">
        <v>232061</v>
      </c>
      <c r="D575" s="22" t="s">
        <v>318</v>
      </c>
      <c r="E575" s="23">
        <v>45204</v>
      </c>
      <c r="F575" s="24">
        <v>45200</v>
      </c>
      <c r="G575" s="25">
        <v>54834</v>
      </c>
      <c r="H575" s="26" t="s">
        <v>2405</v>
      </c>
      <c r="I575" s="34" t="s">
        <v>29</v>
      </c>
      <c r="J575" s="11"/>
      <c r="K575" s="39"/>
      <c r="L575" s="36">
        <v>45260</v>
      </c>
      <c r="M575" s="36">
        <v>45260</v>
      </c>
      <c r="N575" s="37">
        <v>54834</v>
      </c>
      <c r="O575" s="37">
        <v>0</v>
      </c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4.25" customHeight="1">
      <c r="A576" s="9">
        <v>615</v>
      </c>
      <c r="B576" s="10"/>
      <c r="C576" s="21">
        <v>232062</v>
      </c>
      <c r="D576" s="22" t="s">
        <v>318</v>
      </c>
      <c r="E576" s="23">
        <v>45204</v>
      </c>
      <c r="F576" s="24">
        <v>45200</v>
      </c>
      <c r="G576" s="25">
        <v>3573078</v>
      </c>
      <c r="H576" s="26" t="s">
        <v>2406</v>
      </c>
      <c r="I576" s="34" t="s">
        <v>29</v>
      </c>
      <c r="J576" s="11"/>
      <c r="K576" s="39"/>
      <c r="L576" s="36">
        <v>45260</v>
      </c>
      <c r="M576" s="36">
        <v>45260</v>
      </c>
      <c r="N576" s="37">
        <v>3573078</v>
      </c>
      <c r="O576" s="37">
        <v>0</v>
      </c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4.25" customHeight="1">
      <c r="A577" s="9">
        <v>617</v>
      </c>
      <c r="B577" s="10"/>
      <c r="C577" s="21">
        <v>232125</v>
      </c>
      <c r="D577" s="22" t="s">
        <v>318</v>
      </c>
      <c r="E577" s="23">
        <v>45209</v>
      </c>
      <c r="F577" s="24">
        <v>45200</v>
      </c>
      <c r="G577" s="25">
        <v>795547</v>
      </c>
      <c r="H577" s="26" t="s">
        <v>2407</v>
      </c>
      <c r="I577" s="34" t="s">
        <v>29</v>
      </c>
      <c r="J577" s="11"/>
      <c r="K577" s="39"/>
      <c r="L577" s="36">
        <v>45260</v>
      </c>
      <c r="M577" s="36">
        <v>45260</v>
      </c>
      <c r="N577" s="37">
        <v>795547</v>
      </c>
      <c r="O577" s="37">
        <v>0</v>
      </c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4.25" customHeight="1">
      <c r="A578" s="9">
        <v>620</v>
      </c>
      <c r="B578" s="10"/>
      <c r="C578" s="21">
        <v>232126</v>
      </c>
      <c r="D578" s="22" t="s">
        <v>318</v>
      </c>
      <c r="E578" s="23">
        <v>45212</v>
      </c>
      <c r="F578" s="24">
        <v>45200</v>
      </c>
      <c r="G578" s="25">
        <v>605329</v>
      </c>
      <c r="H578" s="26" t="s">
        <v>2408</v>
      </c>
      <c r="I578" s="34" t="s">
        <v>29</v>
      </c>
      <c r="J578" s="11"/>
      <c r="K578" s="39"/>
      <c r="L578" s="36">
        <v>45260</v>
      </c>
      <c r="M578" s="36">
        <v>45260</v>
      </c>
      <c r="N578" s="37">
        <v>605329</v>
      </c>
      <c r="O578" s="37">
        <v>0</v>
      </c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4.25" customHeight="1">
      <c r="A579" s="9">
        <v>619</v>
      </c>
      <c r="B579" s="10"/>
      <c r="C579" s="21">
        <v>232127</v>
      </c>
      <c r="D579" s="22" t="s">
        <v>318</v>
      </c>
      <c r="E579" s="23">
        <v>45212</v>
      </c>
      <c r="F579" s="24">
        <v>45200</v>
      </c>
      <c r="G579" s="25">
        <v>1300000</v>
      </c>
      <c r="H579" s="26" t="s">
        <v>2409</v>
      </c>
      <c r="I579" s="34" t="s">
        <v>29</v>
      </c>
      <c r="J579" s="11"/>
      <c r="K579" s="39"/>
      <c r="L579" s="36">
        <v>45260</v>
      </c>
      <c r="M579" s="36">
        <v>45260</v>
      </c>
      <c r="N579" s="37">
        <v>1300000</v>
      </c>
      <c r="O579" s="37">
        <v>0</v>
      </c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4.25" customHeight="1">
      <c r="A580" s="9">
        <v>618</v>
      </c>
      <c r="B580" s="10"/>
      <c r="C580" s="21">
        <v>232124</v>
      </c>
      <c r="D580" s="22" t="s">
        <v>318</v>
      </c>
      <c r="E580" s="23">
        <v>45213</v>
      </c>
      <c r="F580" s="24">
        <v>45200</v>
      </c>
      <c r="G580" s="25">
        <v>1590186</v>
      </c>
      <c r="H580" s="26" t="s">
        <v>2410</v>
      </c>
      <c r="I580" s="34" t="s">
        <v>29</v>
      </c>
      <c r="J580" s="11"/>
      <c r="K580" s="39"/>
      <c r="L580" s="36">
        <v>45260</v>
      </c>
      <c r="M580" s="36">
        <v>45260</v>
      </c>
      <c r="N580" s="37">
        <v>1590186</v>
      </c>
      <c r="O580" s="37">
        <v>0</v>
      </c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4.25" customHeight="1">
      <c r="A581" s="9">
        <v>622</v>
      </c>
      <c r="B581" s="10"/>
      <c r="C581" s="21">
        <v>232099</v>
      </c>
      <c r="D581" s="22" t="s">
        <v>318</v>
      </c>
      <c r="E581" s="23">
        <v>45216</v>
      </c>
      <c r="F581" s="24">
        <v>45200</v>
      </c>
      <c r="G581" s="25">
        <v>1375069</v>
      </c>
      <c r="H581" s="26" t="s">
        <v>2411</v>
      </c>
      <c r="I581" s="34" t="s">
        <v>29</v>
      </c>
      <c r="J581" s="11"/>
      <c r="K581" s="39"/>
      <c r="L581" s="36">
        <v>45271</v>
      </c>
      <c r="M581" s="36">
        <v>45271</v>
      </c>
      <c r="N581" s="37">
        <v>1375069</v>
      </c>
      <c r="O581" s="37">
        <v>0</v>
      </c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4.25" customHeight="1">
      <c r="A582" s="9">
        <v>621</v>
      </c>
      <c r="B582" s="10"/>
      <c r="C582" s="21">
        <v>232165</v>
      </c>
      <c r="D582" s="22" t="s">
        <v>318</v>
      </c>
      <c r="E582" s="23">
        <v>45223</v>
      </c>
      <c r="F582" s="24">
        <v>45200</v>
      </c>
      <c r="G582" s="25">
        <v>1188428</v>
      </c>
      <c r="H582" s="26" t="s">
        <v>2412</v>
      </c>
      <c r="I582" s="34" t="s">
        <v>29</v>
      </c>
      <c r="J582" s="31">
        <v>4036717</v>
      </c>
      <c r="K582" s="39">
        <v>45271</v>
      </c>
      <c r="L582" s="36">
        <v>45271</v>
      </c>
      <c r="M582" s="36">
        <v>45271</v>
      </c>
      <c r="N582" s="37">
        <v>1188428</v>
      </c>
      <c r="O582" s="37">
        <v>0</v>
      </c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4.25" customHeight="1">
      <c r="A583" s="9">
        <v>624</v>
      </c>
      <c r="B583" s="10"/>
      <c r="C583" s="9">
        <v>232244</v>
      </c>
      <c r="D583" s="11" t="s">
        <v>318</v>
      </c>
      <c r="E583" s="12">
        <v>45233</v>
      </c>
      <c r="F583" s="13">
        <v>45231</v>
      </c>
      <c r="G583" s="27">
        <v>3623030</v>
      </c>
      <c r="H583" s="10" t="s">
        <v>2413</v>
      </c>
      <c r="I583" s="34">
        <v>57.606678703705299</v>
      </c>
      <c r="J583" s="11"/>
      <c r="K583" s="39"/>
      <c r="L583" s="39"/>
      <c r="M583" s="39"/>
      <c r="N583" s="37">
        <v>0</v>
      </c>
      <c r="O583" s="37">
        <v>3623030</v>
      </c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4.25" customHeight="1">
      <c r="A584" s="9">
        <v>625</v>
      </c>
      <c r="B584" s="10"/>
      <c r="C584" s="9">
        <v>232246</v>
      </c>
      <c r="D584" s="11" t="s">
        <v>318</v>
      </c>
      <c r="E584" s="12">
        <v>45234</v>
      </c>
      <c r="F584" s="13">
        <v>45231</v>
      </c>
      <c r="G584" s="27">
        <v>1598620</v>
      </c>
      <c r="H584" s="10" t="s">
        <v>2414</v>
      </c>
      <c r="I584" s="34">
        <v>56.606678703705299</v>
      </c>
      <c r="J584" s="11"/>
      <c r="K584" s="39"/>
      <c r="L584" s="39"/>
      <c r="M584" s="39"/>
      <c r="N584" s="37">
        <v>0</v>
      </c>
      <c r="O584" s="37">
        <v>1598620</v>
      </c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4.25" customHeight="1">
      <c r="A585" s="9">
        <v>627</v>
      </c>
      <c r="B585" s="10"/>
      <c r="C585" s="9">
        <v>232369</v>
      </c>
      <c r="D585" s="11" t="s">
        <v>318</v>
      </c>
      <c r="E585" s="12">
        <v>45243</v>
      </c>
      <c r="F585" s="13">
        <v>45231</v>
      </c>
      <c r="G585" s="27">
        <v>1868289</v>
      </c>
      <c r="H585" s="10" t="s">
        <v>2415</v>
      </c>
      <c r="I585" s="34">
        <v>47.606678703705299</v>
      </c>
      <c r="J585" s="11"/>
      <c r="K585" s="39"/>
      <c r="L585" s="39"/>
      <c r="M585" s="39"/>
      <c r="N585" s="37">
        <v>0</v>
      </c>
      <c r="O585" s="37">
        <v>1868289</v>
      </c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4.25" customHeight="1">
      <c r="A586" s="9">
        <v>626</v>
      </c>
      <c r="B586" s="10"/>
      <c r="C586" s="9">
        <v>232382</v>
      </c>
      <c r="D586" s="11" t="s">
        <v>318</v>
      </c>
      <c r="E586" s="12">
        <v>45243</v>
      </c>
      <c r="F586" s="13">
        <v>45231</v>
      </c>
      <c r="G586" s="27">
        <v>559306</v>
      </c>
      <c r="H586" s="10" t="s">
        <v>2416</v>
      </c>
      <c r="I586" s="34">
        <v>47.606678703705299</v>
      </c>
      <c r="J586" s="11"/>
      <c r="K586" s="39"/>
      <c r="L586" s="39"/>
      <c r="M586" s="39"/>
      <c r="N586" s="37">
        <v>0</v>
      </c>
      <c r="O586" s="37">
        <v>559306</v>
      </c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4.25" customHeight="1">
      <c r="A587" s="9">
        <v>623</v>
      </c>
      <c r="B587" s="10"/>
      <c r="C587" s="21">
        <v>232123</v>
      </c>
      <c r="D587" s="22" t="s">
        <v>318</v>
      </c>
      <c r="E587" s="23">
        <v>45247</v>
      </c>
      <c r="F587" s="24">
        <v>45231</v>
      </c>
      <c r="G587" s="25">
        <v>1473220</v>
      </c>
      <c r="H587" s="26" t="s">
        <v>2417</v>
      </c>
      <c r="I587" s="34" t="s">
        <v>29</v>
      </c>
      <c r="J587" s="11"/>
      <c r="K587" s="39"/>
      <c r="L587" s="36">
        <v>45271</v>
      </c>
      <c r="M587" s="36">
        <v>45271</v>
      </c>
      <c r="N587" s="37">
        <v>1473220</v>
      </c>
      <c r="O587" s="37">
        <v>0</v>
      </c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4.25" customHeight="1">
      <c r="A588" s="9">
        <v>628</v>
      </c>
      <c r="B588" s="10"/>
      <c r="C588" s="9">
        <v>232381</v>
      </c>
      <c r="D588" s="11" t="s">
        <v>318</v>
      </c>
      <c r="E588" s="12">
        <v>45250</v>
      </c>
      <c r="F588" s="13">
        <v>45231</v>
      </c>
      <c r="G588" s="27">
        <v>521650</v>
      </c>
      <c r="H588" s="10" t="s">
        <v>2418</v>
      </c>
      <c r="I588" s="34">
        <v>40.606678703705299</v>
      </c>
      <c r="J588" s="11"/>
      <c r="K588" s="39"/>
      <c r="L588" s="39"/>
      <c r="M588" s="39"/>
      <c r="N588" s="37">
        <v>0</v>
      </c>
      <c r="O588" s="37">
        <v>521650</v>
      </c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4.25" customHeight="1">
      <c r="A589" s="9">
        <v>633</v>
      </c>
      <c r="B589" s="10"/>
      <c r="C589" s="21">
        <v>230118</v>
      </c>
      <c r="D589" s="22" t="s">
        <v>356</v>
      </c>
      <c r="E589" s="23">
        <v>44944</v>
      </c>
      <c r="F589" s="24">
        <v>44927</v>
      </c>
      <c r="G589" s="25">
        <v>446220</v>
      </c>
      <c r="H589" s="26" t="s">
        <v>2419</v>
      </c>
      <c r="I589" s="34" t="s">
        <v>29</v>
      </c>
      <c r="J589" s="25">
        <v>446220</v>
      </c>
      <c r="K589" s="40">
        <v>45017</v>
      </c>
      <c r="L589" s="40">
        <v>45017</v>
      </c>
      <c r="M589" s="40">
        <v>45017</v>
      </c>
      <c r="N589" s="37">
        <v>446220</v>
      </c>
      <c r="O589" s="37">
        <v>0</v>
      </c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4.25" customHeight="1">
      <c r="A590" s="9">
        <v>634</v>
      </c>
      <c r="B590" s="10"/>
      <c r="C590" s="21">
        <v>230888</v>
      </c>
      <c r="D590" s="22" t="s">
        <v>356</v>
      </c>
      <c r="E590" s="23">
        <v>45048</v>
      </c>
      <c r="F590" s="24">
        <v>45047</v>
      </c>
      <c r="G590" s="25">
        <v>144300</v>
      </c>
      <c r="H590" s="26" t="s">
        <v>2420</v>
      </c>
      <c r="I590" s="34" t="s">
        <v>29</v>
      </c>
      <c r="J590" s="25">
        <v>288600</v>
      </c>
      <c r="K590" s="40">
        <v>45102</v>
      </c>
      <c r="L590" s="40">
        <v>45105</v>
      </c>
      <c r="M590" s="40">
        <v>45106</v>
      </c>
      <c r="N590" s="37">
        <v>144300</v>
      </c>
      <c r="O590" s="37">
        <v>0</v>
      </c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4.25" customHeight="1">
      <c r="A591" s="9">
        <v>635</v>
      </c>
      <c r="B591" s="10"/>
      <c r="C591" s="21">
        <v>231075</v>
      </c>
      <c r="D591" s="22" t="s">
        <v>356</v>
      </c>
      <c r="E591" s="23">
        <v>45077</v>
      </c>
      <c r="F591" s="24">
        <v>45047</v>
      </c>
      <c r="G591" s="25">
        <v>144300</v>
      </c>
      <c r="H591" s="26" t="s">
        <v>2421</v>
      </c>
      <c r="I591" s="34" t="s">
        <v>29</v>
      </c>
      <c r="J591" s="11"/>
      <c r="K591" s="39"/>
      <c r="L591" s="40">
        <v>45105</v>
      </c>
      <c r="M591" s="40">
        <v>45106</v>
      </c>
      <c r="N591" s="37">
        <v>144300</v>
      </c>
      <c r="O591" s="37">
        <v>0</v>
      </c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4.25" customHeight="1">
      <c r="A592" s="9">
        <v>636</v>
      </c>
      <c r="B592" s="10"/>
      <c r="C592" s="21">
        <v>231175</v>
      </c>
      <c r="D592" s="22" t="s">
        <v>356</v>
      </c>
      <c r="E592" s="23">
        <v>45092</v>
      </c>
      <c r="F592" s="24">
        <v>45078</v>
      </c>
      <c r="G592" s="25">
        <v>1048950</v>
      </c>
      <c r="H592" s="26" t="s">
        <v>2422</v>
      </c>
      <c r="I592" s="34" t="s">
        <v>29</v>
      </c>
      <c r="J592" s="31">
        <v>5011650</v>
      </c>
      <c r="K592" s="39">
        <v>45235</v>
      </c>
      <c r="L592" s="40">
        <v>45236</v>
      </c>
      <c r="M592" s="40">
        <v>45237</v>
      </c>
      <c r="N592" s="37">
        <v>1048950</v>
      </c>
      <c r="O592" s="37">
        <v>0</v>
      </c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4.25" customHeight="1">
      <c r="A593" s="9">
        <v>637</v>
      </c>
      <c r="B593" s="10"/>
      <c r="C593" s="21">
        <v>231413</v>
      </c>
      <c r="D593" s="22" t="s">
        <v>356</v>
      </c>
      <c r="E593" s="23">
        <v>45127</v>
      </c>
      <c r="F593" s="24">
        <v>45108</v>
      </c>
      <c r="G593" s="25">
        <v>1121100</v>
      </c>
      <c r="H593" s="26" t="s">
        <v>2423</v>
      </c>
      <c r="I593" s="34" t="s">
        <v>29</v>
      </c>
      <c r="J593" s="11"/>
      <c r="K593" s="39"/>
      <c r="L593" s="40">
        <v>45236</v>
      </c>
      <c r="M593" s="40">
        <v>45237</v>
      </c>
      <c r="N593" s="37">
        <v>1121100</v>
      </c>
      <c r="O593" s="37">
        <v>0</v>
      </c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4.25" customHeight="1">
      <c r="A594" s="9">
        <v>638</v>
      </c>
      <c r="B594" s="10"/>
      <c r="C594" s="21">
        <v>231572</v>
      </c>
      <c r="D594" s="22" t="s">
        <v>356</v>
      </c>
      <c r="E594" s="23">
        <v>45147</v>
      </c>
      <c r="F594" s="24">
        <v>45139</v>
      </c>
      <c r="G594" s="25">
        <v>1048950</v>
      </c>
      <c r="H594" s="26" t="s">
        <v>2424</v>
      </c>
      <c r="I594" s="34" t="s">
        <v>29</v>
      </c>
      <c r="J594" s="11"/>
      <c r="K594" s="39"/>
      <c r="L594" s="40">
        <v>45236</v>
      </c>
      <c r="M594" s="40">
        <v>45237</v>
      </c>
      <c r="N594" s="37">
        <v>1048950</v>
      </c>
      <c r="O594" s="37">
        <v>0</v>
      </c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4.25" customHeight="1">
      <c r="A595" s="9">
        <v>640</v>
      </c>
      <c r="B595" s="10"/>
      <c r="C595" s="21">
        <v>231731</v>
      </c>
      <c r="D595" s="22" t="s">
        <v>356</v>
      </c>
      <c r="E595" s="23">
        <v>45166</v>
      </c>
      <c r="F595" s="24">
        <v>45139</v>
      </c>
      <c r="G595" s="25">
        <v>144300</v>
      </c>
      <c r="H595" s="26" t="s">
        <v>2425</v>
      </c>
      <c r="I595" s="34" t="s">
        <v>29</v>
      </c>
      <c r="J595" s="11"/>
      <c r="K595" s="39"/>
      <c r="L595" s="40">
        <v>45236</v>
      </c>
      <c r="M595" s="40">
        <v>45237</v>
      </c>
      <c r="N595" s="37">
        <v>144300</v>
      </c>
      <c r="O595" s="37">
        <v>0</v>
      </c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4.25" customHeight="1">
      <c r="A596" s="9">
        <v>639</v>
      </c>
      <c r="B596" s="10"/>
      <c r="C596" s="21">
        <v>231732</v>
      </c>
      <c r="D596" s="22" t="s">
        <v>356</v>
      </c>
      <c r="E596" s="23">
        <v>45166</v>
      </c>
      <c r="F596" s="24">
        <v>45139</v>
      </c>
      <c r="G596" s="25">
        <v>599400</v>
      </c>
      <c r="H596" s="26" t="s">
        <v>2426</v>
      </c>
      <c r="I596" s="34" t="s">
        <v>29</v>
      </c>
      <c r="J596" s="11"/>
      <c r="K596" s="39"/>
      <c r="L596" s="40">
        <v>45236</v>
      </c>
      <c r="M596" s="40">
        <v>45237</v>
      </c>
      <c r="N596" s="37">
        <v>599400</v>
      </c>
      <c r="O596" s="37">
        <v>0</v>
      </c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4.25" customHeight="1">
      <c r="A597" s="9">
        <v>641</v>
      </c>
      <c r="B597" s="10"/>
      <c r="C597" s="21">
        <v>231970</v>
      </c>
      <c r="D597" s="22" t="s">
        <v>356</v>
      </c>
      <c r="E597" s="23">
        <v>45190</v>
      </c>
      <c r="F597" s="24">
        <v>45170</v>
      </c>
      <c r="G597" s="25">
        <v>1048950</v>
      </c>
      <c r="H597" s="26" t="s">
        <v>2427</v>
      </c>
      <c r="I597" s="34" t="s">
        <v>29</v>
      </c>
      <c r="J597" s="11"/>
      <c r="K597" s="39"/>
      <c r="L597" s="40">
        <v>45236</v>
      </c>
      <c r="M597" s="40">
        <v>45237</v>
      </c>
      <c r="N597" s="37">
        <v>1048950</v>
      </c>
      <c r="O597" s="37">
        <v>0</v>
      </c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4.25" customHeight="1">
      <c r="A598" s="9">
        <v>642</v>
      </c>
      <c r="B598" s="10"/>
      <c r="C598" s="9">
        <v>232012</v>
      </c>
      <c r="D598" s="11" t="s">
        <v>356</v>
      </c>
      <c r="E598" s="12">
        <v>45202</v>
      </c>
      <c r="F598" s="13">
        <v>45200</v>
      </c>
      <c r="G598" s="27">
        <v>175000</v>
      </c>
      <c r="H598" s="10" t="s">
        <v>2428</v>
      </c>
      <c r="I598" s="34">
        <v>88.606678703705299</v>
      </c>
      <c r="J598" s="31">
        <v>1747870</v>
      </c>
      <c r="K598" s="39"/>
      <c r="L598" s="49"/>
      <c r="M598" s="49"/>
      <c r="N598" s="37">
        <v>0</v>
      </c>
      <c r="O598" s="37">
        <v>175000</v>
      </c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4.25" customHeight="1">
      <c r="A599" s="9">
        <v>643</v>
      </c>
      <c r="B599" s="10"/>
      <c r="C599" s="9">
        <v>232129</v>
      </c>
      <c r="D599" s="11" t="s">
        <v>356</v>
      </c>
      <c r="E599" s="12">
        <v>45213</v>
      </c>
      <c r="F599" s="13">
        <v>45200</v>
      </c>
      <c r="G599" s="27">
        <v>144300</v>
      </c>
      <c r="H599" s="10" t="s">
        <v>2429</v>
      </c>
      <c r="I599" s="34">
        <v>77.606678703705299</v>
      </c>
      <c r="J599" s="11"/>
      <c r="K599" s="39"/>
      <c r="L599" s="49"/>
      <c r="M599" s="49"/>
      <c r="N599" s="37">
        <v>0</v>
      </c>
      <c r="O599" s="37">
        <v>144300</v>
      </c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4.25" customHeight="1">
      <c r="A600" s="9">
        <v>644</v>
      </c>
      <c r="B600" s="10"/>
      <c r="C600" s="9">
        <v>232266</v>
      </c>
      <c r="D600" s="11" t="s">
        <v>356</v>
      </c>
      <c r="E600" s="12">
        <v>45230</v>
      </c>
      <c r="F600" s="13">
        <v>45200</v>
      </c>
      <c r="G600" s="27">
        <v>1428570</v>
      </c>
      <c r="H600" s="10" t="s">
        <v>2430</v>
      </c>
      <c r="I600" s="34">
        <v>60.606678703705299</v>
      </c>
      <c r="J600" s="11"/>
      <c r="K600" s="39"/>
      <c r="L600" s="49"/>
      <c r="M600" s="49"/>
      <c r="N600" s="37">
        <v>0</v>
      </c>
      <c r="O600" s="37">
        <v>1428570</v>
      </c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4.25" customHeight="1">
      <c r="A601" s="9">
        <v>645</v>
      </c>
      <c r="B601" s="10"/>
      <c r="C601" s="9">
        <v>232335</v>
      </c>
      <c r="D601" s="11" t="s">
        <v>356</v>
      </c>
      <c r="E601" s="12">
        <v>45257</v>
      </c>
      <c r="F601" s="13">
        <v>45231</v>
      </c>
      <c r="G601" s="27">
        <v>1123875</v>
      </c>
      <c r="H601" s="10" t="s">
        <v>2431</v>
      </c>
      <c r="I601" s="34">
        <v>33.606678703705299</v>
      </c>
      <c r="J601" s="11"/>
      <c r="K601" s="39"/>
      <c r="L601" s="49"/>
      <c r="M601" s="49"/>
      <c r="N601" s="37">
        <v>0</v>
      </c>
      <c r="O601" s="37">
        <v>1123875</v>
      </c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4.25" customHeight="1">
      <c r="A602" s="9">
        <v>650</v>
      </c>
      <c r="B602" s="10"/>
      <c r="C602" s="21">
        <v>230101</v>
      </c>
      <c r="D602" s="22" t="s">
        <v>364</v>
      </c>
      <c r="E602" s="23">
        <v>44937</v>
      </c>
      <c r="F602" s="24">
        <v>44927</v>
      </c>
      <c r="G602" s="25">
        <v>8550450</v>
      </c>
      <c r="H602" s="26" t="s">
        <v>2432</v>
      </c>
      <c r="I602" s="34" t="s">
        <v>29</v>
      </c>
      <c r="J602" s="25">
        <v>8550450</v>
      </c>
      <c r="K602" s="40">
        <v>45005</v>
      </c>
      <c r="L602" s="40">
        <v>45005</v>
      </c>
      <c r="M602" s="40">
        <v>45005</v>
      </c>
      <c r="N602" s="37">
        <v>8550450</v>
      </c>
      <c r="O602" s="37">
        <v>0</v>
      </c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4.25" customHeight="1">
      <c r="A603" s="9">
        <v>651</v>
      </c>
      <c r="B603" s="10"/>
      <c r="C603" s="21">
        <v>230485</v>
      </c>
      <c r="D603" s="22" t="s">
        <v>364</v>
      </c>
      <c r="E603" s="23">
        <v>44985</v>
      </c>
      <c r="F603" s="24">
        <v>44958</v>
      </c>
      <c r="G603" s="25">
        <v>18224250</v>
      </c>
      <c r="H603" s="26" t="s">
        <v>2433</v>
      </c>
      <c r="I603" s="34" t="s">
        <v>29</v>
      </c>
      <c r="J603" s="25">
        <v>18224250</v>
      </c>
      <c r="K603" s="40">
        <v>45071</v>
      </c>
      <c r="L603" s="40">
        <v>45071</v>
      </c>
      <c r="M603" s="40">
        <v>45072</v>
      </c>
      <c r="N603" s="37">
        <v>18224250</v>
      </c>
      <c r="O603" s="37">
        <v>0</v>
      </c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4.25" customHeight="1">
      <c r="A604" s="9">
        <v>652</v>
      </c>
      <c r="B604" s="10"/>
      <c r="C604" s="21">
        <v>230945</v>
      </c>
      <c r="D604" s="22" t="s">
        <v>364</v>
      </c>
      <c r="E604" s="23">
        <v>45021</v>
      </c>
      <c r="F604" s="24">
        <v>45017</v>
      </c>
      <c r="G604" s="25">
        <v>13063200</v>
      </c>
      <c r="H604" s="26" t="s">
        <v>2434</v>
      </c>
      <c r="I604" s="34" t="s">
        <v>29</v>
      </c>
      <c r="J604" s="25">
        <v>13063200</v>
      </c>
      <c r="K604" s="40">
        <v>45102</v>
      </c>
      <c r="L604" s="40">
        <v>45105</v>
      </c>
      <c r="M604" s="40">
        <v>45106</v>
      </c>
      <c r="N604" s="37">
        <v>13063200</v>
      </c>
      <c r="O604" s="37">
        <v>0</v>
      </c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4.25" customHeight="1">
      <c r="A605" s="9">
        <v>654</v>
      </c>
      <c r="B605" s="10"/>
      <c r="C605" s="21">
        <v>231341</v>
      </c>
      <c r="D605" s="22" t="s">
        <v>364</v>
      </c>
      <c r="E605" s="23">
        <v>45110</v>
      </c>
      <c r="F605" s="24">
        <v>45108</v>
      </c>
      <c r="G605" s="25">
        <v>21052100</v>
      </c>
      <c r="H605" s="26" t="s">
        <v>2435</v>
      </c>
      <c r="I605" s="34" t="s">
        <v>29</v>
      </c>
      <c r="J605" s="27"/>
      <c r="K605" s="40">
        <v>45204</v>
      </c>
      <c r="L605" s="40">
        <v>45205</v>
      </c>
      <c r="M605" s="40">
        <v>45205</v>
      </c>
      <c r="N605" s="37">
        <v>21052100</v>
      </c>
      <c r="O605" s="37">
        <v>0</v>
      </c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4.25" customHeight="1">
      <c r="A606" s="9">
        <v>653</v>
      </c>
      <c r="B606" s="10"/>
      <c r="C606" s="21">
        <v>231342</v>
      </c>
      <c r="D606" s="22" t="s">
        <v>364</v>
      </c>
      <c r="E606" s="23">
        <v>45110</v>
      </c>
      <c r="F606" s="24">
        <v>45108</v>
      </c>
      <c r="G606" s="25">
        <v>2442000</v>
      </c>
      <c r="H606" s="26" t="s">
        <v>2436</v>
      </c>
      <c r="I606" s="34" t="s">
        <v>29</v>
      </c>
      <c r="J606" s="25">
        <v>23494100</v>
      </c>
      <c r="K606" s="40">
        <v>45204</v>
      </c>
      <c r="L606" s="40">
        <v>45205</v>
      </c>
      <c r="M606" s="40">
        <v>45205</v>
      </c>
      <c r="N606" s="37">
        <v>2442000</v>
      </c>
      <c r="O606" s="37">
        <v>0</v>
      </c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4.25" customHeight="1">
      <c r="A607" s="9">
        <v>655</v>
      </c>
      <c r="B607" s="10"/>
      <c r="C607" s="21">
        <v>231821</v>
      </c>
      <c r="D607" s="22" t="s">
        <v>364</v>
      </c>
      <c r="E607" s="23">
        <v>45168</v>
      </c>
      <c r="F607" s="24">
        <v>45139</v>
      </c>
      <c r="G607" s="25">
        <v>28853099</v>
      </c>
      <c r="H607" s="26" t="s">
        <v>2437</v>
      </c>
      <c r="I607" s="34" t="s">
        <v>29</v>
      </c>
      <c r="J607" s="27"/>
      <c r="K607" s="40">
        <v>45229</v>
      </c>
      <c r="L607" s="40">
        <v>45229</v>
      </c>
      <c r="M607" s="40">
        <v>45229</v>
      </c>
      <c r="N607" s="37">
        <v>28853099</v>
      </c>
      <c r="O607" s="37">
        <v>0</v>
      </c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4.25" customHeight="1">
      <c r="A608" s="9">
        <v>656</v>
      </c>
      <c r="B608" s="10"/>
      <c r="C608" s="9">
        <v>232299</v>
      </c>
      <c r="D608" s="11" t="s">
        <v>364</v>
      </c>
      <c r="E608" s="12">
        <v>45232</v>
      </c>
      <c r="F608" s="13">
        <v>45231</v>
      </c>
      <c r="G608" s="27">
        <v>15982700</v>
      </c>
      <c r="H608" s="10" t="s">
        <v>2438</v>
      </c>
      <c r="I608" s="34">
        <v>58.606678703705299</v>
      </c>
      <c r="J608" s="27"/>
      <c r="K608" s="49"/>
      <c r="L608" s="49"/>
      <c r="M608" s="49"/>
      <c r="N608" s="37">
        <v>0</v>
      </c>
      <c r="O608" s="37">
        <v>15982700</v>
      </c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4.25" customHeight="1">
      <c r="A609" s="9">
        <v>666</v>
      </c>
      <c r="B609" s="10"/>
      <c r="C609" s="21">
        <v>230421</v>
      </c>
      <c r="D609" s="22" t="s">
        <v>2439</v>
      </c>
      <c r="E609" s="23">
        <v>44982</v>
      </c>
      <c r="F609" s="24">
        <v>44958</v>
      </c>
      <c r="G609" s="25">
        <v>1845375</v>
      </c>
      <c r="H609" s="26" t="s">
        <v>2440</v>
      </c>
      <c r="I609" s="34" t="s">
        <v>29</v>
      </c>
      <c r="J609" s="25">
        <v>1845375</v>
      </c>
      <c r="K609" s="40">
        <v>45036</v>
      </c>
      <c r="L609" s="40">
        <v>45036</v>
      </c>
      <c r="M609" s="40">
        <v>45036</v>
      </c>
      <c r="N609" s="37">
        <v>1845375</v>
      </c>
      <c r="O609" s="37">
        <v>0</v>
      </c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4.25" customHeight="1">
      <c r="A610" s="9">
        <v>667</v>
      </c>
      <c r="B610" s="10"/>
      <c r="C610" s="21">
        <v>230575</v>
      </c>
      <c r="D610" s="22" t="s">
        <v>2439</v>
      </c>
      <c r="E610" s="23">
        <v>45001</v>
      </c>
      <c r="F610" s="24">
        <v>44986</v>
      </c>
      <c r="G610" s="25">
        <v>7012425</v>
      </c>
      <c r="H610" s="26" t="s">
        <v>2441</v>
      </c>
      <c r="I610" s="34" t="s">
        <v>29</v>
      </c>
      <c r="J610" s="25">
        <v>7012425</v>
      </c>
      <c r="K610" s="40">
        <v>45071</v>
      </c>
      <c r="L610" s="40">
        <v>45071</v>
      </c>
      <c r="M610" s="40">
        <v>45072</v>
      </c>
      <c r="N610" s="37">
        <v>7012425</v>
      </c>
      <c r="O610" s="37">
        <v>0</v>
      </c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4.25" customHeight="1">
      <c r="A611" s="9">
        <v>668</v>
      </c>
      <c r="B611" s="10"/>
      <c r="C611" s="21">
        <v>230704</v>
      </c>
      <c r="D611" s="22" t="s">
        <v>2439</v>
      </c>
      <c r="E611" s="23">
        <v>45016</v>
      </c>
      <c r="F611" s="24">
        <v>44986</v>
      </c>
      <c r="G611" s="44">
        <v>2952600</v>
      </c>
      <c r="H611" s="26" t="s">
        <v>2442</v>
      </c>
      <c r="I611" s="34" t="s">
        <v>29</v>
      </c>
      <c r="J611" s="25">
        <v>2952600</v>
      </c>
      <c r="K611" s="40">
        <v>45092</v>
      </c>
      <c r="L611" s="40">
        <v>45093</v>
      </c>
      <c r="M611" s="40">
        <v>45093</v>
      </c>
      <c r="N611" s="37">
        <v>2952600</v>
      </c>
      <c r="O611" s="37">
        <v>0</v>
      </c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4.25" customHeight="1">
      <c r="A612" s="9">
        <v>677</v>
      </c>
      <c r="B612" s="10"/>
      <c r="C612" s="21">
        <v>230507</v>
      </c>
      <c r="D612" s="22" t="s">
        <v>372</v>
      </c>
      <c r="E612" s="23">
        <v>44993</v>
      </c>
      <c r="F612" s="24">
        <v>44986</v>
      </c>
      <c r="G612" s="25">
        <v>5827500</v>
      </c>
      <c r="H612" s="26" t="s">
        <v>2443</v>
      </c>
      <c r="I612" s="34" t="s">
        <v>29</v>
      </c>
      <c r="J612" s="25">
        <v>14428667</v>
      </c>
      <c r="K612" s="40">
        <v>45021</v>
      </c>
      <c r="L612" s="40">
        <v>45021</v>
      </c>
      <c r="M612" s="40">
        <v>45022</v>
      </c>
      <c r="N612" s="37">
        <v>5827500</v>
      </c>
      <c r="O612" s="37">
        <v>0</v>
      </c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4.25" customHeight="1">
      <c r="A613" s="9">
        <v>678</v>
      </c>
      <c r="B613" s="10"/>
      <c r="C613" s="21">
        <v>230541</v>
      </c>
      <c r="D613" s="22" t="s">
        <v>372</v>
      </c>
      <c r="E613" s="23">
        <v>44996</v>
      </c>
      <c r="F613" s="24">
        <v>44986</v>
      </c>
      <c r="G613" s="25">
        <v>4795200</v>
      </c>
      <c r="H613" s="26" t="s">
        <v>2444</v>
      </c>
      <c r="I613" s="34" t="s">
        <v>29</v>
      </c>
      <c r="J613" s="10"/>
      <c r="K613" s="49"/>
      <c r="L613" s="40">
        <v>45021</v>
      </c>
      <c r="M613" s="40">
        <v>45022</v>
      </c>
      <c r="N613" s="37">
        <v>4795200</v>
      </c>
      <c r="O613" s="37">
        <v>0</v>
      </c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4.25" customHeight="1">
      <c r="A614" s="9">
        <v>679</v>
      </c>
      <c r="B614" s="10"/>
      <c r="C614" s="21">
        <v>230542</v>
      </c>
      <c r="D614" s="22" t="s">
        <v>372</v>
      </c>
      <c r="E614" s="23">
        <v>44996</v>
      </c>
      <c r="F614" s="24">
        <v>44986</v>
      </c>
      <c r="G614" s="25">
        <v>589687</v>
      </c>
      <c r="H614" s="26" t="s">
        <v>2445</v>
      </c>
      <c r="I614" s="34" t="s">
        <v>29</v>
      </c>
      <c r="J614" s="10"/>
      <c r="K614" s="49"/>
      <c r="L614" s="40">
        <v>45021</v>
      </c>
      <c r="M614" s="40">
        <v>45022</v>
      </c>
      <c r="N614" s="37">
        <v>589687</v>
      </c>
      <c r="O614" s="37">
        <v>0</v>
      </c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4.25" customHeight="1">
      <c r="A615" s="9">
        <v>683</v>
      </c>
      <c r="B615" s="10"/>
      <c r="C615" s="21">
        <v>230578</v>
      </c>
      <c r="D615" s="22" t="s">
        <v>372</v>
      </c>
      <c r="E615" s="23">
        <v>45001</v>
      </c>
      <c r="F615" s="24">
        <v>44986</v>
      </c>
      <c r="G615" s="25">
        <v>2975077</v>
      </c>
      <c r="H615" s="26" t="s">
        <v>2446</v>
      </c>
      <c r="I615" s="34" t="s">
        <v>29</v>
      </c>
      <c r="J615" s="10"/>
      <c r="K615" s="39"/>
      <c r="L615" s="40">
        <v>45044</v>
      </c>
      <c r="M615" s="40">
        <v>45045</v>
      </c>
      <c r="N615" s="37">
        <v>2975077</v>
      </c>
      <c r="O615" s="37">
        <v>0</v>
      </c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4.25" customHeight="1">
      <c r="A616" s="9">
        <v>680</v>
      </c>
      <c r="B616" s="10"/>
      <c r="C616" s="21">
        <v>230594</v>
      </c>
      <c r="D616" s="22" t="s">
        <v>372</v>
      </c>
      <c r="E616" s="23">
        <v>45002</v>
      </c>
      <c r="F616" s="24">
        <v>44986</v>
      </c>
      <c r="G616" s="25">
        <v>3216280</v>
      </c>
      <c r="H616" s="26" t="s">
        <v>2447</v>
      </c>
      <c r="I616" s="34" t="s">
        <v>29</v>
      </c>
      <c r="J616" s="10"/>
      <c r="K616" s="49"/>
      <c r="L616" s="40">
        <v>45021</v>
      </c>
      <c r="M616" s="40">
        <v>45022</v>
      </c>
      <c r="N616" s="37">
        <v>3216280</v>
      </c>
      <c r="O616" s="37">
        <v>0</v>
      </c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4.25" customHeight="1">
      <c r="A617" s="9">
        <v>681</v>
      </c>
      <c r="B617" s="10"/>
      <c r="C617" s="21">
        <v>230621</v>
      </c>
      <c r="D617" s="22" t="s">
        <v>372</v>
      </c>
      <c r="E617" s="23">
        <v>45010</v>
      </c>
      <c r="F617" s="24">
        <v>44986</v>
      </c>
      <c r="G617" s="25">
        <v>707625</v>
      </c>
      <c r="H617" s="26" t="s">
        <v>2448</v>
      </c>
      <c r="I617" s="34" t="s">
        <v>29</v>
      </c>
      <c r="J617" s="25">
        <v>8477902</v>
      </c>
      <c r="K617" s="40">
        <v>45044</v>
      </c>
      <c r="L617" s="40">
        <v>45044</v>
      </c>
      <c r="M617" s="40">
        <v>45045</v>
      </c>
      <c r="N617" s="37">
        <v>707625</v>
      </c>
      <c r="O617" s="37">
        <v>0</v>
      </c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4.25" customHeight="1">
      <c r="A618" s="9">
        <v>682</v>
      </c>
      <c r="B618" s="10"/>
      <c r="C618" s="21">
        <v>230633</v>
      </c>
      <c r="D618" s="22" t="s">
        <v>372</v>
      </c>
      <c r="E618" s="23">
        <v>45010</v>
      </c>
      <c r="F618" s="24">
        <v>44986</v>
      </c>
      <c r="G618" s="25">
        <v>4795200</v>
      </c>
      <c r="H618" s="26" t="s">
        <v>2449</v>
      </c>
      <c r="I618" s="34" t="s">
        <v>29</v>
      </c>
      <c r="J618" s="10"/>
      <c r="K618" s="39"/>
      <c r="L618" s="40">
        <v>45044</v>
      </c>
      <c r="M618" s="40">
        <v>45045</v>
      </c>
      <c r="N618" s="37">
        <v>4795200</v>
      </c>
      <c r="O618" s="37">
        <v>0</v>
      </c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4.25" customHeight="1">
      <c r="A619" s="9">
        <v>684</v>
      </c>
      <c r="B619" s="10"/>
      <c r="C619" s="21">
        <v>230670</v>
      </c>
      <c r="D619" s="22" t="s">
        <v>372</v>
      </c>
      <c r="E619" s="23">
        <v>45013</v>
      </c>
      <c r="F619" s="24">
        <v>44986</v>
      </c>
      <c r="G619" s="25">
        <v>3509702</v>
      </c>
      <c r="H619" s="26" t="s">
        <v>2450</v>
      </c>
      <c r="I619" s="34" t="s">
        <v>29</v>
      </c>
      <c r="J619" s="25">
        <v>14712821</v>
      </c>
      <c r="K619" s="40">
        <v>45056</v>
      </c>
      <c r="L619" s="40">
        <v>45058</v>
      </c>
      <c r="M619" s="40">
        <v>45058</v>
      </c>
      <c r="N619" s="37">
        <v>3509702</v>
      </c>
      <c r="O619" s="37">
        <v>0</v>
      </c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4.25" customHeight="1">
      <c r="A620" s="9">
        <v>685</v>
      </c>
      <c r="B620" s="10"/>
      <c r="C620" s="21">
        <v>230758</v>
      </c>
      <c r="D620" s="22" t="s">
        <v>372</v>
      </c>
      <c r="E620" s="23">
        <v>45020</v>
      </c>
      <c r="F620" s="24">
        <v>45017</v>
      </c>
      <c r="G620" s="25">
        <v>4795200</v>
      </c>
      <c r="H620" s="26" t="s">
        <v>2451</v>
      </c>
      <c r="I620" s="34" t="s">
        <v>29</v>
      </c>
      <c r="J620" s="10"/>
      <c r="K620" s="39"/>
      <c r="L620" s="40">
        <v>45058</v>
      </c>
      <c r="M620" s="40">
        <v>45058</v>
      </c>
      <c r="N620" s="37">
        <v>4795200</v>
      </c>
      <c r="O620" s="37">
        <v>0</v>
      </c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4.25" customHeight="1">
      <c r="A621" s="9">
        <v>689</v>
      </c>
      <c r="B621" s="10"/>
      <c r="C621" s="21">
        <v>230781</v>
      </c>
      <c r="D621" s="22" t="s">
        <v>372</v>
      </c>
      <c r="E621" s="23">
        <v>45026</v>
      </c>
      <c r="F621" s="24">
        <v>45017</v>
      </c>
      <c r="G621" s="25">
        <v>509212</v>
      </c>
      <c r="H621" s="26" t="s">
        <v>2452</v>
      </c>
      <c r="I621" s="34" t="s">
        <v>29</v>
      </c>
      <c r="J621" s="10"/>
      <c r="K621" s="39"/>
      <c r="L621" s="40">
        <v>45085</v>
      </c>
      <c r="M621" s="40">
        <v>45085</v>
      </c>
      <c r="N621" s="37">
        <v>509212</v>
      </c>
      <c r="O621" s="37">
        <v>0</v>
      </c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4.25" customHeight="1">
      <c r="A622" s="9">
        <v>688</v>
      </c>
      <c r="B622" s="10"/>
      <c r="C622" s="21">
        <v>230782</v>
      </c>
      <c r="D622" s="22" t="s">
        <v>372</v>
      </c>
      <c r="E622" s="23">
        <v>45026</v>
      </c>
      <c r="F622" s="24">
        <v>45017</v>
      </c>
      <c r="G622" s="25">
        <v>5393327</v>
      </c>
      <c r="H622" s="26" t="s">
        <v>2453</v>
      </c>
      <c r="I622" s="34" t="s">
        <v>29</v>
      </c>
      <c r="J622" s="25">
        <v>18224893</v>
      </c>
      <c r="K622" s="40">
        <v>45084</v>
      </c>
      <c r="L622" s="40">
        <v>45085</v>
      </c>
      <c r="M622" s="40">
        <v>45085</v>
      </c>
      <c r="N622" s="37">
        <v>5393327</v>
      </c>
      <c r="O622" s="37">
        <v>0</v>
      </c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4.25" customHeight="1">
      <c r="A623" s="9">
        <v>687</v>
      </c>
      <c r="B623" s="10"/>
      <c r="C623" s="21">
        <v>230783</v>
      </c>
      <c r="D623" s="22" t="s">
        <v>372</v>
      </c>
      <c r="E623" s="23">
        <v>45026</v>
      </c>
      <c r="F623" s="24">
        <v>45017</v>
      </c>
      <c r="G623" s="25">
        <v>4795200</v>
      </c>
      <c r="H623" s="26" t="s">
        <v>2454</v>
      </c>
      <c r="I623" s="34" t="s">
        <v>29</v>
      </c>
      <c r="J623" s="10"/>
      <c r="K623" s="39"/>
      <c r="L623" s="40">
        <v>45058</v>
      </c>
      <c r="M623" s="40">
        <v>45058</v>
      </c>
      <c r="N623" s="37">
        <v>4795200</v>
      </c>
      <c r="O623" s="37">
        <v>0</v>
      </c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4.25" customHeight="1">
      <c r="A624" s="9">
        <v>686</v>
      </c>
      <c r="B624" s="10"/>
      <c r="C624" s="21">
        <v>230784</v>
      </c>
      <c r="D624" s="22" t="s">
        <v>372</v>
      </c>
      <c r="E624" s="23">
        <v>45026</v>
      </c>
      <c r="F624" s="24">
        <v>45017</v>
      </c>
      <c r="G624" s="25">
        <v>1612719</v>
      </c>
      <c r="H624" s="26" t="s">
        <v>2455</v>
      </c>
      <c r="I624" s="34" t="s">
        <v>29</v>
      </c>
      <c r="J624" s="10"/>
      <c r="K624" s="39"/>
      <c r="L624" s="40">
        <v>45058</v>
      </c>
      <c r="M624" s="40">
        <v>45058</v>
      </c>
      <c r="N624" s="37">
        <v>1612719</v>
      </c>
      <c r="O624" s="37">
        <v>0</v>
      </c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4.25" customHeight="1">
      <c r="A625" s="9">
        <v>697</v>
      </c>
      <c r="B625" s="10"/>
      <c r="C625" s="21"/>
      <c r="D625" s="22" t="s">
        <v>372</v>
      </c>
      <c r="E625" s="23">
        <v>45033</v>
      </c>
      <c r="F625" s="24">
        <v>45017</v>
      </c>
      <c r="G625" s="25">
        <v>707625</v>
      </c>
      <c r="H625" s="26" t="s">
        <v>2456</v>
      </c>
      <c r="I625" s="34" t="s">
        <v>29</v>
      </c>
      <c r="J625" s="51">
        <v>4757410</v>
      </c>
      <c r="K625" s="40">
        <v>45097</v>
      </c>
      <c r="L625" s="40">
        <v>45097</v>
      </c>
      <c r="M625" s="40">
        <v>45097</v>
      </c>
      <c r="N625" s="37">
        <v>707625</v>
      </c>
      <c r="O625" s="37">
        <v>0</v>
      </c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4.25" customHeight="1">
      <c r="A626" s="9">
        <v>698</v>
      </c>
      <c r="B626" s="10"/>
      <c r="C626" s="21"/>
      <c r="D626" s="22" t="s">
        <v>372</v>
      </c>
      <c r="E626" s="23">
        <v>45035</v>
      </c>
      <c r="F626" s="24">
        <v>45017</v>
      </c>
      <c r="G626" s="25">
        <v>2100000</v>
      </c>
      <c r="H626" s="26" t="s">
        <v>2457</v>
      </c>
      <c r="I626" s="34" t="s">
        <v>29</v>
      </c>
      <c r="J626" s="10"/>
      <c r="K626" s="39"/>
      <c r="L626" s="40">
        <v>45097</v>
      </c>
      <c r="M626" s="40">
        <v>45097</v>
      </c>
      <c r="N626" s="37">
        <v>2100000</v>
      </c>
      <c r="O626" s="37">
        <v>0</v>
      </c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4.25" customHeight="1">
      <c r="A627" s="9">
        <v>699</v>
      </c>
      <c r="B627" s="10"/>
      <c r="C627" s="21"/>
      <c r="D627" s="22" t="s">
        <v>372</v>
      </c>
      <c r="E627" s="23">
        <v>45049</v>
      </c>
      <c r="F627" s="24">
        <v>45047</v>
      </c>
      <c r="G627" s="25">
        <v>1750410</v>
      </c>
      <c r="H627" s="26" t="s">
        <v>2458</v>
      </c>
      <c r="I627" s="34" t="s">
        <v>29</v>
      </c>
      <c r="J627" s="10"/>
      <c r="K627" s="39"/>
      <c r="L627" s="40">
        <v>45097</v>
      </c>
      <c r="M627" s="40">
        <v>45097</v>
      </c>
      <c r="N627" s="37">
        <v>1750410</v>
      </c>
      <c r="O627" s="37">
        <v>0</v>
      </c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4.25" customHeight="1">
      <c r="A628" s="9">
        <v>700</v>
      </c>
      <c r="B628" s="10"/>
      <c r="C628" s="21"/>
      <c r="D628" s="22" t="s">
        <v>372</v>
      </c>
      <c r="E628" s="23">
        <v>45049</v>
      </c>
      <c r="F628" s="24">
        <v>45047</v>
      </c>
      <c r="G628" s="25">
        <v>199375</v>
      </c>
      <c r="H628" s="26" t="s">
        <v>2459</v>
      </c>
      <c r="I628" s="34" t="s">
        <v>29</v>
      </c>
      <c r="J628" s="10"/>
      <c r="K628" s="39"/>
      <c r="L628" s="40">
        <v>45097</v>
      </c>
      <c r="M628" s="40">
        <v>45097</v>
      </c>
      <c r="N628" s="37">
        <v>199375</v>
      </c>
      <c r="O628" s="37">
        <v>0</v>
      </c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4.25" customHeight="1">
      <c r="A629" s="9">
        <v>690</v>
      </c>
      <c r="B629" s="10"/>
      <c r="C629" s="21">
        <v>230921</v>
      </c>
      <c r="D629" s="22" t="s">
        <v>372</v>
      </c>
      <c r="E629" s="23">
        <v>45051</v>
      </c>
      <c r="F629" s="24">
        <v>45047</v>
      </c>
      <c r="G629" s="25">
        <v>498439</v>
      </c>
      <c r="H629" s="26" t="s">
        <v>2460</v>
      </c>
      <c r="I629" s="34" t="s">
        <v>29</v>
      </c>
      <c r="J629" s="10"/>
      <c r="K629" s="39"/>
      <c r="L629" s="40">
        <v>45085</v>
      </c>
      <c r="M629" s="40">
        <v>45085</v>
      </c>
      <c r="N629" s="37">
        <v>498439</v>
      </c>
      <c r="O629" s="37">
        <v>0</v>
      </c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4.25" customHeight="1">
      <c r="A630" s="9">
        <v>691</v>
      </c>
      <c r="B630" s="10"/>
      <c r="C630" s="21">
        <v>230930</v>
      </c>
      <c r="D630" s="22" t="s">
        <v>372</v>
      </c>
      <c r="E630" s="23">
        <v>45054</v>
      </c>
      <c r="F630" s="24">
        <v>45047</v>
      </c>
      <c r="G630" s="25">
        <v>8991000</v>
      </c>
      <c r="H630" s="26" t="s">
        <v>2461</v>
      </c>
      <c r="I630" s="34" t="s">
        <v>29</v>
      </c>
      <c r="J630" s="10"/>
      <c r="K630" s="39"/>
      <c r="L630" s="40">
        <v>45085</v>
      </c>
      <c r="M630" s="40">
        <v>45085</v>
      </c>
      <c r="N630" s="37">
        <v>8991000</v>
      </c>
      <c r="O630" s="37">
        <v>0</v>
      </c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4.25" customHeight="1">
      <c r="A631" s="9">
        <v>694</v>
      </c>
      <c r="B631" s="10"/>
      <c r="C631" s="21">
        <v>230983</v>
      </c>
      <c r="D631" s="22" t="s">
        <v>372</v>
      </c>
      <c r="E631" s="23">
        <v>45063</v>
      </c>
      <c r="F631" s="24">
        <v>45047</v>
      </c>
      <c r="G631" s="25">
        <v>299063</v>
      </c>
      <c r="H631" s="26" t="s">
        <v>2462</v>
      </c>
      <c r="I631" s="34" t="s">
        <v>29</v>
      </c>
      <c r="J631" s="10"/>
      <c r="K631" s="39"/>
      <c r="L631" s="40">
        <v>45085</v>
      </c>
      <c r="M631" s="40">
        <v>45085</v>
      </c>
      <c r="N631" s="37">
        <v>299063</v>
      </c>
      <c r="O631" s="37">
        <v>0</v>
      </c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4.25" customHeight="1">
      <c r="A632" s="9">
        <v>692</v>
      </c>
      <c r="B632" s="10"/>
      <c r="C632" s="21">
        <v>230984</v>
      </c>
      <c r="D632" s="22" t="s">
        <v>372</v>
      </c>
      <c r="E632" s="23">
        <v>45063</v>
      </c>
      <c r="F632" s="24">
        <v>45047</v>
      </c>
      <c r="G632" s="25">
        <v>1024252</v>
      </c>
      <c r="H632" s="26" t="s">
        <v>2463</v>
      </c>
      <c r="I632" s="34" t="s">
        <v>29</v>
      </c>
      <c r="J632" s="10"/>
      <c r="K632" s="39"/>
      <c r="L632" s="40">
        <v>45085</v>
      </c>
      <c r="M632" s="40">
        <v>45085</v>
      </c>
      <c r="N632" s="37">
        <v>1024252</v>
      </c>
      <c r="O632" s="37">
        <v>0</v>
      </c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4.25" customHeight="1">
      <c r="A633" s="9">
        <v>693</v>
      </c>
      <c r="B633" s="10"/>
      <c r="C633" s="21">
        <v>230985</v>
      </c>
      <c r="D633" s="22" t="s">
        <v>372</v>
      </c>
      <c r="E633" s="23">
        <v>45063</v>
      </c>
      <c r="F633" s="24">
        <v>45047</v>
      </c>
      <c r="G633" s="25">
        <v>1509600</v>
      </c>
      <c r="H633" s="26" t="s">
        <v>2464</v>
      </c>
      <c r="I633" s="34" t="s">
        <v>29</v>
      </c>
      <c r="J633" s="10"/>
      <c r="K633" s="39"/>
      <c r="L633" s="40">
        <v>45085</v>
      </c>
      <c r="M633" s="40">
        <v>45085</v>
      </c>
      <c r="N633" s="37">
        <v>1509600</v>
      </c>
      <c r="O633" s="37">
        <v>0</v>
      </c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4.25" customHeight="1">
      <c r="A634" s="9">
        <v>695</v>
      </c>
      <c r="B634" s="10"/>
      <c r="C634" s="21">
        <v>231009</v>
      </c>
      <c r="D634" s="22" t="s">
        <v>372</v>
      </c>
      <c r="E634" s="23">
        <v>45065</v>
      </c>
      <c r="F634" s="24">
        <v>45047</v>
      </c>
      <c r="G634" s="25">
        <v>1343905</v>
      </c>
      <c r="H634" s="26" t="s">
        <v>2465</v>
      </c>
      <c r="I634" s="34" t="s">
        <v>29</v>
      </c>
      <c r="J634" s="25">
        <v>6494305</v>
      </c>
      <c r="K634" s="40">
        <v>45092</v>
      </c>
      <c r="L634" s="40">
        <v>45093</v>
      </c>
      <c r="M634" s="40">
        <v>45093</v>
      </c>
      <c r="N634" s="37">
        <v>1343905</v>
      </c>
      <c r="O634" s="37">
        <v>0</v>
      </c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4.25" customHeight="1">
      <c r="A635" s="9">
        <v>696</v>
      </c>
      <c r="B635" s="10"/>
      <c r="C635" s="21">
        <v>231010</v>
      </c>
      <c r="D635" s="22" t="s">
        <v>372</v>
      </c>
      <c r="E635" s="23">
        <v>45065</v>
      </c>
      <c r="F635" s="24">
        <v>45047</v>
      </c>
      <c r="G635" s="25">
        <v>5150400</v>
      </c>
      <c r="H635" s="26" t="s">
        <v>2466</v>
      </c>
      <c r="I635" s="34" t="s">
        <v>29</v>
      </c>
      <c r="J635" s="10"/>
      <c r="K635" s="39"/>
      <c r="L635" s="40">
        <v>45093</v>
      </c>
      <c r="M635" s="40">
        <v>45093</v>
      </c>
      <c r="N635" s="37">
        <v>5150400</v>
      </c>
      <c r="O635" s="37">
        <v>0</v>
      </c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4.25" customHeight="1">
      <c r="A636" s="9">
        <v>701</v>
      </c>
      <c r="B636" s="10"/>
      <c r="C636" s="21">
        <v>231047</v>
      </c>
      <c r="D636" s="22" t="s">
        <v>372</v>
      </c>
      <c r="E636" s="23">
        <v>45072</v>
      </c>
      <c r="F636" s="24">
        <v>45047</v>
      </c>
      <c r="G636" s="25">
        <v>1240980</v>
      </c>
      <c r="H636" s="26" t="s">
        <v>2467</v>
      </c>
      <c r="I636" s="34" t="s">
        <v>29</v>
      </c>
      <c r="J636" s="25">
        <v>1240980</v>
      </c>
      <c r="K636" s="40">
        <v>45102</v>
      </c>
      <c r="L636" s="40">
        <v>45105</v>
      </c>
      <c r="M636" s="40">
        <v>45106</v>
      </c>
      <c r="N636" s="37">
        <v>1240980</v>
      </c>
      <c r="O636" s="37">
        <v>0</v>
      </c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4.25" customHeight="1">
      <c r="A637" s="9">
        <v>703</v>
      </c>
      <c r="B637" s="10"/>
      <c r="C637" s="21">
        <v>231145</v>
      </c>
      <c r="D637" s="22" t="s">
        <v>372</v>
      </c>
      <c r="E637" s="23">
        <v>45086</v>
      </c>
      <c r="F637" s="24">
        <v>45078</v>
      </c>
      <c r="G637" s="25">
        <v>9590400</v>
      </c>
      <c r="H637" s="26" t="s">
        <v>2468</v>
      </c>
      <c r="I637" s="34" t="s">
        <v>29</v>
      </c>
      <c r="J637" s="10"/>
      <c r="K637" s="39"/>
      <c r="L637" s="40">
        <v>45117</v>
      </c>
      <c r="M637" s="40">
        <v>45117</v>
      </c>
      <c r="N637" s="37">
        <v>9590400</v>
      </c>
      <c r="O637" s="37">
        <v>0</v>
      </c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4.25" customHeight="1">
      <c r="A638" s="9">
        <v>702</v>
      </c>
      <c r="B638" s="10"/>
      <c r="C638" s="21">
        <v>231154</v>
      </c>
      <c r="D638" s="22" t="s">
        <v>372</v>
      </c>
      <c r="E638" s="23">
        <v>45086</v>
      </c>
      <c r="F638" s="24">
        <v>45078</v>
      </c>
      <c r="G638" s="25">
        <v>3543370</v>
      </c>
      <c r="H638" s="26" t="s">
        <v>2469</v>
      </c>
      <c r="I638" s="34" t="s">
        <v>29</v>
      </c>
      <c r="J638" s="25">
        <v>16673401</v>
      </c>
      <c r="K638" s="36">
        <v>45117</v>
      </c>
      <c r="L638" s="40">
        <v>45117</v>
      </c>
      <c r="M638" s="40">
        <v>45117</v>
      </c>
      <c r="N638" s="37">
        <v>3543370</v>
      </c>
      <c r="O638" s="37">
        <v>0</v>
      </c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4.25" customHeight="1">
      <c r="A639" s="9">
        <v>704</v>
      </c>
      <c r="B639" s="10"/>
      <c r="C639" s="21">
        <v>231136</v>
      </c>
      <c r="D639" s="22" t="s">
        <v>372</v>
      </c>
      <c r="E639" s="23">
        <v>45087</v>
      </c>
      <c r="F639" s="24">
        <v>45078</v>
      </c>
      <c r="G639" s="25">
        <v>3500002</v>
      </c>
      <c r="H639" s="26" t="s">
        <v>2470</v>
      </c>
      <c r="I639" s="34" t="s">
        <v>29</v>
      </c>
      <c r="J639" s="10"/>
      <c r="K639" s="39"/>
      <c r="L639" s="40">
        <v>45117</v>
      </c>
      <c r="M639" s="40">
        <v>45117</v>
      </c>
      <c r="N639" s="37">
        <v>3500002</v>
      </c>
      <c r="O639" s="37">
        <v>0</v>
      </c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4.25" customHeight="1">
      <c r="A640" s="9">
        <v>705</v>
      </c>
      <c r="B640" s="10"/>
      <c r="C640" s="21">
        <v>231147</v>
      </c>
      <c r="D640" s="22" t="s">
        <v>372</v>
      </c>
      <c r="E640" s="23">
        <v>45087</v>
      </c>
      <c r="F640" s="24">
        <v>45078</v>
      </c>
      <c r="G640" s="25">
        <v>39629</v>
      </c>
      <c r="H640" s="26" t="s">
        <v>2471</v>
      </c>
      <c r="I640" s="34" t="s">
        <v>29</v>
      </c>
      <c r="J640" s="10"/>
      <c r="K640" s="39"/>
      <c r="L640" s="40">
        <v>45117</v>
      </c>
      <c r="M640" s="40">
        <v>45117</v>
      </c>
      <c r="N640" s="37">
        <v>39629</v>
      </c>
      <c r="O640" s="37">
        <v>0</v>
      </c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4.25" customHeight="1">
      <c r="A641" s="9">
        <v>707</v>
      </c>
      <c r="B641" s="10"/>
      <c r="C641" s="21">
        <v>231218</v>
      </c>
      <c r="D641" s="22" t="s">
        <v>372</v>
      </c>
      <c r="E641" s="23">
        <v>45098</v>
      </c>
      <c r="F641" s="24">
        <v>45078</v>
      </c>
      <c r="G641" s="25">
        <v>79258</v>
      </c>
      <c r="H641" s="26" t="s">
        <v>2472</v>
      </c>
      <c r="I641" s="34" t="s">
        <v>29</v>
      </c>
      <c r="J641" s="10"/>
      <c r="K641" s="39"/>
      <c r="L641" s="40">
        <v>45143</v>
      </c>
      <c r="M641" s="40">
        <v>45143</v>
      </c>
      <c r="N641" s="37">
        <v>79258</v>
      </c>
      <c r="O641" s="37">
        <v>0</v>
      </c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4.25" customHeight="1">
      <c r="A642" s="9">
        <v>706</v>
      </c>
      <c r="B642" s="10"/>
      <c r="C642" s="21">
        <v>231219</v>
      </c>
      <c r="D642" s="22" t="s">
        <v>372</v>
      </c>
      <c r="E642" s="23">
        <v>45098</v>
      </c>
      <c r="F642" s="24">
        <v>45078</v>
      </c>
      <c r="G642" s="25">
        <v>1542900</v>
      </c>
      <c r="H642" s="26" t="s">
        <v>2473</v>
      </c>
      <c r="I642" s="34" t="s">
        <v>29</v>
      </c>
      <c r="J642" s="25">
        <v>27140519</v>
      </c>
      <c r="K642" s="36">
        <v>45143</v>
      </c>
      <c r="L642" s="40">
        <v>45143</v>
      </c>
      <c r="M642" s="40">
        <v>45143</v>
      </c>
      <c r="N642" s="37">
        <v>1542900</v>
      </c>
      <c r="O642" s="37">
        <v>0</v>
      </c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4.25" customHeight="1">
      <c r="A643" s="9">
        <v>710</v>
      </c>
      <c r="B643" s="10"/>
      <c r="C643" s="21">
        <v>231232</v>
      </c>
      <c r="D643" s="22" t="s">
        <v>372</v>
      </c>
      <c r="E643" s="23">
        <v>45100</v>
      </c>
      <c r="F643" s="24">
        <v>45078</v>
      </c>
      <c r="G643" s="25">
        <v>991230</v>
      </c>
      <c r="H643" s="26" t="s">
        <v>2474</v>
      </c>
      <c r="I643" s="34" t="s">
        <v>29</v>
      </c>
      <c r="J643" s="10"/>
      <c r="K643" s="39"/>
      <c r="L643" s="40">
        <v>45143</v>
      </c>
      <c r="M643" s="40">
        <v>45143</v>
      </c>
      <c r="N643" s="37">
        <v>991230</v>
      </c>
      <c r="O643" s="37">
        <v>0</v>
      </c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4.25" customHeight="1">
      <c r="A644" s="9">
        <v>709</v>
      </c>
      <c r="B644" s="10"/>
      <c r="C644" s="21">
        <v>231233</v>
      </c>
      <c r="D644" s="22" t="s">
        <v>372</v>
      </c>
      <c r="E644" s="23">
        <v>45100</v>
      </c>
      <c r="F644" s="24">
        <v>45078</v>
      </c>
      <c r="G644" s="25">
        <v>1415250</v>
      </c>
      <c r="H644" s="26" t="s">
        <v>2475</v>
      </c>
      <c r="I644" s="34" t="s">
        <v>29</v>
      </c>
      <c r="J644" s="10"/>
      <c r="K644" s="39"/>
      <c r="L644" s="40">
        <v>45143</v>
      </c>
      <c r="M644" s="40">
        <v>45143</v>
      </c>
      <c r="N644" s="37">
        <v>1415250</v>
      </c>
      <c r="O644" s="37">
        <v>0</v>
      </c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4.25" customHeight="1">
      <c r="A645" s="9">
        <v>708</v>
      </c>
      <c r="B645" s="10"/>
      <c r="C645" s="21">
        <v>231234</v>
      </c>
      <c r="D645" s="22" t="s">
        <v>372</v>
      </c>
      <c r="E645" s="23">
        <v>45100</v>
      </c>
      <c r="F645" s="24">
        <v>45078</v>
      </c>
      <c r="G645" s="25">
        <v>703462</v>
      </c>
      <c r="H645" s="26" t="s">
        <v>2476</v>
      </c>
      <c r="I645" s="34" t="s">
        <v>29</v>
      </c>
      <c r="J645" s="10"/>
      <c r="K645" s="39"/>
      <c r="L645" s="40">
        <v>45143</v>
      </c>
      <c r="M645" s="40">
        <v>45143</v>
      </c>
      <c r="N645" s="37">
        <v>703462</v>
      </c>
      <c r="O645" s="37">
        <v>0</v>
      </c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4.25" customHeight="1">
      <c r="A646" s="9">
        <v>711</v>
      </c>
      <c r="B646" s="10"/>
      <c r="C646" s="21">
        <v>231252</v>
      </c>
      <c r="D646" s="22" t="s">
        <v>372</v>
      </c>
      <c r="E646" s="23">
        <v>45101</v>
      </c>
      <c r="F646" s="24">
        <v>45078</v>
      </c>
      <c r="G646" s="25">
        <v>76923</v>
      </c>
      <c r="H646" s="26" t="s">
        <v>2477</v>
      </c>
      <c r="I646" s="34" t="s">
        <v>29</v>
      </c>
      <c r="J646" s="10"/>
      <c r="K646" s="39"/>
      <c r="L646" s="40">
        <v>45143</v>
      </c>
      <c r="M646" s="40">
        <v>45143</v>
      </c>
      <c r="N646" s="37">
        <v>76923</v>
      </c>
      <c r="O646" s="37">
        <v>0</v>
      </c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4.25" customHeight="1">
      <c r="A647" s="9">
        <v>712</v>
      </c>
      <c r="B647" s="10"/>
      <c r="C647" s="21">
        <v>231290</v>
      </c>
      <c r="D647" s="22" t="s">
        <v>372</v>
      </c>
      <c r="E647" s="23">
        <v>45107</v>
      </c>
      <c r="F647" s="24">
        <v>45078</v>
      </c>
      <c r="G647" s="25">
        <v>4795200</v>
      </c>
      <c r="H647" s="26" t="s">
        <v>2478</v>
      </c>
      <c r="I647" s="34" t="s">
        <v>29</v>
      </c>
      <c r="J647" s="10"/>
      <c r="K647" s="39"/>
      <c r="L647" s="40">
        <v>45143</v>
      </c>
      <c r="M647" s="40">
        <v>45143</v>
      </c>
      <c r="N647" s="37">
        <v>4795200</v>
      </c>
      <c r="O647" s="37">
        <v>0</v>
      </c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4.25" customHeight="1">
      <c r="A648" s="9">
        <v>713</v>
      </c>
      <c r="B648" s="10"/>
      <c r="C648" s="21">
        <v>231297</v>
      </c>
      <c r="D648" s="22" t="s">
        <v>372</v>
      </c>
      <c r="E648" s="23">
        <v>45107</v>
      </c>
      <c r="F648" s="24">
        <v>45078</v>
      </c>
      <c r="G648" s="25">
        <v>6754350</v>
      </c>
      <c r="H648" s="26" t="s">
        <v>2479</v>
      </c>
      <c r="I648" s="34" t="s">
        <v>29</v>
      </c>
      <c r="J648" s="10"/>
      <c r="K648" s="39"/>
      <c r="L648" s="40">
        <v>45143</v>
      </c>
      <c r="M648" s="40">
        <v>45143</v>
      </c>
      <c r="N648" s="37">
        <v>6754350</v>
      </c>
      <c r="O648" s="37">
        <v>0</v>
      </c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4.25" customHeight="1">
      <c r="A649" s="9">
        <v>716</v>
      </c>
      <c r="B649" s="10"/>
      <c r="C649" s="21">
        <v>231360</v>
      </c>
      <c r="D649" s="22" t="s">
        <v>372</v>
      </c>
      <c r="E649" s="23">
        <v>45119</v>
      </c>
      <c r="F649" s="24">
        <v>45108</v>
      </c>
      <c r="G649" s="25">
        <v>10378344</v>
      </c>
      <c r="H649" s="26" t="s">
        <v>2480</v>
      </c>
      <c r="I649" s="34" t="s">
        <v>29</v>
      </c>
      <c r="J649" s="10"/>
      <c r="K649" s="39"/>
      <c r="L649" s="40">
        <v>45143</v>
      </c>
      <c r="M649" s="40">
        <v>45143</v>
      </c>
      <c r="N649" s="37">
        <v>10378344</v>
      </c>
      <c r="O649" s="37">
        <v>0</v>
      </c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4.25" customHeight="1">
      <c r="A650" s="9">
        <v>715</v>
      </c>
      <c r="B650" s="10"/>
      <c r="C650" s="21">
        <v>231361</v>
      </c>
      <c r="D650" s="22" t="s">
        <v>372</v>
      </c>
      <c r="E650" s="23">
        <v>45119</v>
      </c>
      <c r="F650" s="24">
        <v>45108</v>
      </c>
      <c r="G650" s="25">
        <v>118887</v>
      </c>
      <c r="H650" s="26" t="s">
        <v>2481</v>
      </c>
      <c r="I650" s="34" t="s">
        <v>29</v>
      </c>
      <c r="J650" s="10"/>
      <c r="K650" s="39"/>
      <c r="L650" s="40">
        <v>45143</v>
      </c>
      <c r="M650" s="40">
        <v>45143</v>
      </c>
      <c r="N650" s="37">
        <v>118887</v>
      </c>
      <c r="O650" s="37">
        <v>0</v>
      </c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4.25" customHeight="1">
      <c r="A651" s="9">
        <v>714</v>
      </c>
      <c r="B651" s="10"/>
      <c r="C651" s="21">
        <v>231363</v>
      </c>
      <c r="D651" s="22" t="s">
        <v>372</v>
      </c>
      <c r="E651" s="23">
        <v>45119</v>
      </c>
      <c r="F651" s="24">
        <v>45108</v>
      </c>
      <c r="G651" s="25">
        <v>284715</v>
      </c>
      <c r="H651" s="26" t="s">
        <v>2482</v>
      </c>
      <c r="I651" s="34" t="s">
        <v>29</v>
      </c>
      <c r="J651" s="10"/>
      <c r="K651" s="39"/>
      <c r="L651" s="40">
        <v>45143</v>
      </c>
      <c r="M651" s="40">
        <v>45143</v>
      </c>
      <c r="N651" s="37">
        <v>284715</v>
      </c>
      <c r="O651" s="37">
        <v>0</v>
      </c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4.25" customHeight="1">
      <c r="A652" s="9">
        <v>718</v>
      </c>
      <c r="B652" s="10"/>
      <c r="C652" s="21">
        <v>231562</v>
      </c>
      <c r="D652" s="22" t="s">
        <v>372</v>
      </c>
      <c r="E652" s="23">
        <v>45145</v>
      </c>
      <c r="F652" s="24">
        <v>45139</v>
      </c>
      <c r="G652" s="25">
        <v>759999</v>
      </c>
      <c r="H652" s="26" t="s">
        <v>2483</v>
      </c>
      <c r="I652" s="34" t="s">
        <v>29</v>
      </c>
      <c r="J652" s="10"/>
      <c r="K652" s="39"/>
      <c r="L652" s="40">
        <v>45169</v>
      </c>
      <c r="M652" s="40">
        <v>45169</v>
      </c>
      <c r="N652" s="37">
        <v>759999</v>
      </c>
      <c r="O652" s="37">
        <v>0</v>
      </c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spans="1:26" ht="14.25" customHeight="1">
      <c r="A653" s="9">
        <v>720</v>
      </c>
      <c r="B653" s="10"/>
      <c r="C653" s="21">
        <v>231563</v>
      </c>
      <c r="D653" s="22" t="s">
        <v>372</v>
      </c>
      <c r="E653" s="23">
        <v>45145</v>
      </c>
      <c r="F653" s="24">
        <v>45139</v>
      </c>
      <c r="G653" s="25">
        <v>9031359</v>
      </c>
      <c r="H653" s="26" t="s">
        <v>2484</v>
      </c>
      <c r="I653" s="34" t="s">
        <v>29</v>
      </c>
      <c r="J653" s="10"/>
      <c r="K653" s="39"/>
      <c r="L653" s="40">
        <v>45169</v>
      </c>
      <c r="M653" s="40">
        <v>45169</v>
      </c>
      <c r="N653" s="37">
        <v>9031359</v>
      </c>
      <c r="O653" s="37">
        <v>0</v>
      </c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4.25" customHeight="1">
      <c r="A654" s="9">
        <v>717</v>
      </c>
      <c r="B654" s="10"/>
      <c r="C654" s="21">
        <v>231564</v>
      </c>
      <c r="D654" s="22" t="s">
        <v>372</v>
      </c>
      <c r="E654" s="23">
        <v>45145</v>
      </c>
      <c r="F654" s="24">
        <v>45139</v>
      </c>
      <c r="G654" s="25">
        <v>1272751</v>
      </c>
      <c r="H654" s="26" t="s">
        <v>2485</v>
      </c>
      <c r="I654" s="34" t="s">
        <v>29</v>
      </c>
      <c r="J654" s="25">
        <v>25064774</v>
      </c>
      <c r="K654" s="36">
        <v>45169</v>
      </c>
      <c r="L654" s="40">
        <v>45169</v>
      </c>
      <c r="M654" s="40">
        <v>45169</v>
      </c>
      <c r="N654" s="37">
        <v>1272751</v>
      </c>
      <c r="O654" s="37">
        <v>0</v>
      </c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4.25" customHeight="1">
      <c r="A655" s="9">
        <v>719</v>
      </c>
      <c r="B655" s="10"/>
      <c r="C655" s="21">
        <v>231566</v>
      </c>
      <c r="D655" s="22" t="s">
        <v>372</v>
      </c>
      <c r="E655" s="23">
        <v>45145</v>
      </c>
      <c r="F655" s="24">
        <v>45139</v>
      </c>
      <c r="G655" s="25">
        <v>8090790</v>
      </c>
      <c r="H655" s="26" t="s">
        <v>2486</v>
      </c>
      <c r="I655" s="34" t="s">
        <v>29</v>
      </c>
      <c r="J655" s="10"/>
      <c r="K655" s="39"/>
      <c r="L655" s="40">
        <v>45169</v>
      </c>
      <c r="M655" s="40">
        <v>45169</v>
      </c>
      <c r="N655" s="37">
        <v>8090790</v>
      </c>
      <c r="O655" s="37">
        <v>0</v>
      </c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4.25" customHeight="1">
      <c r="A656" s="9">
        <v>721</v>
      </c>
      <c r="B656" s="10"/>
      <c r="C656" s="21">
        <v>231565</v>
      </c>
      <c r="D656" s="22" t="s">
        <v>372</v>
      </c>
      <c r="E656" s="23">
        <v>45147</v>
      </c>
      <c r="F656" s="24">
        <v>45139</v>
      </c>
      <c r="G656" s="25">
        <v>5672100</v>
      </c>
      <c r="H656" s="26" t="s">
        <v>2487</v>
      </c>
      <c r="I656" s="34" t="s">
        <v>29</v>
      </c>
      <c r="J656" s="10"/>
      <c r="K656" s="39"/>
      <c r="L656" s="40">
        <v>45169</v>
      </c>
      <c r="M656" s="40">
        <v>45169</v>
      </c>
      <c r="N656" s="37">
        <v>5672100</v>
      </c>
      <c r="O656" s="37">
        <v>0</v>
      </c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4.25" customHeight="1">
      <c r="A657" s="9">
        <v>722</v>
      </c>
      <c r="B657" s="10"/>
      <c r="C657" s="21">
        <v>231565</v>
      </c>
      <c r="D657" s="22" t="s">
        <v>372</v>
      </c>
      <c r="E657" s="23">
        <v>45149</v>
      </c>
      <c r="F657" s="24">
        <v>45139</v>
      </c>
      <c r="G657" s="25">
        <v>237775</v>
      </c>
      <c r="H657" s="26" t="s">
        <v>2488</v>
      </c>
      <c r="I657" s="34" t="s">
        <v>29</v>
      </c>
      <c r="J657" s="10"/>
      <c r="K657" s="39"/>
      <c r="L657" s="40">
        <v>45169</v>
      </c>
      <c r="M657" s="40">
        <v>45169</v>
      </c>
      <c r="N657" s="37">
        <v>237775</v>
      </c>
      <c r="O657" s="37">
        <v>0</v>
      </c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4.25" customHeight="1">
      <c r="A658" s="9">
        <v>723</v>
      </c>
      <c r="B658" s="10"/>
      <c r="C658" s="21">
        <v>231693</v>
      </c>
      <c r="D658" s="22" t="s">
        <v>372</v>
      </c>
      <c r="E658" s="23">
        <v>45161</v>
      </c>
      <c r="F658" s="24">
        <v>45139</v>
      </c>
      <c r="G658" s="25">
        <v>1750000</v>
      </c>
      <c r="H658" s="26" t="s">
        <v>2489</v>
      </c>
      <c r="I658" s="34" t="s">
        <v>29</v>
      </c>
      <c r="J658" s="25">
        <v>10273519</v>
      </c>
      <c r="K658" s="36">
        <v>45194</v>
      </c>
      <c r="L658" s="40">
        <v>45196</v>
      </c>
      <c r="M658" s="40">
        <v>45196</v>
      </c>
      <c r="N658" s="37">
        <v>1750000</v>
      </c>
      <c r="O658" s="37">
        <v>0</v>
      </c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4.25" customHeight="1">
      <c r="A659" s="9">
        <v>724</v>
      </c>
      <c r="B659" s="10"/>
      <c r="C659" s="21">
        <v>231701</v>
      </c>
      <c r="D659" s="22" t="s">
        <v>372</v>
      </c>
      <c r="E659" s="23">
        <v>45162</v>
      </c>
      <c r="F659" s="24">
        <v>45139</v>
      </c>
      <c r="G659" s="25">
        <v>1750000</v>
      </c>
      <c r="H659" s="26" t="s">
        <v>2490</v>
      </c>
      <c r="I659" s="34" t="s">
        <v>29</v>
      </c>
      <c r="J659" s="10"/>
      <c r="K659" s="39"/>
      <c r="L659" s="40">
        <v>45196</v>
      </c>
      <c r="M659" s="40">
        <v>45196</v>
      </c>
      <c r="N659" s="37">
        <v>1750000</v>
      </c>
      <c r="O659" s="37">
        <v>0</v>
      </c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4.25" customHeight="1">
      <c r="A660" s="9">
        <v>725</v>
      </c>
      <c r="B660" s="10"/>
      <c r="C660" s="21">
        <v>231702</v>
      </c>
      <c r="D660" s="22" t="s">
        <v>372</v>
      </c>
      <c r="E660" s="23">
        <v>45162</v>
      </c>
      <c r="F660" s="24">
        <v>45139</v>
      </c>
      <c r="G660" s="25">
        <v>6773519</v>
      </c>
      <c r="H660" s="26" t="s">
        <v>2491</v>
      </c>
      <c r="I660" s="34" t="s">
        <v>29</v>
      </c>
      <c r="J660" s="10"/>
      <c r="K660" s="39"/>
      <c r="L660" s="40">
        <v>45196</v>
      </c>
      <c r="M660" s="40">
        <v>45196</v>
      </c>
      <c r="N660" s="37">
        <v>6773519</v>
      </c>
      <c r="O660" s="37">
        <v>0</v>
      </c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4.25" customHeight="1">
      <c r="A661" s="9">
        <v>726</v>
      </c>
      <c r="B661" s="10"/>
      <c r="C661" s="21">
        <v>231818</v>
      </c>
      <c r="D661" s="22" t="s">
        <v>372</v>
      </c>
      <c r="E661" s="23">
        <v>45169</v>
      </c>
      <c r="F661" s="24">
        <v>45139</v>
      </c>
      <c r="G661" s="25">
        <v>94350</v>
      </c>
      <c r="H661" s="26" t="s">
        <v>2492</v>
      </c>
      <c r="I661" s="34" t="s">
        <v>29</v>
      </c>
      <c r="J661" s="25">
        <v>15575725</v>
      </c>
      <c r="K661" s="36">
        <v>45209</v>
      </c>
      <c r="L661" s="40">
        <v>45209</v>
      </c>
      <c r="M661" s="40">
        <v>45209</v>
      </c>
      <c r="N661" s="37">
        <v>94350</v>
      </c>
      <c r="O661" s="37">
        <v>0</v>
      </c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4.25" customHeight="1">
      <c r="A662" s="9">
        <v>728</v>
      </c>
      <c r="B662" s="10"/>
      <c r="C662" s="21">
        <v>231811</v>
      </c>
      <c r="D662" s="22" t="s">
        <v>372</v>
      </c>
      <c r="E662" s="23">
        <v>45173</v>
      </c>
      <c r="F662" s="24">
        <v>45170</v>
      </c>
      <c r="G662" s="25">
        <v>4795200</v>
      </c>
      <c r="H662" s="26" t="s">
        <v>2493</v>
      </c>
      <c r="I662" s="34" t="s">
        <v>29</v>
      </c>
      <c r="J662" s="10"/>
      <c r="K662" s="39"/>
      <c r="L662" s="40">
        <v>45209</v>
      </c>
      <c r="M662" s="40">
        <v>45209</v>
      </c>
      <c r="N662" s="37">
        <v>4795200</v>
      </c>
      <c r="O662" s="37">
        <v>0</v>
      </c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4.25" customHeight="1">
      <c r="A663" s="9">
        <v>729</v>
      </c>
      <c r="B663" s="10"/>
      <c r="C663" s="21">
        <v>231812</v>
      </c>
      <c r="D663" s="22" t="s">
        <v>372</v>
      </c>
      <c r="E663" s="23">
        <v>45173</v>
      </c>
      <c r="F663" s="24">
        <v>45170</v>
      </c>
      <c r="G663" s="25">
        <v>759999</v>
      </c>
      <c r="H663" s="26" t="s">
        <v>2494</v>
      </c>
      <c r="I663" s="34" t="s">
        <v>29</v>
      </c>
      <c r="J663" s="10"/>
      <c r="K663" s="39"/>
      <c r="L663" s="40">
        <v>45209</v>
      </c>
      <c r="M663" s="40">
        <v>45209</v>
      </c>
      <c r="N663" s="37">
        <v>759999</v>
      </c>
      <c r="O663" s="37">
        <v>0</v>
      </c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4.25" customHeight="1">
      <c r="A664" s="9">
        <v>727</v>
      </c>
      <c r="B664" s="10"/>
      <c r="C664" s="21">
        <v>231813</v>
      </c>
      <c r="D664" s="22" t="s">
        <v>372</v>
      </c>
      <c r="E664" s="23">
        <v>45173</v>
      </c>
      <c r="F664" s="24">
        <v>45170</v>
      </c>
      <c r="G664" s="25">
        <v>3211020</v>
      </c>
      <c r="H664" s="26" t="s">
        <v>2495</v>
      </c>
      <c r="I664" s="34" t="s">
        <v>29</v>
      </c>
      <c r="J664" s="10"/>
      <c r="K664" s="39"/>
      <c r="L664" s="40">
        <v>45209</v>
      </c>
      <c r="M664" s="40">
        <v>45209</v>
      </c>
      <c r="N664" s="37">
        <v>3211020</v>
      </c>
      <c r="O664" s="37">
        <v>0</v>
      </c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spans="1:26" ht="14.25" customHeight="1">
      <c r="A665" s="9">
        <v>730</v>
      </c>
      <c r="B665" s="10"/>
      <c r="C665" s="21">
        <v>231833</v>
      </c>
      <c r="D665" s="22" t="s">
        <v>372</v>
      </c>
      <c r="E665" s="23">
        <v>45175</v>
      </c>
      <c r="F665" s="24">
        <v>45170</v>
      </c>
      <c r="G665" s="25">
        <v>782550</v>
      </c>
      <c r="H665" s="26" t="s">
        <v>2496</v>
      </c>
      <c r="I665" s="34" t="s">
        <v>29</v>
      </c>
      <c r="J665" s="10"/>
      <c r="K665" s="39"/>
      <c r="L665" s="40">
        <v>45209</v>
      </c>
      <c r="M665" s="40">
        <v>45209</v>
      </c>
      <c r="N665" s="37">
        <v>782550</v>
      </c>
      <c r="O665" s="37">
        <v>0</v>
      </c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4.25" customHeight="1">
      <c r="A666" s="9">
        <v>731</v>
      </c>
      <c r="B666" s="10"/>
      <c r="C666" s="21">
        <v>231855</v>
      </c>
      <c r="D666" s="22" t="s">
        <v>372</v>
      </c>
      <c r="E666" s="23">
        <v>45180</v>
      </c>
      <c r="F666" s="24">
        <v>45170</v>
      </c>
      <c r="G666" s="25">
        <v>636375</v>
      </c>
      <c r="H666" s="26" t="s">
        <v>2497</v>
      </c>
      <c r="I666" s="34" t="s">
        <v>29</v>
      </c>
      <c r="J666" s="10"/>
      <c r="K666" s="39"/>
      <c r="L666" s="40">
        <v>45209</v>
      </c>
      <c r="M666" s="40">
        <v>45209</v>
      </c>
      <c r="N666" s="37">
        <v>636375</v>
      </c>
      <c r="O666" s="37">
        <v>0</v>
      </c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4.25" customHeight="1">
      <c r="A667" s="9">
        <v>733</v>
      </c>
      <c r="B667" s="10"/>
      <c r="C667" s="21">
        <v>231856</v>
      </c>
      <c r="D667" s="22" t="s">
        <v>372</v>
      </c>
      <c r="E667" s="23">
        <v>45180</v>
      </c>
      <c r="F667" s="24">
        <v>45170</v>
      </c>
      <c r="G667" s="25">
        <v>4515679</v>
      </c>
      <c r="H667" s="26" t="s">
        <v>2498</v>
      </c>
      <c r="I667" s="34" t="s">
        <v>29</v>
      </c>
      <c r="J667" s="10"/>
      <c r="K667" s="39"/>
      <c r="L667" s="40">
        <v>45209</v>
      </c>
      <c r="M667" s="40">
        <v>45209</v>
      </c>
      <c r="N667" s="37">
        <v>4515679</v>
      </c>
      <c r="O667" s="37">
        <v>0</v>
      </c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4.25" customHeight="1">
      <c r="A668" s="9">
        <v>732</v>
      </c>
      <c r="B668" s="10"/>
      <c r="C668" s="21">
        <v>231895</v>
      </c>
      <c r="D668" s="22" t="s">
        <v>372</v>
      </c>
      <c r="E668" s="23">
        <v>45183</v>
      </c>
      <c r="F668" s="24">
        <v>45170</v>
      </c>
      <c r="G668" s="25">
        <v>780552</v>
      </c>
      <c r="H668" s="26" t="s">
        <v>2499</v>
      </c>
      <c r="I668" s="34" t="s">
        <v>29</v>
      </c>
      <c r="J668" s="10"/>
      <c r="K668" s="39"/>
      <c r="L668" s="40">
        <v>45209</v>
      </c>
      <c r="M668" s="40">
        <v>45209</v>
      </c>
      <c r="N668" s="37">
        <v>780552</v>
      </c>
      <c r="O668" s="37">
        <v>0</v>
      </c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spans="1:26" ht="14.25" customHeight="1">
      <c r="A669" s="9">
        <v>735</v>
      </c>
      <c r="B669" s="10"/>
      <c r="C669" s="21">
        <v>231899</v>
      </c>
      <c r="D669" s="22" t="s">
        <v>372</v>
      </c>
      <c r="E669" s="23">
        <v>45184</v>
      </c>
      <c r="F669" s="24">
        <v>45170</v>
      </c>
      <c r="G669" s="25">
        <v>1101900</v>
      </c>
      <c r="H669" s="26" t="s">
        <v>2500</v>
      </c>
      <c r="I669" s="34" t="s">
        <v>29</v>
      </c>
      <c r="J669" s="10"/>
      <c r="K669" s="39"/>
      <c r="L669" s="40">
        <v>45231</v>
      </c>
      <c r="M669" s="40">
        <v>45231</v>
      </c>
      <c r="N669" s="37">
        <v>1101900</v>
      </c>
      <c r="O669" s="37">
        <v>0</v>
      </c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4.25" customHeight="1">
      <c r="A670" s="9">
        <v>736</v>
      </c>
      <c r="B670" s="10"/>
      <c r="C670" s="21">
        <v>231901</v>
      </c>
      <c r="D670" s="22" t="s">
        <v>372</v>
      </c>
      <c r="E670" s="23">
        <v>45188</v>
      </c>
      <c r="F670" s="24">
        <v>45170</v>
      </c>
      <c r="G670" s="25">
        <v>198146</v>
      </c>
      <c r="H670" s="26" t="s">
        <v>2501</v>
      </c>
      <c r="I670" s="34" t="s">
        <v>29</v>
      </c>
      <c r="J670" s="10"/>
      <c r="K670" s="39"/>
      <c r="L670" s="40">
        <v>45231</v>
      </c>
      <c r="M670" s="40">
        <v>45231</v>
      </c>
      <c r="N670" s="37">
        <v>198146</v>
      </c>
      <c r="O670" s="37">
        <v>0</v>
      </c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4.25" customHeight="1">
      <c r="A671" s="9">
        <v>734</v>
      </c>
      <c r="B671" s="10"/>
      <c r="C671" s="21">
        <v>231902</v>
      </c>
      <c r="D671" s="22" t="s">
        <v>372</v>
      </c>
      <c r="E671" s="23">
        <v>45188</v>
      </c>
      <c r="F671" s="24">
        <v>45170</v>
      </c>
      <c r="G671" s="25">
        <v>434565</v>
      </c>
      <c r="H671" s="26" t="s">
        <v>2502</v>
      </c>
      <c r="I671" s="34" t="s">
        <v>29</v>
      </c>
      <c r="J671" s="27">
        <v>29296132</v>
      </c>
      <c r="K671" s="39">
        <v>45231</v>
      </c>
      <c r="L671" s="40">
        <v>45231</v>
      </c>
      <c r="M671" s="40">
        <v>45231</v>
      </c>
      <c r="N671" s="37">
        <v>434565</v>
      </c>
      <c r="O671" s="37">
        <v>0</v>
      </c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4.25" customHeight="1">
      <c r="A672" s="9">
        <v>738</v>
      </c>
      <c r="B672" s="10"/>
      <c r="C672" s="21">
        <v>231987</v>
      </c>
      <c r="D672" s="22" t="s">
        <v>372</v>
      </c>
      <c r="E672" s="23">
        <v>45196</v>
      </c>
      <c r="F672" s="24">
        <v>45170</v>
      </c>
      <c r="G672" s="25">
        <v>5249949</v>
      </c>
      <c r="H672" s="26" t="s">
        <v>2503</v>
      </c>
      <c r="I672" s="34" t="s">
        <v>29</v>
      </c>
      <c r="J672" s="10"/>
      <c r="K672" s="39"/>
      <c r="L672" s="40">
        <v>45231</v>
      </c>
      <c r="M672" s="40">
        <v>45231</v>
      </c>
      <c r="N672" s="37">
        <v>5249949</v>
      </c>
      <c r="O672" s="37">
        <v>0</v>
      </c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4.25" customHeight="1">
      <c r="A673" s="9">
        <v>737</v>
      </c>
      <c r="B673" s="10"/>
      <c r="C673" s="21">
        <v>231988</v>
      </c>
      <c r="D673" s="22" t="s">
        <v>372</v>
      </c>
      <c r="E673" s="23">
        <v>45196</v>
      </c>
      <c r="F673" s="24">
        <v>45170</v>
      </c>
      <c r="G673" s="25">
        <v>806692</v>
      </c>
      <c r="H673" s="26" t="s">
        <v>2504</v>
      </c>
      <c r="I673" s="34" t="s">
        <v>29</v>
      </c>
      <c r="J673" s="10"/>
      <c r="K673" s="39"/>
      <c r="L673" s="40">
        <v>45231</v>
      </c>
      <c r="M673" s="40">
        <v>45231</v>
      </c>
      <c r="N673" s="37">
        <v>806692</v>
      </c>
      <c r="O673" s="37">
        <v>0</v>
      </c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4.25" customHeight="1">
      <c r="A674" s="9">
        <v>740</v>
      </c>
      <c r="B674" s="10"/>
      <c r="C674" s="21">
        <v>232014</v>
      </c>
      <c r="D674" s="22" t="s">
        <v>372</v>
      </c>
      <c r="E674" s="23">
        <v>45198</v>
      </c>
      <c r="F674" s="24">
        <v>45170</v>
      </c>
      <c r="G674" s="25">
        <v>2397600</v>
      </c>
      <c r="H674" s="26" t="s">
        <v>2505</v>
      </c>
      <c r="I674" s="34" t="s">
        <v>29</v>
      </c>
      <c r="J674" s="10"/>
      <c r="K674" s="39"/>
      <c r="L674" s="40">
        <v>45231</v>
      </c>
      <c r="M674" s="40">
        <v>45231</v>
      </c>
      <c r="N674" s="37">
        <v>2397600</v>
      </c>
      <c r="O674" s="37">
        <v>0</v>
      </c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spans="1:26" ht="14.25" customHeight="1">
      <c r="A675" s="9">
        <v>739</v>
      </c>
      <c r="B675" s="10"/>
      <c r="C675" s="21">
        <v>232015</v>
      </c>
      <c r="D675" s="22" t="s">
        <v>372</v>
      </c>
      <c r="E675" s="23">
        <v>45198</v>
      </c>
      <c r="F675" s="24">
        <v>45170</v>
      </c>
      <c r="G675" s="25">
        <v>3294480</v>
      </c>
      <c r="H675" s="26" t="s">
        <v>2506</v>
      </c>
      <c r="I675" s="34" t="s">
        <v>29</v>
      </c>
      <c r="J675" s="10"/>
      <c r="K675" s="39"/>
      <c r="L675" s="40">
        <v>45231</v>
      </c>
      <c r="M675" s="40">
        <v>45231</v>
      </c>
      <c r="N675" s="37">
        <v>3294480</v>
      </c>
      <c r="O675" s="37">
        <v>0</v>
      </c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spans="1:26" ht="14.25" customHeight="1">
      <c r="A676" s="9">
        <v>742</v>
      </c>
      <c r="B676" s="10"/>
      <c r="C676" s="21">
        <v>232103</v>
      </c>
      <c r="D676" s="22" t="s">
        <v>372</v>
      </c>
      <c r="E676" s="23">
        <v>45210</v>
      </c>
      <c r="F676" s="24">
        <v>45200</v>
      </c>
      <c r="G676" s="25">
        <v>11235160</v>
      </c>
      <c r="H676" s="26" t="s">
        <v>2507</v>
      </c>
      <c r="I676" s="34" t="s">
        <v>29</v>
      </c>
      <c r="J676" s="10"/>
      <c r="K676" s="39"/>
      <c r="L676" s="40">
        <v>45231</v>
      </c>
      <c r="M676" s="40">
        <v>45231</v>
      </c>
      <c r="N676" s="37">
        <v>11235160</v>
      </c>
      <c r="O676" s="37">
        <v>0</v>
      </c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4.25" customHeight="1">
      <c r="A677" s="9">
        <v>741</v>
      </c>
      <c r="B677" s="10"/>
      <c r="C677" s="21">
        <v>232104</v>
      </c>
      <c r="D677" s="22" t="s">
        <v>372</v>
      </c>
      <c r="E677" s="23">
        <v>45210</v>
      </c>
      <c r="F677" s="24">
        <v>45200</v>
      </c>
      <c r="G677" s="25">
        <v>4577640</v>
      </c>
      <c r="H677" s="26" t="s">
        <v>2508</v>
      </c>
      <c r="I677" s="34" t="s">
        <v>29</v>
      </c>
      <c r="J677" s="10"/>
      <c r="K677" s="39"/>
      <c r="L677" s="40">
        <v>45231</v>
      </c>
      <c r="M677" s="40">
        <v>45231</v>
      </c>
      <c r="N677" s="37">
        <v>4577640</v>
      </c>
      <c r="O677" s="37">
        <v>0</v>
      </c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4.25" customHeight="1">
      <c r="A678" s="9">
        <v>747</v>
      </c>
      <c r="B678" s="10"/>
      <c r="C678" s="21">
        <v>232213</v>
      </c>
      <c r="D678" s="22" t="s">
        <v>372</v>
      </c>
      <c r="E678" s="23">
        <v>45225</v>
      </c>
      <c r="F678" s="24">
        <v>45200</v>
      </c>
      <c r="G678" s="25">
        <v>301911</v>
      </c>
      <c r="H678" s="26" t="s">
        <v>2509</v>
      </c>
      <c r="I678" s="34" t="s">
        <v>29</v>
      </c>
      <c r="J678" s="27">
        <v>20464470</v>
      </c>
      <c r="K678" s="39">
        <v>45288</v>
      </c>
      <c r="L678" s="40">
        <v>45288</v>
      </c>
      <c r="M678" s="40">
        <v>45288</v>
      </c>
      <c r="N678" s="37">
        <v>301911</v>
      </c>
      <c r="O678" s="37">
        <v>0</v>
      </c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4.25" customHeight="1">
      <c r="A679" s="9">
        <v>744</v>
      </c>
      <c r="B679" s="10"/>
      <c r="C679" s="21">
        <v>232274</v>
      </c>
      <c r="D679" s="22" t="s">
        <v>372</v>
      </c>
      <c r="E679" s="23">
        <v>45237</v>
      </c>
      <c r="F679" s="24">
        <v>45231</v>
      </c>
      <c r="G679" s="25">
        <v>3572649</v>
      </c>
      <c r="H679" s="26" t="s">
        <v>2510</v>
      </c>
      <c r="I679" s="34" t="s">
        <v>29</v>
      </c>
      <c r="J679" s="10"/>
      <c r="K679" s="39"/>
      <c r="L679" s="40">
        <v>45265</v>
      </c>
      <c r="M679" s="40">
        <v>45265</v>
      </c>
      <c r="N679" s="37">
        <v>3572649</v>
      </c>
      <c r="O679" s="37">
        <v>0</v>
      </c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4.25" customHeight="1">
      <c r="A680" s="9">
        <v>743</v>
      </c>
      <c r="B680" s="10"/>
      <c r="C680" s="21">
        <v>232275</v>
      </c>
      <c r="D680" s="22" t="s">
        <v>372</v>
      </c>
      <c r="E680" s="23">
        <v>45237</v>
      </c>
      <c r="F680" s="24">
        <v>45231</v>
      </c>
      <c r="G680" s="25">
        <v>3040706</v>
      </c>
      <c r="H680" s="26" t="s">
        <v>2511</v>
      </c>
      <c r="I680" s="34" t="s">
        <v>29</v>
      </c>
      <c r="J680" s="27">
        <v>9334956</v>
      </c>
      <c r="K680" s="39">
        <v>45265</v>
      </c>
      <c r="L680" s="40">
        <v>45265</v>
      </c>
      <c r="M680" s="40">
        <v>45265</v>
      </c>
      <c r="N680" s="37">
        <v>3040706</v>
      </c>
      <c r="O680" s="37">
        <v>0</v>
      </c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4.25" customHeight="1">
      <c r="A681" s="9">
        <v>745</v>
      </c>
      <c r="B681" s="10"/>
      <c r="C681" s="21">
        <v>232272</v>
      </c>
      <c r="D681" s="22" t="s">
        <v>372</v>
      </c>
      <c r="E681" s="23">
        <v>45239</v>
      </c>
      <c r="F681" s="24">
        <v>45231</v>
      </c>
      <c r="G681" s="25">
        <v>621600</v>
      </c>
      <c r="H681" s="26" t="s">
        <v>2512</v>
      </c>
      <c r="I681" s="34" t="s">
        <v>29</v>
      </c>
      <c r="J681" s="10"/>
      <c r="K681" s="39"/>
      <c r="L681" s="40">
        <v>45265</v>
      </c>
      <c r="M681" s="40">
        <v>45265</v>
      </c>
      <c r="N681" s="37">
        <v>621600</v>
      </c>
      <c r="O681" s="37">
        <v>0</v>
      </c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4.25" customHeight="1">
      <c r="A682" s="9">
        <v>746</v>
      </c>
      <c r="B682" s="10"/>
      <c r="C682" s="21">
        <v>232273</v>
      </c>
      <c r="D682" s="22" t="s">
        <v>372</v>
      </c>
      <c r="E682" s="23">
        <v>45239</v>
      </c>
      <c r="F682" s="24">
        <v>45231</v>
      </c>
      <c r="G682" s="25">
        <v>2100001</v>
      </c>
      <c r="H682" s="26" t="s">
        <v>2513</v>
      </c>
      <c r="I682" s="34" t="s">
        <v>29</v>
      </c>
      <c r="J682" s="10"/>
      <c r="K682" s="39"/>
      <c r="L682" s="40">
        <v>45265</v>
      </c>
      <c r="M682" s="40">
        <v>45265</v>
      </c>
      <c r="N682" s="37">
        <v>2100001</v>
      </c>
      <c r="O682" s="37">
        <v>0</v>
      </c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4.25" customHeight="1">
      <c r="A683" s="9">
        <v>748</v>
      </c>
      <c r="B683" s="10"/>
      <c r="C683" s="21">
        <v>232361</v>
      </c>
      <c r="D683" s="22" t="s">
        <v>372</v>
      </c>
      <c r="E683" s="23">
        <v>45244</v>
      </c>
      <c r="F683" s="24">
        <v>45231</v>
      </c>
      <c r="G683" s="25">
        <v>6695199</v>
      </c>
      <c r="H683" s="26" t="s">
        <v>2514</v>
      </c>
      <c r="I683" s="34" t="s">
        <v>29</v>
      </c>
      <c r="J683" s="10"/>
      <c r="K683" s="39"/>
      <c r="L683" s="40">
        <v>45288</v>
      </c>
      <c r="M683" s="40">
        <v>45288</v>
      </c>
      <c r="N683" s="37">
        <v>6695199</v>
      </c>
      <c r="O683" s="37">
        <v>0</v>
      </c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4.25" customHeight="1">
      <c r="A684" s="9">
        <v>750</v>
      </c>
      <c r="B684" s="10"/>
      <c r="C684" s="21">
        <v>232362</v>
      </c>
      <c r="D684" s="22" t="s">
        <v>372</v>
      </c>
      <c r="E684" s="23">
        <v>45251</v>
      </c>
      <c r="F684" s="24">
        <v>45231</v>
      </c>
      <c r="G684" s="25">
        <v>4515679</v>
      </c>
      <c r="H684" s="26" t="s">
        <v>2515</v>
      </c>
      <c r="I684" s="34" t="s">
        <v>29</v>
      </c>
      <c r="J684" s="10"/>
      <c r="K684" s="39"/>
      <c r="L684" s="40">
        <v>45288</v>
      </c>
      <c r="M684" s="40">
        <v>45288</v>
      </c>
      <c r="N684" s="37">
        <v>4515679</v>
      </c>
      <c r="O684" s="37">
        <v>0</v>
      </c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4.25" customHeight="1">
      <c r="A685" s="9">
        <v>751</v>
      </c>
      <c r="B685" s="10"/>
      <c r="C685" s="21">
        <v>232415</v>
      </c>
      <c r="D685" s="22" t="s">
        <v>372</v>
      </c>
      <c r="E685" s="23">
        <v>45251</v>
      </c>
      <c r="F685" s="24">
        <v>45231</v>
      </c>
      <c r="G685" s="25">
        <v>3789765</v>
      </c>
      <c r="H685" s="26" t="s">
        <v>2516</v>
      </c>
      <c r="I685" s="34" t="s">
        <v>29</v>
      </c>
      <c r="J685" s="10"/>
      <c r="K685" s="39"/>
      <c r="L685" s="40">
        <v>45288</v>
      </c>
      <c r="M685" s="40">
        <v>45288</v>
      </c>
      <c r="N685" s="37">
        <v>3789765</v>
      </c>
      <c r="O685" s="37">
        <v>0</v>
      </c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4.25" customHeight="1">
      <c r="A686" s="9">
        <v>749</v>
      </c>
      <c r="B686" s="10"/>
      <c r="C686" s="21">
        <v>232360</v>
      </c>
      <c r="D686" s="22" t="s">
        <v>372</v>
      </c>
      <c r="E686" s="23">
        <v>45252</v>
      </c>
      <c r="F686" s="24">
        <v>45231</v>
      </c>
      <c r="G686" s="25">
        <v>2442000</v>
      </c>
      <c r="H686" s="26" t="s">
        <v>2517</v>
      </c>
      <c r="I686" s="34" t="s">
        <v>29</v>
      </c>
      <c r="J686" s="10"/>
      <c r="K686" s="39"/>
      <c r="L686" s="40">
        <v>45288</v>
      </c>
      <c r="M686" s="40">
        <v>45288</v>
      </c>
      <c r="N686" s="37">
        <v>2442000</v>
      </c>
      <c r="O686" s="37">
        <v>0</v>
      </c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4.25" customHeight="1">
      <c r="A687" s="9">
        <v>752</v>
      </c>
      <c r="B687" s="10"/>
      <c r="C687" s="21">
        <v>232413</v>
      </c>
      <c r="D687" s="22" t="s">
        <v>372</v>
      </c>
      <c r="E687" s="23">
        <v>45257</v>
      </c>
      <c r="F687" s="24">
        <v>45231</v>
      </c>
      <c r="G687" s="25">
        <v>1372931</v>
      </c>
      <c r="H687" s="26" t="s">
        <v>2518</v>
      </c>
      <c r="I687" s="34" t="s">
        <v>29</v>
      </c>
      <c r="J687" s="10"/>
      <c r="K687" s="39"/>
      <c r="L687" s="40">
        <v>45288</v>
      </c>
      <c r="M687" s="40">
        <v>45288</v>
      </c>
      <c r="N687" s="37">
        <v>1372931</v>
      </c>
      <c r="O687" s="37">
        <v>0</v>
      </c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4.25" customHeight="1">
      <c r="A688" s="9">
        <v>753</v>
      </c>
      <c r="B688" s="10"/>
      <c r="C688" s="21">
        <v>232414</v>
      </c>
      <c r="D688" s="22" t="s">
        <v>372</v>
      </c>
      <c r="E688" s="23">
        <v>45257</v>
      </c>
      <c r="F688" s="24">
        <v>45231</v>
      </c>
      <c r="G688" s="25">
        <v>1346985</v>
      </c>
      <c r="H688" s="26" t="s">
        <v>2519</v>
      </c>
      <c r="I688" s="34" t="s">
        <v>29</v>
      </c>
      <c r="J688" s="10"/>
      <c r="K688" s="39"/>
      <c r="L688" s="40">
        <v>45288</v>
      </c>
      <c r="M688" s="40">
        <v>45288</v>
      </c>
      <c r="N688" s="37">
        <v>1346985</v>
      </c>
      <c r="O688" s="37">
        <v>0</v>
      </c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4.25" customHeight="1">
      <c r="A689" s="9">
        <v>758</v>
      </c>
      <c r="B689" s="10"/>
      <c r="C689" s="21">
        <v>230050</v>
      </c>
      <c r="D689" s="22" t="s">
        <v>426</v>
      </c>
      <c r="E689" s="23">
        <v>44936</v>
      </c>
      <c r="F689" s="24">
        <v>44927</v>
      </c>
      <c r="G689" s="25">
        <v>1527697</v>
      </c>
      <c r="H689" s="26" t="s">
        <v>2520</v>
      </c>
      <c r="I689" s="34" t="s">
        <v>29</v>
      </c>
      <c r="J689" s="25">
        <v>8187697</v>
      </c>
      <c r="K689" s="40">
        <v>45071</v>
      </c>
      <c r="L689" s="40">
        <v>45071</v>
      </c>
      <c r="M689" s="40">
        <v>45072</v>
      </c>
      <c r="N689" s="37">
        <v>1527697</v>
      </c>
      <c r="O689" s="37">
        <v>0</v>
      </c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4.25" customHeight="1">
      <c r="A690" s="9">
        <v>759</v>
      </c>
      <c r="B690" s="10"/>
      <c r="C690" s="53">
        <v>230068</v>
      </c>
      <c r="D690" s="54" t="s">
        <v>426</v>
      </c>
      <c r="E690" s="55">
        <v>44938</v>
      </c>
      <c r="F690" s="56">
        <v>44927</v>
      </c>
      <c r="G690" s="57">
        <v>6660000</v>
      </c>
      <c r="H690" s="58" t="s">
        <v>2521</v>
      </c>
      <c r="I690" s="59" t="s">
        <v>29</v>
      </c>
      <c r="J690" s="58"/>
      <c r="K690" s="60"/>
      <c r="L690" s="61">
        <v>45071</v>
      </c>
      <c r="M690" s="61">
        <v>45072</v>
      </c>
      <c r="N690" s="62">
        <v>6660000</v>
      </c>
      <c r="O690" s="37">
        <v>0</v>
      </c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4.25" customHeight="1">
      <c r="A691" s="9">
        <v>760</v>
      </c>
      <c r="B691" s="10"/>
      <c r="C691" s="21">
        <v>230503</v>
      </c>
      <c r="D691" s="22" t="s">
        <v>426</v>
      </c>
      <c r="E691" s="23">
        <v>44988</v>
      </c>
      <c r="F691" s="24">
        <v>44986</v>
      </c>
      <c r="G691" s="25">
        <v>2131200</v>
      </c>
      <c r="H691" s="26" t="s">
        <v>2522</v>
      </c>
      <c r="I691" s="34" t="s">
        <v>29</v>
      </c>
      <c r="J691" s="25">
        <v>9645900</v>
      </c>
      <c r="K691" s="40">
        <v>45092</v>
      </c>
      <c r="L691" s="40">
        <v>45093</v>
      </c>
      <c r="M691" s="40">
        <v>45093</v>
      </c>
      <c r="N691" s="37">
        <v>2131200</v>
      </c>
      <c r="O691" s="37">
        <v>0</v>
      </c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4.25" customHeight="1">
      <c r="A692" s="9">
        <v>762</v>
      </c>
      <c r="B692" s="10"/>
      <c r="C692" s="21">
        <v>230504</v>
      </c>
      <c r="D692" s="22" t="s">
        <v>426</v>
      </c>
      <c r="E692" s="23">
        <v>44991</v>
      </c>
      <c r="F692" s="24">
        <v>44986</v>
      </c>
      <c r="G692" s="25">
        <v>3230100</v>
      </c>
      <c r="H692" s="26" t="s">
        <v>2523</v>
      </c>
      <c r="I692" s="34" t="s">
        <v>29</v>
      </c>
      <c r="J692" s="10"/>
      <c r="K692" s="39"/>
      <c r="L692" s="40">
        <v>45093</v>
      </c>
      <c r="M692" s="40">
        <v>45093</v>
      </c>
      <c r="N692" s="37">
        <v>3230100</v>
      </c>
      <c r="O692" s="37">
        <v>0</v>
      </c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4.25" customHeight="1">
      <c r="A693" s="9">
        <v>761</v>
      </c>
      <c r="B693" s="10"/>
      <c r="C693" s="21">
        <v>230505</v>
      </c>
      <c r="D693" s="22" t="s">
        <v>426</v>
      </c>
      <c r="E693" s="23">
        <v>44991</v>
      </c>
      <c r="F693" s="24">
        <v>44986</v>
      </c>
      <c r="G693" s="25">
        <v>954600</v>
      </c>
      <c r="H693" s="26" t="s">
        <v>2524</v>
      </c>
      <c r="I693" s="34" t="s">
        <v>29</v>
      </c>
      <c r="J693" s="10"/>
      <c r="K693" s="39"/>
      <c r="L693" s="40">
        <v>45093</v>
      </c>
      <c r="M693" s="40">
        <v>45093</v>
      </c>
      <c r="N693" s="37">
        <v>954600</v>
      </c>
      <c r="O693" s="37">
        <v>0</v>
      </c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4.25" customHeight="1">
      <c r="A694" s="9">
        <v>763</v>
      </c>
      <c r="B694" s="10"/>
      <c r="C694" s="21">
        <v>230605</v>
      </c>
      <c r="D694" s="22" t="s">
        <v>426</v>
      </c>
      <c r="E694" s="23">
        <v>45000</v>
      </c>
      <c r="F694" s="24">
        <v>44986</v>
      </c>
      <c r="G694" s="25">
        <v>3330000</v>
      </c>
      <c r="H694" s="26" t="s">
        <v>2525</v>
      </c>
      <c r="I694" s="34" t="s">
        <v>29</v>
      </c>
      <c r="J694" s="10"/>
      <c r="K694" s="39"/>
      <c r="L694" s="40">
        <v>45093</v>
      </c>
      <c r="M694" s="40">
        <v>45093</v>
      </c>
      <c r="N694" s="37">
        <v>3330000</v>
      </c>
      <c r="O694" s="37">
        <v>0</v>
      </c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4.25" customHeight="1">
      <c r="A695" s="9">
        <v>764</v>
      </c>
      <c r="B695" s="10"/>
      <c r="C695" s="21">
        <v>230686</v>
      </c>
      <c r="D695" s="22" t="s">
        <v>426</v>
      </c>
      <c r="E695" s="23">
        <v>45014</v>
      </c>
      <c r="F695" s="24">
        <v>44986</v>
      </c>
      <c r="G695" s="25">
        <v>999000</v>
      </c>
      <c r="H695" s="26" t="s">
        <v>2526</v>
      </c>
      <c r="I695" s="34" t="s">
        <v>29</v>
      </c>
      <c r="J695" s="25">
        <v>6309959</v>
      </c>
      <c r="K695" s="40">
        <v>45102</v>
      </c>
      <c r="L695" s="40">
        <v>45105</v>
      </c>
      <c r="M695" s="40">
        <v>45106</v>
      </c>
      <c r="N695" s="37">
        <v>999000</v>
      </c>
      <c r="O695" s="37">
        <v>0</v>
      </c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4.25" customHeight="1">
      <c r="A696" s="9">
        <v>765</v>
      </c>
      <c r="B696" s="10"/>
      <c r="C696" s="21">
        <v>230740</v>
      </c>
      <c r="D696" s="22" t="s">
        <v>426</v>
      </c>
      <c r="E696" s="23">
        <v>45019</v>
      </c>
      <c r="F696" s="24">
        <v>45017</v>
      </c>
      <c r="G696" s="25">
        <v>3463200</v>
      </c>
      <c r="H696" s="26" t="s">
        <v>2527</v>
      </c>
      <c r="I696" s="34" t="s">
        <v>29</v>
      </c>
      <c r="J696" s="10"/>
      <c r="K696" s="39"/>
      <c r="L696" s="40">
        <v>45105</v>
      </c>
      <c r="M696" s="40">
        <v>45106</v>
      </c>
      <c r="N696" s="37">
        <v>3463200</v>
      </c>
      <c r="O696" s="37">
        <v>0</v>
      </c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4.25" customHeight="1">
      <c r="A697" s="9">
        <v>766</v>
      </c>
      <c r="B697" s="10"/>
      <c r="C697" s="21">
        <v>230787</v>
      </c>
      <c r="D697" s="22" t="s">
        <v>426</v>
      </c>
      <c r="E697" s="23">
        <v>45026</v>
      </c>
      <c r="F697" s="24">
        <v>45017</v>
      </c>
      <c r="G697" s="25">
        <v>582359</v>
      </c>
      <c r="H697" s="26" t="s">
        <v>2528</v>
      </c>
      <c r="I697" s="34" t="s">
        <v>29</v>
      </c>
      <c r="J697" s="10"/>
      <c r="K697" s="39"/>
      <c r="L697" s="40">
        <v>45105</v>
      </c>
      <c r="M697" s="40">
        <v>45106</v>
      </c>
      <c r="N697" s="37">
        <v>582359</v>
      </c>
      <c r="O697" s="37">
        <v>0</v>
      </c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4.25" customHeight="1">
      <c r="A698" s="9">
        <v>767</v>
      </c>
      <c r="B698" s="10"/>
      <c r="C698" s="21">
        <v>230850</v>
      </c>
      <c r="D698" s="22" t="s">
        <v>426</v>
      </c>
      <c r="E698" s="23">
        <v>45033</v>
      </c>
      <c r="F698" s="24">
        <v>45017</v>
      </c>
      <c r="G698" s="25">
        <v>1265400</v>
      </c>
      <c r="H698" s="26" t="s">
        <v>2529</v>
      </c>
      <c r="I698" s="34" t="s">
        <v>29</v>
      </c>
      <c r="J698" s="10"/>
      <c r="K698" s="39"/>
      <c r="L698" s="40">
        <v>45105</v>
      </c>
      <c r="M698" s="40">
        <v>45106</v>
      </c>
      <c r="N698" s="37">
        <v>1265400</v>
      </c>
      <c r="O698" s="37">
        <v>0</v>
      </c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4.25" customHeight="1">
      <c r="A699" s="9">
        <v>768</v>
      </c>
      <c r="B699" s="10"/>
      <c r="C699" s="21">
        <v>230926</v>
      </c>
      <c r="D699" s="22" t="s">
        <v>426</v>
      </c>
      <c r="E699" s="23">
        <v>45054</v>
      </c>
      <c r="F699" s="24">
        <v>45047</v>
      </c>
      <c r="G699" s="25">
        <v>6859800</v>
      </c>
      <c r="H699" s="25" t="s">
        <v>2530</v>
      </c>
      <c r="I699" s="34" t="s">
        <v>29</v>
      </c>
      <c r="J699" s="25">
        <v>11677200</v>
      </c>
      <c r="K699" s="36">
        <v>45194</v>
      </c>
      <c r="L699" s="36">
        <v>45196</v>
      </c>
      <c r="M699" s="36">
        <v>45196</v>
      </c>
      <c r="N699" s="37">
        <v>6859800</v>
      </c>
      <c r="O699" s="37">
        <v>0</v>
      </c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4.25" customHeight="1">
      <c r="A700" s="9">
        <v>769</v>
      </c>
      <c r="B700" s="10"/>
      <c r="C700" s="21">
        <v>230974</v>
      </c>
      <c r="D700" s="22" t="s">
        <v>426</v>
      </c>
      <c r="E700" s="23">
        <v>45061</v>
      </c>
      <c r="F700" s="24">
        <v>45047</v>
      </c>
      <c r="G700" s="25">
        <v>9623700</v>
      </c>
      <c r="H700" s="25" t="s">
        <v>2531</v>
      </c>
      <c r="I700" s="34" t="s">
        <v>29</v>
      </c>
      <c r="J700" s="10"/>
      <c r="K700" s="39"/>
      <c r="L700" s="36">
        <v>45196</v>
      </c>
      <c r="M700" s="36">
        <v>45196</v>
      </c>
      <c r="N700" s="37">
        <v>9623700</v>
      </c>
      <c r="O700" s="37">
        <v>0</v>
      </c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4.25" customHeight="1">
      <c r="A701" s="9">
        <v>770</v>
      </c>
      <c r="B701" s="10"/>
      <c r="C701" s="21">
        <v>231050</v>
      </c>
      <c r="D701" s="22" t="s">
        <v>426</v>
      </c>
      <c r="E701" s="23">
        <v>45076</v>
      </c>
      <c r="F701" s="24">
        <v>45047</v>
      </c>
      <c r="G701" s="25">
        <v>954600</v>
      </c>
      <c r="H701" s="25" t="s">
        <v>2532</v>
      </c>
      <c r="I701" s="34" t="s">
        <v>29</v>
      </c>
      <c r="J701" s="10"/>
      <c r="K701" s="39"/>
      <c r="L701" s="36">
        <v>45196</v>
      </c>
      <c r="M701" s="36">
        <v>45196</v>
      </c>
      <c r="N701" s="37">
        <v>954600</v>
      </c>
      <c r="O701" s="37">
        <v>0</v>
      </c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4.25" customHeight="1">
      <c r="A702" s="9">
        <v>771</v>
      </c>
      <c r="B702" s="10"/>
      <c r="C702" s="21">
        <v>231102</v>
      </c>
      <c r="D702" s="22" t="s">
        <v>426</v>
      </c>
      <c r="E702" s="23">
        <v>45082</v>
      </c>
      <c r="F702" s="24">
        <v>45078</v>
      </c>
      <c r="G702" s="25">
        <v>899100</v>
      </c>
      <c r="H702" s="25" t="s">
        <v>2533</v>
      </c>
      <c r="I702" s="34" t="s">
        <v>29</v>
      </c>
      <c r="J702" s="10"/>
      <c r="K702" s="39"/>
      <c r="L702" s="36">
        <v>45196</v>
      </c>
      <c r="M702" s="36">
        <v>45196</v>
      </c>
      <c r="N702" s="37">
        <v>899100</v>
      </c>
      <c r="O702" s="37">
        <v>0</v>
      </c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4.25" customHeight="1">
      <c r="A703" s="9">
        <v>773</v>
      </c>
      <c r="B703" s="10"/>
      <c r="C703" s="21">
        <v>231582</v>
      </c>
      <c r="D703" s="22" t="s">
        <v>426</v>
      </c>
      <c r="E703" s="23">
        <v>45152</v>
      </c>
      <c r="F703" s="24">
        <v>45139</v>
      </c>
      <c r="G703" s="25">
        <v>2264400</v>
      </c>
      <c r="H703" s="25" t="s">
        <v>2534</v>
      </c>
      <c r="I703" s="34" t="s">
        <v>29</v>
      </c>
      <c r="J703" s="27">
        <v>4395600</v>
      </c>
      <c r="K703" s="39">
        <v>45260</v>
      </c>
      <c r="L703" s="36">
        <v>45260</v>
      </c>
      <c r="M703" s="36">
        <v>45260</v>
      </c>
      <c r="N703" s="37">
        <v>2264400</v>
      </c>
      <c r="O703" s="37">
        <v>0</v>
      </c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4.25" customHeight="1">
      <c r="A704" s="9">
        <v>774</v>
      </c>
      <c r="B704" s="10"/>
      <c r="C704" s="21">
        <v>231717</v>
      </c>
      <c r="D704" s="22" t="s">
        <v>426</v>
      </c>
      <c r="E704" s="23">
        <v>45163</v>
      </c>
      <c r="F704" s="24">
        <v>45139</v>
      </c>
      <c r="G704" s="25">
        <v>2131200</v>
      </c>
      <c r="H704" s="25" t="s">
        <v>2535</v>
      </c>
      <c r="I704" s="34" t="s">
        <v>29</v>
      </c>
      <c r="J704" s="10"/>
      <c r="K704" s="39"/>
      <c r="L704" s="36">
        <v>45260</v>
      </c>
      <c r="M704" s="36">
        <v>45260</v>
      </c>
      <c r="N704" s="37">
        <v>2131200</v>
      </c>
      <c r="O704" s="37">
        <v>0</v>
      </c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4.25" customHeight="1">
      <c r="A705" s="9">
        <v>775</v>
      </c>
      <c r="B705" s="10"/>
      <c r="C705" s="9">
        <v>231913</v>
      </c>
      <c r="D705" s="11" t="s">
        <v>426</v>
      </c>
      <c r="E705" s="12">
        <v>45187</v>
      </c>
      <c r="F705" s="13">
        <v>45170</v>
      </c>
      <c r="G705" s="27">
        <v>618634</v>
      </c>
      <c r="H705" s="27" t="s">
        <v>2536</v>
      </c>
      <c r="I705" s="34">
        <v>103.606678703705</v>
      </c>
      <c r="J705" s="27">
        <v>9759484</v>
      </c>
      <c r="K705" s="39"/>
      <c r="L705" s="39"/>
      <c r="M705" s="39"/>
      <c r="N705" s="37">
        <v>0</v>
      </c>
      <c r="O705" s="37">
        <v>618634</v>
      </c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4.25" customHeight="1">
      <c r="A706" s="9">
        <v>776</v>
      </c>
      <c r="B706" s="10"/>
      <c r="C706" s="9">
        <v>231920</v>
      </c>
      <c r="D706" s="11" t="s">
        <v>426</v>
      </c>
      <c r="E706" s="12">
        <v>45190</v>
      </c>
      <c r="F706" s="13">
        <v>45170</v>
      </c>
      <c r="G706" s="27">
        <v>6743250</v>
      </c>
      <c r="H706" s="27" t="s">
        <v>2537</v>
      </c>
      <c r="I706" s="34">
        <v>100.606678703705</v>
      </c>
      <c r="J706" s="10"/>
      <c r="K706" s="39"/>
      <c r="L706" s="39"/>
      <c r="M706" s="39"/>
      <c r="N706" s="37">
        <v>0</v>
      </c>
      <c r="O706" s="37">
        <v>6743250</v>
      </c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4.25" customHeight="1">
      <c r="A707" s="9">
        <v>777</v>
      </c>
      <c r="B707" s="10"/>
      <c r="C707" s="9">
        <v>232122</v>
      </c>
      <c r="D707" s="11" t="s">
        <v>426</v>
      </c>
      <c r="E707" s="12">
        <v>45212</v>
      </c>
      <c r="F707" s="13">
        <v>45200</v>
      </c>
      <c r="G707" s="27">
        <v>2397600</v>
      </c>
      <c r="H707" s="27" t="s">
        <v>2538</v>
      </c>
      <c r="I707" s="34">
        <v>78.606678703705299</v>
      </c>
      <c r="J707" s="10"/>
      <c r="K707" s="39"/>
      <c r="L707" s="39"/>
      <c r="M707" s="39"/>
      <c r="N707" s="37">
        <v>0</v>
      </c>
      <c r="O707" s="37">
        <v>2397600</v>
      </c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4.25" customHeight="1">
      <c r="A708" s="9">
        <v>778</v>
      </c>
      <c r="B708" s="10"/>
      <c r="C708" s="9">
        <v>232168</v>
      </c>
      <c r="D708" s="11" t="s">
        <v>426</v>
      </c>
      <c r="E708" s="12">
        <v>45224</v>
      </c>
      <c r="F708" s="13">
        <v>45200</v>
      </c>
      <c r="G708" s="27">
        <v>4928400</v>
      </c>
      <c r="H708" s="27" t="s">
        <v>2539</v>
      </c>
      <c r="I708" s="34">
        <v>66.606678703705299</v>
      </c>
      <c r="J708" s="10"/>
      <c r="K708" s="39"/>
      <c r="L708" s="39"/>
      <c r="M708" s="39"/>
      <c r="N708" s="37">
        <v>0</v>
      </c>
      <c r="O708" s="37">
        <v>4928400</v>
      </c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4.25" customHeight="1">
      <c r="A709" s="9">
        <v>772</v>
      </c>
      <c r="B709" s="10"/>
      <c r="C709" s="21"/>
      <c r="D709" s="22" t="s">
        <v>426</v>
      </c>
      <c r="E709" s="50"/>
      <c r="F709" s="24"/>
      <c r="G709" s="44">
        <v>-6660000</v>
      </c>
      <c r="H709" s="25" t="s">
        <v>2540</v>
      </c>
      <c r="I709" s="34" t="s">
        <v>29</v>
      </c>
      <c r="J709" s="10"/>
      <c r="K709" s="39"/>
      <c r="L709" s="36">
        <v>45196</v>
      </c>
      <c r="M709" s="36">
        <v>45196</v>
      </c>
      <c r="N709" s="37">
        <v>-6660000</v>
      </c>
      <c r="O709" s="37">
        <v>0</v>
      </c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4.25" customHeight="1">
      <c r="A710" s="9">
        <v>784</v>
      </c>
      <c r="B710" s="10"/>
      <c r="C710" s="21">
        <v>230465</v>
      </c>
      <c r="D710" s="22" t="s">
        <v>427</v>
      </c>
      <c r="E710" s="23">
        <v>44988</v>
      </c>
      <c r="F710" s="24">
        <v>44986</v>
      </c>
      <c r="G710" s="25">
        <v>1206148</v>
      </c>
      <c r="H710" s="26" t="s">
        <v>2541</v>
      </c>
      <c r="I710" s="34" t="s">
        <v>29</v>
      </c>
      <c r="J710" s="10"/>
      <c r="K710" s="39"/>
      <c r="L710" s="40">
        <v>45071</v>
      </c>
      <c r="M710" s="40">
        <v>45072</v>
      </c>
      <c r="N710" s="37">
        <v>1206148</v>
      </c>
      <c r="O710" s="37">
        <v>0</v>
      </c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4.25" customHeight="1">
      <c r="A711" s="9">
        <v>783</v>
      </c>
      <c r="B711" s="10"/>
      <c r="C711" s="21">
        <v>230466</v>
      </c>
      <c r="D711" s="22" t="s">
        <v>427</v>
      </c>
      <c r="E711" s="23">
        <v>44988</v>
      </c>
      <c r="F711" s="24">
        <v>44986</v>
      </c>
      <c r="G711" s="25">
        <v>2008107</v>
      </c>
      <c r="H711" s="26" t="s">
        <v>2542</v>
      </c>
      <c r="I711" s="34" t="s">
        <v>29</v>
      </c>
      <c r="J711" s="25">
        <v>6025931</v>
      </c>
      <c r="K711" s="40">
        <v>45071</v>
      </c>
      <c r="L711" s="40">
        <v>45071</v>
      </c>
      <c r="M711" s="40">
        <v>45072</v>
      </c>
      <c r="N711" s="37">
        <v>2008107</v>
      </c>
      <c r="O711" s="37">
        <v>0</v>
      </c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4.25" customHeight="1">
      <c r="A712" s="9">
        <v>785</v>
      </c>
      <c r="B712" s="10"/>
      <c r="C712" s="21">
        <v>230568</v>
      </c>
      <c r="D712" s="22" t="s">
        <v>427</v>
      </c>
      <c r="E712" s="23">
        <v>45001</v>
      </c>
      <c r="F712" s="24">
        <v>44986</v>
      </c>
      <c r="G712" s="25">
        <v>1744920</v>
      </c>
      <c r="H712" s="26" t="s">
        <v>2543</v>
      </c>
      <c r="I712" s="34" t="s">
        <v>29</v>
      </c>
      <c r="J712" s="10"/>
      <c r="K712" s="39"/>
      <c r="L712" s="40">
        <v>45071</v>
      </c>
      <c r="M712" s="40">
        <v>45072</v>
      </c>
      <c r="N712" s="37">
        <v>1744920</v>
      </c>
      <c r="O712" s="37">
        <v>0</v>
      </c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4.25" customHeight="1">
      <c r="A713" s="9">
        <v>786</v>
      </c>
      <c r="B713" s="10"/>
      <c r="C713" s="21">
        <v>230569</v>
      </c>
      <c r="D713" s="22" t="s">
        <v>427</v>
      </c>
      <c r="E713" s="23">
        <v>45001</v>
      </c>
      <c r="F713" s="24">
        <v>44986</v>
      </c>
      <c r="G713" s="25">
        <v>1066756</v>
      </c>
      <c r="H713" s="26" t="s">
        <v>2544</v>
      </c>
      <c r="I713" s="34" t="s">
        <v>29</v>
      </c>
      <c r="J713" s="10"/>
      <c r="K713" s="39"/>
      <c r="L713" s="40">
        <v>45071</v>
      </c>
      <c r="M713" s="40">
        <v>45072</v>
      </c>
      <c r="N713" s="37">
        <v>1066756</v>
      </c>
      <c r="O713" s="37">
        <v>0</v>
      </c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4.25" customHeight="1">
      <c r="A714" s="9">
        <v>787</v>
      </c>
      <c r="B714" s="10"/>
      <c r="C714" s="21">
        <v>230755</v>
      </c>
      <c r="D714" s="22" t="s">
        <v>427</v>
      </c>
      <c r="E714" s="23">
        <v>45020</v>
      </c>
      <c r="F714" s="24">
        <v>45017</v>
      </c>
      <c r="G714" s="25">
        <v>582156</v>
      </c>
      <c r="H714" s="26" t="s">
        <v>2545</v>
      </c>
      <c r="I714" s="34" t="s">
        <v>29</v>
      </c>
      <c r="J714" s="25">
        <v>2862205</v>
      </c>
      <c r="K714" s="40">
        <v>45079</v>
      </c>
      <c r="L714" s="40">
        <v>45079</v>
      </c>
      <c r="M714" s="40">
        <v>45080</v>
      </c>
      <c r="N714" s="37">
        <v>582156</v>
      </c>
      <c r="O714" s="37">
        <v>0</v>
      </c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4.25" customHeight="1">
      <c r="A715" s="9">
        <v>788</v>
      </c>
      <c r="B715" s="10"/>
      <c r="C715" s="21">
        <v>230771</v>
      </c>
      <c r="D715" s="22" t="s">
        <v>427</v>
      </c>
      <c r="E715" s="23">
        <v>45021</v>
      </c>
      <c r="F715" s="24">
        <v>45017</v>
      </c>
      <c r="G715" s="25">
        <v>648609</v>
      </c>
      <c r="H715" s="26" t="s">
        <v>2546</v>
      </c>
      <c r="I715" s="34" t="s">
        <v>29</v>
      </c>
      <c r="J715" s="10"/>
      <c r="K715" s="39"/>
      <c r="L715" s="40">
        <v>45079</v>
      </c>
      <c r="M715" s="40">
        <v>45080</v>
      </c>
      <c r="N715" s="37">
        <v>648609</v>
      </c>
      <c r="O715" s="37">
        <v>0</v>
      </c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4.25" customHeight="1">
      <c r="A716" s="9">
        <v>789</v>
      </c>
      <c r="B716" s="10"/>
      <c r="C716" s="21">
        <v>230801</v>
      </c>
      <c r="D716" s="22" t="s">
        <v>427</v>
      </c>
      <c r="E716" s="23">
        <v>45027</v>
      </c>
      <c r="F716" s="24">
        <v>45017</v>
      </c>
      <c r="G716" s="25">
        <v>318082</v>
      </c>
      <c r="H716" s="26" t="s">
        <v>2547</v>
      </c>
      <c r="I716" s="34" t="s">
        <v>29</v>
      </c>
      <c r="J716" s="10"/>
      <c r="K716" s="39"/>
      <c r="L716" s="40">
        <v>45079</v>
      </c>
      <c r="M716" s="40">
        <v>45080</v>
      </c>
      <c r="N716" s="37">
        <v>318082</v>
      </c>
      <c r="O716" s="37">
        <v>0</v>
      </c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4.25" customHeight="1">
      <c r="A717" s="9">
        <v>790</v>
      </c>
      <c r="B717" s="10"/>
      <c r="C717" s="21">
        <v>230834</v>
      </c>
      <c r="D717" s="22" t="s">
        <v>427</v>
      </c>
      <c r="E717" s="23">
        <v>45033</v>
      </c>
      <c r="F717" s="24">
        <v>45017</v>
      </c>
      <c r="G717" s="25">
        <v>653568</v>
      </c>
      <c r="H717" s="26" t="s">
        <v>2548</v>
      </c>
      <c r="I717" s="34" t="s">
        <v>29</v>
      </c>
      <c r="J717" s="10"/>
      <c r="K717" s="39"/>
      <c r="L717" s="40">
        <v>45079</v>
      </c>
      <c r="M717" s="40">
        <v>45080</v>
      </c>
      <c r="N717" s="37">
        <v>653568</v>
      </c>
      <c r="O717" s="37">
        <v>0</v>
      </c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4.25" customHeight="1">
      <c r="A718" s="9">
        <v>791</v>
      </c>
      <c r="B718" s="10"/>
      <c r="C718" s="21">
        <v>230920</v>
      </c>
      <c r="D718" s="22" t="s">
        <v>427</v>
      </c>
      <c r="E718" s="23">
        <v>45051</v>
      </c>
      <c r="F718" s="24">
        <v>45047</v>
      </c>
      <c r="G718" s="25">
        <v>659790</v>
      </c>
      <c r="H718" s="26" t="s">
        <v>2549</v>
      </c>
      <c r="I718" s="34" t="s">
        <v>29</v>
      </c>
      <c r="J718" s="10"/>
      <c r="K718" s="39"/>
      <c r="L718" s="40">
        <v>45079</v>
      </c>
      <c r="M718" s="40">
        <v>45080</v>
      </c>
      <c r="N718" s="37">
        <v>659790</v>
      </c>
      <c r="O718" s="37">
        <v>0</v>
      </c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4.25" customHeight="1">
      <c r="A719" s="9">
        <v>792</v>
      </c>
      <c r="B719" s="10"/>
      <c r="C719" s="21">
        <v>231110</v>
      </c>
      <c r="D719" s="22" t="s">
        <v>427</v>
      </c>
      <c r="E719" s="23">
        <v>45080</v>
      </c>
      <c r="F719" s="24">
        <v>45078</v>
      </c>
      <c r="G719" s="25">
        <v>2244533</v>
      </c>
      <c r="H719" s="26" t="s">
        <v>2550</v>
      </c>
      <c r="I719" s="34" t="s">
        <v>29</v>
      </c>
      <c r="J719" s="25">
        <v>7483777</v>
      </c>
      <c r="K719" s="36">
        <v>45148</v>
      </c>
      <c r="L719" s="40">
        <v>45148</v>
      </c>
      <c r="M719" s="40">
        <v>45148</v>
      </c>
      <c r="N719" s="37">
        <v>2244533</v>
      </c>
      <c r="O719" s="37">
        <v>0</v>
      </c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4.25" customHeight="1">
      <c r="A720" s="9">
        <v>794</v>
      </c>
      <c r="B720" s="10"/>
      <c r="C720" s="21">
        <v>231170</v>
      </c>
      <c r="D720" s="22" t="s">
        <v>427</v>
      </c>
      <c r="E720" s="23">
        <v>45091</v>
      </c>
      <c r="F720" s="24">
        <v>45078</v>
      </c>
      <c r="G720" s="25">
        <v>932888</v>
      </c>
      <c r="H720" s="26" t="s">
        <v>2551</v>
      </c>
      <c r="I720" s="34" t="s">
        <v>29</v>
      </c>
      <c r="J720" s="10"/>
      <c r="K720" s="39"/>
      <c r="L720" s="40">
        <v>45148</v>
      </c>
      <c r="M720" s="40">
        <v>45148</v>
      </c>
      <c r="N720" s="37">
        <v>932888</v>
      </c>
      <c r="O720" s="37">
        <v>0</v>
      </c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4.25" customHeight="1">
      <c r="A721" s="9">
        <v>793</v>
      </c>
      <c r="B721" s="10"/>
      <c r="C721" s="21">
        <v>231173</v>
      </c>
      <c r="D721" s="22" t="s">
        <v>427</v>
      </c>
      <c r="E721" s="23">
        <v>45091</v>
      </c>
      <c r="F721" s="24">
        <v>45078</v>
      </c>
      <c r="G721" s="25">
        <v>1904150</v>
      </c>
      <c r="H721" s="26" t="s">
        <v>2552</v>
      </c>
      <c r="I721" s="34" t="s">
        <v>29</v>
      </c>
      <c r="J721" s="10"/>
      <c r="K721" s="39"/>
      <c r="L721" s="40">
        <v>45148</v>
      </c>
      <c r="M721" s="40">
        <v>45148</v>
      </c>
      <c r="N721" s="37">
        <v>1904150</v>
      </c>
      <c r="O721" s="37">
        <v>0</v>
      </c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4.25" customHeight="1">
      <c r="A722" s="9">
        <v>795</v>
      </c>
      <c r="B722" s="10"/>
      <c r="C722" s="21">
        <v>231269</v>
      </c>
      <c r="D722" s="22" t="s">
        <v>427</v>
      </c>
      <c r="E722" s="23">
        <v>45099</v>
      </c>
      <c r="F722" s="24">
        <v>45078</v>
      </c>
      <c r="G722" s="25">
        <v>565989</v>
      </c>
      <c r="H722" s="26" t="s">
        <v>2553</v>
      </c>
      <c r="I722" s="34" t="s">
        <v>29</v>
      </c>
      <c r="J722" s="10"/>
      <c r="K722" s="39"/>
      <c r="L722" s="40">
        <v>45148</v>
      </c>
      <c r="M722" s="40">
        <v>45148</v>
      </c>
      <c r="N722" s="37">
        <v>565989</v>
      </c>
      <c r="O722" s="37">
        <v>0</v>
      </c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4.25" customHeight="1">
      <c r="A723" s="9">
        <v>796</v>
      </c>
      <c r="B723" s="10"/>
      <c r="C723" s="21">
        <v>231243</v>
      </c>
      <c r="D723" s="22" t="s">
        <v>427</v>
      </c>
      <c r="E723" s="23">
        <v>45100</v>
      </c>
      <c r="F723" s="24">
        <v>45078</v>
      </c>
      <c r="G723" s="25">
        <v>735952</v>
      </c>
      <c r="H723" s="26" t="s">
        <v>2554</v>
      </c>
      <c r="I723" s="34" t="s">
        <v>29</v>
      </c>
      <c r="J723" s="10"/>
      <c r="K723" s="39"/>
      <c r="L723" s="40">
        <v>45148</v>
      </c>
      <c r="M723" s="40">
        <v>45148</v>
      </c>
      <c r="N723" s="37">
        <v>735952</v>
      </c>
      <c r="O723" s="37">
        <v>0</v>
      </c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4.25" customHeight="1">
      <c r="A724" s="9">
        <v>797</v>
      </c>
      <c r="B724" s="10"/>
      <c r="C724" s="21">
        <v>231365</v>
      </c>
      <c r="D724" s="22" t="s">
        <v>427</v>
      </c>
      <c r="E724" s="23">
        <v>45118</v>
      </c>
      <c r="F724" s="24">
        <v>45108</v>
      </c>
      <c r="G724" s="25">
        <v>1100265</v>
      </c>
      <c r="H724" s="26" t="s">
        <v>2555</v>
      </c>
      <c r="I724" s="34" t="s">
        <v>29</v>
      </c>
      <c r="J724" s="10"/>
      <c r="K724" s="39"/>
      <c r="L724" s="40">
        <v>45148</v>
      </c>
      <c r="M724" s="40">
        <v>45148</v>
      </c>
      <c r="N724" s="37">
        <v>1100265</v>
      </c>
      <c r="O724" s="37">
        <v>0</v>
      </c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4.25" customHeight="1">
      <c r="A725" s="9">
        <v>798</v>
      </c>
      <c r="B725" s="10"/>
      <c r="C725" s="21">
        <v>231395</v>
      </c>
      <c r="D725" s="22" t="s">
        <v>427</v>
      </c>
      <c r="E725" s="23">
        <v>45124</v>
      </c>
      <c r="F725" s="24">
        <v>45108</v>
      </c>
      <c r="G725" s="25">
        <v>459540</v>
      </c>
      <c r="H725" s="26" t="s">
        <v>2556</v>
      </c>
      <c r="I725" s="34" t="s">
        <v>29</v>
      </c>
      <c r="J725" s="25">
        <v>2997429</v>
      </c>
      <c r="K725" s="36">
        <v>45180</v>
      </c>
      <c r="L725" s="40">
        <v>45180</v>
      </c>
      <c r="M725" s="40">
        <v>45180</v>
      </c>
      <c r="N725" s="37">
        <v>459540</v>
      </c>
      <c r="O725" s="37">
        <v>0</v>
      </c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4.25" customHeight="1">
      <c r="A726" s="9">
        <v>799</v>
      </c>
      <c r="B726" s="10"/>
      <c r="C726" s="21">
        <v>231396</v>
      </c>
      <c r="D726" s="22" t="s">
        <v>427</v>
      </c>
      <c r="E726" s="23">
        <v>45124</v>
      </c>
      <c r="F726" s="24">
        <v>45108</v>
      </c>
      <c r="G726" s="25">
        <v>583999</v>
      </c>
      <c r="H726" s="26" t="s">
        <v>2557</v>
      </c>
      <c r="I726" s="34" t="s">
        <v>29</v>
      </c>
      <c r="J726" s="10"/>
      <c r="K726" s="39"/>
      <c r="L726" s="40">
        <v>45180</v>
      </c>
      <c r="M726" s="40">
        <v>45180</v>
      </c>
      <c r="N726" s="37">
        <v>583999</v>
      </c>
      <c r="O726" s="37">
        <v>0</v>
      </c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4.25" customHeight="1">
      <c r="A727" s="9">
        <v>800</v>
      </c>
      <c r="B727" s="10"/>
      <c r="C727" s="21">
        <v>231441</v>
      </c>
      <c r="D727" s="22" t="s">
        <v>427</v>
      </c>
      <c r="E727" s="23">
        <v>45131</v>
      </c>
      <c r="F727" s="24">
        <v>45108</v>
      </c>
      <c r="G727" s="25">
        <v>718836</v>
      </c>
      <c r="H727" s="26" t="s">
        <v>2558</v>
      </c>
      <c r="I727" s="34" t="s">
        <v>29</v>
      </c>
      <c r="J727" s="10"/>
      <c r="K727" s="39"/>
      <c r="L727" s="40">
        <v>45180</v>
      </c>
      <c r="M727" s="40">
        <v>45180</v>
      </c>
      <c r="N727" s="37">
        <v>718836</v>
      </c>
      <c r="O727" s="37">
        <v>0</v>
      </c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4.25" customHeight="1">
      <c r="A728" s="9">
        <v>801</v>
      </c>
      <c r="B728" s="10"/>
      <c r="C728" s="21">
        <v>231457</v>
      </c>
      <c r="D728" s="22" t="s">
        <v>427</v>
      </c>
      <c r="E728" s="23">
        <v>45132</v>
      </c>
      <c r="F728" s="24">
        <v>45108</v>
      </c>
      <c r="G728" s="25">
        <v>552717</v>
      </c>
      <c r="H728" s="26" t="s">
        <v>2559</v>
      </c>
      <c r="I728" s="34" t="s">
        <v>29</v>
      </c>
      <c r="J728" s="10"/>
      <c r="K728" s="39"/>
      <c r="L728" s="40">
        <v>45180</v>
      </c>
      <c r="M728" s="40">
        <v>45180</v>
      </c>
      <c r="N728" s="37">
        <v>552717</v>
      </c>
      <c r="O728" s="37">
        <v>0</v>
      </c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4.25" customHeight="1">
      <c r="A729" s="9">
        <v>802</v>
      </c>
      <c r="B729" s="10"/>
      <c r="C729" s="21">
        <v>231473</v>
      </c>
      <c r="D729" s="22" t="s">
        <v>427</v>
      </c>
      <c r="E729" s="23">
        <v>45136</v>
      </c>
      <c r="F729" s="24">
        <v>45108</v>
      </c>
      <c r="G729" s="25">
        <v>682337</v>
      </c>
      <c r="H729" s="26" t="s">
        <v>2560</v>
      </c>
      <c r="I729" s="34" t="s">
        <v>29</v>
      </c>
      <c r="J729" s="10"/>
      <c r="K729" s="39"/>
      <c r="L729" s="40">
        <v>45180</v>
      </c>
      <c r="M729" s="40">
        <v>45180</v>
      </c>
      <c r="N729" s="37">
        <v>682337</v>
      </c>
      <c r="O729" s="37">
        <v>0</v>
      </c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4.25" customHeight="1">
      <c r="A730" s="9">
        <v>803</v>
      </c>
      <c r="B730" s="10"/>
      <c r="C730" s="21">
        <v>231545</v>
      </c>
      <c r="D730" s="22" t="s">
        <v>427</v>
      </c>
      <c r="E730" s="23">
        <v>45145</v>
      </c>
      <c r="F730" s="24">
        <v>45139</v>
      </c>
      <c r="G730" s="25">
        <v>1330991</v>
      </c>
      <c r="H730" s="26" t="s">
        <v>2561</v>
      </c>
      <c r="I730" s="34">
        <v>145.606678703705</v>
      </c>
      <c r="J730" s="27">
        <v>7535544</v>
      </c>
      <c r="K730" s="39">
        <v>45224</v>
      </c>
      <c r="L730" s="40">
        <v>45225</v>
      </c>
      <c r="M730" s="40">
        <v>45225</v>
      </c>
      <c r="N730" s="37">
        <v>1330991</v>
      </c>
      <c r="O730" s="37">
        <v>0</v>
      </c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4.25" customHeight="1">
      <c r="A731" s="9">
        <v>804</v>
      </c>
      <c r="B731" s="10"/>
      <c r="C731" s="21">
        <v>231622</v>
      </c>
      <c r="D731" s="22" t="s">
        <v>427</v>
      </c>
      <c r="E731" s="23">
        <v>45154</v>
      </c>
      <c r="F731" s="24">
        <v>45139</v>
      </c>
      <c r="G731" s="25">
        <v>1964858</v>
      </c>
      <c r="H731" s="26" t="s">
        <v>2562</v>
      </c>
      <c r="I731" s="34">
        <v>136.606678703705</v>
      </c>
      <c r="J731" s="10"/>
      <c r="K731" s="39"/>
      <c r="L731" s="40">
        <v>45225</v>
      </c>
      <c r="M731" s="40">
        <v>45225</v>
      </c>
      <c r="N731" s="37">
        <v>1964858</v>
      </c>
      <c r="O731" s="37">
        <v>0</v>
      </c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4.25" customHeight="1">
      <c r="A732" s="9">
        <v>805</v>
      </c>
      <c r="B732" s="10"/>
      <c r="C732" s="21">
        <v>231680</v>
      </c>
      <c r="D732" s="22" t="s">
        <v>427</v>
      </c>
      <c r="E732" s="23">
        <v>45157</v>
      </c>
      <c r="F732" s="24">
        <v>45139</v>
      </c>
      <c r="G732" s="25">
        <v>444444</v>
      </c>
      <c r="H732" s="26" t="s">
        <v>2563</v>
      </c>
      <c r="I732" s="34">
        <v>133.606678703705</v>
      </c>
      <c r="J732" s="10"/>
      <c r="K732" s="39"/>
      <c r="L732" s="40">
        <v>45225</v>
      </c>
      <c r="M732" s="40">
        <v>45225</v>
      </c>
      <c r="N732" s="37">
        <v>444444</v>
      </c>
      <c r="O732" s="37">
        <v>0</v>
      </c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4.25" customHeight="1">
      <c r="A733" s="9">
        <v>806</v>
      </c>
      <c r="B733" s="10"/>
      <c r="C733" s="21">
        <v>231695</v>
      </c>
      <c r="D733" s="22" t="s">
        <v>427</v>
      </c>
      <c r="E733" s="23">
        <v>45159</v>
      </c>
      <c r="F733" s="24">
        <v>45139</v>
      </c>
      <c r="G733" s="25">
        <v>443190</v>
      </c>
      <c r="H733" s="26" t="s">
        <v>2564</v>
      </c>
      <c r="I733" s="34">
        <v>131.606678703705</v>
      </c>
      <c r="J733" s="10"/>
      <c r="K733" s="39"/>
      <c r="L733" s="40">
        <v>45225</v>
      </c>
      <c r="M733" s="40">
        <v>45225</v>
      </c>
      <c r="N733" s="37">
        <v>443190</v>
      </c>
      <c r="O733" s="37">
        <v>0</v>
      </c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4.25" customHeight="1">
      <c r="A734" s="9">
        <v>807</v>
      </c>
      <c r="B734" s="10"/>
      <c r="C734" s="21">
        <v>231750</v>
      </c>
      <c r="D734" s="22" t="s">
        <v>427</v>
      </c>
      <c r="E734" s="23">
        <v>45166</v>
      </c>
      <c r="F734" s="24">
        <v>45139</v>
      </c>
      <c r="G734" s="25">
        <v>1764694</v>
      </c>
      <c r="H734" s="26" t="s">
        <v>2565</v>
      </c>
      <c r="I734" s="34">
        <v>124.606678703705</v>
      </c>
      <c r="J734" s="10"/>
      <c r="K734" s="39"/>
      <c r="L734" s="40">
        <v>45225</v>
      </c>
      <c r="M734" s="40">
        <v>45225</v>
      </c>
      <c r="N734" s="37">
        <v>1764694</v>
      </c>
      <c r="O734" s="37">
        <v>0</v>
      </c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4.25" customHeight="1">
      <c r="A735" s="9">
        <v>808</v>
      </c>
      <c r="B735" s="10"/>
      <c r="C735" s="21">
        <v>231803</v>
      </c>
      <c r="D735" s="22" t="s">
        <v>427</v>
      </c>
      <c r="E735" s="23">
        <v>45170</v>
      </c>
      <c r="F735" s="24">
        <v>45170</v>
      </c>
      <c r="G735" s="25">
        <v>423687</v>
      </c>
      <c r="H735" s="26" t="s">
        <v>2566</v>
      </c>
      <c r="I735" s="34">
        <v>120.606678703705</v>
      </c>
      <c r="J735" s="10"/>
      <c r="K735" s="39"/>
      <c r="L735" s="40">
        <v>45225</v>
      </c>
      <c r="M735" s="40">
        <v>45225</v>
      </c>
      <c r="N735" s="37">
        <v>423687</v>
      </c>
      <c r="O735" s="37">
        <v>0</v>
      </c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4.25" customHeight="1">
      <c r="A736" s="9">
        <v>809</v>
      </c>
      <c r="B736" s="10"/>
      <c r="C736" s="21">
        <v>231854</v>
      </c>
      <c r="D736" s="22" t="s">
        <v>427</v>
      </c>
      <c r="E736" s="23">
        <v>45178</v>
      </c>
      <c r="F736" s="24">
        <v>45170</v>
      </c>
      <c r="G736" s="25">
        <v>1163680</v>
      </c>
      <c r="H736" s="26" t="s">
        <v>2567</v>
      </c>
      <c r="I736" s="34" t="s">
        <v>29</v>
      </c>
      <c r="J736" s="10"/>
      <c r="K736" s="39"/>
      <c r="L736" s="40">
        <v>45225</v>
      </c>
      <c r="M736" s="40">
        <v>45225</v>
      </c>
      <c r="N736" s="37">
        <v>1163680</v>
      </c>
      <c r="O736" s="37">
        <v>0</v>
      </c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4.25" customHeight="1">
      <c r="A737" s="9">
        <v>810</v>
      </c>
      <c r="B737" s="10"/>
      <c r="C737" s="21">
        <v>231934</v>
      </c>
      <c r="D737" s="22" t="s">
        <v>427</v>
      </c>
      <c r="E737" s="23">
        <v>45188</v>
      </c>
      <c r="F737" s="24">
        <v>45170</v>
      </c>
      <c r="G737" s="25">
        <v>1414334</v>
      </c>
      <c r="H737" s="26" t="s">
        <v>2568</v>
      </c>
      <c r="I737" s="34" t="s">
        <v>29</v>
      </c>
      <c r="J737" s="27">
        <v>2841762</v>
      </c>
      <c r="K737" s="39">
        <v>45260</v>
      </c>
      <c r="L737" s="40">
        <v>45260</v>
      </c>
      <c r="M737" s="40">
        <v>45260</v>
      </c>
      <c r="N737" s="37">
        <v>1414334</v>
      </c>
      <c r="O737" s="37">
        <v>0</v>
      </c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4.25" customHeight="1">
      <c r="A738" s="9">
        <v>811</v>
      </c>
      <c r="B738" s="10"/>
      <c r="C738" s="21">
        <v>232064</v>
      </c>
      <c r="D738" s="22" t="s">
        <v>427</v>
      </c>
      <c r="E738" s="23">
        <v>45205</v>
      </c>
      <c r="F738" s="24">
        <v>45200</v>
      </c>
      <c r="G738" s="25">
        <v>1427428</v>
      </c>
      <c r="H738" s="26" t="s">
        <v>2569</v>
      </c>
      <c r="I738" s="34" t="s">
        <v>29</v>
      </c>
      <c r="J738" s="10"/>
      <c r="K738" s="39"/>
      <c r="L738" s="40">
        <v>45260</v>
      </c>
      <c r="M738" s="40">
        <v>45260</v>
      </c>
      <c r="N738" s="37">
        <v>1427428</v>
      </c>
      <c r="O738" s="37">
        <v>0</v>
      </c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4.25" customHeight="1">
      <c r="A739" s="9">
        <v>812</v>
      </c>
      <c r="B739" s="10"/>
      <c r="C739" s="9">
        <v>232212</v>
      </c>
      <c r="D739" s="11" t="s">
        <v>427</v>
      </c>
      <c r="E739" s="12">
        <v>45230</v>
      </c>
      <c r="F739" s="13">
        <v>45200</v>
      </c>
      <c r="G739" s="27">
        <v>3939417</v>
      </c>
      <c r="H739" s="10" t="s">
        <v>2570</v>
      </c>
      <c r="I739" s="34">
        <v>60.606678703705299</v>
      </c>
      <c r="J739" s="27">
        <v>5524584</v>
      </c>
      <c r="K739" s="39">
        <v>45290</v>
      </c>
      <c r="L739" s="49"/>
      <c r="M739" s="49"/>
      <c r="N739" s="37">
        <v>0</v>
      </c>
      <c r="O739" s="37">
        <v>3939417</v>
      </c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4.25" customHeight="1">
      <c r="A740" s="9">
        <v>813</v>
      </c>
      <c r="B740" s="10"/>
      <c r="C740" s="9">
        <v>232301</v>
      </c>
      <c r="D740" s="11" t="s">
        <v>427</v>
      </c>
      <c r="E740" s="12">
        <v>45240</v>
      </c>
      <c r="F740" s="13">
        <v>45231</v>
      </c>
      <c r="G740" s="27">
        <v>1024649</v>
      </c>
      <c r="H740" s="10" t="s">
        <v>2571</v>
      </c>
      <c r="I740" s="34">
        <v>50.606678703705299</v>
      </c>
      <c r="J740" s="10"/>
      <c r="K740" s="39"/>
      <c r="L740" s="49"/>
      <c r="M740" s="49"/>
      <c r="N740" s="37">
        <v>0</v>
      </c>
      <c r="O740" s="37">
        <v>1024649</v>
      </c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4.25" customHeight="1">
      <c r="A741" s="9">
        <v>814</v>
      </c>
      <c r="B741" s="10"/>
      <c r="C741" s="9">
        <v>232455</v>
      </c>
      <c r="D741" s="11" t="s">
        <v>427</v>
      </c>
      <c r="E741" s="12">
        <v>45246</v>
      </c>
      <c r="F741" s="13">
        <v>45231</v>
      </c>
      <c r="G741" s="27">
        <v>560518</v>
      </c>
      <c r="H741" s="10" t="s">
        <v>2572</v>
      </c>
      <c r="I741" s="34">
        <v>44.606678703705299</v>
      </c>
      <c r="J741" s="10"/>
      <c r="K741" s="39"/>
      <c r="L741" s="49"/>
      <c r="M741" s="49"/>
      <c r="N741" s="37">
        <v>0</v>
      </c>
      <c r="O741" s="37">
        <v>560518</v>
      </c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4.25" customHeight="1">
      <c r="A742" s="9">
        <v>815</v>
      </c>
      <c r="B742" s="10"/>
      <c r="C742" s="9">
        <v>232383</v>
      </c>
      <c r="D742" s="11" t="s">
        <v>427</v>
      </c>
      <c r="E742" s="12">
        <v>45251</v>
      </c>
      <c r="F742" s="13">
        <v>45231</v>
      </c>
      <c r="G742" s="27">
        <v>1988562</v>
      </c>
      <c r="H742" s="10" t="s">
        <v>2573</v>
      </c>
      <c r="I742" s="34">
        <v>39.606678703705299</v>
      </c>
      <c r="J742" s="10"/>
      <c r="K742" s="39"/>
      <c r="L742" s="49"/>
      <c r="M742" s="49"/>
      <c r="N742" s="37">
        <v>0</v>
      </c>
      <c r="O742" s="37">
        <v>1988562</v>
      </c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4.25" customHeight="1">
      <c r="A743" s="9">
        <v>816</v>
      </c>
      <c r="B743" s="10"/>
      <c r="C743" s="9">
        <v>232446</v>
      </c>
      <c r="D743" s="11" t="s">
        <v>427</v>
      </c>
      <c r="E743" s="12">
        <v>45261</v>
      </c>
      <c r="F743" s="13">
        <v>45261</v>
      </c>
      <c r="G743" s="27">
        <v>437917</v>
      </c>
      <c r="H743" s="10" t="s">
        <v>2574</v>
      </c>
      <c r="I743" s="34">
        <v>29.606678703705299</v>
      </c>
      <c r="J743" s="10"/>
      <c r="K743" s="39"/>
      <c r="L743" s="49"/>
      <c r="M743" s="49"/>
      <c r="N743" s="37">
        <v>0</v>
      </c>
      <c r="O743" s="37">
        <v>437917</v>
      </c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4.25" customHeight="1">
      <c r="A744" s="9">
        <v>821</v>
      </c>
      <c r="B744" s="10"/>
      <c r="C744" s="21">
        <v>230399</v>
      </c>
      <c r="D744" s="22" t="s">
        <v>2575</v>
      </c>
      <c r="E744" s="23">
        <v>44960</v>
      </c>
      <c r="F744" s="24">
        <v>44958</v>
      </c>
      <c r="G744" s="25">
        <v>770000</v>
      </c>
      <c r="H744" s="26" t="s">
        <v>2576</v>
      </c>
      <c r="I744" s="34" t="s">
        <v>29</v>
      </c>
      <c r="J744" s="25">
        <v>3270000</v>
      </c>
      <c r="K744" s="40">
        <v>45000</v>
      </c>
      <c r="L744" s="40">
        <v>45000</v>
      </c>
      <c r="M744" s="40">
        <v>45000</v>
      </c>
      <c r="N744" s="37">
        <v>770000</v>
      </c>
      <c r="O744" s="37">
        <v>0</v>
      </c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4.25" customHeight="1">
      <c r="A745" s="9">
        <v>822</v>
      </c>
      <c r="B745" s="10"/>
      <c r="C745" s="21">
        <v>230398</v>
      </c>
      <c r="D745" s="22" t="s">
        <v>2575</v>
      </c>
      <c r="E745" s="23">
        <v>44974</v>
      </c>
      <c r="F745" s="24">
        <v>44958</v>
      </c>
      <c r="G745" s="25">
        <v>2500000</v>
      </c>
      <c r="H745" s="26" t="s">
        <v>2577</v>
      </c>
      <c r="I745" s="34" t="s">
        <v>29</v>
      </c>
      <c r="J745" s="11"/>
      <c r="K745" s="39"/>
      <c r="L745" s="40">
        <v>45000</v>
      </c>
      <c r="M745" s="40">
        <v>45000</v>
      </c>
      <c r="N745" s="37">
        <v>2500000</v>
      </c>
      <c r="O745" s="37">
        <v>0</v>
      </c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4.25" customHeight="1">
      <c r="A746" s="9">
        <v>827</v>
      </c>
      <c r="B746" s="10"/>
      <c r="C746" s="21">
        <v>230482</v>
      </c>
      <c r="D746" s="22" t="s">
        <v>436</v>
      </c>
      <c r="E746" s="23">
        <v>44980</v>
      </c>
      <c r="F746" s="24">
        <v>44958</v>
      </c>
      <c r="G746" s="25">
        <v>6298720</v>
      </c>
      <c r="H746" s="26" t="s">
        <v>2578</v>
      </c>
      <c r="I746" s="34" t="s">
        <v>29</v>
      </c>
      <c r="J746" s="25">
        <v>6298720</v>
      </c>
      <c r="K746" s="40">
        <v>45044</v>
      </c>
      <c r="L746" s="40">
        <v>45044</v>
      </c>
      <c r="M746" s="40">
        <v>45045</v>
      </c>
      <c r="N746" s="37">
        <v>6298720</v>
      </c>
      <c r="O746" s="37">
        <v>0</v>
      </c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4.25" customHeight="1">
      <c r="A747" s="9">
        <v>828</v>
      </c>
      <c r="B747" s="10"/>
      <c r="C747" s="21">
        <v>230703</v>
      </c>
      <c r="D747" s="22" t="s">
        <v>436</v>
      </c>
      <c r="E747" s="23">
        <v>45006</v>
      </c>
      <c r="F747" s="24">
        <v>44986</v>
      </c>
      <c r="G747" s="25">
        <v>5303050</v>
      </c>
      <c r="H747" s="26" t="s">
        <v>2579</v>
      </c>
      <c r="I747" s="34" t="s">
        <v>29</v>
      </c>
      <c r="J747" s="25">
        <v>17791710</v>
      </c>
      <c r="K747" s="40">
        <v>45143</v>
      </c>
      <c r="L747" s="40">
        <v>45143</v>
      </c>
      <c r="M747" s="40">
        <v>45143</v>
      </c>
      <c r="N747" s="37">
        <v>5303050</v>
      </c>
      <c r="O747" s="37">
        <v>0</v>
      </c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4.25" customHeight="1">
      <c r="A748" s="9">
        <v>829</v>
      </c>
      <c r="B748" s="10"/>
      <c r="C748" s="21">
        <v>230752</v>
      </c>
      <c r="D748" s="22" t="s">
        <v>436</v>
      </c>
      <c r="E748" s="23">
        <v>45009</v>
      </c>
      <c r="F748" s="24">
        <v>44986</v>
      </c>
      <c r="G748" s="25">
        <v>1498500</v>
      </c>
      <c r="H748" s="26" t="s">
        <v>2580</v>
      </c>
      <c r="I748" s="34" t="s">
        <v>29</v>
      </c>
      <c r="J748" s="27"/>
      <c r="K748" s="49"/>
      <c r="L748" s="49"/>
      <c r="M748" s="40">
        <v>45143</v>
      </c>
      <c r="N748" s="37">
        <v>1498500</v>
      </c>
      <c r="O748" s="37">
        <v>0</v>
      </c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4.25" customHeight="1">
      <c r="A749" s="9">
        <v>830</v>
      </c>
      <c r="B749" s="10"/>
      <c r="C749" s="21">
        <v>230919</v>
      </c>
      <c r="D749" s="22" t="s">
        <v>436</v>
      </c>
      <c r="E749" s="23">
        <v>45033</v>
      </c>
      <c r="F749" s="24">
        <v>45017</v>
      </c>
      <c r="G749" s="25">
        <v>6352000</v>
      </c>
      <c r="H749" s="26" t="s">
        <v>2581</v>
      </c>
      <c r="I749" s="34" t="s">
        <v>29</v>
      </c>
      <c r="J749" s="27"/>
      <c r="K749" s="49"/>
      <c r="L749" s="49"/>
      <c r="M749" s="40">
        <v>45143</v>
      </c>
      <c r="N749" s="37">
        <v>6352000</v>
      </c>
      <c r="O749" s="37">
        <v>0</v>
      </c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4.25" customHeight="1">
      <c r="A750" s="9">
        <v>831</v>
      </c>
      <c r="B750" s="10"/>
      <c r="C750" s="21">
        <v>231073</v>
      </c>
      <c r="D750" s="22" t="s">
        <v>436</v>
      </c>
      <c r="E750" s="23">
        <v>45063</v>
      </c>
      <c r="F750" s="24">
        <v>45047</v>
      </c>
      <c r="G750" s="25">
        <v>4638160</v>
      </c>
      <c r="H750" s="26" t="s">
        <v>2582</v>
      </c>
      <c r="I750" s="34" t="s">
        <v>29</v>
      </c>
      <c r="J750" s="27"/>
      <c r="K750" s="49"/>
      <c r="L750" s="49"/>
      <c r="M750" s="40">
        <v>45143</v>
      </c>
      <c r="N750" s="37">
        <v>4638160</v>
      </c>
      <c r="O750" s="37">
        <v>0</v>
      </c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4.25" customHeight="1">
      <c r="A751" s="9">
        <v>832</v>
      </c>
      <c r="B751" s="10"/>
      <c r="C751" s="21">
        <v>231623</v>
      </c>
      <c r="D751" s="22" t="s">
        <v>436</v>
      </c>
      <c r="E751" s="23">
        <v>45145</v>
      </c>
      <c r="F751" s="24">
        <v>45139</v>
      </c>
      <c r="G751" s="25">
        <v>13530547</v>
      </c>
      <c r="H751" s="26" t="s">
        <v>2583</v>
      </c>
      <c r="I751" s="34" t="s">
        <v>29</v>
      </c>
      <c r="J751" s="27"/>
      <c r="K751" s="40">
        <v>45260</v>
      </c>
      <c r="L751" s="40">
        <v>45260</v>
      </c>
      <c r="M751" s="40">
        <v>45260</v>
      </c>
      <c r="N751" s="37">
        <v>13530547</v>
      </c>
      <c r="O751" s="37">
        <v>0</v>
      </c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4.25" customHeight="1">
      <c r="A752" s="9">
        <v>833</v>
      </c>
      <c r="B752" s="10"/>
      <c r="C752" s="9">
        <v>232151</v>
      </c>
      <c r="D752" s="11" t="s">
        <v>436</v>
      </c>
      <c r="E752" s="12">
        <v>45211</v>
      </c>
      <c r="F752" s="13">
        <v>45200</v>
      </c>
      <c r="G752" s="27">
        <v>20856950</v>
      </c>
      <c r="H752" s="10" t="s">
        <v>2584</v>
      </c>
      <c r="I752" s="34">
        <v>79.606678703705299</v>
      </c>
      <c r="J752" s="27"/>
      <c r="K752" s="49"/>
      <c r="L752" s="49"/>
      <c r="M752" s="49"/>
      <c r="N752" s="37">
        <v>0</v>
      </c>
      <c r="O752" s="37">
        <v>20856950</v>
      </c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4.25" customHeight="1">
      <c r="A753" s="9">
        <v>838</v>
      </c>
      <c r="B753" s="10"/>
      <c r="C753" s="21">
        <v>222206</v>
      </c>
      <c r="D753" s="22" t="s">
        <v>441</v>
      </c>
      <c r="E753" s="23">
        <v>44902</v>
      </c>
      <c r="F753" s="24">
        <v>44896</v>
      </c>
      <c r="G753" s="25">
        <v>111000</v>
      </c>
      <c r="H753" s="26" t="s">
        <v>2585</v>
      </c>
      <c r="I753" s="34" t="s">
        <v>29</v>
      </c>
      <c r="J753" s="25">
        <v>4113660</v>
      </c>
      <c r="K753" s="40">
        <v>45017</v>
      </c>
      <c r="L753" s="40">
        <v>45017</v>
      </c>
      <c r="M753" s="40">
        <v>45017</v>
      </c>
      <c r="N753" s="37">
        <v>111000</v>
      </c>
      <c r="O753" s="37">
        <v>0</v>
      </c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4.25" customHeight="1">
      <c r="A754" s="9">
        <v>839</v>
      </c>
      <c r="B754" s="10"/>
      <c r="C754" s="21">
        <v>222192</v>
      </c>
      <c r="D754" s="22" t="s">
        <v>441</v>
      </c>
      <c r="E754" s="23">
        <v>44904</v>
      </c>
      <c r="F754" s="24">
        <v>44896</v>
      </c>
      <c r="G754" s="25">
        <v>499500</v>
      </c>
      <c r="H754" s="26" t="s">
        <v>2586</v>
      </c>
      <c r="I754" s="34" t="s">
        <v>29</v>
      </c>
      <c r="J754" s="10"/>
      <c r="K754" s="49"/>
      <c r="L754" s="40">
        <v>45017</v>
      </c>
      <c r="M754" s="40">
        <v>45017</v>
      </c>
      <c r="N754" s="37">
        <v>499500</v>
      </c>
      <c r="O754" s="37">
        <v>0</v>
      </c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4.25" customHeight="1">
      <c r="A755" s="9">
        <v>840</v>
      </c>
      <c r="B755" s="10"/>
      <c r="C755" s="21">
        <v>222284</v>
      </c>
      <c r="D755" s="22" t="s">
        <v>441</v>
      </c>
      <c r="E755" s="23">
        <v>44914</v>
      </c>
      <c r="F755" s="24">
        <v>44896</v>
      </c>
      <c r="G755" s="25">
        <v>1576200</v>
      </c>
      <c r="H755" s="26" t="s">
        <v>2587</v>
      </c>
      <c r="I755" s="34" t="s">
        <v>29</v>
      </c>
      <c r="J755" s="10"/>
      <c r="K755" s="49"/>
      <c r="L755" s="40">
        <v>45017</v>
      </c>
      <c r="M755" s="40">
        <v>45017</v>
      </c>
      <c r="N755" s="37">
        <v>1576200</v>
      </c>
      <c r="O755" s="37">
        <v>0</v>
      </c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4.25" customHeight="1">
      <c r="A756" s="9">
        <v>841</v>
      </c>
      <c r="B756" s="10"/>
      <c r="C756" s="21">
        <v>230031</v>
      </c>
      <c r="D756" s="22" t="s">
        <v>441</v>
      </c>
      <c r="E756" s="23">
        <v>44918</v>
      </c>
      <c r="F756" s="24">
        <v>44896</v>
      </c>
      <c r="G756" s="25">
        <v>1926960</v>
      </c>
      <c r="H756" s="26" t="s">
        <v>2588</v>
      </c>
      <c r="I756" s="34" t="s">
        <v>29</v>
      </c>
      <c r="J756" s="10"/>
      <c r="K756" s="49"/>
      <c r="L756" s="40">
        <v>45017</v>
      </c>
      <c r="M756" s="40">
        <v>45017</v>
      </c>
      <c r="N756" s="37">
        <v>1926960</v>
      </c>
      <c r="O756" s="37">
        <v>0</v>
      </c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4.25" customHeight="1">
      <c r="A757" s="9">
        <v>842</v>
      </c>
      <c r="B757" s="10"/>
      <c r="C757" s="21">
        <v>230045</v>
      </c>
      <c r="D757" s="22" t="s">
        <v>441</v>
      </c>
      <c r="E757" s="23">
        <v>44931</v>
      </c>
      <c r="F757" s="24">
        <v>44927</v>
      </c>
      <c r="G757" s="25">
        <v>588300</v>
      </c>
      <c r="H757" s="26" t="s">
        <v>2589</v>
      </c>
      <c r="I757" s="34" t="s">
        <v>29</v>
      </c>
      <c r="J757" s="25">
        <v>5501248</v>
      </c>
      <c r="K757" s="40">
        <v>45044</v>
      </c>
      <c r="L757" s="40">
        <v>45044</v>
      </c>
      <c r="M757" s="40">
        <v>45045</v>
      </c>
      <c r="N757" s="37">
        <v>588300</v>
      </c>
      <c r="O757" s="37">
        <v>0</v>
      </c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4.25" customHeight="1">
      <c r="A758" s="9">
        <v>843</v>
      </c>
      <c r="B758" s="10"/>
      <c r="C758" s="21">
        <v>230086</v>
      </c>
      <c r="D758" s="22" t="s">
        <v>441</v>
      </c>
      <c r="E758" s="23">
        <v>44932</v>
      </c>
      <c r="F758" s="24">
        <v>44927</v>
      </c>
      <c r="G758" s="25">
        <v>810300</v>
      </c>
      <c r="H758" s="26" t="s">
        <v>2590</v>
      </c>
      <c r="I758" s="34" t="s">
        <v>29</v>
      </c>
      <c r="J758" s="10"/>
      <c r="K758" s="39"/>
      <c r="L758" s="40">
        <v>45044</v>
      </c>
      <c r="M758" s="40">
        <v>45045</v>
      </c>
      <c r="N758" s="37">
        <v>810300</v>
      </c>
      <c r="O758" s="37">
        <v>0</v>
      </c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4.25" customHeight="1">
      <c r="A759" s="9">
        <v>844</v>
      </c>
      <c r="B759" s="10"/>
      <c r="C759" s="21">
        <v>230040</v>
      </c>
      <c r="D759" s="22" t="s">
        <v>441</v>
      </c>
      <c r="E759" s="23">
        <v>44935</v>
      </c>
      <c r="F759" s="24">
        <v>44927</v>
      </c>
      <c r="G759" s="25">
        <v>984614</v>
      </c>
      <c r="H759" s="26" t="s">
        <v>2591</v>
      </c>
      <c r="I759" s="34" t="s">
        <v>29</v>
      </c>
      <c r="J759" s="10"/>
      <c r="K759" s="39"/>
      <c r="L759" s="40">
        <v>45044</v>
      </c>
      <c r="M759" s="40">
        <v>45045</v>
      </c>
      <c r="N759" s="37">
        <v>984614</v>
      </c>
      <c r="O759" s="37">
        <v>0</v>
      </c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4.25" customHeight="1">
      <c r="A760" s="9">
        <v>845</v>
      </c>
      <c r="B760" s="10"/>
      <c r="C760" s="21">
        <v>230063</v>
      </c>
      <c r="D760" s="22" t="s">
        <v>441</v>
      </c>
      <c r="E760" s="23">
        <v>44937</v>
      </c>
      <c r="F760" s="24">
        <v>44927</v>
      </c>
      <c r="G760" s="25">
        <v>1045620</v>
      </c>
      <c r="H760" s="26" t="s">
        <v>2592</v>
      </c>
      <c r="I760" s="34" t="s">
        <v>29</v>
      </c>
      <c r="J760" s="10"/>
      <c r="K760" s="39"/>
      <c r="L760" s="40">
        <v>45044</v>
      </c>
      <c r="M760" s="40">
        <v>45045</v>
      </c>
      <c r="N760" s="37">
        <v>1045620</v>
      </c>
      <c r="O760" s="37">
        <v>0</v>
      </c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4.25" customHeight="1">
      <c r="A761" s="9">
        <v>846</v>
      </c>
      <c r="B761" s="10"/>
      <c r="C761" s="21">
        <v>230071</v>
      </c>
      <c r="D761" s="22" t="s">
        <v>441</v>
      </c>
      <c r="E761" s="23">
        <v>44938</v>
      </c>
      <c r="F761" s="24">
        <v>44927</v>
      </c>
      <c r="G761" s="25">
        <v>1087800</v>
      </c>
      <c r="H761" s="26" t="s">
        <v>2593</v>
      </c>
      <c r="I761" s="34" t="s">
        <v>29</v>
      </c>
      <c r="J761" s="10"/>
      <c r="K761" s="39"/>
      <c r="L761" s="40">
        <v>45044</v>
      </c>
      <c r="M761" s="40">
        <v>45045</v>
      </c>
      <c r="N761" s="37">
        <v>1087800</v>
      </c>
      <c r="O761" s="37">
        <v>0</v>
      </c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4.25" customHeight="1">
      <c r="A762" s="9">
        <v>847</v>
      </c>
      <c r="B762" s="10"/>
      <c r="C762" s="21">
        <v>230181</v>
      </c>
      <c r="D762" s="22" t="s">
        <v>441</v>
      </c>
      <c r="E762" s="23">
        <v>44952</v>
      </c>
      <c r="F762" s="24">
        <v>44927</v>
      </c>
      <c r="G762" s="25">
        <v>984614</v>
      </c>
      <c r="H762" s="26" t="s">
        <v>2594</v>
      </c>
      <c r="I762" s="34" t="s">
        <v>29</v>
      </c>
      <c r="J762" s="10"/>
      <c r="K762" s="39"/>
      <c r="L762" s="40">
        <v>45044</v>
      </c>
      <c r="M762" s="40">
        <v>45045</v>
      </c>
      <c r="N762" s="37">
        <v>984614</v>
      </c>
      <c r="O762" s="37">
        <v>0</v>
      </c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4.25" customHeight="1">
      <c r="A763" s="9">
        <v>848</v>
      </c>
      <c r="B763" s="10"/>
      <c r="C763" s="21">
        <v>230320</v>
      </c>
      <c r="D763" s="22" t="s">
        <v>441</v>
      </c>
      <c r="E763" s="23">
        <v>44966</v>
      </c>
      <c r="F763" s="24">
        <v>44958</v>
      </c>
      <c r="G763" s="25">
        <v>666000</v>
      </c>
      <c r="H763" s="26" t="s">
        <v>2595</v>
      </c>
      <c r="I763" s="34" t="s">
        <v>29</v>
      </c>
      <c r="J763" s="25">
        <v>1887000</v>
      </c>
      <c r="K763" s="40">
        <v>45071</v>
      </c>
      <c r="L763" s="40">
        <v>45071</v>
      </c>
      <c r="M763" s="40">
        <v>45072</v>
      </c>
      <c r="N763" s="37">
        <v>666000</v>
      </c>
      <c r="O763" s="37">
        <v>0</v>
      </c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4.25" customHeight="1">
      <c r="A764" s="9">
        <v>849</v>
      </c>
      <c r="B764" s="10"/>
      <c r="C764" s="21">
        <v>230436</v>
      </c>
      <c r="D764" s="22" t="s">
        <v>441</v>
      </c>
      <c r="E764" s="23">
        <v>44970</v>
      </c>
      <c r="F764" s="24">
        <v>44958</v>
      </c>
      <c r="G764" s="25">
        <v>1221000</v>
      </c>
      <c r="H764" s="26" t="s">
        <v>2596</v>
      </c>
      <c r="I764" s="34" t="s">
        <v>29</v>
      </c>
      <c r="J764" s="10"/>
      <c r="K764" s="39"/>
      <c r="L764" s="40">
        <v>45071</v>
      </c>
      <c r="M764" s="40">
        <v>45072</v>
      </c>
      <c r="N764" s="37">
        <v>1221000</v>
      </c>
      <c r="O764" s="37">
        <v>0</v>
      </c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4.25" customHeight="1">
      <c r="A765" s="9">
        <v>850</v>
      </c>
      <c r="B765" s="10"/>
      <c r="C765" s="21">
        <v>230519</v>
      </c>
      <c r="D765" s="22" t="s">
        <v>441</v>
      </c>
      <c r="E765" s="23">
        <v>44987</v>
      </c>
      <c r="F765" s="24">
        <v>44986</v>
      </c>
      <c r="G765" s="25">
        <v>2594736</v>
      </c>
      <c r="H765" s="26" t="s">
        <v>2597</v>
      </c>
      <c r="I765" s="34" t="s">
        <v>29</v>
      </c>
      <c r="J765" s="25">
        <v>6530186</v>
      </c>
      <c r="K765" s="36">
        <v>45148</v>
      </c>
      <c r="L765" s="36">
        <v>45148</v>
      </c>
      <c r="M765" s="36">
        <v>45148</v>
      </c>
      <c r="N765" s="37">
        <v>2594736</v>
      </c>
      <c r="O765" s="37">
        <v>0</v>
      </c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4.25" customHeight="1">
      <c r="A766" s="9">
        <v>851</v>
      </c>
      <c r="B766" s="10"/>
      <c r="C766" s="21">
        <v>230512</v>
      </c>
      <c r="D766" s="22" t="s">
        <v>441</v>
      </c>
      <c r="E766" s="23">
        <v>44988</v>
      </c>
      <c r="F766" s="24">
        <v>44986</v>
      </c>
      <c r="G766" s="25">
        <v>327450</v>
      </c>
      <c r="H766" s="26" t="s">
        <v>2598</v>
      </c>
      <c r="I766" s="34" t="s">
        <v>29</v>
      </c>
      <c r="J766" s="10"/>
      <c r="K766" s="39"/>
      <c r="L766" s="36">
        <v>45148</v>
      </c>
      <c r="M766" s="36">
        <v>45148</v>
      </c>
      <c r="N766" s="37">
        <v>327450</v>
      </c>
      <c r="O766" s="37">
        <v>0</v>
      </c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4.25" customHeight="1">
      <c r="A767" s="9">
        <v>852</v>
      </c>
      <c r="B767" s="10"/>
      <c r="C767" s="21">
        <v>230513</v>
      </c>
      <c r="D767" s="22" t="s">
        <v>441</v>
      </c>
      <c r="E767" s="23">
        <v>44991</v>
      </c>
      <c r="F767" s="24">
        <v>44986</v>
      </c>
      <c r="G767" s="25">
        <v>583000</v>
      </c>
      <c r="H767" s="26" t="s">
        <v>2599</v>
      </c>
      <c r="I767" s="34" t="s">
        <v>29</v>
      </c>
      <c r="J767" s="10"/>
      <c r="K767" s="39"/>
      <c r="L767" s="36">
        <v>45148</v>
      </c>
      <c r="M767" s="36">
        <v>45148</v>
      </c>
      <c r="N767" s="37">
        <v>583000</v>
      </c>
      <c r="O767" s="37">
        <v>0</v>
      </c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4.25" customHeight="1">
      <c r="A768" s="9">
        <v>853</v>
      </c>
      <c r="B768" s="10"/>
      <c r="C768" s="21">
        <v>230537</v>
      </c>
      <c r="D768" s="22" t="s">
        <v>441</v>
      </c>
      <c r="E768" s="23">
        <v>44993</v>
      </c>
      <c r="F768" s="24">
        <v>44986</v>
      </c>
      <c r="G768" s="25">
        <v>694000</v>
      </c>
      <c r="H768" s="26" t="s">
        <v>2600</v>
      </c>
      <c r="I768" s="34" t="s">
        <v>29</v>
      </c>
      <c r="J768" s="10"/>
      <c r="K768" s="39"/>
      <c r="L768" s="36">
        <v>45148</v>
      </c>
      <c r="M768" s="36">
        <v>45148</v>
      </c>
      <c r="N768" s="37">
        <v>694000</v>
      </c>
      <c r="O768" s="37">
        <v>0</v>
      </c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4.25" customHeight="1">
      <c r="A769" s="9">
        <v>854</v>
      </c>
      <c r="B769" s="10"/>
      <c r="C769" s="21">
        <v>230638</v>
      </c>
      <c r="D769" s="22" t="s">
        <v>441</v>
      </c>
      <c r="E769" s="23">
        <v>45012</v>
      </c>
      <c r="F769" s="24">
        <v>44986</v>
      </c>
      <c r="G769" s="25">
        <v>1154400</v>
      </c>
      <c r="H769" s="26" t="s">
        <v>2601</v>
      </c>
      <c r="I769" s="34" t="s">
        <v>29</v>
      </c>
      <c r="J769" s="10"/>
      <c r="K769" s="39"/>
      <c r="L769" s="36">
        <v>45148</v>
      </c>
      <c r="M769" s="36">
        <v>45148</v>
      </c>
      <c r="N769" s="37">
        <v>1154400</v>
      </c>
      <c r="O769" s="37">
        <v>0</v>
      </c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4.25" customHeight="1">
      <c r="A770" s="9">
        <v>855</v>
      </c>
      <c r="B770" s="10"/>
      <c r="C770" s="21">
        <v>230669</v>
      </c>
      <c r="D770" s="22" t="s">
        <v>441</v>
      </c>
      <c r="E770" s="23">
        <v>45013</v>
      </c>
      <c r="F770" s="24">
        <v>44986</v>
      </c>
      <c r="G770" s="25">
        <v>277500</v>
      </c>
      <c r="H770" s="26" t="s">
        <v>2602</v>
      </c>
      <c r="I770" s="34" t="s">
        <v>29</v>
      </c>
      <c r="J770" s="10"/>
      <c r="K770" s="39"/>
      <c r="L770" s="36">
        <v>45148</v>
      </c>
      <c r="M770" s="36">
        <v>45148</v>
      </c>
      <c r="N770" s="37">
        <v>277500</v>
      </c>
      <c r="O770" s="37">
        <v>0</v>
      </c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4.25" customHeight="1">
      <c r="A771" s="9">
        <v>856</v>
      </c>
      <c r="B771" s="10"/>
      <c r="C771" s="21">
        <v>230734</v>
      </c>
      <c r="D771" s="22" t="s">
        <v>441</v>
      </c>
      <c r="E771" s="23">
        <v>45016</v>
      </c>
      <c r="F771" s="24">
        <v>44986</v>
      </c>
      <c r="G771" s="25">
        <v>899100</v>
      </c>
      <c r="H771" s="26" t="s">
        <v>2603</v>
      </c>
      <c r="I771" s="34" t="s">
        <v>29</v>
      </c>
      <c r="J771" s="10"/>
      <c r="K771" s="39"/>
      <c r="L771" s="36">
        <v>45148</v>
      </c>
      <c r="M771" s="36">
        <v>45148</v>
      </c>
      <c r="N771" s="37">
        <v>899100</v>
      </c>
      <c r="O771" s="37">
        <v>0</v>
      </c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4.25" customHeight="1">
      <c r="A772" s="9">
        <v>857</v>
      </c>
      <c r="B772" s="10"/>
      <c r="C772" s="21">
        <v>230800</v>
      </c>
      <c r="D772" s="22" t="s">
        <v>441</v>
      </c>
      <c r="E772" s="23">
        <v>45027</v>
      </c>
      <c r="F772" s="24">
        <v>45017</v>
      </c>
      <c r="G772" s="25">
        <v>732600</v>
      </c>
      <c r="H772" s="26" t="s">
        <v>2604</v>
      </c>
      <c r="I772" s="34" t="s">
        <v>29</v>
      </c>
      <c r="J772" s="25">
        <v>5881779</v>
      </c>
      <c r="K772" s="36">
        <v>45204</v>
      </c>
      <c r="L772" s="36">
        <v>45205</v>
      </c>
      <c r="M772" s="36">
        <v>45205</v>
      </c>
      <c r="N772" s="37">
        <v>732600</v>
      </c>
      <c r="O772" s="37">
        <v>0</v>
      </c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4.25" customHeight="1">
      <c r="A773" s="9">
        <v>858</v>
      </c>
      <c r="B773" s="10"/>
      <c r="C773" s="21">
        <v>231064</v>
      </c>
      <c r="D773" s="22" t="s">
        <v>441</v>
      </c>
      <c r="E773" s="23">
        <v>45075</v>
      </c>
      <c r="F773" s="24">
        <v>45047</v>
      </c>
      <c r="G773" s="25">
        <v>3396600</v>
      </c>
      <c r="H773" s="26" t="s">
        <v>2605</v>
      </c>
      <c r="I773" s="34" t="s">
        <v>29</v>
      </c>
      <c r="J773" s="10"/>
      <c r="K773" s="36">
        <v>45204</v>
      </c>
      <c r="L773" s="36">
        <v>45205</v>
      </c>
      <c r="M773" s="36">
        <v>45205</v>
      </c>
      <c r="N773" s="37">
        <v>3396600</v>
      </c>
      <c r="O773" s="37">
        <v>0</v>
      </c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4.25" customHeight="1">
      <c r="A774" s="9">
        <v>859</v>
      </c>
      <c r="B774" s="10"/>
      <c r="C774" s="21">
        <v>231115</v>
      </c>
      <c r="D774" s="22" t="s">
        <v>441</v>
      </c>
      <c r="E774" s="23">
        <v>45083</v>
      </c>
      <c r="F774" s="24">
        <v>45078</v>
      </c>
      <c r="G774" s="25">
        <v>1230768</v>
      </c>
      <c r="H774" s="26" t="s">
        <v>2606</v>
      </c>
      <c r="I774" s="34" t="s">
        <v>29</v>
      </c>
      <c r="J774" s="10"/>
      <c r="K774" s="36">
        <v>45204</v>
      </c>
      <c r="L774" s="36">
        <v>45205</v>
      </c>
      <c r="M774" s="36">
        <v>45205</v>
      </c>
      <c r="N774" s="37">
        <v>1230768</v>
      </c>
      <c r="O774" s="37">
        <v>0</v>
      </c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4.25" customHeight="1">
      <c r="A775" s="9">
        <v>860</v>
      </c>
      <c r="B775" s="10"/>
      <c r="C775" s="21">
        <v>231216</v>
      </c>
      <c r="D775" s="22" t="s">
        <v>441</v>
      </c>
      <c r="E775" s="23">
        <v>45098</v>
      </c>
      <c r="F775" s="24">
        <v>45078</v>
      </c>
      <c r="G775" s="25">
        <v>521811</v>
      </c>
      <c r="H775" s="26" t="s">
        <v>2607</v>
      </c>
      <c r="I775" s="34" t="s">
        <v>29</v>
      </c>
      <c r="J775" s="10"/>
      <c r="K775" s="36">
        <v>45204</v>
      </c>
      <c r="L775" s="36">
        <v>45205</v>
      </c>
      <c r="M775" s="36">
        <v>45205</v>
      </c>
      <c r="N775" s="37">
        <v>521811</v>
      </c>
      <c r="O775" s="37">
        <v>0</v>
      </c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4.25" customHeight="1">
      <c r="A776" s="9">
        <v>861</v>
      </c>
      <c r="B776" s="10"/>
      <c r="C776" s="21">
        <v>231367</v>
      </c>
      <c r="D776" s="22" t="s">
        <v>441</v>
      </c>
      <c r="E776" s="23">
        <v>45117</v>
      </c>
      <c r="F776" s="24">
        <v>45108</v>
      </c>
      <c r="G776" s="25">
        <v>2149848</v>
      </c>
      <c r="H776" s="26" t="s">
        <v>2608</v>
      </c>
      <c r="I776" s="34" t="s">
        <v>29</v>
      </c>
      <c r="J776" s="27">
        <v>15794412</v>
      </c>
      <c r="K776" s="36">
        <v>45245</v>
      </c>
      <c r="L776" s="36">
        <v>45245</v>
      </c>
      <c r="M776" s="36">
        <v>45245</v>
      </c>
      <c r="N776" s="37">
        <v>2149848</v>
      </c>
      <c r="O776" s="37">
        <v>0</v>
      </c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4.25" customHeight="1">
      <c r="A777" s="9">
        <v>862</v>
      </c>
      <c r="B777" s="10"/>
      <c r="C777" s="21">
        <v>231513</v>
      </c>
      <c r="D777" s="22" t="s">
        <v>441</v>
      </c>
      <c r="E777" s="23">
        <v>45140</v>
      </c>
      <c r="F777" s="24">
        <v>45139</v>
      </c>
      <c r="G777" s="25">
        <v>1999998</v>
      </c>
      <c r="H777" s="26" t="s">
        <v>2609</v>
      </c>
      <c r="I777" s="34" t="s">
        <v>29</v>
      </c>
      <c r="J777" s="10"/>
      <c r="K777" s="36">
        <v>45245</v>
      </c>
      <c r="L777" s="36">
        <v>45245</v>
      </c>
      <c r="M777" s="36">
        <v>45245</v>
      </c>
      <c r="N777" s="37">
        <v>1999998</v>
      </c>
      <c r="O777" s="37">
        <v>0</v>
      </c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4.25" customHeight="1">
      <c r="A778" s="9">
        <v>865</v>
      </c>
      <c r="B778" s="10"/>
      <c r="C778" s="21">
        <v>231643</v>
      </c>
      <c r="D778" s="22" t="s">
        <v>441</v>
      </c>
      <c r="E778" s="23">
        <v>45152</v>
      </c>
      <c r="F778" s="24">
        <v>45139</v>
      </c>
      <c r="G778" s="25">
        <v>782550</v>
      </c>
      <c r="H778" s="26" t="s">
        <v>2610</v>
      </c>
      <c r="I778" s="34" t="s">
        <v>29</v>
      </c>
      <c r="J778" s="10"/>
      <c r="K778" s="36">
        <v>45245</v>
      </c>
      <c r="L778" s="36">
        <v>45245</v>
      </c>
      <c r="M778" s="36">
        <v>45245</v>
      </c>
      <c r="N778" s="37">
        <v>782550</v>
      </c>
      <c r="O778" s="37">
        <v>0</v>
      </c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4.25" customHeight="1">
      <c r="A779" s="9">
        <v>863</v>
      </c>
      <c r="B779" s="10"/>
      <c r="C779" s="21">
        <v>231645</v>
      </c>
      <c r="D779" s="22" t="s">
        <v>441</v>
      </c>
      <c r="E779" s="23">
        <v>45152</v>
      </c>
      <c r="F779" s="24">
        <v>45139</v>
      </c>
      <c r="G779" s="25">
        <v>3108000</v>
      </c>
      <c r="H779" s="26" t="s">
        <v>2611</v>
      </c>
      <c r="I779" s="34" t="s">
        <v>29</v>
      </c>
      <c r="J779" s="10"/>
      <c r="K779" s="36">
        <v>45245</v>
      </c>
      <c r="L779" s="36">
        <v>45245</v>
      </c>
      <c r="M779" s="36">
        <v>45245</v>
      </c>
      <c r="N779" s="37">
        <v>3108000</v>
      </c>
      <c r="O779" s="37">
        <v>0</v>
      </c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4.25" customHeight="1">
      <c r="A780" s="9">
        <v>864</v>
      </c>
      <c r="B780" s="10"/>
      <c r="C780" s="21">
        <v>231674</v>
      </c>
      <c r="D780" s="22" t="s">
        <v>441</v>
      </c>
      <c r="E780" s="23">
        <v>45152</v>
      </c>
      <c r="F780" s="24">
        <v>45139</v>
      </c>
      <c r="G780" s="25">
        <v>2122875</v>
      </c>
      <c r="H780" s="26" t="s">
        <v>2612</v>
      </c>
      <c r="I780" s="34" t="s">
        <v>29</v>
      </c>
      <c r="J780" s="10"/>
      <c r="K780" s="36">
        <v>45245</v>
      </c>
      <c r="L780" s="36">
        <v>45245</v>
      </c>
      <c r="M780" s="36">
        <v>45245</v>
      </c>
      <c r="N780" s="37">
        <v>2122875</v>
      </c>
      <c r="O780" s="37">
        <v>0</v>
      </c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4.25" customHeight="1">
      <c r="A781" s="9">
        <v>866</v>
      </c>
      <c r="B781" s="10"/>
      <c r="C781" s="21">
        <v>231644</v>
      </c>
      <c r="D781" s="22" t="s">
        <v>441</v>
      </c>
      <c r="E781" s="23">
        <v>45153</v>
      </c>
      <c r="F781" s="24">
        <v>45139</v>
      </c>
      <c r="G781" s="25">
        <v>4407366</v>
      </c>
      <c r="H781" s="26" t="s">
        <v>2613</v>
      </c>
      <c r="I781" s="34" t="s">
        <v>29</v>
      </c>
      <c r="J781" s="10"/>
      <c r="K781" s="36">
        <v>45245</v>
      </c>
      <c r="L781" s="36">
        <v>45245</v>
      </c>
      <c r="M781" s="36">
        <v>45245</v>
      </c>
      <c r="N781" s="37">
        <v>4407366</v>
      </c>
      <c r="O781" s="37">
        <v>0</v>
      </c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4.25" customHeight="1">
      <c r="A782" s="9">
        <v>867</v>
      </c>
      <c r="B782" s="10"/>
      <c r="C782" s="21">
        <v>231712</v>
      </c>
      <c r="D782" s="22" t="s">
        <v>441</v>
      </c>
      <c r="E782" s="23">
        <v>45161</v>
      </c>
      <c r="F782" s="24">
        <v>45139</v>
      </c>
      <c r="G782" s="25">
        <v>649350</v>
      </c>
      <c r="H782" s="26" t="s">
        <v>2614</v>
      </c>
      <c r="I782" s="34" t="s">
        <v>29</v>
      </c>
      <c r="J782" s="10"/>
      <c r="K782" s="36">
        <v>45245</v>
      </c>
      <c r="L782" s="36">
        <v>45245</v>
      </c>
      <c r="M782" s="36">
        <v>45245</v>
      </c>
      <c r="N782" s="37">
        <v>649350</v>
      </c>
      <c r="O782" s="37">
        <v>0</v>
      </c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4.25" customHeight="1">
      <c r="A783" s="9">
        <v>868</v>
      </c>
      <c r="B783" s="10"/>
      <c r="C783" s="21">
        <v>231735</v>
      </c>
      <c r="D783" s="22" t="s">
        <v>441</v>
      </c>
      <c r="E783" s="23">
        <v>45166</v>
      </c>
      <c r="F783" s="24">
        <v>45139</v>
      </c>
      <c r="G783" s="25">
        <v>574425</v>
      </c>
      <c r="H783" s="26" t="s">
        <v>2615</v>
      </c>
      <c r="I783" s="34" t="s">
        <v>29</v>
      </c>
      <c r="J783" s="10"/>
      <c r="K783" s="36">
        <v>45245</v>
      </c>
      <c r="L783" s="36">
        <v>45245</v>
      </c>
      <c r="M783" s="36">
        <v>45245</v>
      </c>
      <c r="N783" s="37">
        <v>574425</v>
      </c>
      <c r="O783" s="37">
        <v>0</v>
      </c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4.25" customHeight="1">
      <c r="A784" s="9">
        <v>869</v>
      </c>
      <c r="B784" s="10"/>
      <c r="C784" s="21">
        <v>231774</v>
      </c>
      <c r="D784" s="22" t="s">
        <v>441</v>
      </c>
      <c r="E784" s="23">
        <v>45168</v>
      </c>
      <c r="F784" s="24">
        <v>45139</v>
      </c>
      <c r="G784" s="25">
        <v>216450</v>
      </c>
      <c r="H784" s="26" t="s">
        <v>2616</v>
      </c>
      <c r="I784" s="34" t="s">
        <v>29</v>
      </c>
      <c r="J784" s="27">
        <v>5262066</v>
      </c>
      <c r="K784" s="36">
        <v>45260</v>
      </c>
      <c r="L784" s="36">
        <v>45260</v>
      </c>
      <c r="M784" s="36">
        <v>45260</v>
      </c>
      <c r="N784" s="37">
        <v>216450</v>
      </c>
      <c r="O784" s="37">
        <v>0</v>
      </c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4.25" customHeight="1">
      <c r="A785" s="9">
        <v>870</v>
      </c>
      <c r="B785" s="10"/>
      <c r="C785" s="21">
        <v>231783</v>
      </c>
      <c r="D785" s="22" t="s">
        <v>441</v>
      </c>
      <c r="E785" s="23">
        <v>45169</v>
      </c>
      <c r="F785" s="24">
        <v>45139</v>
      </c>
      <c r="G785" s="25">
        <v>3999996</v>
      </c>
      <c r="H785" s="26" t="s">
        <v>2617</v>
      </c>
      <c r="I785" s="34" t="s">
        <v>29</v>
      </c>
      <c r="J785" s="10"/>
      <c r="K785" s="39"/>
      <c r="L785" s="36">
        <v>45260</v>
      </c>
      <c r="M785" s="36">
        <v>45260</v>
      </c>
      <c r="N785" s="37">
        <v>3999996</v>
      </c>
      <c r="O785" s="37">
        <v>0</v>
      </c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4.25" customHeight="1">
      <c r="A786" s="9">
        <v>871</v>
      </c>
      <c r="B786" s="10"/>
      <c r="C786" s="21">
        <v>231849</v>
      </c>
      <c r="D786" s="22" t="s">
        <v>441</v>
      </c>
      <c r="E786" s="23">
        <v>45176</v>
      </c>
      <c r="F786" s="24">
        <v>45170</v>
      </c>
      <c r="G786" s="25">
        <v>1045620</v>
      </c>
      <c r="H786" s="26" t="s">
        <v>2618</v>
      </c>
      <c r="I786" s="34" t="s">
        <v>29</v>
      </c>
      <c r="J786" s="10"/>
      <c r="K786" s="39"/>
      <c r="L786" s="36">
        <v>45260</v>
      </c>
      <c r="M786" s="36">
        <v>45260</v>
      </c>
      <c r="N786" s="37">
        <v>1045620</v>
      </c>
      <c r="O786" s="37">
        <v>0</v>
      </c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4.25" customHeight="1">
      <c r="A787" s="9">
        <v>872</v>
      </c>
      <c r="B787" s="10"/>
      <c r="C787" s="9">
        <v>231878</v>
      </c>
      <c r="D787" s="11" t="s">
        <v>441</v>
      </c>
      <c r="E787" s="12">
        <v>45180</v>
      </c>
      <c r="F787" s="13">
        <v>45170</v>
      </c>
      <c r="G787" s="27">
        <v>1799999</v>
      </c>
      <c r="H787" s="10" t="s">
        <v>2619</v>
      </c>
      <c r="I787" s="34">
        <v>110.606678703705</v>
      </c>
      <c r="J787" s="27">
        <v>4680449</v>
      </c>
      <c r="K787" s="39"/>
      <c r="L787" s="39"/>
      <c r="M787" s="39"/>
      <c r="N787" s="37">
        <v>0</v>
      </c>
      <c r="O787" s="37">
        <v>1799999</v>
      </c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4.25" customHeight="1">
      <c r="A788" s="9">
        <v>873</v>
      </c>
      <c r="B788" s="10"/>
      <c r="C788" s="9">
        <v>231898</v>
      </c>
      <c r="D788" s="11" t="s">
        <v>441</v>
      </c>
      <c r="E788" s="12">
        <v>45183</v>
      </c>
      <c r="F788" s="13">
        <v>45170</v>
      </c>
      <c r="G788" s="27">
        <v>588300</v>
      </c>
      <c r="H788" s="10" t="s">
        <v>2620</v>
      </c>
      <c r="I788" s="34">
        <v>107.606678703705</v>
      </c>
      <c r="J788" s="10"/>
      <c r="K788" s="39"/>
      <c r="L788" s="39"/>
      <c r="M788" s="39"/>
      <c r="N788" s="37">
        <v>0</v>
      </c>
      <c r="O788" s="37">
        <v>588300</v>
      </c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4.25" customHeight="1">
      <c r="A789" s="9">
        <v>874</v>
      </c>
      <c r="B789" s="10"/>
      <c r="C789" s="9">
        <v>232008</v>
      </c>
      <c r="D789" s="11" t="s">
        <v>441</v>
      </c>
      <c r="E789" s="12">
        <v>45198</v>
      </c>
      <c r="F789" s="13">
        <v>45170</v>
      </c>
      <c r="G789" s="27">
        <v>1626150</v>
      </c>
      <c r="H789" s="10" t="s">
        <v>2621</v>
      </c>
      <c r="I789" s="34">
        <v>92.606678703705299</v>
      </c>
      <c r="J789" s="10"/>
      <c r="K789" s="39"/>
      <c r="L789" s="39"/>
      <c r="M789" s="39"/>
      <c r="N789" s="37">
        <v>0</v>
      </c>
      <c r="O789" s="37">
        <v>1626150</v>
      </c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4.25" customHeight="1">
      <c r="A790" s="9">
        <v>875</v>
      </c>
      <c r="B790" s="10"/>
      <c r="C790" s="9">
        <v>232080</v>
      </c>
      <c r="D790" s="11" t="s">
        <v>441</v>
      </c>
      <c r="E790" s="12">
        <v>45211</v>
      </c>
      <c r="F790" s="13">
        <v>45200</v>
      </c>
      <c r="G790" s="27">
        <v>333000</v>
      </c>
      <c r="H790" s="10" t="s">
        <v>2622</v>
      </c>
      <c r="I790" s="34">
        <v>79.606678703705299</v>
      </c>
      <c r="J790" s="10"/>
      <c r="K790" s="39"/>
      <c r="L790" s="39"/>
      <c r="M790" s="39"/>
      <c r="N790" s="37">
        <v>0</v>
      </c>
      <c r="O790" s="37">
        <v>333000</v>
      </c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4.25" customHeight="1">
      <c r="A791" s="9">
        <v>876</v>
      </c>
      <c r="B791" s="10"/>
      <c r="C791" s="9">
        <v>232134</v>
      </c>
      <c r="D791" s="11" t="s">
        <v>441</v>
      </c>
      <c r="E791" s="12">
        <v>45212</v>
      </c>
      <c r="F791" s="13">
        <v>45200</v>
      </c>
      <c r="G791" s="27">
        <v>333000</v>
      </c>
      <c r="H791" s="10" t="s">
        <v>2623</v>
      </c>
      <c r="I791" s="34">
        <v>78.606678703705299</v>
      </c>
      <c r="J791" s="10"/>
      <c r="K791" s="39"/>
      <c r="L791" s="39"/>
      <c r="M791" s="39"/>
      <c r="N791" s="37">
        <v>0</v>
      </c>
      <c r="O791" s="37">
        <v>333000</v>
      </c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4.25" customHeight="1">
      <c r="A792" s="9">
        <v>877</v>
      </c>
      <c r="B792" s="10"/>
      <c r="C792" s="9">
        <v>232288</v>
      </c>
      <c r="D792" s="11" t="s">
        <v>441</v>
      </c>
      <c r="E792" s="12">
        <v>45229</v>
      </c>
      <c r="F792" s="13">
        <v>45200</v>
      </c>
      <c r="G792" s="27">
        <v>1581750</v>
      </c>
      <c r="H792" s="10" t="s">
        <v>2624</v>
      </c>
      <c r="I792" s="34">
        <v>61.606678703705299</v>
      </c>
      <c r="J792" s="10"/>
      <c r="K792" s="39"/>
      <c r="L792" s="39"/>
      <c r="M792" s="39"/>
      <c r="N792" s="37">
        <v>0</v>
      </c>
      <c r="O792" s="37">
        <v>1581750</v>
      </c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4.25" customHeight="1">
      <c r="A793" s="9">
        <v>879</v>
      </c>
      <c r="B793" s="10"/>
      <c r="C793" s="9">
        <v>232286</v>
      </c>
      <c r="D793" s="11" t="s">
        <v>441</v>
      </c>
      <c r="E793" s="12">
        <v>45230</v>
      </c>
      <c r="F793" s="13">
        <v>45200</v>
      </c>
      <c r="G793" s="27">
        <v>1476922</v>
      </c>
      <c r="H793" s="10" t="s">
        <v>2625</v>
      </c>
      <c r="I793" s="34">
        <v>60.606678703705299</v>
      </c>
      <c r="J793" s="10"/>
      <c r="K793" s="39"/>
      <c r="L793" s="39"/>
      <c r="M793" s="39"/>
      <c r="N793" s="37">
        <v>0</v>
      </c>
      <c r="O793" s="37">
        <v>1476922</v>
      </c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4.25" customHeight="1">
      <c r="A794" s="9">
        <v>878</v>
      </c>
      <c r="B794" s="10"/>
      <c r="C794" s="9">
        <v>232287</v>
      </c>
      <c r="D794" s="11" t="s">
        <v>441</v>
      </c>
      <c r="E794" s="12">
        <v>45230</v>
      </c>
      <c r="F794" s="13">
        <v>45200</v>
      </c>
      <c r="G794" s="27">
        <v>582750</v>
      </c>
      <c r="H794" s="10" t="s">
        <v>2626</v>
      </c>
      <c r="I794" s="34">
        <v>60.606678703705299</v>
      </c>
      <c r="J794" s="10"/>
      <c r="K794" s="39"/>
      <c r="L794" s="39"/>
      <c r="M794" s="39"/>
      <c r="N794" s="37">
        <v>0</v>
      </c>
      <c r="O794" s="37">
        <v>582750</v>
      </c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4.25" customHeight="1">
      <c r="A795" s="9">
        <v>884</v>
      </c>
      <c r="B795" s="10"/>
      <c r="C795" s="21">
        <v>221328</v>
      </c>
      <c r="D795" s="22" t="s">
        <v>457</v>
      </c>
      <c r="E795" s="23">
        <v>44774</v>
      </c>
      <c r="F795" s="24">
        <v>44774</v>
      </c>
      <c r="G795" s="44">
        <v>472860</v>
      </c>
      <c r="H795" s="26" t="s">
        <v>2627</v>
      </c>
      <c r="I795" s="34" t="s">
        <v>29</v>
      </c>
      <c r="J795" s="25">
        <v>8611159</v>
      </c>
      <c r="K795" s="40">
        <v>45017</v>
      </c>
      <c r="L795" s="40">
        <v>45017</v>
      </c>
      <c r="M795" s="40">
        <v>45017</v>
      </c>
      <c r="N795" s="37">
        <v>472860</v>
      </c>
      <c r="O795" s="37">
        <v>0</v>
      </c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4.25" customHeight="1">
      <c r="A796" s="9">
        <v>885</v>
      </c>
      <c r="B796" s="10"/>
      <c r="C796" s="21">
        <v>221329</v>
      </c>
      <c r="D796" s="22" t="s">
        <v>457</v>
      </c>
      <c r="E796" s="23">
        <v>44775</v>
      </c>
      <c r="F796" s="24">
        <v>44774</v>
      </c>
      <c r="G796" s="44">
        <v>2087355</v>
      </c>
      <c r="H796" s="26" t="s">
        <v>2628</v>
      </c>
      <c r="I796" s="34" t="s">
        <v>29</v>
      </c>
      <c r="J796" s="27"/>
      <c r="K796" s="49"/>
      <c r="L796" s="40">
        <v>45017</v>
      </c>
      <c r="M796" s="40">
        <v>45017</v>
      </c>
      <c r="N796" s="37">
        <v>2087355</v>
      </c>
      <c r="O796" s="37">
        <v>0</v>
      </c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4.25" customHeight="1">
      <c r="A797" s="9">
        <v>886</v>
      </c>
      <c r="B797" s="10"/>
      <c r="C797" s="21">
        <v>221401</v>
      </c>
      <c r="D797" s="22" t="s">
        <v>457</v>
      </c>
      <c r="E797" s="23">
        <v>44784</v>
      </c>
      <c r="F797" s="24">
        <v>44774</v>
      </c>
      <c r="G797" s="44">
        <v>929625</v>
      </c>
      <c r="H797" s="26" t="s">
        <v>2629</v>
      </c>
      <c r="I797" s="34" t="s">
        <v>29</v>
      </c>
      <c r="J797" s="27"/>
      <c r="K797" s="49"/>
      <c r="L797" s="40">
        <v>45017</v>
      </c>
      <c r="M797" s="40">
        <v>45017</v>
      </c>
      <c r="N797" s="37">
        <v>929625</v>
      </c>
      <c r="O797" s="37">
        <v>0</v>
      </c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4.25" customHeight="1">
      <c r="A798" s="9">
        <v>887</v>
      </c>
      <c r="B798" s="10"/>
      <c r="C798" s="21">
        <v>221402</v>
      </c>
      <c r="D798" s="22" t="s">
        <v>457</v>
      </c>
      <c r="E798" s="23">
        <v>44785</v>
      </c>
      <c r="F798" s="24">
        <v>44774</v>
      </c>
      <c r="G798" s="44">
        <v>1000000</v>
      </c>
      <c r="H798" s="26" t="s">
        <v>2630</v>
      </c>
      <c r="I798" s="34" t="s">
        <v>29</v>
      </c>
      <c r="J798" s="27"/>
      <c r="K798" s="49"/>
      <c r="L798" s="40">
        <v>45017</v>
      </c>
      <c r="M798" s="40">
        <v>45017</v>
      </c>
      <c r="N798" s="37">
        <v>1000000</v>
      </c>
      <c r="O798" s="37">
        <v>0</v>
      </c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4.25" customHeight="1">
      <c r="A799" s="9">
        <v>888</v>
      </c>
      <c r="B799" s="10"/>
      <c r="C799" s="21">
        <v>221404</v>
      </c>
      <c r="D799" s="22" t="s">
        <v>457</v>
      </c>
      <c r="E799" s="23">
        <v>44788</v>
      </c>
      <c r="F799" s="24">
        <v>44774</v>
      </c>
      <c r="G799" s="44">
        <v>1765899</v>
      </c>
      <c r="H799" s="26" t="s">
        <v>2631</v>
      </c>
      <c r="I799" s="34" t="s">
        <v>29</v>
      </c>
      <c r="J799" s="27"/>
      <c r="K799" s="49"/>
      <c r="L799" s="40">
        <v>45017</v>
      </c>
      <c r="M799" s="40">
        <v>45017</v>
      </c>
      <c r="N799" s="37">
        <v>1765899</v>
      </c>
      <c r="O799" s="37">
        <v>0</v>
      </c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4.25" customHeight="1">
      <c r="A800" s="9">
        <v>889</v>
      </c>
      <c r="B800" s="10"/>
      <c r="C800" s="21">
        <v>221432</v>
      </c>
      <c r="D800" s="22" t="s">
        <v>457</v>
      </c>
      <c r="E800" s="23">
        <v>44793</v>
      </c>
      <c r="F800" s="24">
        <v>44774</v>
      </c>
      <c r="G800" s="44">
        <v>480630</v>
      </c>
      <c r="H800" s="26" t="s">
        <v>2632</v>
      </c>
      <c r="I800" s="34" t="s">
        <v>29</v>
      </c>
      <c r="J800" s="27"/>
      <c r="K800" s="49"/>
      <c r="L800" s="40">
        <v>45017</v>
      </c>
      <c r="M800" s="40">
        <v>45017</v>
      </c>
      <c r="N800" s="37">
        <v>480630</v>
      </c>
      <c r="O800" s="37">
        <v>0</v>
      </c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4.25" customHeight="1">
      <c r="A801" s="9">
        <v>890</v>
      </c>
      <c r="B801" s="10"/>
      <c r="C801" s="21">
        <v>221436</v>
      </c>
      <c r="D801" s="22" t="s">
        <v>457</v>
      </c>
      <c r="E801" s="23">
        <v>44795</v>
      </c>
      <c r="F801" s="24">
        <v>44774</v>
      </c>
      <c r="G801" s="44">
        <v>1874790</v>
      </c>
      <c r="H801" s="26" t="s">
        <v>2633</v>
      </c>
      <c r="I801" s="34" t="s">
        <v>29</v>
      </c>
      <c r="J801" s="27"/>
      <c r="K801" s="49"/>
      <c r="L801" s="40">
        <v>45017</v>
      </c>
      <c r="M801" s="40">
        <v>45017</v>
      </c>
      <c r="N801" s="37">
        <v>1874790</v>
      </c>
      <c r="O801" s="37">
        <v>0</v>
      </c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4.25" customHeight="1">
      <c r="A802" s="9">
        <v>891</v>
      </c>
      <c r="B802" s="10"/>
      <c r="C802" s="21">
        <v>221540</v>
      </c>
      <c r="D802" s="22" t="s">
        <v>457</v>
      </c>
      <c r="E802" s="23">
        <v>44809</v>
      </c>
      <c r="F802" s="24">
        <v>44805</v>
      </c>
      <c r="G802" s="44">
        <v>3415915</v>
      </c>
      <c r="H802" s="26" t="s">
        <v>2634</v>
      </c>
      <c r="I802" s="34" t="s">
        <v>29</v>
      </c>
      <c r="J802" s="25">
        <v>13021803</v>
      </c>
      <c r="K802" s="40">
        <v>45071</v>
      </c>
      <c r="L802" s="40">
        <v>45071</v>
      </c>
      <c r="M802" s="40">
        <v>45072</v>
      </c>
      <c r="N802" s="37">
        <v>3415915</v>
      </c>
      <c r="O802" s="37">
        <v>0</v>
      </c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4.25" customHeight="1">
      <c r="A803" s="9">
        <v>892</v>
      </c>
      <c r="B803" s="10"/>
      <c r="C803" s="21">
        <v>221629</v>
      </c>
      <c r="D803" s="22" t="s">
        <v>457</v>
      </c>
      <c r="E803" s="23">
        <v>44816</v>
      </c>
      <c r="F803" s="24">
        <v>44805</v>
      </c>
      <c r="G803" s="44">
        <v>1645575</v>
      </c>
      <c r="H803" s="26" t="s">
        <v>2635</v>
      </c>
      <c r="I803" s="34" t="s">
        <v>29</v>
      </c>
      <c r="J803" s="10"/>
      <c r="K803" s="39"/>
      <c r="L803" s="40">
        <v>45071</v>
      </c>
      <c r="M803" s="40">
        <v>45072</v>
      </c>
      <c r="N803" s="37">
        <v>1645575</v>
      </c>
      <c r="O803" s="37">
        <v>0</v>
      </c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4.25" customHeight="1">
      <c r="A804" s="9">
        <v>893</v>
      </c>
      <c r="B804" s="10"/>
      <c r="C804" s="21">
        <v>221653</v>
      </c>
      <c r="D804" s="22" t="s">
        <v>457</v>
      </c>
      <c r="E804" s="23">
        <v>44820</v>
      </c>
      <c r="F804" s="24">
        <v>44805</v>
      </c>
      <c r="G804" s="44">
        <v>4934000</v>
      </c>
      <c r="H804" s="26" t="s">
        <v>2636</v>
      </c>
      <c r="I804" s="34" t="s">
        <v>29</v>
      </c>
      <c r="J804" s="10"/>
      <c r="K804" s="39"/>
      <c r="L804" s="40">
        <v>45071</v>
      </c>
      <c r="M804" s="40">
        <v>45072</v>
      </c>
      <c r="N804" s="37">
        <v>4934000</v>
      </c>
      <c r="O804" s="37">
        <v>0</v>
      </c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4.25" customHeight="1">
      <c r="A805" s="9">
        <v>894</v>
      </c>
      <c r="B805" s="10"/>
      <c r="C805" s="21">
        <v>221791</v>
      </c>
      <c r="D805" s="22" t="s">
        <v>457</v>
      </c>
      <c r="E805" s="23">
        <v>44839</v>
      </c>
      <c r="F805" s="24">
        <v>44835</v>
      </c>
      <c r="G805" s="44">
        <v>216450</v>
      </c>
      <c r="H805" s="26" t="s">
        <v>2637</v>
      </c>
      <c r="I805" s="34" t="s">
        <v>29</v>
      </c>
      <c r="J805" s="10"/>
      <c r="K805" s="39"/>
      <c r="L805" s="40">
        <v>45071</v>
      </c>
      <c r="M805" s="40">
        <v>45072</v>
      </c>
      <c r="N805" s="37">
        <v>216450</v>
      </c>
      <c r="O805" s="37">
        <v>0</v>
      </c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4.25" customHeight="1">
      <c r="A806" s="9">
        <v>895</v>
      </c>
      <c r="B806" s="10"/>
      <c r="C806" s="21">
        <v>221852</v>
      </c>
      <c r="D806" s="22" t="s">
        <v>457</v>
      </c>
      <c r="E806" s="23">
        <v>44848</v>
      </c>
      <c r="F806" s="24">
        <v>44835</v>
      </c>
      <c r="G806" s="44">
        <v>1663788</v>
      </c>
      <c r="H806" s="26" t="s">
        <v>2638</v>
      </c>
      <c r="I806" s="34" t="s">
        <v>29</v>
      </c>
      <c r="J806" s="10"/>
      <c r="K806" s="39"/>
      <c r="L806" s="40">
        <v>45071</v>
      </c>
      <c r="M806" s="40">
        <v>45072</v>
      </c>
      <c r="N806" s="37">
        <v>1663788</v>
      </c>
      <c r="O806" s="37">
        <v>0</v>
      </c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4.25" customHeight="1">
      <c r="A807" s="9">
        <v>896</v>
      </c>
      <c r="B807" s="10"/>
      <c r="C807" s="21">
        <v>221904</v>
      </c>
      <c r="D807" s="22" t="s">
        <v>457</v>
      </c>
      <c r="E807" s="23">
        <v>44860</v>
      </c>
      <c r="F807" s="24">
        <v>44835</v>
      </c>
      <c r="G807" s="44">
        <v>1146075</v>
      </c>
      <c r="H807" s="26" t="s">
        <v>2639</v>
      </c>
      <c r="I807" s="34" t="s">
        <v>29</v>
      </c>
      <c r="J807" s="10"/>
      <c r="K807" s="39"/>
      <c r="L807" s="40">
        <v>45071</v>
      </c>
      <c r="M807" s="40">
        <v>45072</v>
      </c>
      <c r="N807" s="37">
        <v>1146075</v>
      </c>
      <c r="O807" s="37">
        <v>0</v>
      </c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4.25" customHeight="1">
      <c r="A808" s="9">
        <v>898</v>
      </c>
      <c r="B808" s="10"/>
      <c r="C808" s="21">
        <v>221964</v>
      </c>
      <c r="D808" s="22" t="s">
        <v>457</v>
      </c>
      <c r="E808" s="23">
        <v>44868</v>
      </c>
      <c r="F808" s="24">
        <v>44866</v>
      </c>
      <c r="G808" s="44">
        <v>472860</v>
      </c>
      <c r="H808" s="26" t="s">
        <v>2640</v>
      </c>
      <c r="I808" s="34" t="s">
        <v>29</v>
      </c>
      <c r="J808" s="10"/>
      <c r="K808" s="39"/>
      <c r="L808" s="40">
        <v>45093</v>
      </c>
      <c r="M808" s="40">
        <v>45093</v>
      </c>
      <c r="N808" s="37">
        <v>472860</v>
      </c>
      <c r="O808" s="37">
        <v>0</v>
      </c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4.25" customHeight="1">
      <c r="A809" s="9">
        <v>897</v>
      </c>
      <c r="B809" s="10"/>
      <c r="C809" s="21">
        <v>221978</v>
      </c>
      <c r="D809" s="22" t="s">
        <v>457</v>
      </c>
      <c r="E809" s="23">
        <v>44868</v>
      </c>
      <c r="F809" s="24">
        <v>44866</v>
      </c>
      <c r="G809" s="44">
        <v>954045</v>
      </c>
      <c r="H809" s="26" t="s">
        <v>2641</v>
      </c>
      <c r="I809" s="34" t="s">
        <v>29</v>
      </c>
      <c r="J809" s="25">
        <v>13005999</v>
      </c>
      <c r="K809" s="40">
        <v>45092</v>
      </c>
      <c r="L809" s="40">
        <v>45093</v>
      </c>
      <c r="M809" s="40">
        <v>45093</v>
      </c>
      <c r="N809" s="37">
        <v>954045</v>
      </c>
      <c r="O809" s="37">
        <v>0</v>
      </c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4.25" customHeight="1">
      <c r="A810" s="9">
        <v>899</v>
      </c>
      <c r="B810" s="10"/>
      <c r="C810" s="21">
        <v>222029</v>
      </c>
      <c r="D810" s="22" t="s">
        <v>457</v>
      </c>
      <c r="E810" s="23">
        <v>44877</v>
      </c>
      <c r="F810" s="24">
        <v>44866</v>
      </c>
      <c r="G810" s="44">
        <v>1000008</v>
      </c>
      <c r="H810" s="26" t="s">
        <v>2642</v>
      </c>
      <c r="I810" s="34" t="s">
        <v>29</v>
      </c>
      <c r="J810" s="10"/>
      <c r="K810" s="39"/>
      <c r="L810" s="40">
        <v>45093</v>
      </c>
      <c r="M810" s="40">
        <v>45093</v>
      </c>
      <c r="N810" s="37">
        <v>1000008</v>
      </c>
      <c r="O810" s="37">
        <v>0</v>
      </c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4.25" customHeight="1">
      <c r="A811" s="9">
        <v>900</v>
      </c>
      <c r="B811" s="10"/>
      <c r="C811" s="21">
        <v>222036</v>
      </c>
      <c r="D811" s="22" t="s">
        <v>457</v>
      </c>
      <c r="E811" s="23">
        <v>44882</v>
      </c>
      <c r="F811" s="24">
        <v>44866</v>
      </c>
      <c r="G811" s="44">
        <v>1164390</v>
      </c>
      <c r="H811" s="26" t="s">
        <v>2643</v>
      </c>
      <c r="I811" s="34" t="s">
        <v>29</v>
      </c>
      <c r="J811" s="10"/>
      <c r="K811" s="39"/>
      <c r="L811" s="40">
        <v>45093</v>
      </c>
      <c r="M811" s="40">
        <v>45093</v>
      </c>
      <c r="N811" s="37">
        <v>1164390</v>
      </c>
      <c r="O811" s="37">
        <v>0</v>
      </c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4.25" customHeight="1">
      <c r="A812" s="9">
        <v>901</v>
      </c>
      <c r="B812" s="10"/>
      <c r="C812" s="21">
        <v>222095</v>
      </c>
      <c r="D812" s="22" t="s">
        <v>457</v>
      </c>
      <c r="E812" s="23">
        <v>44888</v>
      </c>
      <c r="F812" s="24">
        <v>44866</v>
      </c>
      <c r="G812" s="44">
        <v>1271061</v>
      </c>
      <c r="H812" s="26" t="s">
        <v>2644</v>
      </c>
      <c r="I812" s="34" t="s">
        <v>29</v>
      </c>
      <c r="J812" s="10"/>
      <c r="K812" s="39"/>
      <c r="L812" s="40">
        <v>45093</v>
      </c>
      <c r="M812" s="40">
        <v>45093</v>
      </c>
      <c r="N812" s="37">
        <v>1271061</v>
      </c>
      <c r="O812" s="37">
        <v>0</v>
      </c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4.25" customHeight="1">
      <c r="A813" s="9">
        <v>902</v>
      </c>
      <c r="B813" s="10"/>
      <c r="C813" s="21">
        <v>222191</v>
      </c>
      <c r="D813" s="22" t="s">
        <v>457</v>
      </c>
      <c r="E813" s="23">
        <v>44897</v>
      </c>
      <c r="F813" s="24">
        <v>44896</v>
      </c>
      <c r="G813" s="25">
        <v>1666221</v>
      </c>
      <c r="H813" s="26" t="s">
        <v>2645</v>
      </c>
      <c r="I813" s="34" t="s">
        <v>29</v>
      </c>
      <c r="J813" s="10"/>
      <c r="K813" s="39"/>
      <c r="L813" s="40">
        <v>45093</v>
      </c>
      <c r="M813" s="40">
        <v>45093</v>
      </c>
      <c r="N813" s="37">
        <v>1666221</v>
      </c>
      <c r="O813" s="37">
        <v>0</v>
      </c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4.25" customHeight="1">
      <c r="A814" s="9">
        <v>903</v>
      </c>
      <c r="B814" s="10"/>
      <c r="C814" s="21">
        <v>222200</v>
      </c>
      <c r="D814" s="22" t="s">
        <v>457</v>
      </c>
      <c r="E814" s="23">
        <v>44901</v>
      </c>
      <c r="F814" s="24">
        <v>44896</v>
      </c>
      <c r="G814" s="25">
        <v>1788108</v>
      </c>
      <c r="H814" s="26" t="s">
        <v>2646</v>
      </c>
      <c r="I814" s="34" t="s">
        <v>29</v>
      </c>
      <c r="J814" s="10"/>
      <c r="K814" s="39"/>
      <c r="L814" s="40">
        <v>45093</v>
      </c>
      <c r="M814" s="40">
        <v>45093</v>
      </c>
      <c r="N814" s="37">
        <v>1788108</v>
      </c>
      <c r="O814" s="37">
        <v>0</v>
      </c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4.25" customHeight="1">
      <c r="A815" s="9">
        <v>904</v>
      </c>
      <c r="B815" s="10"/>
      <c r="C815" s="21">
        <v>222250</v>
      </c>
      <c r="D815" s="22" t="s">
        <v>457</v>
      </c>
      <c r="E815" s="23">
        <v>44910</v>
      </c>
      <c r="F815" s="24">
        <v>44896</v>
      </c>
      <c r="G815" s="25">
        <v>255300</v>
      </c>
      <c r="H815" s="26" t="s">
        <v>2647</v>
      </c>
      <c r="I815" s="34" t="s">
        <v>29</v>
      </c>
      <c r="J815" s="10"/>
      <c r="K815" s="39"/>
      <c r="L815" s="40">
        <v>45093</v>
      </c>
      <c r="M815" s="40">
        <v>45093</v>
      </c>
      <c r="N815" s="37">
        <v>255300</v>
      </c>
      <c r="O815" s="37">
        <v>0</v>
      </c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4.25" customHeight="1">
      <c r="A816" s="9">
        <v>905</v>
      </c>
      <c r="B816" s="10"/>
      <c r="C816" s="21">
        <v>222285</v>
      </c>
      <c r="D816" s="22" t="s">
        <v>457</v>
      </c>
      <c r="E816" s="23">
        <v>44914</v>
      </c>
      <c r="F816" s="24">
        <v>44896</v>
      </c>
      <c r="G816" s="25">
        <v>4434006</v>
      </c>
      <c r="H816" s="26" t="s">
        <v>2648</v>
      </c>
      <c r="I816" s="34" t="s">
        <v>29</v>
      </c>
      <c r="J816" s="10"/>
      <c r="K816" s="39"/>
      <c r="L816" s="40">
        <v>45093</v>
      </c>
      <c r="M816" s="40">
        <v>45093</v>
      </c>
      <c r="N816" s="37">
        <v>4434006</v>
      </c>
      <c r="O816" s="37">
        <v>0</v>
      </c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4.25" customHeight="1">
      <c r="A817" s="9">
        <v>906</v>
      </c>
      <c r="B817" s="10"/>
      <c r="C817" s="21">
        <v>230035</v>
      </c>
      <c r="D817" s="22" t="s">
        <v>457</v>
      </c>
      <c r="E817" s="23">
        <v>44929</v>
      </c>
      <c r="F817" s="24">
        <v>44927</v>
      </c>
      <c r="G817" s="25">
        <v>1055055</v>
      </c>
      <c r="H817" s="26" t="s">
        <v>2649</v>
      </c>
      <c r="I817" s="34" t="s">
        <v>29</v>
      </c>
      <c r="J817" s="25">
        <v>9847485</v>
      </c>
      <c r="K817" s="40">
        <v>45102</v>
      </c>
      <c r="L817" s="40">
        <v>45105</v>
      </c>
      <c r="M817" s="40">
        <v>45106</v>
      </c>
      <c r="N817" s="37">
        <v>1055055</v>
      </c>
      <c r="O817" s="37">
        <v>0</v>
      </c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4.25" customHeight="1">
      <c r="A818" s="9">
        <v>907</v>
      </c>
      <c r="B818" s="10"/>
      <c r="C818" s="21">
        <v>230085</v>
      </c>
      <c r="D818" s="22" t="s">
        <v>457</v>
      </c>
      <c r="E818" s="23">
        <v>44932</v>
      </c>
      <c r="F818" s="24">
        <v>44927</v>
      </c>
      <c r="G818" s="25">
        <v>1132200</v>
      </c>
      <c r="H818" s="26" t="s">
        <v>2650</v>
      </c>
      <c r="I818" s="34" t="s">
        <v>29</v>
      </c>
      <c r="J818" s="10"/>
      <c r="K818" s="39"/>
      <c r="L818" s="40">
        <v>45105</v>
      </c>
      <c r="M818" s="40">
        <v>45106</v>
      </c>
      <c r="N818" s="37">
        <v>1132200</v>
      </c>
      <c r="O818" s="37">
        <v>0</v>
      </c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4.25" customHeight="1">
      <c r="A819" s="9">
        <v>908</v>
      </c>
      <c r="B819" s="10"/>
      <c r="C819" s="21">
        <v>230074</v>
      </c>
      <c r="D819" s="22" t="s">
        <v>457</v>
      </c>
      <c r="E819" s="23">
        <v>44935</v>
      </c>
      <c r="F819" s="24">
        <v>44927</v>
      </c>
      <c r="G819" s="25">
        <v>820290</v>
      </c>
      <c r="H819" s="26" t="s">
        <v>2651</v>
      </c>
      <c r="I819" s="34" t="s">
        <v>29</v>
      </c>
      <c r="J819" s="10"/>
      <c r="K819" s="39"/>
      <c r="L819" s="40">
        <v>45105</v>
      </c>
      <c r="M819" s="40">
        <v>45106</v>
      </c>
      <c r="N819" s="37">
        <v>820290</v>
      </c>
      <c r="O819" s="37">
        <v>0</v>
      </c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4.25" customHeight="1">
      <c r="A820" s="9">
        <v>909</v>
      </c>
      <c r="B820" s="10"/>
      <c r="C820" s="21">
        <v>230166</v>
      </c>
      <c r="D820" s="22" t="s">
        <v>457</v>
      </c>
      <c r="E820" s="23">
        <v>44950</v>
      </c>
      <c r="F820" s="24">
        <v>44927</v>
      </c>
      <c r="G820" s="25">
        <v>1072593</v>
      </c>
      <c r="H820" s="26" t="s">
        <v>2652</v>
      </c>
      <c r="I820" s="34" t="s">
        <v>29</v>
      </c>
      <c r="J820" s="10"/>
      <c r="K820" s="39"/>
      <c r="L820" s="40">
        <v>45105</v>
      </c>
      <c r="M820" s="40">
        <v>45106</v>
      </c>
      <c r="N820" s="37">
        <v>1072593</v>
      </c>
      <c r="O820" s="37">
        <v>0</v>
      </c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4.25" customHeight="1">
      <c r="A821" s="9">
        <v>910</v>
      </c>
      <c r="B821" s="10"/>
      <c r="C821" s="21">
        <v>230208</v>
      </c>
      <c r="D821" s="22" t="s">
        <v>457</v>
      </c>
      <c r="E821" s="23">
        <v>44951</v>
      </c>
      <c r="F821" s="24">
        <v>44927</v>
      </c>
      <c r="G821" s="25">
        <v>423687</v>
      </c>
      <c r="H821" s="26" t="s">
        <v>2653</v>
      </c>
      <c r="I821" s="34" t="s">
        <v>29</v>
      </c>
      <c r="J821" s="10"/>
      <c r="K821" s="39"/>
      <c r="L821" s="40">
        <v>45105</v>
      </c>
      <c r="M821" s="40">
        <v>45106</v>
      </c>
      <c r="N821" s="37">
        <v>423687</v>
      </c>
      <c r="O821" s="37">
        <v>0</v>
      </c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4.25" customHeight="1">
      <c r="A822" s="9">
        <v>911</v>
      </c>
      <c r="B822" s="10"/>
      <c r="C822" s="21">
        <v>230218</v>
      </c>
      <c r="D822" s="22" t="s">
        <v>457</v>
      </c>
      <c r="E822" s="23">
        <v>44957</v>
      </c>
      <c r="F822" s="24">
        <v>44927</v>
      </c>
      <c r="G822" s="25">
        <v>1641033</v>
      </c>
      <c r="H822" s="26" t="s">
        <v>2654</v>
      </c>
      <c r="I822" s="34" t="s">
        <v>29</v>
      </c>
      <c r="J822" s="10"/>
      <c r="K822" s="39"/>
      <c r="L822" s="40">
        <v>45105</v>
      </c>
      <c r="M822" s="40">
        <v>45106</v>
      </c>
      <c r="N822" s="37">
        <v>1641033</v>
      </c>
      <c r="O822" s="37">
        <v>0</v>
      </c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4.25" customHeight="1">
      <c r="A823" s="9">
        <v>912</v>
      </c>
      <c r="B823" s="10"/>
      <c r="C823" s="21">
        <v>230432</v>
      </c>
      <c r="D823" s="22" t="s">
        <v>457</v>
      </c>
      <c r="E823" s="23">
        <v>44966</v>
      </c>
      <c r="F823" s="24">
        <v>44958</v>
      </c>
      <c r="G823" s="25">
        <v>842490</v>
      </c>
      <c r="H823" s="26" t="s">
        <v>2655</v>
      </c>
      <c r="I823" s="34" t="s">
        <v>29</v>
      </c>
      <c r="J823" s="10"/>
      <c r="K823" s="39"/>
      <c r="L823" s="40">
        <v>45105</v>
      </c>
      <c r="M823" s="40">
        <v>45106</v>
      </c>
      <c r="N823" s="37">
        <v>842490</v>
      </c>
      <c r="O823" s="37">
        <v>0</v>
      </c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4.25" customHeight="1">
      <c r="A824" s="9">
        <v>913</v>
      </c>
      <c r="B824" s="10"/>
      <c r="C824" s="21">
        <v>230431</v>
      </c>
      <c r="D824" s="22" t="s">
        <v>457</v>
      </c>
      <c r="E824" s="23">
        <v>44968</v>
      </c>
      <c r="F824" s="24">
        <v>44958</v>
      </c>
      <c r="G824" s="25">
        <v>442890</v>
      </c>
      <c r="H824" s="26" t="s">
        <v>2656</v>
      </c>
      <c r="I824" s="34" t="s">
        <v>29</v>
      </c>
      <c r="J824" s="10"/>
      <c r="K824" s="39"/>
      <c r="L824" s="40">
        <v>45105</v>
      </c>
      <c r="M824" s="40">
        <v>45106</v>
      </c>
      <c r="N824" s="37">
        <v>442890</v>
      </c>
      <c r="O824" s="37">
        <v>0</v>
      </c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4.25" customHeight="1">
      <c r="A825" s="9">
        <v>914</v>
      </c>
      <c r="B825" s="10"/>
      <c r="C825" s="21">
        <v>230377</v>
      </c>
      <c r="D825" s="22" t="s">
        <v>457</v>
      </c>
      <c r="E825" s="23">
        <v>44977</v>
      </c>
      <c r="F825" s="24">
        <v>44958</v>
      </c>
      <c r="G825" s="25">
        <v>2417247</v>
      </c>
      <c r="H825" s="26" t="s">
        <v>2657</v>
      </c>
      <c r="I825" s="34" t="s">
        <v>29</v>
      </c>
      <c r="J825" s="10"/>
      <c r="K825" s="39"/>
      <c r="L825" s="40">
        <v>45105</v>
      </c>
      <c r="M825" s="40">
        <v>45106</v>
      </c>
      <c r="N825" s="37">
        <v>2417247</v>
      </c>
      <c r="O825" s="37">
        <v>0</v>
      </c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4.25" customHeight="1">
      <c r="A826" s="9">
        <v>915</v>
      </c>
      <c r="B826" s="10"/>
      <c r="C826" s="21">
        <v>230430</v>
      </c>
      <c r="D826" s="22" t="s">
        <v>457</v>
      </c>
      <c r="E826" s="23">
        <v>44979</v>
      </c>
      <c r="F826" s="24">
        <v>44958</v>
      </c>
      <c r="G826" s="25">
        <v>2733375</v>
      </c>
      <c r="H826" s="26" t="s">
        <v>2658</v>
      </c>
      <c r="I826" s="34" t="s">
        <v>29</v>
      </c>
      <c r="J826" s="25">
        <v>12987610</v>
      </c>
      <c r="K826" s="36">
        <v>45194</v>
      </c>
      <c r="L826" s="36">
        <v>45196</v>
      </c>
      <c r="M826" s="36">
        <v>45196</v>
      </c>
      <c r="N826" s="37">
        <v>2733375</v>
      </c>
      <c r="O826" s="37">
        <v>0</v>
      </c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4.25" customHeight="1">
      <c r="A827" s="9">
        <v>916</v>
      </c>
      <c r="B827" s="10"/>
      <c r="C827" s="21">
        <v>230433</v>
      </c>
      <c r="D827" s="22" t="s">
        <v>457</v>
      </c>
      <c r="E827" s="23">
        <v>44980</v>
      </c>
      <c r="F827" s="24">
        <v>44958</v>
      </c>
      <c r="G827" s="25">
        <v>1425351</v>
      </c>
      <c r="H827" s="26" t="s">
        <v>2659</v>
      </c>
      <c r="I827" s="34" t="s">
        <v>29</v>
      </c>
      <c r="J827" s="10"/>
      <c r="K827" s="39"/>
      <c r="L827" s="36">
        <v>45196</v>
      </c>
      <c r="M827" s="36">
        <v>45196</v>
      </c>
      <c r="N827" s="37">
        <v>1425351</v>
      </c>
      <c r="O827" s="37">
        <v>0</v>
      </c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4.25" customHeight="1">
      <c r="A828" s="9">
        <v>917</v>
      </c>
      <c r="B828" s="10"/>
      <c r="C828" s="21">
        <v>230434</v>
      </c>
      <c r="D828" s="22" t="s">
        <v>457</v>
      </c>
      <c r="E828" s="23">
        <v>44982</v>
      </c>
      <c r="F828" s="24">
        <v>44958</v>
      </c>
      <c r="G828" s="25">
        <v>881118</v>
      </c>
      <c r="H828" s="26" t="s">
        <v>2660</v>
      </c>
      <c r="I828" s="34" t="s">
        <v>29</v>
      </c>
      <c r="J828" s="10"/>
      <c r="K828" s="39"/>
      <c r="L828" s="36">
        <v>45196</v>
      </c>
      <c r="M828" s="36">
        <v>45196</v>
      </c>
      <c r="N828" s="37">
        <v>881118</v>
      </c>
      <c r="O828" s="37">
        <v>0</v>
      </c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4.25" customHeight="1">
      <c r="A829" s="9">
        <v>918</v>
      </c>
      <c r="B829" s="10"/>
      <c r="C829" s="21">
        <v>230429</v>
      </c>
      <c r="D829" s="22" t="s">
        <v>457</v>
      </c>
      <c r="E829" s="23">
        <v>44984</v>
      </c>
      <c r="F829" s="24">
        <v>44958</v>
      </c>
      <c r="G829" s="25">
        <v>1268730</v>
      </c>
      <c r="H829" s="26" t="s">
        <v>2661</v>
      </c>
      <c r="I829" s="34" t="s">
        <v>29</v>
      </c>
      <c r="J829" s="10"/>
      <c r="K829" s="39"/>
      <c r="L829" s="36">
        <v>45196</v>
      </c>
      <c r="M829" s="36">
        <v>45196</v>
      </c>
      <c r="N829" s="37">
        <v>1268730</v>
      </c>
      <c r="O829" s="37">
        <v>0</v>
      </c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4.25" customHeight="1">
      <c r="A830" s="9">
        <v>919</v>
      </c>
      <c r="B830" s="10"/>
      <c r="C830" s="21">
        <v>230530</v>
      </c>
      <c r="D830" s="22" t="s">
        <v>457</v>
      </c>
      <c r="E830" s="23">
        <v>44993</v>
      </c>
      <c r="F830" s="24">
        <v>44986</v>
      </c>
      <c r="G830" s="25">
        <v>1282050</v>
      </c>
      <c r="H830" s="26" t="s">
        <v>2662</v>
      </c>
      <c r="I830" s="34" t="s">
        <v>29</v>
      </c>
      <c r="J830" s="27"/>
      <c r="K830" s="39"/>
      <c r="L830" s="36">
        <v>45196</v>
      </c>
      <c r="M830" s="36">
        <v>45196</v>
      </c>
      <c r="N830" s="37">
        <v>1282050</v>
      </c>
      <c r="O830" s="37">
        <v>0</v>
      </c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4.25" customHeight="1">
      <c r="A831" s="9">
        <v>920</v>
      </c>
      <c r="B831" s="10"/>
      <c r="C831" s="21">
        <v>230553</v>
      </c>
      <c r="D831" s="22" t="s">
        <v>457</v>
      </c>
      <c r="E831" s="23">
        <v>44995</v>
      </c>
      <c r="F831" s="24">
        <v>44986</v>
      </c>
      <c r="G831" s="25">
        <v>291930</v>
      </c>
      <c r="H831" s="26" t="s">
        <v>2663</v>
      </c>
      <c r="I831" s="34" t="s">
        <v>29</v>
      </c>
      <c r="J831" s="10"/>
      <c r="K831" s="39"/>
      <c r="L831" s="36">
        <v>45196</v>
      </c>
      <c r="M831" s="36">
        <v>45196</v>
      </c>
      <c r="N831" s="37">
        <v>291930</v>
      </c>
      <c r="O831" s="37">
        <v>0</v>
      </c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4.25" customHeight="1">
      <c r="A832" s="9">
        <v>921</v>
      </c>
      <c r="B832" s="10"/>
      <c r="C832" s="21">
        <v>230567</v>
      </c>
      <c r="D832" s="22" t="s">
        <v>457</v>
      </c>
      <c r="E832" s="23">
        <v>45000</v>
      </c>
      <c r="F832" s="24">
        <v>44986</v>
      </c>
      <c r="G832" s="25">
        <v>442890</v>
      </c>
      <c r="H832" s="26" t="s">
        <v>2664</v>
      </c>
      <c r="I832" s="34" t="s">
        <v>29</v>
      </c>
      <c r="J832" s="10"/>
      <c r="K832" s="39"/>
      <c r="L832" s="36">
        <v>45196</v>
      </c>
      <c r="M832" s="36">
        <v>45196</v>
      </c>
      <c r="N832" s="37">
        <v>442890</v>
      </c>
      <c r="O832" s="37">
        <v>0</v>
      </c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4.25" customHeight="1">
      <c r="A833" s="9">
        <v>922</v>
      </c>
      <c r="B833" s="10"/>
      <c r="C833" s="21">
        <v>230597</v>
      </c>
      <c r="D833" s="22" t="s">
        <v>457</v>
      </c>
      <c r="E833" s="23">
        <v>45003</v>
      </c>
      <c r="F833" s="24">
        <v>44986</v>
      </c>
      <c r="G833" s="25">
        <v>1365855</v>
      </c>
      <c r="H833" s="26" t="s">
        <v>2665</v>
      </c>
      <c r="I833" s="34" t="s">
        <v>29</v>
      </c>
      <c r="J833" s="10"/>
      <c r="K833" s="39"/>
      <c r="L833" s="36">
        <v>45196</v>
      </c>
      <c r="M833" s="36">
        <v>45196</v>
      </c>
      <c r="N833" s="37">
        <v>1365855</v>
      </c>
      <c r="O833" s="37">
        <v>0</v>
      </c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4.25" customHeight="1">
      <c r="A834" s="9">
        <v>923</v>
      </c>
      <c r="B834" s="10"/>
      <c r="C834" s="21">
        <v>230644</v>
      </c>
      <c r="D834" s="22" t="s">
        <v>457</v>
      </c>
      <c r="E834" s="23">
        <v>45012</v>
      </c>
      <c r="F834" s="24">
        <v>44986</v>
      </c>
      <c r="G834" s="25">
        <v>337995</v>
      </c>
      <c r="H834" s="26" t="s">
        <v>2666</v>
      </c>
      <c r="I834" s="34" t="s">
        <v>29</v>
      </c>
      <c r="J834" s="10"/>
      <c r="K834" s="39"/>
      <c r="L834" s="36">
        <v>45196</v>
      </c>
      <c r="M834" s="36">
        <v>45196</v>
      </c>
      <c r="N834" s="37">
        <v>337995</v>
      </c>
      <c r="O834" s="37">
        <v>0</v>
      </c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4.25" customHeight="1">
      <c r="A835" s="9">
        <v>924</v>
      </c>
      <c r="B835" s="10"/>
      <c r="C835" s="21">
        <v>230662</v>
      </c>
      <c r="D835" s="22" t="s">
        <v>457</v>
      </c>
      <c r="E835" s="23">
        <v>45013</v>
      </c>
      <c r="F835" s="24">
        <v>44986</v>
      </c>
      <c r="G835" s="25">
        <v>2958316</v>
      </c>
      <c r="H835" s="26" t="s">
        <v>2667</v>
      </c>
      <c r="I835" s="34" t="s">
        <v>29</v>
      </c>
      <c r="J835" s="10"/>
      <c r="K835" s="39"/>
      <c r="L835" s="36">
        <v>45196</v>
      </c>
      <c r="M835" s="36">
        <v>45196</v>
      </c>
      <c r="N835" s="37">
        <v>2958316</v>
      </c>
      <c r="O835" s="37">
        <v>0</v>
      </c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4.25" customHeight="1">
      <c r="A836" s="9">
        <v>925</v>
      </c>
      <c r="B836" s="10"/>
      <c r="C836" s="21">
        <v>230662</v>
      </c>
      <c r="D836" s="22" t="s">
        <v>457</v>
      </c>
      <c r="E836" s="23">
        <v>45013</v>
      </c>
      <c r="F836" s="24">
        <v>44986</v>
      </c>
      <c r="G836" s="25">
        <v>500</v>
      </c>
      <c r="H836" s="26" t="s">
        <v>2668</v>
      </c>
      <c r="I836" s="34" t="s">
        <v>29</v>
      </c>
      <c r="J836" s="27">
        <v>19416836</v>
      </c>
      <c r="K836" s="39">
        <v>45229</v>
      </c>
      <c r="L836" s="36">
        <v>45229</v>
      </c>
      <c r="M836" s="36">
        <v>45229</v>
      </c>
      <c r="N836" s="37">
        <v>500</v>
      </c>
      <c r="O836" s="37">
        <v>0</v>
      </c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4.25" customHeight="1">
      <c r="A837" s="9">
        <v>926</v>
      </c>
      <c r="B837" s="10"/>
      <c r="C837" s="21">
        <v>230718</v>
      </c>
      <c r="D837" s="22" t="s">
        <v>457</v>
      </c>
      <c r="E837" s="23">
        <v>45017</v>
      </c>
      <c r="F837" s="24">
        <v>45017</v>
      </c>
      <c r="G837" s="25">
        <v>2694525</v>
      </c>
      <c r="H837" s="26" t="s">
        <v>2669</v>
      </c>
      <c r="I837" s="34" t="s">
        <v>29</v>
      </c>
      <c r="J837" s="10"/>
      <c r="K837" s="39"/>
      <c r="L837" s="36">
        <v>45229</v>
      </c>
      <c r="M837" s="36">
        <v>45229</v>
      </c>
      <c r="N837" s="37">
        <v>2694525</v>
      </c>
      <c r="O837" s="37">
        <v>0</v>
      </c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4.25" customHeight="1">
      <c r="A838" s="9">
        <v>927</v>
      </c>
      <c r="B838" s="10"/>
      <c r="C838" s="21">
        <v>230741</v>
      </c>
      <c r="D838" s="22" t="s">
        <v>457</v>
      </c>
      <c r="E838" s="23">
        <v>45019</v>
      </c>
      <c r="F838" s="24">
        <v>45017</v>
      </c>
      <c r="G838" s="25">
        <v>3984678</v>
      </c>
      <c r="H838" s="26" t="s">
        <v>2670</v>
      </c>
      <c r="I838" s="34" t="s">
        <v>29</v>
      </c>
      <c r="J838" s="10"/>
      <c r="K838" s="39"/>
      <c r="L838" s="36">
        <v>45229</v>
      </c>
      <c r="M838" s="36">
        <v>45229</v>
      </c>
      <c r="N838" s="37">
        <v>3984678</v>
      </c>
      <c r="O838" s="37">
        <v>0</v>
      </c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4.25" customHeight="1">
      <c r="A839" s="9">
        <v>928</v>
      </c>
      <c r="B839" s="10"/>
      <c r="C839" s="21">
        <v>230836</v>
      </c>
      <c r="D839" s="22" t="s">
        <v>457</v>
      </c>
      <c r="E839" s="23">
        <v>45033</v>
      </c>
      <c r="F839" s="24">
        <v>45017</v>
      </c>
      <c r="G839" s="25">
        <v>733260</v>
      </c>
      <c r="H839" s="26" t="s">
        <v>2671</v>
      </c>
      <c r="I839" s="34" t="s">
        <v>29</v>
      </c>
      <c r="J839" s="10"/>
      <c r="K839" s="39"/>
      <c r="L839" s="36">
        <v>45229</v>
      </c>
      <c r="M839" s="36">
        <v>45229</v>
      </c>
      <c r="N839" s="37">
        <v>733260</v>
      </c>
      <c r="O839" s="37">
        <v>0</v>
      </c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4.25" customHeight="1">
      <c r="A840" s="9">
        <v>937</v>
      </c>
      <c r="B840" s="10"/>
      <c r="C840" s="21">
        <v>230836</v>
      </c>
      <c r="D840" s="22" t="s">
        <v>457</v>
      </c>
      <c r="E840" s="23">
        <v>45033</v>
      </c>
      <c r="F840" s="24">
        <v>45017</v>
      </c>
      <c r="G840" s="25">
        <v>5000</v>
      </c>
      <c r="H840" s="26" t="s">
        <v>2672</v>
      </c>
      <c r="I840" s="34" t="s">
        <v>29</v>
      </c>
      <c r="J840" s="27">
        <v>15758674</v>
      </c>
      <c r="K840" s="39">
        <v>45265</v>
      </c>
      <c r="L840" s="36">
        <v>45265</v>
      </c>
      <c r="M840" s="36">
        <v>45265</v>
      </c>
      <c r="N840" s="37">
        <v>5000</v>
      </c>
      <c r="O840" s="37">
        <v>0</v>
      </c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4.25" customHeight="1">
      <c r="A841" s="9">
        <v>929</v>
      </c>
      <c r="B841" s="10"/>
      <c r="C841" s="21">
        <v>230860</v>
      </c>
      <c r="D841" s="22" t="s">
        <v>457</v>
      </c>
      <c r="E841" s="23">
        <v>45035</v>
      </c>
      <c r="F841" s="24">
        <v>45017</v>
      </c>
      <c r="G841" s="25">
        <v>897435</v>
      </c>
      <c r="H841" s="26" t="s">
        <v>2673</v>
      </c>
      <c r="I841" s="34" t="s">
        <v>29</v>
      </c>
      <c r="J841" s="10"/>
      <c r="K841" s="39"/>
      <c r="L841" s="36">
        <v>45229</v>
      </c>
      <c r="M841" s="36">
        <v>45229</v>
      </c>
      <c r="N841" s="37">
        <v>897435</v>
      </c>
      <c r="O841" s="37">
        <v>0</v>
      </c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4.25" customHeight="1">
      <c r="A842" s="9">
        <v>930</v>
      </c>
      <c r="B842" s="10"/>
      <c r="C842" s="21">
        <v>230918</v>
      </c>
      <c r="D842" s="22" t="s">
        <v>457</v>
      </c>
      <c r="E842" s="23">
        <v>45051</v>
      </c>
      <c r="F842" s="24">
        <v>45047</v>
      </c>
      <c r="G842" s="25">
        <v>1301142</v>
      </c>
      <c r="H842" s="26" t="s">
        <v>2674</v>
      </c>
      <c r="I842" s="34" t="s">
        <v>29</v>
      </c>
      <c r="J842" s="10"/>
      <c r="K842" s="39"/>
      <c r="L842" s="36">
        <v>45229</v>
      </c>
      <c r="M842" s="36">
        <v>45229</v>
      </c>
      <c r="N842" s="37">
        <v>1301142</v>
      </c>
      <c r="O842" s="37">
        <v>0</v>
      </c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4.25" customHeight="1">
      <c r="A843" s="9">
        <v>931</v>
      </c>
      <c r="B843" s="10"/>
      <c r="C843" s="21">
        <v>230942</v>
      </c>
      <c r="D843" s="22" t="s">
        <v>457</v>
      </c>
      <c r="E843" s="23">
        <v>45055</v>
      </c>
      <c r="F843" s="24">
        <v>45047</v>
      </c>
      <c r="G843" s="25">
        <v>1088355</v>
      </c>
      <c r="H843" s="26" t="s">
        <v>2675</v>
      </c>
      <c r="I843" s="34" t="s">
        <v>29</v>
      </c>
      <c r="J843" s="10"/>
      <c r="K843" s="39"/>
      <c r="L843" s="36">
        <v>45229</v>
      </c>
      <c r="M843" s="36">
        <v>45229</v>
      </c>
      <c r="N843" s="37">
        <v>1088355</v>
      </c>
      <c r="O843" s="37">
        <v>0</v>
      </c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4.25" customHeight="1">
      <c r="A844" s="9">
        <v>932</v>
      </c>
      <c r="B844" s="10"/>
      <c r="C844" s="21">
        <v>230947</v>
      </c>
      <c r="D844" s="22" t="s">
        <v>457</v>
      </c>
      <c r="E844" s="23">
        <v>45056</v>
      </c>
      <c r="F844" s="24">
        <v>45047</v>
      </c>
      <c r="G844" s="25">
        <v>196692</v>
      </c>
      <c r="H844" s="26" t="s">
        <v>2676</v>
      </c>
      <c r="I844" s="34" t="s">
        <v>29</v>
      </c>
      <c r="J844" s="10"/>
      <c r="K844" s="39"/>
      <c r="L844" s="36">
        <v>45229</v>
      </c>
      <c r="M844" s="36">
        <v>45229</v>
      </c>
      <c r="N844" s="37">
        <v>196692</v>
      </c>
      <c r="O844" s="37">
        <v>0</v>
      </c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4.25" customHeight="1">
      <c r="A845" s="9">
        <v>933</v>
      </c>
      <c r="B845" s="10"/>
      <c r="C845" s="21">
        <v>230959</v>
      </c>
      <c r="D845" s="22" t="s">
        <v>457</v>
      </c>
      <c r="E845" s="23">
        <v>45058</v>
      </c>
      <c r="F845" s="24">
        <v>45047</v>
      </c>
      <c r="G845" s="25">
        <v>3705513</v>
      </c>
      <c r="H845" s="26" t="s">
        <v>2677</v>
      </c>
      <c r="I845" s="34" t="s">
        <v>29</v>
      </c>
      <c r="J845" s="10"/>
      <c r="K845" s="39"/>
      <c r="L845" s="36">
        <v>45229</v>
      </c>
      <c r="M845" s="36">
        <v>45229</v>
      </c>
      <c r="N845" s="37">
        <v>3705513</v>
      </c>
      <c r="O845" s="37">
        <v>0</v>
      </c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4.25" customHeight="1">
      <c r="A846" s="9">
        <v>934</v>
      </c>
      <c r="B846" s="10"/>
      <c r="C846" s="21">
        <v>230971</v>
      </c>
      <c r="D846" s="22" t="s">
        <v>457</v>
      </c>
      <c r="E846" s="23">
        <v>45061</v>
      </c>
      <c r="F846" s="24">
        <v>45047</v>
      </c>
      <c r="G846" s="25">
        <v>1863135</v>
      </c>
      <c r="H846" s="26" t="s">
        <v>2678</v>
      </c>
      <c r="I846" s="34" t="s">
        <v>29</v>
      </c>
      <c r="J846" s="10"/>
      <c r="K846" s="39"/>
      <c r="L846" s="36">
        <v>45229</v>
      </c>
      <c r="M846" s="36">
        <v>45229</v>
      </c>
      <c r="N846" s="37">
        <v>1863135</v>
      </c>
      <c r="O846" s="37">
        <v>0</v>
      </c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4.25" customHeight="1">
      <c r="A847" s="9">
        <v>935</v>
      </c>
      <c r="B847" s="10"/>
      <c r="C847" s="21">
        <v>231039</v>
      </c>
      <c r="D847" s="22" t="s">
        <v>457</v>
      </c>
      <c r="E847" s="23">
        <v>45072</v>
      </c>
      <c r="F847" s="24">
        <v>45047</v>
      </c>
      <c r="G847" s="25">
        <v>1616937</v>
      </c>
      <c r="H847" s="26" t="s">
        <v>2679</v>
      </c>
      <c r="I847" s="34" t="s">
        <v>29</v>
      </c>
      <c r="J847" s="10"/>
      <c r="K847" s="39"/>
      <c r="L847" s="36">
        <v>45229</v>
      </c>
      <c r="M847" s="36">
        <v>45229</v>
      </c>
      <c r="N847" s="37">
        <v>1616937</v>
      </c>
      <c r="O847" s="37">
        <v>0</v>
      </c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4.25" customHeight="1">
      <c r="A848" s="9">
        <v>936</v>
      </c>
      <c r="B848" s="10"/>
      <c r="C848" s="21">
        <v>231049</v>
      </c>
      <c r="D848" s="22" t="s">
        <v>457</v>
      </c>
      <c r="E848" s="23">
        <v>45076</v>
      </c>
      <c r="F848" s="24">
        <v>45047</v>
      </c>
      <c r="G848" s="25">
        <v>1334664</v>
      </c>
      <c r="H848" s="26" t="s">
        <v>2680</v>
      </c>
      <c r="I848" s="34" t="s">
        <v>29</v>
      </c>
      <c r="J848" s="10"/>
      <c r="K848" s="39"/>
      <c r="L848" s="36">
        <v>45229</v>
      </c>
      <c r="M848" s="36">
        <v>45229</v>
      </c>
      <c r="N848" s="37">
        <v>1334664</v>
      </c>
      <c r="O848" s="37">
        <v>0</v>
      </c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4.25" customHeight="1">
      <c r="A849" s="9">
        <v>938</v>
      </c>
      <c r="B849" s="10"/>
      <c r="C849" s="21">
        <v>231189</v>
      </c>
      <c r="D849" s="22" t="s">
        <v>457</v>
      </c>
      <c r="E849" s="23">
        <v>45084</v>
      </c>
      <c r="F849" s="24">
        <v>45078</v>
      </c>
      <c r="G849" s="25">
        <v>843711</v>
      </c>
      <c r="H849" s="26" t="s">
        <v>2681</v>
      </c>
      <c r="I849" s="34" t="s">
        <v>29</v>
      </c>
      <c r="J849" s="10"/>
      <c r="K849" s="39"/>
      <c r="L849" s="36">
        <v>45265</v>
      </c>
      <c r="M849" s="36">
        <v>45265</v>
      </c>
      <c r="N849" s="37">
        <v>843711</v>
      </c>
      <c r="O849" s="37">
        <v>0</v>
      </c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4.25" customHeight="1">
      <c r="A850" s="9">
        <v>939</v>
      </c>
      <c r="B850" s="10"/>
      <c r="C850" s="21">
        <v>231188</v>
      </c>
      <c r="D850" s="22" t="s">
        <v>457</v>
      </c>
      <c r="E850" s="23">
        <v>45090</v>
      </c>
      <c r="F850" s="24">
        <v>45078</v>
      </c>
      <c r="G850" s="25">
        <v>174325</v>
      </c>
      <c r="H850" s="26" t="s">
        <v>2682</v>
      </c>
      <c r="I850" s="34" t="s">
        <v>29</v>
      </c>
      <c r="J850" s="10"/>
      <c r="K850" s="39"/>
      <c r="L850" s="36">
        <v>45265</v>
      </c>
      <c r="M850" s="36">
        <v>45265</v>
      </c>
      <c r="N850" s="37">
        <v>174325</v>
      </c>
      <c r="O850" s="37">
        <v>0</v>
      </c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4.25" customHeight="1">
      <c r="A851" s="9">
        <v>940</v>
      </c>
      <c r="B851" s="10"/>
      <c r="C851" s="21">
        <v>231174</v>
      </c>
      <c r="D851" s="22" t="s">
        <v>457</v>
      </c>
      <c r="E851" s="23">
        <v>45091</v>
      </c>
      <c r="F851" s="24">
        <v>45078</v>
      </c>
      <c r="G851" s="25">
        <v>769230</v>
      </c>
      <c r="H851" s="26" t="s">
        <v>2683</v>
      </c>
      <c r="I851" s="34" t="s">
        <v>29</v>
      </c>
      <c r="J851" s="10"/>
      <c r="K851" s="39"/>
      <c r="L851" s="36">
        <v>45265</v>
      </c>
      <c r="M851" s="36">
        <v>45265</v>
      </c>
      <c r="N851" s="37">
        <v>769230</v>
      </c>
      <c r="O851" s="37">
        <v>0</v>
      </c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4.25" customHeight="1">
      <c r="A852" s="9">
        <v>941</v>
      </c>
      <c r="B852" s="10"/>
      <c r="C852" s="21">
        <v>231244</v>
      </c>
      <c r="D852" s="22" t="s">
        <v>457</v>
      </c>
      <c r="E852" s="23">
        <v>45100</v>
      </c>
      <c r="F852" s="24">
        <v>45078</v>
      </c>
      <c r="G852" s="25">
        <v>2654010</v>
      </c>
      <c r="H852" s="26" t="s">
        <v>2684</v>
      </c>
      <c r="I852" s="34" t="s">
        <v>29</v>
      </c>
      <c r="J852" s="10"/>
      <c r="K852" s="39"/>
      <c r="L852" s="36">
        <v>45265</v>
      </c>
      <c r="M852" s="36">
        <v>45265</v>
      </c>
      <c r="N852" s="37">
        <v>2654010</v>
      </c>
      <c r="O852" s="37">
        <v>0</v>
      </c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4.25" customHeight="1">
      <c r="A853" s="9">
        <v>942</v>
      </c>
      <c r="B853" s="10"/>
      <c r="C853" s="21">
        <v>231307</v>
      </c>
      <c r="D853" s="22" t="s">
        <v>457</v>
      </c>
      <c r="E853" s="23">
        <v>45112</v>
      </c>
      <c r="F853" s="24">
        <v>45108</v>
      </c>
      <c r="G853" s="25">
        <v>256410</v>
      </c>
      <c r="H853" s="26" t="s">
        <v>2685</v>
      </c>
      <c r="I853" s="34" t="s">
        <v>29</v>
      </c>
      <c r="J853" s="10"/>
      <c r="K853" s="39"/>
      <c r="L853" s="36">
        <v>45265</v>
      </c>
      <c r="M853" s="36">
        <v>45265</v>
      </c>
      <c r="N853" s="37">
        <v>256410</v>
      </c>
      <c r="O853" s="37">
        <v>0</v>
      </c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4.25" customHeight="1">
      <c r="A854" s="9">
        <v>943</v>
      </c>
      <c r="B854" s="10"/>
      <c r="C854" s="21">
        <v>231345</v>
      </c>
      <c r="D854" s="22" t="s">
        <v>457</v>
      </c>
      <c r="E854" s="23">
        <v>45115</v>
      </c>
      <c r="F854" s="24">
        <v>45108</v>
      </c>
      <c r="G854" s="25">
        <v>2793648</v>
      </c>
      <c r="H854" s="26" t="s">
        <v>2686</v>
      </c>
      <c r="I854" s="34" t="s">
        <v>29</v>
      </c>
      <c r="J854" s="10"/>
      <c r="K854" s="39"/>
      <c r="L854" s="36">
        <v>45265</v>
      </c>
      <c r="M854" s="36">
        <v>45265</v>
      </c>
      <c r="N854" s="37">
        <v>2793648</v>
      </c>
      <c r="O854" s="37">
        <v>0</v>
      </c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4.25" customHeight="1">
      <c r="A855" s="9">
        <v>944</v>
      </c>
      <c r="B855" s="10"/>
      <c r="C855" s="21">
        <v>231402</v>
      </c>
      <c r="D855" s="22" t="s">
        <v>457</v>
      </c>
      <c r="E855" s="23">
        <v>45122</v>
      </c>
      <c r="F855" s="24">
        <v>45108</v>
      </c>
      <c r="G855" s="25">
        <v>2500552</v>
      </c>
      <c r="H855" s="26" t="s">
        <v>2687</v>
      </c>
      <c r="I855" s="34" t="s">
        <v>29</v>
      </c>
      <c r="J855" s="10"/>
      <c r="K855" s="39"/>
      <c r="L855" s="36">
        <v>45265</v>
      </c>
      <c r="M855" s="36">
        <v>45265</v>
      </c>
      <c r="N855" s="37">
        <v>2500552</v>
      </c>
      <c r="O855" s="37">
        <v>0</v>
      </c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4.25" customHeight="1">
      <c r="A856" s="9">
        <v>945</v>
      </c>
      <c r="B856" s="10"/>
      <c r="C856" s="21">
        <v>231465</v>
      </c>
      <c r="D856" s="22" t="s">
        <v>457</v>
      </c>
      <c r="E856" s="23">
        <v>45125</v>
      </c>
      <c r="F856" s="24">
        <v>45108</v>
      </c>
      <c r="G856" s="25">
        <v>1948938</v>
      </c>
      <c r="H856" s="26" t="s">
        <v>2688</v>
      </c>
      <c r="I856" s="34" t="s">
        <v>29</v>
      </c>
      <c r="J856" s="10"/>
      <c r="K856" s="39"/>
      <c r="L856" s="36">
        <v>45265</v>
      </c>
      <c r="M856" s="36">
        <v>45265</v>
      </c>
      <c r="N856" s="37">
        <v>1948938</v>
      </c>
      <c r="O856" s="37">
        <v>0</v>
      </c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4.25" customHeight="1">
      <c r="A857" s="9">
        <v>946</v>
      </c>
      <c r="B857" s="10"/>
      <c r="C857" s="21">
        <v>231449</v>
      </c>
      <c r="D857" s="22" t="s">
        <v>457</v>
      </c>
      <c r="E857" s="23">
        <v>45129</v>
      </c>
      <c r="F857" s="24">
        <v>45108</v>
      </c>
      <c r="G857" s="25">
        <v>1900320</v>
      </c>
      <c r="H857" s="26" t="s">
        <v>2689</v>
      </c>
      <c r="I857" s="34" t="s">
        <v>29</v>
      </c>
      <c r="J857" s="10"/>
      <c r="K857" s="39"/>
      <c r="L857" s="36">
        <v>45265</v>
      </c>
      <c r="M857" s="36">
        <v>45265</v>
      </c>
      <c r="N857" s="37">
        <v>1900320</v>
      </c>
      <c r="O857" s="37">
        <v>0</v>
      </c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4.25" customHeight="1">
      <c r="A858" s="9">
        <v>947</v>
      </c>
      <c r="B858" s="10"/>
      <c r="C858" s="21">
        <v>231467</v>
      </c>
      <c r="D858" s="22" t="s">
        <v>457</v>
      </c>
      <c r="E858" s="23">
        <v>45135</v>
      </c>
      <c r="F858" s="24">
        <v>45108</v>
      </c>
      <c r="G858" s="25">
        <v>472860</v>
      </c>
      <c r="H858" s="26" t="s">
        <v>2690</v>
      </c>
      <c r="I858" s="34" t="s">
        <v>29</v>
      </c>
      <c r="J858" s="10"/>
      <c r="K858" s="39"/>
      <c r="L858" s="36">
        <v>45265</v>
      </c>
      <c r="M858" s="36">
        <v>45265</v>
      </c>
      <c r="N858" s="37">
        <v>472860</v>
      </c>
      <c r="O858" s="37">
        <v>0</v>
      </c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4.25" customHeight="1">
      <c r="A859" s="9">
        <v>948</v>
      </c>
      <c r="B859" s="10"/>
      <c r="C859" s="21">
        <v>231485</v>
      </c>
      <c r="D859" s="22" t="s">
        <v>457</v>
      </c>
      <c r="E859" s="23">
        <v>45138</v>
      </c>
      <c r="F859" s="24">
        <v>45108</v>
      </c>
      <c r="G859" s="25">
        <v>1439670</v>
      </c>
      <c r="H859" s="26" t="s">
        <v>2691</v>
      </c>
      <c r="I859" s="34" t="s">
        <v>29</v>
      </c>
      <c r="J859" s="10"/>
      <c r="K859" s="39"/>
      <c r="L859" s="36">
        <v>45265</v>
      </c>
      <c r="M859" s="36">
        <v>45265</v>
      </c>
      <c r="N859" s="37">
        <v>1439670</v>
      </c>
      <c r="O859" s="37">
        <v>0</v>
      </c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4.25" customHeight="1">
      <c r="A860" s="9">
        <v>949</v>
      </c>
      <c r="B860" s="10"/>
      <c r="C860" s="9">
        <v>231496</v>
      </c>
      <c r="D860" s="11" t="s">
        <v>457</v>
      </c>
      <c r="E860" s="12">
        <v>45139</v>
      </c>
      <c r="F860" s="13">
        <v>45139</v>
      </c>
      <c r="G860" s="27">
        <v>1696968</v>
      </c>
      <c r="H860" s="10" t="s">
        <v>2692</v>
      </c>
      <c r="I860" s="34">
        <v>151.606678703705</v>
      </c>
      <c r="J860" s="10"/>
      <c r="K860" s="39"/>
      <c r="L860" s="39"/>
      <c r="M860" s="39"/>
      <c r="N860" s="37">
        <v>0</v>
      </c>
      <c r="O860" s="37">
        <v>1696968</v>
      </c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4.25" customHeight="1">
      <c r="A861" s="9">
        <v>950</v>
      </c>
      <c r="B861" s="10"/>
      <c r="C861" s="9">
        <v>231536</v>
      </c>
      <c r="D861" s="11" t="s">
        <v>457</v>
      </c>
      <c r="E861" s="12">
        <v>45143</v>
      </c>
      <c r="F861" s="13">
        <v>45139</v>
      </c>
      <c r="G861" s="27">
        <v>1841490</v>
      </c>
      <c r="H861" s="10" t="s">
        <v>2693</v>
      </c>
      <c r="I861" s="34">
        <v>147.606678703705</v>
      </c>
      <c r="J861" s="10"/>
      <c r="K861" s="39"/>
      <c r="L861" s="39"/>
      <c r="M861" s="39"/>
      <c r="N861" s="37">
        <v>0</v>
      </c>
      <c r="O861" s="37">
        <v>1841490</v>
      </c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4.25" customHeight="1">
      <c r="A862" s="9">
        <v>951</v>
      </c>
      <c r="B862" s="10"/>
      <c r="C862" s="9">
        <v>231542</v>
      </c>
      <c r="D862" s="11" t="s">
        <v>457</v>
      </c>
      <c r="E862" s="12">
        <v>45143</v>
      </c>
      <c r="F862" s="13">
        <v>45139</v>
      </c>
      <c r="G862" s="27">
        <v>910200</v>
      </c>
      <c r="H862" s="10" t="s">
        <v>2694</v>
      </c>
      <c r="I862" s="34">
        <v>147.606678703705</v>
      </c>
      <c r="J862" s="10"/>
      <c r="K862" s="39"/>
      <c r="L862" s="39"/>
      <c r="M862" s="39"/>
      <c r="N862" s="37">
        <v>0</v>
      </c>
      <c r="O862" s="37">
        <v>910200</v>
      </c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4.25" customHeight="1">
      <c r="A863" s="9">
        <v>952</v>
      </c>
      <c r="B863" s="10"/>
      <c r="C863" s="9">
        <v>231541</v>
      </c>
      <c r="D863" s="11" t="s">
        <v>457</v>
      </c>
      <c r="E863" s="12">
        <v>45145</v>
      </c>
      <c r="F863" s="13">
        <v>45139</v>
      </c>
      <c r="G863" s="27">
        <v>698412</v>
      </c>
      <c r="H863" s="10" t="s">
        <v>2695</v>
      </c>
      <c r="I863" s="34">
        <v>145.606678703705</v>
      </c>
      <c r="J863" s="10"/>
      <c r="K863" s="39"/>
      <c r="L863" s="39"/>
      <c r="M863" s="39"/>
      <c r="N863" s="37">
        <v>0</v>
      </c>
      <c r="O863" s="37">
        <v>698412</v>
      </c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4.25" customHeight="1">
      <c r="A864" s="9">
        <v>953</v>
      </c>
      <c r="B864" s="10"/>
      <c r="C864" s="9">
        <v>231577</v>
      </c>
      <c r="D864" s="11" t="s">
        <v>457</v>
      </c>
      <c r="E864" s="12">
        <v>45148</v>
      </c>
      <c r="F864" s="13">
        <v>45139</v>
      </c>
      <c r="G864" s="27">
        <v>251637</v>
      </c>
      <c r="H864" s="10" t="s">
        <v>2696</v>
      </c>
      <c r="I864" s="34">
        <v>142.606678703705</v>
      </c>
      <c r="J864" s="10"/>
      <c r="K864" s="39"/>
      <c r="L864" s="39"/>
      <c r="M864" s="39"/>
      <c r="N864" s="37">
        <v>0</v>
      </c>
      <c r="O864" s="37">
        <v>251637</v>
      </c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4.25" customHeight="1">
      <c r="A865" s="9">
        <v>954</v>
      </c>
      <c r="B865" s="10"/>
      <c r="C865" s="9">
        <v>231675</v>
      </c>
      <c r="D865" s="11" t="s">
        <v>457</v>
      </c>
      <c r="E865" s="12">
        <v>45153</v>
      </c>
      <c r="F865" s="13">
        <v>45139</v>
      </c>
      <c r="G865" s="27">
        <v>2697078</v>
      </c>
      <c r="H865" s="10" t="s">
        <v>2697</v>
      </c>
      <c r="I865" s="34">
        <v>137.606678703705</v>
      </c>
      <c r="J865" s="10"/>
      <c r="K865" s="39"/>
      <c r="L865" s="39"/>
      <c r="M865" s="39"/>
      <c r="N865" s="37">
        <v>0</v>
      </c>
      <c r="O865" s="37">
        <v>2697078</v>
      </c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4.25" customHeight="1">
      <c r="A866" s="9">
        <v>955</v>
      </c>
      <c r="B866" s="10"/>
      <c r="C866" s="9">
        <v>231672</v>
      </c>
      <c r="D866" s="11" t="s">
        <v>457</v>
      </c>
      <c r="E866" s="12">
        <v>45154</v>
      </c>
      <c r="F866" s="13">
        <v>45139</v>
      </c>
      <c r="G866" s="27">
        <v>230158</v>
      </c>
      <c r="H866" s="10" t="s">
        <v>2698</v>
      </c>
      <c r="I866" s="34">
        <v>136.606678703705</v>
      </c>
      <c r="J866" s="10"/>
      <c r="K866" s="39"/>
      <c r="L866" s="39"/>
      <c r="M866" s="39"/>
      <c r="N866" s="37">
        <v>0</v>
      </c>
      <c r="O866" s="37">
        <v>230158</v>
      </c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4.25" customHeight="1">
      <c r="A867" s="9">
        <v>956</v>
      </c>
      <c r="B867" s="10"/>
      <c r="C867" s="9">
        <v>231671</v>
      </c>
      <c r="D867" s="11" t="s">
        <v>457</v>
      </c>
      <c r="E867" s="12">
        <v>45160</v>
      </c>
      <c r="F867" s="13">
        <v>45139</v>
      </c>
      <c r="G867" s="27">
        <v>1065600</v>
      </c>
      <c r="H867" s="10" t="s">
        <v>2699</v>
      </c>
      <c r="I867" s="34">
        <v>130.606678703705</v>
      </c>
      <c r="J867" s="10"/>
      <c r="K867" s="39"/>
      <c r="L867" s="39"/>
      <c r="M867" s="39"/>
      <c r="N867" s="37">
        <v>0</v>
      </c>
      <c r="O867" s="37">
        <v>1065600</v>
      </c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4.25" customHeight="1">
      <c r="A868" s="9">
        <v>957</v>
      </c>
      <c r="B868" s="10"/>
      <c r="C868" s="9">
        <v>231700</v>
      </c>
      <c r="D868" s="11" t="s">
        <v>457</v>
      </c>
      <c r="E868" s="12">
        <v>45162</v>
      </c>
      <c r="F868" s="13">
        <v>45139</v>
      </c>
      <c r="G868" s="27">
        <v>720834</v>
      </c>
      <c r="H868" s="10" t="s">
        <v>2700</v>
      </c>
      <c r="I868" s="34">
        <v>128.606678703705</v>
      </c>
      <c r="J868" s="10"/>
      <c r="K868" s="39"/>
      <c r="L868" s="39"/>
      <c r="M868" s="39"/>
      <c r="N868" s="37">
        <v>0</v>
      </c>
      <c r="O868" s="37">
        <v>720834</v>
      </c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4.25" customHeight="1">
      <c r="A869" s="9">
        <v>958</v>
      </c>
      <c r="B869" s="10"/>
      <c r="C869" s="9">
        <v>231737</v>
      </c>
      <c r="D869" s="11" t="s">
        <v>457</v>
      </c>
      <c r="E869" s="12">
        <v>45166</v>
      </c>
      <c r="F869" s="13">
        <v>45139</v>
      </c>
      <c r="G869" s="27">
        <v>710400</v>
      </c>
      <c r="H869" s="10" t="s">
        <v>2701</v>
      </c>
      <c r="I869" s="34">
        <v>124.606678703705</v>
      </c>
      <c r="J869" s="10"/>
      <c r="K869" s="39"/>
      <c r="L869" s="39"/>
      <c r="M869" s="39"/>
      <c r="N869" s="37">
        <v>0</v>
      </c>
      <c r="O869" s="37">
        <v>710400</v>
      </c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4.25" customHeight="1">
      <c r="A870" s="9">
        <v>959</v>
      </c>
      <c r="B870" s="10"/>
      <c r="C870" s="9">
        <v>231753</v>
      </c>
      <c r="D870" s="11" t="s">
        <v>457</v>
      </c>
      <c r="E870" s="12">
        <v>45167</v>
      </c>
      <c r="F870" s="13">
        <v>45139</v>
      </c>
      <c r="G870" s="27">
        <v>874125</v>
      </c>
      <c r="H870" s="10" t="s">
        <v>2702</v>
      </c>
      <c r="I870" s="34">
        <v>123.606678703705</v>
      </c>
      <c r="J870" s="10"/>
      <c r="K870" s="39"/>
      <c r="L870" s="39"/>
      <c r="M870" s="39"/>
      <c r="N870" s="37">
        <v>0</v>
      </c>
      <c r="O870" s="37">
        <v>874125</v>
      </c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4.25" customHeight="1">
      <c r="A871" s="9">
        <v>960</v>
      </c>
      <c r="B871" s="10"/>
      <c r="C871" s="9">
        <v>231773</v>
      </c>
      <c r="D871" s="11" t="s">
        <v>457</v>
      </c>
      <c r="E871" s="12">
        <v>45168</v>
      </c>
      <c r="F871" s="13">
        <v>45139</v>
      </c>
      <c r="G871" s="27">
        <v>323565</v>
      </c>
      <c r="H871" s="10" t="s">
        <v>2703</v>
      </c>
      <c r="I871" s="34">
        <v>122.606678703705</v>
      </c>
      <c r="J871" s="10"/>
      <c r="K871" s="39"/>
      <c r="L871" s="39"/>
      <c r="M871" s="39"/>
      <c r="N871" s="37">
        <v>0</v>
      </c>
      <c r="O871" s="37">
        <v>323565</v>
      </c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4.25" customHeight="1">
      <c r="A872" s="9">
        <v>961</v>
      </c>
      <c r="B872" s="10"/>
      <c r="C872" s="9">
        <v>231838</v>
      </c>
      <c r="D872" s="11" t="s">
        <v>457</v>
      </c>
      <c r="E872" s="12">
        <v>45174</v>
      </c>
      <c r="F872" s="13">
        <v>45170</v>
      </c>
      <c r="G872" s="27">
        <v>6221772</v>
      </c>
      <c r="H872" s="10" t="s">
        <v>2704</v>
      </c>
      <c r="I872" s="34">
        <v>116.606678703705</v>
      </c>
      <c r="J872" s="10"/>
      <c r="K872" s="39"/>
      <c r="L872" s="39"/>
      <c r="M872" s="39"/>
      <c r="N872" s="37">
        <v>0</v>
      </c>
      <c r="O872" s="37">
        <v>6221772</v>
      </c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4.25" customHeight="1">
      <c r="A873" s="9">
        <v>962</v>
      </c>
      <c r="B873" s="10"/>
      <c r="C873" s="9">
        <v>231845</v>
      </c>
      <c r="D873" s="11" t="s">
        <v>457</v>
      </c>
      <c r="E873" s="12">
        <v>45176</v>
      </c>
      <c r="F873" s="13">
        <v>45170</v>
      </c>
      <c r="G873" s="27">
        <v>2453433</v>
      </c>
      <c r="H873" s="10" t="s">
        <v>2705</v>
      </c>
      <c r="I873" s="34">
        <v>114.606678703705</v>
      </c>
      <c r="J873" s="10"/>
      <c r="K873" s="39"/>
      <c r="L873" s="39"/>
      <c r="M873" s="39"/>
      <c r="N873" s="37">
        <v>0</v>
      </c>
      <c r="O873" s="37">
        <v>2453433</v>
      </c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4.25" customHeight="1">
      <c r="A874" s="9">
        <v>963</v>
      </c>
      <c r="B874" s="10"/>
      <c r="C874" s="9">
        <v>231846</v>
      </c>
      <c r="D874" s="11" t="s">
        <v>457</v>
      </c>
      <c r="E874" s="12">
        <v>45180</v>
      </c>
      <c r="F874" s="13">
        <v>45170</v>
      </c>
      <c r="G874" s="27">
        <v>1249860</v>
      </c>
      <c r="H874" s="10" t="s">
        <v>2706</v>
      </c>
      <c r="I874" s="34">
        <v>110.606678703705</v>
      </c>
      <c r="J874" s="10"/>
      <c r="K874" s="39"/>
      <c r="L874" s="39"/>
      <c r="M874" s="39"/>
      <c r="N874" s="37">
        <v>0</v>
      </c>
      <c r="O874" s="37">
        <v>1249860</v>
      </c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4.25" customHeight="1">
      <c r="A875" s="9">
        <v>964</v>
      </c>
      <c r="B875" s="10"/>
      <c r="C875" s="9">
        <v>231912</v>
      </c>
      <c r="D875" s="11" t="s">
        <v>457</v>
      </c>
      <c r="E875" s="12">
        <v>45184</v>
      </c>
      <c r="F875" s="13">
        <v>45170</v>
      </c>
      <c r="G875" s="27">
        <v>699300</v>
      </c>
      <c r="H875" s="10" t="s">
        <v>2707</v>
      </c>
      <c r="I875" s="34">
        <v>106.606678703705</v>
      </c>
      <c r="J875" s="10"/>
      <c r="K875" s="39"/>
      <c r="L875" s="39"/>
      <c r="M875" s="39"/>
      <c r="N875" s="37">
        <v>0</v>
      </c>
      <c r="O875" s="37">
        <v>699300</v>
      </c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4.25" customHeight="1">
      <c r="A876" s="9">
        <v>965</v>
      </c>
      <c r="B876" s="10"/>
      <c r="C876" s="9">
        <v>231977</v>
      </c>
      <c r="D876" s="11" t="s">
        <v>457</v>
      </c>
      <c r="E876" s="12">
        <v>45188</v>
      </c>
      <c r="F876" s="13">
        <v>45170</v>
      </c>
      <c r="G876" s="27">
        <v>1361748</v>
      </c>
      <c r="H876" s="10" t="s">
        <v>2708</v>
      </c>
      <c r="I876" s="34">
        <v>102.606678703705</v>
      </c>
      <c r="J876" s="10"/>
      <c r="K876" s="39"/>
      <c r="L876" s="39"/>
      <c r="M876" s="39"/>
      <c r="N876" s="37">
        <v>0</v>
      </c>
      <c r="O876" s="37">
        <v>1361748</v>
      </c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4.25" customHeight="1">
      <c r="A877" s="9">
        <v>966</v>
      </c>
      <c r="B877" s="10"/>
      <c r="C877" s="9">
        <v>231978</v>
      </c>
      <c r="D877" s="11" t="s">
        <v>457</v>
      </c>
      <c r="E877" s="12">
        <v>45192</v>
      </c>
      <c r="F877" s="13">
        <v>45170</v>
      </c>
      <c r="G877" s="27">
        <v>10204230</v>
      </c>
      <c r="H877" s="10" t="s">
        <v>2709</v>
      </c>
      <c r="I877" s="34">
        <v>98.606678703705299</v>
      </c>
      <c r="J877" s="10"/>
      <c r="K877" s="39"/>
      <c r="L877" s="39"/>
      <c r="M877" s="39"/>
      <c r="N877" s="37">
        <v>0</v>
      </c>
      <c r="O877" s="37">
        <v>10204230</v>
      </c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4.25" customHeight="1">
      <c r="A878" s="9">
        <v>967</v>
      </c>
      <c r="B878" s="10"/>
      <c r="C878" s="9">
        <v>231991</v>
      </c>
      <c r="D878" s="11" t="s">
        <v>457</v>
      </c>
      <c r="E878" s="12">
        <v>45198</v>
      </c>
      <c r="F878" s="13">
        <v>45170</v>
      </c>
      <c r="G878" s="27">
        <v>1864023</v>
      </c>
      <c r="H878" s="10" t="s">
        <v>2710</v>
      </c>
      <c r="I878" s="34">
        <v>92.606678703705299</v>
      </c>
      <c r="J878" s="10"/>
      <c r="K878" s="39"/>
      <c r="L878" s="39"/>
      <c r="M878" s="39"/>
      <c r="N878" s="37">
        <v>0</v>
      </c>
      <c r="O878" s="37">
        <v>1864023</v>
      </c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4.25" customHeight="1">
      <c r="A879" s="9">
        <v>968</v>
      </c>
      <c r="B879" s="10"/>
      <c r="C879" s="9">
        <v>232137</v>
      </c>
      <c r="D879" s="11" t="s">
        <v>457</v>
      </c>
      <c r="E879" s="12">
        <v>45208</v>
      </c>
      <c r="F879" s="13">
        <v>45200</v>
      </c>
      <c r="G879" s="27">
        <v>2051835</v>
      </c>
      <c r="H879" s="10" t="s">
        <v>2711</v>
      </c>
      <c r="I879" s="34">
        <v>82.606678703705299</v>
      </c>
      <c r="J879" s="10"/>
      <c r="K879" s="39"/>
      <c r="L879" s="39"/>
      <c r="M879" s="39"/>
      <c r="N879" s="37">
        <v>0</v>
      </c>
      <c r="O879" s="37">
        <v>2051835</v>
      </c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4.25" customHeight="1">
      <c r="A880" s="9">
        <v>969</v>
      </c>
      <c r="B880" s="10"/>
      <c r="C880" s="9">
        <v>232083</v>
      </c>
      <c r="D880" s="11" t="s">
        <v>457</v>
      </c>
      <c r="E880" s="12">
        <v>45210</v>
      </c>
      <c r="F880" s="13">
        <v>45200</v>
      </c>
      <c r="G880" s="27">
        <v>889776</v>
      </c>
      <c r="H880" s="10" t="s">
        <v>2712</v>
      </c>
      <c r="I880" s="34">
        <v>80.606678703705299</v>
      </c>
      <c r="J880" s="10"/>
      <c r="K880" s="39"/>
      <c r="L880" s="39"/>
      <c r="M880" s="39"/>
      <c r="N880" s="37">
        <v>0</v>
      </c>
      <c r="O880" s="37">
        <v>889776</v>
      </c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4.25" customHeight="1">
      <c r="A881" s="9">
        <v>970</v>
      </c>
      <c r="B881" s="10"/>
      <c r="C881" s="9">
        <v>232082</v>
      </c>
      <c r="D881" s="11" t="s">
        <v>457</v>
      </c>
      <c r="E881" s="12">
        <v>45211</v>
      </c>
      <c r="F881" s="13">
        <v>45200</v>
      </c>
      <c r="G881" s="27">
        <v>652680</v>
      </c>
      <c r="H881" s="10" t="s">
        <v>2713</v>
      </c>
      <c r="I881" s="34">
        <v>79.606678703705299</v>
      </c>
      <c r="J881" s="10"/>
      <c r="K881" s="39"/>
      <c r="L881" s="39"/>
      <c r="M881" s="39"/>
      <c r="N881" s="37">
        <v>0</v>
      </c>
      <c r="O881" s="37">
        <v>652680</v>
      </c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4.25" customHeight="1">
      <c r="A882" s="9">
        <v>971</v>
      </c>
      <c r="B882" s="10"/>
      <c r="C882" s="9">
        <v>232136</v>
      </c>
      <c r="D882" s="11" t="s">
        <v>457</v>
      </c>
      <c r="E882" s="12">
        <v>45212</v>
      </c>
      <c r="F882" s="13">
        <v>45200</v>
      </c>
      <c r="G882" s="27">
        <v>1042956</v>
      </c>
      <c r="H882" s="10" t="s">
        <v>2714</v>
      </c>
      <c r="I882" s="34">
        <v>78.606678703705299</v>
      </c>
      <c r="J882" s="10"/>
      <c r="K882" s="39"/>
      <c r="L882" s="39"/>
      <c r="M882" s="39"/>
      <c r="N882" s="37">
        <v>0</v>
      </c>
      <c r="O882" s="37">
        <v>1042956</v>
      </c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4.25" customHeight="1">
      <c r="A883" s="9">
        <v>972</v>
      </c>
      <c r="B883" s="10"/>
      <c r="C883" s="9">
        <v>232135</v>
      </c>
      <c r="D883" s="11" t="s">
        <v>457</v>
      </c>
      <c r="E883" s="12">
        <v>45218</v>
      </c>
      <c r="F883" s="13">
        <v>45200</v>
      </c>
      <c r="G883" s="27">
        <v>918192</v>
      </c>
      <c r="H883" s="10" t="s">
        <v>2715</v>
      </c>
      <c r="I883" s="34">
        <v>72.606678703705299</v>
      </c>
      <c r="J883" s="10"/>
      <c r="K883" s="39"/>
      <c r="L883" s="39"/>
      <c r="M883" s="39"/>
      <c r="N883" s="37">
        <v>0</v>
      </c>
      <c r="O883" s="37">
        <v>918192</v>
      </c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4.25" customHeight="1">
      <c r="A884" s="9">
        <v>973</v>
      </c>
      <c r="B884" s="10"/>
      <c r="C884" s="9">
        <v>232156</v>
      </c>
      <c r="D884" s="11" t="s">
        <v>457</v>
      </c>
      <c r="E884" s="12">
        <v>45222</v>
      </c>
      <c r="F884" s="13">
        <v>45200</v>
      </c>
      <c r="G884" s="27">
        <v>394050</v>
      </c>
      <c r="H884" s="10" t="s">
        <v>2716</v>
      </c>
      <c r="I884" s="34">
        <v>68.606678703705299</v>
      </c>
      <c r="J884" s="10"/>
      <c r="K884" s="39"/>
      <c r="L884" s="39"/>
      <c r="M884" s="39"/>
      <c r="N884" s="37">
        <v>0</v>
      </c>
      <c r="O884" s="37">
        <v>394050</v>
      </c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4.25" customHeight="1">
      <c r="A885" s="9">
        <v>974</v>
      </c>
      <c r="B885" s="10"/>
      <c r="C885" s="9">
        <v>232176</v>
      </c>
      <c r="D885" s="11" t="s">
        <v>457</v>
      </c>
      <c r="E885" s="12">
        <v>45225</v>
      </c>
      <c r="F885" s="13">
        <v>45200</v>
      </c>
      <c r="G885" s="27">
        <v>1814517</v>
      </c>
      <c r="H885" s="10" t="s">
        <v>2717</v>
      </c>
      <c r="I885" s="34">
        <v>65.606678703705299</v>
      </c>
      <c r="J885" s="10"/>
      <c r="K885" s="39"/>
      <c r="L885" s="39"/>
      <c r="M885" s="39"/>
      <c r="N885" s="37">
        <v>0</v>
      </c>
      <c r="O885" s="37">
        <v>1814517</v>
      </c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4.25" customHeight="1">
      <c r="A886" s="9">
        <v>975</v>
      </c>
      <c r="B886" s="10"/>
      <c r="C886" s="9">
        <v>232187</v>
      </c>
      <c r="D886" s="11" t="s">
        <v>457</v>
      </c>
      <c r="E886" s="12">
        <v>45227</v>
      </c>
      <c r="F886" s="13">
        <v>45200</v>
      </c>
      <c r="G886" s="27">
        <v>2290707</v>
      </c>
      <c r="H886" s="10" t="s">
        <v>2718</v>
      </c>
      <c r="I886" s="34">
        <v>63.606678703705299</v>
      </c>
      <c r="J886" s="10"/>
      <c r="K886" s="39"/>
      <c r="L886" s="39"/>
      <c r="M886" s="39"/>
      <c r="N886" s="37">
        <v>0</v>
      </c>
      <c r="O886" s="37">
        <v>2290707</v>
      </c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spans="1:26" ht="14.25" customHeight="1">
      <c r="A887" s="9">
        <v>976</v>
      </c>
      <c r="B887" s="10"/>
      <c r="C887" s="9">
        <v>232188</v>
      </c>
      <c r="D887" s="11" t="s">
        <v>457</v>
      </c>
      <c r="E887" s="12">
        <v>45229</v>
      </c>
      <c r="F887" s="13">
        <v>45200</v>
      </c>
      <c r="G887" s="27">
        <v>369630</v>
      </c>
      <c r="H887" s="10" t="s">
        <v>2719</v>
      </c>
      <c r="I887" s="34">
        <v>61.606678703705299</v>
      </c>
      <c r="J887" s="10"/>
      <c r="K887" s="39"/>
      <c r="L887" s="39"/>
      <c r="M887" s="39"/>
      <c r="N887" s="37">
        <v>0</v>
      </c>
      <c r="O887" s="37">
        <v>369630</v>
      </c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4.25" customHeight="1">
      <c r="A888" s="9">
        <v>977</v>
      </c>
      <c r="B888" s="10"/>
      <c r="C888" s="9">
        <v>232293</v>
      </c>
      <c r="D888" s="11" t="s">
        <v>457</v>
      </c>
      <c r="E888" s="12">
        <v>45230</v>
      </c>
      <c r="F888" s="13">
        <v>45200</v>
      </c>
      <c r="G888" s="27">
        <v>1675545</v>
      </c>
      <c r="H888" s="10" t="s">
        <v>2720</v>
      </c>
      <c r="I888" s="34">
        <v>60.606678703705299</v>
      </c>
      <c r="J888" s="10"/>
      <c r="K888" s="39"/>
      <c r="L888" s="39"/>
      <c r="M888" s="39"/>
      <c r="N888" s="37">
        <v>0</v>
      </c>
      <c r="O888" s="37">
        <v>1675545</v>
      </c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4.25" customHeight="1">
      <c r="A889" s="9">
        <v>978</v>
      </c>
      <c r="B889" s="10"/>
      <c r="C889" s="9">
        <v>232292</v>
      </c>
      <c r="D889" s="11" t="s">
        <v>457</v>
      </c>
      <c r="E889" s="12">
        <v>45231</v>
      </c>
      <c r="F889" s="13">
        <v>45231</v>
      </c>
      <c r="G889" s="27">
        <v>847374</v>
      </c>
      <c r="H889" s="10" t="s">
        <v>2721</v>
      </c>
      <c r="I889" s="34">
        <v>59.606678703705299</v>
      </c>
      <c r="J889" s="10"/>
      <c r="K889" s="39"/>
      <c r="L889" s="39"/>
      <c r="M889" s="39"/>
      <c r="N889" s="37">
        <v>0</v>
      </c>
      <c r="O889" s="37">
        <v>847374</v>
      </c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4.25" customHeight="1">
      <c r="A890" s="9">
        <v>979</v>
      </c>
      <c r="B890" s="10"/>
      <c r="C890" s="9">
        <v>232294</v>
      </c>
      <c r="D890" s="11" t="s">
        <v>457</v>
      </c>
      <c r="E890" s="12">
        <v>45232</v>
      </c>
      <c r="F890" s="13">
        <v>45231</v>
      </c>
      <c r="G890" s="27">
        <v>1065600</v>
      </c>
      <c r="H890" s="10" t="s">
        <v>2722</v>
      </c>
      <c r="I890" s="34">
        <v>58.606678703705299</v>
      </c>
      <c r="J890" s="10"/>
      <c r="K890" s="39"/>
      <c r="L890" s="39"/>
      <c r="M890" s="39"/>
      <c r="N890" s="37">
        <v>0</v>
      </c>
      <c r="O890" s="37">
        <v>1065600</v>
      </c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4.25" customHeight="1">
      <c r="A891" s="9">
        <v>981</v>
      </c>
      <c r="B891" s="10"/>
      <c r="C891" s="9">
        <v>232290</v>
      </c>
      <c r="D891" s="11" t="s">
        <v>457</v>
      </c>
      <c r="E891" s="12">
        <v>45241</v>
      </c>
      <c r="F891" s="13">
        <v>45231</v>
      </c>
      <c r="G891" s="27">
        <v>1338216</v>
      </c>
      <c r="H891" s="10" t="s">
        <v>2723</v>
      </c>
      <c r="I891" s="34">
        <v>49.606678703705299</v>
      </c>
      <c r="J891" s="10"/>
      <c r="K891" s="39"/>
      <c r="L891" s="39"/>
      <c r="M891" s="39"/>
      <c r="N891" s="37">
        <v>0</v>
      </c>
      <c r="O891" s="37">
        <v>1338216</v>
      </c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4.25" customHeight="1">
      <c r="A892" s="9">
        <v>980</v>
      </c>
      <c r="B892" s="10"/>
      <c r="C892" s="9">
        <v>232291</v>
      </c>
      <c r="D892" s="11" t="s">
        <v>457</v>
      </c>
      <c r="E892" s="12">
        <v>45241</v>
      </c>
      <c r="F892" s="13">
        <v>45231</v>
      </c>
      <c r="G892" s="27">
        <v>1282050</v>
      </c>
      <c r="H892" s="10" t="s">
        <v>2724</v>
      </c>
      <c r="I892" s="34">
        <v>49.606678703705299</v>
      </c>
      <c r="J892" s="10"/>
      <c r="K892" s="39"/>
      <c r="L892" s="39"/>
      <c r="M892" s="39"/>
      <c r="N892" s="37">
        <v>0</v>
      </c>
      <c r="O892" s="37">
        <v>1282050</v>
      </c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4.25" customHeight="1">
      <c r="A893" s="9">
        <v>982</v>
      </c>
      <c r="B893" s="10"/>
      <c r="C893" s="9">
        <v>232352</v>
      </c>
      <c r="D893" s="11" t="s">
        <v>457</v>
      </c>
      <c r="E893" s="12">
        <v>45244</v>
      </c>
      <c r="F893" s="13">
        <v>45231</v>
      </c>
      <c r="G893" s="27">
        <v>770118</v>
      </c>
      <c r="H893" s="10" t="s">
        <v>2725</v>
      </c>
      <c r="I893" s="34">
        <v>46.606678703705299</v>
      </c>
      <c r="J893" s="10"/>
      <c r="K893" s="39"/>
      <c r="L893" s="39"/>
      <c r="M893" s="39"/>
      <c r="N893" s="37">
        <v>0</v>
      </c>
      <c r="O893" s="37">
        <v>770118</v>
      </c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4.25" customHeight="1">
      <c r="A894" s="9">
        <v>983</v>
      </c>
      <c r="B894" s="10"/>
      <c r="C894" s="9">
        <v>232353</v>
      </c>
      <c r="D894" s="11" t="s">
        <v>457</v>
      </c>
      <c r="E894" s="12">
        <v>45246</v>
      </c>
      <c r="F894" s="13">
        <v>45231</v>
      </c>
      <c r="G894" s="27">
        <v>679875</v>
      </c>
      <c r="H894" s="10" t="s">
        <v>2726</v>
      </c>
      <c r="I894" s="34">
        <v>44.606678703705299</v>
      </c>
      <c r="J894" s="10"/>
      <c r="K894" s="39"/>
      <c r="L894" s="39"/>
      <c r="M894" s="39"/>
      <c r="N894" s="37">
        <v>0</v>
      </c>
      <c r="O894" s="37">
        <v>679875</v>
      </c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4.25" customHeight="1">
      <c r="A895" s="9">
        <v>984</v>
      </c>
      <c r="B895" s="10"/>
      <c r="C895" s="9">
        <v>232351</v>
      </c>
      <c r="D895" s="11" t="s">
        <v>457</v>
      </c>
      <c r="E895" s="12">
        <v>45253</v>
      </c>
      <c r="F895" s="13">
        <v>45231</v>
      </c>
      <c r="G895" s="27">
        <v>495615</v>
      </c>
      <c r="H895" s="10" t="s">
        <v>2727</v>
      </c>
      <c r="I895" s="34">
        <v>37.606678703705299</v>
      </c>
      <c r="J895" s="10"/>
      <c r="K895" s="39"/>
      <c r="L895" s="39"/>
      <c r="M895" s="39"/>
      <c r="N895" s="37">
        <v>0</v>
      </c>
      <c r="O895" s="37">
        <v>495615</v>
      </c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4.25" customHeight="1">
      <c r="A896" s="9">
        <v>985</v>
      </c>
      <c r="B896" s="10"/>
      <c r="C896" s="9">
        <v>232354</v>
      </c>
      <c r="D896" s="11" t="s">
        <v>457</v>
      </c>
      <c r="E896" s="12">
        <v>45255</v>
      </c>
      <c r="F896" s="13">
        <v>45231</v>
      </c>
      <c r="G896" s="27">
        <v>930735</v>
      </c>
      <c r="H896" s="10" t="s">
        <v>2728</v>
      </c>
      <c r="I896" s="34">
        <v>35.606678703705299</v>
      </c>
      <c r="J896" s="10"/>
      <c r="K896" s="39"/>
      <c r="L896" s="39"/>
      <c r="M896" s="39"/>
      <c r="N896" s="37">
        <v>0</v>
      </c>
      <c r="O896" s="37">
        <v>930735</v>
      </c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4.25" customHeight="1">
      <c r="A897" s="9">
        <v>986</v>
      </c>
      <c r="B897" s="10"/>
      <c r="C897" s="9">
        <v>232350</v>
      </c>
      <c r="D897" s="11" t="s">
        <v>457</v>
      </c>
      <c r="E897" s="12">
        <v>45257</v>
      </c>
      <c r="F897" s="13">
        <v>45231</v>
      </c>
      <c r="G897" s="27">
        <v>2849691</v>
      </c>
      <c r="H897" s="10" t="s">
        <v>2729</v>
      </c>
      <c r="I897" s="34">
        <v>33.606678703705299</v>
      </c>
      <c r="J897" s="10"/>
      <c r="K897" s="39"/>
      <c r="L897" s="39"/>
      <c r="M897" s="39"/>
      <c r="N897" s="37">
        <v>0</v>
      </c>
      <c r="O897" s="37">
        <v>2849691</v>
      </c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4.25" customHeight="1">
      <c r="A898" s="9">
        <v>991</v>
      </c>
      <c r="B898" s="10"/>
      <c r="C898" s="21">
        <v>230044</v>
      </c>
      <c r="D898" s="22" t="s">
        <v>509</v>
      </c>
      <c r="E898" s="23">
        <v>44931</v>
      </c>
      <c r="F898" s="24">
        <v>44927</v>
      </c>
      <c r="G898" s="25">
        <v>237165</v>
      </c>
      <c r="H898" s="26" t="s">
        <v>2730</v>
      </c>
      <c r="I898" s="34" t="s">
        <v>29</v>
      </c>
      <c r="J898" s="25">
        <v>237165</v>
      </c>
      <c r="K898" s="40">
        <v>44929</v>
      </c>
      <c r="L898" s="40">
        <v>44929</v>
      </c>
      <c r="M898" s="40">
        <v>44929</v>
      </c>
      <c r="N898" s="37">
        <v>237165</v>
      </c>
      <c r="O898" s="37">
        <v>0</v>
      </c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4.25" customHeight="1">
      <c r="A899" s="9">
        <v>992</v>
      </c>
      <c r="B899" s="10"/>
      <c r="C899" s="21">
        <v>230585</v>
      </c>
      <c r="D899" s="22" t="s">
        <v>509</v>
      </c>
      <c r="E899" s="23">
        <v>45003</v>
      </c>
      <c r="F899" s="24">
        <v>44986</v>
      </c>
      <c r="G899" s="25">
        <v>1699632</v>
      </c>
      <c r="H899" s="26" t="s">
        <v>2731</v>
      </c>
      <c r="I899" s="34" t="s">
        <v>29</v>
      </c>
      <c r="J899" s="25">
        <v>7195482</v>
      </c>
      <c r="K899" s="40">
        <v>45092</v>
      </c>
      <c r="L899" s="40">
        <v>45093</v>
      </c>
      <c r="M899" s="40">
        <v>45093</v>
      </c>
      <c r="N899" s="37">
        <v>1699632</v>
      </c>
      <c r="O899" s="37">
        <v>0</v>
      </c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4.25" customHeight="1">
      <c r="A900" s="9">
        <v>993</v>
      </c>
      <c r="B900" s="10"/>
      <c r="C900" s="21">
        <v>230695</v>
      </c>
      <c r="D900" s="22" t="s">
        <v>509</v>
      </c>
      <c r="E900" s="23">
        <v>45015</v>
      </c>
      <c r="F900" s="24">
        <v>44986</v>
      </c>
      <c r="G900" s="25">
        <v>2302020</v>
      </c>
      <c r="H900" s="26" t="s">
        <v>2732</v>
      </c>
      <c r="I900" s="34" t="s">
        <v>29</v>
      </c>
      <c r="J900" s="10"/>
      <c r="K900" s="39"/>
      <c r="L900" s="40">
        <v>45093</v>
      </c>
      <c r="M900" s="40">
        <v>45093</v>
      </c>
      <c r="N900" s="37">
        <v>2302020</v>
      </c>
      <c r="O900" s="37">
        <v>0</v>
      </c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4.25" customHeight="1">
      <c r="A901" s="9">
        <v>994</v>
      </c>
      <c r="B901" s="10"/>
      <c r="C901" s="21">
        <v>230871</v>
      </c>
      <c r="D901" s="22" t="s">
        <v>509</v>
      </c>
      <c r="E901" s="23">
        <v>45043</v>
      </c>
      <c r="F901" s="24">
        <v>45017</v>
      </c>
      <c r="G901" s="25">
        <v>277927</v>
      </c>
      <c r="H901" s="26" t="s">
        <v>2733</v>
      </c>
      <c r="I901" s="34" t="s">
        <v>29</v>
      </c>
      <c r="J901" s="10"/>
      <c r="K901" s="39"/>
      <c r="L901" s="40">
        <v>45093</v>
      </c>
      <c r="M901" s="40">
        <v>45093</v>
      </c>
      <c r="N901" s="37">
        <v>277927</v>
      </c>
      <c r="O901" s="37">
        <v>0</v>
      </c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4.25" customHeight="1">
      <c r="A902" s="9">
        <v>995</v>
      </c>
      <c r="B902" s="10"/>
      <c r="C902" s="21">
        <v>230870</v>
      </c>
      <c r="D902" s="22" t="s">
        <v>509</v>
      </c>
      <c r="E902" s="23">
        <v>45044</v>
      </c>
      <c r="F902" s="24">
        <v>45017</v>
      </c>
      <c r="G902" s="25">
        <v>2915903</v>
      </c>
      <c r="H902" s="26" t="s">
        <v>2734</v>
      </c>
      <c r="I902" s="34" t="s">
        <v>29</v>
      </c>
      <c r="J902" s="27"/>
      <c r="K902" s="49"/>
      <c r="L902" s="40">
        <v>45093</v>
      </c>
      <c r="M902" s="40">
        <v>45093</v>
      </c>
      <c r="N902" s="37">
        <v>2915903</v>
      </c>
      <c r="O902" s="37">
        <v>0</v>
      </c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4.25" customHeight="1">
      <c r="A903" s="9">
        <v>996</v>
      </c>
      <c r="B903" s="10"/>
      <c r="C903" s="21">
        <v>230952</v>
      </c>
      <c r="D903" s="22" t="s">
        <v>509</v>
      </c>
      <c r="E903" s="23">
        <v>45057</v>
      </c>
      <c r="F903" s="24">
        <v>45047</v>
      </c>
      <c r="G903" s="25">
        <v>3197022</v>
      </c>
      <c r="H903" s="26" t="s">
        <v>2735</v>
      </c>
      <c r="I903" s="34" t="s">
        <v>29</v>
      </c>
      <c r="J903" s="25">
        <v>3197022</v>
      </c>
      <c r="K903" s="40">
        <v>45102</v>
      </c>
      <c r="L903" s="40">
        <v>45105</v>
      </c>
      <c r="M903" s="40">
        <v>45106</v>
      </c>
      <c r="N903" s="37">
        <v>3197022</v>
      </c>
      <c r="O903" s="37">
        <v>0</v>
      </c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4.25" customHeight="1">
      <c r="A904" s="9">
        <v>997</v>
      </c>
      <c r="B904" s="10"/>
      <c r="C904" s="21">
        <v>231024</v>
      </c>
      <c r="D904" s="22" t="s">
        <v>509</v>
      </c>
      <c r="E904" s="23">
        <v>45062</v>
      </c>
      <c r="F904" s="24">
        <v>45047</v>
      </c>
      <c r="G904" s="25">
        <v>388056</v>
      </c>
      <c r="H904" s="26" t="s">
        <v>2736</v>
      </c>
      <c r="I904" s="34" t="s">
        <v>29</v>
      </c>
      <c r="J904" s="25">
        <v>388056</v>
      </c>
      <c r="K904" s="36">
        <v>45153</v>
      </c>
      <c r="L904" s="40">
        <v>45154</v>
      </c>
      <c r="M904" s="40">
        <v>45154</v>
      </c>
      <c r="N904" s="37">
        <v>388056</v>
      </c>
      <c r="O904" s="37">
        <v>0</v>
      </c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4.25" customHeight="1">
      <c r="A905" s="9">
        <v>998</v>
      </c>
      <c r="B905" s="10"/>
      <c r="C905" s="21">
        <v>231347</v>
      </c>
      <c r="D905" s="22" t="s">
        <v>509</v>
      </c>
      <c r="E905" s="23">
        <v>45118</v>
      </c>
      <c r="F905" s="24">
        <v>45108</v>
      </c>
      <c r="G905" s="25">
        <v>482517</v>
      </c>
      <c r="H905" s="26" t="s">
        <v>2737</v>
      </c>
      <c r="I905" s="34" t="s">
        <v>29</v>
      </c>
      <c r="J905" s="25">
        <v>10151771</v>
      </c>
      <c r="K905" s="36">
        <v>45199</v>
      </c>
      <c r="L905" s="40">
        <v>45199</v>
      </c>
      <c r="M905" s="40">
        <v>45199</v>
      </c>
      <c r="N905" s="37">
        <v>482517</v>
      </c>
      <c r="O905" s="37">
        <v>0</v>
      </c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4.25" customHeight="1">
      <c r="A906" s="9">
        <v>999</v>
      </c>
      <c r="B906" s="10"/>
      <c r="C906" s="21">
        <v>231374</v>
      </c>
      <c r="D906" s="22" t="s">
        <v>509</v>
      </c>
      <c r="E906" s="23">
        <v>45119</v>
      </c>
      <c r="F906" s="24">
        <v>45108</v>
      </c>
      <c r="G906" s="25">
        <v>4604058</v>
      </c>
      <c r="H906" s="26" t="s">
        <v>2738</v>
      </c>
      <c r="I906" s="34" t="s">
        <v>29</v>
      </c>
      <c r="J906" s="27"/>
      <c r="K906" s="39"/>
      <c r="L906" s="40">
        <v>45199</v>
      </c>
      <c r="M906" s="40">
        <v>45199</v>
      </c>
      <c r="N906" s="37">
        <v>4604058</v>
      </c>
      <c r="O906" s="37">
        <v>0</v>
      </c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4.25" customHeight="1">
      <c r="A907" s="9">
        <v>1000</v>
      </c>
      <c r="B907" s="10"/>
      <c r="C907" s="21">
        <v>231418</v>
      </c>
      <c r="D907" s="22" t="s">
        <v>509</v>
      </c>
      <c r="E907" s="23">
        <v>45128</v>
      </c>
      <c r="F907" s="24">
        <v>45108</v>
      </c>
      <c r="G907" s="25">
        <v>461138</v>
      </c>
      <c r="H907" s="26" t="s">
        <v>2739</v>
      </c>
      <c r="I907" s="34" t="s">
        <v>29</v>
      </c>
      <c r="J907" s="27"/>
      <c r="K907" s="39"/>
      <c r="L907" s="40">
        <v>45199</v>
      </c>
      <c r="M907" s="40">
        <v>45199</v>
      </c>
      <c r="N907" s="37">
        <v>461138</v>
      </c>
      <c r="O907" s="37">
        <v>0</v>
      </c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4.25" customHeight="1">
      <c r="A908" s="9">
        <v>1001</v>
      </c>
      <c r="B908" s="10"/>
      <c r="C908" s="21">
        <v>231451</v>
      </c>
      <c r="D908" s="22" t="s">
        <v>509</v>
      </c>
      <c r="E908" s="23">
        <v>45131</v>
      </c>
      <c r="F908" s="24">
        <v>45108</v>
      </c>
      <c r="G908" s="44">
        <v>1128809</v>
      </c>
      <c r="H908" s="26" t="s">
        <v>2740</v>
      </c>
      <c r="I908" s="34" t="s">
        <v>29</v>
      </c>
      <c r="J908" s="10"/>
      <c r="K908" s="39"/>
      <c r="L908" s="40">
        <v>45199</v>
      </c>
      <c r="M908" s="40">
        <v>45199</v>
      </c>
      <c r="N908" s="37">
        <v>1128809</v>
      </c>
      <c r="O908" s="37">
        <v>0</v>
      </c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4.25" customHeight="1">
      <c r="A909" s="9">
        <v>1002</v>
      </c>
      <c r="B909" s="10"/>
      <c r="C909" s="21">
        <v>231527</v>
      </c>
      <c r="D909" s="22" t="s">
        <v>509</v>
      </c>
      <c r="E909" s="23">
        <v>45141</v>
      </c>
      <c r="F909" s="24">
        <v>45139</v>
      </c>
      <c r="G909" s="25">
        <v>3475249</v>
      </c>
      <c r="H909" s="26" t="s">
        <v>2741</v>
      </c>
      <c r="I909" s="34" t="s">
        <v>29</v>
      </c>
      <c r="J909" s="27"/>
      <c r="K909" s="39"/>
      <c r="L909" s="40">
        <v>45199</v>
      </c>
      <c r="M909" s="40">
        <v>45199</v>
      </c>
      <c r="N909" s="37">
        <v>3475249</v>
      </c>
      <c r="O909" s="37">
        <v>0</v>
      </c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4.25" customHeight="1">
      <c r="A910" s="9">
        <v>1003</v>
      </c>
      <c r="B910" s="10"/>
      <c r="C910" s="21"/>
      <c r="D910" s="22" t="s">
        <v>509</v>
      </c>
      <c r="E910" s="23">
        <v>45141</v>
      </c>
      <c r="F910" s="24">
        <v>45139</v>
      </c>
      <c r="G910" s="25">
        <v>1128809</v>
      </c>
      <c r="H910" s="26" t="s">
        <v>2742</v>
      </c>
      <c r="I910" s="74"/>
      <c r="J910" s="27"/>
      <c r="K910" s="39">
        <v>45225</v>
      </c>
      <c r="L910" s="40">
        <v>45225</v>
      </c>
      <c r="M910" s="40">
        <v>45225</v>
      </c>
      <c r="N910" s="37">
        <v>1128809</v>
      </c>
      <c r="O910" s="37">
        <v>0</v>
      </c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4.25" customHeight="1">
      <c r="A911" s="9">
        <v>1004</v>
      </c>
      <c r="B911" s="10"/>
      <c r="C911" s="9">
        <v>232401</v>
      </c>
      <c r="D911" s="11" t="s">
        <v>509</v>
      </c>
      <c r="E911" s="12">
        <v>45257</v>
      </c>
      <c r="F911" s="13">
        <v>45231</v>
      </c>
      <c r="G911" s="27">
        <v>469752</v>
      </c>
      <c r="H911" s="10" t="s">
        <v>2743</v>
      </c>
      <c r="I911" s="34">
        <v>33.606678703705299</v>
      </c>
      <c r="J911" s="27"/>
      <c r="K911" s="39"/>
      <c r="L911" s="49"/>
      <c r="M911" s="49"/>
      <c r="N911" s="37">
        <v>0</v>
      </c>
      <c r="O911" s="37">
        <v>469752</v>
      </c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4.25" customHeight="1">
      <c r="A912" s="9">
        <v>1009</v>
      </c>
      <c r="B912" s="63"/>
      <c r="C912" s="28">
        <v>230966</v>
      </c>
      <c r="D912" s="30" t="s">
        <v>511</v>
      </c>
      <c r="E912" s="64">
        <v>45057</v>
      </c>
      <c r="F912" s="24">
        <v>45047</v>
      </c>
      <c r="G912" s="29">
        <v>429570</v>
      </c>
      <c r="H912" s="65" t="s">
        <v>2744</v>
      </c>
      <c r="I912" s="34" t="s">
        <v>29</v>
      </c>
      <c r="J912" s="25">
        <v>429570</v>
      </c>
      <c r="K912" s="40">
        <v>45092</v>
      </c>
      <c r="L912" s="40">
        <v>45093</v>
      </c>
      <c r="M912" s="40">
        <v>45093</v>
      </c>
      <c r="N912" s="75">
        <v>429570</v>
      </c>
      <c r="O912" s="75">
        <v>0</v>
      </c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4.25" customHeight="1">
      <c r="A913" s="9">
        <v>1010</v>
      </c>
      <c r="B913" s="63"/>
      <c r="C913" s="28">
        <v>231116</v>
      </c>
      <c r="D913" s="30" t="s">
        <v>511</v>
      </c>
      <c r="E913" s="64">
        <v>45077</v>
      </c>
      <c r="F913" s="24">
        <v>45047</v>
      </c>
      <c r="G913" s="29">
        <v>1996224</v>
      </c>
      <c r="H913" s="66" t="s">
        <v>2745</v>
      </c>
      <c r="I913" s="34" t="s">
        <v>29</v>
      </c>
      <c r="J913" s="25">
        <v>2915359</v>
      </c>
      <c r="K913" s="36">
        <v>45189</v>
      </c>
      <c r="L913" s="40">
        <v>45189</v>
      </c>
      <c r="M913" s="40">
        <v>45189</v>
      </c>
      <c r="N913" s="37">
        <v>1996224</v>
      </c>
      <c r="O913" s="37">
        <v>0</v>
      </c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4.25" customHeight="1">
      <c r="A914" s="9">
        <v>1011</v>
      </c>
      <c r="B914" s="63"/>
      <c r="C914" s="28">
        <v>231322</v>
      </c>
      <c r="D914" s="30" t="s">
        <v>511</v>
      </c>
      <c r="E914" s="64">
        <v>45107</v>
      </c>
      <c r="F914" s="67">
        <v>45078</v>
      </c>
      <c r="G914" s="29">
        <v>429570</v>
      </c>
      <c r="H914" s="66" t="s">
        <v>2746</v>
      </c>
      <c r="I914" s="34" t="s">
        <v>29</v>
      </c>
      <c r="J914" s="27"/>
      <c r="K914" s="39"/>
      <c r="L914" s="40">
        <v>45189</v>
      </c>
      <c r="M914" s="40">
        <v>45189</v>
      </c>
      <c r="N914" s="37">
        <v>429570</v>
      </c>
      <c r="O914" s="37">
        <v>0</v>
      </c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4.25" customHeight="1">
      <c r="A915" s="9">
        <v>1012</v>
      </c>
      <c r="B915" s="63"/>
      <c r="C915" s="28">
        <v>231479</v>
      </c>
      <c r="D915" s="30" t="s">
        <v>511</v>
      </c>
      <c r="E915" s="64">
        <v>45135</v>
      </c>
      <c r="F915" s="67">
        <v>45108</v>
      </c>
      <c r="G915" s="29">
        <v>357975</v>
      </c>
      <c r="H915" s="66" t="s">
        <v>2747</v>
      </c>
      <c r="I915" s="34" t="s">
        <v>29</v>
      </c>
      <c r="J915" s="27"/>
      <c r="K915" s="39"/>
      <c r="L915" s="40">
        <v>45189</v>
      </c>
      <c r="M915" s="40">
        <v>45189</v>
      </c>
      <c r="N915" s="37">
        <v>357975</v>
      </c>
      <c r="O915" s="37">
        <v>0</v>
      </c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4.25" customHeight="1">
      <c r="A916" s="9">
        <v>1013</v>
      </c>
      <c r="B916" s="63"/>
      <c r="C916" s="28">
        <v>231534</v>
      </c>
      <c r="D916" s="30" t="s">
        <v>511</v>
      </c>
      <c r="E916" s="64">
        <v>45138</v>
      </c>
      <c r="F916" s="67">
        <v>45108</v>
      </c>
      <c r="G916" s="29">
        <v>131590</v>
      </c>
      <c r="H916" s="66" t="s">
        <v>2748</v>
      </c>
      <c r="I916" s="34" t="s">
        <v>29</v>
      </c>
      <c r="J916" s="27"/>
      <c r="K916" s="39"/>
      <c r="L916" s="40">
        <v>45189</v>
      </c>
      <c r="M916" s="40">
        <v>45189</v>
      </c>
      <c r="N916" s="37">
        <v>131590</v>
      </c>
      <c r="O916" s="37">
        <v>0</v>
      </c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4.25" customHeight="1">
      <c r="A917" s="9">
        <v>1014</v>
      </c>
      <c r="B917" s="63"/>
      <c r="C917" s="28">
        <v>231971</v>
      </c>
      <c r="D917" s="30" t="s">
        <v>511</v>
      </c>
      <c r="E917" s="64">
        <v>45184</v>
      </c>
      <c r="F917" s="67">
        <v>45170</v>
      </c>
      <c r="G917" s="29">
        <v>930735</v>
      </c>
      <c r="H917" s="66" t="s">
        <v>2749</v>
      </c>
      <c r="I917" s="34" t="s">
        <v>29</v>
      </c>
      <c r="J917" s="27">
        <v>4644490</v>
      </c>
      <c r="K917" s="39">
        <v>45275</v>
      </c>
      <c r="L917" s="40">
        <v>45275</v>
      </c>
      <c r="M917" s="40">
        <v>45275</v>
      </c>
      <c r="N917" s="37">
        <v>930735</v>
      </c>
      <c r="O917" s="37">
        <v>0</v>
      </c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4.25" customHeight="1">
      <c r="A918" s="9">
        <v>1015</v>
      </c>
      <c r="B918" s="63"/>
      <c r="C918" s="28">
        <v>231979</v>
      </c>
      <c r="D918" s="30" t="s">
        <v>511</v>
      </c>
      <c r="E918" s="64">
        <v>45192</v>
      </c>
      <c r="F918" s="67">
        <v>45170</v>
      </c>
      <c r="G918" s="29">
        <v>2131200</v>
      </c>
      <c r="H918" s="66" t="s">
        <v>2750</v>
      </c>
      <c r="I918" s="34" t="s">
        <v>29</v>
      </c>
      <c r="J918" s="27"/>
      <c r="K918" s="39"/>
      <c r="L918" s="40">
        <v>45275</v>
      </c>
      <c r="M918" s="40">
        <v>45275</v>
      </c>
      <c r="N918" s="37">
        <v>2131200</v>
      </c>
      <c r="O918" s="37">
        <v>0</v>
      </c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4.25" customHeight="1">
      <c r="A919" s="9">
        <v>1016</v>
      </c>
      <c r="B919" s="63"/>
      <c r="C919" s="28">
        <v>232132</v>
      </c>
      <c r="D919" s="30" t="s">
        <v>511</v>
      </c>
      <c r="E919" s="64">
        <v>45208</v>
      </c>
      <c r="F919" s="67">
        <v>45200</v>
      </c>
      <c r="G919" s="29">
        <v>627955</v>
      </c>
      <c r="H919" s="66" t="s">
        <v>2751</v>
      </c>
      <c r="I919" s="34" t="s">
        <v>29</v>
      </c>
      <c r="J919" s="27"/>
      <c r="K919" s="39"/>
      <c r="L919" s="40">
        <v>45275</v>
      </c>
      <c r="M919" s="40">
        <v>45275</v>
      </c>
      <c r="N919" s="37">
        <v>627955</v>
      </c>
      <c r="O919" s="37">
        <v>0</v>
      </c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4.25" customHeight="1">
      <c r="A920" s="9">
        <v>1017</v>
      </c>
      <c r="B920" s="63"/>
      <c r="C920" s="28">
        <v>232131</v>
      </c>
      <c r="D920" s="30" t="s">
        <v>511</v>
      </c>
      <c r="E920" s="64">
        <v>45209</v>
      </c>
      <c r="F920" s="67">
        <v>45200</v>
      </c>
      <c r="G920" s="29">
        <v>954600</v>
      </c>
      <c r="H920" s="66" t="s">
        <v>2752</v>
      </c>
      <c r="I920" s="34" t="s">
        <v>29</v>
      </c>
      <c r="J920" s="27"/>
      <c r="K920" s="39"/>
      <c r="L920" s="40">
        <v>45275</v>
      </c>
      <c r="M920" s="40">
        <v>45275</v>
      </c>
      <c r="N920" s="37">
        <v>954600</v>
      </c>
      <c r="O920" s="37">
        <v>0</v>
      </c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4.25" customHeight="1">
      <c r="A921" s="9">
        <v>1018</v>
      </c>
      <c r="B921" s="63"/>
      <c r="C921" s="68">
        <v>232248</v>
      </c>
      <c r="D921" s="69" t="s">
        <v>511</v>
      </c>
      <c r="E921" s="70">
        <v>45230</v>
      </c>
      <c r="F921" s="71">
        <v>45200</v>
      </c>
      <c r="G921" s="72">
        <v>644355</v>
      </c>
      <c r="H921" s="73" t="s">
        <v>2753</v>
      </c>
      <c r="I921" s="34">
        <v>60.606678703705299</v>
      </c>
      <c r="J921" s="27"/>
      <c r="K921" s="39"/>
      <c r="L921" s="49"/>
      <c r="M921" s="49"/>
      <c r="N921" s="37">
        <v>0</v>
      </c>
      <c r="O921" s="37">
        <v>644355</v>
      </c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4.25" customHeight="1">
      <c r="A922" s="9">
        <v>1024</v>
      </c>
      <c r="B922" s="10"/>
      <c r="C922" s="21">
        <v>230627</v>
      </c>
      <c r="D922" s="22" t="s">
        <v>2754</v>
      </c>
      <c r="E922" s="23">
        <v>45010</v>
      </c>
      <c r="F922" s="24">
        <v>44986</v>
      </c>
      <c r="G922" s="25">
        <v>349650</v>
      </c>
      <c r="H922" s="26" t="s">
        <v>2755</v>
      </c>
      <c r="I922" s="34" t="s">
        <v>29</v>
      </c>
      <c r="J922" s="10"/>
      <c r="K922" s="39"/>
      <c r="L922" s="40">
        <v>45061</v>
      </c>
      <c r="M922" s="40">
        <v>45063</v>
      </c>
      <c r="N922" s="37">
        <v>349650</v>
      </c>
      <c r="O922" s="37">
        <v>0</v>
      </c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4.25" customHeight="1">
      <c r="A923" s="9">
        <v>1025</v>
      </c>
      <c r="B923" s="10"/>
      <c r="C923" s="21">
        <v>230628</v>
      </c>
      <c r="D923" s="22" t="s">
        <v>2754</v>
      </c>
      <c r="E923" s="23">
        <v>45010</v>
      </c>
      <c r="F923" s="24">
        <v>44986</v>
      </c>
      <c r="G923" s="25">
        <v>749250</v>
      </c>
      <c r="H923" s="26" t="s">
        <v>2756</v>
      </c>
      <c r="I923" s="34" t="s">
        <v>29</v>
      </c>
      <c r="J923" s="10"/>
      <c r="K923" s="39"/>
      <c r="L923" s="40">
        <v>45061</v>
      </c>
      <c r="M923" s="40">
        <v>45063</v>
      </c>
      <c r="N923" s="37">
        <v>749250</v>
      </c>
      <c r="O923" s="37">
        <v>0</v>
      </c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4.25" customHeight="1">
      <c r="A924" s="9">
        <v>1026</v>
      </c>
      <c r="B924" s="10"/>
      <c r="C924" s="21">
        <v>230631</v>
      </c>
      <c r="D924" s="22" t="s">
        <v>2754</v>
      </c>
      <c r="E924" s="23">
        <v>45010</v>
      </c>
      <c r="F924" s="24">
        <v>44986</v>
      </c>
      <c r="G924" s="25">
        <v>601176</v>
      </c>
      <c r="H924" s="26" t="s">
        <v>2757</v>
      </c>
      <c r="I924" s="34" t="s">
        <v>29</v>
      </c>
      <c r="J924" s="10"/>
      <c r="K924" s="39"/>
      <c r="L924" s="40">
        <v>45061</v>
      </c>
      <c r="M924" s="40">
        <v>45063</v>
      </c>
      <c r="N924" s="37">
        <v>601176</v>
      </c>
      <c r="O924" s="37">
        <v>0</v>
      </c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4.25" customHeight="1">
      <c r="A925" s="9">
        <v>1023</v>
      </c>
      <c r="B925" s="10"/>
      <c r="C925" s="21">
        <v>230646</v>
      </c>
      <c r="D925" s="22" t="s">
        <v>2754</v>
      </c>
      <c r="E925" s="23">
        <v>45012</v>
      </c>
      <c r="F925" s="24">
        <v>44986</v>
      </c>
      <c r="G925" s="25">
        <v>850038</v>
      </c>
      <c r="H925" s="26" t="s">
        <v>2758</v>
      </c>
      <c r="I925" s="34" t="s">
        <v>29</v>
      </c>
      <c r="J925" s="25">
        <v>2550114</v>
      </c>
      <c r="K925" s="40">
        <v>45061</v>
      </c>
      <c r="L925" s="40">
        <v>45061</v>
      </c>
      <c r="M925" s="40">
        <v>45063</v>
      </c>
      <c r="N925" s="37">
        <v>850038</v>
      </c>
      <c r="O925" s="37">
        <v>0</v>
      </c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4.25" customHeight="1">
      <c r="A926" s="9">
        <v>1027</v>
      </c>
      <c r="B926" s="10"/>
      <c r="C926" s="21">
        <v>230759</v>
      </c>
      <c r="D926" s="22" t="s">
        <v>2754</v>
      </c>
      <c r="E926" s="23">
        <v>45021</v>
      </c>
      <c r="F926" s="24">
        <v>45017</v>
      </c>
      <c r="G926" s="25">
        <v>3475687</v>
      </c>
      <c r="H926" s="26" t="s">
        <v>2759</v>
      </c>
      <c r="I926" s="34" t="s">
        <v>29</v>
      </c>
      <c r="J926" s="25">
        <v>4855555</v>
      </c>
      <c r="K926" s="40">
        <v>45071</v>
      </c>
      <c r="L926" s="40">
        <v>45071</v>
      </c>
      <c r="M926" s="40">
        <v>45072</v>
      </c>
      <c r="N926" s="37">
        <v>3475687</v>
      </c>
      <c r="O926" s="37">
        <v>0</v>
      </c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4.25" customHeight="1">
      <c r="A927" s="9">
        <v>1028</v>
      </c>
      <c r="B927" s="10"/>
      <c r="C927" s="21">
        <v>230788</v>
      </c>
      <c r="D927" s="22" t="s">
        <v>2754</v>
      </c>
      <c r="E927" s="23">
        <v>45024</v>
      </c>
      <c r="F927" s="24">
        <v>45017</v>
      </c>
      <c r="G927" s="25">
        <v>1379868</v>
      </c>
      <c r="H927" s="26" t="s">
        <v>2760</v>
      </c>
      <c r="I927" s="34" t="s">
        <v>29</v>
      </c>
      <c r="J927" s="10"/>
      <c r="K927" s="39"/>
      <c r="L927" s="40">
        <v>45071</v>
      </c>
      <c r="M927" s="40">
        <v>45072</v>
      </c>
      <c r="N927" s="37">
        <v>1379868</v>
      </c>
      <c r="O927" s="37">
        <v>0</v>
      </c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4.25" customHeight="1">
      <c r="A928" s="9">
        <v>1029</v>
      </c>
      <c r="B928" s="10"/>
      <c r="C928" s="21">
        <v>230859</v>
      </c>
      <c r="D928" s="22" t="s">
        <v>2754</v>
      </c>
      <c r="E928" s="23">
        <v>45035</v>
      </c>
      <c r="F928" s="24">
        <v>45017</v>
      </c>
      <c r="G928" s="25">
        <v>1311187</v>
      </c>
      <c r="H928" s="26" t="s">
        <v>2761</v>
      </c>
      <c r="I928" s="34" t="s">
        <v>29</v>
      </c>
      <c r="J928" s="25">
        <v>1311187</v>
      </c>
      <c r="K928" s="40">
        <v>45092</v>
      </c>
      <c r="L928" s="40">
        <v>45093</v>
      </c>
      <c r="M928" s="40">
        <v>45093</v>
      </c>
      <c r="N928" s="37">
        <v>1311187</v>
      </c>
      <c r="O928" s="37">
        <v>0</v>
      </c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4.25" customHeight="1">
      <c r="A929" s="9">
        <v>1032</v>
      </c>
      <c r="B929" s="10"/>
      <c r="C929" s="21">
        <v>230925</v>
      </c>
      <c r="D929" s="22" t="s">
        <v>2754</v>
      </c>
      <c r="E929" s="23">
        <v>45050</v>
      </c>
      <c r="F929" s="24">
        <v>45047</v>
      </c>
      <c r="G929" s="25">
        <v>1648350</v>
      </c>
      <c r="H929" s="26" t="s">
        <v>2762</v>
      </c>
      <c r="I929" s="34" t="s">
        <v>29</v>
      </c>
      <c r="J929" s="10"/>
      <c r="K929" s="39"/>
      <c r="L929" s="40">
        <v>45117</v>
      </c>
      <c r="M929" s="40">
        <v>45117</v>
      </c>
      <c r="N929" s="37">
        <v>1648350</v>
      </c>
      <c r="O929" s="37">
        <v>0</v>
      </c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4.25" customHeight="1">
      <c r="A930" s="9">
        <v>1033</v>
      </c>
      <c r="B930" s="10"/>
      <c r="C930" s="21">
        <v>230992</v>
      </c>
      <c r="D930" s="22" t="s">
        <v>2754</v>
      </c>
      <c r="E930" s="23">
        <v>45065</v>
      </c>
      <c r="F930" s="24">
        <v>45047</v>
      </c>
      <c r="G930" s="25">
        <v>1398600</v>
      </c>
      <c r="H930" s="26" t="s">
        <v>2763</v>
      </c>
      <c r="I930" s="34" t="s">
        <v>29</v>
      </c>
      <c r="J930" s="10"/>
      <c r="K930" s="39"/>
      <c r="L930" s="40">
        <v>45117</v>
      </c>
      <c r="M930" s="40">
        <v>45117</v>
      </c>
      <c r="N930" s="37">
        <v>1398600</v>
      </c>
      <c r="O930" s="37">
        <v>0</v>
      </c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4.25" customHeight="1">
      <c r="A931" s="9">
        <v>1031</v>
      </c>
      <c r="B931" s="10"/>
      <c r="C931" s="21">
        <v>231070</v>
      </c>
      <c r="D931" s="22" t="s">
        <v>2754</v>
      </c>
      <c r="E931" s="23">
        <v>45073</v>
      </c>
      <c r="F931" s="24">
        <v>45047</v>
      </c>
      <c r="G931" s="25">
        <v>1648350</v>
      </c>
      <c r="H931" s="26" t="s">
        <v>2764</v>
      </c>
      <c r="I931" s="34" t="s">
        <v>29</v>
      </c>
      <c r="J931" s="10"/>
      <c r="K931" s="39"/>
      <c r="L931" s="40">
        <v>45117</v>
      </c>
      <c r="M931" s="40">
        <v>45117</v>
      </c>
      <c r="N931" s="37">
        <v>1648350</v>
      </c>
      <c r="O931" s="37">
        <v>0</v>
      </c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4.25" customHeight="1">
      <c r="A932" s="9">
        <v>1030</v>
      </c>
      <c r="B932" s="10"/>
      <c r="C932" s="21">
        <v>231071</v>
      </c>
      <c r="D932" s="22" t="s">
        <v>2754</v>
      </c>
      <c r="E932" s="23">
        <v>45073</v>
      </c>
      <c r="F932" s="24">
        <v>45047</v>
      </c>
      <c r="G932" s="25">
        <v>1598816</v>
      </c>
      <c r="H932" s="26" t="s">
        <v>2765</v>
      </c>
      <c r="I932" s="34" t="s">
        <v>29</v>
      </c>
      <c r="J932" s="25">
        <v>11373198</v>
      </c>
      <c r="K932" s="36">
        <v>45117</v>
      </c>
      <c r="L932" s="40">
        <v>45117</v>
      </c>
      <c r="M932" s="40">
        <v>45117</v>
      </c>
      <c r="N932" s="37">
        <v>1598816</v>
      </c>
      <c r="O932" s="37">
        <v>0</v>
      </c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4.25" customHeight="1">
      <c r="A933" s="9">
        <v>1034</v>
      </c>
      <c r="B933" s="10"/>
      <c r="C933" s="21">
        <v>231081</v>
      </c>
      <c r="D933" s="22" t="s">
        <v>2754</v>
      </c>
      <c r="E933" s="23">
        <v>45075</v>
      </c>
      <c r="F933" s="24">
        <v>45047</v>
      </c>
      <c r="G933" s="25">
        <v>3197632</v>
      </c>
      <c r="H933" s="26" t="s">
        <v>2766</v>
      </c>
      <c r="I933" s="34" t="s">
        <v>29</v>
      </c>
      <c r="J933" s="10"/>
      <c r="K933" s="39"/>
      <c r="L933" s="40">
        <v>45117</v>
      </c>
      <c r="M933" s="40">
        <v>45117</v>
      </c>
      <c r="N933" s="37">
        <v>3197632</v>
      </c>
      <c r="O933" s="37">
        <v>0</v>
      </c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4.25" customHeight="1">
      <c r="A934" s="9">
        <v>1035</v>
      </c>
      <c r="B934" s="10"/>
      <c r="C934" s="21">
        <v>231111</v>
      </c>
      <c r="D934" s="22" t="s">
        <v>2754</v>
      </c>
      <c r="E934" s="23">
        <v>45080</v>
      </c>
      <c r="F934" s="24">
        <v>45078</v>
      </c>
      <c r="G934" s="25">
        <v>416250</v>
      </c>
      <c r="H934" s="26" t="s">
        <v>2767</v>
      </c>
      <c r="I934" s="34" t="s">
        <v>29</v>
      </c>
      <c r="J934" s="10"/>
      <c r="K934" s="39"/>
      <c r="L934" s="40">
        <v>45117</v>
      </c>
      <c r="M934" s="40">
        <v>45117</v>
      </c>
      <c r="N934" s="37">
        <v>416250</v>
      </c>
      <c r="O934" s="37">
        <v>0</v>
      </c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4.25" customHeight="1">
      <c r="A935" s="9">
        <v>1036</v>
      </c>
      <c r="B935" s="10"/>
      <c r="C935" s="21">
        <v>231152</v>
      </c>
      <c r="D935" s="22" t="s">
        <v>2754</v>
      </c>
      <c r="E935" s="23">
        <v>45086</v>
      </c>
      <c r="F935" s="24">
        <v>45078</v>
      </c>
      <c r="G935" s="25">
        <v>1465200</v>
      </c>
      <c r="H935" s="26" t="s">
        <v>2768</v>
      </c>
      <c r="I935" s="34" t="s">
        <v>29</v>
      </c>
      <c r="J935" s="10"/>
      <c r="K935" s="39"/>
      <c r="L935" s="40">
        <v>45117</v>
      </c>
      <c r="M935" s="40">
        <v>45117</v>
      </c>
      <c r="N935" s="37">
        <v>1465200</v>
      </c>
      <c r="O935" s="37">
        <v>0</v>
      </c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4.25" customHeight="1">
      <c r="A936" s="9">
        <v>1037</v>
      </c>
      <c r="B936" s="10"/>
      <c r="C936" s="21">
        <v>231165</v>
      </c>
      <c r="D936" s="22" t="s">
        <v>2754</v>
      </c>
      <c r="E936" s="23">
        <v>45091</v>
      </c>
      <c r="F936" s="24">
        <v>45078</v>
      </c>
      <c r="G936" s="25">
        <v>911587</v>
      </c>
      <c r="H936" s="25" t="s">
        <v>2769</v>
      </c>
      <c r="I936" s="34" t="s">
        <v>29</v>
      </c>
      <c r="J936" s="25">
        <v>11036174</v>
      </c>
      <c r="K936" s="36">
        <v>45163</v>
      </c>
      <c r="L936" s="40">
        <v>45164</v>
      </c>
      <c r="M936" s="40">
        <v>45164</v>
      </c>
      <c r="N936" s="51">
        <v>911587</v>
      </c>
      <c r="O936" s="37">
        <v>0</v>
      </c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4.25" customHeight="1">
      <c r="A937" s="9">
        <v>1038</v>
      </c>
      <c r="B937" s="10"/>
      <c r="C937" s="21">
        <v>231254</v>
      </c>
      <c r="D937" s="22" t="s">
        <v>2754</v>
      </c>
      <c r="E937" s="23">
        <v>45101</v>
      </c>
      <c r="F937" s="24">
        <v>45078</v>
      </c>
      <c r="G937" s="25">
        <v>7301025</v>
      </c>
      <c r="H937" s="25" t="s">
        <v>2770</v>
      </c>
      <c r="I937" s="34" t="s">
        <v>29</v>
      </c>
      <c r="J937" s="10"/>
      <c r="K937" s="39"/>
      <c r="L937" s="40">
        <v>45164</v>
      </c>
      <c r="M937" s="40">
        <v>45164</v>
      </c>
      <c r="N937" s="51">
        <v>7301025</v>
      </c>
      <c r="O937" s="37">
        <v>0</v>
      </c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4.25" customHeight="1">
      <c r="A938" s="9">
        <v>1039</v>
      </c>
      <c r="B938" s="10"/>
      <c r="C938" s="21">
        <v>231372</v>
      </c>
      <c r="D938" s="22" t="s">
        <v>2754</v>
      </c>
      <c r="E938" s="23">
        <v>45120</v>
      </c>
      <c r="F938" s="24">
        <v>45108</v>
      </c>
      <c r="G938" s="25">
        <v>1648350</v>
      </c>
      <c r="H938" s="25" t="s">
        <v>2771</v>
      </c>
      <c r="I938" s="34" t="s">
        <v>29</v>
      </c>
      <c r="J938" s="10"/>
      <c r="K938" s="39"/>
      <c r="L938" s="40">
        <v>45164</v>
      </c>
      <c r="M938" s="40">
        <v>45164</v>
      </c>
      <c r="N938" s="51">
        <v>1648350</v>
      </c>
      <c r="O938" s="37">
        <v>0</v>
      </c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4.25" customHeight="1">
      <c r="A939" s="9">
        <v>1040</v>
      </c>
      <c r="B939" s="10"/>
      <c r="C939" s="21">
        <v>231387</v>
      </c>
      <c r="D939" s="22" t="s">
        <v>2754</v>
      </c>
      <c r="E939" s="23">
        <v>45121</v>
      </c>
      <c r="F939" s="24">
        <v>45108</v>
      </c>
      <c r="G939" s="25">
        <v>1175212</v>
      </c>
      <c r="H939" s="25" t="s">
        <v>2772</v>
      </c>
      <c r="I939" s="34" t="s">
        <v>29</v>
      </c>
      <c r="J939" s="10"/>
      <c r="K939" s="39"/>
      <c r="L939" s="40">
        <v>45164</v>
      </c>
      <c r="M939" s="40">
        <v>45164</v>
      </c>
      <c r="N939" s="51">
        <v>1175212</v>
      </c>
      <c r="O939" s="37">
        <v>0</v>
      </c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4.25" customHeight="1">
      <c r="A940" s="9">
        <v>1042</v>
      </c>
      <c r="B940" s="10"/>
      <c r="C940" s="21">
        <v>231422</v>
      </c>
      <c r="D940" s="22" t="s">
        <v>2754</v>
      </c>
      <c r="E940" s="23">
        <v>45128</v>
      </c>
      <c r="F940" s="24">
        <v>45108</v>
      </c>
      <c r="G940" s="25">
        <v>1648350</v>
      </c>
      <c r="H940" s="25" t="s">
        <v>2773</v>
      </c>
      <c r="I940" s="34" t="s">
        <v>29</v>
      </c>
      <c r="J940" s="10"/>
      <c r="K940" s="39"/>
      <c r="L940" s="40">
        <v>45215</v>
      </c>
      <c r="M940" s="40">
        <v>45216</v>
      </c>
      <c r="N940" s="51">
        <v>1648350</v>
      </c>
      <c r="O940" s="37">
        <v>0</v>
      </c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4.25" customHeight="1">
      <c r="A941" s="9">
        <v>1041</v>
      </c>
      <c r="B941" s="10"/>
      <c r="C941" s="21">
        <v>231507</v>
      </c>
      <c r="D941" s="22" t="s">
        <v>2754</v>
      </c>
      <c r="E941" s="23">
        <v>45138</v>
      </c>
      <c r="F941" s="24">
        <v>45108</v>
      </c>
      <c r="G941" s="25">
        <v>147630</v>
      </c>
      <c r="H941" s="25" t="s">
        <v>2774</v>
      </c>
      <c r="I941" s="34" t="s">
        <v>29</v>
      </c>
      <c r="J941" s="25">
        <v>15834705</v>
      </c>
      <c r="K941" s="36">
        <v>45214</v>
      </c>
      <c r="L941" s="40">
        <v>45215</v>
      </c>
      <c r="M941" s="40">
        <v>45216</v>
      </c>
      <c r="N941" s="51">
        <v>147630</v>
      </c>
      <c r="O941" s="37">
        <v>0</v>
      </c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4.25" customHeight="1">
      <c r="A942" s="9">
        <v>1043</v>
      </c>
      <c r="B942" s="10"/>
      <c r="C942" s="21">
        <v>231538</v>
      </c>
      <c r="D942" s="22" t="s">
        <v>2754</v>
      </c>
      <c r="E942" s="23">
        <v>45146</v>
      </c>
      <c r="F942" s="24">
        <v>45139</v>
      </c>
      <c r="G942" s="25">
        <v>1483515</v>
      </c>
      <c r="H942" s="25" t="s">
        <v>2775</v>
      </c>
      <c r="I942" s="34" t="s">
        <v>29</v>
      </c>
      <c r="J942" s="10"/>
      <c r="K942" s="39"/>
      <c r="L942" s="40">
        <v>45215</v>
      </c>
      <c r="M942" s="40">
        <v>45216</v>
      </c>
      <c r="N942" s="51">
        <v>1483515</v>
      </c>
      <c r="O942" s="37">
        <v>0</v>
      </c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4.25" customHeight="1">
      <c r="A943" s="9">
        <v>1044</v>
      </c>
      <c r="B943" s="10"/>
      <c r="C943" s="21">
        <v>231758</v>
      </c>
      <c r="D943" s="22" t="s">
        <v>2754</v>
      </c>
      <c r="E943" s="23">
        <v>45167</v>
      </c>
      <c r="F943" s="24">
        <v>45139</v>
      </c>
      <c r="G943" s="25">
        <v>12555210</v>
      </c>
      <c r="H943" s="25" t="s">
        <v>2776</v>
      </c>
      <c r="I943" s="34" t="s">
        <v>29</v>
      </c>
      <c r="J943" s="10"/>
      <c r="K943" s="39"/>
      <c r="L943" s="40">
        <v>45215</v>
      </c>
      <c r="M943" s="40">
        <v>45216</v>
      </c>
      <c r="N943" s="51">
        <v>12555210</v>
      </c>
      <c r="O943" s="37">
        <v>0</v>
      </c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4.25" customHeight="1">
      <c r="A944" s="9">
        <v>1045</v>
      </c>
      <c r="B944" s="10"/>
      <c r="C944" s="21">
        <v>231796</v>
      </c>
      <c r="D944" s="22" t="s">
        <v>2754</v>
      </c>
      <c r="E944" s="23">
        <v>45168</v>
      </c>
      <c r="F944" s="24">
        <v>45139</v>
      </c>
      <c r="G944" s="25">
        <v>923076</v>
      </c>
      <c r="H944" s="25" t="s">
        <v>2777</v>
      </c>
      <c r="I944" s="34" t="s">
        <v>29</v>
      </c>
      <c r="J944" s="27">
        <v>5443551</v>
      </c>
      <c r="K944" s="36">
        <v>45260</v>
      </c>
      <c r="L944" s="40">
        <v>45260</v>
      </c>
      <c r="M944" s="40">
        <v>45260</v>
      </c>
      <c r="N944" s="37">
        <v>923076</v>
      </c>
      <c r="O944" s="37">
        <v>0</v>
      </c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4.25" customHeight="1">
      <c r="A945" s="9">
        <v>1046</v>
      </c>
      <c r="B945" s="10"/>
      <c r="C945" s="21">
        <v>231797</v>
      </c>
      <c r="D945" s="22" t="s">
        <v>2754</v>
      </c>
      <c r="E945" s="23">
        <v>45168</v>
      </c>
      <c r="F945" s="24">
        <v>45139</v>
      </c>
      <c r="G945" s="25">
        <v>349650</v>
      </c>
      <c r="H945" s="25" t="s">
        <v>2778</v>
      </c>
      <c r="I945" s="34" t="s">
        <v>29</v>
      </c>
      <c r="J945" s="10"/>
      <c r="K945" s="36">
        <v>45260</v>
      </c>
      <c r="L945" s="40">
        <v>45260</v>
      </c>
      <c r="M945" s="40">
        <v>45260</v>
      </c>
      <c r="N945" s="37">
        <v>349650</v>
      </c>
      <c r="O945" s="37">
        <v>0</v>
      </c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4.25" customHeight="1">
      <c r="A946" s="9">
        <v>1047</v>
      </c>
      <c r="B946" s="10"/>
      <c r="C946" s="21">
        <v>231828</v>
      </c>
      <c r="D946" s="22" t="s">
        <v>2754</v>
      </c>
      <c r="E946" s="23">
        <v>45173</v>
      </c>
      <c r="F946" s="24">
        <v>45170</v>
      </c>
      <c r="G946" s="25">
        <v>3296700</v>
      </c>
      <c r="H946" s="25" t="s">
        <v>2779</v>
      </c>
      <c r="I946" s="34" t="s">
        <v>29</v>
      </c>
      <c r="J946" s="10"/>
      <c r="K946" s="36">
        <v>45260</v>
      </c>
      <c r="L946" s="40">
        <v>45260</v>
      </c>
      <c r="M946" s="40">
        <v>45260</v>
      </c>
      <c r="N946" s="37">
        <v>3296700</v>
      </c>
      <c r="O946" s="37">
        <v>0</v>
      </c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4.25" customHeight="1">
      <c r="A947" s="9">
        <v>1048</v>
      </c>
      <c r="B947" s="10"/>
      <c r="C947" s="21">
        <v>231881</v>
      </c>
      <c r="D947" s="22" t="s">
        <v>2754</v>
      </c>
      <c r="E947" s="23">
        <v>45180</v>
      </c>
      <c r="F947" s="24">
        <v>45170</v>
      </c>
      <c r="G947" s="25">
        <v>874125</v>
      </c>
      <c r="H947" s="25" t="s">
        <v>2780</v>
      </c>
      <c r="I947" s="34" t="s">
        <v>29</v>
      </c>
      <c r="J947" s="10"/>
      <c r="K947" s="36">
        <v>45260</v>
      </c>
      <c r="L947" s="40">
        <v>45260</v>
      </c>
      <c r="M947" s="40">
        <v>45260</v>
      </c>
      <c r="N947" s="37">
        <v>874125</v>
      </c>
      <c r="O947" s="37">
        <v>0</v>
      </c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4.25" customHeight="1">
      <c r="A948" s="9">
        <v>1061</v>
      </c>
      <c r="B948" s="10"/>
      <c r="C948" s="21">
        <v>230358</v>
      </c>
      <c r="D948" s="22" t="s">
        <v>517</v>
      </c>
      <c r="E948" s="23">
        <v>44978</v>
      </c>
      <c r="F948" s="24">
        <v>44958</v>
      </c>
      <c r="G948" s="25">
        <v>241938</v>
      </c>
      <c r="H948" s="26" t="s">
        <v>2781</v>
      </c>
      <c r="I948" s="34" t="s">
        <v>29</v>
      </c>
      <c r="J948" s="25">
        <v>10434497</v>
      </c>
      <c r="K948" s="40">
        <v>45061</v>
      </c>
      <c r="L948" s="40">
        <v>45061</v>
      </c>
      <c r="M948" s="40">
        <v>45063</v>
      </c>
      <c r="N948" s="37">
        <v>241938</v>
      </c>
      <c r="O948" s="37">
        <v>0</v>
      </c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4.25" customHeight="1">
      <c r="A949" s="9">
        <v>1062</v>
      </c>
      <c r="B949" s="10"/>
      <c r="C949" s="21">
        <v>230406</v>
      </c>
      <c r="D949" s="22" t="s">
        <v>517</v>
      </c>
      <c r="E949" s="23">
        <v>44980</v>
      </c>
      <c r="F949" s="24">
        <v>44958</v>
      </c>
      <c r="G949" s="25">
        <v>1912314</v>
      </c>
      <c r="H949" s="26" t="s">
        <v>2782</v>
      </c>
      <c r="I949" s="34" t="s">
        <v>29</v>
      </c>
      <c r="J949" s="10"/>
      <c r="K949" s="39"/>
      <c r="L949" s="40">
        <v>45061</v>
      </c>
      <c r="M949" s="40">
        <v>45063</v>
      </c>
      <c r="N949" s="37">
        <v>1912314</v>
      </c>
      <c r="O949" s="37">
        <v>0</v>
      </c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4.25" customHeight="1">
      <c r="A950" s="9">
        <v>1063</v>
      </c>
      <c r="B950" s="10"/>
      <c r="C950" s="21">
        <v>230407</v>
      </c>
      <c r="D950" s="22" t="s">
        <v>517</v>
      </c>
      <c r="E950" s="23">
        <v>44980</v>
      </c>
      <c r="F950" s="24">
        <v>44958</v>
      </c>
      <c r="G950" s="25">
        <v>378599</v>
      </c>
      <c r="H950" s="26" t="s">
        <v>2783</v>
      </c>
      <c r="I950" s="34" t="s">
        <v>29</v>
      </c>
      <c r="J950" s="10"/>
      <c r="K950" s="39"/>
      <c r="L950" s="40">
        <v>45061</v>
      </c>
      <c r="M950" s="40">
        <v>45063</v>
      </c>
      <c r="N950" s="37">
        <v>378599</v>
      </c>
      <c r="O950" s="37">
        <v>0</v>
      </c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4.25" customHeight="1">
      <c r="A951" s="9">
        <v>1064</v>
      </c>
      <c r="B951" s="10"/>
      <c r="C951" s="21">
        <v>230408</v>
      </c>
      <c r="D951" s="22" t="s">
        <v>517</v>
      </c>
      <c r="E951" s="23">
        <v>44980</v>
      </c>
      <c r="F951" s="24">
        <v>44958</v>
      </c>
      <c r="G951" s="25">
        <v>105450</v>
      </c>
      <c r="H951" s="26" t="s">
        <v>2784</v>
      </c>
      <c r="I951" s="34" t="s">
        <v>29</v>
      </c>
      <c r="J951" s="10"/>
      <c r="K951" s="39"/>
      <c r="L951" s="40">
        <v>45061</v>
      </c>
      <c r="M951" s="40">
        <v>45063</v>
      </c>
      <c r="N951" s="37">
        <v>105450</v>
      </c>
      <c r="O951" s="37">
        <v>0</v>
      </c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4.25" customHeight="1">
      <c r="A952" s="9">
        <v>1065</v>
      </c>
      <c r="B952" s="10"/>
      <c r="C952" s="21">
        <v>230469</v>
      </c>
      <c r="D952" s="22" t="s">
        <v>517</v>
      </c>
      <c r="E952" s="23">
        <v>44985</v>
      </c>
      <c r="F952" s="24">
        <v>44958</v>
      </c>
      <c r="G952" s="25">
        <v>1110000</v>
      </c>
      <c r="H952" s="26" t="s">
        <v>2785</v>
      </c>
      <c r="I952" s="34" t="s">
        <v>29</v>
      </c>
      <c r="J952" s="10"/>
      <c r="K952" s="39"/>
      <c r="L952" s="40">
        <v>45061</v>
      </c>
      <c r="M952" s="40">
        <v>45063</v>
      </c>
      <c r="N952" s="37">
        <v>1110000</v>
      </c>
      <c r="O952" s="37">
        <v>0</v>
      </c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4.25" customHeight="1">
      <c r="A953" s="9">
        <v>1066</v>
      </c>
      <c r="B953" s="10"/>
      <c r="C953" s="21">
        <v>230470</v>
      </c>
      <c r="D953" s="22" t="s">
        <v>517</v>
      </c>
      <c r="E953" s="23">
        <v>44985</v>
      </c>
      <c r="F953" s="24">
        <v>44958</v>
      </c>
      <c r="G953" s="25">
        <v>1530024</v>
      </c>
      <c r="H953" s="26" t="s">
        <v>2786</v>
      </c>
      <c r="I953" s="34" t="s">
        <v>29</v>
      </c>
      <c r="J953" s="10"/>
      <c r="K953" s="39"/>
      <c r="L953" s="40">
        <v>45061</v>
      </c>
      <c r="M953" s="40">
        <v>45063</v>
      </c>
      <c r="N953" s="37">
        <v>1530024</v>
      </c>
      <c r="O953" s="37">
        <v>0</v>
      </c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4.25" customHeight="1">
      <c r="A954" s="9">
        <v>1067</v>
      </c>
      <c r="B954" s="10"/>
      <c r="C954" s="21">
        <v>230491</v>
      </c>
      <c r="D954" s="22" t="s">
        <v>517</v>
      </c>
      <c r="E954" s="23">
        <v>44987</v>
      </c>
      <c r="F954" s="24">
        <v>44986</v>
      </c>
      <c r="G954" s="25">
        <v>2585967</v>
      </c>
      <c r="H954" s="26" t="s">
        <v>2787</v>
      </c>
      <c r="I954" s="34" t="s">
        <v>29</v>
      </c>
      <c r="J954" s="10"/>
      <c r="K954" s="39"/>
      <c r="L954" s="40">
        <v>45061</v>
      </c>
      <c r="M954" s="40">
        <v>45063</v>
      </c>
      <c r="N954" s="37">
        <v>2585967</v>
      </c>
      <c r="O954" s="37">
        <v>0</v>
      </c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4.25" customHeight="1">
      <c r="A955" s="9">
        <v>1068</v>
      </c>
      <c r="B955" s="42"/>
      <c r="C955" s="21">
        <v>230490</v>
      </c>
      <c r="D955" s="22" t="s">
        <v>517</v>
      </c>
      <c r="E955" s="23">
        <v>44988</v>
      </c>
      <c r="F955" s="24">
        <v>44986</v>
      </c>
      <c r="G955" s="25">
        <v>2570205</v>
      </c>
      <c r="H955" s="26" t="s">
        <v>2788</v>
      </c>
      <c r="I955" s="34" t="s">
        <v>29</v>
      </c>
      <c r="J955" s="10"/>
      <c r="K955" s="39"/>
      <c r="L955" s="40">
        <v>45061</v>
      </c>
      <c r="M955" s="40">
        <v>45063</v>
      </c>
      <c r="N955" s="37">
        <v>2570205</v>
      </c>
      <c r="O955" s="37">
        <v>0</v>
      </c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4.25" customHeight="1">
      <c r="A956" s="9">
        <v>1069</v>
      </c>
      <c r="B956" s="42"/>
      <c r="C956" s="21">
        <v>230492</v>
      </c>
      <c r="D956" s="22" t="s">
        <v>517</v>
      </c>
      <c r="E956" s="23">
        <v>44989</v>
      </c>
      <c r="F956" s="24">
        <v>44986</v>
      </c>
      <c r="G956" s="25">
        <v>1534686</v>
      </c>
      <c r="H956" s="26" t="s">
        <v>2789</v>
      </c>
      <c r="I956" s="34" t="s">
        <v>29</v>
      </c>
      <c r="J956" s="25">
        <v>22331884</v>
      </c>
      <c r="K956" s="40">
        <v>45071</v>
      </c>
      <c r="L956" s="40">
        <v>45071</v>
      </c>
      <c r="M956" s="40">
        <v>45072</v>
      </c>
      <c r="N956" s="37">
        <v>1534686</v>
      </c>
      <c r="O956" s="37">
        <v>0</v>
      </c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4.25" customHeight="1">
      <c r="A957" s="9">
        <v>1070</v>
      </c>
      <c r="B957" s="10"/>
      <c r="C957" s="21">
        <v>230493</v>
      </c>
      <c r="D957" s="22" t="s">
        <v>517</v>
      </c>
      <c r="E957" s="23">
        <v>44989</v>
      </c>
      <c r="F957" s="24">
        <v>44986</v>
      </c>
      <c r="G957" s="25">
        <v>4440000</v>
      </c>
      <c r="H957" s="26" t="s">
        <v>2790</v>
      </c>
      <c r="I957" s="34" t="s">
        <v>29</v>
      </c>
      <c r="J957" s="10"/>
      <c r="K957" s="39"/>
      <c r="L957" s="40">
        <v>45071</v>
      </c>
      <c r="M957" s="40">
        <v>45072</v>
      </c>
      <c r="N957" s="37">
        <v>4440000</v>
      </c>
      <c r="O957" s="37">
        <v>0</v>
      </c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4.25" customHeight="1">
      <c r="A958" s="9">
        <v>1071</v>
      </c>
      <c r="B958" s="10"/>
      <c r="C958" s="21">
        <v>230649</v>
      </c>
      <c r="D958" s="22" t="s">
        <v>517</v>
      </c>
      <c r="E958" s="23">
        <v>44998</v>
      </c>
      <c r="F958" s="24">
        <v>44986</v>
      </c>
      <c r="G958" s="25">
        <v>1149005</v>
      </c>
      <c r="H958" s="26" t="s">
        <v>2791</v>
      </c>
      <c r="I958" s="34" t="s">
        <v>29</v>
      </c>
      <c r="J958" s="10"/>
      <c r="K958" s="39"/>
      <c r="L958" s="40">
        <v>45071</v>
      </c>
      <c r="M958" s="40">
        <v>45072</v>
      </c>
      <c r="N958" s="37">
        <v>1149005</v>
      </c>
      <c r="O958" s="37">
        <v>0</v>
      </c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4.25" customHeight="1">
      <c r="A959" s="9">
        <v>1072</v>
      </c>
      <c r="B959" s="10"/>
      <c r="C959" s="21">
        <v>230596</v>
      </c>
      <c r="D959" s="22" t="s">
        <v>517</v>
      </c>
      <c r="E959" s="23">
        <v>45001</v>
      </c>
      <c r="F959" s="24">
        <v>44986</v>
      </c>
      <c r="G959" s="25">
        <v>9378523</v>
      </c>
      <c r="H959" s="26" t="s">
        <v>2792</v>
      </c>
      <c r="I959" s="34" t="s">
        <v>29</v>
      </c>
      <c r="J959" s="10"/>
      <c r="K959" s="39"/>
      <c r="L959" s="40">
        <v>45071</v>
      </c>
      <c r="M959" s="40">
        <v>45072</v>
      </c>
      <c r="N959" s="37">
        <v>9378523</v>
      </c>
      <c r="O959" s="37">
        <v>0</v>
      </c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4.25" customHeight="1">
      <c r="A960" s="9">
        <v>1073</v>
      </c>
      <c r="B960" s="10"/>
      <c r="C960" s="21">
        <v>230613</v>
      </c>
      <c r="D960" s="22" t="s">
        <v>517</v>
      </c>
      <c r="E960" s="23">
        <v>45005</v>
      </c>
      <c r="F960" s="24">
        <v>44986</v>
      </c>
      <c r="G960" s="25">
        <v>399600</v>
      </c>
      <c r="H960" s="26" t="s">
        <v>2793</v>
      </c>
      <c r="I960" s="34" t="s">
        <v>29</v>
      </c>
      <c r="J960" s="10"/>
      <c r="K960" s="39"/>
      <c r="L960" s="40">
        <v>45071</v>
      </c>
      <c r="M960" s="40">
        <v>45072</v>
      </c>
      <c r="N960" s="37">
        <v>399600</v>
      </c>
      <c r="O960" s="37">
        <v>0</v>
      </c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4.25" customHeight="1">
      <c r="A961" s="9">
        <v>1075</v>
      </c>
      <c r="B961" s="10"/>
      <c r="C961" s="21">
        <v>230688</v>
      </c>
      <c r="D961" s="22" t="s">
        <v>517</v>
      </c>
      <c r="E961" s="23">
        <v>45014</v>
      </c>
      <c r="F961" s="24">
        <v>44986</v>
      </c>
      <c r="G961" s="25">
        <v>133200</v>
      </c>
      <c r="H961" s="26" t="s">
        <v>2794</v>
      </c>
      <c r="I961" s="34" t="s">
        <v>29</v>
      </c>
      <c r="J961" s="10"/>
      <c r="K961" s="39"/>
      <c r="L961" s="40">
        <v>45071</v>
      </c>
      <c r="M961" s="40">
        <v>45072</v>
      </c>
      <c r="N961" s="37">
        <v>133200</v>
      </c>
      <c r="O961" s="37">
        <v>0</v>
      </c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4.25" customHeight="1">
      <c r="A962" s="9">
        <v>1074</v>
      </c>
      <c r="B962" s="10"/>
      <c r="C962" s="21">
        <v>230689</v>
      </c>
      <c r="D962" s="22" t="s">
        <v>517</v>
      </c>
      <c r="E962" s="23">
        <v>45014</v>
      </c>
      <c r="F962" s="24">
        <v>44986</v>
      </c>
      <c r="G962" s="25">
        <v>670501</v>
      </c>
      <c r="H962" s="26" t="s">
        <v>2795</v>
      </c>
      <c r="I962" s="34" t="s">
        <v>29</v>
      </c>
      <c r="J962" s="10"/>
      <c r="K962" s="39"/>
      <c r="L962" s="40">
        <v>45071</v>
      </c>
      <c r="M962" s="40">
        <v>45072</v>
      </c>
      <c r="N962" s="37">
        <v>670501</v>
      </c>
      <c r="O962" s="37">
        <v>0</v>
      </c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4.25" customHeight="1">
      <c r="A963" s="9">
        <v>1076</v>
      </c>
      <c r="B963" s="10"/>
      <c r="C963" s="21">
        <v>230707</v>
      </c>
      <c r="D963" s="22" t="s">
        <v>517</v>
      </c>
      <c r="E963" s="23">
        <v>45014</v>
      </c>
      <c r="F963" s="24">
        <v>44986</v>
      </c>
      <c r="G963" s="25">
        <v>418914</v>
      </c>
      <c r="H963" s="26" t="s">
        <v>2796</v>
      </c>
      <c r="I963" s="34" t="s">
        <v>29</v>
      </c>
      <c r="J963" s="10"/>
      <c r="K963" s="39"/>
      <c r="L963" s="40">
        <v>45071</v>
      </c>
      <c r="M963" s="40">
        <v>45072</v>
      </c>
      <c r="N963" s="37">
        <v>418914</v>
      </c>
      <c r="O963" s="37">
        <v>0</v>
      </c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4.25" customHeight="1">
      <c r="A964" s="9">
        <v>1077</v>
      </c>
      <c r="B964" s="10"/>
      <c r="C964" s="21">
        <v>230708</v>
      </c>
      <c r="D964" s="22" t="s">
        <v>517</v>
      </c>
      <c r="E964" s="23">
        <v>45016</v>
      </c>
      <c r="F964" s="24">
        <v>44986</v>
      </c>
      <c r="G964" s="76">
        <v>1165500</v>
      </c>
      <c r="H964" s="26" t="s">
        <v>2797</v>
      </c>
      <c r="I964" s="34" t="s">
        <v>29</v>
      </c>
      <c r="J964" s="10"/>
      <c r="K964" s="39"/>
      <c r="L964" s="40">
        <v>45071</v>
      </c>
      <c r="M964" s="40">
        <v>45072</v>
      </c>
      <c r="N964" s="37">
        <v>1165500</v>
      </c>
      <c r="O964" s="37">
        <v>0</v>
      </c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4.25" customHeight="1">
      <c r="A965" s="9">
        <v>1078</v>
      </c>
      <c r="B965" s="10"/>
      <c r="C965" s="21">
        <v>230726</v>
      </c>
      <c r="D965" s="22" t="s">
        <v>517</v>
      </c>
      <c r="E965" s="23">
        <v>45016</v>
      </c>
      <c r="F965" s="24">
        <v>44986</v>
      </c>
      <c r="G965" s="25">
        <v>3041955</v>
      </c>
      <c r="H965" s="26" t="s">
        <v>2798</v>
      </c>
      <c r="I965" s="34" t="s">
        <v>29</v>
      </c>
      <c r="J965" s="10"/>
      <c r="K965" s="39"/>
      <c r="L965" s="40">
        <v>45071</v>
      </c>
      <c r="M965" s="40">
        <v>45072</v>
      </c>
      <c r="N965" s="37">
        <v>3041955</v>
      </c>
      <c r="O965" s="37">
        <v>0</v>
      </c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4.25" customHeight="1">
      <c r="A966" s="9">
        <v>1079</v>
      </c>
      <c r="B966" s="10"/>
      <c r="C966" s="21">
        <v>230786</v>
      </c>
      <c r="D966" s="22" t="s">
        <v>517</v>
      </c>
      <c r="E966" s="23">
        <v>45026</v>
      </c>
      <c r="F966" s="24">
        <v>45017</v>
      </c>
      <c r="G966" s="25">
        <v>191503</v>
      </c>
      <c r="H966" s="26" t="s">
        <v>2799</v>
      </c>
      <c r="I966" s="34" t="s">
        <v>29</v>
      </c>
      <c r="J966" s="25">
        <v>6013800</v>
      </c>
      <c r="K966" s="40">
        <v>45092</v>
      </c>
      <c r="L966" s="40">
        <v>45093</v>
      </c>
      <c r="M966" s="40">
        <v>45093</v>
      </c>
      <c r="N966" s="37">
        <v>191503</v>
      </c>
      <c r="O966" s="37">
        <v>0</v>
      </c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4.25" customHeight="1">
      <c r="A967" s="9">
        <v>1083</v>
      </c>
      <c r="B967" s="10"/>
      <c r="C967" s="21">
        <v>230811</v>
      </c>
      <c r="D967" s="22" t="s">
        <v>517</v>
      </c>
      <c r="E967" s="23">
        <v>45028</v>
      </c>
      <c r="F967" s="24">
        <v>45017</v>
      </c>
      <c r="G967" s="25">
        <v>4511029</v>
      </c>
      <c r="H967" s="26" t="s">
        <v>2800</v>
      </c>
      <c r="I967" s="34" t="s">
        <v>29</v>
      </c>
      <c r="J967" s="37"/>
      <c r="K967" s="39"/>
      <c r="L967" s="40">
        <v>45093</v>
      </c>
      <c r="M967" s="40">
        <v>45093</v>
      </c>
      <c r="N967" s="37">
        <v>4511029</v>
      </c>
      <c r="O967" s="37">
        <v>0</v>
      </c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4.25" customHeight="1">
      <c r="A968" s="9">
        <v>1081</v>
      </c>
      <c r="B968" s="10"/>
      <c r="C968" s="21">
        <v>230812</v>
      </c>
      <c r="D968" s="22" t="s">
        <v>517</v>
      </c>
      <c r="E968" s="23">
        <v>45028</v>
      </c>
      <c r="F968" s="24">
        <v>45017</v>
      </c>
      <c r="G968" s="25">
        <v>152950</v>
      </c>
      <c r="H968" s="26" t="s">
        <v>2801</v>
      </c>
      <c r="I968" s="34" t="s">
        <v>29</v>
      </c>
      <c r="J968" s="37"/>
      <c r="K968" s="39"/>
      <c r="L968" s="40">
        <v>45093</v>
      </c>
      <c r="M968" s="40">
        <v>45093</v>
      </c>
      <c r="N968" s="37">
        <v>152950</v>
      </c>
      <c r="O968" s="37">
        <v>0</v>
      </c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4.25" customHeight="1">
      <c r="A969" s="9">
        <v>1082</v>
      </c>
      <c r="B969" s="10"/>
      <c r="C969" s="21">
        <v>230813</v>
      </c>
      <c r="D969" s="22" t="s">
        <v>517</v>
      </c>
      <c r="E969" s="23">
        <v>45028</v>
      </c>
      <c r="F969" s="24">
        <v>45017</v>
      </c>
      <c r="G969" s="25">
        <v>123321</v>
      </c>
      <c r="H969" s="26" t="s">
        <v>2802</v>
      </c>
      <c r="I969" s="34" t="s">
        <v>29</v>
      </c>
      <c r="J969" s="37"/>
      <c r="K969" s="39"/>
      <c r="L969" s="40">
        <v>45093</v>
      </c>
      <c r="M969" s="40">
        <v>45093</v>
      </c>
      <c r="N969" s="37">
        <v>123321</v>
      </c>
      <c r="O969" s="37">
        <v>0</v>
      </c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4.25" customHeight="1">
      <c r="A970" s="9">
        <v>1080</v>
      </c>
      <c r="B970" s="10"/>
      <c r="C970" s="21">
        <v>230815</v>
      </c>
      <c r="D970" s="22" t="s">
        <v>517</v>
      </c>
      <c r="E970" s="23">
        <v>45028</v>
      </c>
      <c r="F970" s="24">
        <v>45017</v>
      </c>
      <c r="G970" s="25">
        <v>1034997</v>
      </c>
      <c r="H970" s="26" t="s">
        <v>2803</v>
      </c>
      <c r="I970" s="34" t="s">
        <v>29</v>
      </c>
      <c r="J970" s="10"/>
      <c r="K970" s="39"/>
      <c r="L970" s="40">
        <v>45093</v>
      </c>
      <c r="M970" s="40">
        <v>45093</v>
      </c>
      <c r="N970" s="37">
        <v>1034997</v>
      </c>
      <c r="O970" s="37">
        <v>0</v>
      </c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4.25" customHeight="1">
      <c r="A971" s="9">
        <v>1085</v>
      </c>
      <c r="B971" s="10"/>
      <c r="C971" s="21">
        <v>230824</v>
      </c>
      <c r="D971" s="22" t="s">
        <v>517</v>
      </c>
      <c r="E971" s="23">
        <v>45030</v>
      </c>
      <c r="F971" s="24">
        <v>45017</v>
      </c>
      <c r="G971" s="25">
        <v>800310</v>
      </c>
      <c r="H971" s="26" t="s">
        <v>2804</v>
      </c>
      <c r="I971" s="34" t="s">
        <v>29</v>
      </c>
      <c r="J971" s="37"/>
      <c r="K971" s="39"/>
      <c r="L971" s="40">
        <v>45105</v>
      </c>
      <c r="M971" s="40">
        <v>45106</v>
      </c>
      <c r="N971" s="37">
        <v>800310</v>
      </c>
      <c r="O971" s="37">
        <v>0</v>
      </c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4.25" customHeight="1">
      <c r="A972" s="9">
        <v>1084</v>
      </c>
      <c r="B972" s="10"/>
      <c r="C972" s="21">
        <v>230854</v>
      </c>
      <c r="D972" s="22" t="s">
        <v>517</v>
      </c>
      <c r="E972" s="23">
        <v>45034</v>
      </c>
      <c r="F972" s="24">
        <v>45017</v>
      </c>
      <c r="G972" s="25">
        <v>1454999</v>
      </c>
      <c r="H972" s="26" t="s">
        <v>2805</v>
      </c>
      <c r="I972" s="34" t="s">
        <v>29</v>
      </c>
      <c r="J972" s="51">
        <v>2255309</v>
      </c>
      <c r="K972" s="40">
        <v>45102</v>
      </c>
      <c r="L972" s="40">
        <v>45105</v>
      </c>
      <c r="M972" s="40">
        <v>45106</v>
      </c>
      <c r="N972" s="37">
        <v>1454999</v>
      </c>
      <c r="O972" s="37">
        <v>0</v>
      </c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4.25" customHeight="1">
      <c r="A973" s="9">
        <v>1087</v>
      </c>
      <c r="B973" s="10"/>
      <c r="C973" s="21">
        <v>231026</v>
      </c>
      <c r="D973" s="22" t="s">
        <v>517</v>
      </c>
      <c r="E973" s="23">
        <v>45070</v>
      </c>
      <c r="F973" s="24">
        <v>45047</v>
      </c>
      <c r="G973" s="25">
        <v>318875</v>
      </c>
      <c r="H973" s="26" t="s">
        <v>2806</v>
      </c>
      <c r="I973" s="34" t="s">
        <v>29</v>
      </c>
      <c r="J973" s="10"/>
      <c r="K973" s="39"/>
      <c r="L973" s="36">
        <v>45117</v>
      </c>
      <c r="M973" s="36">
        <v>45117</v>
      </c>
      <c r="N973" s="37">
        <v>318875</v>
      </c>
      <c r="O973" s="37">
        <v>0</v>
      </c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4.25" customHeight="1">
      <c r="A974" s="9">
        <v>1086</v>
      </c>
      <c r="B974" s="10"/>
      <c r="C974" s="21">
        <v>231028</v>
      </c>
      <c r="D974" s="22" t="s">
        <v>517</v>
      </c>
      <c r="E974" s="23">
        <v>45070</v>
      </c>
      <c r="F974" s="24">
        <v>45047</v>
      </c>
      <c r="G974" s="25">
        <v>4107000</v>
      </c>
      <c r="H974" s="26" t="s">
        <v>2807</v>
      </c>
      <c r="I974" s="34" t="s">
        <v>29</v>
      </c>
      <c r="J974" s="25">
        <v>10454444</v>
      </c>
      <c r="K974" s="36">
        <v>45117</v>
      </c>
      <c r="L974" s="36">
        <v>45117</v>
      </c>
      <c r="M974" s="36">
        <v>45117</v>
      </c>
      <c r="N974" s="37">
        <v>4107000</v>
      </c>
      <c r="O974" s="37">
        <v>0</v>
      </c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4.25" customHeight="1">
      <c r="A975" s="9">
        <v>1088</v>
      </c>
      <c r="B975" s="10"/>
      <c r="C975" s="21">
        <v>231087</v>
      </c>
      <c r="D975" s="22" t="s">
        <v>517</v>
      </c>
      <c r="E975" s="23">
        <v>45073</v>
      </c>
      <c r="F975" s="24">
        <v>45047</v>
      </c>
      <c r="G975" s="25">
        <v>6028569</v>
      </c>
      <c r="H975" s="26" t="s">
        <v>2808</v>
      </c>
      <c r="I975" s="34" t="s">
        <v>29</v>
      </c>
      <c r="J975" s="10"/>
      <c r="K975" s="39"/>
      <c r="L975" s="36">
        <v>45117</v>
      </c>
      <c r="M975" s="36">
        <v>45117</v>
      </c>
      <c r="N975" s="37">
        <v>6028569</v>
      </c>
      <c r="O975" s="37">
        <v>0</v>
      </c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4.25" customHeight="1">
      <c r="A976" s="9">
        <v>1090</v>
      </c>
      <c r="B976" s="10"/>
      <c r="C976" s="21">
        <v>231066</v>
      </c>
      <c r="D976" s="22" t="s">
        <v>517</v>
      </c>
      <c r="E976" s="23">
        <v>45077</v>
      </c>
      <c r="F976" s="24">
        <v>45047</v>
      </c>
      <c r="G976" s="25">
        <v>919191</v>
      </c>
      <c r="H976" s="26" t="s">
        <v>2809</v>
      </c>
      <c r="I976" s="34" t="s">
        <v>29</v>
      </c>
      <c r="J976" s="10"/>
      <c r="K976" s="39"/>
      <c r="L976" s="36">
        <v>45139</v>
      </c>
      <c r="M976" s="36">
        <v>45139</v>
      </c>
      <c r="N976" s="37">
        <v>919191</v>
      </c>
      <c r="O976" s="37">
        <v>0</v>
      </c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4.25" customHeight="1">
      <c r="A977" s="9">
        <v>1089</v>
      </c>
      <c r="B977" s="10"/>
      <c r="C977" s="21">
        <v>231074</v>
      </c>
      <c r="D977" s="22" t="s">
        <v>517</v>
      </c>
      <c r="E977" s="23">
        <v>45077</v>
      </c>
      <c r="F977" s="24">
        <v>45047</v>
      </c>
      <c r="G977" s="25">
        <v>3206693</v>
      </c>
      <c r="H977" s="26" t="s">
        <v>2810</v>
      </c>
      <c r="I977" s="34" t="s">
        <v>29</v>
      </c>
      <c r="J977" s="27">
        <v>4125884</v>
      </c>
      <c r="K977" s="36">
        <v>45139</v>
      </c>
      <c r="L977" s="36">
        <v>45139</v>
      </c>
      <c r="M977" s="36">
        <v>45139</v>
      </c>
      <c r="N977" s="37">
        <v>3206693</v>
      </c>
      <c r="O977" s="37">
        <v>0</v>
      </c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4.25" customHeight="1">
      <c r="A978" s="9">
        <v>1091</v>
      </c>
      <c r="B978" s="10"/>
      <c r="C978" s="21">
        <v>231368</v>
      </c>
      <c r="D978" s="22" t="s">
        <v>517</v>
      </c>
      <c r="E978" s="23">
        <v>45117</v>
      </c>
      <c r="F978" s="24">
        <v>45108</v>
      </c>
      <c r="G978" s="25">
        <v>3555495</v>
      </c>
      <c r="H978" s="26" t="s">
        <v>2811</v>
      </c>
      <c r="I978" s="34" t="s">
        <v>29</v>
      </c>
      <c r="J978" s="25">
        <v>35711267</v>
      </c>
      <c r="K978" s="36">
        <v>45189</v>
      </c>
      <c r="L978" s="36">
        <v>45189</v>
      </c>
      <c r="M978" s="36">
        <v>45189</v>
      </c>
      <c r="N978" s="37">
        <v>3555495</v>
      </c>
      <c r="O978" s="37">
        <v>0</v>
      </c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4.25" customHeight="1">
      <c r="A979" s="9">
        <v>1116</v>
      </c>
      <c r="B979" s="10"/>
      <c r="C979" s="21">
        <v>231964</v>
      </c>
      <c r="D979" s="22" t="s">
        <v>517</v>
      </c>
      <c r="E979" s="23">
        <v>45117</v>
      </c>
      <c r="F979" s="24">
        <v>45108</v>
      </c>
      <c r="G979" s="44">
        <v>30900</v>
      </c>
      <c r="H979" s="26" t="s">
        <v>2812</v>
      </c>
      <c r="I979" s="34" t="s">
        <v>29</v>
      </c>
      <c r="J979" s="52">
        <v>14100766</v>
      </c>
      <c r="K979" s="39">
        <v>45240</v>
      </c>
      <c r="L979" s="36">
        <v>45240</v>
      </c>
      <c r="M979" s="36">
        <v>45240</v>
      </c>
      <c r="N979" s="37">
        <v>30900</v>
      </c>
      <c r="O979" s="37">
        <v>0</v>
      </c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4.25" customHeight="1">
      <c r="A980" s="9">
        <v>1092</v>
      </c>
      <c r="B980" s="10"/>
      <c r="C980" s="21">
        <v>231376</v>
      </c>
      <c r="D980" s="22" t="s">
        <v>517</v>
      </c>
      <c r="E980" s="23">
        <v>45120</v>
      </c>
      <c r="F980" s="24">
        <v>45108</v>
      </c>
      <c r="G980" s="25">
        <v>765012</v>
      </c>
      <c r="H980" s="26" t="s">
        <v>2813</v>
      </c>
      <c r="I980" s="34" t="s">
        <v>29</v>
      </c>
      <c r="J980" s="10"/>
      <c r="K980" s="39"/>
      <c r="L980" s="36">
        <v>45189</v>
      </c>
      <c r="M980" s="36">
        <v>45189</v>
      </c>
      <c r="N980" s="37">
        <v>765012</v>
      </c>
      <c r="O980" s="37">
        <v>0</v>
      </c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4.25" customHeight="1">
      <c r="A981" s="9">
        <v>1093</v>
      </c>
      <c r="B981" s="10"/>
      <c r="C981" s="21">
        <v>231398</v>
      </c>
      <c r="D981" s="22" t="s">
        <v>517</v>
      </c>
      <c r="E981" s="23">
        <v>45122</v>
      </c>
      <c r="F981" s="24">
        <v>45108</v>
      </c>
      <c r="G981" s="25">
        <v>437266</v>
      </c>
      <c r="H981" s="26" t="s">
        <v>2814</v>
      </c>
      <c r="I981" s="34" t="s">
        <v>29</v>
      </c>
      <c r="J981" s="10"/>
      <c r="K981" s="39"/>
      <c r="L981" s="36">
        <v>45189</v>
      </c>
      <c r="M981" s="36">
        <v>45189</v>
      </c>
      <c r="N981" s="37">
        <v>437266</v>
      </c>
      <c r="O981" s="37">
        <v>0</v>
      </c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4.25" customHeight="1">
      <c r="A982" s="9">
        <v>1094</v>
      </c>
      <c r="B982" s="10"/>
      <c r="C982" s="21">
        <v>231427</v>
      </c>
      <c r="D982" s="22" t="s">
        <v>517</v>
      </c>
      <c r="E982" s="23">
        <v>45125</v>
      </c>
      <c r="F982" s="24">
        <v>45108</v>
      </c>
      <c r="G982" s="25">
        <v>1836273</v>
      </c>
      <c r="H982" s="26" t="s">
        <v>2815</v>
      </c>
      <c r="I982" s="34" t="s">
        <v>29</v>
      </c>
      <c r="J982" s="10"/>
      <c r="K982" s="39"/>
      <c r="L982" s="36">
        <v>45189</v>
      </c>
      <c r="M982" s="36">
        <v>45189</v>
      </c>
      <c r="N982" s="37">
        <v>1836273</v>
      </c>
      <c r="O982" s="37">
        <v>0</v>
      </c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4.25" customHeight="1">
      <c r="A983" s="9">
        <v>1095</v>
      </c>
      <c r="B983" s="10"/>
      <c r="C983" s="21">
        <v>231424</v>
      </c>
      <c r="D983" s="22" t="s">
        <v>517</v>
      </c>
      <c r="E983" s="23">
        <v>45127</v>
      </c>
      <c r="F983" s="24">
        <v>45108</v>
      </c>
      <c r="G983" s="25">
        <v>139638</v>
      </c>
      <c r="H983" s="26" t="s">
        <v>2816</v>
      </c>
      <c r="I983" s="34" t="s">
        <v>29</v>
      </c>
      <c r="J983" s="10"/>
      <c r="K983" s="39"/>
      <c r="L983" s="36">
        <v>45189</v>
      </c>
      <c r="M983" s="36">
        <v>45189</v>
      </c>
      <c r="N983" s="37">
        <v>139638</v>
      </c>
      <c r="O983" s="37">
        <v>0</v>
      </c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4.25" customHeight="1">
      <c r="A984" s="9">
        <v>1097</v>
      </c>
      <c r="B984" s="10"/>
      <c r="C984" s="21">
        <v>231518</v>
      </c>
      <c r="D984" s="22" t="s">
        <v>517</v>
      </c>
      <c r="E984" s="23">
        <v>45127</v>
      </c>
      <c r="F984" s="24">
        <v>45108</v>
      </c>
      <c r="G984" s="44">
        <v>6083910</v>
      </c>
      <c r="H984" s="26" t="s">
        <v>2817</v>
      </c>
      <c r="I984" s="34" t="s">
        <v>29</v>
      </c>
      <c r="J984" s="10"/>
      <c r="K984" s="39"/>
      <c r="L984" s="36">
        <v>45189</v>
      </c>
      <c r="M984" s="36">
        <v>45189</v>
      </c>
      <c r="N984" s="37">
        <v>6083910</v>
      </c>
      <c r="O984" s="37">
        <v>0</v>
      </c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4.25" customHeight="1">
      <c r="A985" s="9">
        <v>1096</v>
      </c>
      <c r="B985" s="77"/>
      <c r="C985" s="78">
        <v>231451</v>
      </c>
      <c r="D985" s="79" t="s">
        <v>517</v>
      </c>
      <c r="E985" s="80">
        <v>45131</v>
      </c>
      <c r="F985" s="81">
        <v>45108</v>
      </c>
      <c r="G985" s="82">
        <v>1128809</v>
      </c>
      <c r="H985" s="77" t="s">
        <v>2740</v>
      </c>
      <c r="I985" s="83" t="s">
        <v>29</v>
      </c>
      <c r="J985" s="77"/>
      <c r="K985" s="84"/>
      <c r="L985" s="84">
        <v>45189</v>
      </c>
      <c r="M985" s="84">
        <v>45189</v>
      </c>
      <c r="N985" s="85">
        <v>1128809</v>
      </c>
      <c r="O985" s="85">
        <v>0</v>
      </c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4.25" customHeight="1">
      <c r="A986" s="9">
        <v>1098</v>
      </c>
      <c r="B986" s="10"/>
      <c r="C986" s="21">
        <v>231550</v>
      </c>
      <c r="D986" s="22" t="s">
        <v>517</v>
      </c>
      <c r="E986" s="23">
        <v>45143</v>
      </c>
      <c r="F986" s="24">
        <v>45139</v>
      </c>
      <c r="G986" s="44">
        <v>3468517</v>
      </c>
      <c r="H986" s="26" t="s">
        <v>2818</v>
      </c>
      <c r="I986" s="34" t="s">
        <v>29</v>
      </c>
      <c r="J986" s="10"/>
      <c r="K986" s="39"/>
      <c r="L986" s="36">
        <v>45189</v>
      </c>
      <c r="M986" s="36">
        <v>45189</v>
      </c>
      <c r="N986" s="37">
        <v>3468517</v>
      </c>
      <c r="O986" s="37">
        <v>0</v>
      </c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4.25" customHeight="1">
      <c r="A987" s="9">
        <v>1099</v>
      </c>
      <c r="B987" s="10"/>
      <c r="C987" s="21">
        <v>231551</v>
      </c>
      <c r="D987" s="22" t="s">
        <v>517</v>
      </c>
      <c r="E987" s="23">
        <v>45143</v>
      </c>
      <c r="F987" s="24">
        <v>45139</v>
      </c>
      <c r="G987" s="44">
        <v>1212120</v>
      </c>
      <c r="H987" s="26" t="s">
        <v>2819</v>
      </c>
      <c r="I987" s="34" t="s">
        <v>29</v>
      </c>
      <c r="J987" s="10"/>
      <c r="K987" s="39"/>
      <c r="L987" s="36">
        <v>45189</v>
      </c>
      <c r="M987" s="36">
        <v>45189</v>
      </c>
      <c r="N987" s="37">
        <v>1212120</v>
      </c>
      <c r="O987" s="37">
        <v>0</v>
      </c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4.25" customHeight="1">
      <c r="A988" s="9">
        <v>1100</v>
      </c>
      <c r="B988" s="10"/>
      <c r="C988" s="21">
        <v>231552</v>
      </c>
      <c r="D988" s="22" t="s">
        <v>517</v>
      </c>
      <c r="E988" s="23">
        <v>45143</v>
      </c>
      <c r="F988" s="24">
        <v>45139</v>
      </c>
      <c r="G988" s="44">
        <v>377804</v>
      </c>
      <c r="H988" s="26" t="s">
        <v>2820</v>
      </c>
      <c r="I988" s="34" t="s">
        <v>29</v>
      </c>
      <c r="J988" s="10"/>
      <c r="K988" s="39"/>
      <c r="L988" s="36">
        <v>45189</v>
      </c>
      <c r="M988" s="36">
        <v>45189</v>
      </c>
      <c r="N988" s="37">
        <v>377804</v>
      </c>
      <c r="O988" s="37">
        <v>0</v>
      </c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4.25" customHeight="1">
      <c r="A989" s="9">
        <v>1101</v>
      </c>
      <c r="B989" s="10"/>
      <c r="C989" s="21">
        <v>231546</v>
      </c>
      <c r="D989" s="22" t="s">
        <v>517</v>
      </c>
      <c r="E989" s="23">
        <v>45145</v>
      </c>
      <c r="F989" s="24">
        <v>45139</v>
      </c>
      <c r="G989" s="44">
        <v>396270</v>
      </c>
      <c r="H989" s="26" t="s">
        <v>2821</v>
      </c>
      <c r="I989" s="34" t="s">
        <v>29</v>
      </c>
      <c r="J989" s="10"/>
      <c r="K989" s="39"/>
      <c r="L989" s="36">
        <v>45189</v>
      </c>
      <c r="M989" s="36">
        <v>45189</v>
      </c>
      <c r="N989" s="37">
        <v>396270</v>
      </c>
      <c r="O989" s="37">
        <v>0</v>
      </c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4.25" customHeight="1">
      <c r="A990" s="9">
        <v>1102</v>
      </c>
      <c r="B990" s="10"/>
      <c r="C990" s="21">
        <v>231549</v>
      </c>
      <c r="D990" s="22" t="s">
        <v>517</v>
      </c>
      <c r="E990" s="23">
        <v>45145</v>
      </c>
      <c r="F990" s="24">
        <v>45139</v>
      </c>
      <c r="G990" s="44">
        <v>37499</v>
      </c>
      <c r="H990" s="26" t="s">
        <v>2822</v>
      </c>
      <c r="I990" s="34" t="s">
        <v>29</v>
      </c>
      <c r="J990" s="10"/>
      <c r="K990" s="39"/>
      <c r="L990" s="36">
        <v>45189</v>
      </c>
      <c r="M990" s="36">
        <v>45189</v>
      </c>
      <c r="N990" s="37">
        <v>37499</v>
      </c>
      <c r="O990" s="37">
        <v>0</v>
      </c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4.25" customHeight="1">
      <c r="A991" s="9">
        <v>1103</v>
      </c>
      <c r="B991" s="10"/>
      <c r="C991" s="21">
        <v>231553</v>
      </c>
      <c r="D991" s="22" t="s">
        <v>517</v>
      </c>
      <c r="E991" s="23">
        <v>45147</v>
      </c>
      <c r="F991" s="24">
        <v>45139</v>
      </c>
      <c r="G991" s="44">
        <v>2144964</v>
      </c>
      <c r="H991" s="26" t="s">
        <v>2823</v>
      </c>
      <c r="I991" s="34" t="s">
        <v>29</v>
      </c>
      <c r="J991" s="10"/>
      <c r="K991" s="39"/>
      <c r="L991" s="36">
        <v>45189</v>
      </c>
      <c r="M991" s="36">
        <v>45189</v>
      </c>
      <c r="N991" s="37">
        <v>2144964</v>
      </c>
      <c r="O991" s="37">
        <v>0</v>
      </c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4.25" customHeight="1">
      <c r="A992" s="9">
        <v>1106</v>
      </c>
      <c r="B992" s="10"/>
      <c r="C992" s="21">
        <v>231581</v>
      </c>
      <c r="D992" s="22" t="s">
        <v>517</v>
      </c>
      <c r="E992" s="23">
        <v>45149</v>
      </c>
      <c r="F992" s="24">
        <v>45139</v>
      </c>
      <c r="G992" s="44">
        <v>582750</v>
      </c>
      <c r="H992" s="26" t="s">
        <v>2824</v>
      </c>
      <c r="I992" s="34" t="s">
        <v>29</v>
      </c>
      <c r="J992" s="10"/>
      <c r="K992" s="39"/>
      <c r="L992" s="36">
        <v>45189</v>
      </c>
      <c r="M992" s="36">
        <v>45189</v>
      </c>
      <c r="N992" s="37">
        <v>582750</v>
      </c>
      <c r="O992" s="37">
        <v>0</v>
      </c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4.25" customHeight="1">
      <c r="A993" s="9">
        <v>1108</v>
      </c>
      <c r="B993" s="10"/>
      <c r="C993" s="21">
        <v>231658</v>
      </c>
      <c r="D993" s="22" t="s">
        <v>517</v>
      </c>
      <c r="E993" s="23">
        <v>45149</v>
      </c>
      <c r="F993" s="24">
        <v>45139</v>
      </c>
      <c r="G993" s="44">
        <v>139638</v>
      </c>
      <c r="H993" s="26" t="s">
        <v>2825</v>
      </c>
      <c r="I993" s="34" t="s">
        <v>29</v>
      </c>
      <c r="J993" s="10"/>
      <c r="K993" s="39"/>
      <c r="L993" s="36">
        <v>45189</v>
      </c>
      <c r="M993" s="36">
        <v>45189</v>
      </c>
      <c r="N993" s="37">
        <v>139638</v>
      </c>
      <c r="O993" s="37">
        <v>0</v>
      </c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4.25" customHeight="1">
      <c r="A994" s="9">
        <v>1105</v>
      </c>
      <c r="B994" s="10"/>
      <c r="C994" s="21">
        <v>231659</v>
      </c>
      <c r="D994" s="22" t="s">
        <v>517</v>
      </c>
      <c r="E994" s="23">
        <v>45149</v>
      </c>
      <c r="F994" s="24">
        <v>45139</v>
      </c>
      <c r="G994" s="44">
        <v>4127790</v>
      </c>
      <c r="H994" s="26" t="s">
        <v>2826</v>
      </c>
      <c r="I994" s="34" t="s">
        <v>29</v>
      </c>
      <c r="J994" s="10"/>
      <c r="K994" s="39"/>
      <c r="L994" s="36">
        <v>45189</v>
      </c>
      <c r="M994" s="36">
        <v>45189</v>
      </c>
      <c r="N994" s="37">
        <v>4127790</v>
      </c>
      <c r="O994" s="37">
        <v>0</v>
      </c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4.25" customHeight="1">
      <c r="A995" s="9">
        <v>1107</v>
      </c>
      <c r="B995" s="10"/>
      <c r="C995" s="21">
        <v>231660</v>
      </c>
      <c r="D995" s="22" t="s">
        <v>517</v>
      </c>
      <c r="E995" s="23">
        <v>45149</v>
      </c>
      <c r="F995" s="24">
        <v>45139</v>
      </c>
      <c r="G995" s="44">
        <v>56470</v>
      </c>
      <c r="H995" s="26" t="s">
        <v>2827</v>
      </c>
      <c r="I995" s="34" t="s">
        <v>29</v>
      </c>
      <c r="J995" s="10"/>
      <c r="K995" s="39"/>
      <c r="L995" s="36">
        <v>45189</v>
      </c>
      <c r="M995" s="36">
        <v>45189</v>
      </c>
      <c r="N995" s="37">
        <v>56470</v>
      </c>
      <c r="O995" s="37">
        <v>0</v>
      </c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4.25" customHeight="1">
      <c r="A996" s="9">
        <v>1104</v>
      </c>
      <c r="B996" s="10"/>
      <c r="C996" s="21">
        <v>231586</v>
      </c>
      <c r="D996" s="22" t="s">
        <v>517</v>
      </c>
      <c r="E996" s="23">
        <v>45152</v>
      </c>
      <c r="F996" s="24">
        <v>45139</v>
      </c>
      <c r="G996" s="44">
        <v>2732975</v>
      </c>
      <c r="H996" s="26" t="s">
        <v>2828</v>
      </c>
      <c r="I996" s="34" t="s">
        <v>29</v>
      </c>
      <c r="J996" s="10"/>
      <c r="K996" s="39"/>
      <c r="L996" s="36">
        <v>45189</v>
      </c>
      <c r="M996" s="36">
        <v>45189</v>
      </c>
      <c r="N996" s="37">
        <v>2732975</v>
      </c>
      <c r="O996" s="37">
        <v>0</v>
      </c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4.25" customHeight="1">
      <c r="A997" s="9">
        <v>1109</v>
      </c>
      <c r="B997" s="10"/>
      <c r="C997" s="21">
        <v>231656</v>
      </c>
      <c r="D997" s="22" t="s">
        <v>517</v>
      </c>
      <c r="E997" s="23">
        <v>45153</v>
      </c>
      <c r="F997" s="24">
        <v>45139</v>
      </c>
      <c r="G997" s="44">
        <v>69997</v>
      </c>
      <c r="H997" s="26" t="s">
        <v>2829</v>
      </c>
      <c r="I997" s="34" t="s">
        <v>29</v>
      </c>
      <c r="J997" s="10"/>
      <c r="K997" s="39"/>
      <c r="L997" s="36">
        <v>45189</v>
      </c>
      <c r="M997" s="36">
        <v>45189</v>
      </c>
      <c r="N997" s="37">
        <v>69997</v>
      </c>
      <c r="O997" s="37">
        <v>0</v>
      </c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4.25" customHeight="1">
      <c r="A998" s="9">
        <v>1111</v>
      </c>
      <c r="B998" s="10"/>
      <c r="C998" s="21">
        <v>231655</v>
      </c>
      <c r="D998" s="22" t="s">
        <v>517</v>
      </c>
      <c r="E998" s="23">
        <v>45154</v>
      </c>
      <c r="F998" s="24">
        <v>45139</v>
      </c>
      <c r="G998" s="44">
        <v>231296</v>
      </c>
      <c r="H998" s="26" t="s">
        <v>2830</v>
      </c>
      <c r="I998" s="34" t="s">
        <v>29</v>
      </c>
      <c r="J998" s="10"/>
      <c r="K998" s="39"/>
      <c r="L998" s="36">
        <v>45189</v>
      </c>
      <c r="M998" s="36">
        <v>45189</v>
      </c>
      <c r="N998" s="37">
        <v>231296</v>
      </c>
      <c r="O998" s="37">
        <v>0</v>
      </c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4.25" customHeight="1">
      <c r="A999" s="9">
        <v>1110</v>
      </c>
      <c r="B999" s="10"/>
      <c r="C999" s="21">
        <v>231657</v>
      </c>
      <c r="D999" s="22" t="s">
        <v>517</v>
      </c>
      <c r="E999" s="23">
        <v>45154</v>
      </c>
      <c r="F999" s="24">
        <v>45139</v>
      </c>
      <c r="G999" s="44">
        <v>1776000</v>
      </c>
      <c r="H999" s="26" t="s">
        <v>2831</v>
      </c>
      <c r="I999" s="34" t="s">
        <v>29</v>
      </c>
      <c r="J999" s="10"/>
      <c r="K999" s="39"/>
      <c r="L999" s="36">
        <v>45189</v>
      </c>
      <c r="M999" s="36">
        <v>45189</v>
      </c>
      <c r="N999" s="37">
        <v>1776000</v>
      </c>
      <c r="O999" s="37">
        <v>0</v>
      </c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4.25" customHeight="1">
      <c r="A1000" s="9">
        <v>1112</v>
      </c>
      <c r="B1000" s="10"/>
      <c r="C1000" s="21">
        <v>231654</v>
      </c>
      <c r="D1000" s="22" t="s">
        <v>517</v>
      </c>
      <c r="E1000" s="23">
        <v>45156</v>
      </c>
      <c r="F1000" s="24">
        <v>45139</v>
      </c>
      <c r="G1000" s="44">
        <v>373804</v>
      </c>
      <c r="H1000" s="26" t="s">
        <v>2832</v>
      </c>
      <c r="I1000" s="34" t="s">
        <v>29</v>
      </c>
      <c r="J1000" s="10"/>
      <c r="K1000" s="39"/>
      <c r="L1000" s="36">
        <v>45189</v>
      </c>
      <c r="M1000" s="36">
        <v>45189</v>
      </c>
      <c r="N1000" s="37">
        <v>373804</v>
      </c>
      <c r="O1000" s="37">
        <v>0</v>
      </c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spans="1:26" ht="14.25" customHeight="1">
      <c r="A1001" s="9">
        <v>1113</v>
      </c>
      <c r="B1001" s="10"/>
      <c r="C1001" s="21">
        <v>231679</v>
      </c>
      <c r="D1001" s="22" t="s">
        <v>517</v>
      </c>
      <c r="E1001" s="23">
        <v>45159</v>
      </c>
      <c r="F1001" s="24">
        <v>45139</v>
      </c>
      <c r="G1001" s="44">
        <v>158175</v>
      </c>
      <c r="H1001" s="26" t="s">
        <v>2833</v>
      </c>
      <c r="I1001" s="34" t="s">
        <v>29</v>
      </c>
      <c r="J1001" s="10"/>
      <c r="K1001" s="39"/>
      <c r="L1001" s="36">
        <v>45189</v>
      </c>
      <c r="M1001" s="36">
        <v>45189</v>
      </c>
      <c r="N1001" s="37">
        <v>158175</v>
      </c>
      <c r="O1001" s="37">
        <v>0</v>
      </c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spans="1:26" ht="14.25" customHeight="1">
      <c r="A1002" s="9">
        <v>1114</v>
      </c>
      <c r="B1002" s="10"/>
      <c r="C1002" s="21">
        <v>231699</v>
      </c>
      <c r="D1002" s="22" t="s">
        <v>517</v>
      </c>
      <c r="E1002" s="23">
        <v>45161</v>
      </c>
      <c r="F1002" s="24">
        <v>45139</v>
      </c>
      <c r="G1002" s="44">
        <v>3878795</v>
      </c>
      <c r="H1002" s="26" t="s">
        <v>2834</v>
      </c>
      <c r="I1002" s="34" t="s">
        <v>29</v>
      </c>
      <c r="J1002" s="10"/>
      <c r="K1002" s="39"/>
      <c r="L1002" s="36">
        <v>45189</v>
      </c>
      <c r="M1002" s="36">
        <v>45189</v>
      </c>
      <c r="N1002" s="37">
        <v>3878795</v>
      </c>
      <c r="O1002" s="37">
        <v>0</v>
      </c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spans="1:26" ht="14.25" customHeight="1">
      <c r="A1003" s="9">
        <v>1117</v>
      </c>
      <c r="B1003" s="10"/>
      <c r="C1003" s="21">
        <v>231748</v>
      </c>
      <c r="D1003" s="22" t="s">
        <v>517</v>
      </c>
      <c r="E1003" s="23">
        <v>45166</v>
      </c>
      <c r="F1003" s="24">
        <v>45139</v>
      </c>
      <c r="G1003" s="44">
        <v>73926</v>
      </c>
      <c r="H1003" s="26" t="s">
        <v>2835</v>
      </c>
      <c r="I1003" s="34" t="s">
        <v>29</v>
      </c>
      <c r="J1003" s="10"/>
      <c r="K1003" s="39"/>
      <c r="L1003" s="36">
        <v>45240</v>
      </c>
      <c r="M1003" s="36">
        <v>45240</v>
      </c>
      <c r="N1003" s="37">
        <v>73926</v>
      </c>
      <c r="O1003" s="37">
        <v>0</v>
      </c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spans="1:26" ht="14.25" customHeight="1">
      <c r="A1004" s="9">
        <v>1118</v>
      </c>
      <c r="B1004" s="10"/>
      <c r="C1004" s="21">
        <v>231770</v>
      </c>
      <c r="D1004" s="22" t="s">
        <v>517</v>
      </c>
      <c r="E1004" s="23">
        <v>45167</v>
      </c>
      <c r="F1004" s="24">
        <v>45139</v>
      </c>
      <c r="G1004" s="44">
        <v>268065</v>
      </c>
      <c r="H1004" s="26" t="s">
        <v>2836</v>
      </c>
      <c r="I1004" s="34" t="s">
        <v>29</v>
      </c>
      <c r="J1004" s="10"/>
      <c r="K1004" s="39"/>
      <c r="L1004" s="36">
        <v>45240</v>
      </c>
      <c r="M1004" s="36">
        <v>45240</v>
      </c>
      <c r="N1004" s="37">
        <v>268065</v>
      </c>
      <c r="O1004" s="37">
        <v>0</v>
      </c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spans="1:26" ht="14.25" customHeight="1">
      <c r="A1005" s="9">
        <v>1119</v>
      </c>
      <c r="B1005" s="10"/>
      <c r="C1005" s="21">
        <v>231843</v>
      </c>
      <c r="D1005" s="22" t="s">
        <v>517</v>
      </c>
      <c r="E1005" s="23">
        <v>45175</v>
      </c>
      <c r="F1005" s="24">
        <v>45170</v>
      </c>
      <c r="G1005" s="44">
        <v>308580</v>
      </c>
      <c r="H1005" s="26" t="s">
        <v>2837</v>
      </c>
      <c r="I1005" s="34" t="s">
        <v>29</v>
      </c>
      <c r="J1005" s="10"/>
      <c r="K1005" s="39"/>
      <c r="L1005" s="36">
        <v>45240</v>
      </c>
      <c r="M1005" s="36">
        <v>45240</v>
      </c>
      <c r="N1005" s="37">
        <v>308580</v>
      </c>
      <c r="O1005" s="37">
        <v>0</v>
      </c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spans="1:26" ht="14.25" customHeight="1">
      <c r="A1006" s="9">
        <v>1120</v>
      </c>
      <c r="B1006" s="10"/>
      <c r="C1006" s="21">
        <v>231961</v>
      </c>
      <c r="D1006" s="22" t="s">
        <v>517</v>
      </c>
      <c r="E1006" s="23">
        <v>45191</v>
      </c>
      <c r="F1006" s="24">
        <v>45170</v>
      </c>
      <c r="G1006" s="44">
        <v>14548104</v>
      </c>
      <c r="H1006" s="26" t="s">
        <v>2838</v>
      </c>
      <c r="I1006" s="34" t="s">
        <v>29</v>
      </c>
      <c r="J1006" s="10"/>
      <c r="K1006" s="39"/>
      <c r="L1006" s="36">
        <v>45240</v>
      </c>
      <c r="M1006" s="36">
        <v>45240</v>
      </c>
      <c r="N1006" s="37">
        <v>14548104</v>
      </c>
      <c r="O1006" s="37">
        <v>0</v>
      </c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spans="1:26" ht="14.25" customHeight="1">
      <c r="A1007" s="9">
        <v>1121</v>
      </c>
      <c r="B1007" s="10"/>
      <c r="C1007" s="21">
        <v>231962</v>
      </c>
      <c r="D1007" s="22" t="s">
        <v>517</v>
      </c>
      <c r="E1007" s="23">
        <v>45191</v>
      </c>
      <c r="F1007" s="24">
        <v>45170</v>
      </c>
      <c r="G1007" s="44">
        <v>660450</v>
      </c>
      <c r="H1007" s="26" t="s">
        <v>2839</v>
      </c>
      <c r="I1007" s="34" t="s">
        <v>29</v>
      </c>
      <c r="J1007" s="52">
        <v>29853884</v>
      </c>
      <c r="K1007" s="39"/>
      <c r="L1007" s="36">
        <v>45245</v>
      </c>
      <c r="M1007" s="36">
        <v>45245</v>
      </c>
      <c r="N1007" s="37">
        <v>660450</v>
      </c>
      <c r="O1007" s="37">
        <v>0</v>
      </c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spans="1:26" ht="14.25" customHeight="1">
      <c r="A1008" s="9">
        <v>1122</v>
      </c>
      <c r="B1008" s="10"/>
      <c r="C1008" s="21">
        <v>231959</v>
      </c>
      <c r="D1008" s="22" t="s">
        <v>517</v>
      </c>
      <c r="E1008" s="23">
        <v>45194</v>
      </c>
      <c r="F1008" s="24">
        <v>45170</v>
      </c>
      <c r="G1008" s="44">
        <v>582750</v>
      </c>
      <c r="H1008" s="26" t="s">
        <v>2840</v>
      </c>
      <c r="I1008" s="34" t="s">
        <v>29</v>
      </c>
      <c r="J1008" s="10"/>
      <c r="K1008" s="39"/>
      <c r="L1008" s="36">
        <v>45245</v>
      </c>
      <c r="M1008" s="36">
        <v>45245</v>
      </c>
      <c r="N1008" s="37">
        <v>582750</v>
      </c>
      <c r="O1008" s="37">
        <v>0</v>
      </c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spans="1:26" ht="14.25" customHeight="1">
      <c r="A1009" s="9">
        <v>1123</v>
      </c>
      <c r="B1009" s="10"/>
      <c r="C1009" s="21">
        <v>231960</v>
      </c>
      <c r="D1009" s="22" t="s">
        <v>517</v>
      </c>
      <c r="E1009" s="23">
        <v>45194</v>
      </c>
      <c r="F1009" s="24">
        <v>45170</v>
      </c>
      <c r="G1009" s="44">
        <v>6260400</v>
      </c>
      <c r="H1009" s="26" t="s">
        <v>2841</v>
      </c>
      <c r="I1009" s="34" t="s">
        <v>29</v>
      </c>
      <c r="J1009" s="10"/>
      <c r="K1009" s="39"/>
      <c r="L1009" s="36">
        <v>45245</v>
      </c>
      <c r="M1009" s="36">
        <v>45245</v>
      </c>
      <c r="N1009" s="37">
        <v>6260400</v>
      </c>
      <c r="O1009" s="37">
        <v>0</v>
      </c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spans="1:26" ht="14.25" customHeight="1">
      <c r="A1010" s="9">
        <v>1124</v>
      </c>
      <c r="B1010" s="10"/>
      <c r="C1010" s="21">
        <v>231986</v>
      </c>
      <c r="D1010" s="22" t="s">
        <v>517</v>
      </c>
      <c r="E1010" s="23">
        <v>45195</v>
      </c>
      <c r="F1010" s="24">
        <v>45170</v>
      </c>
      <c r="G1010" s="44">
        <v>2359567</v>
      </c>
      <c r="H1010" s="26" t="s">
        <v>2842</v>
      </c>
      <c r="I1010" s="34" t="s">
        <v>29</v>
      </c>
      <c r="J1010" s="10"/>
      <c r="K1010" s="39"/>
      <c r="L1010" s="36">
        <v>45245</v>
      </c>
      <c r="M1010" s="36">
        <v>45245</v>
      </c>
      <c r="N1010" s="37">
        <v>2359567</v>
      </c>
      <c r="O1010" s="37">
        <v>0</v>
      </c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spans="1:26" ht="14.25" customHeight="1">
      <c r="A1011" s="9">
        <v>1125</v>
      </c>
      <c r="B1011" s="10"/>
      <c r="C1011" s="21">
        <v>232030</v>
      </c>
      <c r="D1011" s="22" t="s">
        <v>517</v>
      </c>
      <c r="E1011" s="23">
        <v>45198</v>
      </c>
      <c r="F1011" s="24">
        <v>45170</v>
      </c>
      <c r="G1011" s="44">
        <v>308580</v>
      </c>
      <c r="H1011" s="26" t="s">
        <v>2843</v>
      </c>
      <c r="I1011" s="34" t="s">
        <v>29</v>
      </c>
      <c r="J1011" s="10"/>
      <c r="K1011" s="39"/>
      <c r="L1011" s="36">
        <v>45245</v>
      </c>
      <c r="M1011" s="36">
        <v>45245</v>
      </c>
      <c r="N1011" s="37">
        <v>308580</v>
      </c>
      <c r="O1011" s="37">
        <v>0</v>
      </c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spans="1:26" ht="14.25" customHeight="1">
      <c r="A1012" s="9">
        <v>1127</v>
      </c>
      <c r="B1012" s="10"/>
      <c r="C1012" s="21">
        <v>232038</v>
      </c>
      <c r="D1012" s="22" t="s">
        <v>517</v>
      </c>
      <c r="E1012" s="23">
        <v>45199</v>
      </c>
      <c r="F1012" s="24">
        <v>45170</v>
      </c>
      <c r="G1012" s="44">
        <v>462870</v>
      </c>
      <c r="H1012" s="26" t="s">
        <v>2844</v>
      </c>
      <c r="I1012" s="34" t="s">
        <v>29</v>
      </c>
      <c r="J1012" s="10"/>
      <c r="K1012" s="39"/>
      <c r="L1012" s="36">
        <v>45245</v>
      </c>
      <c r="M1012" s="36">
        <v>45245</v>
      </c>
      <c r="N1012" s="37">
        <v>462870</v>
      </c>
      <c r="O1012" s="37">
        <v>0</v>
      </c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spans="1:26" ht="14.25" customHeight="1">
      <c r="A1013" s="9">
        <v>1126</v>
      </c>
      <c r="B1013" s="10"/>
      <c r="C1013" s="21">
        <v>232039</v>
      </c>
      <c r="D1013" s="22" t="s">
        <v>517</v>
      </c>
      <c r="E1013" s="23">
        <v>45199</v>
      </c>
      <c r="F1013" s="24">
        <v>45170</v>
      </c>
      <c r="G1013" s="44">
        <v>771450</v>
      </c>
      <c r="H1013" s="26" t="s">
        <v>2845</v>
      </c>
      <c r="I1013" s="34" t="s">
        <v>29</v>
      </c>
      <c r="J1013" s="10"/>
      <c r="K1013" s="39"/>
      <c r="L1013" s="36">
        <v>45245</v>
      </c>
      <c r="M1013" s="36">
        <v>45245</v>
      </c>
      <c r="N1013" s="37">
        <v>771450</v>
      </c>
      <c r="O1013" s="37">
        <v>0</v>
      </c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 spans="1:26" ht="14.25" customHeight="1">
      <c r="A1014" s="9">
        <v>1128</v>
      </c>
      <c r="B1014" s="10"/>
      <c r="C1014" s="21">
        <v>232041</v>
      </c>
      <c r="D1014" s="22" t="s">
        <v>517</v>
      </c>
      <c r="E1014" s="23">
        <v>45199</v>
      </c>
      <c r="F1014" s="24">
        <v>45170</v>
      </c>
      <c r="G1014" s="44">
        <v>373499</v>
      </c>
      <c r="H1014" s="26" t="s">
        <v>2846</v>
      </c>
      <c r="I1014" s="34" t="s">
        <v>29</v>
      </c>
      <c r="J1014" s="10"/>
      <c r="K1014" s="39"/>
      <c r="L1014" s="36">
        <v>45245</v>
      </c>
      <c r="M1014" s="36">
        <v>45245</v>
      </c>
      <c r="N1014" s="37">
        <v>373499</v>
      </c>
      <c r="O1014" s="37">
        <v>0</v>
      </c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 spans="1:26" ht="14.25" customHeight="1">
      <c r="A1015" s="9">
        <v>1130</v>
      </c>
      <c r="B1015" s="10"/>
      <c r="C1015" s="21">
        <v>232067</v>
      </c>
      <c r="D1015" s="22" t="s">
        <v>517</v>
      </c>
      <c r="E1015" s="23">
        <v>45206</v>
      </c>
      <c r="F1015" s="24">
        <v>45200</v>
      </c>
      <c r="G1015" s="44">
        <v>1065600</v>
      </c>
      <c r="H1015" s="26" t="s">
        <v>2847</v>
      </c>
      <c r="I1015" s="34" t="s">
        <v>29</v>
      </c>
      <c r="J1015" s="10"/>
      <c r="K1015" s="39"/>
      <c r="L1015" s="36">
        <v>45271</v>
      </c>
      <c r="M1015" s="36">
        <v>45271</v>
      </c>
      <c r="N1015" s="37">
        <v>1065600</v>
      </c>
      <c r="O1015" s="37">
        <v>0</v>
      </c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 spans="1:26" ht="14.25" customHeight="1">
      <c r="A1016" s="9">
        <v>1129</v>
      </c>
      <c r="B1016" s="10"/>
      <c r="C1016" s="21">
        <v>232068</v>
      </c>
      <c r="D1016" s="22" t="s">
        <v>517</v>
      </c>
      <c r="E1016" s="23">
        <v>45206</v>
      </c>
      <c r="F1016" s="24">
        <v>45200</v>
      </c>
      <c r="G1016" s="44">
        <v>4604058</v>
      </c>
      <c r="H1016" s="26" t="s">
        <v>2848</v>
      </c>
      <c r="I1016" s="34" t="s">
        <v>29</v>
      </c>
      <c r="J1016" s="52">
        <v>9880154</v>
      </c>
      <c r="K1016" s="39">
        <v>45271</v>
      </c>
      <c r="L1016" s="36">
        <v>45271</v>
      </c>
      <c r="M1016" s="36">
        <v>45271</v>
      </c>
      <c r="N1016" s="37">
        <v>4604058</v>
      </c>
      <c r="O1016" s="37">
        <v>0</v>
      </c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 spans="1:26" ht="14.25" customHeight="1">
      <c r="A1017" s="9">
        <v>1131</v>
      </c>
      <c r="B1017" s="10"/>
      <c r="C1017" s="21">
        <v>232074</v>
      </c>
      <c r="D1017" s="22" t="s">
        <v>517</v>
      </c>
      <c r="E1017" s="23">
        <v>45208</v>
      </c>
      <c r="F1017" s="24">
        <v>45200</v>
      </c>
      <c r="G1017" s="44">
        <v>1165500</v>
      </c>
      <c r="H1017" s="26" t="s">
        <v>2849</v>
      </c>
      <c r="I1017" s="34" t="s">
        <v>29</v>
      </c>
      <c r="J1017" s="10"/>
      <c r="K1017" s="39"/>
      <c r="L1017" s="36">
        <v>45271</v>
      </c>
      <c r="M1017" s="36">
        <v>45271</v>
      </c>
      <c r="N1017" s="37">
        <v>1165500</v>
      </c>
      <c r="O1017" s="37">
        <v>0</v>
      </c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 spans="1:26" ht="14.25" customHeight="1">
      <c r="A1018" s="9">
        <v>1133</v>
      </c>
      <c r="B1018" s="10"/>
      <c r="C1018" s="21">
        <v>232072</v>
      </c>
      <c r="D1018" s="22" t="s">
        <v>517</v>
      </c>
      <c r="E1018" s="23">
        <v>45209</v>
      </c>
      <c r="F1018" s="24">
        <v>45200</v>
      </c>
      <c r="G1018" s="44">
        <v>5260989</v>
      </c>
      <c r="H1018" s="26" t="s">
        <v>2850</v>
      </c>
      <c r="I1018" s="34" t="s">
        <v>29</v>
      </c>
      <c r="J1018" s="10"/>
      <c r="K1018" s="39"/>
      <c r="L1018" s="36">
        <v>45245</v>
      </c>
      <c r="M1018" s="36">
        <v>45245</v>
      </c>
      <c r="N1018" s="37">
        <v>5260989</v>
      </c>
      <c r="O1018" s="37">
        <v>0</v>
      </c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 spans="1:26" ht="14.25" customHeight="1">
      <c r="A1019" s="9">
        <v>1132</v>
      </c>
      <c r="B1019" s="10"/>
      <c r="C1019" s="21">
        <v>232110</v>
      </c>
      <c r="D1019" s="22" t="s">
        <v>517</v>
      </c>
      <c r="E1019" s="23">
        <v>45209</v>
      </c>
      <c r="F1019" s="24">
        <v>45200</v>
      </c>
      <c r="G1019" s="44">
        <v>3044996</v>
      </c>
      <c r="H1019" s="26" t="s">
        <v>2851</v>
      </c>
      <c r="I1019" s="34" t="s">
        <v>29</v>
      </c>
      <c r="J1019" s="10"/>
      <c r="K1019" s="39"/>
      <c r="L1019" s="36">
        <v>45271</v>
      </c>
      <c r="M1019" s="36">
        <v>45271</v>
      </c>
      <c r="N1019" s="37">
        <v>3044996</v>
      </c>
      <c r="O1019" s="37">
        <v>0</v>
      </c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 spans="1:26" ht="14.25" customHeight="1">
      <c r="A1020" s="9">
        <v>1134</v>
      </c>
      <c r="B1020" s="10"/>
      <c r="C1020" s="21">
        <v>232108</v>
      </c>
      <c r="D1020" s="22" t="s">
        <v>517</v>
      </c>
      <c r="E1020" s="23">
        <v>45212</v>
      </c>
      <c r="F1020" s="24">
        <v>45200</v>
      </c>
      <c r="G1020" s="44">
        <v>1434675</v>
      </c>
      <c r="H1020" s="26" t="s">
        <v>2852</v>
      </c>
      <c r="I1020" s="34" t="s">
        <v>29</v>
      </c>
      <c r="J1020" s="10"/>
      <c r="K1020" s="39"/>
      <c r="L1020" s="36">
        <v>45245</v>
      </c>
      <c r="M1020" s="36">
        <v>45245</v>
      </c>
      <c r="N1020" s="37">
        <v>1434675</v>
      </c>
      <c r="O1020" s="37">
        <v>0</v>
      </c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 spans="1:26" ht="14.25" customHeight="1">
      <c r="A1021" s="9">
        <v>1135</v>
      </c>
      <c r="B1021" s="10"/>
      <c r="C1021" s="21">
        <v>232107</v>
      </c>
      <c r="D1021" s="22" t="s">
        <v>517</v>
      </c>
      <c r="E1021" s="23">
        <v>45216</v>
      </c>
      <c r="F1021" s="24">
        <v>45200</v>
      </c>
      <c r="G1021" s="44">
        <v>1498500</v>
      </c>
      <c r="H1021" s="26" t="s">
        <v>2853</v>
      </c>
      <c r="I1021" s="34" t="s">
        <v>29</v>
      </c>
      <c r="J1021" s="10"/>
      <c r="K1021" s="39"/>
      <c r="L1021" s="36">
        <v>45245</v>
      </c>
      <c r="M1021" s="36">
        <v>45245</v>
      </c>
      <c r="N1021" s="37">
        <v>1498500</v>
      </c>
      <c r="O1021" s="37">
        <v>0</v>
      </c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 spans="1:26" ht="14.25" customHeight="1">
      <c r="A1022" s="9">
        <v>1136</v>
      </c>
      <c r="B1022" s="10"/>
      <c r="C1022" s="21">
        <v>232153</v>
      </c>
      <c r="D1022" s="22" t="s">
        <v>517</v>
      </c>
      <c r="E1022" s="23">
        <v>45219</v>
      </c>
      <c r="F1022" s="24">
        <v>45200</v>
      </c>
      <c r="G1022" s="44">
        <v>128283</v>
      </c>
      <c r="H1022" s="26" t="s">
        <v>2854</v>
      </c>
      <c r="I1022" s="34" t="s">
        <v>29</v>
      </c>
      <c r="J1022" s="52">
        <v>18914997</v>
      </c>
      <c r="K1022" s="39">
        <v>45260</v>
      </c>
      <c r="L1022" s="36">
        <v>45260</v>
      </c>
      <c r="M1022" s="36">
        <v>45260</v>
      </c>
      <c r="N1022" s="37">
        <v>128283</v>
      </c>
      <c r="O1022" s="37">
        <v>0</v>
      </c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 spans="1:26" ht="14.25" customHeight="1">
      <c r="A1023" s="9">
        <v>1137</v>
      </c>
      <c r="B1023" s="10"/>
      <c r="C1023" s="21">
        <v>232152</v>
      </c>
      <c r="D1023" s="22" t="s">
        <v>517</v>
      </c>
      <c r="E1023" s="23">
        <v>45220</v>
      </c>
      <c r="F1023" s="24">
        <v>45200</v>
      </c>
      <c r="G1023" s="44">
        <v>17685963</v>
      </c>
      <c r="H1023" s="26" t="s">
        <v>2855</v>
      </c>
      <c r="I1023" s="34" t="s">
        <v>29</v>
      </c>
      <c r="J1023" s="10"/>
      <c r="K1023" s="39"/>
      <c r="L1023" s="36">
        <v>45260</v>
      </c>
      <c r="M1023" s="36">
        <v>45260</v>
      </c>
      <c r="N1023" s="37">
        <v>17685963</v>
      </c>
      <c r="O1023" s="37">
        <v>0</v>
      </c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 spans="1:26" ht="14.25" customHeight="1">
      <c r="A1024" s="9">
        <v>1138</v>
      </c>
      <c r="B1024" s="10"/>
      <c r="C1024" s="21">
        <v>232174</v>
      </c>
      <c r="D1024" s="22" t="s">
        <v>517</v>
      </c>
      <c r="E1024" s="23">
        <v>45225</v>
      </c>
      <c r="F1024" s="24">
        <v>45200</v>
      </c>
      <c r="G1024" s="44">
        <v>477708</v>
      </c>
      <c r="H1024" s="26" t="s">
        <v>2856</v>
      </c>
      <c r="I1024" s="34" t="s">
        <v>29</v>
      </c>
      <c r="J1024" s="10"/>
      <c r="K1024" s="39"/>
      <c r="L1024" s="36">
        <v>45260</v>
      </c>
      <c r="M1024" s="36">
        <v>45260</v>
      </c>
      <c r="N1024" s="37">
        <v>477708</v>
      </c>
      <c r="O1024" s="37">
        <v>0</v>
      </c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 spans="1:26" ht="14.25" customHeight="1">
      <c r="A1025" s="9">
        <v>1139</v>
      </c>
      <c r="B1025" s="10"/>
      <c r="C1025" s="21">
        <v>232185</v>
      </c>
      <c r="D1025" s="22" t="s">
        <v>517</v>
      </c>
      <c r="E1025" s="23">
        <v>45226</v>
      </c>
      <c r="F1025" s="24">
        <v>45200</v>
      </c>
      <c r="G1025" s="44">
        <v>186480</v>
      </c>
      <c r="H1025" s="26" t="s">
        <v>2857</v>
      </c>
      <c r="I1025" s="34" t="s">
        <v>29</v>
      </c>
      <c r="J1025" s="10"/>
      <c r="K1025" s="39"/>
      <c r="L1025" s="36">
        <v>45260</v>
      </c>
      <c r="M1025" s="36">
        <v>45260</v>
      </c>
      <c r="N1025" s="37">
        <v>186480</v>
      </c>
      <c r="O1025" s="37">
        <v>0</v>
      </c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 spans="1:26" ht="14.25" customHeight="1">
      <c r="A1026" s="9">
        <v>1140</v>
      </c>
      <c r="B1026" s="10"/>
      <c r="C1026" s="21">
        <v>232239</v>
      </c>
      <c r="D1026" s="22" t="s">
        <v>517</v>
      </c>
      <c r="E1026" s="23">
        <v>45230</v>
      </c>
      <c r="F1026" s="24">
        <v>45200</v>
      </c>
      <c r="G1026" s="44">
        <v>436563</v>
      </c>
      <c r="H1026" s="26" t="s">
        <v>2858</v>
      </c>
      <c r="I1026" s="34" t="s">
        <v>29</v>
      </c>
      <c r="J1026" s="10"/>
      <c r="K1026" s="39"/>
      <c r="L1026" s="36">
        <v>45260</v>
      </c>
      <c r="M1026" s="36">
        <v>45260</v>
      </c>
      <c r="N1026" s="37">
        <v>436563</v>
      </c>
      <c r="O1026" s="37">
        <v>0</v>
      </c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 spans="1:26" ht="14.25" customHeight="1">
      <c r="A1027" s="9">
        <v>1141</v>
      </c>
      <c r="B1027" s="10"/>
      <c r="C1027" s="21">
        <v>232262</v>
      </c>
      <c r="D1027" s="22" t="s">
        <v>517</v>
      </c>
      <c r="E1027" s="23">
        <v>45239</v>
      </c>
      <c r="F1027" s="24">
        <v>45231</v>
      </c>
      <c r="G1027" s="44">
        <v>5988450</v>
      </c>
      <c r="H1027" s="26" t="s">
        <v>2859</v>
      </c>
      <c r="I1027" s="34" t="s">
        <v>29</v>
      </c>
      <c r="J1027" s="52">
        <v>27261345</v>
      </c>
      <c r="K1027" s="39">
        <v>45288</v>
      </c>
      <c r="L1027" s="36">
        <v>45288</v>
      </c>
      <c r="M1027" s="36">
        <v>45288</v>
      </c>
      <c r="N1027" s="37">
        <v>5988450</v>
      </c>
      <c r="O1027" s="37">
        <v>0</v>
      </c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  <row r="1028" spans="1:26" ht="14.25" customHeight="1">
      <c r="A1028" s="9">
        <v>1142</v>
      </c>
      <c r="B1028" s="10"/>
      <c r="C1028" s="21">
        <v>232260</v>
      </c>
      <c r="D1028" s="22" t="s">
        <v>517</v>
      </c>
      <c r="E1028" s="23">
        <v>45241</v>
      </c>
      <c r="F1028" s="24">
        <v>45231</v>
      </c>
      <c r="G1028" s="44">
        <v>3836715</v>
      </c>
      <c r="H1028" s="26" t="s">
        <v>2860</v>
      </c>
      <c r="I1028" s="34" t="s">
        <v>29</v>
      </c>
      <c r="J1028" s="10"/>
      <c r="K1028" s="39"/>
      <c r="L1028" s="36">
        <v>45288</v>
      </c>
      <c r="M1028" s="36">
        <v>45288</v>
      </c>
      <c r="N1028" s="37">
        <v>3836715</v>
      </c>
      <c r="O1028" s="37">
        <v>0</v>
      </c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</row>
    <row r="1029" spans="1:26" ht="14.25" customHeight="1">
      <c r="A1029" s="9">
        <v>1144</v>
      </c>
      <c r="B1029" s="10"/>
      <c r="C1029" s="21">
        <v>232306</v>
      </c>
      <c r="D1029" s="22" t="s">
        <v>517</v>
      </c>
      <c r="E1029" s="23">
        <v>45243</v>
      </c>
      <c r="F1029" s="24">
        <v>45231</v>
      </c>
      <c r="G1029" s="44">
        <v>888000</v>
      </c>
      <c r="H1029" s="26" t="s">
        <v>2861</v>
      </c>
      <c r="I1029" s="34" t="s">
        <v>29</v>
      </c>
      <c r="J1029" s="10"/>
      <c r="K1029" s="39"/>
      <c r="L1029" s="36">
        <v>45288</v>
      </c>
      <c r="M1029" s="36">
        <v>45288</v>
      </c>
      <c r="N1029" s="37">
        <v>888000</v>
      </c>
      <c r="O1029" s="37">
        <v>0</v>
      </c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</row>
    <row r="1030" spans="1:26" ht="14.25" customHeight="1">
      <c r="A1030" s="9">
        <v>1143</v>
      </c>
      <c r="B1030" s="10"/>
      <c r="C1030" s="21">
        <v>232358</v>
      </c>
      <c r="D1030" s="22" t="s">
        <v>517</v>
      </c>
      <c r="E1030" s="23">
        <v>45243</v>
      </c>
      <c r="F1030" s="24">
        <v>45231</v>
      </c>
      <c r="G1030" s="44">
        <v>4640988</v>
      </c>
      <c r="H1030" s="26" t="s">
        <v>2862</v>
      </c>
      <c r="I1030" s="34" t="s">
        <v>29</v>
      </c>
      <c r="J1030" s="10"/>
      <c r="K1030" s="39"/>
      <c r="L1030" s="36">
        <v>45288</v>
      </c>
      <c r="M1030" s="36">
        <v>45288</v>
      </c>
      <c r="N1030" s="37">
        <v>4640988</v>
      </c>
      <c r="O1030" s="37">
        <v>0</v>
      </c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</row>
    <row r="1031" spans="1:26" ht="14.25" customHeight="1">
      <c r="A1031" s="9">
        <v>1145</v>
      </c>
      <c r="B1031" s="10"/>
      <c r="C1031" s="21">
        <v>232355</v>
      </c>
      <c r="D1031" s="22" t="s">
        <v>517</v>
      </c>
      <c r="E1031" s="23">
        <v>45246</v>
      </c>
      <c r="F1031" s="24">
        <v>45231</v>
      </c>
      <c r="G1031" s="44">
        <v>11074692</v>
      </c>
      <c r="H1031" s="26" t="s">
        <v>2863</v>
      </c>
      <c r="I1031" s="34" t="s">
        <v>29</v>
      </c>
      <c r="J1031" s="10"/>
      <c r="K1031" s="39"/>
      <c r="L1031" s="36">
        <v>45288</v>
      </c>
      <c r="M1031" s="36">
        <v>45288</v>
      </c>
      <c r="N1031" s="37">
        <v>11074692</v>
      </c>
      <c r="O1031" s="37">
        <v>0</v>
      </c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</row>
    <row r="1032" spans="1:26" ht="14.25" customHeight="1">
      <c r="A1032" s="9">
        <v>1146</v>
      </c>
      <c r="B1032" s="10"/>
      <c r="C1032" s="21">
        <v>232357</v>
      </c>
      <c r="D1032" s="22" t="s">
        <v>517</v>
      </c>
      <c r="E1032" s="23">
        <v>45247</v>
      </c>
      <c r="F1032" s="24">
        <v>45231</v>
      </c>
      <c r="G1032" s="44">
        <v>832500</v>
      </c>
      <c r="H1032" s="26" t="s">
        <v>2864</v>
      </c>
      <c r="I1032" s="34" t="s">
        <v>29</v>
      </c>
      <c r="J1032" s="10"/>
      <c r="K1032" s="39"/>
      <c r="L1032" s="36">
        <v>45288</v>
      </c>
      <c r="M1032" s="36">
        <v>45288</v>
      </c>
      <c r="N1032" s="37">
        <v>832500</v>
      </c>
      <c r="O1032" s="37">
        <v>0</v>
      </c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</row>
    <row r="1033" spans="1:26" ht="14.25" customHeight="1">
      <c r="A1033" s="9">
        <v>1147</v>
      </c>
      <c r="B1033" s="10"/>
      <c r="C1033" s="9">
        <v>232359</v>
      </c>
      <c r="D1033" s="11" t="s">
        <v>517</v>
      </c>
      <c r="E1033" s="12">
        <v>45250</v>
      </c>
      <c r="F1033" s="13">
        <v>45231</v>
      </c>
      <c r="G1033" s="52">
        <v>872704</v>
      </c>
      <c r="H1033" s="10" t="s">
        <v>2865</v>
      </c>
      <c r="I1033" s="34">
        <v>40.606678703705299</v>
      </c>
      <c r="J1033" s="10"/>
      <c r="K1033" s="39"/>
      <c r="L1033" s="39"/>
      <c r="M1033" s="39"/>
      <c r="N1033" s="37">
        <v>0</v>
      </c>
      <c r="O1033" s="37">
        <v>872704</v>
      </c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</row>
    <row r="1034" spans="1:26" ht="14.25" customHeight="1">
      <c r="A1034" s="9">
        <v>1148</v>
      </c>
      <c r="B1034" s="10"/>
      <c r="C1034" s="9">
        <v>232356</v>
      </c>
      <c r="D1034" s="11" t="s">
        <v>517</v>
      </c>
      <c r="E1034" s="12">
        <v>45251</v>
      </c>
      <c r="F1034" s="13">
        <v>45231</v>
      </c>
      <c r="G1034" s="52">
        <v>932400</v>
      </c>
      <c r="H1034" s="10" t="s">
        <v>2866</v>
      </c>
      <c r="I1034" s="34">
        <v>39.606678703705299</v>
      </c>
      <c r="J1034" s="10"/>
      <c r="K1034" s="39"/>
      <c r="L1034" s="39"/>
      <c r="M1034" s="39"/>
      <c r="N1034" s="37">
        <v>0</v>
      </c>
      <c r="O1034" s="37">
        <v>932400</v>
      </c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</row>
    <row r="1035" spans="1:26" ht="14.25" customHeight="1">
      <c r="A1035" s="9">
        <v>1115</v>
      </c>
      <c r="B1035" s="10"/>
      <c r="C1035" s="21"/>
      <c r="D1035" s="22" t="s">
        <v>517</v>
      </c>
      <c r="E1035" s="23"/>
      <c r="F1035" s="24"/>
      <c r="G1035" s="44">
        <v>-1128809</v>
      </c>
      <c r="H1035" s="26" t="s">
        <v>2867</v>
      </c>
      <c r="I1035" s="34" t="s">
        <v>29</v>
      </c>
      <c r="J1035" s="10"/>
      <c r="K1035" s="39"/>
      <c r="L1035" s="36">
        <v>45240</v>
      </c>
      <c r="M1035" s="36">
        <v>45240</v>
      </c>
      <c r="N1035" s="37">
        <v>-1128809</v>
      </c>
      <c r="O1035" s="37">
        <v>0</v>
      </c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</row>
    <row r="1036" spans="1:26" ht="14.25" customHeight="1">
      <c r="A1036" s="9">
        <v>1153</v>
      </c>
      <c r="B1036" s="10"/>
      <c r="C1036" s="21">
        <v>230158</v>
      </c>
      <c r="D1036" s="22" t="s">
        <v>562</v>
      </c>
      <c r="E1036" s="23">
        <v>44950</v>
      </c>
      <c r="F1036" s="24">
        <v>44927</v>
      </c>
      <c r="G1036" s="25">
        <v>555000</v>
      </c>
      <c r="H1036" s="26" t="s">
        <v>2868</v>
      </c>
      <c r="I1036" s="34" t="s">
        <v>29</v>
      </c>
      <c r="J1036" s="25">
        <v>4167315</v>
      </c>
      <c r="K1036" s="40">
        <v>45017</v>
      </c>
      <c r="L1036" s="40">
        <v>45017</v>
      </c>
      <c r="M1036" s="40">
        <v>45017</v>
      </c>
      <c r="N1036" s="37">
        <v>555000</v>
      </c>
      <c r="O1036" s="37">
        <v>0</v>
      </c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</row>
    <row r="1037" spans="1:26" ht="14.25" customHeight="1">
      <c r="A1037" s="9">
        <v>1154</v>
      </c>
      <c r="B1037" s="10"/>
      <c r="C1037" s="21">
        <v>230232</v>
      </c>
      <c r="D1037" s="22" t="s">
        <v>562</v>
      </c>
      <c r="E1037" s="23">
        <v>44958</v>
      </c>
      <c r="F1037" s="24">
        <v>44958</v>
      </c>
      <c r="G1037" s="25">
        <v>1307580</v>
      </c>
      <c r="H1037" s="26" t="s">
        <v>2869</v>
      </c>
      <c r="I1037" s="34" t="s">
        <v>29</v>
      </c>
      <c r="J1037" s="10"/>
      <c r="K1037" s="49"/>
      <c r="L1037" s="40">
        <v>45017</v>
      </c>
      <c r="M1037" s="40">
        <v>45017</v>
      </c>
      <c r="N1037" s="37">
        <v>1307580</v>
      </c>
      <c r="O1037" s="37">
        <v>0</v>
      </c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</row>
    <row r="1038" spans="1:26" ht="14.25" customHeight="1">
      <c r="A1038" s="9">
        <v>1155</v>
      </c>
      <c r="B1038" s="10"/>
      <c r="C1038" s="21">
        <v>230255</v>
      </c>
      <c r="D1038" s="22" t="s">
        <v>562</v>
      </c>
      <c r="E1038" s="23">
        <v>44959</v>
      </c>
      <c r="F1038" s="24">
        <v>44958</v>
      </c>
      <c r="G1038" s="25">
        <v>1749735</v>
      </c>
      <c r="H1038" s="26" t="s">
        <v>2870</v>
      </c>
      <c r="I1038" s="34" t="s">
        <v>29</v>
      </c>
      <c r="J1038" s="10"/>
      <c r="K1038" s="49"/>
      <c r="L1038" s="40">
        <v>45017</v>
      </c>
      <c r="M1038" s="40">
        <v>45017</v>
      </c>
      <c r="N1038" s="37">
        <v>1749735</v>
      </c>
      <c r="O1038" s="37">
        <v>0</v>
      </c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</row>
    <row r="1039" spans="1:26" ht="14.25" customHeight="1">
      <c r="A1039" s="9">
        <v>1156</v>
      </c>
      <c r="B1039" s="10"/>
      <c r="C1039" s="21">
        <v>230256</v>
      </c>
      <c r="D1039" s="22" t="s">
        <v>562</v>
      </c>
      <c r="E1039" s="23">
        <v>44961</v>
      </c>
      <c r="F1039" s="24">
        <v>44958</v>
      </c>
      <c r="G1039" s="25">
        <v>555000</v>
      </c>
      <c r="H1039" s="26" t="s">
        <v>2871</v>
      </c>
      <c r="I1039" s="34" t="s">
        <v>29</v>
      </c>
      <c r="J1039" s="10"/>
      <c r="K1039" s="49"/>
      <c r="L1039" s="40">
        <v>45017</v>
      </c>
      <c r="M1039" s="40">
        <v>45017</v>
      </c>
      <c r="N1039" s="37">
        <v>555000</v>
      </c>
      <c r="O1039" s="37">
        <v>0</v>
      </c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</row>
    <row r="1040" spans="1:26" ht="14.25" customHeight="1">
      <c r="A1040" s="9">
        <v>1157</v>
      </c>
      <c r="B1040" s="10"/>
      <c r="C1040" s="21">
        <v>230387</v>
      </c>
      <c r="D1040" s="22" t="s">
        <v>562</v>
      </c>
      <c r="E1040" s="23">
        <v>44970</v>
      </c>
      <c r="F1040" s="24">
        <v>44958</v>
      </c>
      <c r="G1040" s="25">
        <v>3606548</v>
      </c>
      <c r="H1040" s="26" t="s">
        <v>2872</v>
      </c>
      <c r="I1040" s="34" t="s">
        <v>29</v>
      </c>
      <c r="J1040" s="25">
        <v>13943226</v>
      </c>
      <c r="K1040" s="40">
        <v>45071</v>
      </c>
      <c r="L1040" s="40">
        <v>45071</v>
      </c>
      <c r="M1040" s="40">
        <v>45072</v>
      </c>
      <c r="N1040" s="37">
        <v>3606548</v>
      </c>
      <c r="O1040" s="37">
        <v>0</v>
      </c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</row>
    <row r="1041" spans="1:26" ht="14.25" customHeight="1">
      <c r="A1041" s="9">
        <v>1158</v>
      </c>
      <c r="B1041" s="10"/>
      <c r="C1041" s="21">
        <v>230375</v>
      </c>
      <c r="D1041" s="22" t="s">
        <v>562</v>
      </c>
      <c r="E1041" s="23">
        <v>44974</v>
      </c>
      <c r="F1041" s="24">
        <v>44958</v>
      </c>
      <c r="G1041" s="25">
        <v>1374996</v>
      </c>
      <c r="H1041" s="26" t="s">
        <v>2873</v>
      </c>
      <c r="I1041" s="34" t="s">
        <v>29</v>
      </c>
      <c r="J1041" s="10"/>
      <c r="K1041" s="39"/>
      <c r="L1041" s="40">
        <v>45071</v>
      </c>
      <c r="M1041" s="40">
        <v>45072</v>
      </c>
      <c r="N1041" s="37">
        <v>1374996</v>
      </c>
      <c r="O1041" s="37">
        <v>0</v>
      </c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</row>
    <row r="1042" spans="1:26" ht="14.25" customHeight="1">
      <c r="A1042" s="9">
        <v>1159</v>
      </c>
      <c r="B1042" s="10"/>
      <c r="C1042" s="21">
        <v>230420</v>
      </c>
      <c r="D1042" s="22" t="s">
        <v>562</v>
      </c>
      <c r="E1042" s="23">
        <v>44984</v>
      </c>
      <c r="F1042" s="24">
        <v>44958</v>
      </c>
      <c r="G1042" s="25">
        <v>5823490</v>
      </c>
      <c r="H1042" s="26" t="s">
        <v>2874</v>
      </c>
      <c r="I1042" s="34" t="s">
        <v>29</v>
      </c>
      <c r="J1042" s="10"/>
      <c r="K1042" s="39"/>
      <c r="L1042" s="40">
        <v>45071</v>
      </c>
      <c r="M1042" s="40">
        <v>45072</v>
      </c>
      <c r="N1042" s="37">
        <v>5823490</v>
      </c>
      <c r="O1042" s="37">
        <v>0</v>
      </c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</row>
    <row r="1043" spans="1:26" ht="14.25" customHeight="1">
      <c r="A1043" s="9">
        <v>1160</v>
      </c>
      <c r="B1043" s="10"/>
      <c r="C1043" s="21">
        <v>230499</v>
      </c>
      <c r="D1043" s="22" t="s">
        <v>562</v>
      </c>
      <c r="E1043" s="23">
        <v>44988</v>
      </c>
      <c r="F1043" s="24">
        <v>44986</v>
      </c>
      <c r="G1043" s="25">
        <v>3138192</v>
      </c>
      <c r="H1043" s="26" t="s">
        <v>2875</v>
      </c>
      <c r="I1043" s="34" t="s">
        <v>29</v>
      </c>
      <c r="J1043" s="10"/>
      <c r="K1043" s="39"/>
      <c r="L1043" s="40">
        <v>45071</v>
      </c>
      <c r="M1043" s="40">
        <v>45072</v>
      </c>
      <c r="N1043" s="37">
        <v>3138192</v>
      </c>
      <c r="O1043" s="37">
        <v>0</v>
      </c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</row>
    <row r="1044" spans="1:26" ht="14.25" customHeight="1">
      <c r="A1044" s="9">
        <v>1161</v>
      </c>
      <c r="B1044" s="10"/>
      <c r="C1044" s="21">
        <v>230641</v>
      </c>
      <c r="D1044" s="22" t="s">
        <v>562</v>
      </c>
      <c r="E1044" s="23">
        <v>45012</v>
      </c>
      <c r="F1044" s="24">
        <v>44986</v>
      </c>
      <c r="G1044" s="25">
        <v>2279984</v>
      </c>
      <c r="H1044" s="26" t="s">
        <v>2876</v>
      </c>
      <c r="I1044" s="233" t="s">
        <v>29</v>
      </c>
      <c r="J1044" s="25">
        <v>6065084</v>
      </c>
      <c r="K1044" s="40">
        <v>45092</v>
      </c>
      <c r="L1044" s="40">
        <v>45093</v>
      </c>
      <c r="M1044" s="40">
        <v>45093</v>
      </c>
      <c r="N1044" s="37">
        <v>2279984</v>
      </c>
      <c r="O1044" s="37">
        <v>0</v>
      </c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</row>
    <row r="1045" spans="1:26" ht="14.25" customHeight="1">
      <c r="A1045" s="9">
        <v>1162</v>
      </c>
      <c r="B1045" s="10"/>
      <c r="C1045" s="21">
        <v>230773</v>
      </c>
      <c r="D1045" s="22" t="s">
        <v>562</v>
      </c>
      <c r="E1045" s="23">
        <v>45022</v>
      </c>
      <c r="F1045" s="24">
        <v>45017</v>
      </c>
      <c r="G1045" s="25">
        <v>3274500</v>
      </c>
      <c r="H1045" s="26" t="s">
        <v>2877</v>
      </c>
      <c r="I1045" s="233" t="s">
        <v>29</v>
      </c>
      <c r="J1045" s="11"/>
      <c r="K1045" s="39"/>
      <c r="L1045" s="40">
        <v>45093</v>
      </c>
      <c r="M1045" s="40">
        <v>45093</v>
      </c>
      <c r="N1045" s="37">
        <v>3274500</v>
      </c>
      <c r="O1045" s="37">
        <v>0</v>
      </c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</row>
    <row r="1046" spans="1:26" ht="14.25" customHeight="1">
      <c r="A1046" s="9">
        <v>1163</v>
      </c>
      <c r="B1046" s="10"/>
      <c r="C1046" s="21">
        <v>230916</v>
      </c>
      <c r="D1046" s="22" t="s">
        <v>562</v>
      </c>
      <c r="E1046" s="23">
        <v>45051</v>
      </c>
      <c r="F1046" s="24">
        <v>45047</v>
      </c>
      <c r="G1046" s="25">
        <v>510600</v>
      </c>
      <c r="H1046" s="26" t="s">
        <v>2878</v>
      </c>
      <c r="I1046" s="233" t="s">
        <v>29</v>
      </c>
      <c r="J1046" s="11"/>
      <c r="K1046" s="39"/>
      <c r="L1046" s="40">
        <v>45093</v>
      </c>
      <c r="M1046" s="40">
        <v>45093</v>
      </c>
      <c r="N1046" s="37">
        <v>510600</v>
      </c>
      <c r="O1046" s="37">
        <v>0</v>
      </c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</row>
    <row r="1047" spans="1:26" ht="14.25" customHeight="1">
      <c r="A1047" s="9">
        <v>1164</v>
      </c>
      <c r="B1047" s="10"/>
      <c r="C1047" s="21">
        <v>230932</v>
      </c>
      <c r="D1047" s="22" t="s">
        <v>562</v>
      </c>
      <c r="E1047" s="23">
        <v>45055</v>
      </c>
      <c r="F1047" s="24">
        <v>45047</v>
      </c>
      <c r="G1047" s="25">
        <v>1798200</v>
      </c>
      <c r="H1047" s="26" t="s">
        <v>2879</v>
      </c>
      <c r="I1047" s="233" t="s">
        <v>29</v>
      </c>
      <c r="J1047" s="35">
        <v>7202948</v>
      </c>
      <c r="K1047" s="40">
        <v>45102</v>
      </c>
      <c r="L1047" s="40">
        <v>45105</v>
      </c>
      <c r="M1047" s="40">
        <v>45106</v>
      </c>
      <c r="N1047" s="37">
        <v>1798200</v>
      </c>
      <c r="O1047" s="37">
        <v>0</v>
      </c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</row>
    <row r="1048" spans="1:26" ht="14.25" customHeight="1">
      <c r="A1048" s="9">
        <v>1165</v>
      </c>
      <c r="B1048" s="10"/>
      <c r="C1048" s="21">
        <v>230957</v>
      </c>
      <c r="D1048" s="22" t="s">
        <v>562</v>
      </c>
      <c r="E1048" s="23">
        <v>45058</v>
      </c>
      <c r="F1048" s="24">
        <v>45047</v>
      </c>
      <c r="G1048" s="25">
        <v>5404748</v>
      </c>
      <c r="H1048" s="26" t="s">
        <v>2880</v>
      </c>
      <c r="I1048" s="233" t="s">
        <v>29</v>
      </c>
      <c r="J1048" s="11"/>
      <c r="K1048" s="39"/>
      <c r="L1048" s="40">
        <v>45105</v>
      </c>
      <c r="M1048" s="40">
        <v>45106</v>
      </c>
      <c r="N1048" s="37">
        <v>5404748</v>
      </c>
      <c r="O1048" s="37">
        <v>0</v>
      </c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</row>
    <row r="1049" spans="1:26" ht="14.25" customHeight="1">
      <c r="A1049" s="9">
        <v>1166</v>
      </c>
      <c r="B1049" s="10"/>
      <c r="C1049" s="21">
        <v>231059</v>
      </c>
      <c r="D1049" s="22" t="s">
        <v>562</v>
      </c>
      <c r="E1049" s="23">
        <v>45075</v>
      </c>
      <c r="F1049" s="24">
        <v>45047</v>
      </c>
      <c r="G1049" s="25">
        <v>1749735</v>
      </c>
      <c r="H1049" s="26" t="s">
        <v>2881</v>
      </c>
      <c r="I1049" s="233" t="s">
        <v>29</v>
      </c>
      <c r="J1049" s="31">
        <v>11474735</v>
      </c>
      <c r="K1049" s="36">
        <v>45204</v>
      </c>
      <c r="L1049" s="36">
        <v>45204</v>
      </c>
      <c r="M1049" s="36">
        <v>45205</v>
      </c>
      <c r="N1049" s="37">
        <v>1749735</v>
      </c>
      <c r="O1049" s="37">
        <v>0</v>
      </c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</row>
    <row r="1050" spans="1:26" ht="14.25" customHeight="1">
      <c r="A1050" s="9">
        <v>1167</v>
      </c>
      <c r="B1050" s="10"/>
      <c r="C1050" s="21">
        <v>231098</v>
      </c>
      <c r="D1050" s="22" t="s">
        <v>562</v>
      </c>
      <c r="E1050" s="23">
        <v>45080</v>
      </c>
      <c r="F1050" s="24">
        <v>45078</v>
      </c>
      <c r="G1050" s="25">
        <v>1942500</v>
      </c>
      <c r="H1050" s="25" t="s">
        <v>2882</v>
      </c>
      <c r="I1050" s="233" t="s">
        <v>29</v>
      </c>
      <c r="J1050" s="11"/>
      <c r="K1050" s="36">
        <v>45204</v>
      </c>
      <c r="L1050" s="36">
        <v>45204</v>
      </c>
      <c r="M1050" s="36">
        <v>45205</v>
      </c>
      <c r="N1050" s="37">
        <v>1942500</v>
      </c>
      <c r="O1050" s="37">
        <v>0</v>
      </c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</row>
    <row r="1051" spans="1:26" ht="14.25" customHeight="1">
      <c r="A1051" s="9">
        <v>1168</v>
      </c>
      <c r="B1051" s="10"/>
      <c r="C1051" s="21">
        <v>231187</v>
      </c>
      <c r="D1051" s="22" t="s">
        <v>562</v>
      </c>
      <c r="E1051" s="23">
        <v>45085</v>
      </c>
      <c r="F1051" s="24">
        <v>45078</v>
      </c>
      <c r="G1051" s="25">
        <v>1665000</v>
      </c>
      <c r="H1051" s="25" t="s">
        <v>2883</v>
      </c>
      <c r="I1051" s="233" t="s">
        <v>29</v>
      </c>
      <c r="J1051" s="11"/>
      <c r="K1051" s="36">
        <v>45204</v>
      </c>
      <c r="L1051" s="36">
        <v>45204</v>
      </c>
      <c r="M1051" s="36">
        <v>45205</v>
      </c>
      <c r="N1051" s="37">
        <v>1665000</v>
      </c>
      <c r="O1051" s="37">
        <v>0</v>
      </c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</row>
    <row r="1052" spans="1:26" ht="14.25" customHeight="1">
      <c r="A1052" s="9">
        <v>1169</v>
      </c>
      <c r="B1052" s="10"/>
      <c r="C1052" s="21">
        <v>231153</v>
      </c>
      <c r="D1052" s="22" t="s">
        <v>562</v>
      </c>
      <c r="E1052" s="23">
        <v>45086</v>
      </c>
      <c r="F1052" s="24">
        <v>45078</v>
      </c>
      <c r="G1052" s="25">
        <v>1798200</v>
      </c>
      <c r="H1052" s="25" t="s">
        <v>2884</v>
      </c>
      <c r="I1052" s="233" t="s">
        <v>29</v>
      </c>
      <c r="J1052" s="11"/>
      <c r="K1052" s="36">
        <v>45204</v>
      </c>
      <c r="L1052" s="36">
        <v>45204</v>
      </c>
      <c r="M1052" s="36">
        <v>45205</v>
      </c>
      <c r="N1052" s="37">
        <v>1798200</v>
      </c>
      <c r="O1052" s="37">
        <v>0</v>
      </c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</row>
    <row r="1053" spans="1:26" ht="14.25" customHeight="1">
      <c r="A1053" s="9">
        <v>1170</v>
      </c>
      <c r="B1053" s="10"/>
      <c r="C1053" s="21">
        <v>231246</v>
      </c>
      <c r="D1053" s="22" t="s">
        <v>562</v>
      </c>
      <c r="E1053" s="23">
        <v>45101</v>
      </c>
      <c r="F1053" s="24">
        <v>45078</v>
      </c>
      <c r="G1053" s="25">
        <v>1665000</v>
      </c>
      <c r="H1053" s="25" t="s">
        <v>2885</v>
      </c>
      <c r="I1053" s="233" t="s">
        <v>29</v>
      </c>
      <c r="J1053" s="11"/>
      <c r="K1053" s="36">
        <v>45204</v>
      </c>
      <c r="L1053" s="36">
        <v>45204</v>
      </c>
      <c r="M1053" s="36">
        <v>45205</v>
      </c>
      <c r="N1053" s="37">
        <v>1665000</v>
      </c>
      <c r="O1053" s="37">
        <v>0</v>
      </c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</row>
    <row r="1054" spans="1:26" ht="14.25" customHeight="1">
      <c r="A1054" s="9">
        <v>1171</v>
      </c>
      <c r="B1054" s="10"/>
      <c r="C1054" s="21">
        <v>231373</v>
      </c>
      <c r="D1054" s="22" t="s">
        <v>562</v>
      </c>
      <c r="E1054" s="23">
        <v>45120</v>
      </c>
      <c r="F1054" s="24">
        <v>45108</v>
      </c>
      <c r="G1054" s="25">
        <v>413668</v>
      </c>
      <c r="H1054" s="25" t="s">
        <v>2886</v>
      </c>
      <c r="I1054" s="233" t="s">
        <v>29</v>
      </c>
      <c r="J1054" s="11"/>
      <c r="K1054" s="36">
        <v>45204</v>
      </c>
      <c r="L1054" s="36">
        <v>45204</v>
      </c>
      <c r="M1054" s="36">
        <v>45205</v>
      </c>
      <c r="N1054" s="37">
        <v>413668</v>
      </c>
      <c r="O1054" s="37">
        <v>0</v>
      </c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</row>
    <row r="1055" spans="1:26" ht="14.25" customHeight="1">
      <c r="A1055" s="9">
        <v>1172</v>
      </c>
      <c r="B1055" s="10"/>
      <c r="C1055" s="21">
        <v>231476</v>
      </c>
      <c r="D1055" s="22" t="s">
        <v>562</v>
      </c>
      <c r="E1055" s="23">
        <v>45138</v>
      </c>
      <c r="F1055" s="24">
        <v>45108</v>
      </c>
      <c r="G1055" s="25">
        <v>763673</v>
      </c>
      <c r="H1055" s="25" t="s">
        <v>2887</v>
      </c>
      <c r="I1055" s="233" t="s">
        <v>29</v>
      </c>
      <c r="J1055" s="11"/>
      <c r="K1055" s="36">
        <v>45204</v>
      </c>
      <c r="L1055" s="36">
        <v>45204</v>
      </c>
      <c r="M1055" s="36">
        <v>45205</v>
      </c>
      <c r="N1055" s="37">
        <v>763673</v>
      </c>
      <c r="O1055" s="37">
        <v>0</v>
      </c>
      <c r="P1055" s="41"/>
      <c r="Q1055" s="41"/>
      <c r="R1055" s="41"/>
      <c r="S1055" s="41"/>
      <c r="T1055" s="41"/>
      <c r="U1055" s="41"/>
      <c r="V1055" s="41"/>
      <c r="W1055" s="41"/>
      <c r="X1055" s="41"/>
      <c r="Y1055" s="41"/>
      <c r="Z1055" s="41"/>
    </row>
    <row r="1056" spans="1:26" ht="14.25" customHeight="1">
      <c r="A1056" s="9">
        <v>1173</v>
      </c>
      <c r="B1056" s="10"/>
      <c r="C1056" s="21">
        <v>231574</v>
      </c>
      <c r="D1056" s="22" t="s">
        <v>562</v>
      </c>
      <c r="E1056" s="23">
        <v>45145</v>
      </c>
      <c r="F1056" s="24">
        <v>45139</v>
      </c>
      <c r="G1056" s="25">
        <v>1476959</v>
      </c>
      <c r="H1056" s="25" t="s">
        <v>2888</v>
      </c>
      <c r="I1056" s="233" t="s">
        <v>29</v>
      </c>
      <c r="J1056" s="11"/>
      <c r="K1056" s="36">
        <v>45204</v>
      </c>
      <c r="L1056" s="36">
        <v>45204</v>
      </c>
      <c r="M1056" s="36">
        <v>45205</v>
      </c>
      <c r="N1056" s="37">
        <v>1476959</v>
      </c>
      <c r="O1056" s="37">
        <v>0</v>
      </c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</row>
    <row r="1057" spans="1:26" ht="14.25" customHeight="1">
      <c r="A1057" s="9">
        <v>1174</v>
      </c>
      <c r="B1057" s="10"/>
      <c r="C1057" s="21">
        <v>231667</v>
      </c>
      <c r="D1057" s="22" t="s">
        <v>562</v>
      </c>
      <c r="E1057" s="23">
        <v>45157</v>
      </c>
      <c r="F1057" s="24">
        <v>45139</v>
      </c>
      <c r="G1057" s="25">
        <v>1803274</v>
      </c>
      <c r="H1057" s="25" t="s">
        <v>2889</v>
      </c>
      <c r="I1057" s="233" t="s">
        <v>29</v>
      </c>
      <c r="J1057" s="31">
        <v>5643864</v>
      </c>
      <c r="K1057" s="36">
        <v>45229</v>
      </c>
      <c r="L1057" s="36">
        <v>45229</v>
      </c>
      <c r="M1057" s="36">
        <v>45229</v>
      </c>
      <c r="N1057" s="37">
        <v>1803274</v>
      </c>
      <c r="O1057" s="37">
        <v>0</v>
      </c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</row>
    <row r="1058" spans="1:26" ht="14.25" customHeight="1">
      <c r="A1058" s="9">
        <v>1175</v>
      </c>
      <c r="B1058" s="10"/>
      <c r="C1058" s="21">
        <v>231706</v>
      </c>
      <c r="D1058" s="22" t="s">
        <v>562</v>
      </c>
      <c r="E1058" s="23">
        <v>45163</v>
      </c>
      <c r="F1058" s="24">
        <v>45139</v>
      </c>
      <c r="G1058" s="25">
        <v>1307580</v>
      </c>
      <c r="H1058" s="25" t="s">
        <v>2890</v>
      </c>
      <c r="I1058" s="233" t="s">
        <v>29</v>
      </c>
      <c r="J1058" s="11"/>
      <c r="K1058" s="36">
        <v>45229</v>
      </c>
      <c r="L1058" s="36">
        <v>45229</v>
      </c>
      <c r="M1058" s="36">
        <v>45229</v>
      </c>
      <c r="N1058" s="37">
        <v>1307580</v>
      </c>
      <c r="O1058" s="37">
        <v>0</v>
      </c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</row>
    <row r="1059" spans="1:26" ht="14.25" customHeight="1">
      <c r="A1059" s="9">
        <v>1176</v>
      </c>
      <c r="B1059" s="10"/>
      <c r="C1059" s="21">
        <v>231727</v>
      </c>
      <c r="D1059" s="22" t="s">
        <v>562</v>
      </c>
      <c r="E1059" s="23">
        <v>45164</v>
      </c>
      <c r="F1059" s="24">
        <v>45139</v>
      </c>
      <c r="G1059" s="25">
        <v>763673</v>
      </c>
      <c r="H1059" s="25" t="s">
        <v>2891</v>
      </c>
      <c r="I1059" s="233" t="s">
        <v>29</v>
      </c>
      <c r="J1059" s="11"/>
      <c r="K1059" s="36">
        <v>45229</v>
      </c>
      <c r="L1059" s="36">
        <v>45229</v>
      </c>
      <c r="M1059" s="36">
        <v>45229</v>
      </c>
      <c r="N1059" s="37">
        <v>763673</v>
      </c>
      <c r="O1059" s="37">
        <v>0</v>
      </c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</row>
    <row r="1060" spans="1:26" ht="14.25" customHeight="1">
      <c r="A1060" s="9">
        <v>1177</v>
      </c>
      <c r="B1060" s="10"/>
      <c r="C1060" s="21">
        <v>231733</v>
      </c>
      <c r="D1060" s="22" t="s">
        <v>562</v>
      </c>
      <c r="E1060" s="23">
        <v>45166</v>
      </c>
      <c r="F1060" s="24">
        <v>45139</v>
      </c>
      <c r="G1060" s="25">
        <v>381837</v>
      </c>
      <c r="H1060" s="25" t="s">
        <v>2892</v>
      </c>
      <c r="I1060" s="233" t="s">
        <v>29</v>
      </c>
      <c r="J1060" s="11"/>
      <c r="K1060" s="36">
        <v>45229</v>
      </c>
      <c r="L1060" s="36">
        <v>45229</v>
      </c>
      <c r="M1060" s="36">
        <v>45229</v>
      </c>
      <c r="N1060" s="37">
        <v>381837</v>
      </c>
      <c r="O1060" s="37">
        <v>0</v>
      </c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</row>
    <row r="1061" spans="1:26" ht="14.25" customHeight="1">
      <c r="A1061" s="9">
        <v>1178</v>
      </c>
      <c r="B1061" s="10"/>
      <c r="C1061" s="21">
        <v>231857</v>
      </c>
      <c r="D1061" s="22" t="s">
        <v>562</v>
      </c>
      <c r="E1061" s="23">
        <v>45177</v>
      </c>
      <c r="F1061" s="24">
        <v>45170</v>
      </c>
      <c r="G1061" s="25">
        <v>1387500</v>
      </c>
      <c r="H1061" s="25" t="s">
        <v>2893</v>
      </c>
      <c r="I1061" s="233" t="s">
        <v>29</v>
      </c>
      <c r="J1061" s="11"/>
      <c r="K1061" s="36">
        <v>45229</v>
      </c>
      <c r="L1061" s="36">
        <v>45229</v>
      </c>
      <c r="M1061" s="36">
        <v>45229</v>
      </c>
      <c r="N1061" s="37">
        <v>1387500</v>
      </c>
      <c r="O1061" s="37">
        <v>0</v>
      </c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</row>
    <row r="1062" spans="1:26" ht="14.25" customHeight="1">
      <c r="A1062" s="9">
        <v>1179</v>
      </c>
      <c r="B1062" s="10"/>
      <c r="C1062" s="21">
        <v>231973</v>
      </c>
      <c r="D1062" s="22" t="s">
        <v>562</v>
      </c>
      <c r="E1062" s="23">
        <v>45194</v>
      </c>
      <c r="F1062" s="24">
        <v>45170</v>
      </c>
      <c r="G1062" s="25">
        <v>549450</v>
      </c>
      <c r="H1062" s="25" t="s">
        <v>2894</v>
      </c>
      <c r="I1062" s="233" t="s">
        <v>29</v>
      </c>
      <c r="J1062" s="31">
        <v>8825615</v>
      </c>
      <c r="K1062" s="36">
        <v>45275</v>
      </c>
      <c r="L1062" s="36">
        <v>45275</v>
      </c>
      <c r="M1062" s="36">
        <v>45275</v>
      </c>
      <c r="N1062" s="37">
        <v>549450</v>
      </c>
      <c r="O1062" s="37">
        <v>0</v>
      </c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</row>
    <row r="1063" spans="1:26" ht="14.25" customHeight="1">
      <c r="A1063" s="9">
        <v>1180</v>
      </c>
      <c r="B1063" s="10"/>
      <c r="C1063" s="21">
        <v>231990</v>
      </c>
      <c r="D1063" s="22" t="s">
        <v>562</v>
      </c>
      <c r="E1063" s="23">
        <v>45196</v>
      </c>
      <c r="F1063" s="24">
        <v>45170</v>
      </c>
      <c r="G1063" s="25">
        <v>821773</v>
      </c>
      <c r="H1063" s="25" t="s">
        <v>2895</v>
      </c>
      <c r="I1063" s="233" t="s">
        <v>29</v>
      </c>
      <c r="J1063" s="11"/>
      <c r="K1063" s="36">
        <v>45275</v>
      </c>
      <c r="L1063" s="36">
        <v>45275</v>
      </c>
      <c r="M1063" s="36">
        <v>45275</v>
      </c>
      <c r="N1063" s="37">
        <v>821773</v>
      </c>
      <c r="O1063" s="37">
        <v>0</v>
      </c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</row>
    <row r="1064" spans="1:26" ht="14.25" customHeight="1">
      <c r="A1064" s="9">
        <v>1181</v>
      </c>
      <c r="B1064" s="10"/>
      <c r="C1064" s="21">
        <v>232070</v>
      </c>
      <c r="D1064" s="22" t="s">
        <v>562</v>
      </c>
      <c r="E1064" s="23">
        <v>45208</v>
      </c>
      <c r="F1064" s="24">
        <v>45200</v>
      </c>
      <c r="G1064" s="25">
        <v>1527347</v>
      </c>
      <c r="H1064" s="25" t="s">
        <v>2896</v>
      </c>
      <c r="I1064" s="233" t="s">
        <v>29</v>
      </c>
      <c r="J1064" s="11"/>
      <c r="K1064" s="36">
        <v>45275</v>
      </c>
      <c r="L1064" s="36">
        <v>45275</v>
      </c>
      <c r="M1064" s="36">
        <v>45275</v>
      </c>
      <c r="N1064" s="37">
        <v>1527347</v>
      </c>
      <c r="O1064" s="37">
        <v>0</v>
      </c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</row>
    <row r="1065" spans="1:26" ht="14.25" customHeight="1">
      <c r="A1065" s="9">
        <v>1182</v>
      </c>
      <c r="B1065" s="10"/>
      <c r="C1065" s="21">
        <v>232081</v>
      </c>
      <c r="D1065" s="22" t="s">
        <v>562</v>
      </c>
      <c r="E1065" s="23">
        <v>45210</v>
      </c>
      <c r="F1065" s="24">
        <v>45200</v>
      </c>
      <c r="G1065" s="25">
        <v>965145</v>
      </c>
      <c r="H1065" s="25" t="s">
        <v>2897</v>
      </c>
      <c r="I1065" s="233" t="s">
        <v>29</v>
      </c>
      <c r="J1065" s="11"/>
      <c r="K1065" s="36">
        <v>45275</v>
      </c>
      <c r="L1065" s="36">
        <v>45275</v>
      </c>
      <c r="M1065" s="36">
        <v>45275</v>
      </c>
      <c r="N1065" s="37">
        <v>965145</v>
      </c>
      <c r="O1065" s="37">
        <v>0</v>
      </c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</row>
    <row r="1066" spans="1:26" ht="14.25" customHeight="1">
      <c r="A1066" s="9">
        <v>1183</v>
      </c>
      <c r="B1066" s="10"/>
      <c r="C1066" s="21">
        <v>232128</v>
      </c>
      <c r="D1066" s="22" t="s">
        <v>562</v>
      </c>
      <c r="E1066" s="23">
        <v>45213</v>
      </c>
      <c r="F1066" s="24">
        <v>45200</v>
      </c>
      <c r="G1066" s="25">
        <v>926521</v>
      </c>
      <c r="H1066" s="25" t="s">
        <v>2898</v>
      </c>
      <c r="I1066" s="233" t="s">
        <v>29</v>
      </c>
      <c r="J1066" s="11"/>
      <c r="K1066" s="36">
        <v>45275</v>
      </c>
      <c r="L1066" s="36">
        <v>45275</v>
      </c>
      <c r="M1066" s="36">
        <v>45275</v>
      </c>
      <c r="N1066" s="37">
        <v>926521</v>
      </c>
      <c r="O1066" s="37">
        <v>0</v>
      </c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</row>
    <row r="1067" spans="1:26" ht="14.25" customHeight="1">
      <c r="A1067" s="9">
        <v>1184</v>
      </c>
      <c r="B1067" s="10"/>
      <c r="C1067" s="21">
        <v>232162</v>
      </c>
      <c r="D1067" s="22" t="s">
        <v>562</v>
      </c>
      <c r="E1067" s="23">
        <v>45223</v>
      </c>
      <c r="F1067" s="24">
        <v>45200</v>
      </c>
      <c r="G1067" s="25">
        <v>1527347</v>
      </c>
      <c r="H1067" s="25" t="s">
        <v>2899</v>
      </c>
      <c r="I1067" s="233" t="s">
        <v>29</v>
      </c>
      <c r="J1067" s="11"/>
      <c r="K1067" s="36">
        <v>45275</v>
      </c>
      <c r="L1067" s="36">
        <v>45275</v>
      </c>
      <c r="M1067" s="36">
        <v>45275</v>
      </c>
      <c r="N1067" s="37">
        <v>1527347</v>
      </c>
      <c r="O1067" s="37">
        <v>0</v>
      </c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</row>
    <row r="1068" spans="1:26" ht="14.25" customHeight="1">
      <c r="A1068" s="9">
        <v>1185</v>
      </c>
      <c r="B1068" s="10"/>
      <c r="C1068" s="21">
        <v>232184</v>
      </c>
      <c r="D1068" s="22" t="s">
        <v>562</v>
      </c>
      <c r="E1068" s="23">
        <v>45226</v>
      </c>
      <c r="F1068" s="24">
        <v>45200</v>
      </c>
      <c r="G1068" s="25">
        <v>980685</v>
      </c>
      <c r="H1068" s="25" t="s">
        <v>2900</v>
      </c>
      <c r="I1068" s="233" t="s">
        <v>29</v>
      </c>
      <c r="J1068" s="11"/>
      <c r="K1068" s="36">
        <v>45275</v>
      </c>
      <c r="L1068" s="36">
        <v>45275</v>
      </c>
      <c r="M1068" s="36">
        <v>45275</v>
      </c>
      <c r="N1068" s="37">
        <v>980685</v>
      </c>
      <c r="O1068" s="37">
        <v>0</v>
      </c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</row>
    <row r="1069" spans="1:26" ht="14.25" customHeight="1">
      <c r="A1069" s="9">
        <v>1186</v>
      </c>
      <c r="B1069" s="10"/>
      <c r="C1069" s="21">
        <v>232265</v>
      </c>
      <c r="D1069" s="22" t="s">
        <v>562</v>
      </c>
      <c r="E1069" s="23">
        <v>45230</v>
      </c>
      <c r="F1069" s="24">
        <v>45200</v>
      </c>
      <c r="G1069" s="25">
        <v>1527347</v>
      </c>
      <c r="H1069" s="25" t="s">
        <v>2901</v>
      </c>
      <c r="I1069" s="233" t="s">
        <v>29</v>
      </c>
      <c r="J1069" s="11"/>
      <c r="K1069" s="36">
        <v>45275</v>
      </c>
      <c r="L1069" s="36">
        <v>45275</v>
      </c>
      <c r="M1069" s="36">
        <v>45275</v>
      </c>
      <c r="N1069" s="37">
        <v>1527347</v>
      </c>
      <c r="O1069" s="37">
        <v>0</v>
      </c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</row>
    <row r="1070" spans="1:26" ht="14.25" customHeight="1">
      <c r="A1070" s="9">
        <v>1187</v>
      </c>
      <c r="B1070" s="10"/>
      <c r="C1070" s="9">
        <v>232208</v>
      </c>
      <c r="D1070" s="11" t="s">
        <v>562</v>
      </c>
      <c r="E1070" s="12">
        <v>45233</v>
      </c>
      <c r="F1070" s="13">
        <v>45231</v>
      </c>
      <c r="G1070" s="27">
        <v>1749735</v>
      </c>
      <c r="H1070" s="27" t="s">
        <v>2902</v>
      </c>
      <c r="I1070" s="34">
        <v>57.606678703705299</v>
      </c>
      <c r="J1070" s="11"/>
      <c r="K1070" s="39"/>
      <c r="L1070" s="39"/>
      <c r="M1070" s="39"/>
      <c r="N1070" s="37">
        <v>0</v>
      </c>
      <c r="O1070" s="37">
        <v>1749735</v>
      </c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</row>
    <row r="1071" spans="1:26" ht="14.25" customHeight="1">
      <c r="A1071" s="9">
        <v>1188</v>
      </c>
      <c r="B1071" s="10"/>
      <c r="C1071" s="9">
        <v>232254</v>
      </c>
      <c r="D1071" s="11" t="s">
        <v>562</v>
      </c>
      <c r="E1071" s="12">
        <v>45240</v>
      </c>
      <c r="F1071" s="13">
        <v>45231</v>
      </c>
      <c r="G1071" s="27">
        <v>1665000</v>
      </c>
      <c r="H1071" s="27" t="s">
        <v>2903</v>
      </c>
      <c r="I1071" s="34">
        <v>50.606678703705299</v>
      </c>
      <c r="J1071" s="11"/>
      <c r="K1071" s="39"/>
      <c r="L1071" s="39"/>
      <c r="M1071" s="39"/>
      <c r="N1071" s="37">
        <v>0</v>
      </c>
      <c r="O1071" s="37">
        <v>1665000</v>
      </c>
      <c r="P1071" s="42"/>
      <c r="Q1071" s="42"/>
      <c r="R1071" s="42"/>
      <c r="S1071" s="42"/>
      <c r="T1071" s="42"/>
      <c r="U1071" s="42"/>
      <c r="V1071" s="42"/>
      <c r="W1071" s="42"/>
      <c r="X1071" s="42"/>
      <c r="Y1071" s="42"/>
      <c r="Z1071" s="42"/>
    </row>
    <row r="1072" spans="1:26" ht="14.25" customHeight="1">
      <c r="A1072" s="9">
        <v>1189</v>
      </c>
      <c r="B1072" s="10"/>
      <c r="C1072" s="9">
        <v>232320</v>
      </c>
      <c r="D1072" s="11" t="s">
        <v>562</v>
      </c>
      <c r="E1072" s="12">
        <v>45247</v>
      </c>
      <c r="F1072" s="13">
        <v>45231</v>
      </c>
      <c r="G1072" s="27">
        <v>1909183</v>
      </c>
      <c r="H1072" s="27" t="s">
        <v>2904</v>
      </c>
      <c r="I1072" s="34">
        <v>43.606678703705299</v>
      </c>
      <c r="J1072" s="11"/>
      <c r="K1072" s="39"/>
      <c r="L1072" s="39"/>
      <c r="M1072" s="39"/>
      <c r="N1072" s="37">
        <v>0</v>
      </c>
      <c r="O1072" s="37">
        <v>1909183</v>
      </c>
      <c r="P1072" s="42"/>
      <c r="Q1072" s="42"/>
      <c r="R1072" s="42"/>
      <c r="S1072" s="42"/>
      <c r="T1072" s="42"/>
      <c r="U1072" s="42"/>
      <c r="V1072" s="42"/>
      <c r="W1072" s="42"/>
      <c r="X1072" s="42"/>
      <c r="Y1072" s="42"/>
      <c r="Z1072" s="42"/>
    </row>
    <row r="1073" spans="1:26" ht="14.25" customHeight="1">
      <c r="A1073" s="9">
        <v>1198</v>
      </c>
      <c r="B1073" s="10"/>
      <c r="C1073" s="21">
        <v>222360</v>
      </c>
      <c r="D1073" s="22" t="s">
        <v>588</v>
      </c>
      <c r="E1073" s="23">
        <v>44924</v>
      </c>
      <c r="F1073" s="24">
        <v>44896</v>
      </c>
      <c r="G1073" s="25">
        <v>387878</v>
      </c>
      <c r="H1073" s="26" t="s">
        <v>2905</v>
      </c>
      <c r="I1073" s="34" t="s">
        <v>29</v>
      </c>
      <c r="J1073" s="25">
        <v>665655</v>
      </c>
      <c r="K1073" s="40">
        <v>44929</v>
      </c>
      <c r="L1073" s="40">
        <v>44929</v>
      </c>
      <c r="M1073" s="40">
        <v>44929</v>
      </c>
      <c r="N1073" s="37">
        <v>387878</v>
      </c>
      <c r="O1073" s="37">
        <v>0</v>
      </c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</row>
    <row r="1074" spans="1:26" ht="14.25" customHeight="1">
      <c r="A1074" s="9">
        <v>1199</v>
      </c>
      <c r="B1074" s="10"/>
      <c r="C1074" s="21">
        <v>230132</v>
      </c>
      <c r="D1074" s="22" t="s">
        <v>588</v>
      </c>
      <c r="E1074" s="23">
        <v>44943</v>
      </c>
      <c r="F1074" s="24">
        <v>44927</v>
      </c>
      <c r="G1074" s="25">
        <v>277777</v>
      </c>
      <c r="H1074" s="26" t="s">
        <v>2906</v>
      </c>
      <c r="I1074" s="34" t="s">
        <v>29</v>
      </c>
      <c r="J1074" s="11"/>
      <c r="K1074" s="39"/>
      <c r="L1074" s="40">
        <v>44929</v>
      </c>
      <c r="M1074" s="40">
        <v>44929</v>
      </c>
      <c r="N1074" s="37">
        <v>277777</v>
      </c>
      <c r="O1074" s="37">
        <v>0</v>
      </c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</row>
    <row r="1075" spans="1:26" ht="14.25" customHeight="1">
      <c r="A1075" s="9">
        <v>1200</v>
      </c>
      <c r="B1075" s="10"/>
      <c r="C1075" s="21">
        <v>230750</v>
      </c>
      <c r="D1075" s="22" t="s">
        <v>588</v>
      </c>
      <c r="E1075" s="23">
        <v>45019</v>
      </c>
      <c r="F1075" s="24">
        <v>45017</v>
      </c>
      <c r="G1075" s="25">
        <v>533332</v>
      </c>
      <c r="H1075" s="26" t="s">
        <v>2907</v>
      </c>
      <c r="I1075" s="233" t="s">
        <v>29</v>
      </c>
      <c r="J1075" s="25">
        <v>533332</v>
      </c>
      <c r="K1075" s="40">
        <v>45092</v>
      </c>
      <c r="L1075" s="40">
        <v>45093</v>
      </c>
      <c r="M1075" s="40">
        <v>45093</v>
      </c>
      <c r="N1075" s="37">
        <v>533332</v>
      </c>
      <c r="O1075" s="37">
        <v>0</v>
      </c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</row>
    <row r="1076" spans="1:26" ht="14.25" customHeight="1">
      <c r="A1076" s="9">
        <v>1201</v>
      </c>
      <c r="B1076" s="10"/>
      <c r="C1076" s="21"/>
      <c r="D1076" s="22" t="s">
        <v>588</v>
      </c>
      <c r="E1076" s="23">
        <v>45019</v>
      </c>
      <c r="F1076" s="24">
        <v>45017</v>
      </c>
      <c r="G1076" s="25">
        <v>123077</v>
      </c>
      <c r="H1076" s="26" t="s">
        <v>2908</v>
      </c>
      <c r="I1076" s="233" t="s">
        <v>29</v>
      </c>
      <c r="J1076" s="25">
        <v>123077</v>
      </c>
      <c r="K1076" s="40">
        <v>45102</v>
      </c>
      <c r="L1076" s="40">
        <v>45105</v>
      </c>
      <c r="M1076" s="40">
        <v>45106</v>
      </c>
      <c r="N1076" s="37">
        <v>123077</v>
      </c>
      <c r="O1076" s="37">
        <v>0</v>
      </c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</row>
    <row r="1077" spans="1:26" ht="14.25" customHeight="1">
      <c r="A1077" s="9">
        <v>1202</v>
      </c>
      <c r="B1077" s="10"/>
      <c r="C1077" s="21">
        <v>231730</v>
      </c>
      <c r="D1077" s="22" t="s">
        <v>588</v>
      </c>
      <c r="E1077" s="23">
        <v>45163</v>
      </c>
      <c r="F1077" s="24">
        <v>45139</v>
      </c>
      <c r="G1077" s="25">
        <v>296580</v>
      </c>
      <c r="H1077" s="26" t="s">
        <v>2909</v>
      </c>
      <c r="I1077" s="233" t="s">
        <v>29</v>
      </c>
      <c r="J1077" s="27">
        <v>501708</v>
      </c>
      <c r="K1077" s="40">
        <v>45245</v>
      </c>
      <c r="L1077" s="40">
        <v>45245</v>
      </c>
      <c r="M1077" s="40">
        <v>45245</v>
      </c>
      <c r="N1077" s="37">
        <v>296580</v>
      </c>
      <c r="O1077" s="37">
        <v>0</v>
      </c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</row>
    <row r="1078" spans="1:26" ht="14.25" customHeight="1">
      <c r="A1078" s="9">
        <v>1203</v>
      </c>
      <c r="B1078" s="10"/>
      <c r="C1078" s="21">
        <v>232009</v>
      </c>
      <c r="D1078" s="22" t="s">
        <v>588</v>
      </c>
      <c r="E1078" s="23">
        <v>45198</v>
      </c>
      <c r="F1078" s="24">
        <v>45170</v>
      </c>
      <c r="G1078" s="25">
        <v>205128</v>
      </c>
      <c r="H1078" s="26" t="s">
        <v>2910</v>
      </c>
      <c r="I1078" s="233" t="s">
        <v>29</v>
      </c>
      <c r="J1078" s="27"/>
      <c r="K1078" s="40">
        <v>45245</v>
      </c>
      <c r="L1078" s="40">
        <v>45245</v>
      </c>
      <c r="M1078" s="40">
        <v>45245</v>
      </c>
      <c r="N1078" s="37">
        <v>205128</v>
      </c>
      <c r="O1078" s="37">
        <v>0</v>
      </c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</row>
    <row r="1079" spans="1:26" ht="14.25" customHeight="1">
      <c r="A1079" s="9">
        <v>1204</v>
      </c>
      <c r="B1079" s="10"/>
      <c r="C1079" s="21">
        <v>232368</v>
      </c>
      <c r="D1079" s="22" t="s">
        <v>588</v>
      </c>
      <c r="E1079" s="23">
        <v>45248</v>
      </c>
      <c r="F1079" s="24">
        <v>45231</v>
      </c>
      <c r="G1079" s="25">
        <v>788888</v>
      </c>
      <c r="H1079" s="26" t="s">
        <v>2911</v>
      </c>
      <c r="I1079" s="233" t="s">
        <v>29</v>
      </c>
      <c r="J1079" s="27"/>
      <c r="K1079" s="40">
        <v>45280</v>
      </c>
      <c r="L1079" s="40">
        <v>45280</v>
      </c>
      <c r="M1079" s="40">
        <v>45280</v>
      </c>
      <c r="N1079" s="37">
        <v>788888</v>
      </c>
      <c r="O1079" s="37">
        <v>0</v>
      </c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</row>
    <row r="1080" spans="1:26" ht="14.25" customHeight="1">
      <c r="A1080" s="9">
        <v>1210</v>
      </c>
      <c r="B1080" s="10"/>
      <c r="C1080" s="21">
        <v>230400</v>
      </c>
      <c r="D1080" s="22" t="s">
        <v>591</v>
      </c>
      <c r="E1080" s="23">
        <v>44979</v>
      </c>
      <c r="F1080" s="24">
        <v>44958</v>
      </c>
      <c r="G1080" s="25">
        <v>213675</v>
      </c>
      <c r="H1080" s="26" t="s">
        <v>2912</v>
      </c>
      <c r="I1080" s="34" t="s">
        <v>29</v>
      </c>
      <c r="J1080" s="10"/>
      <c r="K1080" s="39"/>
      <c r="L1080" s="40">
        <v>45071</v>
      </c>
      <c r="M1080" s="40">
        <v>45072</v>
      </c>
      <c r="N1080" s="37">
        <v>213675</v>
      </c>
      <c r="O1080" s="37">
        <v>0</v>
      </c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</row>
    <row r="1081" spans="1:26" ht="14.25" customHeight="1">
      <c r="A1081" s="9">
        <v>1209</v>
      </c>
      <c r="B1081" s="10"/>
      <c r="C1081" s="21">
        <v>230401</v>
      </c>
      <c r="D1081" s="22" t="s">
        <v>591</v>
      </c>
      <c r="E1081" s="23">
        <v>44979</v>
      </c>
      <c r="F1081" s="24">
        <v>44958</v>
      </c>
      <c r="G1081" s="25">
        <v>1488676</v>
      </c>
      <c r="H1081" s="26" t="s">
        <v>2913</v>
      </c>
      <c r="I1081" s="34" t="s">
        <v>29</v>
      </c>
      <c r="J1081" s="25">
        <v>8350585</v>
      </c>
      <c r="K1081" s="40">
        <v>45071</v>
      </c>
      <c r="L1081" s="40">
        <v>45071</v>
      </c>
      <c r="M1081" s="40">
        <v>45072</v>
      </c>
      <c r="N1081" s="37">
        <v>1488676</v>
      </c>
      <c r="O1081" s="37">
        <v>0</v>
      </c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</row>
    <row r="1082" spans="1:26" ht="14.25" customHeight="1">
      <c r="A1082" s="9">
        <v>1211</v>
      </c>
      <c r="B1082" s="10"/>
      <c r="C1082" s="21">
        <v>230402</v>
      </c>
      <c r="D1082" s="22" t="s">
        <v>591</v>
      </c>
      <c r="E1082" s="23">
        <v>44982</v>
      </c>
      <c r="F1082" s="24">
        <v>44958</v>
      </c>
      <c r="G1082" s="25">
        <v>3545784</v>
      </c>
      <c r="H1082" s="26" t="s">
        <v>2914</v>
      </c>
      <c r="I1082" s="34" t="s">
        <v>29</v>
      </c>
      <c r="J1082" s="10"/>
      <c r="K1082" s="39"/>
      <c r="L1082" s="40">
        <v>45071</v>
      </c>
      <c r="M1082" s="40">
        <v>45072</v>
      </c>
      <c r="N1082" s="37">
        <v>3545784</v>
      </c>
      <c r="O1082" s="37">
        <v>0</v>
      </c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</row>
    <row r="1083" spans="1:26" ht="14.25" customHeight="1">
      <c r="A1083" s="9">
        <v>1212</v>
      </c>
      <c r="B1083" s="10"/>
      <c r="C1083" s="21">
        <v>230484</v>
      </c>
      <c r="D1083" s="22" t="s">
        <v>591</v>
      </c>
      <c r="E1083" s="23">
        <v>44985</v>
      </c>
      <c r="F1083" s="24">
        <v>44958</v>
      </c>
      <c r="G1083" s="25">
        <v>3102450</v>
      </c>
      <c r="H1083" s="26" t="s">
        <v>2915</v>
      </c>
      <c r="I1083" s="34" t="s">
        <v>29</v>
      </c>
      <c r="J1083" s="10"/>
      <c r="K1083" s="39"/>
      <c r="L1083" s="40">
        <v>45071</v>
      </c>
      <c r="M1083" s="40">
        <v>45072</v>
      </c>
      <c r="N1083" s="37">
        <v>3102450</v>
      </c>
      <c r="O1083" s="37">
        <v>0</v>
      </c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</row>
    <row r="1084" spans="1:26" ht="14.25" customHeight="1">
      <c r="A1084" s="9">
        <v>1213</v>
      </c>
      <c r="B1084" s="10"/>
      <c r="C1084" s="21">
        <v>230489</v>
      </c>
      <c r="D1084" s="22" t="s">
        <v>591</v>
      </c>
      <c r="E1084" s="23">
        <v>44988</v>
      </c>
      <c r="F1084" s="24">
        <v>44986</v>
      </c>
      <c r="G1084" s="25">
        <v>3406368</v>
      </c>
      <c r="H1084" s="26" t="s">
        <v>2916</v>
      </c>
      <c r="I1084" s="233" t="s">
        <v>29</v>
      </c>
      <c r="J1084" s="25">
        <v>16183000</v>
      </c>
      <c r="K1084" s="40">
        <v>45092</v>
      </c>
      <c r="L1084" s="40">
        <v>45093</v>
      </c>
      <c r="M1084" s="40">
        <v>45093</v>
      </c>
      <c r="N1084" s="37">
        <v>3406368</v>
      </c>
      <c r="O1084" s="37">
        <v>0</v>
      </c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</row>
    <row r="1085" spans="1:26" ht="14.25" customHeight="1">
      <c r="A1085" s="9">
        <v>1214</v>
      </c>
      <c r="B1085" s="10"/>
      <c r="C1085" s="21">
        <v>350525</v>
      </c>
      <c r="D1085" s="22" t="s">
        <v>591</v>
      </c>
      <c r="E1085" s="23">
        <v>44991</v>
      </c>
      <c r="F1085" s="24">
        <v>44986</v>
      </c>
      <c r="G1085" s="25">
        <v>528000</v>
      </c>
      <c r="H1085" s="26" t="s">
        <v>2917</v>
      </c>
      <c r="I1085" s="233" t="s">
        <v>29</v>
      </c>
      <c r="J1085" s="10"/>
      <c r="K1085" s="39"/>
      <c r="L1085" s="40">
        <v>45093</v>
      </c>
      <c r="M1085" s="40">
        <v>45093</v>
      </c>
      <c r="N1085" s="37">
        <v>528000</v>
      </c>
      <c r="O1085" s="37">
        <v>0</v>
      </c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</row>
    <row r="1086" spans="1:26" ht="14.25" customHeight="1">
      <c r="A1086" s="9">
        <v>1215</v>
      </c>
      <c r="B1086" s="10"/>
      <c r="C1086" s="21">
        <v>230539</v>
      </c>
      <c r="D1086" s="22" t="s">
        <v>591</v>
      </c>
      <c r="E1086" s="23">
        <v>44993</v>
      </c>
      <c r="F1086" s="24">
        <v>44986</v>
      </c>
      <c r="G1086" s="25">
        <v>350005</v>
      </c>
      <c r="H1086" s="26" t="s">
        <v>2918</v>
      </c>
      <c r="I1086" s="234" t="s">
        <v>29</v>
      </c>
      <c r="J1086" s="27"/>
      <c r="K1086" s="39"/>
      <c r="L1086" s="40">
        <v>45093</v>
      </c>
      <c r="M1086" s="40">
        <v>45093</v>
      </c>
      <c r="N1086" s="37">
        <v>350005</v>
      </c>
      <c r="O1086" s="37">
        <v>0</v>
      </c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</row>
    <row r="1087" spans="1:26" ht="14.25" customHeight="1">
      <c r="A1087" s="9">
        <v>1216</v>
      </c>
      <c r="B1087" s="10"/>
      <c r="C1087" s="21">
        <v>230574</v>
      </c>
      <c r="D1087" s="22" t="s">
        <v>591</v>
      </c>
      <c r="E1087" s="23">
        <v>45000</v>
      </c>
      <c r="F1087" s="24">
        <v>44986</v>
      </c>
      <c r="G1087" s="25">
        <v>3511485</v>
      </c>
      <c r="H1087" s="26" t="s">
        <v>2919</v>
      </c>
      <c r="I1087" s="234" t="s">
        <v>29</v>
      </c>
      <c r="J1087" s="10"/>
      <c r="K1087" s="39"/>
      <c r="L1087" s="40">
        <v>45093</v>
      </c>
      <c r="M1087" s="40">
        <v>45093</v>
      </c>
      <c r="N1087" s="37">
        <v>3511485</v>
      </c>
      <c r="O1087" s="37">
        <v>0</v>
      </c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</row>
    <row r="1088" spans="1:26" ht="14.25" customHeight="1">
      <c r="A1088" s="9">
        <v>1217</v>
      </c>
      <c r="B1088" s="10"/>
      <c r="C1088" s="21">
        <v>230618</v>
      </c>
      <c r="D1088" s="22" t="s">
        <v>591</v>
      </c>
      <c r="E1088" s="23">
        <v>45010</v>
      </c>
      <c r="F1088" s="24">
        <v>44986</v>
      </c>
      <c r="G1088" s="25">
        <v>921300</v>
      </c>
      <c r="H1088" s="26" t="s">
        <v>2920</v>
      </c>
      <c r="I1088" s="234" t="s">
        <v>29</v>
      </c>
      <c r="J1088" s="10"/>
      <c r="K1088" s="39"/>
      <c r="L1088" s="40">
        <v>45093</v>
      </c>
      <c r="M1088" s="40">
        <v>45093</v>
      </c>
      <c r="N1088" s="37">
        <v>921300</v>
      </c>
      <c r="O1088" s="37">
        <v>0</v>
      </c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</row>
    <row r="1089" spans="1:26" ht="14.25" customHeight="1">
      <c r="A1089" s="9">
        <v>1218</v>
      </c>
      <c r="B1089" s="10"/>
      <c r="C1089" s="21">
        <v>230619</v>
      </c>
      <c r="D1089" s="22" t="s">
        <v>591</v>
      </c>
      <c r="E1089" s="23">
        <v>45010</v>
      </c>
      <c r="F1089" s="24">
        <v>44986</v>
      </c>
      <c r="G1089" s="25">
        <v>3581248</v>
      </c>
      <c r="H1089" s="26" t="s">
        <v>2921</v>
      </c>
      <c r="I1089" s="234" t="s">
        <v>29</v>
      </c>
      <c r="J1089" s="10"/>
      <c r="K1089" s="39"/>
      <c r="L1089" s="40">
        <v>45093</v>
      </c>
      <c r="M1089" s="40">
        <v>45093</v>
      </c>
      <c r="N1089" s="37">
        <v>3581248</v>
      </c>
      <c r="O1089" s="37">
        <v>0</v>
      </c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</row>
    <row r="1090" spans="1:26" ht="14.25" customHeight="1">
      <c r="A1090" s="9">
        <v>1220</v>
      </c>
      <c r="B1090" s="10"/>
      <c r="C1090" s="21">
        <v>230691</v>
      </c>
      <c r="D1090" s="22" t="s">
        <v>591</v>
      </c>
      <c r="E1090" s="23">
        <v>45014</v>
      </c>
      <c r="F1090" s="24">
        <v>44986</v>
      </c>
      <c r="G1090" s="25">
        <v>1757124</v>
      </c>
      <c r="H1090" s="26" t="s">
        <v>2922</v>
      </c>
      <c r="I1090" s="234" t="s">
        <v>29</v>
      </c>
      <c r="J1090" s="10"/>
      <c r="K1090" s="39"/>
      <c r="L1090" s="40">
        <v>45093</v>
      </c>
      <c r="M1090" s="40">
        <v>45093</v>
      </c>
      <c r="N1090" s="37">
        <v>1757124</v>
      </c>
      <c r="O1090" s="37">
        <v>0</v>
      </c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</row>
    <row r="1091" spans="1:26" ht="14.25" customHeight="1">
      <c r="A1091" s="9">
        <v>1219</v>
      </c>
      <c r="B1091" s="10"/>
      <c r="C1091" s="21">
        <v>230701</v>
      </c>
      <c r="D1091" s="22" t="s">
        <v>591</v>
      </c>
      <c r="E1091" s="23">
        <v>45014</v>
      </c>
      <c r="F1091" s="24">
        <v>44986</v>
      </c>
      <c r="G1091" s="25">
        <v>2127470</v>
      </c>
      <c r="H1091" s="26" t="s">
        <v>2923</v>
      </c>
      <c r="I1091" s="234" t="s">
        <v>29</v>
      </c>
      <c r="J1091" s="10"/>
      <c r="K1091" s="39"/>
      <c r="L1091" s="40">
        <v>45093</v>
      </c>
      <c r="M1091" s="40">
        <v>45093</v>
      </c>
      <c r="N1091" s="37">
        <v>2127470</v>
      </c>
      <c r="O1091" s="37">
        <v>0</v>
      </c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</row>
    <row r="1092" spans="1:26" ht="14.25" customHeight="1">
      <c r="A1092" s="9">
        <v>1224</v>
      </c>
      <c r="B1092" s="10"/>
      <c r="C1092" s="21">
        <v>230747</v>
      </c>
      <c r="D1092" s="22" t="s">
        <v>591</v>
      </c>
      <c r="E1092" s="23">
        <v>45020</v>
      </c>
      <c r="F1092" s="24">
        <v>45017</v>
      </c>
      <c r="G1092" s="25">
        <v>168109</v>
      </c>
      <c r="H1092" s="26" t="s">
        <v>2924</v>
      </c>
      <c r="I1092" s="234" t="s">
        <v>29</v>
      </c>
      <c r="J1092" s="10"/>
      <c r="K1092" s="39"/>
      <c r="L1092" s="40">
        <v>45105</v>
      </c>
      <c r="M1092" s="40">
        <v>45106</v>
      </c>
      <c r="N1092" s="37">
        <v>168109</v>
      </c>
      <c r="O1092" s="37">
        <v>0</v>
      </c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</row>
    <row r="1093" spans="1:26" ht="14.25" customHeight="1">
      <c r="A1093" s="9">
        <v>1223</v>
      </c>
      <c r="B1093" s="10"/>
      <c r="C1093" s="21">
        <v>230748</v>
      </c>
      <c r="D1093" s="22" t="s">
        <v>591</v>
      </c>
      <c r="E1093" s="23">
        <v>45020</v>
      </c>
      <c r="F1093" s="24">
        <v>45017</v>
      </c>
      <c r="G1093" s="25">
        <v>450000</v>
      </c>
      <c r="H1093" s="26" t="s">
        <v>2925</v>
      </c>
      <c r="I1093" s="234" t="s">
        <v>29</v>
      </c>
      <c r="J1093" s="10"/>
      <c r="K1093" s="39"/>
      <c r="L1093" s="40">
        <v>45105</v>
      </c>
      <c r="M1093" s="40">
        <v>45106</v>
      </c>
      <c r="N1093" s="37">
        <v>450000</v>
      </c>
      <c r="O1093" s="37">
        <v>0</v>
      </c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</row>
    <row r="1094" spans="1:26" ht="14.25" customHeight="1">
      <c r="A1094" s="9">
        <v>1222</v>
      </c>
      <c r="B1094" s="10"/>
      <c r="C1094" s="21">
        <v>230749</v>
      </c>
      <c r="D1094" s="22" t="s">
        <v>591</v>
      </c>
      <c r="E1094" s="23">
        <v>45020</v>
      </c>
      <c r="F1094" s="24">
        <v>45017</v>
      </c>
      <c r="G1094" s="25">
        <v>1800000</v>
      </c>
      <c r="H1094" s="26" t="s">
        <v>2926</v>
      </c>
      <c r="I1094" s="234" t="s">
        <v>29</v>
      </c>
      <c r="J1094" s="10"/>
      <c r="K1094" s="39"/>
      <c r="L1094" s="40">
        <v>45105</v>
      </c>
      <c r="M1094" s="40">
        <v>45106</v>
      </c>
      <c r="N1094" s="37">
        <v>1800000</v>
      </c>
      <c r="O1094" s="37">
        <v>0</v>
      </c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</row>
    <row r="1095" spans="1:26" ht="14.25" customHeight="1">
      <c r="A1095" s="9">
        <v>1221</v>
      </c>
      <c r="B1095" s="10"/>
      <c r="C1095" s="21">
        <v>230756</v>
      </c>
      <c r="D1095" s="22" t="s">
        <v>591</v>
      </c>
      <c r="E1095" s="23">
        <v>45020</v>
      </c>
      <c r="F1095" s="24">
        <v>45017</v>
      </c>
      <c r="G1095" s="25">
        <v>1209999</v>
      </c>
      <c r="H1095" s="26" t="s">
        <v>2927</v>
      </c>
      <c r="I1095" s="234" t="s">
        <v>29</v>
      </c>
      <c r="J1095" s="25">
        <v>11541196</v>
      </c>
      <c r="K1095" s="40">
        <v>45102</v>
      </c>
      <c r="L1095" s="40">
        <v>45105</v>
      </c>
      <c r="M1095" s="40">
        <v>45106</v>
      </c>
      <c r="N1095" s="37">
        <v>1209999</v>
      </c>
      <c r="O1095" s="37">
        <v>0</v>
      </c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</row>
    <row r="1096" spans="1:26" ht="14.25" customHeight="1">
      <c r="A1096" s="9">
        <v>1225</v>
      </c>
      <c r="B1096" s="10"/>
      <c r="C1096" s="21">
        <v>230779</v>
      </c>
      <c r="D1096" s="22" t="s">
        <v>591</v>
      </c>
      <c r="E1096" s="23">
        <v>45024</v>
      </c>
      <c r="F1096" s="24">
        <v>45017</v>
      </c>
      <c r="G1096" s="25">
        <v>1072515</v>
      </c>
      <c r="H1096" s="26" t="s">
        <v>2928</v>
      </c>
      <c r="I1096" s="234" t="s">
        <v>29</v>
      </c>
      <c r="J1096" s="10"/>
      <c r="K1096" s="39"/>
      <c r="L1096" s="40">
        <v>45105</v>
      </c>
      <c r="M1096" s="40">
        <v>45106</v>
      </c>
      <c r="N1096" s="37">
        <v>1072515</v>
      </c>
      <c r="O1096" s="37">
        <v>0</v>
      </c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</row>
    <row r="1097" spans="1:26" ht="14.25" customHeight="1">
      <c r="A1097" s="9">
        <v>1226</v>
      </c>
      <c r="B1097" s="10"/>
      <c r="C1097" s="21">
        <v>230776</v>
      </c>
      <c r="D1097" s="22" t="s">
        <v>591</v>
      </c>
      <c r="E1097" s="23">
        <v>45026</v>
      </c>
      <c r="F1097" s="24">
        <v>45017</v>
      </c>
      <c r="G1097" s="25">
        <v>399600</v>
      </c>
      <c r="H1097" s="26" t="s">
        <v>2929</v>
      </c>
      <c r="I1097" s="234" t="s">
        <v>29</v>
      </c>
      <c r="J1097" s="10"/>
      <c r="K1097" s="39"/>
      <c r="L1097" s="40">
        <v>45105</v>
      </c>
      <c r="M1097" s="40">
        <v>45106</v>
      </c>
      <c r="N1097" s="37">
        <v>399600</v>
      </c>
      <c r="O1097" s="37">
        <v>0</v>
      </c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</row>
    <row r="1098" spans="1:26" ht="14.25" customHeight="1">
      <c r="A1098" s="9">
        <v>1227</v>
      </c>
      <c r="B1098" s="10"/>
      <c r="C1098" s="21">
        <v>230785</v>
      </c>
      <c r="D1098" s="22" t="s">
        <v>591</v>
      </c>
      <c r="E1098" s="23">
        <v>45026</v>
      </c>
      <c r="F1098" s="24">
        <v>45017</v>
      </c>
      <c r="G1098" s="25">
        <v>1195958</v>
      </c>
      <c r="H1098" s="26" t="s">
        <v>2930</v>
      </c>
      <c r="I1098" s="234" t="s">
        <v>29</v>
      </c>
      <c r="J1098" s="10"/>
      <c r="K1098" s="39"/>
      <c r="L1098" s="40">
        <v>45105</v>
      </c>
      <c r="M1098" s="40">
        <v>45106</v>
      </c>
      <c r="N1098" s="37">
        <v>1195958</v>
      </c>
      <c r="O1098" s="37">
        <v>0</v>
      </c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</row>
    <row r="1099" spans="1:26" ht="14.25" customHeight="1">
      <c r="A1099" s="9">
        <v>1228</v>
      </c>
      <c r="B1099" s="10"/>
      <c r="C1099" s="21">
        <v>230798</v>
      </c>
      <c r="D1099" s="22" t="s">
        <v>591</v>
      </c>
      <c r="E1099" s="23">
        <v>45027</v>
      </c>
      <c r="F1099" s="24">
        <v>45017</v>
      </c>
      <c r="G1099" s="25">
        <v>2574090</v>
      </c>
      <c r="H1099" s="26" t="s">
        <v>2931</v>
      </c>
      <c r="I1099" s="234" t="s">
        <v>29</v>
      </c>
      <c r="J1099" s="10"/>
      <c r="K1099" s="39"/>
      <c r="L1099" s="40">
        <v>45105</v>
      </c>
      <c r="M1099" s="40">
        <v>45106</v>
      </c>
      <c r="N1099" s="37">
        <v>2574090</v>
      </c>
      <c r="O1099" s="37">
        <v>0</v>
      </c>
      <c r="P1099" s="77"/>
      <c r="Q1099" s="77"/>
      <c r="R1099" s="77"/>
      <c r="S1099" s="77"/>
      <c r="T1099" s="77"/>
      <c r="U1099" s="77"/>
      <c r="V1099" s="77"/>
      <c r="W1099" s="77"/>
      <c r="X1099" s="77"/>
      <c r="Y1099" s="77"/>
      <c r="Z1099" s="77"/>
    </row>
    <row r="1100" spans="1:26" ht="14.25" customHeight="1">
      <c r="A1100" s="9">
        <v>1231</v>
      </c>
      <c r="B1100" s="10"/>
      <c r="C1100" s="21">
        <v>230803</v>
      </c>
      <c r="D1100" s="22" t="s">
        <v>591</v>
      </c>
      <c r="E1100" s="23">
        <v>45028</v>
      </c>
      <c r="F1100" s="24">
        <v>45017</v>
      </c>
      <c r="G1100" s="25">
        <v>129148</v>
      </c>
      <c r="H1100" s="26" t="s">
        <v>2932</v>
      </c>
      <c r="I1100" s="234" t="s">
        <v>29</v>
      </c>
      <c r="J1100" s="10"/>
      <c r="K1100" s="39"/>
      <c r="L1100" s="40">
        <v>45105</v>
      </c>
      <c r="M1100" s="40">
        <v>45106</v>
      </c>
      <c r="N1100" s="37">
        <v>129148</v>
      </c>
      <c r="O1100" s="37">
        <v>0</v>
      </c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</row>
    <row r="1101" spans="1:26" ht="14.25" customHeight="1">
      <c r="A1101" s="9">
        <v>1229</v>
      </c>
      <c r="B1101" s="10"/>
      <c r="C1101" s="21">
        <v>230804</v>
      </c>
      <c r="D1101" s="22" t="s">
        <v>591</v>
      </c>
      <c r="E1101" s="23">
        <v>45028</v>
      </c>
      <c r="F1101" s="24">
        <v>45017</v>
      </c>
      <c r="G1101" s="25">
        <v>441946</v>
      </c>
      <c r="H1101" s="26" t="s">
        <v>2933</v>
      </c>
      <c r="I1101" s="234" t="s">
        <v>29</v>
      </c>
      <c r="J1101" s="10"/>
      <c r="K1101" s="39"/>
      <c r="L1101" s="40">
        <v>45105</v>
      </c>
      <c r="M1101" s="40">
        <v>45106</v>
      </c>
      <c r="N1101" s="37">
        <v>441946</v>
      </c>
      <c r="O1101" s="37">
        <v>0</v>
      </c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</row>
    <row r="1102" spans="1:26" ht="14.25" customHeight="1">
      <c r="A1102" s="9">
        <v>1230</v>
      </c>
      <c r="B1102" s="10"/>
      <c r="C1102" s="21">
        <v>230837</v>
      </c>
      <c r="D1102" s="22" t="s">
        <v>591</v>
      </c>
      <c r="E1102" s="23">
        <v>45029</v>
      </c>
      <c r="F1102" s="24">
        <v>45017</v>
      </c>
      <c r="G1102" s="25">
        <v>2099831</v>
      </c>
      <c r="H1102" s="26" t="s">
        <v>2934</v>
      </c>
      <c r="I1102" s="234" t="s">
        <v>29</v>
      </c>
      <c r="J1102" s="10"/>
      <c r="K1102" s="39"/>
      <c r="L1102" s="40">
        <v>45105</v>
      </c>
      <c r="M1102" s="40">
        <v>45106</v>
      </c>
      <c r="N1102" s="37">
        <v>2099831</v>
      </c>
      <c r="O1102" s="37">
        <v>0</v>
      </c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</row>
    <row r="1103" spans="1:26" ht="14.25" customHeight="1">
      <c r="A1103" s="9">
        <v>1232</v>
      </c>
      <c r="B1103" s="10"/>
      <c r="C1103" s="21">
        <v>230846</v>
      </c>
      <c r="D1103" s="22" t="s">
        <v>591</v>
      </c>
      <c r="E1103" s="23">
        <v>45034</v>
      </c>
      <c r="F1103" s="24">
        <v>45017</v>
      </c>
      <c r="G1103" s="25">
        <v>186480</v>
      </c>
      <c r="H1103" s="26" t="s">
        <v>2935</v>
      </c>
      <c r="I1103" s="234" t="s">
        <v>29</v>
      </c>
      <c r="J1103" s="27">
        <v>15174110</v>
      </c>
      <c r="K1103" s="39">
        <v>45132</v>
      </c>
      <c r="L1103" s="36">
        <v>45132</v>
      </c>
      <c r="M1103" s="36">
        <v>45132</v>
      </c>
      <c r="N1103" s="37">
        <v>186480</v>
      </c>
      <c r="O1103" s="37">
        <v>0</v>
      </c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</row>
    <row r="1104" spans="1:26" ht="14.25" customHeight="1">
      <c r="A1104" s="9">
        <v>1233</v>
      </c>
      <c r="B1104" s="10"/>
      <c r="C1104" s="21">
        <v>230847</v>
      </c>
      <c r="D1104" s="22" t="s">
        <v>591</v>
      </c>
      <c r="E1104" s="23">
        <v>45034</v>
      </c>
      <c r="F1104" s="24">
        <v>45017</v>
      </c>
      <c r="G1104" s="25">
        <v>100865</v>
      </c>
      <c r="H1104" s="26" t="s">
        <v>2936</v>
      </c>
      <c r="I1104" s="234" t="s">
        <v>29</v>
      </c>
      <c r="J1104" s="10"/>
      <c r="K1104" s="39"/>
      <c r="L1104" s="36">
        <v>45132</v>
      </c>
      <c r="M1104" s="36">
        <v>45132</v>
      </c>
      <c r="N1104" s="37">
        <v>100865</v>
      </c>
      <c r="O1104" s="37">
        <v>0</v>
      </c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</row>
    <row r="1105" spans="1:26" ht="14.25" customHeight="1">
      <c r="A1105" s="9">
        <v>1234</v>
      </c>
      <c r="B1105" s="10"/>
      <c r="C1105" s="21">
        <v>230852</v>
      </c>
      <c r="D1105" s="22" t="s">
        <v>591</v>
      </c>
      <c r="E1105" s="23">
        <v>45035</v>
      </c>
      <c r="F1105" s="24">
        <v>45017</v>
      </c>
      <c r="G1105" s="25">
        <v>1332000</v>
      </c>
      <c r="H1105" s="26" t="s">
        <v>2937</v>
      </c>
      <c r="I1105" s="234" t="s">
        <v>29</v>
      </c>
      <c r="J1105" s="10"/>
      <c r="K1105" s="39"/>
      <c r="L1105" s="36">
        <v>45132</v>
      </c>
      <c r="M1105" s="36">
        <v>45132</v>
      </c>
      <c r="N1105" s="37">
        <v>1332000</v>
      </c>
      <c r="O1105" s="37">
        <v>0</v>
      </c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</row>
    <row r="1106" spans="1:26" ht="14.25" customHeight="1">
      <c r="A1106" s="9">
        <v>1235</v>
      </c>
      <c r="B1106" s="10"/>
      <c r="C1106" s="21">
        <v>230887</v>
      </c>
      <c r="D1106" s="22" t="s">
        <v>591</v>
      </c>
      <c r="E1106" s="23">
        <v>45045</v>
      </c>
      <c r="F1106" s="24">
        <v>45017</v>
      </c>
      <c r="G1106" s="25">
        <v>3362634</v>
      </c>
      <c r="H1106" s="26" t="s">
        <v>2938</v>
      </c>
      <c r="I1106" s="234" t="s">
        <v>29</v>
      </c>
      <c r="J1106" s="10"/>
      <c r="K1106" s="39"/>
      <c r="L1106" s="36">
        <v>45132</v>
      </c>
      <c r="M1106" s="36">
        <v>45132</v>
      </c>
      <c r="N1106" s="37">
        <v>3362634</v>
      </c>
      <c r="O1106" s="37">
        <v>0</v>
      </c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</row>
    <row r="1107" spans="1:26" ht="14.25" customHeight="1">
      <c r="A1107" s="9">
        <v>1236</v>
      </c>
      <c r="B1107" s="10"/>
      <c r="C1107" s="21">
        <v>230940</v>
      </c>
      <c r="D1107" s="22" t="s">
        <v>591</v>
      </c>
      <c r="E1107" s="23">
        <v>45055</v>
      </c>
      <c r="F1107" s="24">
        <v>45047</v>
      </c>
      <c r="G1107" s="25">
        <v>5148180</v>
      </c>
      <c r="H1107" s="26" t="s">
        <v>2939</v>
      </c>
      <c r="I1107" s="234" t="s">
        <v>29</v>
      </c>
      <c r="J1107" s="10"/>
      <c r="K1107" s="39"/>
      <c r="L1107" s="36">
        <v>45132</v>
      </c>
      <c r="M1107" s="36">
        <v>45132</v>
      </c>
      <c r="N1107" s="37">
        <v>5148180</v>
      </c>
      <c r="O1107" s="37">
        <v>0</v>
      </c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</row>
    <row r="1108" spans="1:26" ht="14.25" customHeight="1">
      <c r="A1108" s="9">
        <v>1237</v>
      </c>
      <c r="B1108" s="10"/>
      <c r="C1108" s="21">
        <v>230980</v>
      </c>
      <c r="D1108" s="22" t="s">
        <v>591</v>
      </c>
      <c r="E1108" s="23">
        <v>45062</v>
      </c>
      <c r="F1108" s="24">
        <v>45047</v>
      </c>
      <c r="G1108" s="25">
        <v>5043951</v>
      </c>
      <c r="H1108" s="26" t="s">
        <v>2940</v>
      </c>
      <c r="I1108" s="234" t="s">
        <v>29</v>
      </c>
      <c r="J1108" s="10"/>
      <c r="K1108" s="39"/>
      <c r="L1108" s="36">
        <v>45132</v>
      </c>
      <c r="M1108" s="36">
        <v>45132</v>
      </c>
      <c r="N1108" s="37">
        <v>5043951</v>
      </c>
      <c r="O1108" s="37">
        <v>0</v>
      </c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</row>
    <row r="1109" spans="1:26" ht="14.25" customHeight="1">
      <c r="A1109" s="9">
        <v>1238</v>
      </c>
      <c r="B1109" s="10"/>
      <c r="C1109" s="21">
        <v>231176</v>
      </c>
      <c r="D1109" s="22" t="s">
        <v>591</v>
      </c>
      <c r="E1109" s="23">
        <v>45091</v>
      </c>
      <c r="F1109" s="24">
        <v>45078</v>
      </c>
      <c r="G1109" s="25">
        <v>5043951</v>
      </c>
      <c r="H1109" s="25" t="s">
        <v>2941</v>
      </c>
      <c r="I1109" s="233" t="s">
        <v>29</v>
      </c>
      <c r="J1109" s="25">
        <v>23719692</v>
      </c>
      <c r="K1109" s="36">
        <v>45163</v>
      </c>
      <c r="L1109" s="36">
        <v>45164</v>
      </c>
      <c r="M1109" s="36">
        <v>45164</v>
      </c>
      <c r="N1109" s="51">
        <v>5043951</v>
      </c>
      <c r="O1109" s="37">
        <v>0</v>
      </c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</row>
    <row r="1110" spans="1:26" ht="14.25" customHeight="1">
      <c r="A1110" s="9">
        <v>1240</v>
      </c>
      <c r="B1110" s="10"/>
      <c r="C1110" s="21">
        <v>231278</v>
      </c>
      <c r="D1110" s="22" t="s">
        <v>591</v>
      </c>
      <c r="E1110" s="23">
        <v>45104</v>
      </c>
      <c r="F1110" s="24">
        <v>45078</v>
      </c>
      <c r="G1110" s="25">
        <v>2433120</v>
      </c>
      <c r="H1110" s="25" t="s">
        <v>2942</v>
      </c>
      <c r="I1110" s="233" t="s">
        <v>29</v>
      </c>
      <c r="J1110" s="10"/>
      <c r="K1110" s="36">
        <v>45163</v>
      </c>
      <c r="L1110" s="36">
        <v>45164</v>
      </c>
      <c r="M1110" s="36">
        <v>45164</v>
      </c>
      <c r="N1110" s="51">
        <v>2433120</v>
      </c>
      <c r="O1110" s="37">
        <v>0</v>
      </c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</row>
    <row r="1111" spans="1:26" ht="14.25" customHeight="1">
      <c r="A1111" s="9">
        <v>1239</v>
      </c>
      <c r="B1111" s="10"/>
      <c r="C1111" s="21">
        <v>231279</v>
      </c>
      <c r="D1111" s="22" t="s">
        <v>591</v>
      </c>
      <c r="E1111" s="23">
        <v>45104</v>
      </c>
      <c r="F1111" s="24">
        <v>45078</v>
      </c>
      <c r="G1111" s="25">
        <v>3861135</v>
      </c>
      <c r="H1111" s="25" t="s">
        <v>2943</v>
      </c>
      <c r="I1111" s="233" t="s">
        <v>29</v>
      </c>
      <c r="J1111" s="10"/>
      <c r="K1111" s="36">
        <v>45163</v>
      </c>
      <c r="L1111" s="36">
        <v>45164</v>
      </c>
      <c r="M1111" s="36">
        <v>45164</v>
      </c>
      <c r="N1111" s="51">
        <v>3861135</v>
      </c>
      <c r="O1111" s="37">
        <v>0</v>
      </c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</row>
    <row r="1112" spans="1:26" ht="14.25" customHeight="1">
      <c r="A1112" s="9">
        <v>1241</v>
      </c>
      <c r="B1112" s="10"/>
      <c r="C1112" s="21">
        <v>231311</v>
      </c>
      <c r="D1112" s="22" t="s">
        <v>591</v>
      </c>
      <c r="E1112" s="23">
        <v>45107</v>
      </c>
      <c r="F1112" s="24">
        <v>45078</v>
      </c>
      <c r="G1112" s="25">
        <v>525007</v>
      </c>
      <c r="H1112" s="25" t="s">
        <v>2944</v>
      </c>
      <c r="I1112" s="233" t="s">
        <v>29</v>
      </c>
      <c r="J1112" s="10"/>
      <c r="K1112" s="36">
        <v>45163</v>
      </c>
      <c r="L1112" s="36">
        <v>45164</v>
      </c>
      <c r="M1112" s="36">
        <v>45164</v>
      </c>
      <c r="N1112" s="51">
        <v>525007</v>
      </c>
      <c r="O1112" s="37">
        <v>0</v>
      </c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</row>
    <row r="1113" spans="1:26" ht="14.25" customHeight="1">
      <c r="A1113" s="9">
        <v>1243</v>
      </c>
      <c r="B1113" s="10"/>
      <c r="C1113" s="21">
        <v>231312</v>
      </c>
      <c r="D1113" s="22" t="s">
        <v>591</v>
      </c>
      <c r="E1113" s="23">
        <v>45107</v>
      </c>
      <c r="F1113" s="24">
        <v>45078</v>
      </c>
      <c r="G1113" s="25">
        <v>1418313</v>
      </c>
      <c r="H1113" s="25" t="s">
        <v>2945</v>
      </c>
      <c r="I1113" s="233" t="s">
        <v>29</v>
      </c>
      <c r="J1113" s="10"/>
      <c r="K1113" s="36">
        <v>45163</v>
      </c>
      <c r="L1113" s="36">
        <v>45164</v>
      </c>
      <c r="M1113" s="36">
        <v>45164</v>
      </c>
      <c r="N1113" s="51">
        <v>1418313</v>
      </c>
      <c r="O1113" s="37">
        <v>0</v>
      </c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</row>
    <row r="1114" spans="1:26" ht="14.25" customHeight="1">
      <c r="A1114" s="9">
        <v>1242</v>
      </c>
      <c r="B1114" s="10"/>
      <c r="C1114" s="21">
        <v>231313</v>
      </c>
      <c r="D1114" s="22" t="s">
        <v>591</v>
      </c>
      <c r="E1114" s="23">
        <v>45107</v>
      </c>
      <c r="F1114" s="24">
        <v>45078</v>
      </c>
      <c r="G1114" s="25">
        <v>2313262</v>
      </c>
      <c r="H1114" s="25" t="s">
        <v>2946</v>
      </c>
      <c r="I1114" s="233" t="s">
        <v>29</v>
      </c>
      <c r="J1114" s="10"/>
      <c r="K1114" s="36">
        <v>45163</v>
      </c>
      <c r="L1114" s="36">
        <v>45164</v>
      </c>
      <c r="M1114" s="36">
        <v>45164</v>
      </c>
      <c r="N1114" s="51">
        <v>2313262</v>
      </c>
      <c r="O1114" s="37">
        <v>0</v>
      </c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</row>
    <row r="1115" spans="1:26" ht="14.25" customHeight="1">
      <c r="A1115" s="9">
        <v>1245</v>
      </c>
      <c r="B1115" s="10"/>
      <c r="C1115" s="21">
        <v>231321</v>
      </c>
      <c r="D1115" s="22" t="s">
        <v>591</v>
      </c>
      <c r="E1115" s="23">
        <v>45113</v>
      </c>
      <c r="F1115" s="24">
        <v>45108</v>
      </c>
      <c r="G1115" s="25">
        <v>626206</v>
      </c>
      <c r="H1115" s="25" t="s">
        <v>2947</v>
      </c>
      <c r="I1115" s="233" t="s">
        <v>29</v>
      </c>
      <c r="J1115" s="10"/>
      <c r="K1115" s="36">
        <v>45163</v>
      </c>
      <c r="L1115" s="36">
        <v>45164</v>
      </c>
      <c r="M1115" s="36">
        <v>45164</v>
      </c>
      <c r="N1115" s="51">
        <v>626206</v>
      </c>
      <c r="O1115" s="37">
        <v>0</v>
      </c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</row>
    <row r="1116" spans="1:26" ht="14.25" customHeight="1">
      <c r="A1116" s="9">
        <v>1244</v>
      </c>
      <c r="B1116" s="10"/>
      <c r="C1116" s="21">
        <v>231326</v>
      </c>
      <c r="D1116" s="22" t="s">
        <v>591</v>
      </c>
      <c r="E1116" s="23">
        <v>45113</v>
      </c>
      <c r="F1116" s="24">
        <v>45108</v>
      </c>
      <c r="G1116" s="25">
        <v>1939947</v>
      </c>
      <c r="H1116" s="25" t="s">
        <v>2948</v>
      </c>
      <c r="I1116" s="233" t="s">
        <v>29</v>
      </c>
      <c r="J1116" s="10"/>
      <c r="K1116" s="36">
        <v>45163</v>
      </c>
      <c r="L1116" s="36">
        <v>45164</v>
      </c>
      <c r="M1116" s="36">
        <v>45164</v>
      </c>
      <c r="N1116" s="51">
        <v>1939947</v>
      </c>
      <c r="O1116" s="37">
        <v>0</v>
      </c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</row>
    <row r="1117" spans="1:26" ht="14.25" customHeight="1">
      <c r="A1117" s="9">
        <v>1247</v>
      </c>
      <c r="B1117" s="10"/>
      <c r="C1117" s="21">
        <v>231443</v>
      </c>
      <c r="D1117" s="22" t="s">
        <v>591</v>
      </c>
      <c r="E1117" s="23">
        <v>45132</v>
      </c>
      <c r="F1117" s="24">
        <v>45108</v>
      </c>
      <c r="G1117" s="25">
        <v>514800</v>
      </c>
      <c r="H1117" s="25" t="s">
        <v>2949</v>
      </c>
      <c r="I1117" s="233" t="s">
        <v>29</v>
      </c>
      <c r="J1117" s="10"/>
      <c r="K1117" s="36">
        <v>45163</v>
      </c>
      <c r="L1117" s="36">
        <v>45164</v>
      </c>
      <c r="M1117" s="36">
        <v>45164</v>
      </c>
      <c r="N1117" s="51">
        <v>514800</v>
      </c>
      <c r="O1117" s="37">
        <v>0</v>
      </c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</row>
    <row r="1118" spans="1:26" ht="14.25" customHeight="1">
      <c r="A1118" s="9">
        <v>1246</v>
      </c>
      <c r="B1118" s="10"/>
      <c r="C1118" s="21">
        <v>231446</v>
      </c>
      <c r="D1118" s="22" t="s">
        <v>591</v>
      </c>
      <c r="E1118" s="23">
        <v>45132</v>
      </c>
      <c r="F1118" s="24">
        <v>45108</v>
      </c>
      <c r="G1118" s="25">
        <v>5043951</v>
      </c>
      <c r="H1118" s="25" t="s">
        <v>2950</v>
      </c>
      <c r="I1118" s="233" t="s">
        <v>29</v>
      </c>
      <c r="J1118" s="10"/>
      <c r="K1118" s="36">
        <v>45163</v>
      </c>
      <c r="L1118" s="36">
        <v>45164</v>
      </c>
      <c r="M1118" s="36">
        <v>45164</v>
      </c>
      <c r="N1118" s="51">
        <v>5043951</v>
      </c>
      <c r="O1118" s="37">
        <v>0</v>
      </c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</row>
    <row r="1119" spans="1:26" ht="14.25" customHeight="1">
      <c r="A1119" s="9">
        <v>1249</v>
      </c>
      <c r="B1119" s="10"/>
      <c r="C1119" s="21">
        <v>231497</v>
      </c>
      <c r="D1119" s="22" t="s">
        <v>591</v>
      </c>
      <c r="E1119" s="23">
        <v>45135</v>
      </c>
      <c r="F1119" s="24">
        <v>45108</v>
      </c>
      <c r="G1119" s="25">
        <v>2152068</v>
      </c>
      <c r="H1119" s="25" t="s">
        <v>2951</v>
      </c>
      <c r="I1119" s="233" t="s">
        <v>29</v>
      </c>
      <c r="J1119" s="10"/>
      <c r="K1119" s="36">
        <v>45204</v>
      </c>
      <c r="L1119" s="36">
        <v>45204</v>
      </c>
      <c r="M1119" s="36">
        <v>45205</v>
      </c>
      <c r="N1119" s="51">
        <v>2152068</v>
      </c>
      <c r="O1119" s="37">
        <v>0</v>
      </c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</row>
    <row r="1120" spans="1:26" ht="14.25" customHeight="1">
      <c r="A1120" s="9">
        <v>1248</v>
      </c>
      <c r="B1120" s="10"/>
      <c r="C1120" s="21">
        <v>231498</v>
      </c>
      <c r="D1120" s="22" t="s">
        <v>591</v>
      </c>
      <c r="E1120" s="23">
        <v>45135</v>
      </c>
      <c r="F1120" s="24">
        <v>45108</v>
      </c>
      <c r="G1120" s="25">
        <v>2059200</v>
      </c>
      <c r="H1120" s="25" t="s">
        <v>2952</v>
      </c>
      <c r="I1120" s="233" t="s">
        <v>29</v>
      </c>
      <c r="J1120" s="25">
        <v>19874322</v>
      </c>
      <c r="K1120" s="36">
        <v>45204</v>
      </c>
      <c r="L1120" s="36">
        <v>45204</v>
      </c>
      <c r="M1120" s="36">
        <v>45205</v>
      </c>
      <c r="N1120" s="51">
        <v>2059200</v>
      </c>
      <c r="O1120" s="37">
        <v>0</v>
      </c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</row>
    <row r="1121" spans="1:26" ht="14.25" customHeight="1">
      <c r="A1121" s="9">
        <v>1250</v>
      </c>
      <c r="B1121" s="10"/>
      <c r="C1121" s="21">
        <v>231490</v>
      </c>
      <c r="D1121" s="22" t="s">
        <v>591</v>
      </c>
      <c r="E1121" s="23">
        <v>45136</v>
      </c>
      <c r="F1121" s="24">
        <v>45108</v>
      </c>
      <c r="G1121" s="25">
        <v>2574001</v>
      </c>
      <c r="H1121" s="25" t="s">
        <v>2953</v>
      </c>
      <c r="I1121" s="233" t="s">
        <v>29</v>
      </c>
      <c r="J1121" s="10"/>
      <c r="K1121" s="36">
        <v>45204</v>
      </c>
      <c r="L1121" s="36">
        <v>45204</v>
      </c>
      <c r="M1121" s="36">
        <v>45205</v>
      </c>
      <c r="N1121" s="51">
        <v>2574001</v>
      </c>
      <c r="O1121" s="37">
        <v>0</v>
      </c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</row>
    <row r="1122" spans="1:26" ht="14.25" customHeight="1">
      <c r="A1122" s="9">
        <v>1251</v>
      </c>
      <c r="B1122" s="10"/>
      <c r="C1122" s="21">
        <v>231521</v>
      </c>
      <c r="D1122" s="22" t="s">
        <v>591</v>
      </c>
      <c r="E1122" s="23">
        <v>45138</v>
      </c>
      <c r="F1122" s="24">
        <v>45108</v>
      </c>
      <c r="G1122" s="25">
        <v>1609500</v>
      </c>
      <c r="H1122" s="25" t="s">
        <v>2954</v>
      </c>
      <c r="I1122" s="233" t="s">
        <v>29</v>
      </c>
      <c r="J1122" s="10"/>
      <c r="K1122" s="36">
        <v>45204</v>
      </c>
      <c r="L1122" s="36">
        <v>45204</v>
      </c>
      <c r="M1122" s="36">
        <v>45205</v>
      </c>
      <c r="N1122" s="51">
        <v>1609500</v>
      </c>
      <c r="O1122" s="37">
        <v>0</v>
      </c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</row>
    <row r="1123" spans="1:26" ht="14.25" customHeight="1">
      <c r="A1123" s="9">
        <v>1253</v>
      </c>
      <c r="B1123" s="10"/>
      <c r="C1123" s="21">
        <v>231651</v>
      </c>
      <c r="D1123" s="22" t="s">
        <v>591</v>
      </c>
      <c r="E1123" s="23">
        <v>45152</v>
      </c>
      <c r="F1123" s="24">
        <v>45139</v>
      </c>
      <c r="G1123" s="25">
        <v>399600</v>
      </c>
      <c r="H1123" s="25" t="s">
        <v>2955</v>
      </c>
      <c r="I1123" s="233" t="s">
        <v>29</v>
      </c>
      <c r="J1123" s="10"/>
      <c r="K1123" s="36">
        <v>45204</v>
      </c>
      <c r="L1123" s="36">
        <v>45204</v>
      </c>
      <c r="M1123" s="36">
        <v>45205</v>
      </c>
      <c r="N1123" s="51">
        <v>399600</v>
      </c>
      <c r="O1123" s="37">
        <v>0</v>
      </c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</row>
    <row r="1124" spans="1:26" ht="14.25" customHeight="1">
      <c r="A1124" s="9">
        <v>1252</v>
      </c>
      <c r="B1124" s="10"/>
      <c r="C1124" s="21">
        <v>231652</v>
      </c>
      <c r="D1124" s="22" t="s">
        <v>591</v>
      </c>
      <c r="E1124" s="23">
        <v>45152</v>
      </c>
      <c r="F1124" s="24">
        <v>45139</v>
      </c>
      <c r="G1124" s="25">
        <v>5043951</v>
      </c>
      <c r="H1124" s="25" t="s">
        <v>2956</v>
      </c>
      <c r="I1124" s="233" t="s">
        <v>29</v>
      </c>
      <c r="J1124" s="10"/>
      <c r="K1124" s="36">
        <v>45204</v>
      </c>
      <c r="L1124" s="36">
        <v>45204</v>
      </c>
      <c r="M1124" s="36">
        <v>45205</v>
      </c>
      <c r="N1124" s="51">
        <v>5043951</v>
      </c>
      <c r="O1124" s="37">
        <v>0</v>
      </c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</row>
    <row r="1125" spans="1:26" ht="14.25" customHeight="1">
      <c r="A1125" s="9">
        <v>1254</v>
      </c>
      <c r="B1125" s="10"/>
      <c r="C1125" s="21">
        <v>231653</v>
      </c>
      <c r="D1125" s="22" t="s">
        <v>591</v>
      </c>
      <c r="E1125" s="23">
        <v>45154</v>
      </c>
      <c r="F1125" s="24">
        <v>45139</v>
      </c>
      <c r="G1125" s="25">
        <v>888000</v>
      </c>
      <c r="H1125" s="25" t="s">
        <v>2957</v>
      </c>
      <c r="I1125" s="233" t="s">
        <v>29</v>
      </c>
      <c r="J1125" s="10"/>
      <c r="K1125" s="36">
        <v>45204</v>
      </c>
      <c r="L1125" s="36">
        <v>45204</v>
      </c>
      <c r="M1125" s="36">
        <v>45205</v>
      </c>
      <c r="N1125" s="51">
        <v>888000</v>
      </c>
      <c r="O1125" s="37">
        <v>0</v>
      </c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</row>
    <row r="1126" spans="1:26" ht="14.25" customHeight="1">
      <c r="A1126" s="9">
        <v>1255</v>
      </c>
      <c r="B1126" s="10"/>
      <c r="C1126" s="21">
        <v>231634</v>
      </c>
      <c r="D1126" s="22" t="s">
        <v>591</v>
      </c>
      <c r="E1126" s="23">
        <v>45156</v>
      </c>
      <c r="F1126" s="24">
        <v>45139</v>
      </c>
      <c r="G1126" s="25">
        <v>5148002</v>
      </c>
      <c r="H1126" s="25" t="s">
        <v>2958</v>
      </c>
      <c r="I1126" s="233" t="s">
        <v>29</v>
      </c>
      <c r="J1126" s="10"/>
      <c r="K1126" s="36">
        <v>45204</v>
      </c>
      <c r="L1126" s="36">
        <v>45204</v>
      </c>
      <c r="M1126" s="36">
        <v>45205</v>
      </c>
      <c r="N1126" s="51">
        <v>5148002</v>
      </c>
      <c r="O1126" s="37">
        <v>0</v>
      </c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</row>
    <row r="1127" spans="1:26" ht="14.25" customHeight="1">
      <c r="A1127" s="9">
        <v>1256</v>
      </c>
      <c r="B1127" s="10"/>
      <c r="C1127" s="21">
        <v>231713</v>
      </c>
      <c r="D1127" s="22" t="s">
        <v>591</v>
      </c>
      <c r="E1127" s="23">
        <v>45163</v>
      </c>
      <c r="F1127" s="24">
        <v>45139</v>
      </c>
      <c r="G1127" s="25">
        <v>3362634</v>
      </c>
      <c r="H1127" s="25" t="s">
        <v>2959</v>
      </c>
      <c r="I1127" s="233" t="s">
        <v>29</v>
      </c>
      <c r="J1127" s="27">
        <v>21121736</v>
      </c>
      <c r="K1127" s="36">
        <v>45229</v>
      </c>
      <c r="L1127" s="36">
        <v>45229</v>
      </c>
      <c r="M1127" s="36">
        <v>45229</v>
      </c>
      <c r="N1127" s="37">
        <v>3362634</v>
      </c>
      <c r="O1127" s="37">
        <v>0</v>
      </c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</row>
    <row r="1128" spans="1:26" ht="14.25" customHeight="1">
      <c r="A1128" s="9">
        <v>1258</v>
      </c>
      <c r="B1128" s="10"/>
      <c r="C1128" s="21">
        <v>231749</v>
      </c>
      <c r="D1128" s="22" t="s">
        <v>591</v>
      </c>
      <c r="E1128" s="23">
        <v>45166</v>
      </c>
      <c r="F1128" s="24">
        <v>45139</v>
      </c>
      <c r="G1128" s="25">
        <v>921300</v>
      </c>
      <c r="H1128" s="25" t="s">
        <v>2960</v>
      </c>
      <c r="I1128" s="233" t="s">
        <v>29</v>
      </c>
      <c r="J1128" s="10"/>
      <c r="K1128" s="36">
        <v>45229</v>
      </c>
      <c r="L1128" s="36">
        <v>45229</v>
      </c>
      <c r="M1128" s="36">
        <v>45229</v>
      </c>
      <c r="N1128" s="37">
        <v>921300</v>
      </c>
      <c r="O1128" s="37">
        <v>0</v>
      </c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</row>
    <row r="1129" spans="1:26" ht="14.25" customHeight="1">
      <c r="A1129" s="9">
        <v>1257</v>
      </c>
      <c r="B1129" s="10"/>
      <c r="C1129" s="21">
        <v>231751</v>
      </c>
      <c r="D1129" s="22" t="s">
        <v>591</v>
      </c>
      <c r="E1129" s="23">
        <v>45166</v>
      </c>
      <c r="F1129" s="24">
        <v>45139</v>
      </c>
      <c r="G1129" s="25">
        <v>388500</v>
      </c>
      <c r="H1129" s="25" t="s">
        <v>2961</v>
      </c>
      <c r="I1129" s="233" t="s">
        <v>29</v>
      </c>
      <c r="J1129" s="10"/>
      <c r="K1129" s="36">
        <v>45229</v>
      </c>
      <c r="L1129" s="36">
        <v>45229</v>
      </c>
      <c r="M1129" s="36">
        <v>45229</v>
      </c>
      <c r="N1129" s="37">
        <v>388500</v>
      </c>
      <c r="O1129" s="37">
        <v>0</v>
      </c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</row>
    <row r="1130" spans="1:26" ht="14.25" customHeight="1">
      <c r="A1130" s="9">
        <v>1260</v>
      </c>
      <c r="B1130" s="10"/>
      <c r="C1130" s="21">
        <v>231754</v>
      </c>
      <c r="D1130" s="22" t="s">
        <v>591</v>
      </c>
      <c r="E1130" s="23">
        <v>45167</v>
      </c>
      <c r="F1130" s="24">
        <v>45139</v>
      </c>
      <c r="G1130" s="25">
        <v>3861001</v>
      </c>
      <c r="H1130" s="25" t="s">
        <v>2962</v>
      </c>
      <c r="I1130" s="233" t="s">
        <v>29</v>
      </c>
      <c r="J1130" s="10"/>
      <c r="K1130" s="36">
        <v>45229</v>
      </c>
      <c r="L1130" s="36">
        <v>45229</v>
      </c>
      <c r="M1130" s="36">
        <v>45229</v>
      </c>
      <c r="N1130" s="37">
        <v>3861001</v>
      </c>
      <c r="O1130" s="37">
        <v>0</v>
      </c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</row>
    <row r="1131" spans="1:26" ht="14.25" customHeight="1">
      <c r="A1131" s="9">
        <v>1259</v>
      </c>
      <c r="B1131" s="10"/>
      <c r="C1131" s="21">
        <v>231755</v>
      </c>
      <c r="D1131" s="22" t="s">
        <v>591</v>
      </c>
      <c r="E1131" s="23">
        <v>45167</v>
      </c>
      <c r="F1131" s="24">
        <v>45139</v>
      </c>
      <c r="G1131" s="25">
        <v>4604058</v>
      </c>
      <c r="H1131" s="25" t="s">
        <v>2963</v>
      </c>
      <c r="I1131" s="233" t="s">
        <v>29</v>
      </c>
      <c r="J1131" s="10"/>
      <c r="K1131" s="36">
        <v>45229</v>
      </c>
      <c r="L1131" s="36">
        <v>45229</v>
      </c>
      <c r="M1131" s="36">
        <v>45229</v>
      </c>
      <c r="N1131" s="37">
        <v>4604058</v>
      </c>
      <c r="O1131" s="37">
        <v>0</v>
      </c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</row>
    <row r="1132" spans="1:26" ht="14.25" customHeight="1">
      <c r="A1132" s="9">
        <v>1261</v>
      </c>
      <c r="B1132" s="10"/>
      <c r="C1132" s="21">
        <v>231771</v>
      </c>
      <c r="D1132" s="22" t="s">
        <v>591</v>
      </c>
      <c r="E1132" s="23">
        <v>45168</v>
      </c>
      <c r="F1132" s="24">
        <v>45139</v>
      </c>
      <c r="G1132" s="25">
        <v>144402</v>
      </c>
      <c r="H1132" s="25" t="s">
        <v>2964</v>
      </c>
      <c r="I1132" s="233" t="s">
        <v>29</v>
      </c>
      <c r="J1132" s="10"/>
      <c r="K1132" s="36">
        <v>45229</v>
      </c>
      <c r="L1132" s="36">
        <v>45229</v>
      </c>
      <c r="M1132" s="36">
        <v>45229</v>
      </c>
      <c r="N1132" s="37">
        <v>144402</v>
      </c>
      <c r="O1132" s="37">
        <v>0</v>
      </c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</row>
    <row r="1133" spans="1:26" ht="14.25" customHeight="1">
      <c r="A1133" s="9">
        <v>1264</v>
      </c>
      <c r="B1133" s="10"/>
      <c r="C1133" s="21">
        <v>231780</v>
      </c>
      <c r="D1133" s="22" t="s">
        <v>591</v>
      </c>
      <c r="E1133" s="23">
        <v>45168</v>
      </c>
      <c r="F1133" s="24">
        <v>45139</v>
      </c>
      <c r="G1133" s="25">
        <v>1787100</v>
      </c>
      <c r="H1133" s="25" t="s">
        <v>2965</v>
      </c>
      <c r="I1133" s="233" t="s">
        <v>29</v>
      </c>
      <c r="J1133" s="10"/>
      <c r="K1133" s="36">
        <v>45229</v>
      </c>
      <c r="L1133" s="36">
        <v>45229</v>
      </c>
      <c r="M1133" s="36">
        <v>45229</v>
      </c>
      <c r="N1133" s="37">
        <v>1787100</v>
      </c>
      <c r="O1133" s="37">
        <v>0</v>
      </c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</row>
    <row r="1134" spans="1:26" ht="14.25" customHeight="1">
      <c r="A1134" s="9">
        <v>1262</v>
      </c>
      <c r="B1134" s="10"/>
      <c r="C1134" s="21">
        <v>231781</v>
      </c>
      <c r="D1134" s="22" t="s">
        <v>591</v>
      </c>
      <c r="E1134" s="23">
        <v>45168</v>
      </c>
      <c r="F1134" s="24">
        <v>45139</v>
      </c>
      <c r="G1134" s="25">
        <v>1008790</v>
      </c>
      <c r="H1134" s="25" t="s">
        <v>2966</v>
      </c>
      <c r="I1134" s="233" t="s">
        <v>29</v>
      </c>
      <c r="J1134" s="10"/>
      <c r="K1134" s="36">
        <v>45229</v>
      </c>
      <c r="L1134" s="36">
        <v>45229</v>
      </c>
      <c r="M1134" s="36">
        <v>45229</v>
      </c>
      <c r="N1134" s="37">
        <v>1008790</v>
      </c>
      <c r="O1134" s="37">
        <v>0</v>
      </c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</row>
    <row r="1135" spans="1:26" ht="14.25" customHeight="1">
      <c r="A1135" s="9">
        <v>1263</v>
      </c>
      <c r="B1135" s="10"/>
      <c r="C1135" s="21">
        <v>231782</v>
      </c>
      <c r="D1135" s="22" t="s">
        <v>591</v>
      </c>
      <c r="E1135" s="23">
        <v>45168</v>
      </c>
      <c r="F1135" s="24">
        <v>45139</v>
      </c>
      <c r="G1135" s="25">
        <v>5043951</v>
      </c>
      <c r="H1135" s="25" t="s">
        <v>2967</v>
      </c>
      <c r="I1135" s="233" t="s">
        <v>29</v>
      </c>
      <c r="J1135" s="10"/>
      <c r="K1135" s="36">
        <v>45229</v>
      </c>
      <c r="L1135" s="36">
        <v>45229</v>
      </c>
      <c r="M1135" s="36">
        <v>45229</v>
      </c>
      <c r="N1135" s="37">
        <v>5043951</v>
      </c>
      <c r="O1135" s="37">
        <v>0</v>
      </c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</row>
    <row r="1136" spans="1:26" ht="14.25" customHeight="1">
      <c r="A1136" s="9">
        <v>1265</v>
      </c>
      <c r="B1136" s="10"/>
      <c r="C1136" s="21">
        <v>231827</v>
      </c>
      <c r="D1136" s="22" t="s">
        <v>591</v>
      </c>
      <c r="E1136" s="23">
        <v>45173</v>
      </c>
      <c r="F1136" s="24">
        <v>45170</v>
      </c>
      <c r="G1136" s="25">
        <v>2433081</v>
      </c>
      <c r="H1136" s="25" t="s">
        <v>2968</v>
      </c>
      <c r="I1136" s="233" t="s">
        <v>29</v>
      </c>
      <c r="J1136" s="27">
        <v>18591386</v>
      </c>
      <c r="K1136" s="39">
        <v>45240</v>
      </c>
      <c r="L1136" s="36">
        <v>45240</v>
      </c>
      <c r="M1136" s="36">
        <v>45240</v>
      </c>
      <c r="N1136" s="37">
        <v>2433081</v>
      </c>
      <c r="O1136" s="37">
        <v>0</v>
      </c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</row>
    <row r="1137" spans="1:26" ht="14.25" customHeight="1">
      <c r="A1137" s="9">
        <v>1266</v>
      </c>
      <c r="B1137" s="10"/>
      <c r="C1137" s="21">
        <v>231834</v>
      </c>
      <c r="D1137" s="22" t="s">
        <v>591</v>
      </c>
      <c r="E1137" s="23">
        <v>45176</v>
      </c>
      <c r="F1137" s="24">
        <v>45170</v>
      </c>
      <c r="G1137" s="25">
        <v>5994000</v>
      </c>
      <c r="H1137" s="25" t="s">
        <v>2969</v>
      </c>
      <c r="I1137" s="233" t="s">
        <v>29</v>
      </c>
      <c r="J1137" s="10"/>
      <c r="K1137" s="39"/>
      <c r="L1137" s="36">
        <v>45240</v>
      </c>
      <c r="M1137" s="36">
        <v>45240</v>
      </c>
      <c r="N1137" s="37">
        <v>5994000</v>
      </c>
      <c r="O1137" s="37">
        <v>0</v>
      </c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</row>
    <row r="1138" spans="1:26" ht="14.25" customHeight="1">
      <c r="A1138" s="9">
        <v>1267</v>
      </c>
      <c r="B1138" s="10"/>
      <c r="C1138" s="21">
        <v>231871</v>
      </c>
      <c r="D1138" s="22" t="s">
        <v>591</v>
      </c>
      <c r="E1138" s="23">
        <v>45177</v>
      </c>
      <c r="F1138" s="24">
        <v>45170</v>
      </c>
      <c r="G1138" s="25">
        <v>1798200</v>
      </c>
      <c r="H1138" s="25" t="s">
        <v>2970</v>
      </c>
      <c r="I1138" s="233" t="s">
        <v>29</v>
      </c>
      <c r="J1138" s="10"/>
      <c r="K1138" s="39"/>
      <c r="L1138" s="36">
        <v>45240</v>
      </c>
      <c r="M1138" s="36">
        <v>45240</v>
      </c>
      <c r="N1138" s="37">
        <v>1798200</v>
      </c>
      <c r="O1138" s="37">
        <v>0</v>
      </c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</row>
    <row r="1139" spans="1:26" ht="14.25" customHeight="1">
      <c r="A1139" s="9">
        <v>1268</v>
      </c>
      <c r="B1139" s="10"/>
      <c r="C1139" s="21">
        <v>231853</v>
      </c>
      <c r="D1139" s="22" t="s">
        <v>591</v>
      </c>
      <c r="E1139" s="23">
        <v>45178</v>
      </c>
      <c r="F1139" s="24">
        <v>45170</v>
      </c>
      <c r="G1139" s="25">
        <v>529350</v>
      </c>
      <c r="H1139" s="25" t="s">
        <v>2971</v>
      </c>
      <c r="I1139" s="233" t="s">
        <v>29</v>
      </c>
      <c r="J1139" s="10"/>
      <c r="K1139" s="39"/>
      <c r="L1139" s="36">
        <v>45240</v>
      </c>
      <c r="M1139" s="36">
        <v>45240</v>
      </c>
      <c r="N1139" s="37">
        <v>529350</v>
      </c>
      <c r="O1139" s="37">
        <v>0</v>
      </c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</row>
    <row r="1140" spans="1:26" ht="14.25" customHeight="1">
      <c r="A1140" s="9">
        <v>1269</v>
      </c>
      <c r="B1140" s="10"/>
      <c r="C1140" s="21">
        <v>231863</v>
      </c>
      <c r="D1140" s="22" t="s">
        <v>591</v>
      </c>
      <c r="E1140" s="23">
        <v>45180</v>
      </c>
      <c r="F1140" s="24">
        <v>45170</v>
      </c>
      <c r="G1140" s="25">
        <v>1931400</v>
      </c>
      <c r="H1140" s="25" t="s">
        <v>2972</v>
      </c>
      <c r="I1140" s="233" t="s">
        <v>29</v>
      </c>
      <c r="J1140" s="10"/>
      <c r="K1140" s="39"/>
      <c r="L1140" s="36">
        <v>45240</v>
      </c>
      <c r="M1140" s="36">
        <v>45240</v>
      </c>
      <c r="N1140" s="37">
        <v>1931400</v>
      </c>
      <c r="O1140" s="37">
        <v>0</v>
      </c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</row>
    <row r="1141" spans="1:26" ht="14.25" customHeight="1">
      <c r="A1141" s="9">
        <v>1271</v>
      </c>
      <c r="B1141" s="10"/>
      <c r="C1141" s="21">
        <v>231924</v>
      </c>
      <c r="D1141" s="22" t="s">
        <v>591</v>
      </c>
      <c r="E1141" s="23">
        <v>45188</v>
      </c>
      <c r="F1141" s="24">
        <v>45170</v>
      </c>
      <c r="G1141" s="25">
        <v>146853</v>
      </c>
      <c r="H1141" s="25" t="s">
        <v>2973</v>
      </c>
      <c r="I1141" s="233" t="s">
        <v>29</v>
      </c>
      <c r="J1141" s="10"/>
      <c r="K1141" s="39"/>
      <c r="L1141" s="36">
        <v>45240</v>
      </c>
      <c r="M1141" s="36">
        <v>45240</v>
      </c>
      <c r="N1141" s="37">
        <v>146853</v>
      </c>
      <c r="O1141" s="37">
        <v>0</v>
      </c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</row>
    <row r="1142" spans="1:26" ht="14.25" customHeight="1">
      <c r="A1142" s="9">
        <v>1272</v>
      </c>
      <c r="B1142" s="10"/>
      <c r="C1142" s="21">
        <v>231925</v>
      </c>
      <c r="D1142" s="22" t="s">
        <v>591</v>
      </c>
      <c r="E1142" s="23">
        <v>45188</v>
      </c>
      <c r="F1142" s="24">
        <v>45170</v>
      </c>
      <c r="G1142" s="25">
        <v>5148002</v>
      </c>
      <c r="H1142" s="25" t="s">
        <v>2974</v>
      </c>
      <c r="I1142" s="233" t="s">
        <v>29</v>
      </c>
      <c r="J1142" s="10"/>
      <c r="K1142" s="39"/>
      <c r="L1142" s="36">
        <v>45240</v>
      </c>
      <c r="M1142" s="36">
        <v>45240</v>
      </c>
      <c r="N1142" s="37">
        <v>5148002</v>
      </c>
      <c r="O1142" s="37">
        <v>0</v>
      </c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</row>
    <row r="1143" spans="1:26" ht="14.25" customHeight="1">
      <c r="A1143" s="9">
        <v>1270</v>
      </c>
      <c r="B1143" s="10"/>
      <c r="C1143" s="21">
        <v>231926</v>
      </c>
      <c r="D1143" s="22" t="s">
        <v>591</v>
      </c>
      <c r="E1143" s="23">
        <v>45188</v>
      </c>
      <c r="F1143" s="24">
        <v>45170</v>
      </c>
      <c r="G1143" s="25">
        <v>610500</v>
      </c>
      <c r="H1143" s="25" t="s">
        <v>2975</v>
      </c>
      <c r="I1143" s="233" t="s">
        <v>29</v>
      </c>
      <c r="J1143" s="10"/>
      <c r="K1143" s="39"/>
      <c r="L1143" s="36">
        <v>45240</v>
      </c>
      <c r="M1143" s="36">
        <v>45240</v>
      </c>
      <c r="N1143" s="37">
        <v>610500</v>
      </c>
      <c r="O1143" s="37">
        <v>0</v>
      </c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</row>
    <row r="1144" spans="1:26" ht="14.25" customHeight="1">
      <c r="A1144" s="9">
        <v>1273</v>
      </c>
      <c r="B1144" s="10"/>
      <c r="C1144" s="21">
        <v>232032</v>
      </c>
      <c r="D1144" s="22" t="s">
        <v>591</v>
      </c>
      <c r="E1144" s="23">
        <v>45198</v>
      </c>
      <c r="F1144" s="24">
        <v>45170</v>
      </c>
      <c r="G1144" s="25">
        <v>499500</v>
      </c>
      <c r="H1144" s="25" t="s">
        <v>2976</v>
      </c>
      <c r="I1144" s="233" t="s">
        <v>29</v>
      </c>
      <c r="J1144" s="27">
        <v>13343462</v>
      </c>
      <c r="K1144" s="39">
        <v>45265</v>
      </c>
      <c r="L1144" s="36">
        <v>45265</v>
      </c>
      <c r="M1144" s="36">
        <v>45265</v>
      </c>
      <c r="N1144" s="37">
        <v>499500</v>
      </c>
      <c r="O1144" s="37">
        <v>0</v>
      </c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</row>
    <row r="1145" spans="1:26" ht="14.25" customHeight="1">
      <c r="A1145" s="9">
        <v>1274</v>
      </c>
      <c r="B1145" s="10"/>
      <c r="C1145" s="21">
        <v>232031</v>
      </c>
      <c r="D1145" s="22" t="s">
        <v>591</v>
      </c>
      <c r="E1145" s="23">
        <v>45199</v>
      </c>
      <c r="F1145" s="24">
        <v>45170</v>
      </c>
      <c r="G1145" s="25">
        <v>5148002</v>
      </c>
      <c r="H1145" s="25" t="s">
        <v>2977</v>
      </c>
      <c r="I1145" s="233" t="s">
        <v>29</v>
      </c>
      <c r="J1145" s="10"/>
      <c r="K1145" s="39"/>
      <c r="L1145" s="36">
        <v>45265</v>
      </c>
      <c r="M1145" s="36">
        <v>45265</v>
      </c>
      <c r="N1145" s="37">
        <v>5148002</v>
      </c>
      <c r="O1145" s="37">
        <v>0</v>
      </c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</row>
    <row r="1146" spans="1:26" ht="14.25" customHeight="1">
      <c r="A1146" s="9">
        <v>1277</v>
      </c>
      <c r="B1146" s="10"/>
      <c r="C1146" s="21">
        <v>232100</v>
      </c>
      <c r="D1146" s="22" t="s">
        <v>591</v>
      </c>
      <c r="E1146" s="23">
        <v>45209</v>
      </c>
      <c r="F1146" s="24">
        <v>45200</v>
      </c>
      <c r="G1146" s="25">
        <v>5148002</v>
      </c>
      <c r="H1146" s="25" t="s">
        <v>2978</v>
      </c>
      <c r="I1146" s="233" t="s">
        <v>29</v>
      </c>
      <c r="J1146" s="10"/>
      <c r="K1146" s="39"/>
      <c r="L1146" s="36">
        <v>45265</v>
      </c>
      <c r="M1146" s="36">
        <v>45265</v>
      </c>
      <c r="N1146" s="37">
        <v>5148002</v>
      </c>
      <c r="O1146" s="37">
        <v>0</v>
      </c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</row>
    <row r="1147" spans="1:26" ht="14.25" customHeight="1">
      <c r="A1147" s="9">
        <v>1276</v>
      </c>
      <c r="B1147" s="10"/>
      <c r="C1147" s="21">
        <v>232101</v>
      </c>
      <c r="D1147" s="22" t="s">
        <v>591</v>
      </c>
      <c r="E1147" s="23">
        <v>45209</v>
      </c>
      <c r="F1147" s="24">
        <v>45200</v>
      </c>
      <c r="G1147" s="25">
        <v>855010</v>
      </c>
      <c r="H1147" s="25" t="s">
        <v>2979</v>
      </c>
      <c r="I1147" s="233" t="s">
        <v>29</v>
      </c>
      <c r="J1147" s="10"/>
      <c r="K1147" s="39"/>
      <c r="L1147" s="36">
        <v>45265</v>
      </c>
      <c r="M1147" s="36">
        <v>45265</v>
      </c>
      <c r="N1147" s="37">
        <v>855010</v>
      </c>
      <c r="O1147" s="37">
        <v>0</v>
      </c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</row>
    <row r="1148" spans="1:26" ht="14.25" customHeight="1">
      <c r="A1148" s="9">
        <v>1275</v>
      </c>
      <c r="B1148" s="10"/>
      <c r="C1148" s="21">
        <v>232102</v>
      </c>
      <c r="D1148" s="22" t="s">
        <v>591</v>
      </c>
      <c r="E1148" s="23">
        <v>45209</v>
      </c>
      <c r="F1148" s="24">
        <v>45200</v>
      </c>
      <c r="G1148" s="25">
        <v>233100</v>
      </c>
      <c r="H1148" s="25" t="s">
        <v>2980</v>
      </c>
      <c r="I1148" s="233" t="s">
        <v>29</v>
      </c>
      <c r="J1148" s="10"/>
      <c r="K1148" s="39"/>
      <c r="L1148" s="36">
        <v>45265</v>
      </c>
      <c r="M1148" s="36">
        <v>45265</v>
      </c>
      <c r="N1148" s="37">
        <v>233100</v>
      </c>
      <c r="O1148" s="37">
        <v>0</v>
      </c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</row>
    <row r="1149" spans="1:26" ht="14.25" customHeight="1">
      <c r="A1149" s="9">
        <v>1278</v>
      </c>
      <c r="B1149" s="10"/>
      <c r="C1149" s="21">
        <v>232145</v>
      </c>
      <c r="D1149" s="22" t="s">
        <v>591</v>
      </c>
      <c r="E1149" s="23">
        <v>45219</v>
      </c>
      <c r="F1149" s="24">
        <v>45200</v>
      </c>
      <c r="G1149" s="25">
        <v>1459848</v>
      </c>
      <c r="H1149" s="25" t="s">
        <v>2981</v>
      </c>
      <c r="I1149" s="233" t="s">
        <v>29</v>
      </c>
      <c r="J1149" s="10"/>
      <c r="K1149" s="39"/>
      <c r="L1149" s="36">
        <v>45265</v>
      </c>
      <c r="M1149" s="36">
        <v>45265</v>
      </c>
      <c r="N1149" s="37">
        <v>1459848</v>
      </c>
      <c r="O1149" s="37">
        <v>0</v>
      </c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</row>
    <row r="1150" spans="1:26" ht="14.25" customHeight="1">
      <c r="A1150" s="9">
        <v>1279</v>
      </c>
      <c r="B1150" s="10"/>
      <c r="C1150" s="9">
        <v>232186</v>
      </c>
      <c r="D1150" s="11" t="s">
        <v>591</v>
      </c>
      <c r="E1150" s="12">
        <v>45229</v>
      </c>
      <c r="F1150" s="13">
        <v>45200</v>
      </c>
      <c r="G1150" s="27">
        <v>5780991</v>
      </c>
      <c r="H1150" s="27" t="s">
        <v>2982</v>
      </c>
      <c r="I1150" s="34">
        <v>61.606678703705299</v>
      </c>
      <c r="J1150" s="27">
        <v>10631890</v>
      </c>
      <c r="K1150" s="39">
        <v>45290</v>
      </c>
      <c r="L1150" s="39"/>
      <c r="M1150" s="39"/>
      <c r="N1150" s="37">
        <v>0</v>
      </c>
      <c r="O1150" s="37">
        <v>5780991</v>
      </c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</row>
    <row r="1151" spans="1:26" ht="14.25" customHeight="1">
      <c r="A1151" s="9">
        <v>1280</v>
      </c>
      <c r="B1151" s="10"/>
      <c r="C1151" s="9">
        <v>232198</v>
      </c>
      <c r="D1151" s="11" t="s">
        <v>591</v>
      </c>
      <c r="E1151" s="12">
        <v>45230</v>
      </c>
      <c r="F1151" s="13">
        <v>45200</v>
      </c>
      <c r="G1151" s="27">
        <v>2419999</v>
      </c>
      <c r="H1151" s="27" t="s">
        <v>2983</v>
      </c>
      <c r="I1151" s="34">
        <v>60.606678703705299</v>
      </c>
      <c r="J1151" s="10"/>
      <c r="K1151" s="39"/>
      <c r="L1151" s="39"/>
      <c r="M1151" s="39"/>
      <c r="N1151" s="37">
        <v>0</v>
      </c>
      <c r="O1151" s="37">
        <v>2419999</v>
      </c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</row>
    <row r="1152" spans="1:26" ht="14.25" customHeight="1">
      <c r="A1152" s="9">
        <v>1281</v>
      </c>
      <c r="B1152" s="10"/>
      <c r="C1152" s="9">
        <v>232264</v>
      </c>
      <c r="D1152" s="11" t="s">
        <v>591</v>
      </c>
      <c r="E1152" s="12">
        <v>45238</v>
      </c>
      <c r="F1152" s="13">
        <v>45231</v>
      </c>
      <c r="G1152" s="27">
        <v>499500</v>
      </c>
      <c r="H1152" s="27" t="s">
        <v>2984</v>
      </c>
      <c r="I1152" s="34">
        <v>52.606678703705299</v>
      </c>
      <c r="J1152" s="10"/>
      <c r="K1152" s="39"/>
      <c r="L1152" s="39"/>
      <c r="M1152" s="39"/>
      <c r="N1152" s="37">
        <v>0</v>
      </c>
      <c r="O1152" s="37">
        <v>499500</v>
      </c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</row>
    <row r="1153" spans="1:26" ht="14.25" customHeight="1">
      <c r="A1153" s="9">
        <v>1282</v>
      </c>
      <c r="B1153" s="10"/>
      <c r="C1153" s="9">
        <v>232268</v>
      </c>
      <c r="D1153" s="11" t="s">
        <v>591</v>
      </c>
      <c r="E1153" s="12">
        <v>45238</v>
      </c>
      <c r="F1153" s="13">
        <v>45231</v>
      </c>
      <c r="G1153" s="27">
        <v>1931400</v>
      </c>
      <c r="H1153" s="27" t="s">
        <v>2985</v>
      </c>
      <c r="I1153" s="34">
        <v>52.606678703705299</v>
      </c>
      <c r="J1153" s="10"/>
      <c r="K1153" s="39"/>
      <c r="L1153" s="39"/>
      <c r="M1153" s="39"/>
      <c r="N1153" s="37">
        <v>0</v>
      </c>
      <c r="O1153" s="37">
        <v>1931400</v>
      </c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</row>
    <row r="1154" spans="1:26" ht="14.25" customHeight="1">
      <c r="A1154" s="9">
        <v>1283</v>
      </c>
      <c r="B1154" s="10"/>
      <c r="C1154" s="9">
        <v>232252</v>
      </c>
      <c r="D1154" s="11" t="s">
        <v>591</v>
      </c>
      <c r="E1154" s="12">
        <v>45239</v>
      </c>
      <c r="F1154" s="13">
        <v>45231</v>
      </c>
      <c r="G1154" s="27">
        <v>7722003</v>
      </c>
      <c r="H1154" s="27" t="s">
        <v>2986</v>
      </c>
      <c r="I1154" s="34">
        <v>51.606678703705299</v>
      </c>
      <c r="J1154" s="10"/>
      <c r="K1154" s="39"/>
      <c r="L1154" s="39"/>
      <c r="M1154" s="39"/>
      <c r="N1154" s="37">
        <v>0</v>
      </c>
      <c r="O1154" s="37">
        <v>7722003</v>
      </c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</row>
    <row r="1155" spans="1:26" ht="14.25" customHeight="1">
      <c r="A1155" s="9">
        <v>1284</v>
      </c>
      <c r="B1155" s="10"/>
      <c r="C1155" s="9">
        <v>232277</v>
      </c>
      <c r="D1155" s="11" t="s">
        <v>591</v>
      </c>
      <c r="E1155" s="12">
        <v>45240</v>
      </c>
      <c r="F1155" s="13">
        <v>45231</v>
      </c>
      <c r="G1155" s="27">
        <v>888000</v>
      </c>
      <c r="H1155" s="27" t="s">
        <v>2987</v>
      </c>
      <c r="I1155" s="34">
        <v>50.606678703705299</v>
      </c>
      <c r="J1155" s="10"/>
      <c r="K1155" s="39"/>
      <c r="L1155" s="39"/>
      <c r="M1155" s="39"/>
      <c r="N1155" s="37">
        <v>0</v>
      </c>
      <c r="O1155" s="37">
        <v>888000</v>
      </c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</row>
    <row r="1156" spans="1:26" ht="14.25" customHeight="1">
      <c r="A1156" s="9">
        <v>1285</v>
      </c>
      <c r="B1156" s="10"/>
      <c r="C1156" s="9">
        <v>232309</v>
      </c>
      <c r="D1156" s="11" t="s">
        <v>591</v>
      </c>
      <c r="E1156" s="12">
        <v>45247</v>
      </c>
      <c r="F1156" s="13">
        <v>45231</v>
      </c>
      <c r="G1156" s="27">
        <v>5190804</v>
      </c>
      <c r="H1156" s="27" t="s">
        <v>2988</v>
      </c>
      <c r="I1156" s="34">
        <v>43.606678703705299</v>
      </c>
      <c r="J1156" s="10"/>
      <c r="K1156" s="39"/>
      <c r="L1156" s="39"/>
      <c r="M1156" s="39"/>
      <c r="N1156" s="37">
        <v>0</v>
      </c>
      <c r="O1156" s="37">
        <v>5190804</v>
      </c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</row>
    <row r="1157" spans="1:26" ht="14.25" customHeight="1">
      <c r="A1157" s="9">
        <v>1287</v>
      </c>
      <c r="B1157" s="10"/>
      <c r="C1157" s="9">
        <v>232420</v>
      </c>
      <c r="D1157" s="11" t="s">
        <v>591</v>
      </c>
      <c r="E1157" s="12">
        <v>45259</v>
      </c>
      <c r="F1157" s="13">
        <v>45231</v>
      </c>
      <c r="G1157" s="27">
        <v>834109</v>
      </c>
      <c r="H1157" s="27" t="s">
        <v>2989</v>
      </c>
      <c r="I1157" s="34">
        <v>31.606678703705299</v>
      </c>
      <c r="J1157" s="10"/>
      <c r="K1157" s="39"/>
      <c r="L1157" s="39"/>
      <c r="M1157" s="39"/>
      <c r="N1157" s="37">
        <v>0</v>
      </c>
      <c r="O1157" s="37">
        <v>834109</v>
      </c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</row>
    <row r="1158" spans="1:26" ht="14.25" customHeight="1">
      <c r="A1158" s="9">
        <v>1288</v>
      </c>
      <c r="B1158" s="10"/>
      <c r="C1158" s="9">
        <v>232435</v>
      </c>
      <c r="D1158" s="11" t="s">
        <v>591</v>
      </c>
      <c r="E1158" s="12">
        <v>45260</v>
      </c>
      <c r="F1158" s="13">
        <v>45231</v>
      </c>
      <c r="G1158" s="27">
        <v>532800</v>
      </c>
      <c r="H1158" s="27" t="s">
        <v>2990</v>
      </c>
      <c r="I1158" s="34">
        <v>30.606678703705299</v>
      </c>
      <c r="J1158" s="10"/>
      <c r="K1158" s="39"/>
      <c r="L1158" s="39"/>
      <c r="M1158" s="39"/>
      <c r="N1158" s="37">
        <v>0</v>
      </c>
      <c r="O1158" s="37">
        <v>532800</v>
      </c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</row>
    <row r="1159" spans="1:26" ht="14.25" customHeight="1">
      <c r="A1159" s="9">
        <v>1286</v>
      </c>
      <c r="B1159" s="10"/>
      <c r="C1159" s="9">
        <v>232447</v>
      </c>
      <c r="D1159" s="11" t="s">
        <v>591</v>
      </c>
      <c r="E1159" s="12">
        <v>45260</v>
      </c>
      <c r="F1159" s="13">
        <v>45231</v>
      </c>
      <c r="G1159" s="27">
        <v>3861001</v>
      </c>
      <c r="H1159" s="27" t="s">
        <v>2991</v>
      </c>
      <c r="I1159" s="34">
        <v>30.606678703705299</v>
      </c>
      <c r="J1159" s="10"/>
      <c r="K1159" s="39"/>
      <c r="L1159" s="39"/>
      <c r="M1159" s="39"/>
      <c r="N1159" s="37">
        <v>0</v>
      </c>
      <c r="O1159" s="37">
        <v>3861001</v>
      </c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</row>
    <row r="1160" spans="1:26" ht="14.25" customHeight="1">
      <c r="A1160" s="9">
        <v>1293</v>
      </c>
      <c r="B1160" s="10"/>
      <c r="C1160" s="21">
        <v>230262</v>
      </c>
      <c r="D1160" s="22" t="s">
        <v>691</v>
      </c>
      <c r="E1160" s="23">
        <v>44959</v>
      </c>
      <c r="F1160" s="24">
        <v>44958</v>
      </c>
      <c r="G1160" s="25">
        <v>141398</v>
      </c>
      <c r="H1160" s="26" t="s">
        <v>2992</v>
      </c>
      <c r="I1160" s="34" t="s">
        <v>29</v>
      </c>
      <c r="J1160" s="25">
        <v>5582230</v>
      </c>
      <c r="K1160" s="40">
        <v>45061</v>
      </c>
      <c r="L1160" s="40">
        <v>45061</v>
      </c>
      <c r="M1160" s="40">
        <v>45063</v>
      </c>
      <c r="N1160" s="37">
        <v>141398</v>
      </c>
      <c r="O1160" s="37">
        <v>0</v>
      </c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</row>
    <row r="1161" spans="1:26" ht="14.25" customHeight="1">
      <c r="A1161" s="9">
        <v>1294</v>
      </c>
      <c r="B1161" s="10"/>
      <c r="C1161" s="21">
        <v>230263</v>
      </c>
      <c r="D1161" s="22" t="s">
        <v>691</v>
      </c>
      <c r="E1161" s="23">
        <v>44959</v>
      </c>
      <c r="F1161" s="24">
        <v>44958</v>
      </c>
      <c r="G1161" s="25">
        <v>773198</v>
      </c>
      <c r="H1161" s="26" t="s">
        <v>2993</v>
      </c>
      <c r="I1161" s="34" t="s">
        <v>29</v>
      </c>
      <c r="J1161" s="10"/>
      <c r="K1161" s="39"/>
      <c r="L1161" s="40">
        <v>45061</v>
      </c>
      <c r="M1161" s="40">
        <v>45063</v>
      </c>
      <c r="N1161" s="37">
        <v>773198</v>
      </c>
      <c r="O1161" s="37">
        <v>0</v>
      </c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</row>
    <row r="1162" spans="1:26" ht="14.25" customHeight="1">
      <c r="A1162" s="9">
        <v>1295</v>
      </c>
      <c r="B1162" s="10"/>
      <c r="C1162" s="21">
        <v>230306</v>
      </c>
      <c r="D1162" s="22" t="s">
        <v>691</v>
      </c>
      <c r="E1162" s="23">
        <v>44967</v>
      </c>
      <c r="F1162" s="24">
        <v>44958</v>
      </c>
      <c r="G1162" s="25">
        <v>232101</v>
      </c>
      <c r="H1162" s="26" t="s">
        <v>2994</v>
      </c>
      <c r="I1162" s="34" t="s">
        <v>29</v>
      </c>
      <c r="J1162" s="10"/>
      <c r="K1162" s="39"/>
      <c r="L1162" s="40">
        <v>45061</v>
      </c>
      <c r="M1162" s="40">
        <v>45063</v>
      </c>
      <c r="N1162" s="37">
        <v>232101</v>
      </c>
      <c r="O1162" s="37">
        <v>0</v>
      </c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</row>
    <row r="1163" spans="1:26" ht="14.25" customHeight="1">
      <c r="A1163" s="9">
        <v>1296</v>
      </c>
      <c r="B1163" s="10"/>
      <c r="C1163" s="21">
        <v>230349</v>
      </c>
      <c r="D1163" s="22" t="s">
        <v>691</v>
      </c>
      <c r="E1163" s="23">
        <v>44968</v>
      </c>
      <c r="F1163" s="24">
        <v>44958</v>
      </c>
      <c r="G1163" s="25">
        <v>659091</v>
      </c>
      <c r="H1163" s="26" t="s">
        <v>2995</v>
      </c>
      <c r="I1163" s="34" t="s">
        <v>29</v>
      </c>
      <c r="J1163" s="10"/>
      <c r="K1163" s="39"/>
      <c r="L1163" s="40">
        <v>45061</v>
      </c>
      <c r="M1163" s="40">
        <v>45063</v>
      </c>
      <c r="N1163" s="37">
        <v>659091</v>
      </c>
      <c r="O1163" s="37">
        <v>0</v>
      </c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</row>
    <row r="1164" spans="1:26" ht="14.25" customHeight="1">
      <c r="A1164" s="9">
        <v>1297</v>
      </c>
      <c r="B1164" s="10"/>
      <c r="C1164" s="21">
        <v>230352</v>
      </c>
      <c r="D1164" s="22" t="s">
        <v>691</v>
      </c>
      <c r="E1164" s="23">
        <v>44968</v>
      </c>
      <c r="F1164" s="24">
        <v>44958</v>
      </c>
      <c r="G1164" s="25">
        <v>417582</v>
      </c>
      <c r="H1164" s="26" t="s">
        <v>2996</v>
      </c>
      <c r="I1164" s="34" t="s">
        <v>29</v>
      </c>
      <c r="J1164" s="10"/>
      <c r="K1164" s="39"/>
      <c r="L1164" s="40">
        <v>45061</v>
      </c>
      <c r="M1164" s="40">
        <v>45063</v>
      </c>
      <c r="N1164" s="37">
        <v>417582</v>
      </c>
      <c r="O1164" s="37">
        <v>0</v>
      </c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</row>
    <row r="1165" spans="1:26" ht="14.25" customHeight="1">
      <c r="A1165" s="9">
        <v>1298</v>
      </c>
      <c r="B1165" s="10"/>
      <c r="C1165" s="21">
        <v>230383</v>
      </c>
      <c r="D1165" s="22" t="s">
        <v>691</v>
      </c>
      <c r="E1165" s="23">
        <v>44974</v>
      </c>
      <c r="F1165" s="24">
        <v>44958</v>
      </c>
      <c r="G1165" s="25">
        <v>3358860</v>
      </c>
      <c r="H1165" s="26" t="s">
        <v>2997</v>
      </c>
      <c r="I1165" s="34" t="s">
        <v>29</v>
      </c>
      <c r="J1165" s="10"/>
      <c r="K1165" s="39"/>
      <c r="L1165" s="40">
        <v>45061</v>
      </c>
      <c r="M1165" s="40">
        <v>45063</v>
      </c>
      <c r="N1165" s="37">
        <v>3358860</v>
      </c>
      <c r="O1165" s="37">
        <v>0</v>
      </c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</row>
    <row r="1166" spans="1:26" ht="14.25" customHeight="1">
      <c r="A1166" s="9">
        <v>1299</v>
      </c>
      <c r="B1166" s="10"/>
      <c r="C1166" s="21">
        <v>230409</v>
      </c>
      <c r="D1166" s="22" t="s">
        <v>691</v>
      </c>
      <c r="E1166" s="23">
        <v>44982</v>
      </c>
      <c r="F1166" s="24">
        <v>44958</v>
      </c>
      <c r="G1166" s="25">
        <v>509490</v>
      </c>
      <c r="H1166" s="26" t="s">
        <v>2998</v>
      </c>
      <c r="I1166" s="34" t="s">
        <v>29</v>
      </c>
      <c r="J1166" s="25">
        <v>5237251</v>
      </c>
      <c r="K1166" s="40">
        <v>45071</v>
      </c>
      <c r="L1166" s="40">
        <v>45071</v>
      </c>
      <c r="M1166" s="40">
        <v>45072</v>
      </c>
      <c r="N1166" s="37">
        <v>509490</v>
      </c>
      <c r="O1166" s="37">
        <v>0</v>
      </c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</row>
    <row r="1167" spans="1:26" ht="14.25" customHeight="1">
      <c r="A1167" s="9">
        <v>1300</v>
      </c>
      <c r="B1167" s="10"/>
      <c r="C1167" s="21">
        <v>230555</v>
      </c>
      <c r="D1167" s="22" t="s">
        <v>691</v>
      </c>
      <c r="E1167" s="23">
        <v>44991</v>
      </c>
      <c r="F1167" s="24">
        <v>44986</v>
      </c>
      <c r="G1167" s="25">
        <v>1006992</v>
      </c>
      <c r="H1167" s="26" t="s">
        <v>2999</v>
      </c>
      <c r="I1167" s="34" t="s">
        <v>29</v>
      </c>
      <c r="J1167" s="10"/>
      <c r="K1167" s="39"/>
      <c r="L1167" s="40">
        <v>45071</v>
      </c>
      <c r="M1167" s="40">
        <v>45072</v>
      </c>
      <c r="N1167" s="37">
        <v>1006992</v>
      </c>
      <c r="O1167" s="37">
        <v>0</v>
      </c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</row>
    <row r="1168" spans="1:26" ht="14.25" customHeight="1">
      <c r="A1168" s="9">
        <v>1301</v>
      </c>
      <c r="B1168" s="10"/>
      <c r="C1168" s="21">
        <v>230545</v>
      </c>
      <c r="D1168" s="22" t="s">
        <v>691</v>
      </c>
      <c r="E1168" s="23">
        <v>44995</v>
      </c>
      <c r="F1168" s="24">
        <v>44986</v>
      </c>
      <c r="G1168" s="25">
        <v>2189096</v>
      </c>
      <c r="H1168" s="26" t="s">
        <v>3000</v>
      </c>
      <c r="I1168" s="34" t="s">
        <v>29</v>
      </c>
      <c r="J1168" s="10"/>
      <c r="K1168" s="39"/>
      <c r="L1168" s="40">
        <v>45071</v>
      </c>
      <c r="M1168" s="40">
        <v>45072</v>
      </c>
      <c r="N1168" s="37">
        <v>2189096</v>
      </c>
      <c r="O1168" s="37">
        <v>0</v>
      </c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</row>
    <row r="1169" spans="1:26" ht="14.25" customHeight="1">
      <c r="A1169" s="9">
        <v>1302</v>
      </c>
      <c r="B1169" s="10"/>
      <c r="C1169" s="21">
        <v>230635</v>
      </c>
      <c r="D1169" s="22" t="s">
        <v>691</v>
      </c>
      <c r="E1169" s="23">
        <v>45012</v>
      </c>
      <c r="F1169" s="24">
        <v>44986</v>
      </c>
      <c r="G1169" s="25">
        <v>1531673</v>
      </c>
      <c r="H1169" s="26" t="s">
        <v>3001</v>
      </c>
      <c r="I1169" s="34" t="s">
        <v>29</v>
      </c>
      <c r="J1169" s="10"/>
      <c r="K1169" s="39"/>
      <c r="L1169" s="40">
        <v>45071</v>
      </c>
      <c r="M1169" s="40">
        <v>45072</v>
      </c>
      <c r="N1169" s="37">
        <v>1531673</v>
      </c>
      <c r="O1169" s="37">
        <v>0</v>
      </c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</row>
    <row r="1170" spans="1:26" ht="14.25" customHeight="1">
      <c r="A1170" s="9">
        <v>1303</v>
      </c>
      <c r="B1170" s="10"/>
      <c r="C1170" s="21">
        <v>231573</v>
      </c>
      <c r="D1170" s="22" t="s">
        <v>691</v>
      </c>
      <c r="E1170" s="23">
        <v>45146</v>
      </c>
      <c r="F1170" s="24">
        <v>45139</v>
      </c>
      <c r="G1170" s="25">
        <v>2943720</v>
      </c>
      <c r="H1170" s="26" t="s">
        <v>3002</v>
      </c>
      <c r="I1170" s="34" t="s">
        <v>29</v>
      </c>
      <c r="J1170" s="25">
        <v>18887044</v>
      </c>
      <c r="K1170" s="36">
        <v>45224</v>
      </c>
      <c r="L1170" s="40">
        <v>45225</v>
      </c>
      <c r="M1170" s="40">
        <v>45225</v>
      </c>
      <c r="N1170" s="37">
        <v>2943720</v>
      </c>
      <c r="O1170" s="37">
        <v>0</v>
      </c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</row>
    <row r="1171" spans="1:26" ht="14.25" customHeight="1">
      <c r="A1171" s="9">
        <v>1304</v>
      </c>
      <c r="B1171" s="10"/>
      <c r="C1171" s="21">
        <v>231620</v>
      </c>
      <c r="D1171" s="22" t="s">
        <v>691</v>
      </c>
      <c r="E1171" s="23">
        <v>45153</v>
      </c>
      <c r="F1171" s="24">
        <v>45139</v>
      </c>
      <c r="G1171" s="25">
        <v>7936500</v>
      </c>
      <c r="H1171" s="26" t="s">
        <v>3003</v>
      </c>
      <c r="I1171" s="34" t="s">
        <v>29</v>
      </c>
      <c r="J1171" s="10"/>
      <c r="K1171" s="39"/>
      <c r="L1171" s="40">
        <v>45225</v>
      </c>
      <c r="M1171" s="40">
        <v>45225</v>
      </c>
      <c r="N1171" s="37">
        <v>7936500</v>
      </c>
      <c r="O1171" s="37">
        <v>0</v>
      </c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</row>
    <row r="1172" spans="1:26" ht="14.25" customHeight="1">
      <c r="A1172" s="9">
        <v>1305</v>
      </c>
      <c r="B1172" s="10"/>
      <c r="C1172" s="21">
        <v>231625</v>
      </c>
      <c r="D1172" s="22" t="s">
        <v>691</v>
      </c>
      <c r="E1172" s="23">
        <v>45156</v>
      </c>
      <c r="F1172" s="24">
        <v>45139</v>
      </c>
      <c r="G1172" s="25">
        <v>4360385</v>
      </c>
      <c r="H1172" s="26" t="s">
        <v>3004</v>
      </c>
      <c r="I1172" s="34" t="s">
        <v>29</v>
      </c>
      <c r="J1172" s="10"/>
      <c r="K1172" s="39"/>
      <c r="L1172" s="40">
        <v>45225</v>
      </c>
      <c r="M1172" s="40">
        <v>45225</v>
      </c>
      <c r="N1172" s="37">
        <v>4360385</v>
      </c>
      <c r="O1172" s="37">
        <v>0</v>
      </c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</row>
    <row r="1173" spans="1:26" ht="14.25" customHeight="1">
      <c r="A1173" s="9">
        <v>1311</v>
      </c>
      <c r="B1173" s="10"/>
      <c r="C1173" s="21">
        <v>232010</v>
      </c>
      <c r="D1173" s="22" t="s">
        <v>691</v>
      </c>
      <c r="E1173" s="23">
        <v>45181</v>
      </c>
      <c r="F1173" s="24">
        <v>45170</v>
      </c>
      <c r="G1173" s="25">
        <v>310800</v>
      </c>
      <c r="H1173" s="26" t="s">
        <v>3005</v>
      </c>
      <c r="I1173" s="233" t="s">
        <v>29</v>
      </c>
      <c r="J1173" s="10"/>
      <c r="K1173" s="39"/>
      <c r="L1173" s="40">
        <v>45260</v>
      </c>
      <c r="M1173" s="40">
        <v>45260</v>
      </c>
      <c r="N1173" s="37">
        <v>310800</v>
      </c>
      <c r="O1173" s="37">
        <v>0</v>
      </c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</row>
    <row r="1174" spans="1:26" ht="14.25" customHeight="1">
      <c r="A1174" s="9">
        <v>1306</v>
      </c>
      <c r="B1174" s="10"/>
      <c r="C1174" s="21">
        <v>231892</v>
      </c>
      <c r="D1174" s="22" t="s">
        <v>691</v>
      </c>
      <c r="E1174" s="23">
        <v>45182</v>
      </c>
      <c r="F1174" s="24">
        <v>45170</v>
      </c>
      <c r="G1174" s="25">
        <v>3287909</v>
      </c>
      <c r="H1174" s="26" t="s">
        <v>3006</v>
      </c>
      <c r="I1174" s="34" t="s">
        <v>29</v>
      </c>
      <c r="J1174" s="10"/>
      <c r="K1174" s="39"/>
      <c r="L1174" s="40">
        <v>45225</v>
      </c>
      <c r="M1174" s="40">
        <v>45225</v>
      </c>
      <c r="N1174" s="37">
        <v>3287909</v>
      </c>
      <c r="O1174" s="37">
        <v>0</v>
      </c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</row>
    <row r="1175" spans="1:26" ht="14.25" customHeight="1">
      <c r="A1175" s="9">
        <v>1307</v>
      </c>
      <c r="B1175" s="10"/>
      <c r="C1175" s="21">
        <v>231952</v>
      </c>
      <c r="D1175" s="22" t="s">
        <v>691</v>
      </c>
      <c r="E1175" s="23">
        <v>45189</v>
      </c>
      <c r="F1175" s="24">
        <v>45170</v>
      </c>
      <c r="G1175" s="25">
        <v>358530</v>
      </c>
      <c r="H1175" s="26" t="s">
        <v>3007</v>
      </c>
      <c r="I1175" s="34" t="s">
        <v>29</v>
      </c>
      <c r="J1175" s="10"/>
      <c r="K1175" s="39"/>
      <c r="L1175" s="40">
        <v>45225</v>
      </c>
      <c r="M1175" s="40">
        <v>45225</v>
      </c>
      <c r="N1175" s="37">
        <v>358530</v>
      </c>
      <c r="O1175" s="37">
        <v>0</v>
      </c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</row>
    <row r="1176" spans="1:26" ht="14.25" customHeight="1">
      <c r="A1176" s="9">
        <v>1308</v>
      </c>
      <c r="B1176" s="10"/>
      <c r="C1176" s="21">
        <v>231953</v>
      </c>
      <c r="D1176" s="22" t="s">
        <v>691</v>
      </c>
      <c r="E1176" s="23">
        <v>45189</v>
      </c>
      <c r="F1176" s="24">
        <v>45170</v>
      </c>
      <c r="G1176" s="25">
        <v>3056940</v>
      </c>
      <c r="H1176" s="26" t="s">
        <v>3008</v>
      </c>
      <c r="I1176" s="233" t="s">
        <v>29</v>
      </c>
      <c r="J1176" s="27">
        <v>14884504</v>
      </c>
      <c r="K1176" s="36">
        <v>45260</v>
      </c>
      <c r="L1176" s="40">
        <v>45260</v>
      </c>
      <c r="M1176" s="40">
        <v>45260</v>
      </c>
      <c r="N1176" s="37">
        <v>3056940</v>
      </c>
      <c r="O1176" s="37">
        <v>0</v>
      </c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</row>
    <row r="1177" spans="1:26" ht="14.25" customHeight="1">
      <c r="A1177" s="9">
        <v>1309</v>
      </c>
      <c r="B1177" s="10"/>
      <c r="C1177" s="21">
        <v>231954</v>
      </c>
      <c r="D1177" s="22" t="s">
        <v>691</v>
      </c>
      <c r="E1177" s="23">
        <v>45194</v>
      </c>
      <c r="F1177" s="24">
        <v>45170</v>
      </c>
      <c r="G1177" s="25">
        <v>603840</v>
      </c>
      <c r="H1177" s="26" t="s">
        <v>3009</v>
      </c>
      <c r="I1177" s="233" t="s">
        <v>29</v>
      </c>
      <c r="J1177" s="10"/>
      <c r="K1177" s="39"/>
      <c r="L1177" s="40">
        <v>45260</v>
      </c>
      <c r="M1177" s="40">
        <v>45260</v>
      </c>
      <c r="N1177" s="37">
        <v>603840</v>
      </c>
      <c r="O1177" s="37">
        <v>0</v>
      </c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</row>
    <row r="1178" spans="1:26" ht="14.25" customHeight="1">
      <c r="A1178" s="9">
        <v>1310</v>
      </c>
      <c r="B1178" s="10"/>
      <c r="C1178" s="21">
        <v>231984</v>
      </c>
      <c r="D1178" s="22" t="s">
        <v>691</v>
      </c>
      <c r="E1178" s="23">
        <v>45195</v>
      </c>
      <c r="F1178" s="24">
        <v>45170</v>
      </c>
      <c r="G1178" s="25">
        <v>412420</v>
      </c>
      <c r="H1178" s="26" t="s">
        <v>3010</v>
      </c>
      <c r="I1178" s="233" t="s">
        <v>29</v>
      </c>
      <c r="J1178" s="10"/>
      <c r="K1178" s="39"/>
      <c r="L1178" s="40">
        <v>45260</v>
      </c>
      <c r="M1178" s="40">
        <v>45260</v>
      </c>
      <c r="N1178" s="37">
        <v>412420</v>
      </c>
      <c r="O1178" s="37">
        <v>0</v>
      </c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</row>
    <row r="1179" spans="1:26" ht="14.25" customHeight="1">
      <c r="A1179" s="9">
        <v>1312</v>
      </c>
      <c r="B1179" s="10"/>
      <c r="C1179" s="21">
        <v>232034</v>
      </c>
      <c r="D1179" s="22" t="s">
        <v>691</v>
      </c>
      <c r="E1179" s="23">
        <v>45198</v>
      </c>
      <c r="F1179" s="24">
        <v>45170</v>
      </c>
      <c r="G1179" s="25">
        <v>1202962</v>
      </c>
      <c r="H1179" s="26" t="s">
        <v>3011</v>
      </c>
      <c r="I1179" s="233" t="s">
        <v>29</v>
      </c>
      <c r="J1179" s="10"/>
      <c r="K1179" s="39"/>
      <c r="L1179" s="40">
        <v>45260</v>
      </c>
      <c r="M1179" s="40">
        <v>45260</v>
      </c>
      <c r="N1179" s="37">
        <v>1202962</v>
      </c>
      <c r="O1179" s="37">
        <v>0</v>
      </c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</row>
    <row r="1180" spans="1:26" ht="14.25" customHeight="1">
      <c r="A1180" s="9">
        <v>1315</v>
      </c>
      <c r="B1180" s="10"/>
      <c r="C1180" s="21">
        <v>232011</v>
      </c>
      <c r="D1180" s="22" t="s">
        <v>691</v>
      </c>
      <c r="E1180" s="23">
        <v>45199</v>
      </c>
      <c r="F1180" s="24">
        <v>45170</v>
      </c>
      <c r="G1180" s="25">
        <v>3607944</v>
      </c>
      <c r="H1180" s="26" t="s">
        <v>3012</v>
      </c>
      <c r="I1180" s="233" t="s">
        <v>29</v>
      </c>
      <c r="J1180" s="10"/>
      <c r="K1180" s="39"/>
      <c r="L1180" s="40">
        <v>45260</v>
      </c>
      <c r="M1180" s="40">
        <v>45260</v>
      </c>
      <c r="N1180" s="37">
        <v>3607944</v>
      </c>
      <c r="O1180" s="37">
        <v>0</v>
      </c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</row>
    <row r="1181" spans="1:26" ht="14.25" customHeight="1">
      <c r="A1181" s="9">
        <v>1313</v>
      </c>
      <c r="B1181" s="10"/>
      <c r="C1181" s="21">
        <v>232033</v>
      </c>
      <c r="D1181" s="22" t="s">
        <v>691</v>
      </c>
      <c r="E1181" s="23">
        <v>45199</v>
      </c>
      <c r="F1181" s="24">
        <v>45170</v>
      </c>
      <c r="G1181" s="25">
        <v>951048</v>
      </c>
      <c r="H1181" s="26" t="s">
        <v>3013</v>
      </c>
      <c r="I1181" s="233" t="s">
        <v>29</v>
      </c>
      <c r="J1181" s="10"/>
      <c r="K1181" s="39"/>
      <c r="L1181" s="40">
        <v>45260</v>
      </c>
      <c r="M1181" s="40">
        <v>45260</v>
      </c>
      <c r="N1181" s="37">
        <v>951048</v>
      </c>
      <c r="O1181" s="37">
        <v>0</v>
      </c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</row>
    <row r="1182" spans="1:26" ht="14.25" customHeight="1">
      <c r="A1182" s="9">
        <v>1314</v>
      </c>
      <c r="B1182" s="10"/>
      <c r="C1182" s="21">
        <v>232049</v>
      </c>
      <c r="D1182" s="22" t="s">
        <v>691</v>
      </c>
      <c r="E1182" s="23">
        <v>45202</v>
      </c>
      <c r="F1182" s="24">
        <v>45200</v>
      </c>
      <c r="G1182" s="25">
        <v>776417</v>
      </c>
      <c r="H1182" s="26" t="s">
        <v>3014</v>
      </c>
      <c r="I1182" s="233" t="s">
        <v>29</v>
      </c>
      <c r="J1182" s="10"/>
      <c r="K1182" s="39"/>
      <c r="L1182" s="40">
        <v>45260</v>
      </c>
      <c r="M1182" s="40">
        <v>45260</v>
      </c>
      <c r="N1182" s="37">
        <v>776417</v>
      </c>
      <c r="O1182" s="37">
        <v>0</v>
      </c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</row>
    <row r="1183" spans="1:26" ht="14.25" customHeight="1">
      <c r="A1183" s="9">
        <v>1316</v>
      </c>
      <c r="B1183" s="10"/>
      <c r="C1183" s="21">
        <v>232148</v>
      </c>
      <c r="D1183" s="22" t="s">
        <v>691</v>
      </c>
      <c r="E1183" s="23">
        <v>45216</v>
      </c>
      <c r="F1183" s="24">
        <v>45200</v>
      </c>
      <c r="G1183" s="25">
        <v>1985501</v>
      </c>
      <c r="H1183" s="26" t="s">
        <v>3015</v>
      </c>
      <c r="I1183" s="233" t="s">
        <v>29</v>
      </c>
      <c r="J1183" s="10"/>
      <c r="K1183" s="39"/>
      <c r="L1183" s="40">
        <v>45260</v>
      </c>
      <c r="M1183" s="40">
        <v>45260</v>
      </c>
      <c r="N1183" s="37">
        <v>1985501</v>
      </c>
      <c r="O1183" s="37">
        <v>0</v>
      </c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</row>
    <row r="1184" spans="1:26" ht="14.25" customHeight="1">
      <c r="A1184" s="9">
        <v>1317</v>
      </c>
      <c r="B1184" s="10"/>
      <c r="C1184" s="21">
        <v>232147</v>
      </c>
      <c r="D1184" s="22" t="s">
        <v>691</v>
      </c>
      <c r="E1184" s="23">
        <v>45220</v>
      </c>
      <c r="F1184" s="24">
        <v>45200</v>
      </c>
      <c r="G1184" s="25">
        <v>930568</v>
      </c>
      <c r="H1184" s="26" t="s">
        <v>3016</v>
      </c>
      <c r="I1184" s="233" t="s">
        <v>29</v>
      </c>
      <c r="J1184" s="10"/>
      <c r="K1184" s="39"/>
      <c r="L1184" s="40">
        <v>45260</v>
      </c>
      <c r="M1184" s="40">
        <v>45260</v>
      </c>
      <c r="N1184" s="37">
        <v>930568</v>
      </c>
      <c r="O1184" s="37">
        <v>0</v>
      </c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</row>
    <row r="1185" spans="1:26" ht="14.25" customHeight="1">
      <c r="A1185" s="9">
        <v>1318</v>
      </c>
      <c r="B1185" s="10"/>
      <c r="C1185" s="21">
        <v>232164</v>
      </c>
      <c r="D1185" s="22" t="s">
        <v>691</v>
      </c>
      <c r="E1185" s="23">
        <v>45223</v>
      </c>
      <c r="F1185" s="24">
        <v>45200</v>
      </c>
      <c r="G1185" s="25">
        <v>1046064</v>
      </c>
      <c r="H1185" s="26" t="s">
        <v>3017</v>
      </c>
      <c r="I1185" s="233" t="s">
        <v>29</v>
      </c>
      <c r="J1185" s="10"/>
      <c r="K1185" s="39"/>
      <c r="L1185" s="40">
        <v>45260</v>
      </c>
      <c r="M1185" s="40">
        <v>45260</v>
      </c>
      <c r="N1185" s="37">
        <v>1046064</v>
      </c>
      <c r="O1185" s="37">
        <v>0</v>
      </c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</row>
    <row r="1186" spans="1:26" ht="14.25" customHeight="1">
      <c r="A1186" s="9">
        <v>1319</v>
      </c>
      <c r="B1186" s="10"/>
      <c r="C1186" s="21">
        <v>232207</v>
      </c>
      <c r="D1186" s="22" t="s">
        <v>691</v>
      </c>
      <c r="E1186" s="23">
        <v>45230</v>
      </c>
      <c r="F1186" s="24">
        <v>45200</v>
      </c>
      <c r="G1186" s="25">
        <v>141525</v>
      </c>
      <c r="H1186" s="26" t="s">
        <v>3018</v>
      </c>
      <c r="I1186" s="233" t="s">
        <v>29</v>
      </c>
      <c r="J1186" s="27">
        <v>18093197</v>
      </c>
      <c r="K1186" s="36">
        <v>45288</v>
      </c>
      <c r="L1186" s="36">
        <v>45288</v>
      </c>
      <c r="M1186" s="36">
        <v>45288</v>
      </c>
      <c r="N1186" s="37">
        <v>141525</v>
      </c>
      <c r="O1186" s="37">
        <v>0</v>
      </c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</row>
    <row r="1187" spans="1:26" ht="14.25" customHeight="1">
      <c r="A1187" s="9">
        <v>1320</v>
      </c>
      <c r="B1187" s="10"/>
      <c r="C1187" s="21">
        <v>232209</v>
      </c>
      <c r="D1187" s="22" t="s">
        <v>691</v>
      </c>
      <c r="E1187" s="23">
        <v>45230</v>
      </c>
      <c r="F1187" s="24">
        <v>45200</v>
      </c>
      <c r="G1187" s="25">
        <v>1995502</v>
      </c>
      <c r="H1187" s="26" t="s">
        <v>3019</v>
      </c>
      <c r="I1187" s="233" t="s">
        <v>29</v>
      </c>
      <c r="J1187" s="10"/>
      <c r="K1187" s="39"/>
      <c r="L1187" s="36">
        <v>45288</v>
      </c>
      <c r="M1187" s="36">
        <v>45288</v>
      </c>
      <c r="N1187" s="37">
        <v>1995502</v>
      </c>
      <c r="O1187" s="37">
        <v>0</v>
      </c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</row>
    <row r="1188" spans="1:26" ht="14.25" customHeight="1">
      <c r="A1188" s="9">
        <v>1321</v>
      </c>
      <c r="B1188" s="10"/>
      <c r="C1188" s="21">
        <v>232263</v>
      </c>
      <c r="D1188" s="22" t="s">
        <v>691</v>
      </c>
      <c r="E1188" s="23">
        <v>45238</v>
      </c>
      <c r="F1188" s="24">
        <v>45231</v>
      </c>
      <c r="G1188" s="25">
        <v>502719</v>
      </c>
      <c r="H1188" s="26" t="s">
        <v>3020</v>
      </c>
      <c r="I1188" s="233" t="s">
        <v>29</v>
      </c>
      <c r="J1188" s="10"/>
      <c r="K1188" s="39"/>
      <c r="L1188" s="36">
        <v>45288</v>
      </c>
      <c r="M1188" s="36">
        <v>45288</v>
      </c>
      <c r="N1188" s="37">
        <v>502719</v>
      </c>
      <c r="O1188" s="37">
        <v>0</v>
      </c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</row>
    <row r="1189" spans="1:26" ht="14.25" customHeight="1">
      <c r="A1189" s="9">
        <v>1322</v>
      </c>
      <c r="B1189" s="10"/>
      <c r="C1189" s="21">
        <v>232267</v>
      </c>
      <c r="D1189" s="22" t="s">
        <v>691</v>
      </c>
      <c r="E1189" s="23">
        <v>45238</v>
      </c>
      <c r="F1189" s="24">
        <v>45231</v>
      </c>
      <c r="G1189" s="25">
        <v>5114600</v>
      </c>
      <c r="H1189" s="26" t="s">
        <v>3021</v>
      </c>
      <c r="I1189" s="233" t="s">
        <v>29</v>
      </c>
      <c r="J1189" s="10"/>
      <c r="K1189" s="39"/>
      <c r="L1189" s="36">
        <v>45288</v>
      </c>
      <c r="M1189" s="36">
        <v>45288</v>
      </c>
      <c r="N1189" s="37">
        <v>5114600</v>
      </c>
      <c r="O1189" s="37">
        <v>0</v>
      </c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</row>
    <row r="1190" spans="1:26" ht="14.25" customHeight="1">
      <c r="A1190" s="9">
        <v>1323</v>
      </c>
      <c r="B1190" s="10"/>
      <c r="C1190" s="21">
        <v>232423</v>
      </c>
      <c r="D1190" s="22" t="s">
        <v>691</v>
      </c>
      <c r="E1190" s="23">
        <v>45241</v>
      </c>
      <c r="F1190" s="24">
        <v>45231</v>
      </c>
      <c r="G1190" s="25">
        <v>3287909</v>
      </c>
      <c r="H1190" s="26" t="s">
        <v>3022</v>
      </c>
      <c r="I1190" s="233" t="s">
        <v>29</v>
      </c>
      <c r="J1190" s="10"/>
      <c r="K1190" s="39"/>
      <c r="L1190" s="36">
        <v>45288</v>
      </c>
      <c r="M1190" s="36">
        <v>45288</v>
      </c>
      <c r="N1190" s="37">
        <v>3287909</v>
      </c>
      <c r="O1190" s="37">
        <v>0</v>
      </c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</row>
    <row r="1191" spans="1:26" ht="14.25" customHeight="1">
      <c r="A1191" s="9">
        <v>1324</v>
      </c>
      <c r="B1191" s="10"/>
      <c r="C1191" s="21">
        <v>232427</v>
      </c>
      <c r="D1191" s="22" t="s">
        <v>691</v>
      </c>
      <c r="E1191" s="23">
        <v>45244</v>
      </c>
      <c r="F1191" s="24">
        <v>45231</v>
      </c>
      <c r="G1191" s="25">
        <v>1043955</v>
      </c>
      <c r="H1191" s="26" t="s">
        <v>3023</v>
      </c>
      <c r="I1191" s="233" t="s">
        <v>29</v>
      </c>
      <c r="J1191" s="10"/>
      <c r="K1191" s="39"/>
      <c r="L1191" s="36">
        <v>45288</v>
      </c>
      <c r="M1191" s="36">
        <v>45288</v>
      </c>
      <c r="N1191" s="37">
        <v>1043955</v>
      </c>
      <c r="O1191" s="37">
        <v>0</v>
      </c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</row>
    <row r="1192" spans="1:26" ht="14.25" customHeight="1">
      <c r="A1192" s="9">
        <v>1326</v>
      </c>
      <c r="B1192" s="10"/>
      <c r="C1192" s="21">
        <v>232425</v>
      </c>
      <c r="D1192" s="22" t="s">
        <v>691</v>
      </c>
      <c r="E1192" s="23">
        <v>45246</v>
      </c>
      <c r="F1192" s="24">
        <v>45231</v>
      </c>
      <c r="G1192" s="25">
        <v>3974022</v>
      </c>
      <c r="H1192" s="26" t="s">
        <v>3024</v>
      </c>
      <c r="I1192" s="233" t="s">
        <v>29</v>
      </c>
      <c r="J1192" s="10"/>
      <c r="K1192" s="39"/>
      <c r="L1192" s="36">
        <v>45288</v>
      </c>
      <c r="M1192" s="36">
        <v>45288</v>
      </c>
      <c r="N1192" s="37">
        <v>3974022</v>
      </c>
      <c r="O1192" s="37">
        <v>0</v>
      </c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</row>
    <row r="1193" spans="1:26" ht="14.25" customHeight="1">
      <c r="A1193" s="9">
        <v>1325</v>
      </c>
      <c r="B1193" s="10"/>
      <c r="C1193" s="21">
        <v>232426</v>
      </c>
      <c r="D1193" s="22" t="s">
        <v>691</v>
      </c>
      <c r="E1193" s="23">
        <v>45246</v>
      </c>
      <c r="F1193" s="24">
        <v>45231</v>
      </c>
      <c r="G1193" s="25">
        <v>1043955</v>
      </c>
      <c r="H1193" s="26" t="s">
        <v>3025</v>
      </c>
      <c r="I1193" s="233" t="s">
        <v>29</v>
      </c>
      <c r="J1193" s="10"/>
      <c r="K1193" s="39"/>
      <c r="L1193" s="36">
        <v>45288</v>
      </c>
      <c r="M1193" s="36">
        <v>45288</v>
      </c>
      <c r="N1193" s="37">
        <v>1043955</v>
      </c>
      <c r="O1193" s="37">
        <v>0</v>
      </c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</row>
    <row r="1194" spans="1:26" ht="14.25" customHeight="1">
      <c r="A1194" s="9">
        <v>1327</v>
      </c>
      <c r="B1194" s="10"/>
      <c r="C1194" s="21">
        <v>232422</v>
      </c>
      <c r="D1194" s="22" t="s">
        <v>691</v>
      </c>
      <c r="E1194" s="23">
        <v>45247</v>
      </c>
      <c r="F1194" s="24">
        <v>45231</v>
      </c>
      <c r="G1194" s="25">
        <v>989010</v>
      </c>
      <c r="H1194" s="26" t="s">
        <v>3026</v>
      </c>
      <c r="I1194" s="233" t="s">
        <v>29</v>
      </c>
      <c r="J1194" s="10"/>
      <c r="K1194" s="39"/>
      <c r="L1194" s="36">
        <v>45288</v>
      </c>
      <c r="M1194" s="36">
        <v>45288</v>
      </c>
      <c r="N1194" s="37">
        <v>989010</v>
      </c>
      <c r="O1194" s="37">
        <v>0</v>
      </c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</row>
    <row r="1195" spans="1:26" ht="14.25" customHeight="1">
      <c r="A1195" s="9">
        <v>1328</v>
      </c>
      <c r="B1195" s="10"/>
      <c r="C1195" s="9">
        <v>232432</v>
      </c>
      <c r="D1195" s="11" t="s">
        <v>691</v>
      </c>
      <c r="E1195" s="12">
        <v>45257</v>
      </c>
      <c r="F1195" s="13">
        <v>45231</v>
      </c>
      <c r="G1195" s="27">
        <v>355200</v>
      </c>
      <c r="H1195" s="10" t="s">
        <v>3027</v>
      </c>
      <c r="I1195" s="34">
        <v>32.606678703705299</v>
      </c>
      <c r="J1195" s="10"/>
      <c r="K1195" s="39"/>
      <c r="L1195" s="49"/>
      <c r="M1195" s="49"/>
      <c r="N1195" s="37">
        <v>0</v>
      </c>
      <c r="O1195" s="37">
        <v>355200</v>
      </c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</row>
    <row r="1196" spans="1:26" ht="14.25" customHeight="1">
      <c r="A1196" s="9">
        <v>1333</v>
      </c>
      <c r="B1196" s="10"/>
      <c r="C1196" s="21">
        <v>230010</v>
      </c>
      <c r="D1196" s="22" t="s">
        <v>729</v>
      </c>
      <c r="E1196" s="23">
        <v>44904</v>
      </c>
      <c r="F1196" s="24">
        <v>44896</v>
      </c>
      <c r="G1196" s="44">
        <v>805028</v>
      </c>
      <c r="H1196" s="26" t="s">
        <v>3028</v>
      </c>
      <c r="I1196" s="34" t="s">
        <v>29</v>
      </c>
      <c r="J1196" s="25">
        <v>2014207</v>
      </c>
      <c r="K1196" s="40">
        <v>45017</v>
      </c>
      <c r="L1196" s="40">
        <v>45017</v>
      </c>
      <c r="M1196" s="40">
        <v>45017</v>
      </c>
      <c r="N1196" s="37">
        <v>805028</v>
      </c>
      <c r="O1196" s="37">
        <v>0</v>
      </c>
      <c r="P1196" s="41"/>
      <c r="Q1196" s="41"/>
      <c r="R1196" s="41"/>
      <c r="S1196" s="41"/>
      <c r="T1196" s="41"/>
      <c r="U1196" s="41"/>
      <c r="V1196" s="41"/>
      <c r="W1196" s="41"/>
      <c r="X1196" s="41"/>
      <c r="Y1196" s="41"/>
      <c r="Z1196" s="41"/>
    </row>
    <row r="1197" spans="1:26" ht="14.25" customHeight="1">
      <c r="A1197" s="9">
        <v>1334</v>
      </c>
      <c r="B1197" s="10"/>
      <c r="C1197" s="21"/>
      <c r="D1197" s="22" t="s">
        <v>729</v>
      </c>
      <c r="E1197" s="23">
        <v>44924</v>
      </c>
      <c r="F1197" s="24">
        <v>44896</v>
      </c>
      <c r="G1197" s="25">
        <v>1209179</v>
      </c>
      <c r="H1197" s="26" t="s">
        <v>3029</v>
      </c>
      <c r="I1197" s="34" t="s">
        <v>29</v>
      </c>
      <c r="J1197" s="10"/>
      <c r="K1197" s="49"/>
      <c r="L1197" s="40">
        <v>45017</v>
      </c>
      <c r="M1197" s="40">
        <v>45017</v>
      </c>
      <c r="N1197" s="37">
        <v>1209179</v>
      </c>
      <c r="O1197" s="37">
        <v>0</v>
      </c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</row>
    <row r="1198" spans="1:26" ht="14.25" customHeight="1">
      <c r="A1198" s="9">
        <v>1335</v>
      </c>
      <c r="B1198" s="10"/>
      <c r="C1198" s="21">
        <v>230279</v>
      </c>
      <c r="D1198" s="22" t="s">
        <v>729</v>
      </c>
      <c r="E1198" s="23">
        <v>44953</v>
      </c>
      <c r="F1198" s="24">
        <v>44927</v>
      </c>
      <c r="G1198" s="25">
        <v>716672</v>
      </c>
      <c r="H1198" s="26" t="s">
        <v>3030</v>
      </c>
      <c r="I1198" s="34" t="s">
        <v>29</v>
      </c>
      <c r="J1198" s="25">
        <v>3383281</v>
      </c>
      <c r="K1198" s="40">
        <v>45071</v>
      </c>
      <c r="L1198" s="40">
        <v>45071</v>
      </c>
      <c r="M1198" s="40">
        <v>45072</v>
      </c>
      <c r="N1198" s="37">
        <v>716672</v>
      </c>
      <c r="O1198" s="37">
        <v>0</v>
      </c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</row>
    <row r="1199" spans="1:26" ht="14.25" customHeight="1">
      <c r="A1199" s="9">
        <v>1336</v>
      </c>
      <c r="B1199" s="10"/>
      <c r="C1199" s="21">
        <v>230438</v>
      </c>
      <c r="D1199" s="22" t="s">
        <v>729</v>
      </c>
      <c r="E1199" s="23">
        <v>44963</v>
      </c>
      <c r="F1199" s="24">
        <v>44958</v>
      </c>
      <c r="G1199" s="25">
        <v>672494</v>
      </c>
      <c r="H1199" s="26" t="s">
        <v>3031</v>
      </c>
      <c r="I1199" s="34" t="s">
        <v>29</v>
      </c>
      <c r="J1199" s="10"/>
      <c r="K1199" s="39"/>
      <c r="L1199" s="40">
        <v>45071</v>
      </c>
      <c r="M1199" s="40">
        <v>45072</v>
      </c>
      <c r="N1199" s="37">
        <v>672494</v>
      </c>
      <c r="O1199" s="37">
        <v>0</v>
      </c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</row>
    <row r="1200" spans="1:26" ht="14.25" customHeight="1">
      <c r="A1200" s="9">
        <v>1338</v>
      </c>
      <c r="B1200" s="10"/>
      <c r="C1200" s="21">
        <v>280780</v>
      </c>
      <c r="D1200" s="22" t="s">
        <v>729</v>
      </c>
      <c r="E1200" s="23">
        <v>45006</v>
      </c>
      <c r="F1200" s="24">
        <v>44986</v>
      </c>
      <c r="G1200" s="25">
        <v>285381</v>
      </c>
      <c r="H1200" s="26" t="s">
        <v>3032</v>
      </c>
      <c r="I1200" s="233" t="s">
        <v>29</v>
      </c>
      <c r="J1200" s="25">
        <v>6018753</v>
      </c>
      <c r="K1200" s="40">
        <v>45092</v>
      </c>
      <c r="L1200" s="40">
        <v>45093</v>
      </c>
      <c r="M1200" s="40">
        <v>45093</v>
      </c>
      <c r="N1200" s="37">
        <v>285381</v>
      </c>
      <c r="O1200" s="37">
        <v>0</v>
      </c>
      <c r="P1200" s="41"/>
      <c r="Q1200" s="41"/>
      <c r="R1200" s="41"/>
      <c r="S1200" s="41"/>
      <c r="T1200" s="41"/>
      <c r="U1200" s="41"/>
      <c r="V1200" s="41"/>
      <c r="W1200" s="41"/>
      <c r="X1200" s="41"/>
      <c r="Y1200" s="41"/>
      <c r="Z1200" s="41"/>
    </row>
    <row r="1201" spans="1:26" ht="14.25" customHeight="1">
      <c r="A1201" s="9">
        <v>1337</v>
      </c>
      <c r="B1201" s="10"/>
      <c r="C1201" s="21">
        <v>230615</v>
      </c>
      <c r="D1201" s="22" t="s">
        <v>729</v>
      </c>
      <c r="E1201" s="23">
        <v>45010</v>
      </c>
      <c r="F1201" s="24">
        <v>44986</v>
      </c>
      <c r="G1201" s="25">
        <v>1994115</v>
      </c>
      <c r="H1201" s="26" t="s">
        <v>3033</v>
      </c>
      <c r="I1201" s="34" t="s">
        <v>29</v>
      </c>
      <c r="J1201" s="10"/>
      <c r="K1201" s="39"/>
      <c r="L1201" s="40">
        <v>45071</v>
      </c>
      <c r="M1201" s="40">
        <v>45072</v>
      </c>
      <c r="N1201" s="37">
        <v>1994115</v>
      </c>
      <c r="O1201" s="37">
        <v>0</v>
      </c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</row>
    <row r="1202" spans="1:26" ht="14.25" customHeight="1">
      <c r="A1202" s="9">
        <v>1339</v>
      </c>
      <c r="B1202" s="10"/>
      <c r="C1202" s="21">
        <v>230883</v>
      </c>
      <c r="D1202" s="22" t="s">
        <v>729</v>
      </c>
      <c r="E1202" s="23">
        <v>45019</v>
      </c>
      <c r="F1202" s="24">
        <v>45017</v>
      </c>
      <c r="G1202" s="25">
        <v>3940056</v>
      </c>
      <c r="H1202" s="26" t="s">
        <v>3034</v>
      </c>
      <c r="I1202" s="233" t="s">
        <v>29</v>
      </c>
      <c r="J1202" s="11"/>
      <c r="K1202" s="39"/>
      <c r="L1202" s="40">
        <v>45093</v>
      </c>
      <c r="M1202" s="40">
        <v>45093</v>
      </c>
      <c r="N1202" s="37">
        <v>3940056</v>
      </c>
      <c r="O1202" s="37">
        <v>0</v>
      </c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</row>
    <row r="1203" spans="1:26" ht="14.25" customHeight="1">
      <c r="A1203" s="9">
        <v>1340</v>
      </c>
      <c r="B1203" s="10"/>
      <c r="C1203" s="21">
        <v>230884</v>
      </c>
      <c r="D1203" s="22" t="s">
        <v>729</v>
      </c>
      <c r="E1203" s="23">
        <v>45044</v>
      </c>
      <c r="F1203" s="24">
        <v>45017</v>
      </c>
      <c r="G1203" s="25">
        <v>1793316</v>
      </c>
      <c r="H1203" s="26" t="s">
        <v>3035</v>
      </c>
      <c r="I1203" s="233" t="s">
        <v>29</v>
      </c>
      <c r="J1203" s="11"/>
      <c r="K1203" s="39"/>
      <c r="L1203" s="40">
        <v>45093</v>
      </c>
      <c r="M1203" s="40">
        <v>45093</v>
      </c>
      <c r="N1203" s="37">
        <v>1793316</v>
      </c>
      <c r="O1203" s="37">
        <v>0</v>
      </c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</row>
    <row r="1204" spans="1:26" ht="14.25" customHeight="1">
      <c r="A1204" s="9">
        <v>1341</v>
      </c>
      <c r="B1204" s="10"/>
      <c r="C1204" s="21">
        <v>231148</v>
      </c>
      <c r="D1204" s="22" t="s">
        <v>729</v>
      </c>
      <c r="E1204" s="23">
        <v>45083</v>
      </c>
      <c r="F1204" s="24">
        <v>45078</v>
      </c>
      <c r="G1204" s="25">
        <v>3267563</v>
      </c>
      <c r="H1204" s="26" t="s">
        <v>3036</v>
      </c>
      <c r="I1204" s="233" t="s">
        <v>29</v>
      </c>
      <c r="J1204" s="31">
        <v>9857911</v>
      </c>
      <c r="K1204" s="39">
        <v>45275</v>
      </c>
      <c r="L1204" s="40">
        <v>45275</v>
      </c>
      <c r="M1204" s="40">
        <v>45275</v>
      </c>
      <c r="N1204" s="37">
        <v>3267563</v>
      </c>
      <c r="O1204" s="37">
        <v>0</v>
      </c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</row>
    <row r="1205" spans="1:26" ht="14.25" customHeight="1">
      <c r="A1205" s="9">
        <v>1342</v>
      </c>
      <c r="B1205" s="10"/>
      <c r="C1205" s="21">
        <v>231401</v>
      </c>
      <c r="D1205" s="22" t="s">
        <v>729</v>
      </c>
      <c r="E1205" s="23">
        <v>45120</v>
      </c>
      <c r="F1205" s="24">
        <v>45108</v>
      </c>
      <c r="G1205" s="25">
        <v>2598344</v>
      </c>
      <c r="H1205" s="26" t="s">
        <v>3037</v>
      </c>
      <c r="I1205" s="233" t="s">
        <v>29</v>
      </c>
      <c r="J1205" s="11"/>
      <c r="K1205" s="39"/>
      <c r="L1205" s="40">
        <v>45275</v>
      </c>
      <c r="M1205" s="40">
        <v>45275</v>
      </c>
      <c r="N1205" s="37">
        <v>2598344</v>
      </c>
      <c r="O1205" s="37">
        <v>0</v>
      </c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</row>
    <row r="1206" spans="1:26" ht="14.25" customHeight="1">
      <c r="A1206" s="9">
        <v>1343</v>
      </c>
      <c r="B1206" s="10"/>
      <c r="C1206" s="21">
        <v>231520</v>
      </c>
      <c r="D1206" s="22" t="s">
        <v>729</v>
      </c>
      <c r="E1206" s="23">
        <v>45125</v>
      </c>
      <c r="F1206" s="24">
        <v>45108</v>
      </c>
      <c r="G1206" s="25">
        <v>285381</v>
      </c>
      <c r="H1206" s="26" t="s">
        <v>3038</v>
      </c>
      <c r="I1206" s="233" t="s">
        <v>29</v>
      </c>
      <c r="J1206" s="11"/>
      <c r="K1206" s="39"/>
      <c r="L1206" s="40">
        <v>45275</v>
      </c>
      <c r="M1206" s="40">
        <v>45275</v>
      </c>
      <c r="N1206" s="37">
        <v>285381</v>
      </c>
      <c r="O1206" s="37">
        <v>0</v>
      </c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</row>
    <row r="1207" spans="1:26" ht="14.25" customHeight="1">
      <c r="A1207" s="9">
        <v>1344</v>
      </c>
      <c r="B1207" s="10"/>
      <c r="C1207" s="21">
        <v>231669</v>
      </c>
      <c r="D1207" s="22" t="s">
        <v>729</v>
      </c>
      <c r="E1207" s="23">
        <v>45148</v>
      </c>
      <c r="F1207" s="24">
        <v>45139</v>
      </c>
      <c r="G1207" s="25">
        <v>757908</v>
      </c>
      <c r="H1207" s="26" t="s">
        <v>3039</v>
      </c>
      <c r="I1207" s="233" t="s">
        <v>29</v>
      </c>
      <c r="J1207" s="11"/>
      <c r="K1207" s="39"/>
      <c r="L1207" s="40">
        <v>45275</v>
      </c>
      <c r="M1207" s="40">
        <v>45275</v>
      </c>
      <c r="N1207" s="37">
        <v>757908</v>
      </c>
      <c r="O1207" s="37">
        <v>0</v>
      </c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</row>
    <row r="1208" spans="1:26" ht="14.25" customHeight="1">
      <c r="A1208" s="9">
        <v>1345</v>
      </c>
      <c r="B1208" s="10"/>
      <c r="C1208" s="21">
        <v>231840</v>
      </c>
      <c r="D1208" s="22" t="s">
        <v>729</v>
      </c>
      <c r="E1208" s="23">
        <v>45166</v>
      </c>
      <c r="F1208" s="24">
        <v>45139</v>
      </c>
      <c r="G1208" s="25">
        <v>2462535</v>
      </c>
      <c r="H1208" s="26" t="s">
        <v>3040</v>
      </c>
      <c r="I1208" s="233" t="s">
        <v>29</v>
      </c>
      <c r="J1208" s="11"/>
      <c r="K1208" s="39"/>
      <c r="L1208" s="40">
        <v>45275</v>
      </c>
      <c r="M1208" s="40">
        <v>45275</v>
      </c>
      <c r="N1208" s="37">
        <v>2462535</v>
      </c>
      <c r="O1208" s="37">
        <v>0</v>
      </c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</row>
    <row r="1209" spans="1:26" ht="14.25" customHeight="1">
      <c r="A1209" s="9">
        <v>1346</v>
      </c>
      <c r="B1209" s="10"/>
      <c r="C1209" s="21">
        <v>231972</v>
      </c>
      <c r="D1209" s="22" t="s">
        <v>729</v>
      </c>
      <c r="E1209" s="23">
        <v>45183</v>
      </c>
      <c r="F1209" s="24">
        <v>45170</v>
      </c>
      <c r="G1209" s="25">
        <v>486180</v>
      </c>
      <c r="H1209" s="26" t="s">
        <v>3041</v>
      </c>
      <c r="I1209" s="233" t="s">
        <v>29</v>
      </c>
      <c r="J1209" s="11"/>
      <c r="K1209" s="39"/>
      <c r="L1209" s="40">
        <v>45275</v>
      </c>
      <c r="M1209" s="40">
        <v>45275</v>
      </c>
      <c r="N1209" s="37">
        <v>486180</v>
      </c>
      <c r="O1209" s="37">
        <v>0</v>
      </c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</row>
    <row r="1210" spans="1:26" ht="14.25" customHeight="1">
      <c r="A1210" s="9">
        <v>1347</v>
      </c>
      <c r="B1210" s="10"/>
      <c r="C1210" s="9">
        <v>232130</v>
      </c>
      <c r="D1210" s="11" t="s">
        <v>729</v>
      </c>
      <c r="E1210" s="12">
        <v>45201</v>
      </c>
      <c r="F1210" s="13">
        <v>45200</v>
      </c>
      <c r="G1210" s="27">
        <v>2462535</v>
      </c>
      <c r="H1210" s="10" t="s">
        <v>3042</v>
      </c>
      <c r="I1210" s="34">
        <v>88.606678703705299</v>
      </c>
      <c r="J1210" s="11"/>
      <c r="K1210" s="39"/>
      <c r="L1210" s="49"/>
      <c r="M1210" s="49"/>
      <c r="N1210" s="37">
        <v>0</v>
      </c>
      <c r="O1210" s="37">
        <v>2462535</v>
      </c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</row>
    <row r="1211" spans="1:26" ht="14.25" customHeight="1">
      <c r="A1211" s="9">
        <v>1352</v>
      </c>
      <c r="B1211" s="10"/>
      <c r="C1211" s="21">
        <v>230082</v>
      </c>
      <c r="D1211" s="22" t="s">
        <v>747</v>
      </c>
      <c r="E1211" s="23">
        <v>44935</v>
      </c>
      <c r="F1211" s="24">
        <v>44927</v>
      </c>
      <c r="G1211" s="25">
        <v>3552000</v>
      </c>
      <c r="H1211" s="26" t="s">
        <v>3043</v>
      </c>
      <c r="I1211" s="34" t="s">
        <v>29</v>
      </c>
      <c r="J1211" s="25">
        <v>3552000</v>
      </c>
      <c r="K1211" s="40">
        <v>44977</v>
      </c>
      <c r="L1211" s="40">
        <v>44977</v>
      </c>
      <c r="M1211" s="40">
        <v>44977</v>
      </c>
      <c r="N1211" s="37">
        <v>3552000</v>
      </c>
      <c r="O1211" s="37">
        <v>0</v>
      </c>
      <c r="P1211" s="41"/>
      <c r="Q1211" s="41"/>
      <c r="R1211" s="41"/>
      <c r="S1211" s="41"/>
      <c r="T1211" s="41"/>
      <c r="U1211" s="41"/>
      <c r="V1211" s="41"/>
      <c r="W1211" s="41"/>
      <c r="X1211" s="41"/>
      <c r="Y1211" s="41"/>
      <c r="Z1211" s="41"/>
    </row>
    <row r="1212" spans="1:26" ht="14.25" customHeight="1">
      <c r="A1212" s="9">
        <v>1353</v>
      </c>
      <c r="B1212" s="10"/>
      <c r="C1212" s="21">
        <v>230212</v>
      </c>
      <c r="D1212" s="22" t="s">
        <v>747</v>
      </c>
      <c r="E1212" s="23">
        <v>44956</v>
      </c>
      <c r="F1212" s="24">
        <v>44927</v>
      </c>
      <c r="G1212" s="25">
        <v>3552000</v>
      </c>
      <c r="H1212" s="26" t="s">
        <v>3044</v>
      </c>
      <c r="I1212" s="34" t="s">
        <v>29</v>
      </c>
      <c r="J1212" s="25">
        <v>3552000</v>
      </c>
      <c r="K1212" s="40">
        <v>45017</v>
      </c>
      <c r="L1212" s="40">
        <v>45017</v>
      </c>
      <c r="M1212" s="40">
        <v>45017</v>
      </c>
      <c r="N1212" s="37">
        <v>3552000</v>
      </c>
      <c r="O1212" s="37">
        <v>0</v>
      </c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</row>
    <row r="1213" spans="1:26" ht="14.25" customHeight="1">
      <c r="A1213" s="9">
        <v>1354</v>
      </c>
      <c r="B1213" s="10"/>
      <c r="C1213" s="21">
        <v>230694</v>
      </c>
      <c r="D1213" s="22" t="s">
        <v>747</v>
      </c>
      <c r="E1213" s="23">
        <v>45015</v>
      </c>
      <c r="F1213" s="24">
        <v>44986</v>
      </c>
      <c r="G1213" s="25">
        <v>4800000</v>
      </c>
      <c r="H1213" s="26" t="s">
        <v>3045</v>
      </c>
      <c r="I1213" s="233" t="s">
        <v>29</v>
      </c>
      <c r="J1213" s="25">
        <v>4800000</v>
      </c>
      <c r="K1213" s="40">
        <v>45102</v>
      </c>
      <c r="L1213" s="40">
        <v>45105</v>
      </c>
      <c r="M1213" s="40">
        <v>45106</v>
      </c>
      <c r="N1213" s="37">
        <v>4800000</v>
      </c>
      <c r="O1213" s="37">
        <v>0</v>
      </c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</row>
    <row r="1214" spans="1:26" ht="14.25" customHeight="1">
      <c r="A1214" s="9">
        <v>1359</v>
      </c>
      <c r="B1214" s="10"/>
      <c r="C1214" s="21">
        <v>230453</v>
      </c>
      <c r="D1214" s="22" t="s">
        <v>752</v>
      </c>
      <c r="E1214" s="23">
        <v>44982</v>
      </c>
      <c r="F1214" s="24">
        <v>44958</v>
      </c>
      <c r="G1214" s="25">
        <v>210900</v>
      </c>
      <c r="H1214" s="26" t="s">
        <v>3046</v>
      </c>
      <c r="I1214" s="34" t="s">
        <v>29</v>
      </c>
      <c r="J1214" s="25">
        <v>210900</v>
      </c>
      <c r="K1214" s="40">
        <v>45071</v>
      </c>
      <c r="L1214" s="40">
        <v>45071</v>
      </c>
      <c r="M1214" s="40">
        <v>45072</v>
      </c>
      <c r="N1214" s="37">
        <v>210900</v>
      </c>
      <c r="O1214" s="37">
        <v>0</v>
      </c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</row>
    <row r="1215" spans="1:26" ht="14.25" customHeight="1">
      <c r="A1215" s="9">
        <v>1360</v>
      </c>
      <c r="B1215" s="10"/>
      <c r="C1215" s="9">
        <v>231933</v>
      </c>
      <c r="D1215" s="11" t="s">
        <v>752</v>
      </c>
      <c r="E1215" s="12">
        <v>45188</v>
      </c>
      <c r="F1215" s="13">
        <v>45170</v>
      </c>
      <c r="G1215" s="27">
        <v>3108000</v>
      </c>
      <c r="H1215" s="10" t="s">
        <v>3047</v>
      </c>
      <c r="I1215" s="34">
        <v>101.606678703705</v>
      </c>
      <c r="J1215" s="27"/>
      <c r="K1215" s="49"/>
      <c r="L1215" s="49"/>
      <c r="M1215" s="49"/>
      <c r="N1215" s="37">
        <v>0</v>
      </c>
      <c r="O1215" s="37">
        <v>3108000</v>
      </c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</row>
    <row r="1216" spans="1:26" ht="14.25" customHeight="1">
      <c r="A1216" s="9">
        <v>1361</v>
      </c>
      <c r="B1216" s="10"/>
      <c r="C1216" s="9">
        <v>232077</v>
      </c>
      <c r="D1216" s="11" t="s">
        <v>752</v>
      </c>
      <c r="E1216" s="12">
        <v>45206</v>
      </c>
      <c r="F1216" s="13">
        <v>45200</v>
      </c>
      <c r="G1216" s="27">
        <v>3885000</v>
      </c>
      <c r="H1216" s="10" t="s">
        <v>3048</v>
      </c>
      <c r="I1216" s="34">
        <v>83.606678703705299</v>
      </c>
      <c r="J1216" s="27"/>
      <c r="K1216" s="49"/>
      <c r="L1216" s="49"/>
      <c r="M1216" s="49"/>
      <c r="N1216" s="37">
        <v>0</v>
      </c>
      <c r="O1216" s="37">
        <v>3885000</v>
      </c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</row>
    <row r="1217" spans="1:26" ht="14.25" customHeight="1">
      <c r="A1217" s="9">
        <v>1370</v>
      </c>
      <c r="B1217" s="10"/>
      <c r="C1217" s="21">
        <v>230011</v>
      </c>
      <c r="D1217" s="22" t="s">
        <v>758</v>
      </c>
      <c r="E1217" s="23">
        <v>44923</v>
      </c>
      <c r="F1217" s="24">
        <v>44896</v>
      </c>
      <c r="G1217" s="25">
        <v>581764</v>
      </c>
      <c r="H1217" s="26" t="s">
        <v>3049</v>
      </c>
      <c r="I1217" s="34" t="s">
        <v>29</v>
      </c>
      <c r="J1217" s="25">
        <v>581764</v>
      </c>
      <c r="K1217" s="40">
        <v>45017</v>
      </c>
      <c r="L1217" s="40">
        <v>45017</v>
      </c>
      <c r="M1217" s="40">
        <v>45017</v>
      </c>
      <c r="N1217" s="37">
        <v>581764</v>
      </c>
      <c r="O1217" s="37">
        <v>0</v>
      </c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</row>
    <row r="1218" spans="1:26" ht="14.25" customHeight="1">
      <c r="A1218" s="9">
        <v>1371</v>
      </c>
      <c r="B1218" s="10"/>
      <c r="C1218" s="21">
        <v>231792</v>
      </c>
      <c r="D1218" s="22" t="s">
        <v>758</v>
      </c>
      <c r="E1218" s="23">
        <v>44924</v>
      </c>
      <c r="F1218" s="24">
        <v>44896</v>
      </c>
      <c r="G1218" s="25">
        <v>1061737</v>
      </c>
      <c r="H1218" s="26" t="s">
        <v>3050</v>
      </c>
      <c r="I1218" s="34" t="s">
        <v>29</v>
      </c>
      <c r="J1218" s="27"/>
      <c r="K1218" s="40">
        <v>45260</v>
      </c>
      <c r="L1218" s="40">
        <v>45260</v>
      </c>
      <c r="M1218" s="40">
        <v>45260</v>
      </c>
      <c r="N1218" s="37">
        <v>1061737</v>
      </c>
      <c r="O1218" s="37">
        <v>0</v>
      </c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</row>
    <row r="1219" spans="1:26" ht="14.25" customHeight="1">
      <c r="A1219" s="9">
        <v>1372</v>
      </c>
      <c r="B1219" s="10"/>
      <c r="C1219" s="21">
        <v>230139</v>
      </c>
      <c r="D1219" s="22" t="s">
        <v>758</v>
      </c>
      <c r="E1219" s="23">
        <v>44947</v>
      </c>
      <c r="F1219" s="24">
        <v>44927</v>
      </c>
      <c r="G1219" s="25">
        <v>639946</v>
      </c>
      <c r="H1219" s="26" t="s">
        <v>3051</v>
      </c>
      <c r="I1219" s="34" t="s">
        <v>29</v>
      </c>
      <c r="J1219" s="27">
        <v>8972722</v>
      </c>
      <c r="K1219" s="40">
        <v>45260</v>
      </c>
      <c r="L1219" s="40">
        <v>45260</v>
      </c>
      <c r="M1219" s="40">
        <v>45260</v>
      </c>
      <c r="N1219" s="37">
        <v>639946</v>
      </c>
      <c r="O1219" s="37">
        <v>0</v>
      </c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</row>
    <row r="1220" spans="1:26" ht="14.25" customHeight="1">
      <c r="A1220" s="9">
        <v>1373</v>
      </c>
      <c r="B1220" s="10"/>
      <c r="C1220" s="21">
        <v>230577</v>
      </c>
      <c r="D1220" s="22" t="s">
        <v>758</v>
      </c>
      <c r="E1220" s="23">
        <v>45000</v>
      </c>
      <c r="F1220" s="24">
        <v>44986</v>
      </c>
      <c r="G1220" s="25">
        <v>2242661</v>
      </c>
      <c r="H1220" s="26" t="s">
        <v>3052</v>
      </c>
      <c r="I1220" s="34" t="s">
        <v>29</v>
      </c>
      <c r="J1220" s="27"/>
      <c r="K1220" s="40">
        <v>45260</v>
      </c>
      <c r="L1220" s="40">
        <v>45260</v>
      </c>
      <c r="M1220" s="40">
        <v>45260</v>
      </c>
      <c r="N1220" s="37">
        <v>2242661</v>
      </c>
      <c r="O1220" s="37">
        <v>0</v>
      </c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</row>
    <row r="1221" spans="1:26" ht="14.25" customHeight="1">
      <c r="A1221" s="9">
        <v>1374</v>
      </c>
      <c r="B1221" s="10"/>
      <c r="C1221" s="21">
        <v>231101</v>
      </c>
      <c r="D1221" s="22" t="s">
        <v>758</v>
      </c>
      <c r="E1221" s="23">
        <v>45079</v>
      </c>
      <c r="F1221" s="24">
        <v>45078</v>
      </c>
      <c r="G1221" s="25">
        <v>509063</v>
      </c>
      <c r="H1221" s="26" t="s">
        <v>3053</v>
      </c>
      <c r="I1221" s="34" t="s">
        <v>29</v>
      </c>
      <c r="J1221" s="27"/>
      <c r="K1221" s="40">
        <v>45260</v>
      </c>
      <c r="L1221" s="40">
        <v>45260</v>
      </c>
      <c r="M1221" s="40">
        <v>45260</v>
      </c>
      <c r="N1221" s="37">
        <v>509063</v>
      </c>
      <c r="O1221" s="37">
        <v>0</v>
      </c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</row>
    <row r="1222" spans="1:26" ht="14.25" customHeight="1">
      <c r="A1222" s="9">
        <v>1375</v>
      </c>
      <c r="B1222" s="10"/>
      <c r="C1222" s="21">
        <v>231146</v>
      </c>
      <c r="D1222" s="22" t="s">
        <v>758</v>
      </c>
      <c r="E1222" s="23">
        <v>45086</v>
      </c>
      <c r="F1222" s="24">
        <v>45078</v>
      </c>
      <c r="G1222" s="25">
        <v>560665</v>
      </c>
      <c r="H1222" s="26" t="s">
        <v>3054</v>
      </c>
      <c r="I1222" s="34" t="s">
        <v>29</v>
      </c>
      <c r="J1222" s="27"/>
      <c r="K1222" s="40">
        <v>45260</v>
      </c>
      <c r="L1222" s="40">
        <v>45260</v>
      </c>
      <c r="M1222" s="40">
        <v>45260</v>
      </c>
      <c r="N1222" s="37">
        <v>560665</v>
      </c>
      <c r="O1222" s="37">
        <v>0</v>
      </c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</row>
    <row r="1223" spans="1:26" ht="14.25" customHeight="1">
      <c r="A1223" s="9">
        <v>1376</v>
      </c>
      <c r="B1223" s="10"/>
      <c r="C1223" s="21">
        <v>231186</v>
      </c>
      <c r="D1223" s="22" t="s">
        <v>758</v>
      </c>
      <c r="E1223" s="23">
        <v>45089</v>
      </c>
      <c r="F1223" s="24">
        <v>45078</v>
      </c>
      <c r="G1223" s="25">
        <v>1681996</v>
      </c>
      <c r="H1223" s="26" t="s">
        <v>3055</v>
      </c>
      <c r="I1223" s="34" t="s">
        <v>29</v>
      </c>
      <c r="J1223" s="27"/>
      <c r="K1223" s="40">
        <v>45260</v>
      </c>
      <c r="L1223" s="40">
        <v>45260</v>
      </c>
      <c r="M1223" s="40">
        <v>45260</v>
      </c>
      <c r="N1223" s="37">
        <v>1681996</v>
      </c>
      <c r="O1223" s="37">
        <v>0</v>
      </c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</row>
    <row r="1224" spans="1:26" ht="14.25" customHeight="1">
      <c r="A1224" s="9">
        <v>1377</v>
      </c>
      <c r="B1224" s="10"/>
      <c r="C1224" s="21">
        <v>231350</v>
      </c>
      <c r="D1224" s="22" t="s">
        <v>758</v>
      </c>
      <c r="E1224" s="23">
        <v>45118</v>
      </c>
      <c r="F1224" s="24">
        <v>45108</v>
      </c>
      <c r="G1224" s="25">
        <v>2276654</v>
      </c>
      <c r="H1224" s="26" t="s">
        <v>3056</v>
      </c>
      <c r="I1224" s="34" t="s">
        <v>29</v>
      </c>
      <c r="J1224" s="27"/>
      <c r="K1224" s="40">
        <v>45260</v>
      </c>
      <c r="L1224" s="40">
        <v>45260</v>
      </c>
      <c r="M1224" s="40">
        <v>45260</v>
      </c>
      <c r="N1224" s="37">
        <v>2276654</v>
      </c>
      <c r="O1224" s="37">
        <v>0</v>
      </c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</row>
    <row r="1225" spans="1:26" ht="14.25" customHeight="1">
      <c r="A1225" s="9">
        <v>1408</v>
      </c>
      <c r="B1225" s="10"/>
      <c r="C1225" s="21">
        <v>237400</v>
      </c>
      <c r="D1225" s="22" t="s">
        <v>762</v>
      </c>
      <c r="E1225" s="23">
        <v>44957</v>
      </c>
      <c r="F1225" s="24">
        <v>44927</v>
      </c>
      <c r="G1225" s="25">
        <v>226440</v>
      </c>
      <c r="H1225" s="26" t="s">
        <v>3057</v>
      </c>
      <c r="I1225" s="34" t="s">
        <v>29</v>
      </c>
      <c r="J1225" s="25">
        <v>226440</v>
      </c>
      <c r="K1225" s="40">
        <v>45047</v>
      </c>
      <c r="L1225" s="40">
        <v>45048</v>
      </c>
      <c r="M1225" s="40">
        <v>45049</v>
      </c>
      <c r="N1225" s="37">
        <v>226440</v>
      </c>
      <c r="O1225" s="37">
        <v>0</v>
      </c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</row>
    <row r="1226" spans="1:26" ht="14.25" customHeight="1">
      <c r="A1226" s="9">
        <v>1382</v>
      </c>
      <c r="B1226" s="10"/>
      <c r="C1226" s="21">
        <v>230270</v>
      </c>
      <c r="D1226" s="22" t="s">
        <v>762</v>
      </c>
      <c r="E1226" s="23">
        <v>44959</v>
      </c>
      <c r="F1226" s="24">
        <v>44958</v>
      </c>
      <c r="G1226" s="25">
        <v>2208067</v>
      </c>
      <c r="H1226" s="26" t="s">
        <v>3058</v>
      </c>
      <c r="I1226" s="34" t="s">
        <v>29</v>
      </c>
      <c r="J1226" s="25">
        <v>25664617</v>
      </c>
      <c r="K1226" s="40">
        <v>45021</v>
      </c>
      <c r="L1226" s="40">
        <v>45021</v>
      </c>
      <c r="M1226" s="40">
        <v>45022</v>
      </c>
      <c r="N1226" s="37">
        <v>2208067</v>
      </c>
      <c r="O1226" s="37">
        <v>0</v>
      </c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</row>
    <row r="1227" spans="1:26" ht="14.25" customHeight="1">
      <c r="A1227" s="9">
        <v>1383</v>
      </c>
      <c r="B1227" s="10"/>
      <c r="C1227" s="21">
        <v>230271</v>
      </c>
      <c r="D1227" s="22" t="s">
        <v>762</v>
      </c>
      <c r="E1227" s="23">
        <v>44960</v>
      </c>
      <c r="F1227" s="24">
        <v>44958</v>
      </c>
      <c r="G1227" s="25">
        <v>107520</v>
      </c>
      <c r="H1227" s="26" t="s">
        <v>3059</v>
      </c>
      <c r="I1227" s="34" t="s">
        <v>29</v>
      </c>
      <c r="J1227" s="10"/>
      <c r="K1227" s="49"/>
      <c r="L1227" s="40">
        <v>45021</v>
      </c>
      <c r="M1227" s="40">
        <v>45022</v>
      </c>
      <c r="N1227" s="37">
        <v>107520</v>
      </c>
      <c r="O1227" s="37">
        <v>0</v>
      </c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</row>
    <row r="1228" spans="1:26" ht="14.25" customHeight="1">
      <c r="A1228" s="9">
        <v>1384</v>
      </c>
      <c r="B1228" s="10"/>
      <c r="C1228" s="21">
        <v>230297</v>
      </c>
      <c r="D1228" s="22" t="s">
        <v>762</v>
      </c>
      <c r="E1228" s="23">
        <v>44966</v>
      </c>
      <c r="F1228" s="24">
        <v>44958</v>
      </c>
      <c r="G1228" s="25">
        <v>3424788</v>
      </c>
      <c r="H1228" s="26" t="s">
        <v>3060</v>
      </c>
      <c r="I1228" s="34" t="s">
        <v>29</v>
      </c>
      <c r="J1228" s="10"/>
      <c r="K1228" s="49"/>
      <c r="L1228" s="40">
        <v>45021</v>
      </c>
      <c r="M1228" s="40">
        <v>45022</v>
      </c>
      <c r="N1228" s="37">
        <v>3424788</v>
      </c>
      <c r="O1228" s="37">
        <v>0</v>
      </c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</row>
    <row r="1229" spans="1:26" ht="14.25" customHeight="1">
      <c r="A1229" s="9">
        <v>1385</v>
      </c>
      <c r="B1229" s="10"/>
      <c r="C1229" s="21">
        <v>230333</v>
      </c>
      <c r="D1229" s="22" t="s">
        <v>762</v>
      </c>
      <c r="E1229" s="23">
        <v>44966</v>
      </c>
      <c r="F1229" s="24">
        <v>44958</v>
      </c>
      <c r="G1229" s="25">
        <v>1369962</v>
      </c>
      <c r="H1229" s="26" t="s">
        <v>3061</v>
      </c>
      <c r="I1229" s="34" t="s">
        <v>29</v>
      </c>
      <c r="J1229" s="10"/>
      <c r="K1229" s="49"/>
      <c r="L1229" s="40">
        <v>45021</v>
      </c>
      <c r="M1229" s="40">
        <v>45022</v>
      </c>
      <c r="N1229" s="37">
        <v>1369962</v>
      </c>
      <c r="O1229" s="37">
        <v>0</v>
      </c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</row>
    <row r="1230" spans="1:26" ht="14.25" customHeight="1">
      <c r="A1230" s="9">
        <v>1386</v>
      </c>
      <c r="B1230" s="10"/>
      <c r="C1230" s="21">
        <v>230334</v>
      </c>
      <c r="D1230" s="22" t="s">
        <v>762</v>
      </c>
      <c r="E1230" s="23">
        <v>44967</v>
      </c>
      <c r="F1230" s="24">
        <v>44958</v>
      </c>
      <c r="G1230" s="25">
        <v>339923</v>
      </c>
      <c r="H1230" s="26" t="s">
        <v>3062</v>
      </c>
      <c r="I1230" s="34" t="s">
        <v>29</v>
      </c>
      <c r="J1230" s="10"/>
      <c r="K1230" s="49"/>
      <c r="L1230" s="40">
        <v>45021</v>
      </c>
      <c r="M1230" s="40">
        <v>45022</v>
      </c>
      <c r="N1230" s="37">
        <v>339923</v>
      </c>
      <c r="O1230" s="37">
        <v>0</v>
      </c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</row>
    <row r="1231" spans="1:26" ht="14.25" customHeight="1">
      <c r="A1231" s="9">
        <v>1387</v>
      </c>
      <c r="B1231" s="10"/>
      <c r="C1231" s="21">
        <v>230329</v>
      </c>
      <c r="D1231" s="22" t="s">
        <v>762</v>
      </c>
      <c r="E1231" s="23">
        <v>44968</v>
      </c>
      <c r="F1231" s="24">
        <v>44958</v>
      </c>
      <c r="G1231" s="25">
        <v>59940</v>
      </c>
      <c r="H1231" s="26" t="s">
        <v>3063</v>
      </c>
      <c r="I1231" s="34" t="s">
        <v>29</v>
      </c>
      <c r="J1231" s="10"/>
      <c r="K1231" s="49"/>
      <c r="L1231" s="40">
        <v>45021</v>
      </c>
      <c r="M1231" s="40">
        <v>45022</v>
      </c>
      <c r="N1231" s="37">
        <v>59940</v>
      </c>
      <c r="O1231" s="37">
        <v>0</v>
      </c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</row>
    <row r="1232" spans="1:26" ht="14.25" customHeight="1">
      <c r="A1232" s="9">
        <v>1388</v>
      </c>
      <c r="B1232" s="10"/>
      <c r="C1232" s="21">
        <v>230332</v>
      </c>
      <c r="D1232" s="22" t="s">
        <v>762</v>
      </c>
      <c r="E1232" s="23">
        <v>44968</v>
      </c>
      <c r="F1232" s="24">
        <v>44958</v>
      </c>
      <c r="G1232" s="25">
        <v>5096787</v>
      </c>
      <c r="H1232" s="26" t="s">
        <v>3064</v>
      </c>
      <c r="I1232" s="34" t="s">
        <v>29</v>
      </c>
      <c r="J1232" s="10"/>
      <c r="K1232" s="49"/>
      <c r="L1232" s="40">
        <v>45021</v>
      </c>
      <c r="M1232" s="40">
        <v>45022</v>
      </c>
      <c r="N1232" s="37">
        <v>5096787</v>
      </c>
      <c r="O1232" s="37">
        <v>0</v>
      </c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</row>
    <row r="1233" spans="1:26" ht="14.25" customHeight="1">
      <c r="A1233" s="9">
        <v>1391</v>
      </c>
      <c r="B1233" s="10"/>
      <c r="C1233" s="21">
        <v>230335</v>
      </c>
      <c r="D1233" s="22" t="s">
        <v>762</v>
      </c>
      <c r="E1233" s="23">
        <v>44970</v>
      </c>
      <c r="F1233" s="24">
        <v>44958</v>
      </c>
      <c r="G1233" s="25">
        <v>199200</v>
      </c>
      <c r="H1233" s="26" t="s">
        <v>3065</v>
      </c>
      <c r="I1233" s="34" t="s">
        <v>29</v>
      </c>
      <c r="J1233" s="10"/>
      <c r="K1233" s="49"/>
      <c r="L1233" s="40">
        <v>45021</v>
      </c>
      <c r="M1233" s="40">
        <v>45022</v>
      </c>
      <c r="N1233" s="37">
        <v>199200</v>
      </c>
      <c r="O1233" s="37">
        <v>0</v>
      </c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</row>
    <row r="1234" spans="1:26" ht="14.25" customHeight="1">
      <c r="A1234" s="9">
        <v>1390</v>
      </c>
      <c r="B1234" s="10"/>
      <c r="C1234" s="21">
        <v>230336</v>
      </c>
      <c r="D1234" s="22" t="s">
        <v>762</v>
      </c>
      <c r="E1234" s="23">
        <v>44970</v>
      </c>
      <c r="F1234" s="24">
        <v>44958</v>
      </c>
      <c r="G1234" s="25">
        <v>161280</v>
      </c>
      <c r="H1234" s="26" t="s">
        <v>3066</v>
      </c>
      <c r="I1234" s="34" t="s">
        <v>29</v>
      </c>
      <c r="J1234" s="10"/>
      <c r="K1234" s="49"/>
      <c r="L1234" s="40">
        <v>45021</v>
      </c>
      <c r="M1234" s="40">
        <v>45022</v>
      </c>
      <c r="N1234" s="37">
        <v>161280</v>
      </c>
      <c r="O1234" s="37">
        <v>0</v>
      </c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</row>
    <row r="1235" spans="1:26" ht="14.25" customHeight="1">
      <c r="A1235" s="9">
        <v>1392</v>
      </c>
      <c r="B1235" s="10"/>
      <c r="C1235" s="21">
        <v>230337</v>
      </c>
      <c r="D1235" s="22" t="s">
        <v>762</v>
      </c>
      <c r="E1235" s="23">
        <v>44970</v>
      </c>
      <c r="F1235" s="24">
        <v>44958</v>
      </c>
      <c r="G1235" s="25">
        <v>932400</v>
      </c>
      <c r="H1235" s="26" t="s">
        <v>3067</v>
      </c>
      <c r="I1235" s="34" t="s">
        <v>29</v>
      </c>
      <c r="J1235" s="10"/>
      <c r="K1235" s="49"/>
      <c r="L1235" s="40">
        <v>45021</v>
      </c>
      <c r="M1235" s="40">
        <v>45022</v>
      </c>
      <c r="N1235" s="37">
        <v>932400</v>
      </c>
      <c r="O1235" s="37">
        <v>0</v>
      </c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</row>
    <row r="1236" spans="1:26" ht="14.25" customHeight="1">
      <c r="A1236" s="9">
        <v>1389</v>
      </c>
      <c r="B1236" s="10"/>
      <c r="C1236" s="21">
        <v>230339</v>
      </c>
      <c r="D1236" s="22" t="s">
        <v>762</v>
      </c>
      <c r="E1236" s="23">
        <v>44970</v>
      </c>
      <c r="F1236" s="24">
        <v>44958</v>
      </c>
      <c r="G1236" s="25">
        <v>570012</v>
      </c>
      <c r="H1236" s="26" t="s">
        <v>3068</v>
      </c>
      <c r="I1236" s="34" t="s">
        <v>29</v>
      </c>
      <c r="J1236" s="10"/>
      <c r="K1236" s="49"/>
      <c r="L1236" s="40">
        <v>45021</v>
      </c>
      <c r="M1236" s="40">
        <v>45022</v>
      </c>
      <c r="N1236" s="37">
        <v>570012</v>
      </c>
      <c r="O1236" s="37">
        <v>0</v>
      </c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</row>
    <row r="1237" spans="1:26" ht="14.25" customHeight="1">
      <c r="A1237" s="9">
        <v>1393</v>
      </c>
      <c r="B1237" s="10"/>
      <c r="C1237" s="21">
        <v>230338</v>
      </c>
      <c r="D1237" s="22" t="s">
        <v>762</v>
      </c>
      <c r="E1237" s="23">
        <v>44971</v>
      </c>
      <c r="F1237" s="24">
        <v>44958</v>
      </c>
      <c r="G1237" s="25">
        <v>6841507</v>
      </c>
      <c r="H1237" s="26" t="s">
        <v>3069</v>
      </c>
      <c r="I1237" s="34" t="s">
        <v>29</v>
      </c>
      <c r="J1237" s="10"/>
      <c r="K1237" s="49"/>
      <c r="L1237" s="40">
        <v>45021</v>
      </c>
      <c r="M1237" s="40">
        <v>45022</v>
      </c>
      <c r="N1237" s="37">
        <v>6841507</v>
      </c>
      <c r="O1237" s="37">
        <v>0</v>
      </c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</row>
    <row r="1238" spans="1:26" ht="14.25" customHeight="1">
      <c r="A1238" s="9">
        <v>1394</v>
      </c>
      <c r="B1238" s="10"/>
      <c r="C1238" s="21">
        <v>230366</v>
      </c>
      <c r="D1238" s="22" t="s">
        <v>762</v>
      </c>
      <c r="E1238" s="23">
        <v>44972</v>
      </c>
      <c r="F1238" s="24">
        <v>44958</v>
      </c>
      <c r="G1238" s="25">
        <v>226000</v>
      </c>
      <c r="H1238" s="26" t="s">
        <v>3070</v>
      </c>
      <c r="I1238" s="34" t="s">
        <v>29</v>
      </c>
      <c r="J1238" s="10"/>
      <c r="K1238" s="49"/>
      <c r="L1238" s="40">
        <v>45021</v>
      </c>
      <c r="M1238" s="40">
        <v>45022</v>
      </c>
      <c r="N1238" s="37">
        <v>226000</v>
      </c>
      <c r="O1238" s="37">
        <v>0</v>
      </c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</row>
    <row r="1239" spans="1:26" ht="14.25" customHeight="1">
      <c r="A1239" s="9">
        <v>1396</v>
      </c>
      <c r="B1239" s="10"/>
      <c r="C1239" s="21">
        <v>230376</v>
      </c>
      <c r="D1239" s="22" t="s">
        <v>762</v>
      </c>
      <c r="E1239" s="23">
        <v>44977</v>
      </c>
      <c r="F1239" s="24">
        <v>44958</v>
      </c>
      <c r="G1239" s="25">
        <v>122100</v>
      </c>
      <c r="H1239" s="26" t="s">
        <v>3071</v>
      </c>
      <c r="I1239" s="34" t="s">
        <v>29</v>
      </c>
      <c r="J1239" s="10"/>
      <c r="K1239" s="49"/>
      <c r="L1239" s="40">
        <v>45021</v>
      </c>
      <c r="M1239" s="40">
        <v>45022</v>
      </c>
      <c r="N1239" s="37">
        <v>122100</v>
      </c>
      <c r="O1239" s="37">
        <v>0</v>
      </c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</row>
    <row r="1240" spans="1:26" ht="14.25" customHeight="1">
      <c r="A1240" s="9">
        <v>1395</v>
      </c>
      <c r="B1240" s="10"/>
      <c r="C1240" s="21">
        <v>230378</v>
      </c>
      <c r="D1240" s="22" t="s">
        <v>762</v>
      </c>
      <c r="E1240" s="23">
        <v>44977</v>
      </c>
      <c r="F1240" s="24">
        <v>44958</v>
      </c>
      <c r="G1240" s="25">
        <v>2568591</v>
      </c>
      <c r="H1240" s="26" t="s">
        <v>3072</v>
      </c>
      <c r="I1240" s="34" t="s">
        <v>29</v>
      </c>
      <c r="J1240" s="10"/>
      <c r="K1240" s="49"/>
      <c r="L1240" s="40">
        <v>45021</v>
      </c>
      <c r="M1240" s="40">
        <v>45022</v>
      </c>
      <c r="N1240" s="37">
        <v>2568591</v>
      </c>
      <c r="O1240" s="37">
        <v>0</v>
      </c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</row>
    <row r="1241" spans="1:26" ht="14.25" customHeight="1">
      <c r="A1241" s="9">
        <v>1397</v>
      </c>
      <c r="B1241" s="10"/>
      <c r="C1241" s="21">
        <v>230355</v>
      </c>
      <c r="D1241" s="22" t="s">
        <v>762</v>
      </c>
      <c r="E1241" s="23">
        <v>44978</v>
      </c>
      <c r="F1241" s="24">
        <v>44958</v>
      </c>
      <c r="G1241" s="25">
        <v>1436540</v>
      </c>
      <c r="H1241" s="26" t="s">
        <v>3073</v>
      </c>
      <c r="I1241" s="34" t="s">
        <v>29</v>
      </c>
      <c r="J1241" s="10"/>
      <c r="K1241" s="49"/>
      <c r="L1241" s="40">
        <v>45021</v>
      </c>
      <c r="M1241" s="40">
        <v>45022</v>
      </c>
      <c r="N1241" s="37">
        <v>1436540</v>
      </c>
      <c r="O1241" s="37">
        <v>0</v>
      </c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</row>
    <row r="1242" spans="1:26" ht="14.25" customHeight="1">
      <c r="A1242" s="9">
        <v>1398</v>
      </c>
      <c r="B1242" s="10"/>
      <c r="C1242" s="21">
        <v>230353</v>
      </c>
      <c r="D1242" s="22" t="s">
        <v>762</v>
      </c>
      <c r="E1242" s="23">
        <v>44979</v>
      </c>
      <c r="F1242" s="24">
        <v>44958</v>
      </c>
      <c r="G1242" s="25">
        <v>9370560</v>
      </c>
      <c r="H1242" s="26" t="s">
        <v>3074</v>
      </c>
      <c r="I1242" s="34" t="s">
        <v>29</v>
      </c>
      <c r="J1242" s="25">
        <v>28366568</v>
      </c>
      <c r="K1242" s="40">
        <v>45044</v>
      </c>
      <c r="L1242" s="40">
        <v>45044</v>
      </c>
      <c r="M1242" s="40">
        <v>45045</v>
      </c>
      <c r="N1242" s="37">
        <v>9370560</v>
      </c>
      <c r="O1242" s="37">
        <v>0</v>
      </c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</row>
    <row r="1243" spans="1:26" ht="14.25" customHeight="1">
      <c r="A1243" s="9">
        <v>1400</v>
      </c>
      <c r="B1243" s="10"/>
      <c r="C1243" s="21">
        <v>230416</v>
      </c>
      <c r="D1243" s="22" t="s">
        <v>762</v>
      </c>
      <c r="E1243" s="23">
        <v>44980</v>
      </c>
      <c r="F1243" s="24">
        <v>44958</v>
      </c>
      <c r="G1243" s="25">
        <v>599400</v>
      </c>
      <c r="H1243" s="26" t="s">
        <v>3075</v>
      </c>
      <c r="I1243" s="34" t="s">
        <v>29</v>
      </c>
      <c r="J1243" s="10"/>
      <c r="K1243" s="39"/>
      <c r="L1243" s="40">
        <v>45044</v>
      </c>
      <c r="M1243" s="40">
        <v>45045</v>
      </c>
      <c r="N1243" s="37">
        <v>599400</v>
      </c>
      <c r="O1243" s="37">
        <v>0</v>
      </c>
      <c r="P1243" s="41"/>
      <c r="Q1243" s="41"/>
      <c r="R1243" s="41"/>
      <c r="S1243" s="41"/>
      <c r="T1243" s="41"/>
      <c r="U1243" s="41"/>
      <c r="V1243" s="41"/>
      <c r="W1243" s="41"/>
      <c r="X1243" s="41"/>
      <c r="Y1243" s="41"/>
      <c r="Z1243" s="41"/>
    </row>
    <row r="1244" spans="1:26" ht="14.25" customHeight="1">
      <c r="A1244" s="9">
        <v>1399</v>
      </c>
      <c r="B1244" s="10"/>
      <c r="C1244" s="21">
        <v>230417</v>
      </c>
      <c r="D1244" s="22" t="s">
        <v>762</v>
      </c>
      <c r="E1244" s="23">
        <v>44980</v>
      </c>
      <c r="F1244" s="24">
        <v>44958</v>
      </c>
      <c r="G1244" s="25">
        <v>888000</v>
      </c>
      <c r="H1244" s="26" t="s">
        <v>3076</v>
      </c>
      <c r="I1244" s="34" t="s">
        <v>29</v>
      </c>
      <c r="J1244" s="10"/>
      <c r="K1244" s="39"/>
      <c r="L1244" s="40">
        <v>45044</v>
      </c>
      <c r="M1244" s="40">
        <v>45045</v>
      </c>
      <c r="N1244" s="37">
        <v>888000</v>
      </c>
      <c r="O1244" s="37">
        <v>0</v>
      </c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</row>
    <row r="1245" spans="1:26" ht="14.25" customHeight="1">
      <c r="A1245" s="9">
        <v>1401</v>
      </c>
      <c r="B1245" s="10"/>
      <c r="C1245" s="21">
        <v>230418</v>
      </c>
      <c r="D1245" s="22" t="s">
        <v>762</v>
      </c>
      <c r="E1245" s="23">
        <v>44981</v>
      </c>
      <c r="F1245" s="24">
        <v>44958</v>
      </c>
      <c r="G1245" s="25">
        <v>3974521</v>
      </c>
      <c r="H1245" s="26" t="s">
        <v>3077</v>
      </c>
      <c r="I1245" s="34" t="s">
        <v>29</v>
      </c>
      <c r="J1245" s="10"/>
      <c r="K1245" s="39"/>
      <c r="L1245" s="40">
        <v>45044</v>
      </c>
      <c r="M1245" s="40">
        <v>45045</v>
      </c>
      <c r="N1245" s="37">
        <v>3974521</v>
      </c>
      <c r="O1245" s="37">
        <v>0</v>
      </c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</row>
    <row r="1246" spans="1:26" ht="14.25" customHeight="1">
      <c r="A1246" s="9">
        <v>1405</v>
      </c>
      <c r="B1246" s="10"/>
      <c r="C1246" s="21">
        <v>230534</v>
      </c>
      <c r="D1246" s="22" t="s">
        <v>762</v>
      </c>
      <c r="E1246" s="23">
        <v>44982</v>
      </c>
      <c r="F1246" s="24">
        <v>44958</v>
      </c>
      <c r="G1246" s="25">
        <v>3174600</v>
      </c>
      <c r="H1246" s="26" t="s">
        <v>3078</v>
      </c>
      <c r="I1246" s="34" t="s">
        <v>29</v>
      </c>
      <c r="J1246" s="10"/>
      <c r="K1246" s="39"/>
      <c r="L1246" s="40">
        <v>45044</v>
      </c>
      <c r="M1246" s="40">
        <v>45045</v>
      </c>
      <c r="N1246" s="37">
        <v>3174600</v>
      </c>
      <c r="O1246" s="37">
        <v>0</v>
      </c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</row>
    <row r="1247" spans="1:26" ht="14.25" customHeight="1">
      <c r="A1247" s="9">
        <v>1402</v>
      </c>
      <c r="B1247" s="10"/>
      <c r="C1247" s="21">
        <v>230443</v>
      </c>
      <c r="D1247" s="22" t="s">
        <v>762</v>
      </c>
      <c r="E1247" s="23">
        <v>44984</v>
      </c>
      <c r="F1247" s="24">
        <v>44958</v>
      </c>
      <c r="G1247" s="25">
        <v>619380</v>
      </c>
      <c r="H1247" s="26" t="s">
        <v>3079</v>
      </c>
      <c r="I1247" s="34" t="s">
        <v>29</v>
      </c>
      <c r="J1247" s="10"/>
      <c r="K1247" s="39"/>
      <c r="L1247" s="40">
        <v>45044</v>
      </c>
      <c r="M1247" s="40">
        <v>45045</v>
      </c>
      <c r="N1247" s="37">
        <v>619380</v>
      </c>
      <c r="O1247" s="37">
        <v>0</v>
      </c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</row>
    <row r="1248" spans="1:26" ht="14.25" customHeight="1">
      <c r="A1248" s="9">
        <v>1403</v>
      </c>
      <c r="B1248" s="10"/>
      <c r="C1248" s="21">
        <v>230444</v>
      </c>
      <c r="D1248" s="22" t="s">
        <v>762</v>
      </c>
      <c r="E1248" s="23">
        <v>44985</v>
      </c>
      <c r="F1248" s="24">
        <v>44958</v>
      </c>
      <c r="G1248" s="25">
        <v>339923</v>
      </c>
      <c r="H1248" s="26" t="s">
        <v>3080</v>
      </c>
      <c r="I1248" s="34" t="s">
        <v>29</v>
      </c>
      <c r="J1248" s="10"/>
      <c r="K1248" s="39"/>
      <c r="L1248" s="40">
        <v>45044</v>
      </c>
      <c r="M1248" s="40">
        <v>45045</v>
      </c>
      <c r="N1248" s="37">
        <v>339923</v>
      </c>
      <c r="O1248" s="37">
        <v>0</v>
      </c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</row>
    <row r="1249" spans="1:26" ht="14.25" customHeight="1">
      <c r="A1249" s="9">
        <v>1404</v>
      </c>
      <c r="B1249" s="10"/>
      <c r="C1249" s="21">
        <v>230445</v>
      </c>
      <c r="D1249" s="22" t="s">
        <v>762</v>
      </c>
      <c r="E1249" s="23">
        <v>44985</v>
      </c>
      <c r="F1249" s="24">
        <v>44958</v>
      </c>
      <c r="G1249" s="25">
        <v>520878</v>
      </c>
      <c r="H1249" s="26" t="s">
        <v>3081</v>
      </c>
      <c r="I1249" s="34" t="s">
        <v>29</v>
      </c>
      <c r="J1249" s="10"/>
      <c r="K1249" s="39"/>
      <c r="L1249" s="40">
        <v>45044</v>
      </c>
      <c r="M1249" s="40">
        <v>45045</v>
      </c>
      <c r="N1249" s="37">
        <v>520878</v>
      </c>
      <c r="O1249" s="37">
        <v>0</v>
      </c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</row>
    <row r="1250" spans="1:26" ht="14.25" customHeight="1">
      <c r="A1250" s="9">
        <v>1406</v>
      </c>
      <c r="B1250" s="10"/>
      <c r="C1250" s="21">
        <v>230456</v>
      </c>
      <c r="D1250" s="22" t="s">
        <v>762</v>
      </c>
      <c r="E1250" s="23">
        <v>44985</v>
      </c>
      <c r="F1250" s="24">
        <v>44958</v>
      </c>
      <c r="G1250" s="25">
        <v>8390157</v>
      </c>
      <c r="H1250" s="26" t="s">
        <v>3082</v>
      </c>
      <c r="I1250" s="34" t="s">
        <v>29</v>
      </c>
      <c r="J1250" s="10"/>
      <c r="K1250" s="39"/>
      <c r="L1250" s="40">
        <v>45044</v>
      </c>
      <c r="M1250" s="40">
        <v>45045</v>
      </c>
      <c r="N1250" s="37">
        <v>8390157</v>
      </c>
      <c r="O1250" s="37">
        <v>0</v>
      </c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</row>
    <row r="1251" spans="1:26" ht="14.25" customHeight="1">
      <c r="A1251" s="9">
        <v>1407</v>
      </c>
      <c r="B1251" s="10"/>
      <c r="C1251" s="21">
        <v>230457</v>
      </c>
      <c r="D1251" s="22" t="s">
        <v>762</v>
      </c>
      <c r="E1251" s="23">
        <v>44985</v>
      </c>
      <c r="F1251" s="24">
        <v>44958</v>
      </c>
      <c r="G1251" s="25">
        <v>489149</v>
      </c>
      <c r="H1251" s="26" t="s">
        <v>3083</v>
      </c>
      <c r="I1251" s="34" t="s">
        <v>29</v>
      </c>
      <c r="J1251" s="10"/>
      <c r="K1251" s="39"/>
      <c r="L1251" s="40">
        <v>45044</v>
      </c>
      <c r="M1251" s="40">
        <v>45045</v>
      </c>
      <c r="N1251" s="37">
        <v>489149</v>
      </c>
      <c r="O1251" s="37">
        <v>0</v>
      </c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</row>
    <row r="1252" spans="1:26" ht="14.25" customHeight="1">
      <c r="A1252" s="9">
        <v>1409</v>
      </c>
      <c r="B1252" s="10"/>
      <c r="C1252" s="21">
        <v>230462</v>
      </c>
      <c r="D1252" s="22" t="s">
        <v>762</v>
      </c>
      <c r="E1252" s="23">
        <v>44986</v>
      </c>
      <c r="F1252" s="24">
        <v>44986</v>
      </c>
      <c r="G1252" s="25">
        <v>398157</v>
      </c>
      <c r="H1252" s="26" t="s">
        <v>3084</v>
      </c>
      <c r="I1252" s="34" t="s">
        <v>29</v>
      </c>
      <c r="J1252" s="25">
        <v>11013131</v>
      </c>
      <c r="K1252" s="40">
        <v>45061</v>
      </c>
      <c r="L1252" s="40">
        <v>45061</v>
      </c>
      <c r="M1252" s="40">
        <v>45063</v>
      </c>
      <c r="N1252" s="37">
        <v>398157</v>
      </c>
      <c r="O1252" s="37">
        <v>0</v>
      </c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</row>
    <row r="1253" spans="1:26" ht="14.25" customHeight="1">
      <c r="A1253" s="9">
        <v>1410</v>
      </c>
      <c r="B1253" s="10"/>
      <c r="C1253" s="21">
        <v>230459</v>
      </c>
      <c r="D1253" s="22" t="s">
        <v>762</v>
      </c>
      <c r="E1253" s="23">
        <v>44987</v>
      </c>
      <c r="F1253" s="24">
        <v>44986</v>
      </c>
      <c r="G1253" s="25">
        <v>360000</v>
      </c>
      <c r="H1253" s="26" t="s">
        <v>3085</v>
      </c>
      <c r="I1253" s="34" t="s">
        <v>29</v>
      </c>
      <c r="J1253" s="10"/>
      <c r="K1253" s="39"/>
      <c r="L1253" s="40">
        <v>45061</v>
      </c>
      <c r="M1253" s="40">
        <v>45063</v>
      </c>
      <c r="N1253" s="37">
        <v>360000</v>
      </c>
      <c r="O1253" s="37">
        <v>0</v>
      </c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</row>
    <row r="1254" spans="1:26" ht="14.25" customHeight="1">
      <c r="A1254" s="9">
        <v>1411</v>
      </c>
      <c r="B1254" s="10"/>
      <c r="C1254" s="21">
        <v>230460</v>
      </c>
      <c r="D1254" s="22" t="s">
        <v>762</v>
      </c>
      <c r="E1254" s="23">
        <v>44987</v>
      </c>
      <c r="F1254" s="24">
        <v>44986</v>
      </c>
      <c r="G1254" s="25">
        <v>2654380</v>
      </c>
      <c r="H1254" s="26" t="s">
        <v>3086</v>
      </c>
      <c r="I1254" s="34" t="s">
        <v>29</v>
      </c>
      <c r="J1254" s="10"/>
      <c r="K1254" s="39"/>
      <c r="L1254" s="40">
        <v>45061</v>
      </c>
      <c r="M1254" s="40">
        <v>45063</v>
      </c>
      <c r="N1254" s="37">
        <v>2654380</v>
      </c>
      <c r="O1254" s="37">
        <v>0</v>
      </c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</row>
    <row r="1255" spans="1:26" ht="14.25" customHeight="1">
      <c r="A1255" s="9">
        <v>1412</v>
      </c>
      <c r="B1255" s="10"/>
      <c r="C1255" s="21">
        <v>230527</v>
      </c>
      <c r="D1255" s="22" t="s">
        <v>762</v>
      </c>
      <c r="E1255" s="23">
        <v>44987</v>
      </c>
      <c r="F1255" s="24">
        <v>44986</v>
      </c>
      <c r="G1255" s="25">
        <v>451468</v>
      </c>
      <c r="H1255" s="26" t="s">
        <v>3087</v>
      </c>
      <c r="I1255" s="34" t="s">
        <v>29</v>
      </c>
      <c r="J1255" s="10"/>
      <c r="K1255" s="39"/>
      <c r="L1255" s="40">
        <v>45061</v>
      </c>
      <c r="M1255" s="40">
        <v>45063</v>
      </c>
      <c r="N1255" s="37">
        <v>451468</v>
      </c>
      <c r="O1255" s="37">
        <v>0</v>
      </c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</row>
    <row r="1256" spans="1:26" ht="14.25" customHeight="1">
      <c r="A1256" s="9">
        <v>1413</v>
      </c>
      <c r="B1256" s="10"/>
      <c r="C1256" s="21">
        <v>230526</v>
      </c>
      <c r="D1256" s="22" t="s">
        <v>762</v>
      </c>
      <c r="E1256" s="23">
        <v>44992</v>
      </c>
      <c r="F1256" s="24">
        <v>44986</v>
      </c>
      <c r="G1256" s="25">
        <v>2156591</v>
      </c>
      <c r="H1256" s="26" t="s">
        <v>3088</v>
      </c>
      <c r="I1256" s="34" t="s">
        <v>29</v>
      </c>
      <c r="J1256" s="10"/>
      <c r="K1256" s="39"/>
      <c r="L1256" s="40">
        <v>45061</v>
      </c>
      <c r="M1256" s="40">
        <v>45063</v>
      </c>
      <c r="N1256" s="37">
        <v>2156591</v>
      </c>
      <c r="O1256" s="37">
        <v>0</v>
      </c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</row>
    <row r="1257" spans="1:26" ht="14.25" customHeight="1">
      <c r="A1257" s="9">
        <v>1415</v>
      </c>
      <c r="B1257" s="10"/>
      <c r="C1257" s="21">
        <v>230535</v>
      </c>
      <c r="D1257" s="22" t="s">
        <v>762</v>
      </c>
      <c r="E1257" s="23">
        <v>44994</v>
      </c>
      <c r="F1257" s="24">
        <v>44986</v>
      </c>
      <c r="G1257" s="25">
        <v>1085213</v>
      </c>
      <c r="H1257" s="26" t="s">
        <v>3089</v>
      </c>
      <c r="I1257" s="34" t="s">
        <v>29</v>
      </c>
      <c r="J1257" s="25">
        <v>29081290</v>
      </c>
      <c r="K1257" s="40">
        <v>45071</v>
      </c>
      <c r="L1257" s="40">
        <v>45071</v>
      </c>
      <c r="M1257" s="40">
        <v>45072</v>
      </c>
      <c r="N1257" s="37">
        <v>1085213</v>
      </c>
      <c r="O1257" s="37">
        <v>0</v>
      </c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</row>
    <row r="1258" spans="1:26" ht="14.25" customHeight="1">
      <c r="A1258" s="9">
        <v>1414</v>
      </c>
      <c r="B1258" s="10"/>
      <c r="C1258" s="21">
        <v>230552</v>
      </c>
      <c r="D1258" s="22" t="s">
        <v>762</v>
      </c>
      <c r="E1258" s="23">
        <v>44994</v>
      </c>
      <c r="F1258" s="24">
        <v>44986</v>
      </c>
      <c r="G1258" s="25">
        <v>4992535</v>
      </c>
      <c r="H1258" s="26" t="s">
        <v>3090</v>
      </c>
      <c r="I1258" s="34" t="s">
        <v>29</v>
      </c>
      <c r="J1258" s="10"/>
      <c r="K1258" s="39"/>
      <c r="L1258" s="40">
        <v>45061</v>
      </c>
      <c r="M1258" s="40">
        <v>45063</v>
      </c>
      <c r="N1258" s="37">
        <v>4992535</v>
      </c>
      <c r="O1258" s="37">
        <v>0</v>
      </c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</row>
    <row r="1259" spans="1:26" ht="14.25" customHeight="1">
      <c r="A1259" s="9">
        <v>1416</v>
      </c>
      <c r="B1259" s="10"/>
      <c r="C1259" s="21">
        <v>230610</v>
      </c>
      <c r="D1259" s="22" t="s">
        <v>762</v>
      </c>
      <c r="E1259" s="23">
        <v>45002</v>
      </c>
      <c r="F1259" s="24">
        <v>44986</v>
      </c>
      <c r="G1259" s="25">
        <v>3451878</v>
      </c>
      <c r="H1259" s="26" t="s">
        <v>3091</v>
      </c>
      <c r="I1259" s="34" t="s">
        <v>29</v>
      </c>
      <c r="J1259" s="10"/>
      <c r="K1259" s="39"/>
      <c r="L1259" s="40">
        <v>45071</v>
      </c>
      <c r="M1259" s="40">
        <v>45072</v>
      </c>
      <c r="N1259" s="37">
        <v>3451878</v>
      </c>
      <c r="O1259" s="37">
        <v>0</v>
      </c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</row>
    <row r="1260" spans="1:26" ht="14.25" customHeight="1">
      <c r="A1260" s="9">
        <v>1418</v>
      </c>
      <c r="B1260" s="10"/>
      <c r="C1260" s="21">
        <v>230681</v>
      </c>
      <c r="D1260" s="22" t="s">
        <v>762</v>
      </c>
      <c r="E1260" s="23">
        <v>45004</v>
      </c>
      <c r="F1260" s="24">
        <v>44986</v>
      </c>
      <c r="G1260" s="25">
        <v>374625</v>
      </c>
      <c r="H1260" s="26" t="s">
        <v>3092</v>
      </c>
      <c r="I1260" s="34" t="s">
        <v>29</v>
      </c>
      <c r="J1260" s="10"/>
      <c r="K1260" s="39"/>
      <c r="L1260" s="40">
        <v>45071</v>
      </c>
      <c r="M1260" s="40">
        <v>45072</v>
      </c>
      <c r="N1260" s="37">
        <v>374625</v>
      </c>
      <c r="O1260" s="37">
        <v>0</v>
      </c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</row>
    <row r="1261" spans="1:26" ht="14.25" customHeight="1">
      <c r="A1261" s="9">
        <v>1417</v>
      </c>
      <c r="B1261" s="10"/>
      <c r="C1261" s="21">
        <v>230611</v>
      </c>
      <c r="D1261" s="22" t="s">
        <v>762</v>
      </c>
      <c r="E1261" s="23">
        <v>45005</v>
      </c>
      <c r="F1261" s="24">
        <v>44986</v>
      </c>
      <c r="G1261" s="25">
        <v>902936</v>
      </c>
      <c r="H1261" s="26" t="s">
        <v>3093</v>
      </c>
      <c r="I1261" s="34" t="s">
        <v>29</v>
      </c>
      <c r="J1261" s="10"/>
      <c r="K1261" s="39"/>
      <c r="L1261" s="40">
        <v>45071</v>
      </c>
      <c r="M1261" s="40">
        <v>45072</v>
      </c>
      <c r="N1261" s="37">
        <v>902936</v>
      </c>
      <c r="O1261" s="37">
        <v>0</v>
      </c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</row>
    <row r="1262" spans="1:26" ht="14.25" customHeight="1">
      <c r="A1262" s="9">
        <v>1419</v>
      </c>
      <c r="B1262" s="10"/>
      <c r="C1262" s="21">
        <v>230710</v>
      </c>
      <c r="D1262" s="22" t="s">
        <v>762</v>
      </c>
      <c r="E1262" s="23">
        <v>45005</v>
      </c>
      <c r="F1262" s="24">
        <v>44986</v>
      </c>
      <c r="G1262" s="25">
        <v>81585</v>
      </c>
      <c r="H1262" s="26" t="s">
        <v>3094</v>
      </c>
      <c r="I1262" s="34" t="s">
        <v>29</v>
      </c>
      <c r="J1262" s="10"/>
      <c r="K1262" s="39"/>
      <c r="L1262" s="40">
        <v>45071</v>
      </c>
      <c r="M1262" s="40">
        <v>45072</v>
      </c>
      <c r="N1262" s="37">
        <v>81585</v>
      </c>
      <c r="O1262" s="37">
        <v>0</v>
      </c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</row>
    <row r="1263" spans="1:26" ht="14.25" customHeight="1">
      <c r="A1263" s="9">
        <v>1430</v>
      </c>
      <c r="B1263" s="10"/>
      <c r="C1263" s="21">
        <v>230630</v>
      </c>
      <c r="D1263" s="22" t="s">
        <v>762</v>
      </c>
      <c r="E1263" s="23">
        <v>45010</v>
      </c>
      <c r="F1263" s="24">
        <v>44986</v>
      </c>
      <c r="G1263" s="25">
        <v>599400</v>
      </c>
      <c r="H1263" s="26" t="s">
        <v>3095</v>
      </c>
      <c r="I1263" s="34" t="s">
        <v>29</v>
      </c>
      <c r="J1263" s="25">
        <v>28826490</v>
      </c>
      <c r="K1263" s="40">
        <v>45079</v>
      </c>
      <c r="L1263" s="40">
        <v>45079</v>
      </c>
      <c r="M1263" s="40">
        <v>45080</v>
      </c>
      <c r="N1263" s="37">
        <v>599400</v>
      </c>
      <c r="O1263" s="37">
        <v>0</v>
      </c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</row>
    <row r="1264" spans="1:26" ht="14.25" customHeight="1">
      <c r="A1264" s="9">
        <v>1434</v>
      </c>
      <c r="B1264" s="10"/>
      <c r="C1264" s="21">
        <v>230636</v>
      </c>
      <c r="D1264" s="22" t="s">
        <v>762</v>
      </c>
      <c r="E1264" s="23">
        <v>45012</v>
      </c>
      <c r="F1264" s="24">
        <v>44986</v>
      </c>
      <c r="G1264" s="25">
        <v>324900</v>
      </c>
      <c r="H1264" s="26" t="s">
        <v>3096</v>
      </c>
      <c r="I1264" s="34" t="s">
        <v>29</v>
      </c>
      <c r="J1264" s="10"/>
      <c r="K1264" s="39"/>
      <c r="L1264" s="40">
        <v>45079</v>
      </c>
      <c r="M1264" s="40">
        <v>45080</v>
      </c>
      <c r="N1264" s="37">
        <v>324900</v>
      </c>
      <c r="O1264" s="37">
        <v>0</v>
      </c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</row>
    <row r="1265" spans="1:26" ht="14.25" customHeight="1">
      <c r="A1265" s="9">
        <v>1431</v>
      </c>
      <c r="B1265" s="10"/>
      <c r="C1265" s="21">
        <v>230639</v>
      </c>
      <c r="D1265" s="22" t="s">
        <v>762</v>
      </c>
      <c r="E1265" s="23">
        <v>45012</v>
      </c>
      <c r="F1265" s="24">
        <v>44986</v>
      </c>
      <c r="G1265" s="25">
        <v>1659450</v>
      </c>
      <c r="H1265" s="26" t="s">
        <v>3097</v>
      </c>
      <c r="I1265" s="34" t="s">
        <v>29</v>
      </c>
      <c r="J1265" s="10"/>
      <c r="K1265" s="39"/>
      <c r="L1265" s="40">
        <v>45079</v>
      </c>
      <c r="M1265" s="40">
        <v>45080</v>
      </c>
      <c r="N1265" s="37">
        <v>1659450</v>
      </c>
      <c r="O1265" s="37">
        <v>0</v>
      </c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</row>
    <row r="1266" spans="1:26" ht="14.25" customHeight="1">
      <c r="A1266" s="9">
        <v>1433</v>
      </c>
      <c r="B1266" s="10"/>
      <c r="C1266" s="21">
        <v>230645</v>
      </c>
      <c r="D1266" s="22" t="s">
        <v>762</v>
      </c>
      <c r="E1266" s="23">
        <v>45012</v>
      </c>
      <c r="F1266" s="24">
        <v>44986</v>
      </c>
      <c r="G1266" s="25">
        <v>989010</v>
      </c>
      <c r="H1266" s="26" t="s">
        <v>3098</v>
      </c>
      <c r="I1266" s="34" t="s">
        <v>29</v>
      </c>
      <c r="J1266" s="10"/>
      <c r="K1266" s="39"/>
      <c r="L1266" s="40">
        <v>45079</v>
      </c>
      <c r="M1266" s="40">
        <v>45080</v>
      </c>
      <c r="N1266" s="37">
        <v>989010</v>
      </c>
      <c r="O1266" s="37">
        <v>0</v>
      </c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</row>
    <row r="1267" spans="1:26" ht="14.25" customHeight="1">
      <c r="A1267" s="9">
        <v>1432</v>
      </c>
      <c r="B1267" s="10"/>
      <c r="C1267" s="21">
        <v>230650</v>
      </c>
      <c r="D1267" s="22" t="s">
        <v>762</v>
      </c>
      <c r="E1267" s="23">
        <v>45012</v>
      </c>
      <c r="F1267" s="24">
        <v>44986</v>
      </c>
      <c r="G1267" s="25">
        <v>2653122</v>
      </c>
      <c r="H1267" s="26" t="s">
        <v>3099</v>
      </c>
      <c r="I1267" s="34" t="s">
        <v>29</v>
      </c>
      <c r="J1267" s="10"/>
      <c r="K1267" s="39"/>
      <c r="L1267" s="40">
        <v>45079</v>
      </c>
      <c r="M1267" s="40">
        <v>45080</v>
      </c>
      <c r="N1267" s="37">
        <v>2653122</v>
      </c>
      <c r="O1267" s="37">
        <v>0</v>
      </c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</row>
    <row r="1268" spans="1:26" ht="14.25" customHeight="1">
      <c r="A1268" s="9">
        <v>1438</v>
      </c>
      <c r="B1268" s="10"/>
      <c r="C1268" s="21">
        <v>230663</v>
      </c>
      <c r="D1268" s="22" t="s">
        <v>762</v>
      </c>
      <c r="E1268" s="23">
        <v>45013</v>
      </c>
      <c r="F1268" s="24">
        <v>44986</v>
      </c>
      <c r="G1268" s="25">
        <v>1095969</v>
      </c>
      <c r="H1268" s="26" t="s">
        <v>3100</v>
      </c>
      <c r="I1268" s="34" t="s">
        <v>29</v>
      </c>
      <c r="J1268" s="10"/>
      <c r="K1268" s="39"/>
      <c r="L1268" s="40">
        <v>45079</v>
      </c>
      <c r="M1268" s="40">
        <v>45080</v>
      </c>
      <c r="N1268" s="37">
        <v>1095969</v>
      </c>
      <c r="O1268" s="37">
        <v>0</v>
      </c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</row>
    <row r="1269" spans="1:26" ht="14.25" customHeight="1">
      <c r="A1269" s="9">
        <v>1436</v>
      </c>
      <c r="B1269" s="10"/>
      <c r="C1269" s="21">
        <v>230664</v>
      </c>
      <c r="D1269" s="22" t="s">
        <v>762</v>
      </c>
      <c r="E1269" s="23">
        <v>45013</v>
      </c>
      <c r="F1269" s="24">
        <v>44986</v>
      </c>
      <c r="G1269" s="25">
        <v>420000</v>
      </c>
      <c r="H1269" s="26" t="s">
        <v>3101</v>
      </c>
      <c r="I1269" s="34" t="s">
        <v>29</v>
      </c>
      <c r="J1269" s="10"/>
      <c r="K1269" s="39"/>
      <c r="L1269" s="40">
        <v>45079</v>
      </c>
      <c r="M1269" s="40">
        <v>45080</v>
      </c>
      <c r="N1269" s="37">
        <v>420000</v>
      </c>
      <c r="O1269" s="37">
        <v>0</v>
      </c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</row>
    <row r="1270" spans="1:26" ht="14.25" customHeight="1">
      <c r="A1270" s="9">
        <v>1437</v>
      </c>
      <c r="B1270" s="10"/>
      <c r="C1270" s="21">
        <v>230667</v>
      </c>
      <c r="D1270" s="22" t="s">
        <v>762</v>
      </c>
      <c r="E1270" s="23">
        <v>45013</v>
      </c>
      <c r="F1270" s="24">
        <v>44986</v>
      </c>
      <c r="G1270" s="25">
        <v>3996000</v>
      </c>
      <c r="H1270" s="26" t="s">
        <v>3102</v>
      </c>
      <c r="I1270" s="34" t="s">
        <v>29</v>
      </c>
      <c r="J1270" s="10"/>
      <c r="K1270" s="39"/>
      <c r="L1270" s="40">
        <v>45079</v>
      </c>
      <c r="M1270" s="40">
        <v>45080</v>
      </c>
      <c r="N1270" s="37">
        <v>3996000</v>
      </c>
      <c r="O1270" s="37">
        <v>0</v>
      </c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</row>
    <row r="1271" spans="1:26" ht="14.25" customHeight="1">
      <c r="A1271" s="9">
        <v>1435</v>
      </c>
      <c r="B1271" s="10"/>
      <c r="C1271" s="21">
        <v>230668</v>
      </c>
      <c r="D1271" s="22" t="s">
        <v>762</v>
      </c>
      <c r="E1271" s="23">
        <v>45013</v>
      </c>
      <c r="F1271" s="24">
        <v>44986</v>
      </c>
      <c r="G1271" s="25">
        <v>888000</v>
      </c>
      <c r="H1271" s="26" t="s">
        <v>3103</v>
      </c>
      <c r="I1271" s="34" t="s">
        <v>29</v>
      </c>
      <c r="J1271" s="10"/>
      <c r="K1271" s="39"/>
      <c r="L1271" s="40">
        <v>45079</v>
      </c>
      <c r="M1271" s="40">
        <v>45080</v>
      </c>
      <c r="N1271" s="37">
        <v>888000</v>
      </c>
      <c r="O1271" s="37">
        <v>0</v>
      </c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</row>
    <row r="1272" spans="1:26" ht="14.25" customHeight="1">
      <c r="A1272" s="9">
        <v>1440</v>
      </c>
      <c r="B1272" s="10"/>
      <c r="C1272" s="21">
        <v>230682</v>
      </c>
      <c r="D1272" s="22" t="s">
        <v>762</v>
      </c>
      <c r="E1272" s="23">
        <v>45014</v>
      </c>
      <c r="F1272" s="24">
        <v>44986</v>
      </c>
      <c r="G1272" s="25">
        <v>4710119</v>
      </c>
      <c r="H1272" s="26" t="s">
        <v>3104</v>
      </c>
      <c r="I1272" s="34" t="s">
        <v>29</v>
      </c>
      <c r="J1272" s="10"/>
      <c r="K1272" s="39"/>
      <c r="L1272" s="40">
        <v>45079</v>
      </c>
      <c r="M1272" s="40">
        <v>45080</v>
      </c>
      <c r="N1272" s="37">
        <v>4710119</v>
      </c>
      <c r="O1272" s="37">
        <v>0</v>
      </c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</row>
    <row r="1273" spans="1:26" ht="14.25" customHeight="1">
      <c r="A1273" s="9">
        <v>1441</v>
      </c>
      <c r="B1273" s="10"/>
      <c r="C1273" s="21">
        <v>230683</v>
      </c>
      <c r="D1273" s="22" t="s">
        <v>762</v>
      </c>
      <c r="E1273" s="23">
        <v>45014</v>
      </c>
      <c r="F1273" s="24">
        <v>44986</v>
      </c>
      <c r="G1273" s="25">
        <v>1773780</v>
      </c>
      <c r="H1273" s="26" t="s">
        <v>3105</v>
      </c>
      <c r="I1273" s="34" t="s">
        <v>29</v>
      </c>
      <c r="J1273" s="10"/>
      <c r="K1273" s="39"/>
      <c r="L1273" s="40">
        <v>45079</v>
      </c>
      <c r="M1273" s="40">
        <v>45080</v>
      </c>
      <c r="N1273" s="37">
        <v>1773780</v>
      </c>
      <c r="O1273" s="37">
        <v>0</v>
      </c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</row>
    <row r="1274" spans="1:26" ht="14.25" customHeight="1">
      <c r="A1274" s="9">
        <v>1442</v>
      </c>
      <c r="B1274" s="10"/>
      <c r="C1274" s="21">
        <v>230684</v>
      </c>
      <c r="D1274" s="22" t="s">
        <v>762</v>
      </c>
      <c r="E1274" s="23">
        <v>45014</v>
      </c>
      <c r="F1274" s="24">
        <v>44986</v>
      </c>
      <c r="G1274" s="25">
        <v>2317236</v>
      </c>
      <c r="H1274" s="26" t="s">
        <v>3106</v>
      </c>
      <c r="I1274" s="34" t="s">
        <v>29</v>
      </c>
      <c r="J1274" s="10"/>
      <c r="K1274" s="39"/>
      <c r="L1274" s="40">
        <v>45079</v>
      </c>
      <c r="M1274" s="40">
        <v>45080</v>
      </c>
      <c r="N1274" s="37">
        <v>2317236</v>
      </c>
      <c r="O1274" s="37">
        <v>0</v>
      </c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</row>
    <row r="1275" spans="1:26" ht="14.25" customHeight="1">
      <c r="A1275" s="9">
        <v>1439</v>
      </c>
      <c r="B1275" s="10"/>
      <c r="C1275" s="21">
        <v>230685</v>
      </c>
      <c r="D1275" s="22" t="s">
        <v>762</v>
      </c>
      <c r="E1275" s="23">
        <v>45014</v>
      </c>
      <c r="F1275" s="24">
        <v>44986</v>
      </c>
      <c r="G1275" s="25">
        <v>595362</v>
      </c>
      <c r="H1275" s="26" t="s">
        <v>3107</v>
      </c>
      <c r="I1275" s="34" t="s">
        <v>29</v>
      </c>
      <c r="J1275" s="10"/>
      <c r="K1275" s="39"/>
      <c r="L1275" s="40">
        <v>45079</v>
      </c>
      <c r="M1275" s="40">
        <v>45080</v>
      </c>
      <c r="N1275" s="37">
        <v>595362</v>
      </c>
      <c r="O1275" s="37">
        <v>0</v>
      </c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</row>
    <row r="1276" spans="1:26" ht="14.25" customHeight="1">
      <c r="A1276" s="9">
        <v>1421</v>
      </c>
      <c r="B1276" s="10"/>
      <c r="C1276" s="21">
        <v>230712</v>
      </c>
      <c r="D1276" s="22" t="s">
        <v>762</v>
      </c>
      <c r="E1276" s="23">
        <v>45014</v>
      </c>
      <c r="F1276" s="24">
        <v>44986</v>
      </c>
      <c r="G1276" s="25">
        <v>444000</v>
      </c>
      <c r="H1276" s="26" t="s">
        <v>3108</v>
      </c>
      <c r="I1276" s="34" t="s">
        <v>29</v>
      </c>
      <c r="J1276" s="10"/>
      <c r="K1276" s="39"/>
      <c r="L1276" s="40">
        <v>45071</v>
      </c>
      <c r="M1276" s="40">
        <v>45072</v>
      </c>
      <c r="N1276" s="37">
        <v>444000</v>
      </c>
      <c r="O1276" s="37">
        <v>0</v>
      </c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</row>
    <row r="1277" spans="1:26" ht="14.25" customHeight="1">
      <c r="A1277" s="9">
        <v>1444</v>
      </c>
      <c r="B1277" s="10"/>
      <c r="C1277" s="21">
        <v>230720</v>
      </c>
      <c r="D1277" s="22" t="s">
        <v>762</v>
      </c>
      <c r="E1277" s="23">
        <v>45014</v>
      </c>
      <c r="F1277" s="24">
        <v>44986</v>
      </c>
      <c r="G1277" s="25">
        <v>898212</v>
      </c>
      <c r="H1277" s="26" t="s">
        <v>3109</v>
      </c>
      <c r="I1277" s="34" t="s">
        <v>29</v>
      </c>
      <c r="J1277" s="10"/>
      <c r="K1277" s="39"/>
      <c r="L1277" s="40">
        <v>45079</v>
      </c>
      <c r="M1277" s="40">
        <v>45080</v>
      </c>
      <c r="N1277" s="37">
        <v>898212</v>
      </c>
      <c r="O1277" s="37">
        <v>0</v>
      </c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</row>
    <row r="1278" spans="1:26" ht="14.25" customHeight="1">
      <c r="A1278" s="9">
        <v>1443</v>
      </c>
      <c r="B1278" s="10"/>
      <c r="C1278" s="21">
        <v>230731</v>
      </c>
      <c r="D1278" s="22" t="s">
        <v>762</v>
      </c>
      <c r="E1278" s="23">
        <v>45014</v>
      </c>
      <c r="F1278" s="24">
        <v>44986</v>
      </c>
      <c r="G1278" s="25">
        <v>1851618</v>
      </c>
      <c r="H1278" s="26" t="s">
        <v>3110</v>
      </c>
      <c r="I1278" s="34" t="s">
        <v>29</v>
      </c>
      <c r="J1278" s="10"/>
      <c r="K1278" s="39"/>
      <c r="L1278" s="40">
        <v>45079</v>
      </c>
      <c r="M1278" s="40">
        <v>45080</v>
      </c>
      <c r="N1278" s="37">
        <v>1851618</v>
      </c>
      <c r="O1278" s="37">
        <v>0</v>
      </c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</row>
    <row r="1279" spans="1:26" ht="14.25" customHeight="1">
      <c r="A1279" s="9">
        <v>1420</v>
      </c>
      <c r="B1279" s="10"/>
      <c r="C1279" s="21">
        <v>230732</v>
      </c>
      <c r="D1279" s="22" t="s">
        <v>762</v>
      </c>
      <c r="E1279" s="23">
        <v>45014</v>
      </c>
      <c r="F1279" s="24">
        <v>44986</v>
      </c>
      <c r="G1279" s="25">
        <v>3759653</v>
      </c>
      <c r="H1279" s="26" t="s">
        <v>3111</v>
      </c>
      <c r="I1279" s="34" t="s">
        <v>29</v>
      </c>
      <c r="J1279" s="10"/>
      <c r="K1279" s="39"/>
      <c r="L1279" s="40">
        <v>45071</v>
      </c>
      <c r="M1279" s="40">
        <v>45072</v>
      </c>
      <c r="N1279" s="37">
        <v>3759653</v>
      </c>
      <c r="O1279" s="37">
        <v>0</v>
      </c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</row>
    <row r="1280" spans="1:26" ht="14.25" customHeight="1">
      <c r="A1280" s="9">
        <v>1422</v>
      </c>
      <c r="B1280" s="10"/>
      <c r="C1280" s="21">
        <v>230772</v>
      </c>
      <c r="D1280" s="22" t="s">
        <v>762</v>
      </c>
      <c r="E1280" s="23">
        <v>45015</v>
      </c>
      <c r="F1280" s="24">
        <v>44986</v>
      </c>
      <c r="G1280" s="25">
        <v>1998000</v>
      </c>
      <c r="H1280" s="26" t="s">
        <v>3112</v>
      </c>
      <c r="I1280" s="34" t="s">
        <v>29</v>
      </c>
      <c r="J1280" s="10"/>
      <c r="K1280" s="39"/>
      <c r="L1280" s="40">
        <v>45071</v>
      </c>
      <c r="M1280" s="40">
        <v>45072</v>
      </c>
      <c r="N1280" s="37">
        <v>1998000</v>
      </c>
      <c r="O1280" s="37">
        <v>0</v>
      </c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</row>
    <row r="1281" spans="1:26" ht="14.25" customHeight="1">
      <c r="A1281" s="9">
        <v>1425</v>
      </c>
      <c r="B1281" s="10"/>
      <c r="C1281" s="21">
        <v>230719</v>
      </c>
      <c r="D1281" s="22" t="s">
        <v>762</v>
      </c>
      <c r="E1281" s="23">
        <v>45016</v>
      </c>
      <c r="F1281" s="24">
        <v>44986</v>
      </c>
      <c r="G1281" s="25">
        <v>2568591</v>
      </c>
      <c r="H1281" s="26" t="s">
        <v>3113</v>
      </c>
      <c r="I1281" s="34" t="s">
        <v>29</v>
      </c>
      <c r="J1281" s="10"/>
      <c r="K1281" s="39"/>
      <c r="L1281" s="40">
        <v>45071</v>
      </c>
      <c r="M1281" s="40">
        <v>45072</v>
      </c>
      <c r="N1281" s="37">
        <v>2568591</v>
      </c>
      <c r="O1281" s="37">
        <v>0</v>
      </c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</row>
    <row r="1282" spans="1:26" ht="14.25" customHeight="1">
      <c r="A1282" s="9">
        <v>1424</v>
      </c>
      <c r="B1282" s="10"/>
      <c r="C1282" s="21">
        <v>230724</v>
      </c>
      <c r="D1282" s="22" t="s">
        <v>762</v>
      </c>
      <c r="E1282" s="23">
        <v>45016</v>
      </c>
      <c r="F1282" s="24">
        <v>44986</v>
      </c>
      <c r="G1282" s="25">
        <v>1712400</v>
      </c>
      <c r="H1282" s="26" t="s">
        <v>3114</v>
      </c>
      <c r="I1282" s="34" t="s">
        <v>29</v>
      </c>
      <c r="J1282" s="10"/>
      <c r="K1282" s="39"/>
      <c r="L1282" s="40">
        <v>45071</v>
      </c>
      <c r="M1282" s="40">
        <v>45072</v>
      </c>
      <c r="N1282" s="37">
        <v>1712400</v>
      </c>
      <c r="O1282" s="37">
        <v>0</v>
      </c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</row>
    <row r="1283" spans="1:26" ht="14.25" customHeight="1">
      <c r="A1283" s="9">
        <v>1426</v>
      </c>
      <c r="B1283" s="10"/>
      <c r="C1283" s="21">
        <v>230725</v>
      </c>
      <c r="D1283" s="22" t="s">
        <v>762</v>
      </c>
      <c r="E1283" s="23">
        <v>45016</v>
      </c>
      <c r="F1283" s="24">
        <v>44986</v>
      </c>
      <c r="G1283" s="25">
        <v>320515</v>
      </c>
      <c r="H1283" s="26" t="s">
        <v>3115</v>
      </c>
      <c r="I1283" s="34" t="s">
        <v>29</v>
      </c>
      <c r="J1283" s="10"/>
      <c r="K1283" s="39"/>
      <c r="L1283" s="40">
        <v>45071</v>
      </c>
      <c r="M1283" s="40">
        <v>45072</v>
      </c>
      <c r="N1283" s="37">
        <v>320515</v>
      </c>
      <c r="O1283" s="37">
        <v>0</v>
      </c>
      <c r="P1283" s="41"/>
      <c r="Q1283" s="41"/>
      <c r="R1283" s="41"/>
      <c r="S1283" s="41"/>
      <c r="T1283" s="41"/>
      <c r="U1283" s="41"/>
      <c r="V1283" s="41"/>
      <c r="W1283" s="41"/>
      <c r="X1283" s="41"/>
      <c r="Y1283" s="41"/>
      <c r="Z1283" s="41"/>
    </row>
    <row r="1284" spans="1:26" ht="14.25" customHeight="1">
      <c r="A1284" s="9">
        <v>1423</v>
      </c>
      <c r="B1284" s="10"/>
      <c r="C1284" s="21">
        <v>230737</v>
      </c>
      <c r="D1284" s="22" t="s">
        <v>762</v>
      </c>
      <c r="E1284" s="23">
        <v>45016</v>
      </c>
      <c r="F1284" s="24">
        <v>44986</v>
      </c>
      <c r="G1284" s="25">
        <v>495809</v>
      </c>
      <c r="H1284" s="26" t="s">
        <v>3116</v>
      </c>
      <c r="I1284" s="34" t="s">
        <v>29</v>
      </c>
      <c r="J1284" s="10"/>
      <c r="K1284" s="39"/>
      <c r="L1284" s="40">
        <v>45071</v>
      </c>
      <c r="M1284" s="40">
        <v>45072</v>
      </c>
      <c r="N1284" s="37">
        <v>495809</v>
      </c>
      <c r="O1284" s="37">
        <v>0</v>
      </c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</row>
    <row r="1285" spans="1:26" ht="14.25" customHeight="1">
      <c r="A1285" s="9">
        <v>1427</v>
      </c>
      <c r="B1285" s="10"/>
      <c r="C1285" s="21">
        <v>230761</v>
      </c>
      <c r="D1285" s="22" t="s">
        <v>762</v>
      </c>
      <c r="E1285" s="23">
        <v>45019</v>
      </c>
      <c r="F1285" s="24">
        <v>45017</v>
      </c>
      <c r="G1285" s="25">
        <v>10542447</v>
      </c>
      <c r="H1285" s="26" t="s">
        <v>3117</v>
      </c>
      <c r="I1285" s="34" t="s">
        <v>29</v>
      </c>
      <c r="J1285" s="10"/>
      <c r="K1285" s="39"/>
      <c r="L1285" s="40">
        <v>45071</v>
      </c>
      <c r="M1285" s="40">
        <v>45072</v>
      </c>
      <c r="N1285" s="37">
        <v>10542447</v>
      </c>
      <c r="O1285" s="37">
        <v>0</v>
      </c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</row>
    <row r="1286" spans="1:26" ht="14.25" customHeight="1">
      <c r="A1286" s="9">
        <v>1428</v>
      </c>
      <c r="B1286" s="10"/>
      <c r="C1286" s="21">
        <v>230789</v>
      </c>
      <c r="D1286" s="22" t="s">
        <v>762</v>
      </c>
      <c r="E1286" s="23">
        <v>45027</v>
      </c>
      <c r="F1286" s="24">
        <v>45017</v>
      </c>
      <c r="G1286" s="25">
        <v>392590</v>
      </c>
      <c r="H1286" s="26" t="s">
        <v>3118</v>
      </c>
      <c r="I1286" s="34" t="s">
        <v>29</v>
      </c>
      <c r="J1286" s="10"/>
      <c r="K1286" s="39"/>
      <c r="L1286" s="40">
        <v>45071</v>
      </c>
      <c r="M1286" s="40">
        <v>45072</v>
      </c>
      <c r="N1286" s="37">
        <v>392590</v>
      </c>
      <c r="O1286" s="37">
        <v>0</v>
      </c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</row>
    <row r="1287" spans="1:26" ht="14.25" customHeight="1">
      <c r="A1287" s="9">
        <v>1429</v>
      </c>
      <c r="B1287" s="10"/>
      <c r="C1287" s="21">
        <v>230790</v>
      </c>
      <c r="D1287" s="22" t="s">
        <v>762</v>
      </c>
      <c r="E1287" s="23">
        <v>45027</v>
      </c>
      <c r="F1287" s="24">
        <v>45017</v>
      </c>
      <c r="G1287" s="25">
        <v>951048</v>
      </c>
      <c r="H1287" s="26" t="s">
        <v>3119</v>
      </c>
      <c r="I1287" s="34" t="s">
        <v>29</v>
      </c>
      <c r="J1287" s="10"/>
      <c r="K1287" s="39"/>
      <c r="L1287" s="40">
        <v>45071</v>
      </c>
      <c r="M1287" s="40">
        <v>45072</v>
      </c>
      <c r="N1287" s="37">
        <v>951048</v>
      </c>
      <c r="O1287" s="37">
        <v>0</v>
      </c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</row>
    <row r="1288" spans="1:26" ht="14.25" customHeight="1">
      <c r="A1288" s="9">
        <v>1445</v>
      </c>
      <c r="B1288" s="10"/>
      <c r="C1288" s="21">
        <v>230817</v>
      </c>
      <c r="D1288" s="22" t="s">
        <v>762</v>
      </c>
      <c r="E1288" s="23">
        <v>45029</v>
      </c>
      <c r="F1288" s="24">
        <v>45017</v>
      </c>
      <c r="G1288" s="25">
        <v>135013</v>
      </c>
      <c r="H1288" s="26" t="s">
        <v>3120</v>
      </c>
      <c r="I1288" s="34" t="s">
        <v>29</v>
      </c>
      <c r="J1288" s="10"/>
      <c r="K1288" s="39"/>
      <c r="L1288" s="40">
        <v>45079</v>
      </c>
      <c r="M1288" s="40">
        <v>45080</v>
      </c>
      <c r="N1288" s="37">
        <v>135013</v>
      </c>
      <c r="O1288" s="37">
        <v>0</v>
      </c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</row>
    <row r="1289" spans="1:26" ht="14.25" customHeight="1">
      <c r="A1289" s="9">
        <v>1446</v>
      </c>
      <c r="B1289" s="10"/>
      <c r="C1289" s="21">
        <v>230853</v>
      </c>
      <c r="D1289" s="22" t="s">
        <v>762</v>
      </c>
      <c r="E1289" s="23">
        <v>45035</v>
      </c>
      <c r="F1289" s="24">
        <v>45017</v>
      </c>
      <c r="G1289" s="25">
        <v>2122875</v>
      </c>
      <c r="H1289" s="26" t="s">
        <v>3121</v>
      </c>
      <c r="I1289" s="34" t="s">
        <v>29</v>
      </c>
      <c r="J1289" s="10"/>
      <c r="K1289" s="39"/>
      <c r="L1289" s="40">
        <v>45079</v>
      </c>
      <c r="M1289" s="40">
        <v>45080</v>
      </c>
      <c r="N1289" s="37">
        <v>2122875</v>
      </c>
      <c r="O1289" s="37">
        <v>0</v>
      </c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</row>
    <row r="1290" spans="1:26" ht="14.25" customHeight="1">
      <c r="A1290" s="9">
        <v>1447</v>
      </c>
      <c r="B1290" s="10"/>
      <c r="C1290" s="21">
        <v>230863</v>
      </c>
      <c r="D1290" s="22" t="s">
        <v>762</v>
      </c>
      <c r="E1290" s="23">
        <v>45041</v>
      </c>
      <c r="F1290" s="24">
        <v>45017</v>
      </c>
      <c r="G1290" s="25">
        <v>1796424</v>
      </c>
      <c r="H1290" s="26" t="s">
        <v>3122</v>
      </c>
      <c r="I1290" s="34" t="s">
        <v>29</v>
      </c>
      <c r="J1290" s="10"/>
      <c r="K1290" s="39"/>
      <c r="L1290" s="40">
        <v>45079</v>
      </c>
      <c r="M1290" s="40">
        <v>45080</v>
      </c>
      <c r="N1290" s="37">
        <v>1796424</v>
      </c>
      <c r="O1290" s="37">
        <v>0</v>
      </c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</row>
    <row r="1291" spans="1:26" ht="14.25" customHeight="1">
      <c r="A1291" s="9">
        <v>1448</v>
      </c>
      <c r="B1291" s="10"/>
      <c r="C1291" s="21">
        <v>230869</v>
      </c>
      <c r="D1291" s="22" t="s">
        <v>762</v>
      </c>
      <c r="E1291" s="23">
        <v>45041</v>
      </c>
      <c r="F1291" s="24">
        <v>45017</v>
      </c>
      <c r="G1291" s="25">
        <v>6693300</v>
      </c>
      <c r="H1291" s="26" t="s">
        <v>3123</v>
      </c>
      <c r="I1291" s="233" t="s">
        <v>29</v>
      </c>
      <c r="J1291" s="25">
        <v>31631457</v>
      </c>
      <c r="K1291" s="40">
        <v>45092</v>
      </c>
      <c r="L1291" s="40">
        <v>45093</v>
      </c>
      <c r="M1291" s="40">
        <v>45093</v>
      </c>
      <c r="N1291" s="37">
        <v>6693300</v>
      </c>
      <c r="O1291" s="37">
        <v>0</v>
      </c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</row>
    <row r="1292" spans="1:26" ht="14.25" customHeight="1">
      <c r="A1292" s="9">
        <v>1449</v>
      </c>
      <c r="B1292" s="10"/>
      <c r="C1292" s="21">
        <v>230881</v>
      </c>
      <c r="D1292" s="22" t="s">
        <v>762</v>
      </c>
      <c r="E1292" s="23">
        <v>45043</v>
      </c>
      <c r="F1292" s="24">
        <v>45017</v>
      </c>
      <c r="G1292" s="25">
        <v>200077</v>
      </c>
      <c r="H1292" s="26" t="s">
        <v>3124</v>
      </c>
      <c r="I1292" s="233" t="s">
        <v>29</v>
      </c>
      <c r="J1292" s="10"/>
      <c r="K1292" s="39"/>
      <c r="L1292" s="40">
        <v>45093</v>
      </c>
      <c r="M1292" s="40">
        <v>45093</v>
      </c>
      <c r="N1292" s="37">
        <v>200077</v>
      </c>
      <c r="O1292" s="37">
        <v>0</v>
      </c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</row>
    <row r="1293" spans="1:26" ht="14.25" customHeight="1">
      <c r="A1293" s="9">
        <v>1451</v>
      </c>
      <c r="B1293" s="10"/>
      <c r="C1293" s="21">
        <v>230896</v>
      </c>
      <c r="D1293" s="22" t="s">
        <v>762</v>
      </c>
      <c r="E1293" s="23">
        <v>45045</v>
      </c>
      <c r="F1293" s="24">
        <v>45017</v>
      </c>
      <c r="G1293" s="25">
        <v>1252936</v>
      </c>
      <c r="H1293" s="26" t="s">
        <v>3125</v>
      </c>
      <c r="I1293" s="233" t="s">
        <v>29</v>
      </c>
      <c r="J1293" s="10"/>
      <c r="K1293" s="39"/>
      <c r="L1293" s="40">
        <v>45093</v>
      </c>
      <c r="M1293" s="40">
        <v>45093</v>
      </c>
      <c r="N1293" s="37">
        <v>1252936</v>
      </c>
      <c r="O1293" s="37">
        <v>0</v>
      </c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</row>
    <row r="1294" spans="1:26" ht="14.25" customHeight="1">
      <c r="A1294" s="9">
        <v>1452</v>
      </c>
      <c r="B1294" s="10"/>
      <c r="C1294" s="21">
        <v>230897</v>
      </c>
      <c r="D1294" s="22" t="s">
        <v>762</v>
      </c>
      <c r="E1294" s="23">
        <v>45045</v>
      </c>
      <c r="F1294" s="24">
        <v>45017</v>
      </c>
      <c r="G1294" s="25">
        <v>226000</v>
      </c>
      <c r="H1294" s="26" t="s">
        <v>3126</v>
      </c>
      <c r="I1294" s="233" t="s">
        <v>29</v>
      </c>
      <c r="J1294" s="10"/>
      <c r="K1294" s="39"/>
      <c r="L1294" s="40">
        <v>45093</v>
      </c>
      <c r="M1294" s="40">
        <v>45093</v>
      </c>
      <c r="N1294" s="37">
        <v>226000</v>
      </c>
      <c r="O1294" s="37">
        <v>0</v>
      </c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</row>
    <row r="1295" spans="1:26" ht="14.25" customHeight="1">
      <c r="A1295" s="9">
        <v>1450</v>
      </c>
      <c r="B1295" s="10"/>
      <c r="C1295" s="21">
        <v>230907</v>
      </c>
      <c r="D1295" s="22" t="s">
        <v>762</v>
      </c>
      <c r="E1295" s="23">
        <v>45045</v>
      </c>
      <c r="F1295" s="24">
        <v>45017</v>
      </c>
      <c r="G1295" s="25">
        <v>5994000</v>
      </c>
      <c r="H1295" s="26" t="s">
        <v>3127</v>
      </c>
      <c r="I1295" s="233" t="s">
        <v>29</v>
      </c>
      <c r="J1295" s="10"/>
      <c r="K1295" s="39"/>
      <c r="L1295" s="40">
        <v>45093</v>
      </c>
      <c r="M1295" s="40">
        <v>45093</v>
      </c>
      <c r="N1295" s="37">
        <v>5994000</v>
      </c>
      <c r="O1295" s="37">
        <v>0</v>
      </c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</row>
    <row r="1296" spans="1:26" ht="14.25" customHeight="1">
      <c r="A1296" s="9">
        <v>1453</v>
      </c>
      <c r="B1296" s="10"/>
      <c r="C1296" s="21">
        <v>230908</v>
      </c>
      <c r="D1296" s="22" t="s">
        <v>762</v>
      </c>
      <c r="E1296" s="23">
        <v>45049</v>
      </c>
      <c r="F1296" s="24">
        <v>45047</v>
      </c>
      <c r="G1296" s="25">
        <v>10700890</v>
      </c>
      <c r="H1296" s="26" t="s">
        <v>3128</v>
      </c>
      <c r="I1296" s="233" t="s">
        <v>29</v>
      </c>
      <c r="J1296" s="10"/>
      <c r="K1296" s="39"/>
      <c r="L1296" s="40">
        <v>45093</v>
      </c>
      <c r="M1296" s="40">
        <v>45093</v>
      </c>
      <c r="N1296" s="37">
        <v>10700890</v>
      </c>
      <c r="O1296" s="37">
        <v>0</v>
      </c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</row>
    <row r="1297" spans="1:26" ht="14.25" customHeight="1">
      <c r="A1297" s="9">
        <v>1455</v>
      </c>
      <c r="B1297" s="10"/>
      <c r="C1297" s="21">
        <v>230938</v>
      </c>
      <c r="D1297" s="22" t="s">
        <v>762</v>
      </c>
      <c r="E1297" s="23">
        <v>45055</v>
      </c>
      <c r="F1297" s="24">
        <v>45047</v>
      </c>
      <c r="G1297" s="25">
        <v>4280984</v>
      </c>
      <c r="H1297" s="26" t="s">
        <v>3129</v>
      </c>
      <c r="I1297" s="233" t="s">
        <v>29</v>
      </c>
      <c r="J1297" s="10"/>
      <c r="K1297" s="39"/>
      <c r="L1297" s="40">
        <v>45093</v>
      </c>
      <c r="M1297" s="40">
        <v>45093</v>
      </c>
      <c r="N1297" s="37">
        <v>4280984</v>
      </c>
      <c r="O1297" s="37">
        <v>0</v>
      </c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</row>
    <row r="1298" spans="1:26" ht="14.25" customHeight="1">
      <c r="A1298" s="9">
        <v>1454</v>
      </c>
      <c r="B1298" s="10"/>
      <c r="C1298" s="21">
        <v>230943</v>
      </c>
      <c r="D1298" s="22" t="s">
        <v>762</v>
      </c>
      <c r="E1298" s="23">
        <v>45055</v>
      </c>
      <c r="F1298" s="24">
        <v>45047</v>
      </c>
      <c r="G1298" s="25">
        <v>2283270</v>
      </c>
      <c r="H1298" s="26" t="s">
        <v>3130</v>
      </c>
      <c r="I1298" s="233" t="s">
        <v>29</v>
      </c>
      <c r="J1298" s="10"/>
      <c r="K1298" s="39"/>
      <c r="L1298" s="40">
        <v>45093</v>
      </c>
      <c r="M1298" s="40">
        <v>45093</v>
      </c>
      <c r="N1298" s="37">
        <v>2283270</v>
      </c>
      <c r="O1298" s="37">
        <v>0</v>
      </c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</row>
    <row r="1299" spans="1:26" ht="14.25" customHeight="1">
      <c r="A1299" s="9">
        <v>1456</v>
      </c>
      <c r="B1299" s="10"/>
      <c r="C1299" s="21">
        <v>230948</v>
      </c>
      <c r="D1299" s="22" t="s">
        <v>762</v>
      </c>
      <c r="E1299" s="23">
        <v>45056</v>
      </c>
      <c r="F1299" s="24">
        <v>45047</v>
      </c>
      <c r="G1299" s="25">
        <v>665820</v>
      </c>
      <c r="H1299" s="26" t="s">
        <v>3131</v>
      </c>
      <c r="I1299" s="233" t="s">
        <v>29</v>
      </c>
      <c r="J1299" s="25">
        <v>14738233</v>
      </c>
      <c r="K1299" s="40">
        <v>45097</v>
      </c>
      <c r="L1299" s="40">
        <v>45097</v>
      </c>
      <c r="M1299" s="40">
        <v>45097</v>
      </c>
      <c r="N1299" s="37">
        <v>665820</v>
      </c>
      <c r="O1299" s="37">
        <v>0</v>
      </c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</row>
    <row r="1300" spans="1:26" ht="14.25" customHeight="1">
      <c r="A1300" s="9">
        <v>1457</v>
      </c>
      <c r="B1300" s="10"/>
      <c r="C1300" s="21">
        <v>230956</v>
      </c>
      <c r="D1300" s="22" t="s">
        <v>762</v>
      </c>
      <c r="E1300" s="23">
        <v>45057</v>
      </c>
      <c r="F1300" s="24">
        <v>45047</v>
      </c>
      <c r="G1300" s="25">
        <v>5970745</v>
      </c>
      <c r="H1300" s="26" t="s">
        <v>3132</v>
      </c>
      <c r="I1300" s="233" t="s">
        <v>29</v>
      </c>
      <c r="J1300" s="10"/>
      <c r="K1300" s="39"/>
      <c r="L1300" s="40">
        <v>45097</v>
      </c>
      <c r="M1300" s="40">
        <v>45097</v>
      </c>
      <c r="N1300" s="37">
        <v>5970745</v>
      </c>
      <c r="O1300" s="37">
        <v>0</v>
      </c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</row>
    <row r="1301" spans="1:26" ht="14.25" customHeight="1">
      <c r="A1301" s="9">
        <v>1458</v>
      </c>
      <c r="B1301" s="10"/>
      <c r="C1301" s="21">
        <v>230958</v>
      </c>
      <c r="D1301" s="22" t="s">
        <v>762</v>
      </c>
      <c r="E1301" s="23">
        <v>45058</v>
      </c>
      <c r="F1301" s="24">
        <v>45047</v>
      </c>
      <c r="G1301" s="25">
        <v>681096</v>
      </c>
      <c r="H1301" s="26" t="s">
        <v>3133</v>
      </c>
      <c r="I1301" s="233" t="s">
        <v>29</v>
      </c>
      <c r="J1301" s="10"/>
      <c r="K1301" s="39"/>
      <c r="L1301" s="40">
        <v>45097</v>
      </c>
      <c r="M1301" s="40">
        <v>45097</v>
      </c>
      <c r="N1301" s="37">
        <v>681096</v>
      </c>
      <c r="O1301" s="37">
        <v>0</v>
      </c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</row>
    <row r="1302" spans="1:26" ht="14.25" customHeight="1">
      <c r="A1302" s="9">
        <v>1459</v>
      </c>
      <c r="B1302" s="10"/>
      <c r="C1302" s="21">
        <v>230960</v>
      </c>
      <c r="D1302" s="22" t="s">
        <v>762</v>
      </c>
      <c r="E1302" s="23">
        <v>45059</v>
      </c>
      <c r="F1302" s="24">
        <v>45047</v>
      </c>
      <c r="G1302" s="25">
        <v>782550</v>
      </c>
      <c r="H1302" s="26" t="s">
        <v>3134</v>
      </c>
      <c r="I1302" s="233" t="s">
        <v>29</v>
      </c>
      <c r="J1302" s="10"/>
      <c r="K1302" s="39"/>
      <c r="L1302" s="40">
        <v>45097</v>
      </c>
      <c r="M1302" s="40">
        <v>45097</v>
      </c>
      <c r="N1302" s="37">
        <v>782550</v>
      </c>
      <c r="O1302" s="37">
        <v>0</v>
      </c>
      <c r="P1302" s="41"/>
      <c r="Q1302" s="41"/>
      <c r="R1302" s="41"/>
      <c r="S1302" s="41"/>
      <c r="T1302" s="41"/>
      <c r="U1302" s="41"/>
      <c r="V1302" s="41"/>
      <c r="W1302" s="41"/>
      <c r="X1302" s="41"/>
      <c r="Y1302" s="41"/>
      <c r="Z1302" s="41"/>
    </row>
    <row r="1303" spans="1:26" ht="14.25" customHeight="1">
      <c r="A1303" s="9">
        <v>1461</v>
      </c>
      <c r="B1303" s="10"/>
      <c r="C1303" s="21">
        <v>230962</v>
      </c>
      <c r="D1303" s="22" t="s">
        <v>762</v>
      </c>
      <c r="E1303" s="23">
        <v>45059</v>
      </c>
      <c r="F1303" s="24">
        <v>45047</v>
      </c>
      <c r="G1303" s="25">
        <v>3974022</v>
      </c>
      <c r="H1303" s="26" t="s">
        <v>3135</v>
      </c>
      <c r="I1303" s="233" t="s">
        <v>29</v>
      </c>
      <c r="J1303" s="10"/>
      <c r="K1303" s="39"/>
      <c r="L1303" s="40">
        <v>45097</v>
      </c>
      <c r="M1303" s="40">
        <v>45097</v>
      </c>
      <c r="N1303" s="37">
        <v>3974022</v>
      </c>
      <c r="O1303" s="37">
        <v>0</v>
      </c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</row>
    <row r="1304" spans="1:26" ht="14.25" customHeight="1">
      <c r="A1304" s="9">
        <v>1460</v>
      </c>
      <c r="B1304" s="10"/>
      <c r="C1304" s="21">
        <v>230963</v>
      </c>
      <c r="D1304" s="22" t="s">
        <v>762</v>
      </c>
      <c r="E1304" s="23">
        <v>45059</v>
      </c>
      <c r="F1304" s="24">
        <v>45047</v>
      </c>
      <c r="G1304" s="25">
        <v>2664000</v>
      </c>
      <c r="H1304" s="26" t="s">
        <v>3136</v>
      </c>
      <c r="I1304" s="233" t="s">
        <v>29</v>
      </c>
      <c r="J1304" s="10"/>
      <c r="K1304" s="39"/>
      <c r="L1304" s="40">
        <v>45097</v>
      </c>
      <c r="M1304" s="40">
        <v>45097</v>
      </c>
      <c r="N1304" s="37">
        <v>2664000</v>
      </c>
      <c r="O1304" s="37">
        <v>0</v>
      </c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</row>
    <row r="1305" spans="1:26" ht="14.25" customHeight="1">
      <c r="A1305" s="9">
        <v>1462</v>
      </c>
      <c r="B1305" s="10"/>
      <c r="C1305" s="21">
        <v>231088</v>
      </c>
      <c r="D1305" s="22" t="s">
        <v>762</v>
      </c>
      <c r="E1305" s="23">
        <v>45072</v>
      </c>
      <c r="F1305" s="24">
        <v>45047</v>
      </c>
      <c r="G1305" s="25">
        <v>3996000</v>
      </c>
      <c r="H1305" s="26" t="s">
        <v>3137</v>
      </c>
      <c r="I1305" s="233" t="s">
        <v>29</v>
      </c>
      <c r="J1305" s="25">
        <v>9253200</v>
      </c>
      <c r="K1305" s="40">
        <v>45102</v>
      </c>
      <c r="L1305" s="40">
        <v>45105</v>
      </c>
      <c r="M1305" s="40">
        <v>45106</v>
      </c>
      <c r="N1305" s="37">
        <v>3996000</v>
      </c>
      <c r="O1305" s="37">
        <v>0</v>
      </c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</row>
    <row r="1306" spans="1:26" ht="14.25" customHeight="1">
      <c r="A1306" s="9">
        <v>1463</v>
      </c>
      <c r="B1306" s="10"/>
      <c r="C1306" s="21">
        <v>231065</v>
      </c>
      <c r="D1306" s="22" t="s">
        <v>762</v>
      </c>
      <c r="E1306" s="23">
        <v>45073</v>
      </c>
      <c r="F1306" s="24">
        <v>45047</v>
      </c>
      <c r="G1306" s="25">
        <v>4429200</v>
      </c>
      <c r="H1306" s="26" t="s">
        <v>3138</v>
      </c>
      <c r="I1306" s="233" t="s">
        <v>29</v>
      </c>
      <c r="J1306" s="10"/>
      <c r="K1306" s="39"/>
      <c r="L1306" s="40">
        <v>45105</v>
      </c>
      <c r="M1306" s="40">
        <v>45106</v>
      </c>
      <c r="N1306" s="37">
        <v>4429200</v>
      </c>
      <c r="O1306" s="37">
        <v>0</v>
      </c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</row>
    <row r="1307" spans="1:26" ht="14.25" customHeight="1">
      <c r="A1307" s="9">
        <v>1464</v>
      </c>
      <c r="B1307" s="10"/>
      <c r="C1307" s="21">
        <v>231067</v>
      </c>
      <c r="D1307" s="22" t="s">
        <v>762</v>
      </c>
      <c r="E1307" s="23">
        <v>45075</v>
      </c>
      <c r="F1307" s="24">
        <v>45047</v>
      </c>
      <c r="G1307" s="25">
        <v>828000</v>
      </c>
      <c r="H1307" s="26" t="s">
        <v>3139</v>
      </c>
      <c r="I1307" s="233" t="s">
        <v>29</v>
      </c>
      <c r="J1307" s="10"/>
      <c r="K1307" s="39"/>
      <c r="L1307" s="40">
        <v>45105</v>
      </c>
      <c r="M1307" s="40">
        <v>45106</v>
      </c>
      <c r="N1307" s="37">
        <v>828000</v>
      </c>
      <c r="O1307" s="37">
        <v>0</v>
      </c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</row>
    <row r="1308" spans="1:26" ht="14.25" customHeight="1">
      <c r="A1308" s="9">
        <v>1465</v>
      </c>
      <c r="B1308" s="10"/>
      <c r="C1308" s="21">
        <v>231058</v>
      </c>
      <c r="D1308" s="22" t="s">
        <v>762</v>
      </c>
      <c r="E1308" s="23">
        <v>45077</v>
      </c>
      <c r="F1308" s="24">
        <v>45047</v>
      </c>
      <c r="G1308" s="25">
        <v>1298700</v>
      </c>
      <c r="H1308" s="26" t="s">
        <v>3140</v>
      </c>
      <c r="I1308" s="233" t="s">
        <v>29</v>
      </c>
      <c r="J1308" s="25">
        <v>46283891</v>
      </c>
      <c r="K1308" s="36">
        <v>45132</v>
      </c>
      <c r="L1308" s="36">
        <v>45139</v>
      </c>
      <c r="M1308" s="36">
        <v>45139</v>
      </c>
      <c r="N1308" s="37">
        <v>1298700</v>
      </c>
      <c r="O1308" s="37">
        <v>0</v>
      </c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</row>
    <row r="1309" spans="1:26" ht="14.25" customHeight="1">
      <c r="A1309" s="9">
        <v>1466</v>
      </c>
      <c r="B1309" s="10"/>
      <c r="C1309" s="21">
        <v>231085</v>
      </c>
      <c r="D1309" s="22" t="s">
        <v>762</v>
      </c>
      <c r="E1309" s="23">
        <v>45077</v>
      </c>
      <c r="F1309" s="24">
        <v>45047</v>
      </c>
      <c r="G1309" s="25">
        <v>9145095</v>
      </c>
      <c r="H1309" s="26" t="s">
        <v>3141</v>
      </c>
      <c r="I1309" s="233" t="s">
        <v>29</v>
      </c>
      <c r="J1309" s="10"/>
      <c r="K1309" s="39"/>
      <c r="L1309" s="36">
        <v>45139</v>
      </c>
      <c r="M1309" s="36">
        <v>45139</v>
      </c>
      <c r="N1309" s="37">
        <v>9145095</v>
      </c>
      <c r="O1309" s="37">
        <v>0</v>
      </c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</row>
    <row r="1310" spans="1:26" ht="14.25" customHeight="1">
      <c r="A1310" s="9">
        <v>1467</v>
      </c>
      <c r="B1310" s="10"/>
      <c r="C1310" s="21">
        <v>231097</v>
      </c>
      <c r="D1310" s="22" t="s">
        <v>762</v>
      </c>
      <c r="E1310" s="23">
        <v>45077</v>
      </c>
      <c r="F1310" s="24">
        <v>45047</v>
      </c>
      <c r="G1310" s="25">
        <v>9990000</v>
      </c>
      <c r="H1310" s="26" t="s">
        <v>3142</v>
      </c>
      <c r="I1310" s="233" t="s">
        <v>29</v>
      </c>
      <c r="J1310" s="10"/>
      <c r="K1310" s="39"/>
      <c r="L1310" s="36">
        <v>45139</v>
      </c>
      <c r="M1310" s="36">
        <v>45139</v>
      </c>
      <c r="N1310" s="37">
        <v>9990000</v>
      </c>
      <c r="O1310" s="37">
        <v>0</v>
      </c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</row>
    <row r="1311" spans="1:26" ht="14.25" customHeight="1">
      <c r="A1311" s="9">
        <v>1468</v>
      </c>
      <c r="B1311" s="10"/>
      <c r="C1311" s="21">
        <v>231093</v>
      </c>
      <c r="D1311" s="22" t="s">
        <v>762</v>
      </c>
      <c r="E1311" s="23">
        <v>45080</v>
      </c>
      <c r="F1311" s="24">
        <v>45078</v>
      </c>
      <c r="G1311" s="25">
        <v>3091294</v>
      </c>
      <c r="H1311" s="26" t="s">
        <v>3143</v>
      </c>
      <c r="I1311" s="233" t="s">
        <v>29</v>
      </c>
      <c r="J1311" s="27"/>
      <c r="K1311" s="39"/>
      <c r="L1311" s="36">
        <v>45139</v>
      </c>
      <c r="M1311" s="36">
        <v>45139</v>
      </c>
      <c r="N1311" s="37">
        <v>3091294</v>
      </c>
      <c r="O1311" s="37">
        <v>0</v>
      </c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</row>
    <row r="1312" spans="1:26" ht="14.25" customHeight="1">
      <c r="A1312" s="9">
        <v>1469</v>
      </c>
      <c r="B1312" s="10"/>
      <c r="C1312" s="21">
        <v>231099</v>
      </c>
      <c r="D1312" s="22" t="s">
        <v>762</v>
      </c>
      <c r="E1312" s="23">
        <v>45082</v>
      </c>
      <c r="F1312" s="24">
        <v>45078</v>
      </c>
      <c r="G1312" s="25">
        <v>366300</v>
      </c>
      <c r="H1312" s="26" t="s">
        <v>3144</v>
      </c>
      <c r="I1312" s="233" t="s">
        <v>29</v>
      </c>
      <c r="J1312" s="10"/>
      <c r="K1312" s="39"/>
      <c r="L1312" s="36">
        <v>45139</v>
      </c>
      <c r="M1312" s="36">
        <v>45139</v>
      </c>
      <c r="N1312" s="37">
        <v>366300</v>
      </c>
      <c r="O1312" s="37">
        <v>0</v>
      </c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</row>
    <row r="1313" spans="1:26" ht="14.25" customHeight="1">
      <c r="A1313" s="9">
        <v>1470</v>
      </c>
      <c r="B1313" s="10"/>
      <c r="C1313" s="21">
        <v>231140</v>
      </c>
      <c r="D1313" s="22" t="s">
        <v>762</v>
      </c>
      <c r="E1313" s="23">
        <v>45083</v>
      </c>
      <c r="F1313" s="24">
        <v>45078</v>
      </c>
      <c r="G1313" s="25">
        <v>991507</v>
      </c>
      <c r="H1313" s="26" t="s">
        <v>3145</v>
      </c>
      <c r="I1313" s="233" t="s">
        <v>29</v>
      </c>
      <c r="J1313" s="10"/>
      <c r="K1313" s="39"/>
      <c r="L1313" s="36">
        <v>45139</v>
      </c>
      <c r="M1313" s="36">
        <v>45139</v>
      </c>
      <c r="N1313" s="37">
        <v>991507</v>
      </c>
      <c r="O1313" s="37">
        <v>0</v>
      </c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</row>
    <row r="1314" spans="1:26" ht="14.25" customHeight="1">
      <c r="A1314" s="9">
        <v>1471</v>
      </c>
      <c r="B1314" s="10"/>
      <c r="C1314" s="21">
        <v>231139</v>
      </c>
      <c r="D1314" s="22" t="s">
        <v>762</v>
      </c>
      <c r="E1314" s="23">
        <v>45085</v>
      </c>
      <c r="F1314" s="24">
        <v>45078</v>
      </c>
      <c r="G1314" s="25">
        <v>1324840</v>
      </c>
      <c r="H1314" s="26" t="s">
        <v>3146</v>
      </c>
      <c r="I1314" s="233" t="s">
        <v>29</v>
      </c>
      <c r="J1314" s="10"/>
      <c r="K1314" s="39"/>
      <c r="L1314" s="36">
        <v>45139</v>
      </c>
      <c r="M1314" s="36">
        <v>45139</v>
      </c>
      <c r="N1314" s="37">
        <v>1324840</v>
      </c>
      <c r="O1314" s="37">
        <v>0</v>
      </c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</row>
    <row r="1315" spans="1:26" ht="14.25" customHeight="1">
      <c r="A1315" s="9">
        <v>1473</v>
      </c>
      <c r="B1315" s="10"/>
      <c r="C1315" s="21">
        <v>231141</v>
      </c>
      <c r="D1315" s="22" t="s">
        <v>762</v>
      </c>
      <c r="E1315" s="23">
        <v>45085</v>
      </c>
      <c r="F1315" s="24">
        <v>45078</v>
      </c>
      <c r="G1315" s="25">
        <v>3996000</v>
      </c>
      <c r="H1315" s="26" t="s">
        <v>3147</v>
      </c>
      <c r="I1315" s="233" t="s">
        <v>29</v>
      </c>
      <c r="J1315" s="10"/>
      <c r="K1315" s="39"/>
      <c r="L1315" s="36">
        <v>45139</v>
      </c>
      <c r="M1315" s="36">
        <v>45139</v>
      </c>
      <c r="N1315" s="37">
        <v>3996000</v>
      </c>
      <c r="O1315" s="37">
        <v>0</v>
      </c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</row>
    <row r="1316" spans="1:26" ht="14.25" customHeight="1">
      <c r="A1316" s="9">
        <v>1472</v>
      </c>
      <c r="B1316" s="10"/>
      <c r="C1316" s="21">
        <v>231155</v>
      </c>
      <c r="D1316" s="22" t="s">
        <v>762</v>
      </c>
      <c r="E1316" s="23">
        <v>45085</v>
      </c>
      <c r="F1316" s="24">
        <v>45078</v>
      </c>
      <c r="G1316" s="25">
        <v>4280991</v>
      </c>
      <c r="H1316" s="26" t="s">
        <v>3148</v>
      </c>
      <c r="I1316" s="233" t="s">
        <v>29</v>
      </c>
      <c r="J1316" s="10"/>
      <c r="K1316" s="39"/>
      <c r="L1316" s="36">
        <v>45139</v>
      </c>
      <c r="M1316" s="36">
        <v>45139</v>
      </c>
      <c r="N1316" s="37">
        <v>4280991</v>
      </c>
      <c r="O1316" s="37">
        <v>0</v>
      </c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</row>
    <row r="1317" spans="1:26" ht="14.25" customHeight="1">
      <c r="A1317" s="9">
        <v>1474</v>
      </c>
      <c r="B1317" s="10"/>
      <c r="C1317" s="21">
        <v>231196</v>
      </c>
      <c r="D1317" s="22" t="s">
        <v>762</v>
      </c>
      <c r="E1317" s="23">
        <v>45085</v>
      </c>
      <c r="F1317" s="24">
        <v>45078</v>
      </c>
      <c r="G1317" s="25">
        <v>7000864</v>
      </c>
      <c r="H1317" s="25" t="s">
        <v>3149</v>
      </c>
      <c r="I1317" s="233" t="s">
        <v>29</v>
      </c>
      <c r="J1317" s="10"/>
      <c r="K1317" s="39"/>
      <c r="L1317" s="36">
        <v>45139</v>
      </c>
      <c r="M1317" s="36">
        <v>45139</v>
      </c>
      <c r="N1317" s="37">
        <v>7000864</v>
      </c>
      <c r="O1317" s="37">
        <v>0</v>
      </c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</row>
    <row r="1318" spans="1:26" ht="14.25" customHeight="1">
      <c r="A1318" s="9">
        <v>1475</v>
      </c>
      <c r="B1318" s="10"/>
      <c r="C1318" s="21">
        <v>231195</v>
      </c>
      <c r="D1318" s="22" t="s">
        <v>762</v>
      </c>
      <c r="E1318" s="23">
        <v>45089</v>
      </c>
      <c r="F1318" s="24">
        <v>45078</v>
      </c>
      <c r="G1318" s="25">
        <v>4798300</v>
      </c>
      <c r="H1318" s="25" t="s">
        <v>3150</v>
      </c>
      <c r="I1318" s="233" t="s">
        <v>29</v>
      </c>
      <c r="J1318" s="10"/>
      <c r="K1318" s="39"/>
      <c r="L1318" s="36">
        <v>45139</v>
      </c>
      <c r="M1318" s="36">
        <v>45139</v>
      </c>
      <c r="N1318" s="37">
        <v>4798300</v>
      </c>
      <c r="O1318" s="37">
        <v>0</v>
      </c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  <c r="Z1318" s="10"/>
    </row>
    <row r="1319" spans="1:26" ht="14.25" customHeight="1">
      <c r="A1319" s="9">
        <v>1476</v>
      </c>
      <c r="B1319" s="10"/>
      <c r="C1319" s="21">
        <v>231213</v>
      </c>
      <c r="D1319" s="22" t="s">
        <v>762</v>
      </c>
      <c r="E1319" s="23">
        <v>45096</v>
      </c>
      <c r="F1319" s="24">
        <v>45078</v>
      </c>
      <c r="G1319" s="25">
        <v>449550</v>
      </c>
      <c r="H1319" s="25" t="s">
        <v>3151</v>
      </c>
      <c r="I1319" s="34" t="s">
        <v>29</v>
      </c>
      <c r="J1319" s="25">
        <v>32505470</v>
      </c>
      <c r="K1319" s="36">
        <v>45153</v>
      </c>
      <c r="L1319" s="36">
        <v>45154</v>
      </c>
      <c r="M1319" s="36">
        <v>45154</v>
      </c>
      <c r="N1319" s="37">
        <v>449550</v>
      </c>
      <c r="O1319" s="37">
        <v>0</v>
      </c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  <c r="Z1319" s="10"/>
    </row>
    <row r="1320" spans="1:26" ht="14.25" customHeight="1">
      <c r="A1320" s="9">
        <v>1477</v>
      </c>
      <c r="B1320" s="10"/>
      <c r="C1320" s="21">
        <v>231229</v>
      </c>
      <c r="D1320" s="22" t="s">
        <v>762</v>
      </c>
      <c r="E1320" s="23">
        <v>45098</v>
      </c>
      <c r="F1320" s="24">
        <v>45078</v>
      </c>
      <c r="G1320" s="25">
        <v>3205125</v>
      </c>
      <c r="H1320" s="25" t="s">
        <v>3152</v>
      </c>
      <c r="I1320" s="34" t="s">
        <v>29</v>
      </c>
      <c r="J1320" s="10"/>
      <c r="K1320" s="39"/>
      <c r="L1320" s="39"/>
      <c r="M1320" s="36">
        <v>45154</v>
      </c>
      <c r="N1320" s="37">
        <v>3205125</v>
      </c>
      <c r="O1320" s="37">
        <v>0</v>
      </c>
      <c r="P1320" s="41"/>
      <c r="Q1320" s="41"/>
      <c r="R1320" s="41"/>
      <c r="S1320" s="41"/>
      <c r="T1320" s="41"/>
      <c r="U1320" s="41"/>
      <c r="V1320" s="41"/>
      <c r="W1320" s="41"/>
      <c r="X1320" s="41"/>
      <c r="Y1320" s="41"/>
      <c r="Z1320" s="41"/>
    </row>
    <row r="1321" spans="1:26" ht="14.25" customHeight="1">
      <c r="A1321" s="9">
        <v>1480</v>
      </c>
      <c r="B1321" s="10"/>
      <c r="C1321" s="21">
        <v>231221</v>
      </c>
      <c r="D1321" s="22" t="s">
        <v>762</v>
      </c>
      <c r="E1321" s="23">
        <v>45099</v>
      </c>
      <c r="F1321" s="24">
        <v>45078</v>
      </c>
      <c r="G1321" s="25">
        <v>324450</v>
      </c>
      <c r="H1321" s="25" t="s">
        <v>3153</v>
      </c>
      <c r="I1321" s="34" t="s">
        <v>29</v>
      </c>
      <c r="J1321" s="10"/>
      <c r="K1321" s="39"/>
      <c r="L1321" s="39"/>
      <c r="M1321" s="36">
        <v>45154</v>
      </c>
      <c r="N1321" s="37">
        <v>324450</v>
      </c>
      <c r="O1321" s="37">
        <v>0</v>
      </c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  <c r="Z1321" s="10"/>
    </row>
    <row r="1322" spans="1:26" ht="14.25" customHeight="1">
      <c r="A1322" s="9">
        <v>1479</v>
      </c>
      <c r="B1322" s="10"/>
      <c r="C1322" s="21">
        <v>231222</v>
      </c>
      <c r="D1322" s="22" t="s">
        <v>762</v>
      </c>
      <c r="E1322" s="23">
        <v>45099</v>
      </c>
      <c r="F1322" s="24">
        <v>45078</v>
      </c>
      <c r="G1322" s="25">
        <v>1152686</v>
      </c>
      <c r="H1322" s="25" t="s">
        <v>3154</v>
      </c>
      <c r="I1322" s="34" t="s">
        <v>29</v>
      </c>
      <c r="J1322" s="10"/>
      <c r="K1322" s="39"/>
      <c r="L1322" s="39"/>
      <c r="M1322" s="36">
        <v>45154</v>
      </c>
      <c r="N1322" s="37">
        <v>1152686</v>
      </c>
      <c r="O1322" s="37">
        <v>0</v>
      </c>
      <c r="P1322" s="10"/>
      <c r="Q1322" s="10"/>
      <c r="R1322" s="10"/>
      <c r="S1322" s="10"/>
      <c r="T1322" s="10"/>
      <c r="U1322" s="10"/>
      <c r="V1322" s="10"/>
      <c r="W1322" s="10"/>
      <c r="X1322" s="10"/>
      <c r="Y1322" s="10"/>
      <c r="Z1322" s="10"/>
    </row>
    <row r="1323" spans="1:26" ht="14.25" customHeight="1">
      <c r="A1323" s="9">
        <v>1478</v>
      </c>
      <c r="B1323" s="10"/>
      <c r="C1323" s="21">
        <v>231224</v>
      </c>
      <c r="D1323" s="22" t="s">
        <v>762</v>
      </c>
      <c r="E1323" s="23">
        <v>45099</v>
      </c>
      <c r="F1323" s="24">
        <v>45078</v>
      </c>
      <c r="G1323" s="25">
        <v>7813689</v>
      </c>
      <c r="H1323" s="25" t="s">
        <v>3155</v>
      </c>
      <c r="I1323" s="34" t="s">
        <v>29</v>
      </c>
      <c r="J1323" s="10"/>
      <c r="K1323" s="39"/>
      <c r="L1323" s="39"/>
      <c r="M1323" s="36">
        <v>45154</v>
      </c>
      <c r="N1323" s="37">
        <v>7813689</v>
      </c>
      <c r="O1323" s="37">
        <v>0</v>
      </c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  <c r="Z1323" s="10"/>
    </row>
    <row r="1324" spans="1:26" ht="14.25" customHeight="1">
      <c r="A1324" s="9">
        <v>1481</v>
      </c>
      <c r="B1324" s="10"/>
      <c r="C1324" s="21">
        <v>231245</v>
      </c>
      <c r="D1324" s="22" t="s">
        <v>762</v>
      </c>
      <c r="E1324" s="23">
        <v>45100</v>
      </c>
      <c r="F1324" s="24">
        <v>45078</v>
      </c>
      <c r="G1324" s="25">
        <v>704295</v>
      </c>
      <c r="H1324" s="25" t="s">
        <v>3156</v>
      </c>
      <c r="I1324" s="34" t="s">
        <v>29</v>
      </c>
      <c r="J1324" s="10"/>
      <c r="K1324" s="39"/>
      <c r="L1324" s="39"/>
      <c r="M1324" s="36">
        <v>45154</v>
      </c>
      <c r="N1324" s="37">
        <v>704295</v>
      </c>
      <c r="O1324" s="37">
        <v>0</v>
      </c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</row>
    <row r="1325" spans="1:26" ht="14.25" customHeight="1">
      <c r="A1325" s="9">
        <v>1482</v>
      </c>
      <c r="B1325" s="10"/>
      <c r="C1325" s="21">
        <v>231277</v>
      </c>
      <c r="D1325" s="22" t="s">
        <v>762</v>
      </c>
      <c r="E1325" s="23">
        <v>45104</v>
      </c>
      <c r="F1325" s="24">
        <v>45078</v>
      </c>
      <c r="G1325" s="25">
        <v>2597400</v>
      </c>
      <c r="H1325" s="25" t="s">
        <v>3157</v>
      </c>
      <c r="I1325" s="34" t="s">
        <v>29</v>
      </c>
      <c r="J1325" s="10"/>
      <c r="K1325" s="39"/>
      <c r="L1325" s="39"/>
      <c r="M1325" s="36">
        <v>45154</v>
      </c>
      <c r="N1325" s="37">
        <v>2597400</v>
      </c>
      <c r="O1325" s="37">
        <v>0</v>
      </c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  <c r="Z1325" s="10"/>
    </row>
    <row r="1326" spans="1:26" ht="14.25" customHeight="1">
      <c r="A1326" s="9">
        <v>1483</v>
      </c>
      <c r="B1326" s="10"/>
      <c r="C1326" s="21">
        <v>231283</v>
      </c>
      <c r="D1326" s="22" t="s">
        <v>762</v>
      </c>
      <c r="E1326" s="23">
        <v>45104</v>
      </c>
      <c r="F1326" s="24">
        <v>45078</v>
      </c>
      <c r="G1326" s="25">
        <v>3557900</v>
      </c>
      <c r="H1326" s="25" t="s">
        <v>3158</v>
      </c>
      <c r="I1326" s="34" t="s">
        <v>29</v>
      </c>
      <c r="J1326" s="10"/>
      <c r="K1326" s="39"/>
      <c r="L1326" s="39"/>
      <c r="M1326" s="36">
        <v>45154</v>
      </c>
      <c r="N1326" s="37">
        <v>3557900</v>
      </c>
      <c r="O1326" s="37">
        <v>0</v>
      </c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  <c r="Z1326" s="10"/>
    </row>
    <row r="1327" spans="1:26" ht="14.25" customHeight="1">
      <c r="A1327" s="9">
        <v>1484</v>
      </c>
      <c r="B1327" s="10"/>
      <c r="C1327" s="21">
        <v>231280</v>
      </c>
      <c r="D1327" s="22" t="s">
        <v>762</v>
      </c>
      <c r="E1327" s="23">
        <v>45105</v>
      </c>
      <c r="F1327" s="24">
        <v>45078</v>
      </c>
      <c r="G1327" s="25">
        <v>1665000</v>
      </c>
      <c r="H1327" s="25" t="s">
        <v>3159</v>
      </c>
      <c r="I1327" s="34" t="s">
        <v>29</v>
      </c>
      <c r="J1327" s="10"/>
      <c r="K1327" s="39"/>
      <c r="L1327" s="39"/>
      <c r="M1327" s="36">
        <v>45154</v>
      </c>
      <c r="N1327" s="37">
        <v>1665000</v>
      </c>
      <c r="O1327" s="37">
        <v>0</v>
      </c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  <c r="Z1327" s="10"/>
    </row>
    <row r="1328" spans="1:26" ht="14.25" customHeight="1">
      <c r="A1328" s="9">
        <v>1485</v>
      </c>
      <c r="B1328" s="10"/>
      <c r="C1328" s="21">
        <v>231296</v>
      </c>
      <c r="D1328" s="22" t="s">
        <v>762</v>
      </c>
      <c r="E1328" s="23">
        <v>45107</v>
      </c>
      <c r="F1328" s="24">
        <v>45078</v>
      </c>
      <c r="G1328" s="25">
        <v>269369</v>
      </c>
      <c r="H1328" s="25" t="s">
        <v>3160</v>
      </c>
      <c r="I1328" s="34" t="s">
        <v>29</v>
      </c>
      <c r="J1328" s="10"/>
      <c r="K1328" s="39"/>
      <c r="L1328" s="39"/>
      <c r="M1328" s="36">
        <v>45154</v>
      </c>
      <c r="N1328" s="37">
        <v>269369</v>
      </c>
      <c r="O1328" s="37">
        <v>0</v>
      </c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  <c r="Z1328" s="10"/>
    </row>
    <row r="1329" spans="1:26" ht="14.25" customHeight="1">
      <c r="A1329" s="9">
        <v>1486</v>
      </c>
      <c r="B1329" s="10"/>
      <c r="C1329" s="21">
        <v>231323</v>
      </c>
      <c r="D1329" s="22" t="s">
        <v>762</v>
      </c>
      <c r="E1329" s="23">
        <v>45110</v>
      </c>
      <c r="F1329" s="24">
        <v>45108</v>
      </c>
      <c r="G1329" s="25">
        <v>1928640</v>
      </c>
      <c r="H1329" s="25" t="s">
        <v>3161</v>
      </c>
      <c r="I1329" s="34" t="s">
        <v>29</v>
      </c>
      <c r="J1329" s="10"/>
      <c r="K1329" s="39"/>
      <c r="L1329" s="39"/>
      <c r="M1329" s="36">
        <v>45154</v>
      </c>
      <c r="N1329" s="37">
        <v>1928640</v>
      </c>
      <c r="O1329" s="37">
        <v>0</v>
      </c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</row>
    <row r="1330" spans="1:26" ht="14.25" customHeight="1">
      <c r="A1330" s="9">
        <v>1487</v>
      </c>
      <c r="B1330" s="10"/>
      <c r="C1330" s="21">
        <v>231324</v>
      </c>
      <c r="D1330" s="22" t="s">
        <v>762</v>
      </c>
      <c r="E1330" s="23">
        <v>45112</v>
      </c>
      <c r="F1330" s="24">
        <v>45108</v>
      </c>
      <c r="G1330" s="25">
        <v>1050002</v>
      </c>
      <c r="H1330" s="25" t="s">
        <v>3162</v>
      </c>
      <c r="I1330" s="34" t="s">
        <v>29</v>
      </c>
      <c r="J1330" s="10"/>
      <c r="K1330" s="39"/>
      <c r="L1330" s="39"/>
      <c r="M1330" s="36">
        <v>45154</v>
      </c>
      <c r="N1330" s="37">
        <v>1050002</v>
      </c>
      <c r="O1330" s="37">
        <v>0</v>
      </c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</row>
    <row r="1331" spans="1:26" ht="14.25" customHeight="1">
      <c r="A1331" s="9">
        <v>1488</v>
      </c>
      <c r="B1331" s="10"/>
      <c r="C1331" s="21">
        <v>231335</v>
      </c>
      <c r="D1331" s="22" t="s">
        <v>762</v>
      </c>
      <c r="E1331" s="23">
        <v>45112</v>
      </c>
      <c r="F1331" s="24">
        <v>45108</v>
      </c>
      <c r="G1331" s="25">
        <v>1796424</v>
      </c>
      <c r="H1331" s="25" t="s">
        <v>3163</v>
      </c>
      <c r="I1331" s="34" t="s">
        <v>29</v>
      </c>
      <c r="J1331" s="10"/>
      <c r="K1331" s="39"/>
      <c r="L1331" s="39"/>
      <c r="M1331" s="36">
        <v>45154</v>
      </c>
      <c r="N1331" s="37">
        <v>1796424</v>
      </c>
      <c r="O1331" s="37">
        <v>0</v>
      </c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  <c r="Z1331" s="10"/>
    </row>
    <row r="1332" spans="1:26" ht="14.25" customHeight="1">
      <c r="A1332" s="9">
        <v>1489</v>
      </c>
      <c r="B1332" s="10"/>
      <c r="C1332" s="21">
        <v>231316</v>
      </c>
      <c r="D1332" s="22" t="s">
        <v>762</v>
      </c>
      <c r="E1332" s="23">
        <v>45113</v>
      </c>
      <c r="F1332" s="24">
        <v>45108</v>
      </c>
      <c r="G1332" s="25">
        <v>4416135</v>
      </c>
      <c r="H1332" s="25" t="s">
        <v>3164</v>
      </c>
      <c r="I1332" s="34" t="s">
        <v>29</v>
      </c>
      <c r="J1332" s="10"/>
      <c r="K1332" s="39"/>
      <c r="L1332" s="39"/>
      <c r="M1332" s="36">
        <v>45154</v>
      </c>
      <c r="N1332" s="37">
        <v>4416135</v>
      </c>
      <c r="O1332" s="37">
        <v>0</v>
      </c>
      <c r="P1332" s="41"/>
      <c r="Q1332" s="41"/>
      <c r="R1332" s="41"/>
      <c r="S1332" s="41"/>
      <c r="T1332" s="41"/>
      <c r="U1332" s="41"/>
      <c r="V1332" s="41"/>
      <c r="W1332" s="41"/>
      <c r="X1332" s="41"/>
      <c r="Y1332" s="41"/>
      <c r="Z1332" s="41"/>
    </row>
    <row r="1333" spans="1:26" ht="14.25" customHeight="1">
      <c r="A1333" s="9">
        <v>1490</v>
      </c>
      <c r="B1333" s="10"/>
      <c r="C1333" s="21">
        <v>231370</v>
      </c>
      <c r="D1333" s="22" t="s">
        <v>762</v>
      </c>
      <c r="E1333" s="23">
        <v>45113</v>
      </c>
      <c r="F1333" s="24">
        <v>45108</v>
      </c>
      <c r="G1333" s="25">
        <v>194805</v>
      </c>
      <c r="H1333" s="25" t="s">
        <v>3165</v>
      </c>
      <c r="I1333" s="34" t="s">
        <v>29</v>
      </c>
      <c r="J1333" s="10"/>
      <c r="K1333" s="39"/>
      <c r="L1333" s="39"/>
      <c r="M1333" s="36">
        <v>45154</v>
      </c>
      <c r="N1333" s="37">
        <v>194805</v>
      </c>
      <c r="O1333" s="37">
        <v>0</v>
      </c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</row>
    <row r="1334" spans="1:26" ht="14.25" customHeight="1">
      <c r="A1334" s="9">
        <v>1491</v>
      </c>
      <c r="B1334" s="10"/>
      <c r="C1334" s="21">
        <v>231336</v>
      </c>
      <c r="D1334" s="22" t="s">
        <v>762</v>
      </c>
      <c r="E1334" s="23">
        <v>45114</v>
      </c>
      <c r="F1334" s="24">
        <v>45108</v>
      </c>
      <c r="G1334" s="25">
        <v>1380000</v>
      </c>
      <c r="H1334" s="25" t="s">
        <v>3166</v>
      </c>
      <c r="I1334" s="34" t="s">
        <v>29</v>
      </c>
      <c r="J1334" s="10"/>
      <c r="K1334" s="39"/>
      <c r="L1334" s="39"/>
      <c r="M1334" s="36">
        <v>45154</v>
      </c>
      <c r="N1334" s="37">
        <v>1380000</v>
      </c>
      <c r="O1334" s="37">
        <v>0</v>
      </c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</row>
    <row r="1335" spans="1:26" ht="14.25" customHeight="1">
      <c r="A1335" s="9">
        <v>1492</v>
      </c>
      <c r="B1335" s="10"/>
      <c r="C1335" s="21">
        <v>231349</v>
      </c>
      <c r="D1335" s="22" t="s">
        <v>762</v>
      </c>
      <c r="E1335" s="23">
        <v>45117</v>
      </c>
      <c r="F1335" s="24">
        <v>45108</v>
      </c>
      <c r="G1335" s="25">
        <v>1542912</v>
      </c>
      <c r="H1335" s="25" t="s">
        <v>3167</v>
      </c>
      <c r="I1335" s="34" t="s">
        <v>29</v>
      </c>
      <c r="J1335" s="25">
        <v>35268752</v>
      </c>
      <c r="K1335" s="36">
        <v>45189</v>
      </c>
      <c r="L1335" s="36">
        <v>45189</v>
      </c>
      <c r="M1335" s="36">
        <v>45189</v>
      </c>
      <c r="N1335" s="37">
        <v>1542912</v>
      </c>
      <c r="O1335" s="37">
        <v>0</v>
      </c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</row>
    <row r="1336" spans="1:26" ht="14.25" customHeight="1">
      <c r="A1336" s="9">
        <v>1493</v>
      </c>
      <c r="B1336" s="10"/>
      <c r="C1336" s="21">
        <v>231366</v>
      </c>
      <c r="D1336" s="22" t="s">
        <v>762</v>
      </c>
      <c r="E1336" s="23">
        <v>45118</v>
      </c>
      <c r="F1336" s="24">
        <v>45108</v>
      </c>
      <c r="G1336" s="25">
        <v>11488500</v>
      </c>
      <c r="H1336" s="25" t="s">
        <v>3168</v>
      </c>
      <c r="I1336" s="34" t="s">
        <v>29</v>
      </c>
      <c r="J1336" s="10"/>
      <c r="K1336" s="39"/>
      <c r="L1336" s="36">
        <v>45189</v>
      </c>
      <c r="M1336" s="36">
        <v>45189</v>
      </c>
      <c r="N1336" s="37">
        <v>11488500</v>
      </c>
      <c r="O1336" s="37">
        <v>0</v>
      </c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  <c r="Z1336" s="10"/>
    </row>
    <row r="1337" spans="1:26" ht="14.25" customHeight="1">
      <c r="A1337" s="9">
        <v>1494</v>
      </c>
      <c r="B1337" s="10"/>
      <c r="C1337" s="21">
        <v>231377</v>
      </c>
      <c r="D1337" s="22" t="s">
        <v>762</v>
      </c>
      <c r="E1337" s="23">
        <v>45120</v>
      </c>
      <c r="F1337" s="24">
        <v>45108</v>
      </c>
      <c r="G1337" s="25">
        <v>3437359</v>
      </c>
      <c r="H1337" s="25" t="s">
        <v>3169</v>
      </c>
      <c r="I1337" s="34" t="s">
        <v>29</v>
      </c>
      <c r="J1337" s="10"/>
      <c r="K1337" s="39"/>
      <c r="L1337" s="36">
        <v>45189</v>
      </c>
      <c r="M1337" s="36">
        <v>45189</v>
      </c>
      <c r="N1337" s="37">
        <v>3437359</v>
      </c>
      <c r="O1337" s="37">
        <v>0</v>
      </c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</row>
    <row r="1338" spans="1:26" ht="14.25" customHeight="1">
      <c r="A1338" s="9">
        <v>1495</v>
      </c>
      <c r="B1338" s="10"/>
      <c r="C1338" s="21">
        <v>231412</v>
      </c>
      <c r="D1338" s="22" t="s">
        <v>762</v>
      </c>
      <c r="E1338" s="23">
        <v>45124</v>
      </c>
      <c r="F1338" s="24">
        <v>45108</v>
      </c>
      <c r="G1338" s="25">
        <v>102760</v>
      </c>
      <c r="H1338" s="25" t="s">
        <v>3170</v>
      </c>
      <c r="I1338" s="34" t="s">
        <v>29</v>
      </c>
      <c r="J1338" s="10"/>
      <c r="K1338" s="39"/>
      <c r="L1338" s="36">
        <v>45189</v>
      </c>
      <c r="M1338" s="36">
        <v>45189</v>
      </c>
      <c r="N1338" s="37">
        <v>102760</v>
      </c>
      <c r="O1338" s="37">
        <v>0</v>
      </c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</row>
    <row r="1339" spans="1:26" ht="14.25" customHeight="1">
      <c r="A1339" s="9">
        <v>1496</v>
      </c>
      <c r="B1339" s="10"/>
      <c r="C1339" s="21">
        <v>231428</v>
      </c>
      <c r="D1339" s="22" t="s">
        <v>762</v>
      </c>
      <c r="E1339" s="23">
        <v>45124</v>
      </c>
      <c r="F1339" s="24">
        <v>45108</v>
      </c>
      <c r="G1339" s="25">
        <v>132800</v>
      </c>
      <c r="H1339" s="25" t="s">
        <v>3171</v>
      </c>
      <c r="I1339" s="34" t="s">
        <v>29</v>
      </c>
      <c r="J1339" s="10"/>
      <c r="K1339" s="39"/>
      <c r="L1339" s="36">
        <v>45189</v>
      </c>
      <c r="M1339" s="36">
        <v>45189</v>
      </c>
      <c r="N1339" s="37">
        <v>132800</v>
      </c>
      <c r="O1339" s="37">
        <v>0</v>
      </c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</row>
    <row r="1340" spans="1:26" ht="14.25" customHeight="1">
      <c r="A1340" s="9">
        <v>1497</v>
      </c>
      <c r="B1340" s="10"/>
      <c r="C1340" s="21">
        <v>231436</v>
      </c>
      <c r="D1340" s="22" t="s">
        <v>762</v>
      </c>
      <c r="E1340" s="23">
        <v>45125</v>
      </c>
      <c r="F1340" s="24">
        <v>45108</v>
      </c>
      <c r="G1340" s="25">
        <v>1845500</v>
      </c>
      <c r="H1340" s="25" t="s">
        <v>3172</v>
      </c>
      <c r="I1340" s="34" t="s">
        <v>29</v>
      </c>
      <c r="J1340" s="10"/>
      <c r="K1340" s="39"/>
      <c r="L1340" s="36">
        <v>45189</v>
      </c>
      <c r="M1340" s="36">
        <v>45189</v>
      </c>
      <c r="N1340" s="37">
        <v>1845500</v>
      </c>
      <c r="O1340" s="37">
        <v>0</v>
      </c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  <c r="Z1340" s="10"/>
    </row>
    <row r="1341" spans="1:26" ht="14.25" customHeight="1">
      <c r="A1341" s="9">
        <v>1498</v>
      </c>
      <c r="B1341" s="10"/>
      <c r="C1341" s="21">
        <v>231456</v>
      </c>
      <c r="D1341" s="22" t="s">
        <v>762</v>
      </c>
      <c r="E1341" s="23">
        <v>45125</v>
      </c>
      <c r="F1341" s="24">
        <v>45108</v>
      </c>
      <c r="G1341" s="25">
        <v>3974022</v>
      </c>
      <c r="H1341" s="25" t="s">
        <v>3173</v>
      </c>
      <c r="I1341" s="34" t="s">
        <v>29</v>
      </c>
      <c r="J1341" s="10"/>
      <c r="K1341" s="39"/>
      <c r="L1341" s="36">
        <v>45189</v>
      </c>
      <c r="M1341" s="36">
        <v>45189</v>
      </c>
      <c r="N1341" s="37">
        <v>3974022</v>
      </c>
      <c r="O1341" s="37">
        <v>0</v>
      </c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</row>
    <row r="1342" spans="1:26" ht="14.25" customHeight="1">
      <c r="A1342" s="9">
        <v>1499</v>
      </c>
      <c r="B1342" s="10"/>
      <c r="C1342" s="21">
        <v>231474</v>
      </c>
      <c r="D1342" s="22" t="s">
        <v>762</v>
      </c>
      <c r="E1342" s="23">
        <v>45136</v>
      </c>
      <c r="F1342" s="24">
        <v>45108</v>
      </c>
      <c r="G1342" s="25">
        <v>1027600</v>
      </c>
      <c r="H1342" s="25" t="s">
        <v>3174</v>
      </c>
      <c r="I1342" s="34" t="s">
        <v>29</v>
      </c>
      <c r="J1342" s="10"/>
      <c r="K1342" s="39"/>
      <c r="L1342" s="36">
        <v>45189</v>
      </c>
      <c r="M1342" s="36">
        <v>45189</v>
      </c>
      <c r="N1342" s="37">
        <v>1027600</v>
      </c>
      <c r="O1342" s="37">
        <v>0</v>
      </c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</row>
    <row r="1343" spans="1:26" ht="14.25" customHeight="1">
      <c r="A1343" s="9">
        <v>1500</v>
      </c>
      <c r="B1343" s="10"/>
      <c r="C1343" s="21">
        <v>231499</v>
      </c>
      <c r="D1343" s="22" t="s">
        <v>762</v>
      </c>
      <c r="E1343" s="23">
        <v>45138</v>
      </c>
      <c r="F1343" s="24">
        <v>45108</v>
      </c>
      <c r="G1343" s="25">
        <v>11196421</v>
      </c>
      <c r="H1343" s="25" t="s">
        <v>3175</v>
      </c>
      <c r="I1343" s="34" t="s">
        <v>29</v>
      </c>
      <c r="J1343" s="10"/>
      <c r="K1343" s="39"/>
      <c r="L1343" s="36">
        <v>45189</v>
      </c>
      <c r="M1343" s="36">
        <v>45189</v>
      </c>
      <c r="N1343" s="37">
        <v>11196421</v>
      </c>
      <c r="O1343" s="37">
        <v>0</v>
      </c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</row>
    <row r="1344" spans="1:26" ht="14.25" customHeight="1">
      <c r="A1344" s="9">
        <v>1501</v>
      </c>
      <c r="B1344" s="10"/>
      <c r="C1344" s="21">
        <v>231500</v>
      </c>
      <c r="D1344" s="22" t="s">
        <v>762</v>
      </c>
      <c r="E1344" s="23">
        <v>45138</v>
      </c>
      <c r="F1344" s="24">
        <v>45108</v>
      </c>
      <c r="G1344" s="25">
        <v>520878</v>
      </c>
      <c r="H1344" s="25" t="s">
        <v>3176</v>
      </c>
      <c r="I1344" s="34" t="s">
        <v>29</v>
      </c>
      <c r="J1344" s="10"/>
      <c r="K1344" s="39"/>
      <c r="L1344" s="36">
        <v>45189</v>
      </c>
      <c r="M1344" s="36">
        <v>45189</v>
      </c>
      <c r="N1344" s="37">
        <v>520878</v>
      </c>
      <c r="O1344" s="37">
        <v>0</v>
      </c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</row>
    <row r="1345" spans="1:26" ht="14.25" customHeight="1">
      <c r="A1345" s="9">
        <v>1502</v>
      </c>
      <c r="B1345" s="10"/>
      <c r="C1345" s="21">
        <v>231636</v>
      </c>
      <c r="D1345" s="22" t="s">
        <v>762</v>
      </c>
      <c r="E1345" s="23">
        <v>45153</v>
      </c>
      <c r="F1345" s="24">
        <v>45139</v>
      </c>
      <c r="G1345" s="25">
        <v>1884107</v>
      </c>
      <c r="H1345" s="25" t="s">
        <v>3177</v>
      </c>
      <c r="I1345" s="233" t="s">
        <v>29</v>
      </c>
      <c r="J1345" s="27">
        <v>45455036</v>
      </c>
      <c r="K1345" s="39">
        <v>45224</v>
      </c>
      <c r="L1345" s="36">
        <v>45225</v>
      </c>
      <c r="M1345" s="36">
        <v>45225</v>
      </c>
      <c r="N1345" s="37">
        <v>1884107</v>
      </c>
      <c r="O1345" s="37">
        <v>0</v>
      </c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  <c r="Z1345" s="10"/>
    </row>
    <row r="1346" spans="1:26" ht="14.25" customHeight="1">
      <c r="A1346" s="9">
        <v>1503</v>
      </c>
      <c r="B1346" s="10"/>
      <c r="C1346" s="21">
        <v>231637</v>
      </c>
      <c r="D1346" s="22" t="s">
        <v>762</v>
      </c>
      <c r="E1346" s="23">
        <v>45153</v>
      </c>
      <c r="F1346" s="24">
        <v>45139</v>
      </c>
      <c r="G1346" s="25">
        <v>2892960</v>
      </c>
      <c r="H1346" s="25" t="s">
        <v>3178</v>
      </c>
      <c r="I1346" s="233" t="s">
        <v>29</v>
      </c>
      <c r="J1346" s="10"/>
      <c r="K1346" s="39"/>
      <c r="L1346" s="36">
        <v>45225</v>
      </c>
      <c r="M1346" s="36">
        <v>45225</v>
      </c>
      <c r="N1346" s="37">
        <v>2892960</v>
      </c>
      <c r="O1346" s="37">
        <v>0</v>
      </c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</row>
    <row r="1347" spans="1:26" ht="14.25" customHeight="1">
      <c r="A1347" s="9">
        <v>1506</v>
      </c>
      <c r="B1347" s="10"/>
      <c r="C1347" s="21">
        <v>231638</v>
      </c>
      <c r="D1347" s="22" t="s">
        <v>762</v>
      </c>
      <c r="E1347" s="23">
        <v>45156</v>
      </c>
      <c r="F1347" s="24">
        <v>45139</v>
      </c>
      <c r="G1347" s="25">
        <v>31168367</v>
      </c>
      <c r="H1347" s="25" t="s">
        <v>3179</v>
      </c>
      <c r="I1347" s="34" t="s">
        <v>29</v>
      </c>
      <c r="J1347" s="10"/>
      <c r="K1347" s="39"/>
      <c r="L1347" s="36">
        <v>45225</v>
      </c>
      <c r="M1347" s="36">
        <v>45225</v>
      </c>
      <c r="N1347" s="37">
        <v>31168367</v>
      </c>
      <c r="O1347" s="37">
        <v>0</v>
      </c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  <c r="Z1347" s="10"/>
    </row>
    <row r="1348" spans="1:26" ht="14.25" customHeight="1">
      <c r="A1348" s="9">
        <v>1507</v>
      </c>
      <c r="B1348" s="10"/>
      <c r="C1348" s="21">
        <v>231640</v>
      </c>
      <c r="D1348" s="22" t="s">
        <v>762</v>
      </c>
      <c r="E1348" s="23">
        <v>45156</v>
      </c>
      <c r="F1348" s="24">
        <v>45139</v>
      </c>
      <c r="G1348" s="25">
        <v>18512570</v>
      </c>
      <c r="H1348" s="25" t="s">
        <v>3180</v>
      </c>
      <c r="I1348" s="34" t="s">
        <v>29</v>
      </c>
      <c r="J1348" s="27">
        <v>31721148</v>
      </c>
      <c r="K1348" s="39">
        <v>45235</v>
      </c>
      <c r="L1348" s="36">
        <v>45236</v>
      </c>
      <c r="M1348" s="36">
        <v>45237</v>
      </c>
      <c r="N1348" s="37">
        <v>18512570</v>
      </c>
      <c r="O1348" s="37">
        <v>0</v>
      </c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</row>
    <row r="1349" spans="1:26" ht="14.25" customHeight="1">
      <c r="A1349" s="9">
        <v>1505</v>
      </c>
      <c r="B1349" s="10"/>
      <c r="C1349" s="21">
        <v>231641</v>
      </c>
      <c r="D1349" s="22" t="s">
        <v>762</v>
      </c>
      <c r="E1349" s="23">
        <v>45156</v>
      </c>
      <c r="F1349" s="24">
        <v>45139</v>
      </c>
      <c r="G1349" s="25">
        <v>5652322</v>
      </c>
      <c r="H1349" s="25" t="s">
        <v>3181</v>
      </c>
      <c r="I1349" s="233" t="s">
        <v>29</v>
      </c>
      <c r="J1349" s="10"/>
      <c r="K1349" s="39"/>
      <c r="L1349" s="36">
        <v>45225</v>
      </c>
      <c r="M1349" s="36">
        <v>45225</v>
      </c>
      <c r="N1349" s="37">
        <v>5652322</v>
      </c>
      <c r="O1349" s="37">
        <v>0</v>
      </c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</row>
    <row r="1350" spans="1:26" ht="14.25" customHeight="1">
      <c r="A1350" s="9">
        <v>1504</v>
      </c>
      <c r="B1350" s="10"/>
      <c r="C1350" s="21">
        <v>231642</v>
      </c>
      <c r="D1350" s="22" t="s">
        <v>762</v>
      </c>
      <c r="E1350" s="23">
        <v>45156</v>
      </c>
      <c r="F1350" s="24">
        <v>45139</v>
      </c>
      <c r="G1350" s="25">
        <v>3857280</v>
      </c>
      <c r="H1350" s="25" t="s">
        <v>3182</v>
      </c>
      <c r="I1350" s="233" t="s">
        <v>29</v>
      </c>
      <c r="J1350" s="10"/>
      <c r="K1350" s="39"/>
      <c r="L1350" s="36">
        <v>45225</v>
      </c>
      <c r="M1350" s="36">
        <v>45225</v>
      </c>
      <c r="N1350" s="37">
        <v>3857280</v>
      </c>
      <c r="O1350" s="37">
        <v>0</v>
      </c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</row>
    <row r="1351" spans="1:26" ht="14.25" customHeight="1">
      <c r="A1351" s="9">
        <v>1508</v>
      </c>
      <c r="B1351" s="10"/>
      <c r="C1351" s="21">
        <v>231784</v>
      </c>
      <c r="D1351" s="22" t="s">
        <v>762</v>
      </c>
      <c r="E1351" s="23">
        <v>45157</v>
      </c>
      <c r="F1351" s="24">
        <v>45139</v>
      </c>
      <c r="G1351" s="25">
        <v>3233563</v>
      </c>
      <c r="H1351" s="25" t="s">
        <v>3183</v>
      </c>
      <c r="I1351" s="34" t="s">
        <v>29</v>
      </c>
      <c r="J1351" s="10"/>
      <c r="K1351" s="39"/>
      <c r="L1351" s="36">
        <v>45236</v>
      </c>
      <c r="M1351" s="36">
        <v>45237</v>
      </c>
      <c r="N1351" s="37">
        <v>3233563</v>
      </c>
      <c r="O1351" s="37">
        <v>0</v>
      </c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  <c r="Z1351" s="10"/>
    </row>
    <row r="1352" spans="1:26" ht="14.25" customHeight="1">
      <c r="A1352" s="9">
        <v>1509</v>
      </c>
      <c r="B1352" s="10"/>
      <c r="C1352" s="21">
        <v>231639</v>
      </c>
      <c r="D1352" s="22" t="s">
        <v>762</v>
      </c>
      <c r="E1352" s="23">
        <v>45159</v>
      </c>
      <c r="F1352" s="24">
        <v>45139</v>
      </c>
      <c r="G1352" s="25">
        <v>1983015</v>
      </c>
      <c r="H1352" s="25" t="s">
        <v>3184</v>
      </c>
      <c r="I1352" s="34" t="s">
        <v>29</v>
      </c>
      <c r="J1352" s="10"/>
      <c r="K1352" s="39"/>
      <c r="L1352" s="36">
        <v>45236</v>
      </c>
      <c r="M1352" s="36">
        <v>45237</v>
      </c>
      <c r="N1352" s="37">
        <v>1983015</v>
      </c>
      <c r="O1352" s="37">
        <v>0</v>
      </c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</row>
    <row r="1353" spans="1:26" ht="14.25" customHeight="1">
      <c r="A1353" s="9">
        <v>1510</v>
      </c>
      <c r="B1353" s="10"/>
      <c r="C1353" s="21">
        <v>231676</v>
      </c>
      <c r="D1353" s="22" t="s">
        <v>762</v>
      </c>
      <c r="E1353" s="23">
        <v>45159</v>
      </c>
      <c r="F1353" s="24">
        <v>45139</v>
      </c>
      <c r="G1353" s="25">
        <v>7992000</v>
      </c>
      <c r="H1353" s="25" t="s">
        <v>3185</v>
      </c>
      <c r="I1353" s="34" t="s">
        <v>29</v>
      </c>
      <c r="J1353" s="10"/>
      <c r="K1353" s="39"/>
      <c r="L1353" s="36">
        <v>45236</v>
      </c>
      <c r="M1353" s="36">
        <v>45237</v>
      </c>
      <c r="N1353" s="37">
        <v>7992000</v>
      </c>
      <c r="O1353" s="37">
        <v>0</v>
      </c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  <c r="Z1353" s="10"/>
    </row>
    <row r="1354" spans="1:26" ht="14.25" customHeight="1">
      <c r="A1354" s="9">
        <v>1512</v>
      </c>
      <c r="B1354" s="10"/>
      <c r="C1354" s="21">
        <v>231684</v>
      </c>
      <c r="D1354" s="22" t="s">
        <v>762</v>
      </c>
      <c r="E1354" s="23">
        <v>45160</v>
      </c>
      <c r="F1354" s="24">
        <v>45139</v>
      </c>
      <c r="G1354" s="25">
        <v>629999</v>
      </c>
      <c r="H1354" s="25" t="s">
        <v>3186</v>
      </c>
      <c r="I1354" s="34" t="s">
        <v>29</v>
      </c>
      <c r="J1354" s="10"/>
      <c r="K1354" s="39"/>
      <c r="L1354" s="39">
        <v>45245</v>
      </c>
      <c r="M1354" s="39">
        <v>45245</v>
      </c>
      <c r="N1354" s="37">
        <v>629999</v>
      </c>
      <c r="O1354" s="37">
        <v>0</v>
      </c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</row>
    <row r="1355" spans="1:26" ht="14.25" customHeight="1">
      <c r="A1355" s="9">
        <v>1513</v>
      </c>
      <c r="B1355" s="10"/>
      <c r="C1355" s="21">
        <v>231685</v>
      </c>
      <c r="D1355" s="22" t="s">
        <v>762</v>
      </c>
      <c r="E1355" s="23">
        <v>45160</v>
      </c>
      <c r="F1355" s="24">
        <v>45139</v>
      </c>
      <c r="G1355" s="25">
        <v>2797200</v>
      </c>
      <c r="H1355" s="25" t="s">
        <v>3187</v>
      </c>
      <c r="I1355" s="34" t="s">
        <v>29</v>
      </c>
      <c r="J1355" s="10"/>
      <c r="K1355" s="39"/>
      <c r="L1355" s="39">
        <v>45245</v>
      </c>
      <c r="M1355" s="39">
        <v>45245</v>
      </c>
      <c r="N1355" s="37">
        <v>2797200</v>
      </c>
      <c r="O1355" s="37">
        <v>0</v>
      </c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  <c r="Z1355" s="10"/>
    </row>
    <row r="1356" spans="1:26" ht="14.25" customHeight="1">
      <c r="A1356" s="9">
        <v>1514</v>
      </c>
      <c r="B1356" s="10"/>
      <c r="C1356" s="21">
        <v>231686</v>
      </c>
      <c r="D1356" s="22" t="s">
        <v>762</v>
      </c>
      <c r="E1356" s="23">
        <v>45160</v>
      </c>
      <c r="F1356" s="24">
        <v>45139</v>
      </c>
      <c r="G1356" s="25">
        <v>300555</v>
      </c>
      <c r="H1356" s="25" t="s">
        <v>3188</v>
      </c>
      <c r="I1356" s="34" t="s">
        <v>29</v>
      </c>
      <c r="J1356" s="10"/>
      <c r="K1356" s="39"/>
      <c r="L1356" s="39">
        <v>45245</v>
      </c>
      <c r="M1356" s="39">
        <v>45245</v>
      </c>
      <c r="N1356" s="37">
        <v>300555</v>
      </c>
      <c r="O1356" s="37">
        <v>0</v>
      </c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</row>
    <row r="1357" spans="1:26" ht="14.25" customHeight="1">
      <c r="A1357" s="9">
        <v>1511</v>
      </c>
      <c r="B1357" s="10"/>
      <c r="C1357" s="21">
        <v>231687</v>
      </c>
      <c r="D1357" s="22" t="s">
        <v>762</v>
      </c>
      <c r="E1357" s="23">
        <v>45160</v>
      </c>
      <c r="F1357" s="24">
        <v>45139</v>
      </c>
      <c r="G1357" s="25">
        <v>2182815</v>
      </c>
      <c r="H1357" s="25" t="s">
        <v>3189</v>
      </c>
      <c r="I1357" s="34" t="s">
        <v>29</v>
      </c>
      <c r="J1357" s="27">
        <v>86795308</v>
      </c>
      <c r="K1357" s="39"/>
      <c r="L1357" s="39">
        <v>45245</v>
      </c>
      <c r="M1357" s="39">
        <v>45245</v>
      </c>
      <c r="N1357" s="37">
        <v>2182815</v>
      </c>
      <c r="O1357" s="37">
        <v>0</v>
      </c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</row>
    <row r="1358" spans="1:26" ht="14.25" customHeight="1">
      <c r="A1358" s="9">
        <v>1516</v>
      </c>
      <c r="B1358" s="10"/>
      <c r="C1358" s="21">
        <v>231711</v>
      </c>
      <c r="D1358" s="22" t="s">
        <v>762</v>
      </c>
      <c r="E1358" s="23">
        <v>45161</v>
      </c>
      <c r="F1358" s="24">
        <v>45139</v>
      </c>
      <c r="G1358" s="25">
        <v>1554000</v>
      </c>
      <c r="H1358" s="25" t="s">
        <v>3190</v>
      </c>
      <c r="I1358" s="34" t="s">
        <v>29</v>
      </c>
      <c r="J1358" s="10"/>
      <c r="K1358" s="39"/>
      <c r="L1358" s="39">
        <v>45245</v>
      </c>
      <c r="M1358" s="39">
        <v>45245</v>
      </c>
      <c r="N1358" s="37">
        <v>1554000</v>
      </c>
      <c r="O1358" s="37">
        <v>0</v>
      </c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</row>
    <row r="1359" spans="1:26" ht="14.25" customHeight="1">
      <c r="A1359" s="9">
        <v>1515</v>
      </c>
      <c r="B1359" s="10"/>
      <c r="C1359" s="21">
        <v>231716</v>
      </c>
      <c r="D1359" s="22" t="s">
        <v>762</v>
      </c>
      <c r="E1359" s="23">
        <v>45161</v>
      </c>
      <c r="F1359" s="24">
        <v>45139</v>
      </c>
      <c r="G1359" s="25">
        <v>1551585</v>
      </c>
      <c r="H1359" s="25" t="s">
        <v>3191</v>
      </c>
      <c r="I1359" s="34" t="s">
        <v>29</v>
      </c>
      <c r="J1359" s="10"/>
      <c r="K1359" s="39"/>
      <c r="L1359" s="39">
        <v>45245</v>
      </c>
      <c r="M1359" s="39">
        <v>45245</v>
      </c>
      <c r="N1359" s="37">
        <v>1551585</v>
      </c>
      <c r="O1359" s="37">
        <v>0</v>
      </c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  <c r="Z1359" s="10"/>
    </row>
    <row r="1360" spans="1:26" ht="14.25" customHeight="1">
      <c r="A1360" s="9">
        <v>1517</v>
      </c>
      <c r="B1360" s="10"/>
      <c r="C1360" s="21">
        <v>231718</v>
      </c>
      <c r="D1360" s="22" t="s">
        <v>762</v>
      </c>
      <c r="E1360" s="23">
        <v>45163</v>
      </c>
      <c r="F1360" s="24">
        <v>45139</v>
      </c>
      <c r="G1360" s="25">
        <v>282384</v>
      </c>
      <c r="H1360" s="25" t="s">
        <v>3192</v>
      </c>
      <c r="I1360" s="34" t="s">
        <v>29</v>
      </c>
      <c r="J1360" s="10"/>
      <c r="K1360" s="39"/>
      <c r="L1360" s="39">
        <v>45245</v>
      </c>
      <c r="M1360" s="39">
        <v>45245</v>
      </c>
      <c r="N1360" s="37">
        <v>282384</v>
      </c>
      <c r="O1360" s="37">
        <v>0</v>
      </c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  <c r="Z1360" s="10"/>
    </row>
    <row r="1361" spans="1:26" ht="14.25" customHeight="1">
      <c r="A1361" s="9">
        <v>1518</v>
      </c>
      <c r="B1361" s="10"/>
      <c r="C1361" s="21">
        <v>231729</v>
      </c>
      <c r="D1361" s="22" t="s">
        <v>762</v>
      </c>
      <c r="E1361" s="23">
        <v>45163</v>
      </c>
      <c r="F1361" s="24">
        <v>45139</v>
      </c>
      <c r="G1361" s="25">
        <v>1554000</v>
      </c>
      <c r="H1361" s="25" t="s">
        <v>3193</v>
      </c>
      <c r="I1361" s="34" t="s">
        <v>29</v>
      </c>
      <c r="J1361" s="10"/>
      <c r="K1361" s="39"/>
      <c r="L1361" s="39">
        <v>45245</v>
      </c>
      <c r="M1361" s="39">
        <v>45245</v>
      </c>
      <c r="N1361" s="37">
        <v>1554000</v>
      </c>
      <c r="O1361" s="37">
        <v>0</v>
      </c>
      <c r="P1361" s="10"/>
      <c r="Q1361" s="10"/>
      <c r="R1361" s="10"/>
      <c r="S1361" s="10"/>
      <c r="T1361" s="10"/>
      <c r="U1361" s="10"/>
      <c r="V1361" s="10"/>
      <c r="W1361" s="10"/>
      <c r="X1361" s="10"/>
      <c r="Y1361" s="10"/>
      <c r="Z1361" s="10"/>
    </row>
    <row r="1362" spans="1:26" ht="14.25" customHeight="1">
      <c r="A1362" s="9">
        <v>1519</v>
      </c>
      <c r="B1362" s="10"/>
      <c r="C1362" s="21">
        <v>231738</v>
      </c>
      <c r="D1362" s="22" t="s">
        <v>762</v>
      </c>
      <c r="E1362" s="23">
        <v>45166</v>
      </c>
      <c r="F1362" s="24">
        <v>45139</v>
      </c>
      <c r="G1362" s="25">
        <v>648900</v>
      </c>
      <c r="H1362" s="25" t="s">
        <v>3194</v>
      </c>
      <c r="I1362" s="34" t="s">
        <v>29</v>
      </c>
      <c r="J1362" s="10"/>
      <c r="K1362" s="39"/>
      <c r="L1362" s="39">
        <v>45245</v>
      </c>
      <c r="M1362" s="39">
        <v>45245</v>
      </c>
      <c r="N1362" s="37">
        <v>648900</v>
      </c>
      <c r="O1362" s="37">
        <v>0</v>
      </c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  <c r="Z1362" s="10"/>
    </row>
    <row r="1363" spans="1:26" ht="14.25" customHeight="1">
      <c r="A1363" s="9">
        <v>1520</v>
      </c>
      <c r="B1363" s="10"/>
      <c r="C1363" s="21">
        <v>231760</v>
      </c>
      <c r="D1363" s="22" t="s">
        <v>762</v>
      </c>
      <c r="E1363" s="23">
        <v>45167</v>
      </c>
      <c r="F1363" s="24">
        <v>45139</v>
      </c>
      <c r="G1363" s="25">
        <v>341871</v>
      </c>
      <c r="H1363" s="25" t="s">
        <v>3195</v>
      </c>
      <c r="I1363" s="34" t="s">
        <v>29</v>
      </c>
      <c r="J1363" s="10"/>
      <c r="K1363" s="39"/>
      <c r="L1363" s="39">
        <v>45245</v>
      </c>
      <c r="M1363" s="39">
        <v>45245</v>
      </c>
      <c r="N1363" s="37">
        <v>341871</v>
      </c>
      <c r="O1363" s="37">
        <v>0</v>
      </c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  <c r="Z1363" s="10"/>
    </row>
    <row r="1364" spans="1:26" ht="14.25" customHeight="1">
      <c r="A1364" s="9">
        <v>1521</v>
      </c>
      <c r="B1364" s="10"/>
      <c r="C1364" s="21">
        <v>231800</v>
      </c>
      <c r="D1364" s="22" t="s">
        <v>762</v>
      </c>
      <c r="E1364" s="23">
        <v>45169</v>
      </c>
      <c r="F1364" s="24">
        <v>45139</v>
      </c>
      <c r="G1364" s="25">
        <v>1001851</v>
      </c>
      <c r="H1364" s="25" t="s">
        <v>3196</v>
      </c>
      <c r="I1364" s="34" t="s">
        <v>29</v>
      </c>
      <c r="J1364" s="10"/>
      <c r="K1364" s="39"/>
      <c r="L1364" s="39">
        <v>45245</v>
      </c>
      <c r="M1364" s="39">
        <v>45245</v>
      </c>
      <c r="N1364" s="37">
        <v>1001851</v>
      </c>
      <c r="O1364" s="37">
        <v>0</v>
      </c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  <c r="Z1364" s="10"/>
    </row>
    <row r="1365" spans="1:26" ht="14.25" customHeight="1">
      <c r="A1365" s="9">
        <v>1522</v>
      </c>
      <c r="B1365" s="10"/>
      <c r="C1365" s="21">
        <v>231801</v>
      </c>
      <c r="D1365" s="22" t="s">
        <v>762</v>
      </c>
      <c r="E1365" s="23">
        <v>45169</v>
      </c>
      <c r="F1365" s="24">
        <v>45139</v>
      </c>
      <c r="G1365" s="25">
        <v>1764004</v>
      </c>
      <c r="H1365" s="25" t="s">
        <v>3197</v>
      </c>
      <c r="I1365" s="34" t="s">
        <v>29</v>
      </c>
      <c r="J1365" s="10"/>
      <c r="K1365" s="39"/>
      <c r="L1365" s="39">
        <v>45245</v>
      </c>
      <c r="M1365" s="39">
        <v>45245</v>
      </c>
      <c r="N1365" s="37">
        <v>1764004</v>
      </c>
      <c r="O1365" s="37">
        <v>0</v>
      </c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  <c r="Z1365" s="10"/>
    </row>
    <row r="1366" spans="1:26" ht="14.25" customHeight="1">
      <c r="A1366" s="9">
        <v>1523</v>
      </c>
      <c r="B1366" s="10"/>
      <c r="C1366" s="21">
        <v>231830</v>
      </c>
      <c r="D1366" s="22" t="s">
        <v>762</v>
      </c>
      <c r="E1366" s="23">
        <v>45174</v>
      </c>
      <c r="F1366" s="24">
        <v>45170</v>
      </c>
      <c r="G1366" s="25">
        <v>601233</v>
      </c>
      <c r="H1366" s="25" t="s">
        <v>3198</v>
      </c>
      <c r="I1366" s="34" t="s">
        <v>29</v>
      </c>
      <c r="J1366" s="10"/>
      <c r="K1366" s="39"/>
      <c r="L1366" s="39">
        <v>45245</v>
      </c>
      <c r="M1366" s="39">
        <v>45245</v>
      </c>
      <c r="N1366" s="37">
        <v>601233</v>
      </c>
      <c r="O1366" s="37">
        <v>0</v>
      </c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  <c r="Z1366" s="10"/>
    </row>
    <row r="1367" spans="1:26" ht="14.25" customHeight="1">
      <c r="A1367" s="9">
        <v>1525</v>
      </c>
      <c r="B1367" s="10"/>
      <c r="C1367" s="21">
        <v>231868</v>
      </c>
      <c r="D1367" s="22" t="s">
        <v>762</v>
      </c>
      <c r="E1367" s="23">
        <v>45175</v>
      </c>
      <c r="F1367" s="24">
        <v>45170</v>
      </c>
      <c r="G1367" s="25">
        <v>1380000</v>
      </c>
      <c r="H1367" s="25" t="s">
        <v>3199</v>
      </c>
      <c r="I1367" s="34" t="s">
        <v>29</v>
      </c>
      <c r="J1367" s="10"/>
      <c r="K1367" s="39"/>
      <c r="L1367" s="39">
        <v>45245</v>
      </c>
      <c r="M1367" s="39">
        <v>45245</v>
      </c>
      <c r="N1367" s="37">
        <v>1380000</v>
      </c>
      <c r="O1367" s="37">
        <v>0</v>
      </c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  <c r="Z1367" s="10"/>
    </row>
    <row r="1368" spans="1:26" ht="14.25" customHeight="1">
      <c r="A1368" s="9">
        <v>1524</v>
      </c>
      <c r="B1368" s="10"/>
      <c r="C1368" s="21">
        <v>231869</v>
      </c>
      <c r="D1368" s="22" t="s">
        <v>762</v>
      </c>
      <c r="E1368" s="23">
        <v>45175</v>
      </c>
      <c r="F1368" s="24">
        <v>45170</v>
      </c>
      <c r="G1368" s="25">
        <v>10061182</v>
      </c>
      <c r="H1368" s="25" t="s">
        <v>3200</v>
      </c>
      <c r="I1368" s="34" t="s">
        <v>29</v>
      </c>
      <c r="J1368" s="10"/>
      <c r="K1368" s="39"/>
      <c r="L1368" s="39">
        <v>45245</v>
      </c>
      <c r="M1368" s="39">
        <v>45245</v>
      </c>
      <c r="N1368" s="37">
        <v>10061182</v>
      </c>
      <c r="O1368" s="37">
        <v>0</v>
      </c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  <c r="Z1368" s="10"/>
    </row>
    <row r="1369" spans="1:26" ht="14.25" customHeight="1">
      <c r="A1369" s="9">
        <v>1526</v>
      </c>
      <c r="B1369" s="10"/>
      <c r="C1369" s="21">
        <v>231890</v>
      </c>
      <c r="D1369" s="22" t="s">
        <v>762</v>
      </c>
      <c r="E1369" s="23">
        <v>45181</v>
      </c>
      <c r="F1369" s="24">
        <v>45170</v>
      </c>
      <c r="G1369" s="25">
        <v>9990000</v>
      </c>
      <c r="H1369" s="25" t="s">
        <v>3201</v>
      </c>
      <c r="I1369" s="34" t="s">
        <v>29</v>
      </c>
      <c r="J1369" s="10"/>
      <c r="K1369" s="39"/>
      <c r="L1369" s="39">
        <v>45245</v>
      </c>
      <c r="M1369" s="39">
        <v>45245</v>
      </c>
      <c r="N1369" s="37">
        <v>9990000</v>
      </c>
      <c r="O1369" s="37">
        <v>0</v>
      </c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  <c r="Z1369" s="10"/>
    </row>
    <row r="1370" spans="1:26" ht="14.25" customHeight="1">
      <c r="A1370" s="9">
        <v>1527</v>
      </c>
      <c r="B1370" s="10"/>
      <c r="C1370" s="21">
        <v>231893</v>
      </c>
      <c r="D1370" s="22" t="s">
        <v>762</v>
      </c>
      <c r="E1370" s="23">
        <v>45183</v>
      </c>
      <c r="F1370" s="24">
        <v>45170</v>
      </c>
      <c r="G1370" s="25">
        <v>5102028</v>
      </c>
      <c r="H1370" s="25" t="s">
        <v>3202</v>
      </c>
      <c r="I1370" s="34" t="s">
        <v>29</v>
      </c>
      <c r="J1370" s="10"/>
      <c r="K1370" s="39"/>
      <c r="L1370" s="39">
        <v>45245</v>
      </c>
      <c r="M1370" s="39">
        <v>45245</v>
      </c>
      <c r="N1370" s="37">
        <v>5102028</v>
      </c>
      <c r="O1370" s="37">
        <v>0</v>
      </c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  <c r="Z1370" s="10"/>
    </row>
    <row r="1371" spans="1:26" ht="14.25" customHeight="1">
      <c r="A1371" s="9">
        <v>1528</v>
      </c>
      <c r="B1371" s="10"/>
      <c r="C1371" s="21">
        <v>231900</v>
      </c>
      <c r="D1371" s="22" t="s">
        <v>762</v>
      </c>
      <c r="E1371" s="23">
        <v>45183</v>
      </c>
      <c r="F1371" s="24">
        <v>45170</v>
      </c>
      <c r="G1371" s="25">
        <v>3996000</v>
      </c>
      <c r="H1371" s="25" t="s">
        <v>3203</v>
      </c>
      <c r="I1371" s="34" t="s">
        <v>29</v>
      </c>
      <c r="J1371" s="10"/>
      <c r="K1371" s="39"/>
      <c r="L1371" s="39">
        <v>45245</v>
      </c>
      <c r="M1371" s="39">
        <v>45245</v>
      </c>
      <c r="N1371" s="37">
        <v>3996000</v>
      </c>
      <c r="O1371" s="37">
        <v>0</v>
      </c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  <c r="Z1371" s="10"/>
    </row>
    <row r="1372" spans="1:26" ht="14.25" customHeight="1">
      <c r="A1372" s="9">
        <v>1529</v>
      </c>
      <c r="B1372" s="10"/>
      <c r="C1372" s="21">
        <v>231918</v>
      </c>
      <c r="D1372" s="22" t="s">
        <v>762</v>
      </c>
      <c r="E1372" s="23">
        <v>45184</v>
      </c>
      <c r="F1372" s="24">
        <v>45170</v>
      </c>
      <c r="G1372" s="25">
        <v>5328051</v>
      </c>
      <c r="H1372" s="25" t="s">
        <v>3204</v>
      </c>
      <c r="I1372" s="34" t="s">
        <v>29</v>
      </c>
      <c r="J1372" s="10"/>
      <c r="K1372" s="39"/>
      <c r="L1372" s="39">
        <v>45245</v>
      </c>
      <c r="M1372" s="39">
        <v>45245</v>
      </c>
      <c r="N1372" s="37">
        <v>5328051</v>
      </c>
      <c r="O1372" s="37">
        <v>0</v>
      </c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  <c r="Z1372" s="10"/>
    </row>
    <row r="1373" spans="1:26" ht="14.25" customHeight="1">
      <c r="A1373" s="9">
        <v>1530</v>
      </c>
      <c r="B1373" s="10"/>
      <c r="C1373" s="21">
        <v>231906</v>
      </c>
      <c r="D1373" s="22" t="s">
        <v>762</v>
      </c>
      <c r="E1373" s="23">
        <v>45185</v>
      </c>
      <c r="F1373" s="24">
        <v>45170</v>
      </c>
      <c r="G1373" s="25">
        <v>395000</v>
      </c>
      <c r="H1373" s="25" t="s">
        <v>3205</v>
      </c>
      <c r="I1373" s="34" t="s">
        <v>29</v>
      </c>
      <c r="J1373" s="10"/>
      <c r="K1373" s="39"/>
      <c r="L1373" s="39">
        <v>45245</v>
      </c>
      <c r="M1373" s="39">
        <v>45245</v>
      </c>
      <c r="N1373" s="37">
        <v>395000</v>
      </c>
      <c r="O1373" s="37">
        <v>0</v>
      </c>
      <c r="P1373" s="10"/>
      <c r="Q1373" s="10"/>
      <c r="R1373" s="10"/>
      <c r="S1373" s="10"/>
      <c r="T1373" s="10"/>
      <c r="U1373" s="10"/>
      <c r="V1373" s="10"/>
      <c r="W1373" s="10"/>
      <c r="X1373" s="10"/>
      <c r="Y1373" s="10"/>
      <c r="Z1373" s="10"/>
    </row>
    <row r="1374" spans="1:26" ht="14.25" customHeight="1">
      <c r="A1374" s="9">
        <v>1531</v>
      </c>
      <c r="B1374" s="10"/>
      <c r="C1374" s="21">
        <v>231958</v>
      </c>
      <c r="D1374" s="22" t="s">
        <v>762</v>
      </c>
      <c r="E1374" s="23">
        <v>45189</v>
      </c>
      <c r="F1374" s="24">
        <v>45170</v>
      </c>
      <c r="G1374" s="25">
        <v>5299362</v>
      </c>
      <c r="H1374" s="25" t="s">
        <v>3206</v>
      </c>
      <c r="I1374" s="34" t="s">
        <v>29</v>
      </c>
      <c r="J1374" s="10"/>
      <c r="K1374" s="39"/>
      <c r="L1374" s="39">
        <v>45245</v>
      </c>
      <c r="M1374" s="39">
        <v>45245</v>
      </c>
      <c r="N1374" s="37">
        <v>5299362</v>
      </c>
      <c r="O1374" s="37">
        <v>0</v>
      </c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  <c r="Z1374" s="10"/>
    </row>
    <row r="1375" spans="1:26" ht="14.25" customHeight="1">
      <c r="A1375" s="9">
        <v>1534</v>
      </c>
      <c r="B1375" s="10"/>
      <c r="C1375" s="21">
        <v>231956</v>
      </c>
      <c r="D1375" s="22" t="s">
        <v>762</v>
      </c>
      <c r="E1375" s="23">
        <v>45190</v>
      </c>
      <c r="F1375" s="24">
        <v>45170</v>
      </c>
      <c r="G1375" s="25">
        <v>9448400</v>
      </c>
      <c r="H1375" s="25" t="s">
        <v>3207</v>
      </c>
      <c r="I1375" s="34" t="s">
        <v>29</v>
      </c>
      <c r="J1375" s="10"/>
      <c r="K1375" s="39"/>
      <c r="L1375" s="39">
        <v>45245</v>
      </c>
      <c r="M1375" s="39">
        <v>45245</v>
      </c>
      <c r="N1375" s="37">
        <v>9448400</v>
      </c>
      <c r="O1375" s="37">
        <v>0</v>
      </c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  <c r="Z1375" s="10"/>
    </row>
    <row r="1376" spans="1:26" ht="14.25" customHeight="1">
      <c r="A1376" s="9">
        <v>1532</v>
      </c>
      <c r="B1376" s="10"/>
      <c r="C1376" s="21">
        <v>231957</v>
      </c>
      <c r="D1376" s="22" t="s">
        <v>762</v>
      </c>
      <c r="E1376" s="23">
        <v>45190</v>
      </c>
      <c r="F1376" s="24">
        <v>45170</v>
      </c>
      <c r="G1376" s="25">
        <v>1401000</v>
      </c>
      <c r="H1376" s="25" t="s">
        <v>3208</v>
      </c>
      <c r="I1376" s="34" t="s">
        <v>29</v>
      </c>
      <c r="J1376" s="10"/>
      <c r="K1376" s="39"/>
      <c r="L1376" s="39">
        <v>45245</v>
      </c>
      <c r="M1376" s="39">
        <v>45245</v>
      </c>
      <c r="N1376" s="37">
        <v>1401000</v>
      </c>
      <c r="O1376" s="37">
        <v>0</v>
      </c>
      <c r="P1376" s="10"/>
      <c r="Q1376" s="10"/>
      <c r="R1376" s="10"/>
      <c r="S1376" s="10"/>
      <c r="T1376" s="10"/>
      <c r="U1376" s="10"/>
      <c r="V1376" s="10"/>
      <c r="W1376" s="10"/>
      <c r="X1376" s="10"/>
      <c r="Y1376" s="10"/>
      <c r="Z1376" s="10"/>
    </row>
    <row r="1377" spans="1:26" ht="14.25" customHeight="1">
      <c r="A1377" s="9">
        <v>1533</v>
      </c>
      <c r="B1377" s="10"/>
      <c r="C1377" s="21">
        <v>231955</v>
      </c>
      <c r="D1377" s="22" t="s">
        <v>762</v>
      </c>
      <c r="E1377" s="23">
        <v>45192</v>
      </c>
      <c r="F1377" s="24">
        <v>45170</v>
      </c>
      <c r="G1377" s="25">
        <v>875001</v>
      </c>
      <c r="H1377" s="25" t="s">
        <v>3209</v>
      </c>
      <c r="I1377" s="34" t="s">
        <v>29</v>
      </c>
      <c r="J1377" s="10"/>
      <c r="K1377" s="39"/>
      <c r="L1377" s="39">
        <v>45245</v>
      </c>
      <c r="M1377" s="39">
        <v>45245</v>
      </c>
      <c r="N1377" s="37">
        <v>875001</v>
      </c>
      <c r="O1377" s="37">
        <v>0</v>
      </c>
      <c r="P1377" s="10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</row>
    <row r="1378" spans="1:26" ht="14.25" customHeight="1">
      <c r="A1378" s="9">
        <v>1535</v>
      </c>
      <c r="B1378" s="10"/>
      <c r="C1378" s="21">
        <v>232029</v>
      </c>
      <c r="D1378" s="22" t="s">
        <v>762</v>
      </c>
      <c r="E1378" s="23">
        <v>45199</v>
      </c>
      <c r="F1378" s="24">
        <v>45170</v>
      </c>
      <c r="G1378" s="25">
        <v>2758527</v>
      </c>
      <c r="H1378" s="25" t="s">
        <v>3210</v>
      </c>
      <c r="I1378" s="34" t="s">
        <v>29</v>
      </c>
      <c r="J1378" s="10"/>
      <c r="K1378" s="39"/>
      <c r="L1378" s="39">
        <v>45245</v>
      </c>
      <c r="M1378" s="39">
        <v>45245</v>
      </c>
      <c r="N1378" s="37">
        <v>2758527</v>
      </c>
      <c r="O1378" s="37">
        <v>0</v>
      </c>
      <c r="P1378" s="10"/>
      <c r="Q1378" s="10"/>
      <c r="R1378" s="10"/>
      <c r="S1378" s="10"/>
      <c r="T1378" s="10"/>
      <c r="U1378" s="10"/>
      <c r="V1378" s="10"/>
      <c r="W1378" s="10"/>
      <c r="X1378" s="10"/>
      <c r="Y1378" s="10"/>
      <c r="Z1378" s="10"/>
    </row>
    <row r="1379" spans="1:26" ht="14.25" customHeight="1">
      <c r="A1379" s="9">
        <v>1536</v>
      </c>
      <c r="B1379" s="10"/>
      <c r="C1379" s="21">
        <v>232063</v>
      </c>
      <c r="D1379" s="22" t="s">
        <v>762</v>
      </c>
      <c r="E1379" s="23">
        <v>45204</v>
      </c>
      <c r="F1379" s="24">
        <v>45200</v>
      </c>
      <c r="G1379" s="25">
        <v>3974521</v>
      </c>
      <c r="H1379" s="25" t="s">
        <v>3211</v>
      </c>
      <c r="I1379" s="34" t="s">
        <v>29</v>
      </c>
      <c r="J1379" s="10"/>
      <c r="K1379" s="39"/>
      <c r="L1379" s="39">
        <v>45245</v>
      </c>
      <c r="M1379" s="39">
        <v>45245</v>
      </c>
      <c r="N1379" s="37">
        <v>3974521</v>
      </c>
      <c r="O1379" s="37">
        <v>0</v>
      </c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  <c r="Z1379" s="10"/>
    </row>
    <row r="1380" spans="1:26" ht="14.25" customHeight="1">
      <c r="A1380" s="9">
        <v>1538</v>
      </c>
      <c r="B1380" s="10"/>
      <c r="C1380" s="21">
        <v>232120</v>
      </c>
      <c r="D1380" s="22" t="s">
        <v>762</v>
      </c>
      <c r="E1380" s="23">
        <v>45211</v>
      </c>
      <c r="F1380" s="24">
        <v>45200</v>
      </c>
      <c r="G1380" s="25">
        <v>5026635</v>
      </c>
      <c r="H1380" s="25" t="s">
        <v>3212</v>
      </c>
      <c r="I1380" s="34" t="s">
        <v>29</v>
      </c>
      <c r="J1380" s="10"/>
      <c r="K1380" s="39"/>
      <c r="L1380" s="39">
        <v>45245</v>
      </c>
      <c r="M1380" s="39">
        <v>45245</v>
      </c>
      <c r="N1380" s="37">
        <v>5026635</v>
      </c>
      <c r="O1380" s="37">
        <v>0</v>
      </c>
      <c r="P1380" s="10"/>
      <c r="Q1380" s="10"/>
      <c r="R1380" s="10"/>
      <c r="S1380" s="10"/>
      <c r="T1380" s="10"/>
      <c r="U1380" s="10"/>
      <c r="V1380" s="10"/>
      <c r="W1380" s="10"/>
      <c r="X1380" s="10"/>
      <c r="Y1380" s="10"/>
      <c r="Z1380" s="10"/>
    </row>
    <row r="1381" spans="1:26" ht="14.25" customHeight="1">
      <c r="A1381" s="9">
        <v>1537</v>
      </c>
      <c r="B1381" s="10"/>
      <c r="C1381" s="21">
        <v>232121</v>
      </c>
      <c r="D1381" s="22" t="s">
        <v>762</v>
      </c>
      <c r="E1381" s="23">
        <v>45211</v>
      </c>
      <c r="F1381" s="24">
        <v>45200</v>
      </c>
      <c r="G1381" s="25">
        <v>6549204</v>
      </c>
      <c r="H1381" s="25" t="s">
        <v>3213</v>
      </c>
      <c r="I1381" s="34" t="s">
        <v>29</v>
      </c>
      <c r="J1381" s="10"/>
      <c r="K1381" s="39"/>
      <c r="L1381" s="39">
        <v>45245</v>
      </c>
      <c r="M1381" s="39">
        <v>45245</v>
      </c>
      <c r="N1381" s="37">
        <v>6549204</v>
      </c>
      <c r="O1381" s="37">
        <v>0</v>
      </c>
      <c r="P1381" s="10"/>
      <c r="Q1381" s="10"/>
      <c r="R1381" s="10"/>
      <c r="S1381" s="10"/>
      <c r="T1381" s="10"/>
      <c r="U1381" s="10"/>
      <c r="V1381" s="10"/>
      <c r="W1381" s="10"/>
      <c r="X1381" s="10"/>
      <c r="Y1381" s="10"/>
      <c r="Z1381" s="10"/>
    </row>
    <row r="1382" spans="1:26" ht="14.25" customHeight="1">
      <c r="A1382" s="9">
        <v>1539</v>
      </c>
      <c r="B1382" s="10"/>
      <c r="C1382" s="21">
        <v>232154</v>
      </c>
      <c r="D1382" s="22" t="s">
        <v>762</v>
      </c>
      <c r="E1382" s="23">
        <v>45220</v>
      </c>
      <c r="F1382" s="24">
        <v>45200</v>
      </c>
      <c r="G1382" s="25">
        <v>30506191</v>
      </c>
      <c r="H1382" s="25" t="s">
        <v>3214</v>
      </c>
      <c r="I1382" s="34" t="s">
        <v>29</v>
      </c>
      <c r="J1382" s="27">
        <v>47036449</v>
      </c>
      <c r="K1382" s="39">
        <v>45275</v>
      </c>
      <c r="L1382" s="36">
        <v>45275</v>
      </c>
      <c r="M1382" s="36">
        <v>45275</v>
      </c>
      <c r="N1382" s="37">
        <v>30506191</v>
      </c>
      <c r="O1382" s="37">
        <v>0</v>
      </c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  <c r="Z1382" s="10"/>
    </row>
    <row r="1383" spans="1:26" ht="14.25" customHeight="1">
      <c r="A1383" s="9">
        <v>1540</v>
      </c>
      <c r="B1383" s="10"/>
      <c r="C1383" s="21">
        <v>232178</v>
      </c>
      <c r="D1383" s="22" t="s">
        <v>762</v>
      </c>
      <c r="E1383" s="23">
        <v>45225</v>
      </c>
      <c r="F1383" s="24">
        <v>45200</v>
      </c>
      <c r="G1383" s="25">
        <v>3525000</v>
      </c>
      <c r="H1383" s="25" t="s">
        <v>3215</v>
      </c>
      <c r="I1383" s="34" t="s">
        <v>29</v>
      </c>
      <c r="J1383" s="10"/>
      <c r="K1383" s="39"/>
      <c r="L1383" s="36">
        <v>45275</v>
      </c>
      <c r="M1383" s="36">
        <v>45275</v>
      </c>
      <c r="N1383" s="37">
        <v>3525000</v>
      </c>
      <c r="O1383" s="37">
        <v>0</v>
      </c>
      <c r="P1383" s="10"/>
      <c r="Q1383" s="10"/>
      <c r="R1383" s="10"/>
      <c r="S1383" s="10"/>
      <c r="T1383" s="10"/>
      <c r="U1383" s="10"/>
      <c r="V1383" s="10"/>
      <c r="W1383" s="10"/>
      <c r="X1383" s="10"/>
      <c r="Y1383" s="10"/>
      <c r="Z1383" s="10"/>
    </row>
    <row r="1384" spans="1:26" ht="14.25" customHeight="1">
      <c r="A1384" s="9">
        <v>1541</v>
      </c>
      <c r="B1384" s="10"/>
      <c r="C1384" s="21">
        <v>232214</v>
      </c>
      <c r="D1384" s="22" t="s">
        <v>762</v>
      </c>
      <c r="E1384" s="23">
        <v>45230</v>
      </c>
      <c r="F1384" s="24">
        <v>45200</v>
      </c>
      <c r="G1384" s="25">
        <v>8183658</v>
      </c>
      <c r="H1384" s="25" t="s">
        <v>3216</v>
      </c>
      <c r="I1384" s="34" t="s">
        <v>29</v>
      </c>
      <c r="J1384" s="10"/>
      <c r="K1384" s="39"/>
      <c r="L1384" s="36">
        <v>45275</v>
      </c>
      <c r="M1384" s="36">
        <v>45275</v>
      </c>
      <c r="N1384" s="37">
        <v>8183658</v>
      </c>
      <c r="O1384" s="37">
        <v>0</v>
      </c>
      <c r="P1384" s="10"/>
      <c r="Q1384" s="10"/>
      <c r="R1384" s="10"/>
      <c r="S1384" s="10"/>
      <c r="T1384" s="10"/>
      <c r="U1384" s="10"/>
      <c r="V1384" s="10"/>
      <c r="W1384" s="10"/>
      <c r="X1384" s="10"/>
      <c r="Y1384" s="10"/>
      <c r="Z1384" s="10"/>
    </row>
    <row r="1385" spans="1:26" ht="14.25" customHeight="1">
      <c r="A1385" s="9">
        <v>1542</v>
      </c>
      <c r="B1385" s="10"/>
      <c r="C1385" s="21">
        <v>232271</v>
      </c>
      <c r="D1385" s="22" t="s">
        <v>762</v>
      </c>
      <c r="E1385" s="23">
        <v>45237</v>
      </c>
      <c r="F1385" s="24">
        <v>45231</v>
      </c>
      <c r="G1385" s="25">
        <v>4821600</v>
      </c>
      <c r="H1385" s="25" t="s">
        <v>3217</v>
      </c>
      <c r="I1385" s="34" t="s">
        <v>29</v>
      </c>
      <c r="J1385" s="10"/>
      <c r="K1385" s="39"/>
      <c r="L1385" s="36">
        <v>45275</v>
      </c>
      <c r="M1385" s="36">
        <v>45275</v>
      </c>
      <c r="N1385" s="37">
        <v>4821600</v>
      </c>
      <c r="O1385" s="37">
        <v>0</v>
      </c>
      <c r="P1385" s="10"/>
      <c r="Q1385" s="10"/>
      <c r="R1385" s="10"/>
      <c r="S1385" s="10"/>
      <c r="T1385" s="10"/>
      <c r="U1385" s="10"/>
      <c r="V1385" s="10"/>
      <c r="W1385" s="10"/>
      <c r="X1385" s="10"/>
      <c r="Y1385" s="10"/>
      <c r="Z1385" s="10"/>
    </row>
    <row r="1386" spans="1:26" ht="14.25" customHeight="1">
      <c r="A1386" s="9">
        <v>1543</v>
      </c>
      <c r="B1386" s="10"/>
      <c r="C1386" s="9">
        <v>232329</v>
      </c>
      <c r="D1386" s="11" t="s">
        <v>762</v>
      </c>
      <c r="E1386" s="12">
        <v>45245</v>
      </c>
      <c r="F1386" s="13">
        <v>45231</v>
      </c>
      <c r="G1386" s="27">
        <v>5526143</v>
      </c>
      <c r="H1386" s="27" t="s">
        <v>3218</v>
      </c>
      <c r="I1386" s="34">
        <v>44.606678703705299</v>
      </c>
      <c r="J1386" s="10"/>
      <c r="K1386" s="39"/>
      <c r="L1386" s="39"/>
      <c r="M1386" s="39"/>
      <c r="N1386" s="37">
        <v>0</v>
      </c>
      <c r="O1386" s="37">
        <v>5526143</v>
      </c>
      <c r="P1386" s="10"/>
      <c r="Q1386" s="10"/>
      <c r="R1386" s="10"/>
      <c r="S1386" s="10"/>
      <c r="T1386" s="10"/>
      <c r="U1386" s="10"/>
      <c r="V1386" s="10"/>
      <c r="W1386" s="10"/>
      <c r="X1386" s="10"/>
      <c r="Y1386" s="10"/>
      <c r="Z1386" s="10"/>
    </row>
    <row r="1387" spans="1:26" ht="14.25" customHeight="1">
      <c r="A1387" s="9">
        <v>1544</v>
      </c>
      <c r="B1387" s="10"/>
      <c r="C1387" s="9">
        <v>232330</v>
      </c>
      <c r="D1387" s="11" t="s">
        <v>762</v>
      </c>
      <c r="E1387" s="12">
        <v>45246</v>
      </c>
      <c r="F1387" s="13">
        <v>45231</v>
      </c>
      <c r="G1387" s="27">
        <v>3525000</v>
      </c>
      <c r="H1387" s="27" t="s">
        <v>3219</v>
      </c>
      <c r="I1387" s="34">
        <v>43.606678703705299</v>
      </c>
      <c r="J1387" s="10"/>
      <c r="K1387" s="39"/>
      <c r="L1387" s="39"/>
      <c r="M1387" s="39"/>
      <c r="N1387" s="37">
        <v>0</v>
      </c>
      <c r="O1387" s="37">
        <v>3525000</v>
      </c>
      <c r="P1387" s="10"/>
      <c r="Q1387" s="10"/>
      <c r="R1387" s="10"/>
      <c r="S1387" s="10"/>
      <c r="T1387" s="10"/>
      <c r="U1387" s="10"/>
      <c r="V1387" s="10"/>
      <c r="W1387" s="10"/>
      <c r="X1387" s="10"/>
      <c r="Y1387" s="10"/>
      <c r="Z1387" s="10"/>
    </row>
    <row r="1388" spans="1:26" ht="14.25" customHeight="1">
      <c r="A1388" s="9">
        <v>1545</v>
      </c>
      <c r="B1388" s="10"/>
      <c r="C1388" s="9">
        <v>232325</v>
      </c>
      <c r="D1388" s="11" t="s">
        <v>762</v>
      </c>
      <c r="E1388" s="12">
        <v>45247</v>
      </c>
      <c r="F1388" s="13">
        <v>45231</v>
      </c>
      <c r="G1388" s="27">
        <v>2760000</v>
      </c>
      <c r="H1388" s="27" t="s">
        <v>3220</v>
      </c>
      <c r="I1388" s="34">
        <v>42.606678703705299</v>
      </c>
      <c r="J1388" s="10"/>
      <c r="K1388" s="39"/>
      <c r="L1388" s="39"/>
      <c r="M1388" s="39"/>
      <c r="N1388" s="37">
        <v>0</v>
      </c>
      <c r="O1388" s="37">
        <v>2760000</v>
      </c>
      <c r="P1388" s="10"/>
      <c r="Q1388" s="10"/>
      <c r="R1388" s="10"/>
      <c r="S1388" s="10"/>
      <c r="T1388" s="10"/>
      <c r="U1388" s="10"/>
      <c r="V1388" s="10"/>
      <c r="W1388" s="10"/>
      <c r="X1388" s="10"/>
      <c r="Y1388" s="10"/>
      <c r="Z1388" s="10"/>
    </row>
    <row r="1389" spans="1:26" ht="14.25" customHeight="1">
      <c r="A1389" s="9">
        <v>1547</v>
      </c>
      <c r="B1389" s="10"/>
      <c r="C1389" s="9">
        <v>232326</v>
      </c>
      <c r="D1389" s="11" t="s">
        <v>762</v>
      </c>
      <c r="E1389" s="12">
        <v>45247</v>
      </c>
      <c r="F1389" s="13">
        <v>45231</v>
      </c>
      <c r="G1389" s="27">
        <v>14113600</v>
      </c>
      <c r="H1389" s="27" t="s">
        <v>3221</v>
      </c>
      <c r="I1389" s="34">
        <v>42.606678703705299</v>
      </c>
      <c r="J1389" s="10"/>
      <c r="K1389" s="39"/>
      <c r="L1389" s="39"/>
      <c r="M1389" s="39"/>
      <c r="N1389" s="37">
        <v>0</v>
      </c>
      <c r="O1389" s="37">
        <v>14113600</v>
      </c>
      <c r="P1389" s="10"/>
      <c r="Q1389" s="10"/>
      <c r="R1389" s="10"/>
      <c r="S1389" s="10"/>
      <c r="T1389" s="10"/>
      <c r="U1389" s="10"/>
      <c r="V1389" s="10"/>
      <c r="W1389" s="10"/>
      <c r="X1389" s="10"/>
      <c r="Y1389" s="10"/>
      <c r="Z1389" s="10"/>
    </row>
    <row r="1390" spans="1:26" ht="14.25" customHeight="1">
      <c r="A1390" s="9">
        <v>1548</v>
      </c>
      <c r="B1390" s="10"/>
      <c r="C1390" s="9">
        <v>232327</v>
      </c>
      <c r="D1390" s="11" t="s">
        <v>762</v>
      </c>
      <c r="E1390" s="12">
        <v>45247</v>
      </c>
      <c r="F1390" s="13">
        <v>45231</v>
      </c>
      <c r="G1390" s="27">
        <v>11106930</v>
      </c>
      <c r="H1390" s="27" t="s">
        <v>3222</v>
      </c>
      <c r="I1390" s="34">
        <v>42.606678703705299</v>
      </c>
      <c r="J1390" s="10"/>
      <c r="K1390" s="39"/>
      <c r="L1390" s="39"/>
      <c r="M1390" s="39"/>
      <c r="N1390" s="37">
        <v>0</v>
      </c>
      <c r="O1390" s="37">
        <v>11106930</v>
      </c>
      <c r="P1390" s="10"/>
      <c r="Q1390" s="10"/>
      <c r="R1390" s="10"/>
      <c r="S1390" s="10"/>
      <c r="T1390" s="10"/>
      <c r="U1390" s="10"/>
      <c r="V1390" s="10"/>
      <c r="W1390" s="10"/>
      <c r="X1390" s="10"/>
      <c r="Y1390" s="10"/>
      <c r="Z1390" s="10"/>
    </row>
    <row r="1391" spans="1:26" ht="14.25" customHeight="1">
      <c r="A1391" s="9">
        <v>1546</v>
      </c>
      <c r="B1391" s="10"/>
      <c r="C1391" s="9">
        <v>232391</v>
      </c>
      <c r="D1391" s="11" t="s">
        <v>762</v>
      </c>
      <c r="E1391" s="12">
        <v>45247</v>
      </c>
      <c r="F1391" s="13">
        <v>45231</v>
      </c>
      <c r="G1391" s="27">
        <v>2802000</v>
      </c>
      <c r="H1391" s="27" t="s">
        <v>3223</v>
      </c>
      <c r="I1391" s="34">
        <v>42.606678703705299</v>
      </c>
      <c r="J1391" s="10"/>
      <c r="K1391" s="39"/>
      <c r="L1391" s="39"/>
      <c r="M1391" s="39"/>
      <c r="N1391" s="37">
        <v>0</v>
      </c>
      <c r="O1391" s="37">
        <v>2802000</v>
      </c>
      <c r="P1391" s="10"/>
      <c r="Q1391" s="10"/>
      <c r="R1391" s="10"/>
      <c r="S1391" s="10"/>
      <c r="T1391" s="10"/>
      <c r="U1391" s="10"/>
      <c r="V1391" s="10"/>
      <c r="W1391" s="10"/>
      <c r="X1391" s="10"/>
      <c r="Y1391" s="10"/>
      <c r="Z1391" s="10"/>
    </row>
    <row r="1392" spans="1:26" ht="14.25" customHeight="1">
      <c r="A1392" s="9">
        <v>1549</v>
      </c>
      <c r="B1392" s="10"/>
      <c r="C1392" s="9">
        <v>232324</v>
      </c>
      <c r="D1392" s="11" t="s">
        <v>762</v>
      </c>
      <c r="E1392" s="12">
        <v>45248</v>
      </c>
      <c r="F1392" s="13">
        <v>45231</v>
      </c>
      <c r="G1392" s="27">
        <v>306000</v>
      </c>
      <c r="H1392" s="27" t="s">
        <v>3224</v>
      </c>
      <c r="I1392" s="34">
        <v>41.606678703705299</v>
      </c>
      <c r="J1392" s="10"/>
      <c r="K1392" s="39"/>
      <c r="L1392" s="39"/>
      <c r="M1392" s="39"/>
      <c r="N1392" s="37">
        <v>0</v>
      </c>
      <c r="O1392" s="37">
        <v>306000</v>
      </c>
      <c r="P1392" s="10"/>
      <c r="Q1392" s="10"/>
      <c r="R1392" s="10"/>
      <c r="S1392" s="10"/>
      <c r="T1392" s="10"/>
      <c r="U1392" s="10"/>
      <c r="V1392" s="10"/>
      <c r="W1392" s="10"/>
      <c r="X1392" s="10"/>
      <c r="Y1392" s="10"/>
      <c r="Z1392" s="10"/>
    </row>
    <row r="1393" spans="1:26" ht="14.25" customHeight="1">
      <c r="A1393" s="9">
        <v>1550</v>
      </c>
      <c r="B1393" s="10"/>
      <c r="C1393" s="9">
        <v>232328</v>
      </c>
      <c r="D1393" s="11" t="s">
        <v>762</v>
      </c>
      <c r="E1393" s="12">
        <v>45248</v>
      </c>
      <c r="F1393" s="13">
        <v>45231</v>
      </c>
      <c r="G1393" s="27">
        <v>1859805</v>
      </c>
      <c r="H1393" s="27" t="s">
        <v>3225</v>
      </c>
      <c r="I1393" s="34">
        <v>41.606678703705299</v>
      </c>
      <c r="J1393" s="10"/>
      <c r="K1393" s="39"/>
      <c r="L1393" s="39"/>
      <c r="M1393" s="39"/>
      <c r="N1393" s="37">
        <v>0</v>
      </c>
      <c r="O1393" s="37">
        <v>1859805</v>
      </c>
      <c r="P1393" s="10"/>
      <c r="Q1393" s="10"/>
      <c r="R1393" s="10"/>
      <c r="S1393" s="10"/>
      <c r="T1393" s="10"/>
      <c r="U1393" s="10"/>
      <c r="V1393" s="10"/>
      <c r="W1393" s="10"/>
      <c r="X1393" s="10"/>
      <c r="Y1393" s="10"/>
      <c r="Z1393" s="10"/>
    </row>
    <row r="1394" spans="1:26" ht="14.25" customHeight="1">
      <c r="A1394" s="9">
        <v>1551</v>
      </c>
      <c r="B1394" s="10"/>
      <c r="C1394" s="9">
        <v>232323</v>
      </c>
      <c r="D1394" s="11" t="s">
        <v>762</v>
      </c>
      <c r="E1394" s="12">
        <v>45251</v>
      </c>
      <c r="F1394" s="13">
        <v>45231</v>
      </c>
      <c r="G1394" s="27">
        <v>8561970</v>
      </c>
      <c r="H1394" s="27" t="s">
        <v>3226</v>
      </c>
      <c r="I1394" s="34">
        <v>38.606678703705299</v>
      </c>
      <c r="J1394" s="10"/>
      <c r="K1394" s="39"/>
      <c r="L1394" s="39"/>
      <c r="M1394" s="39"/>
      <c r="N1394" s="37">
        <v>0</v>
      </c>
      <c r="O1394" s="37">
        <v>8561970</v>
      </c>
      <c r="P1394" s="10"/>
      <c r="Q1394" s="10"/>
      <c r="R1394" s="10"/>
      <c r="S1394" s="10"/>
      <c r="T1394" s="10"/>
      <c r="U1394" s="10"/>
      <c r="V1394" s="10"/>
      <c r="W1394" s="10"/>
      <c r="X1394" s="10"/>
      <c r="Y1394" s="10"/>
      <c r="Z1394" s="10"/>
    </row>
    <row r="1395" spans="1:26" ht="14.25" customHeight="1">
      <c r="A1395" s="9">
        <v>1552</v>
      </c>
      <c r="B1395" s="10"/>
      <c r="C1395" s="9">
        <v>232322</v>
      </c>
      <c r="D1395" s="11" t="s">
        <v>762</v>
      </c>
      <c r="E1395" s="12">
        <v>45252</v>
      </c>
      <c r="F1395" s="13">
        <v>45231</v>
      </c>
      <c r="G1395" s="27">
        <v>2775000</v>
      </c>
      <c r="H1395" s="27" t="s">
        <v>3227</v>
      </c>
      <c r="I1395" s="34">
        <v>37.606678703705299</v>
      </c>
      <c r="J1395" s="10"/>
      <c r="K1395" s="39"/>
      <c r="L1395" s="39"/>
      <c r="M1395" s="39"/>
      <c r="N1395" s="37">
        <v>0</v>
      </c>
      <c r="O1395" s="37">
        <v>2775000</v>
      </c>
      <c r="P1395" s="10"/>
      <c r="Q1395" s="10"/>
      <c r="R1395" s="10"/>
      <c r="S1395" s="10"/>
      <c r="T1395" s="10"/>
      <c r="U1395" s="10"/>
      <c r="V1395" s="10"/>
      <c r="W1395" s="10"/>
      <c r="X1395" s="10"/>
      <c r="Y1395" s="10"/>
      <c r="Z1395" s="10"/>
    </row>
    <row r="1396" spans="1:26" ht="14.25" customHeight="1">
      <c r="A1396" s="9">
        <v>1553</v>
      </c>
      <c r="B1396" s="10"/>
      <c r="C1396" s="9">
        <v>232313</v>
      </c>
      <c r="D1396" s="11" t="s">
        <v>762</v>
      </c>
      <c r="E1396" s="12">
        <v>45253</v>
      </c>
      <c r="F1396" s="13">
        <v>45231</v>
      </c>
      <c r="G1396" s="27">
        <v>898000</v>
      </c>
      <c r="H1396" s="27" t="s">
        <v>3228</v>
      </c>
      <c r="I1396" s="34">
        <v>36.606678703705299</v>
      </c>
      <c r="J1396" s="10"/>
      <c r="K1396" s="39"/>
      <c r="L1396" s="39"/>
      <c r="M1396" s="39"/>
      <c r="N1396" s="37">
        <v>0</v>
      </c>
      <c r="O1396" s="37">
        <v>898000</v>
      </c>
      <c r="P1396" s="10"/>
      <c r="Q1396" s="10"/>
      <c r="R1396" s="10"/>
      <c r="S1396" s="10"/>
      <c r="T1396" s="10"/>
      <c r="U1396" s="10"/>
      <c r="V1396" s="10"/>
      <c r="W1396" s="10"/>
      <c r="X1396" s="10"/>
      <c r="Y1396" s="10"/>
      <c r="Z1396" s="10"/>
    </row>
    <row r="1397" spans="1:26" ht="14.25" customHeight="1">
      <c r="A1397" s="9">
        <v>1558</v>
      </c>
      <c r="B1397" s="10"/>
      <c r="C1397" s="21">
        <v>222356</v>
      </c>
      <c r="D1397" s="22" t="s">
        <v>793</v>
      </c>
      <c r="E1397" s="23">
        <v>44924</v>
      </c>
      <c r="F1397" s="24">
        <v>44896</v>
      </c>
      <c r="G1397" s="25">
        <v>317634</v>
      </c>
      <c r="H1397" s="26" t="s">
        <v>3229</v>
      </c>
      <c r="I1397" s="34" t="s">
        <v>29</v>
      </c>
      <c r="J1397" s="25">
        <v>317634</v>
      </c>
      <c r="K1397" s="40">
        <v>44963</v>
      </c>
      <c r="L1397" s="40">
        <v>44963</v>
      </c>
      <c r="M1397" s="40">
        <v>44963</v>
      </c>
      <c r="N1397" s="37">
        <v>317634</v>
      </c>
      <c r="O1397" s="37">
        <v>0</v>
      </c>
      <c r="P1397" s="10"/>
      <c r="Q1397" s="10"/>
      <c r="R1397" s="10"/>
      <c r="S1397" s="10"/>
      <c r="T1397" s="10"/>
      <c r="U1397" s="10"/>
      <c r="V1397" s="10"/>
      <c r="W1397" s="10"/>
      <c r="X1397" s="10"/>
      <c r="Y1397" s="10"/>
      <c r="Z1397" s="10"/>
    </row>
    <row r="1398" spans="1:26" ht="14.25" customHeight="1">
      <c r="A1398" s="9">
        <v>1559</v>
      </c>
      <c r="B1398" s="10"/>
      <c r="C1398" s="21">
        <v>230614</v>
      </c>
      <c r="D1398" s="22" t="s">
        <v>793</v>
      </c>
      <c r="E1398" s="23">
        <v>45010</v>
      </c>
      <c r="F1398" s="24">
        <v>44986</v>
      </c>
      <c r="G1398" s="25">
        <v>327991</v>
      </c>
      <c r="H1398" s="26" t="s">
        <v>3230</v>
      </c>
      <c r="I1398" s="233" t="s">
        <v>29</v>
      </c>
      <c r="J1398" s="25">
        <v>881603</v>
      </c>
      <c r="K1398" s="40">
        <v>45092</v>
      </c>
      <c r="L1398" s="40">
        <v>45093</v>
      </c>
      <c r="M1398" s="40">
        <v>45093</v>
      </c>
      <c r="N1398" s="37">
        <v>327991</v>
      </c>
      <c r="O1398" s="37">
        <v>0</v>
      </c>
      <c r="P1398" s="10"/>
      <c r="Q1398" s="10"/>
      <c r="R1398" s="10"/>
      <c r="S1398" s="10"/>
      <c r="T1398" s="10"/>
      <c r="U1398" s="10"/>
      <c r="V1398" s="10"/>
      <c r="W1398" s="10"/>
      <c r="X1398" s="10"/>
      <c r="Y1398" s="10"/>
      <c r="Z1398" s="10"/>
    </row>
    <row r="1399" spans="1:26" ht="14.25" customHeight="1">
      <c r="A1399" s="9">
        <v>1560</v>
      </c>
      <c r="B1399" s="10"/>
      <c r="C1399" s="21">
        <v>230774</v>
      </c>
      <c r="D1399" s="22" t="s">
        <v>793</v>
      </c>
      <c r="E1399" s="23">
        <v>45024</v>
      </c>
      <c r="F1399" s="24">
        <v>45017</v>
      </c>
      <c r="G1399" s="25">
        <v>553612</v>
      </c>
      <c r="H1399" s="26" t="s">
        <v>3231</v>
      </c>
      <c r="I1399" s="34" t="s">
        <v>29</v>
      </c>
      <c r="J1399" s="25"/>
      <c r="K1399" s="40"/>
      <c r="L1399" s="40"/>
      <c r="M1399" s="40">
        <v>45093</v>
      </c>
      <c r="N1399" s="37">
        <v>553612</v>
      </c>
      <c r="O1399" s="37"/>
      <c r="P1399" s="10"/>
      <c r="Q1399" s="10"/>
      <c r="R1399" s="10"/>
      <c r="S1399" s="10"/>
      <c r="T1399" s="10"/>
      <c r="U1399" s="10"/>
      <c r="V1399" s="10"/>
      <c r="W1399" s="10"/>
      <c r="X1399" s="10"/>
      <c r="Y1399" s="10"/>
      <c r="Z1399" s="10"/>
    </row>
    <row r="1400" spans="1:26" ht="14.25" customHeight="1">
      <c r="A1400" s="9">
        <v>1561</v>
      </c>
      <c r="B1400" s="10"/>
      <c r="C1400" s="53">
        <v>230774</v>
      </c>
      <c r="D1400" s="54" t="s">
        <v>793</v>
      </c>
      <c r="E1400" s="55">
        <v>45024</v>
      </c>
      <c r="F1400" s="56">
        <v>45017</v>
      </c>
      <c r="G1400" s="57">
        <v>553612</v>
      </c>
      <c r="H1400" s="58" t="s">
        <v>3231</v>
      </c>
      <c r="I1400" s="235" t="s">
        <v>29</v>
      </c>
      <c r="J1400" s="57">
        <v>553612</v>
      </c>
      <c r="K1400" s="61">
        <v>45102</v>
      </c>
      <c r="L1400" s="61">
        <v>45105</v>
      </c>
      <c r="M1400" s="61">
        <v>45106</v>
      </c>
      <c r="N1400" s="62">
        <v>553612</v>
      </c>
      <c r="O1400" s="37">
        <v>0</v>
      </c>
      <c r="P1400" s="10"/>
      <c r="Q1400" s="10"/>
      <c r="R1400" s="10"/>
      <c r="S1400" s="10"/>
      <c r="T1400" s="10"/>
      <c r="U1400" s="10"/>
      <c r="V1400" s="10"/>
      <c r="W1400" s="10"/>
      <c r="X1400" s="10"/>
      <c r="Y1400" s="10"/>
      <c r="Z1400" s="10"/>
    </row>
    <row r="1401" spans="1:26" ht="14.25" customHeight="1">
      <c r="A1401" s="9">
        <v>1566</v>
      </c>
      <c r="B1401" s="10"/>
      <c r="C1401" s="21">
        <v>230944</v>
      </c>
      <c r="D1401" s="22" t="s">
        <v>3232</v>
      </c>
      <c r="E1401" s="23">
        <v>45054</v>
      </c>
      <c r="F1401" s="24">
        <v>45047</v>
      </c>
      <c r="G1401" s="25">
        <v>2446440</v>
      </c>
      <c r="H1401" s="26" t="s">
        <v>3233</v>
      </c>
      <c r="I1401" s="233" t="s">
        <v>29</v>
      </c>
      <c r="J1401" s="35">
        <v>2446440</v>
      </c>
      <c r="K1401" s="36">
        <v>45174</v>
      </c>
      <c r="L1401" s="36">
        <v>45174</v>
      </c>
      <c r="M1401" s="36">
        <v>45174</v>
      </c>
      <c r="N1401" s="51">
        <v>2446440</v>
      </c>
      <c r="O1401" s="37">
        <v>0</v>
      </c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  <c r="Z1401" s="10"/>
    </row>
    <row r="1402" spans="1:26" ht="14.25" customHeight="1">
      <c r="A1402" s="9">
        <v>1571</v>
      </c>
      <c r="B1402" s="10"/>
      <c r="C1402" s="21">
        <v>230340</v>
      </c>
      <c r="D1402" s="22" t="s">
        <v>811</v>
      </c>
      <c r="E1402" s="23">
        <v>44973</v>
      </c>
      <c r="F1402" s="24">
        <v>44958</v>
      </c>
      <c r="G1402" s="25">
        <v>499999</v>
      </c>
      <c r="H1402" s="26" t="s">
        <v>3234</v>
      </c>
      <c r="I1402" s="34" t="s">
        <v>29</v>
      </c>
      <c r="J1402" s="25">
        <v>14947038</v>
      </c>
      <c r="K1402" s="40">
        <v>45044</v>
      </c>
      <c r="L1402" s="40">
        <v>45044</v>
      </c>
      <c r="M1402" s="40">
        <v>45045</v>
      </c>
      <c r="N1402" s="37">
        <v>499999</v>
      </c>
      <c r="O1402" s="37">
        <v>0</v>
      </c>
      <c r="P1402" s="10"/>
      <c r="Q1402" s="10"/>
      <c r="R1402" s="10"/>
      <c r="S1402" s="10"/>
      <c r="T1402" s="10"/>
      <c r="U1402" s="10"/>
      <c r="V1402" s="10"/>
      <c r="W1402" s="10"/>
      <c r="X1402" s="10"/>
      <c r="Y1402" s="10"/>
      <c r="Z1402" s="10"/>
    </row>
    <row r="1403" spans="1:26" ht="14.25" customHeight="1">
      <c r="A1403" s="9">
        <v>1574</v>
      </c>
      <c r="B1403" s="10"/>
      <c r="C1403" s="21">
        <v>230380</v>
      </c>
      <c r="D1403" s="22" t="s">
        <v>811</v>
      </c>
      <c r="E1403" s="23">
        <v>44974</v>
      </c>
      <c r="F1403" s="24">
        <v>44958</v>
      </c>
      <c r="G1403" s="25">
        <v>109002</v>
      </c>
      <c r="H1403" s="26" t="s">
        <v>3235</v>
      </c>
      <c r="I1403" s="34" t="s">
        <v>29</v>
      </c>
      <c r="J1403" s="10"/>
      <c r="K1403" s="39"/>
      <c r="L1403" s="40">
        <v>45044</v>
      </c>
      <c r="M1403" s="40">
        <v>45045</v>
      </c>
      <c r="N1403" s="37">
        <v>109002</v>
      </c>
      <c r="O1403" s="37">
        <v>0</v>
      </c>
      <c r="P1403" s="10"/>
      <c r="Q1403" s="10"/>
      <c r="R1403" s="10"/>
      <c r="S1403" s="10"/>
      <c r="T1403" s="10"/>
      <c r="U1403" s="10"/>
      <c r="V1403" s="10"/>
      <c r="W1403" s="10"/>
      <c r="X1403" s="10"/>
      <c r="Y1403" s="10"/>
      <c r="Z1403" s="10"/>
    </row>
    <row r="1404" spans="1:26" ht="14.25" customHeight="1">
      <c r="A1404" s="9">
        <v>1575</v>
      </c>
      <c r="B1404" s="10"/>
      <c r="C1404" s="21">
        <v>230381</v>
      </c>
      <c r="D1404" s="22" t="s">
        <v>811</v>
      </c>
      <c r="E1404" s="23">
        <v>44974</v>
      </c>
      <c r="F1404" s="24">
        <v>44958</v>
      </c>
      <c r="G1404" s="25">
        <v>2797200</v>
      </c>
      <c r="H1404" s="26" t="s">
        <v>3236</v>
      </c>
      <c r="I1404" s="34" t="s">
        <v>29</v>
      </c>
      <c r="J1404" s="10"/>
      <c r="K1404" s="39"/>
      <c r="L1404" s="40">
        <v>45044</v>
      </c>
      <c r="M1404" s="40">
        <v>45045</v>
      </c>
      <c r="N1404" s="37">
        <v>2797200</v>
      </c>
      <c r="O1404" s="37">
        <v>0</v>
      </c>
      <c r="P1404" s="10"/>
      <c r="Q1404" s="10"/>
      <c r="R1404" s="10"/>
      <c r="S1404" s="10"/>
      <c r="T1404" s="10"/>
      <c r="U1404" s="10"/>
      <c r="V1404" s="10"/>
      <c r="W1404" s="10"/>
      <c r="X1404" s="10"/>
      <c r="Y1404" s="10"/>
      <c r="Z1404" s="10"/>
    </row>
    <row r="1405" spans="1:26" ht="14.25" customHeight="1">
      <c r="A1405" s="9">
        <v>1576</v>
      </c>
      <c r="B1405" s="10"/>
      <c r="C1405" s="21">
        <v>230382</v>
      </c>
      <c r="D1405" s="22" t="s">
        <v>811</v>
      </c>
      <c r="E1405" s="23">
        <v>44974</v>
      </c>
      <c r="F1405" s="24">
        <v>44958</v>
      </c>
      <c r="G1405" s="25">
        <v>351892</v>
      </c>
      <c r="H1405" s="26" t="s">
        <v>3237</v>
      </c>
      <c r="I1405" s="34" t="s">
        <v>29</v>
      </c>
      <c r="J1405" s="10"/>
      <c r="K1405" s="39"/>
      <c r="L1405" s="40">
        <v>45044</v>
      </c>
      <c r="M1405" s="40">
        <v>45045</v>
      </c>
      <c r="N1405" s="37">
        <v>351892</v>
      </c>
      <c r="O1405" s="37">
        <v>0</v>
      </c>
      <c r="P1405" s="10"/>
      <c r="Q1405" s="10"/>
      <c r="R1405" s="10"/>
      <c r="S1405" s="10"/>
      <c r="T1405" s="10"/>
      <c r="U1405" s="10"/>
      <c r="V1405" s="10"/>
      <c r="W1405" s="10"/>
      <c r="X1405" s="10"/>
      <c r="Y1405" s="10"/>
      <c r="Z1405" s="10"/>
    </row>
    <row r="1406" spans="1:26" ht="14.25" customHeight="1">
      <c r="A1406" s="9">
        <v>1573</v>
      </c>
      <c r="B1406" s="10"/>
      <c r="C1406" s="21">
        <v>230422</v>
      </c>
      <c r="D1406" s="22" t="s">
        <v>811</v>
      </c>
      <c r="E1406" s="23">
        <v>44980</v>
      </c>
      <c r="F1406" s="24">
        <v>44958</v>
      </c>
      <c r="G1406" s="25">
        <v>233100</v>
      </c>
      <c r="H1406" s="26" t="s">
        <v>3238</v>
      </c>
      <c r="I1406" s="34" t="s">
        <v>29</v>
      </c>
      <c r="J1406" s="10"/>
      <c r="K1406" s="39"/>
      <c r="L1406" s="40">
        <v>45044</v>
      </c>
      <c r="M1406" s="40">
        <v>45045</v>
      </c>
      <c r="N1406" s="37">
        <v>233100</v>
      </c>
      <c r="O1406" s="37">
        <v>0</v>
      </c>
      <c r="P1406" s="10"/>
      <c r="Q1406" s="10"/>
      <c r="R1406" s="10"/>
      <c r="S1406" s="10"/>
      <c r="T1406" s="10"/>
      <c r="U1406" s="10"/>
      <c r="V1406" s="10"/>
      <c r="W1406" s="10"/>
      <c r="X1406" s="10"/>
      <c r="Y1406" s="10"/>
      <c r="Z1406" s="10"/>
    </row>
    <row r="1407" spans="1:26" ht="14.25" customHeight="1">
      <c r="A1407" s="9">
        <v>1572</v>
      </c>
      <c r="B1407" s="10"/>
      <c r="C1407" s="21">
        <v>230423</v>
      </c>
      <c r="D1407" s="22" t="s">
        <v>811</v>
      </c>
      <c r="E1407" s="23">
        <v>44980</v>
      </c>
      <c r="F1407" s="24">
        <v>44958</v>
      </c>
      <c r="G1407" s="25">
        <v>829780</v>
      </c>
      <c r="H1407" s="26" t="s">
        <v>3239</v>
      </c>
      <c r="I1407" s="34" t="s">
        <v>29</v>
      </c>
      <c r="J1407" s="10"/>
      <c r="K1407" s="39"/>
      <c r="L1407" s="40">
        <v>45044</v>
      </c>
      <c r="M1407" s="40">
        <v>45045</v>
      </c>
      <c r="N1407" s="37">
        <v>829780</v>
      </c>
      <c r="O1407" s="37">
        <v>0</v>
      </c>
      <c r="P1407" s="10"/>
      <c r="Q1407" s="10"/>
      <c r="R1407" s="10"/>
      <c r="S1407" s="10"/>
      <c r="T1407" s="10"/>
      <c r="U1407" s="10"/>
      <c r="V1407" s="10"/>
      <c r="W1407" s="10"/>
      <c r="X1407" s="10"/>
      <c r="Y1407" s="10"/>
      <c r="Z1407" s="10"/>
    </row>
    <row r="1408" spans="1:26" ht="14.25" customHeight="1">
      <c r="A1408" s="9">
        <v>1578</v>
      </c>
      <c r="B1408" s="10"/>
      <c r="C1408" s="21">
        <v>230494</v>
      </c>
      <c r="D1408" s="22" t="s">
        <v>811</v>
      </c>
      <c r="E1408" s="23">
        <v>44985</v>
      </c>
      <c r="F1408" s="24">
        <v>44958</v>
      </c>
      <c r="G1408" s="25">
        <v>1746585</v>
      </c>
      <c r="H1408" s="26" t="s">
        <v>3240</v>
      </c>
      <c r="I1408" s="34" t="s">
        <v>29</v>
      </c>
      <c r="J1408" s="10"/>
      <c r="K1408" s="39"/>
      <c r="L1408" s="40">
        <v>45044</v>
      </c>
      <c r="M1408" s="40">
        <v>45045</v>
      </c>
      <c r="N1408" s="37">
        <v>1746585</v>
      </c>
      <c r="O1408" s="37">
        <v>0</v>
      </c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  <c r="Z1408" s="10"/>
    </row>
    <row r="1409" spans="1:26" ht="14.25" customHeight="1">
      <c r="A1409" s="9">
        <v>1577</v>
      </c>
      <c r="B1409" s="10"/>
      <c r="C1409" s="21">
        <v>230497</v>
      </c>
      <c r="D1409" s="22" t="s">
        <v>811</v>
      </c>
      <c r="E1409" s="23">
        <v>44985</v>
      </c>
      <c r="F1409" s="24">
        <v>44958</v>
      </c>
      <c r="G1409" s="25">
        <v>1204774</v>
      </c>
      <c r="H1409" s="26" t="s">
        <v>3241</v>
      </c>
      <c r="I1409" s="34" t="s">
        <v>29</v>
      </c>
      <c r="J1409" s="10"/>
      <c r="K1409" s="39"/>
      <c r="L1409" s="40">
        <v>45044</v>
      </c>
      <c r="M1409" s="40">
        <v>45045</v>
      </c>
      <c r="N1409" s="37">
        <v>1204774</v>
      </c>
      <c r="O1409" s="37">
        <v>0</v>
      </c>
      <c r="P1409" s="10"/>
      <c r="Q1409" s="10"/>
      <c r="R1409" s="10"/>
      <c r="S1409" s="10"/>
      <c r="T1409" s="10"/>
      <c r="U1409" s="10"/>
      <c r="V1409" s="10"/>
      <c r="W1409" s="10"/>
      <c r="X1409" s="10"/>
      <c r="Y1409" s="10"/>
      <c r="Z1409" s="10"/>
    </row>
    <row r="1410" spans="1:26" ht="14.25" customHeight="1">
      <c r="A1410" s="9">
        <v>1580</v>
      </c>
      <c r="B1410" s="10"/>
      <c r="C1410" s="21">
        <v>230495</v>
      </c>
      <c r="D1410" s="22" t="s">
        <v>811</v>
      </c>
      <c r="E1410" s="23">
        <v>44988</v>
      </c>
      <c r="F1410" s="24">
        <v>44986</v>
      </c>
      <c r="G1410" s="25">
        <v>272019</v>
      </c>
      <c r="H1410" s="26" t="s">
        <v>3242</v>
      </c>
      <c r="I1410" s="34" t="s">
        <v>29</v>
      </c>
      <c r="J1410" s="10"/>
      <c r="K1410" s="39"/>
      <c r="L1410" s="40">
        <v>45044</v>
      </c>
      <c r="M1410" s="40">
        <v>45045</v>
      </c>
      <c r="N1410" s="37">
        <v>272019</v>
      </c>
      <c r="O1410" s="37">
        <v>0</v>
      </c>
      <c r="P1410" s="10"/>
      <c r="Q1410" s="10"/>
      <c r="R1410" s="10"/>
      <c r="S1410" s="10"/>
      <c r="T1410" s="10"/>
      <c r="U1410" s="10"/>
      <c r="V1410" s="10"/>
      <c r="W1410" s="10"/>
      <c r="X1410" s="10"/>
      <c r="Y1410" s="10"/>
      <c r="Z1410" s="10"/>
    </row>
    <row r="1411" spans="1:26" ht="14.25" customHeight="1">
      <c r="A1411" s="9">
        <v>1581</v>
      </c>
      <c r="B1411" s="10"/>
      <c r="C1411" s="21">
        <v>230496</v>
      </c>
      <c r="D1411" s="22" t="s">
        <v>811</v>
      </c>
      <c r="E1411" s="23">
        <v>44988</v>
      </c>
      <c r="F1411" s="24">
        <v>44986</v>
      </c>
      <c r="G1411" s="25">
        <v>388500</v>
      </c>
      <c r="H1411" s="26" t="s">
        <v>3243</v>
      </c>
      <c r="I1411" s="34" t="s">
        <v>29</v>
      </c>
      <c r="J1411" s="10"/>
      <c r="K1411" s="39"/>
      <c r="L1411" s="40">
        <v>45044</v>
      </c>
      <c r="M1411" s="40">
        <v>45045</v>
      </c>
      <c r="N1411" s="37">
        <v>388500</v>
      </c>
      <c r="O1411" s="37">
        <v>0</v>
      </c>
      <c r="P1411" s="10"/>
      <c r="Q1411" s="10"/>
      <c r="R1411" s="10"/>
      <c r="S1411" s="10"/>
      <c r="T1411" s="10"/>
      <c r="U1411" s="10"/>
      <c r="V1411" s="10"/>
      <c r="W1411" s="10"/>
      <c r="X1411" s="10"/>
      <c r="Y1411" s="10"/>
      <c r="Z1411" s="10"/>
    </row>
    <row r="1412" spans="1:26" ht="14.25" customHeight="1">
      <c r="A1412" s="9">
        <v>1585</v>
      </c>
      <c r="B1412" s="10"/>
      <c r="C1412" s="21">
        <v>230531</v>
      </c>
      <c r="D1412" s="22" t="s">
        <v>811</v>
      </c>
      <c r="E1412" s="23">
        <v>44993</v>
      </c>
      <c r="F1412" s="24">
        <v>44986</v>
      </c>
      <c r="G1412" s="25">
        <v>8543790</v>
      </c>
      <c r="H1412" s="26" t="s">
        <v>3244</v>
      </c>
      <c r="I1412" s="34" t="s">
        <v>29</v>
      </c>
      <c r="J1412" s="25">
        <v>21166430</v>
      </c>
      <c r="K1412" s="40">
        <v>45071</v>
      </c>
      <c r="L1412" s="40">
        <v>45071</v>
      </c>
      <c r="M1412" s="40">
        <v>45072</v>
      </c>
      <c r="N1412" s="37">
        <v>8543790</v>
      </c>
      <c r="O1412" s="37">
        <v>0</v>
      </c>
      <c r="P1412" s="10"/>
      <c r="Q1412" s="10"/>
      <c r="R1412" s="10"/>
      <c r="S1412" s="10"/>
      <c r="T1412" s="10"/>
      <c r="U1412" s="10"/>
      <c r="V1412" s="10"/>
      <c r="W1412" s="10"/>
      <c r="X1412" s="10"/>
      <c r="Y1412" s="10"/>
      <c r="Z1412" s="10"/>
    </row>
    <row r="1413" spans="1:26" ht="14.25" customHeight="1">
      <c r="A1413" s="9">
        <v>1579</v>
      </c>
      <c r="B1413" s="10"/>
      <c r="C1413" s="21">
        <v>230550</v>
      </c>
      <c r="D1413" s="22" t="s">
        <v>811</v>
      </c>
      <c r="E1413" s="23">
        <v>44995</v>
      </c>
      <c r="F1413" s="24">
        <v>44986</v>
      </c>
      <c r="G1413" s="25">
        <v>3180000</v>
      </c>
      <c r="H1413" s="26" t="s">
        <v>3245</v>
      </c>
      <c r="I1413" s="34" t="s">
        <v>29</v>
      </c>
      <c r="J1413" s="10"/>
      <c r="K1413" s="39"/>
      <c r="L1413" s="40">
        <v>45044</v>
      </c>
      <c r="M1413" s="40">
        <v>45045</v>
      </c>
      <c r="N1413" s="37">
        <v>3180000</v>
      </c>
      <c r="O1413" s="37">
        <v>0</v>
      </c>
      <c r="P1413" s="10"/>
      <c r="Q1413" s="10"/>
      <c r="R1413" s="10"/>
      <c r="S1413" s="10"/>
      <c r="T1413" s="10"/>
      <c r="U1413" s="10"/>
      <c r="V1413" s="10"/>
      <c r="W1413" s="10"/>
      <c r="X1413" s="10"/>
      <c r="Y1413" s="10"/>
      <c r="Z1413" s="10"/>
    </row>
    <row r="1414" spans="1:26" ht="14.25" customHeight="1">
      <c r="A1414" s="9">
        <v>1584</v>
      </c>
      <c r="B1414" s="10"/>
      <c r="C1414" s="21">
        <v>230560</v>
      </c>
      <c r="D1414" s="22" t="s">
        <v>811</v>
      </c>
      <c r="E1414" s="23">
        <v>44998</v>
      </c>
      <c r="F1414" s="24">
        <v>44986</v>
      </c>
      <c r="G1414" s="25">
        <v>1659450</v>
      </c>
      <c r="H1414" s="26" t="s">
        <v>3246</v>
      </c>
      <c r="I1414" s="34" t="s">
        <v>29</v>
      </c>
      <c r="J1414" s="10"/>
      <c r="K1414" s="39"/>
      <c r="L1414" s="40">
        <v>45044</v>
      </c>
      <c r="M1414" s="40">
        <v>45045</v>
      </c>
      <c r="N1414" s="37">
        <v>1659450</v>
      </c>
      <c r="O1414" s="37">
        <v>0</v>
      </c>
      <c r="P1414" s="10"/>
      <c r="Q1414" s="10"/>
      <c r="R1414" s="10"/>
      <c r="S1414" s="10"/>
      <c r="T1414" s="10"/>
      <c r="U1414" s="10"/>
      <c r="V1414" s="10"/>
      <c r="W1414" s="10"/>
      <c r="X1414" s="10"/>
      <c r="Y1414" s="10"/>
      <c r="Z1414" s="10"/>
    </row>
    <row r="1415" spans="1:26" ht="14.25" customHeight="1">
      <c r="A1415" s="9">
        <v>1582</v>
      </c>
      <c r="B1415" s="10"/>
      <c r="C1415" s="21">
        <v>230561</v>
      </c>
      <c r="D1415" s="22" t="s">
        <v>811</v>
      </c>
      <c r="E1415" s="23">
        <v>44998</v>
      </c>
      <c r="F1415" s="24">
        <v>44986</v>
      </c>
      <c r="G1415" s="25">
        <v>1099466</v>
      </c>
      <c r="H1415" s="26" t="s">
        <v>3247</v>
      </c>
      <c r="I1415" s="34" t="s">
        <v>29</v>
      </c>
      <c r="J1415" s="10"/>
      <c r="K1415" s="39"/>
      <c r="L1415" s="40">
        <v>45044</v>
      </c>
      <c r="M1415" s="40">
        <v>45045</v>
      </c>
      <c r="N1415" s="37">
        <v>1099466</v>
      </c>
      <c r="O1415" s="37">
        <v>0</v>
      </c>
      <c r="P1415" s="10"/>
      <c r="Q1415" s="10"/>
      <c r="R1415" s="10"/>
      <c r="S1415" s="10"/>
      <c r="T1415" s="10"/>
      <c r="U1415" s="10"/>
      <c r="V1415" s="10"/>
      <c r="W1415" s="10"/>
      <c r="X1415" s="10"/>
      <c r="Y1415" s="10"/>
      <c r="Z1415" s="10"/>
    </row>
    <row r="1416" spans="1:26" ht="14.25" customHeight="1">
      <c r="A1416" s="9">
        <v>1583</v>
      </c>
      <c r="B1416" s="10"/>
      <c r="C1416" s="21">
        <v>230562</v>
      </c>
      <c r="D1416" s="22" t="s">
        <v>811</v>
      </c>
      <c r="E1416" s="23">
        <v>44998</v>
      </c>
      <c r="F1416" s="24">
        <v>44986</v>
      </c>
      <c r="G1416" s="25">
        <v>575271</v>
      </c>
      <c r="H1416" s="26" t="s">
        <v>3248</v>
      </c>
      <c r="I1416" s="34" t="s">
        <v>29</v>
      </c>
      <c r="J1416" s="10"/>
      <c r="K1416" s="39"/>
      <c r="L1416" s="40">
        <v>45044</v>
      </c>
      <c r="M1416" s="40">
        <v>45045</v>
      </c>
      <c r="N1416" s="37">
        <v>575271</v>
      </c>
      <c r="O1416" s="37">
        <v>0</v>
      </c>
      <c r="P1416" s="10"/>
      <c r="Q1416" s="10"/>
      <c r="R1416" s="10"/>
      <c r="S1416" s="10"/>
      <c r="T1416" s="10"/>
      <c r="U1416" s="10"/>
      <c r="V1416" s="10"/>
      <c r="W1416" s="10"/>
      <c r="X1416" s="10"/>
      <c r="Y1416" s="10"/>
      <c r="Z1416" s="10"/>
    </row>
    <row r="1417" spans="1:26" ht="14.25" customHeight="1">
      <c r="A1417" s="9">
        <v>1586</v>
      </c>
      <c r="B1417" s="10"/>
      <c r="C1417" s="21">
        <v>230563</v>
      </c>
      <c r="D1417" s="22" t="s">
        <v>811</v>
      </c>
      <c r="E1417" s="23">
        <v>44999</v>
      </c>
      <c r="F1417" s="24">
        <v>44986</v>
      </c>
      <c r="G1417" s="25">
        <v>163943</v>
      </c>
      <c r="H1417" s="26" t="s">
        <v>3249</v>
      </c>
      <c r="I1417" s="34" t="s">
        <v>29</v>
      </c>
      <c r="J1417" s="10"/>
      <c r="K1417" s="39"/>
      <c r="L1417" s="40">
        <v>45071</v>
      </c>
      <c r="M1417" s="40">
        <v>45072</v>
      </c>
      <c r="N1417" s="37">
        <v>163943</v>
      </c>
      <c r="O1417" s="37">
        <v>0</v>
      </c>
      <c r="P1417" s="10"/>
      <c r="Q1417" s="10"/>
      <c r="R1417" s="10"/>
      <c r="S1417" s="10"/>
      <c r="T1417" s="10"/>
      <c r="U1417" s="10"/>
      <c r="V1417" s="10"/>
      <c r="W1417" s="10"/>
      <c r="X1417" s="10"/>
      <c r="Y1417" s="10"/>
      <c r="Z1417" s="10"/>
    </row>
    <row r="1418" spans="1:26" ht="14.25" customHeight="1">
      <c r="A1418" s="9">
        <v>1587</v>
      </c>
      <c r="B1418" s="10"/>
      <c r="C1418" s="21">
        <v>230591</v>
      </c>
      <c r="D1418" s="22" t="s">
        <v>811</v>
      </c>
      <c r="E1418" s="23">
        <v>45001</v>
      </c>
      <c r="F1418" s="24">
        <v>44986</v>
      </c>
      <c r="G1418" s="25">
        <v>1665000</v>
      </c>
      <c r="H1418" s="26" t="s">
        <v>3250</v>
      </c>
      <c r="I1418" s="34" t="s">
        <v>29</v>
      </c>
      <c r="J1418" s="10"/>
      <c r="K1418" s="39"/>
      <c r="L1418" s="40">
        <v>45071</v>
      </c>
      <c r="M1418" s="40">
        <v>45072</v>
      </c>
      <c r="N1418" s="37">
        <v>1665000</v>
      </c>
      <c r="O1418" s="37">
        <v>0</v>
      </c>
      <c r="P1418" s="10"/>
      <c r="Q1418" s="10"/>
      <c r="R1418" s="10"/>
      <c r="S1418" s="10"/>
      <c r="T1418" s="10"/>
      <c r="U1418" s="10"/>
      <c r="V1418" s="10"/>
      <c r="W1418" s="10"/>
      <c r="X1418" s="10"/>
      <c r="Y1418" s="10"/>
      <c r="Z1418" s="10"/>
    </row>
    <row r="1419" spans="1:26" ht="14.25" customHeight="1">
      <c r="A1419" s="9">
        <v>1588</v>
      </c>
      <c r="B1419" s="10"/>
      <c r="C1419" s="21">
        <v>230676</v>
      </c>
      <c r="D1419" s="22" t="s">
        <v>811</v>
      </c>
      <c r="E1419" s="23">
        <v>45013</v>
      </c>
      <c r="F1419" s="24">
        <v>44986</v>
      </c>
      <c r="G1419" s="25">
        <v>782001</v>
      </c>
      <c r="H1419" s="26" t="s">
        <v>3251</v>
      </c>
      <c r="I1419" s="34" t="s">
        <v>29</v>
      </c>
      <c r="J1419" s="10"/>
      <c r="K1419" s="39"/>
      <c r="L1419" s="40">
        <v>45071</v>
      </c>
      <c r="M1419" s="40">
        <v>45072</v>
      </c>
      <c r="N1419" s="37">
        <v>782001</v>
      </c>
      <c r="O1419" s="37">
        <v>0</v>
      </c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</row>
    <row r="1420" spans="1:26" ht="14.25" customHeight="1">
      <c r="A1420" s="9">
        <v>1589</v>
      </c>
      <c r="B1420" s="10"/>
      <c r="C1420" s="21">
        <v>230677</v>
      </c>
      <c r="D1420" s="22" t="s">
        <v>811</v>
      </c>
      <c r="E1420" s="23">
        <v>45013</v>
      </c>
      <c r="F1420" s="24">
        <v>44986</v>
      </c>
      <c r="G1420" s="25">
        <v>38519</v>
      </c>
      <c r="H1420" s="26" t="s">
        <v>3252</v>
      </c>
      <c r="I1420" s="34" t="s">
        <v>29</v>
      </c>
      <c r="J1420" s="10"/>
      <c r="K1420" s="39"/>
      <c r="L1420" s="40">
        <v>45071</v>
      </c>
      <c r="M1420" s="40">
        <v>45072</v>
      </c>
      <c r="N1420" s="37">
        <v>38519</v>
      </c>
      <c r="O1420" s="37">
        <v>0</v>
      </c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</row>
    <row r="1421" spans="1:26" ht="14.25" customHeight="1">
      <c r="A1421" s="9">
        <v>1590</v>
      </c>
      <c r="B1421" s="10"/>
      <c r="C1421" s="21">
        <v>230678</v>
      </c>
      <c r="D1421" s="22" t="s">
        <v>811</v>
      </c>
      <c r="E1421" s="23">
        <v>45013</v>
      </c>
      <c r="F1421" s="24">
        <v>44986</v>
      </c>
      <c r="G1421" s="25">
        <v>2672991</v>
      </c>
      <c r="H1421" s="26" t="s">
        <v>3253</v>
      </c>
      <c r="I1421" s="34" t="s">
        <v>29</v>
      </c>
      <c r="J1421" s="10"/>
      <c r="K1421" s="39"/>
      <c r="L1421" s="40">
        <v>45071</v>
      </c>
      <c r="M1421" s="40">
        <v>45072</v>
      </c>
      <c r="N1421" s="37">
        <v>2672991</v>
      </c>
      <c r="O1421" s="37">
        <v>0</v>
      </c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</row>
    <row r="1422" spans="1:26" ht="14.25" customHeight="1">
      <c r="A1422" s="9">
        <v>1593</v>
      </c>
      <c r="B1422" s="10"/>
      <c r="C1422" s="21">
        <v>230696</v>
      </c>
      <c r="D1422" s="22" t="s">
        <v>811</v>
      </c>
      <c r="E1422" s="23">
        <v>45014</v>
      </c>
      <c r="F1422" s="24">
        <v>44986</v>
      </c>
      <c r="G1422" s="25">
        <v>1581849</v>
      </c>
      <c r="H1422" s="26" t="s">
        <v>2246</v>
      </c>
      <c r="I1422" s="34" t="s">
        <v>29</v>
      </c>
      <c r="J1422" s="10"/>
      <c r="K1422" s="39"/>
      <c r="L1422" s="40">
        <v>45071</v>
      </c>
      <c r="M1422" s="40">
        <v>45072</v>
      </c>
      <c r="N1422" s="37">
        <v>1581849</v>
      </c>
      <c r="O1422" s="37">
        <v>0</v>
      </c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</row>
    <row r="1423" spans="1:26" ht="14.25" customHeight="1">
      <c r="A1423" s="9">
        <v>1592</v>
      </c>
      <c r="B1423" s="10"/>
      <c r="C1423" s="21">
        <v>230697</v>
      </c>
      <c r="D1423" s="22" t="s">
        <v>811</v>
      </c>
      <c r="E1423" s="23">
        <v>45014</v>
      </c>
      <c r="F1423" s="24">
        <v>44986</v>
      </c>
      <c r="G1423" s="25">
        <v>98999</v>
      </c>
      <c r="H1423" s="26" t="s">
        <v>3254</v>
      </c>
      <c r="I1423" s="34" t="s">
        <v>29</v>
      </c>
      <c r="J1423" s="10"/>
      <c r="K1423" s="39"/>
      <c r="L1423" s="40">
        <v>45071</v>
      </c>
      <c r="M1423" s="40">
        <v>45072</v>
      </c>
      <c r="N1423" s="37">
        <v>98999</v>
      </c>
      <c r="O1423" s="37">
        <v>0</v>
      </c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</row>
    <row r="1424" spans="1:26" ht="14.25" customHeight="1">
      <c r="A1424" s="9">
        <v>1591</v>
      </c>
      <c r="B1424" s="10"/>
      <c r="C1424" s="21">
        <v>230698</v>
      </c>
      <c r="D1424" s="22" t="s">
        <v>811</v>
      </c>
      <c r="E1424" s="23">
        <v>45014</v>
      </c>
      <c r="F1424" s="24">
        <v>44986</v>
      </c>
      <c r="G1424" s="25">
        <v>1629998</v>
      </c>
      <c r="H1424" s="26" t="s">
        <v>3255</v>
      </c>
      <c r="I1424" s="34" t="s">
        <v>29</v>
      </c>
      <c r="J1424" s="10"/>
      <c r="K1424" s="39"/>
      <c r="L1424" s="40">
        <v>45071</v>
      </c>
      <c r="M1424" s="40">
        <v>45072</v>
      </c>
      <c r="N1424" s="37">
        <v>1629998</v>
      </c>
      <c r="O1424" s="37">
        <v>0</v>
      </c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</row>
    <row r="1425" spans="1:26" ht="14.25" customHeight="1">
      <c r="A1425" s="9">
        <v>1594</v>
      </c>
      <c r="B1425" s="10"/>
      <c r="C1425" s="21">
        <v>230762</v>
      </c>
      <c r="D1425" s="22" t="s">
        <v>811</v>
      </c>
      <c r="E1425" s="23">
        <v>45016</v>
      </c>
      <c r="F1425" s="24">
        <v>44986</v>
      </c>
      <c r="G1425" s="25">
        <v>3496500</v>
      </c>
      <c r="H1425" s="26" t="s">
        <v>3256</v>
      </c>
      <c r="I1425" s="34" t="s">
        <v>29</v>
      </c>
      <c r="J1425" s="10"/>
      <c r="K1425" s="39"/>
      <c r="L1425" s="40">
        <v>45071</v>
      </c>
      <c r="M1425" s="40">
        <v>45072</v>
      </c>
      <c r="N1425" s="37">
        <v>3496500</v>
      </c>
      <c r="O1425" s="37">
        <v>0</v>
      </c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</row>
    <row r="1426" spans="1:26" ht="14.25" customHeight="1">
      <c r="A1426" s="9">
        <v>1595</v>
      </c>
      <c r="B1426" s="10"/>
      <c r="C1426" s="21">
        <v>230763</v>
      </c>
      <c r="D1426" s="22" t="s">
        <v>811</v>
      </c>
      <c r="E1426" s="23">
        <v>45020</v>
      </c>
      <c r="F1426" s="24">
        <v>45017</v>
      </c>
      <c r="G1426" s="25">
        <v>492840</v>
      </c>
      <c r="H1426" s="26" t="s">
        <v>3257</v>
      </c>
      <c r="I1426" s="34" t="s">
        <v>29</v>
      </c>
      <c r="J1426" s="10"/>
      <c r="K1426" s="39"/>
      <c r="L1426" s="40">
        <v>45071</v>
      </c>
      <c r="M1426" s="40">
        <v>45072</v>
      </c>
      <c r="N1426" s="37">
        <v>492840</v>
      </c>
      <c r="O1426" s="37">
        <v>0</v>
      </c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</row>
    <row r="1427" spans="1:26" ht="14.25" customHeight="1">
      <c r="A1427" s="9">
        <v>1596</v>
      </c>
      <c r="B1427" s="10"/>
      <c r="C1427" s="21">
        <v>230799</v>
      </c>
      <c r="D1427" s="22" t="s">
        <v>811</v>
      </c>
      <c r="E1427" s="23">
        <v>45027</v>
      </c>
      <c r="F1427" s="24">
        <v>45017</v>
      </c>
      <c r="G1427" s="25">
        <v>834800</v>
      </c>
      <c r="H1427" s="26" t="s">
        <v>3258</v>
      </c>
      <c r="I1427" s="233" t="s">
        <v>29</v>
      </c>
      <c r="J1427" s="25">
        <v>15603362</v>
      </c>
      <c r="K1427" s="40">
        <v>45092</v>
      </c>
      <c r="L1427" s="40">
        <v>45093</v>
      </c>
      <c r="M1427" s="40">
        <v>45093</v>
      </c>
      <c r="N1427" s="37">
        <v>834800</v>
      </c>
      <c r="O1427" s="37">
        <v>0</v>
      </c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</row>
    <row r="1428" spans="1:26" ht="14.25" customHeight="1">
      <c r="A1428" s="9">
        <v>1597</v>
      </c>
      <c r="B1428" s="10"/>
      <c r="C1428" s="21">
        <v>230821</v>
      </c>
      <c r="D1428" s="22" t="s">
        <v>811</v>
      </c>
      <c r="E1428" s="23">
        <v>45030</v>
      </c>
      <c r="F1428" s="24">
        <v>45017</v>
      </c>
      <c r="G1428" s="25">
        <v>2160000</v>
      </c>
      <c r="H1428" s="26" t="s">
        <v>3259</v>
      </c>
      <c r="I1428" s="233" t="s">
        <v>29</v>
      </c>
      <c r="J1428" s="10"/>
      <c r="K1428" s="39"/>
      <c r="L1428" s="40">
        <v>45093</v>
      </c>
      <c r="M1428" s="40">
        <v>45093</v>
      </c>
      <c r="N1428" s="37">
        <v>2160000</v>
      </c>
      <c r="O1428" s="37">
        <v>0</v>
      </c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</row>
    <row r="1429" spans="1:26" ht="14.25" customHeight="1">
      <c r="A1429" s="9">
        <v>1598</v>
      </c>
      <c r="B1429" s="10"/>
      <c r="C1429" s="21">
        <v>230835</v>
      </c>
      <c r="D1429" s="22" t="s">
        <v>811</v>
      </c>
      <c r="E1429" s="23">
        <v>45033</v>
      </c>
      <c r="F1429" s="24">
        <v>45017</v>
      </c>
      <c r="G1429" s="25">
        <v>2564100</v>
      </c>
      <c r="H1429" s="26" t="s">
        <v>3260</v>
      </c>
      <c r="I1429" s="233" t="s">
        <v>29</v>
      </c>
      <c r="J1429" s="10"/>
      <c r="K1429" s="39"/>
      <c r="L1429" s="40">
        <v>45093</v>
      </c>
      <c r="M1429" s="40">
        <v>45093</v>
      </c>
      <c r="N1429" s="37">
        <v>2564100</v>
      </c>
      <c r="O1429" s="37">
        <v>0</v>
      </c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</row>
    <row r="1430" spans="1:26" ht="14.25" customHeight="1">
      <c r="A1430" s="9">
        <v>1599</v>
      </c>
      <c r="B1430" s="10"/>
      <c r="C1430" s="21">
        <v>230838</v>
      </c>
      <c r="D1430" s="22" t="s">
        <v>811</v>
      </c>
      <c r="E1430" s="23">
        <v>45034</v>
      </c>
      <c r="F1430" s="24">
        <v>45017</v>
      </c>
      <c r="G1430" s="25">
        <v>242590</v>
      </c>
      <c r="H1430" s="26" t="s">
        <v>3261</v>
      </c>
      <c r="I1430" s="233" t="s">
        <v>29</v>
      </c>
      <c r="J1430" s="10"/>
      <c r="K1430" s="39"/>
      <c r="L1430" s="40">
        <v>45093</v>
      </c>
      <c r="M1430" s="40">
        <v>45093</v>
      </c>
      <c r="N1430" s="37">
        <v>242590</v>
      </c>
      <c r="O1430" s="37">
        <v>0</v>
      </c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</row>
    <row r="1431" spans="1:26" ht="14.25" customHeight="1">
      <c r="A1431" s="9">
        <v>1600</v>
      </c>
      <c r="B1431" s="10"/>
      <c r="C1431" s="21">
        <v>230839</v>
      </c>
      <c r="D1431" s="22" t="s">
        <v>811</v>
      </c>
      <c r="E1431" s="23">
        <v>45034</v>
      </c>
      <c r="F1431" s="24">
        <v>45017</v>
      </c>
      <c r="G1431" s="25">
        <v>472493</v>
      </c>
      <c r="H1431" s="26" t="s">
        <v>3262</v>
      </c>
      <c r="I1431" s="233" t="s">
        <v>29</v>
      </c>
      <c r="J1431" s="10"/>
      <c r="K1431" s="39"/>
      <c r="L1431" s="40">
        <v>45093</v>
      </c>
      <c r="M1431" s="40">
        <v>45093</v>
      </c>
      <c r="N1431" s="37">
        <v>472493</v>
      </c>
      <c r="O1431" s="37">
        <v>0</v>
      </c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</row>
    <row r="1432" spans="1:26" ht="14.25" customHeight="1">
      <c r="A1432" s="9">
        <v>1601</v>
      </c>
      <c r="B1432" s="10"/>
      <c r="C1432" s="21">
        <v>230845</v>
      </c>
      <c r="D1432" s="22" t="s">
        <v>811</v>
      </c>
      <c r="E1432" s="23">
        <v>45034</v>
      </c>
      <c r="F1432" s="24">
        <v>45017</v>
      </c>
      <c r="G1432" s="25">
        <v>53280</v>
      </c>
      <c r="H1432" s="26" t="s">
        <v>3263</v>
      </c>
      <c r="I1432" s="233" t="s">
        <v>29</v>
      </c>
      <c r="J1432" s="10"/>
      <c r="K1432" s="39"/>
      <c r="L1432" s="40">
        <v>45093</v>
      </c>
      <c r="M1432" s="40">
        <v>45093</v>
      </c>
      <c r="N1432" s="37">
        <v>53280</v>
      </c>
      <c r="O1432" s="37">
        <v>0</v>
      </c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</row>
    <row r="1433" spans="1:26" ht="14.25" customHeight="1">
      <c r="A1433" s="9">
        <v>1602</v>
      </c>
      <c r="B1433" s="10"/>
      <c r="C1433" s="21">
        <v>230876</v>
      </c>
      <c r="D1433" s="22" t="s">
        <v>811</v>
      </c>
      <c r="E1433" s="23">
        <v>45043</v>
      </c>
      <c r="F1433" s="24">
        <v>45017</v>
      </c>
      <c r="G1433" s="25">
        <v>570007</v>
      </c>
      <c r="H1433" s="26" t="s">
        <v>3264</v>
      </c>
      <c r="I1433" s="233" t="s">
        <v>29</v>
      </c>
      <c r="J1433" s="10"/>
      <c r="K1433" s="39"/>
      <c r="L1433" s="40">
        <v>45093</v>
      </c>
      <c r="M1433" s="40">
        <v>45093</v>
      </c>
      <c r="N1433" s="37">
        <v>570007</v>
      </c>
      <c r="O1433" s="37">
        <v>0</v>
      </c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</row>
    <row r="1434" spans="1:26" ht="14.25" customHeight="1">
      <c r="A1434" s="9">
        <v>1603</v>
      </c>
      <c r="B1434" s="10"/>
      <c r="C1434" s="21">
        <v>230877</v>
      </c>
      <c r="D1434" s="22" t="s">
        <v>811</v>
      </c>
      <c r="E1434" s="23">
        <v>45043</v>
      </c>
      <c r="F1434" s="24">
        <v>45017</v>
      </c>
      <c r="G1434" s="25">
        <v>1881944</v>
      </c>
      <c r="H1434" s="26" t="s">
        <v>3265</v>
      </c>
      <c r="I1434" s="233" t="s">
        <v>29</v>
      </c>
      <c r="J1434" s="10"/>
      <c r="K1434" s="39"/>
      <c r="L1434" s="40">
        <v>45093</v>
      </c>
      <c r="M1434" s="40">
        <v>45093</v>
      </c>
      <c r="N1434" s="37">
        <v>1881944</v>
      </c>
      <c r="O1434" s="37">
        <v>0</v>
      </c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  <c r="Z1434" s="10"/>
    </row>
    <row r="1435" spans="1:26" ht="14.25" customHeight="1">
      <c r="A1435" s="9">
        <v>1604</v>
      </c>
      <c r="B1435" s="10"/>
      <c r="C1435" s="21">
        <v>230890</v>
      </c>
      <c r="D1435" s="22" t="s">
        <v>811</v>
      </c>
      <c r="E1435" s="23">
        <v>45044</v>
      </c>
      <c r="F1435" s="24">
        <v>45017</v>
      </c>
      <c r="G1435" s="25">
        <v>344319</v>
      </c>
      <c r="H1435" s="26" t="s">
        <v>3266</v>
      </c>
      <c r="I1435" s="233" t="s">
        <v>29</v>
      </c>
      <c r="J1435" s="10"/>
      <c r="K1435" s="39"/>
      <c r="L1435" s="40">
        <v>45093</v>
      </c>
      <c r="M1435" s="40">
        <v>45093</v>
      </c>
      <c r="N1435" s="37">
        <v>344319</v>
      </c>
      <c r="O1435" s="37">
        <v>0</v>
      </c>
      <c r="P1435" s="10"/>
      <c r="Q1435" s="10"/>
      <c r="R1435" s="10"/>
      <c r="S1435" s="10"/>
      <c r="T1435" s="10"/>
      <c r="U1435" s="10"/>
      <c r="V1435" s="10"/>
      <c r="W1435" s="10"/>
      <c r="X1435" s="10"/>
      <c r="Y1435" s="10"/>
      <c r="Z1435" s="10"/>
    </row>
    <row r="1436" spans="1:26" ht="14.25" customHeight="1">
      <c r="A1436" s="9">
        <v>1605</v>
      </c>
      <c r="B1436" s="10"/>
      <c r="C1436" s="21">
        <v>230892</v>
      </c>
      <c r="D1436" s="22" t="s">
        <v>811</v>
      </c>
      <c r="E1436" s="23">
        <v>45044</v>
      </c>
      <c r="F1436" s="24">
        <v>45017</v>
      </c>
      <c r="G1436" s="25">
        <v>956469</v>
      </c>
      <c r="H1436" s="26" t="s">
        <v>3267</v>
      </c>
      <c r="I1436" s="233" t="s">
        <v>29</v>
      </c>
      <c r="J1436" s="10"/>
      <c r="K1436" s="39"/>
      <c r="L1436" s="40">
        <v>45093</v>
      </c>
      <c r="M1436" s="40">
        <v>45093</v>
      </c>
      <c r="N1436" s="37">
        <v>956469</v>
      </c>
      <c r="O1436" s="37">
        <v>0</v>
      </c>
      <c r="P1436" s="10"/>
      <c r="Q1436" s="10"/>
      <c r="R1436" s="10"/>
      <c r="S1436" s="10"/>
      <c r="T1436" s="10"/>
      <c r="U1436" s="10"/>
      <c r="V1436" s="10"/>
      <c r="W1436" s="10"/>
      <c r="X1436" s="10"/>
      <c r="Y1436" s="10"/>
      <c r="Z1436" s="10"/>
    </row>
    <row r="1437" spans="1:26" ht="14.25" customHeight="1">
      <c r="A1437" s="9">
        <v>1606</v>
      </c>
      <c r="B1437" s="10"/>
      <c r="C1437" s="21">
        <v>230903</v>
      </c>
      <c r="D1437" s="22" t="s">
        <v>811</v>
      </c>
      <c r="E1437" s="23">
        <v>45049</v>
      </c>
      <c r="F1437" s="24">
        <v>45047</v>
      </c>
      <c r="G1437" s="25">
        <v>4195800</v>
      </c>
      <c r="H1437" s="26" t="s">
        <v>3268</v>
      </c>
      <c r="I1437" s="233" t="s">
        <v>29</v>
      </c>
      <c r="J1437" s="10"/>
      <c r="K1437" s="39"/>
      <c r="L1437" s="40">
        <v>45093</v>
      </c>
      <c r="M1437" s="40">
        <v>45093</v>
      </c>
      <c r="N1437" s="37">
        <v>4195800</v>
      </c>
      <c r="O1437" s="37">
        <v>0</v>
      </c>
      <c r="P1437" s="10"/>
      <c r="Q1437" s="10"/>
      <c r="R1437" s="10"/>
      <c r="S1437" s="10"/>
      <c r="T1437" s="10"/>
      <c r="U1437" s="10"/>
      <c r="V1437" s="10"/>
      <c r="W1437" s="10"/>
      <c r="X1437" s="10"/>
      <c r="Y1437" s="10"/>
      <c r="Z1437" s="10"/>
    </row>
    <row r="1438" spans="1:26" ht="14.25" customHeight="1">
      <c r="A1438" s="9">
        <v>1607</v>
      </c>
      <c r="B1438" s="10"/>
      <c r="C1438" s="21">
        <v>230915</v>
      </c>
      <c r="D1438" s="22" t="s">
        <v>811</v>
      </c>
      <c r="E1438" s="23">
        <v>45050</v>
      </c>
      <c r="F1438" s="24">
        <v>45047</v>
      </c>
      <c r="G1438" s="25">
        <v>1327560</v>
      </c>
      <c r="H1438" s="26" t="s">
        <v>3269</v>
      </c>
      <c r="I1438" s="233" t="s">
        <v>29</v>
      </c>
      <c r="J1438" s="10"/>
      <c r="K1438" s="39"/>
      <c r="L1438" s="40">
        <v>45093</v>
      </c>
      <c r="M1438" s="40">
        <v>45093</v>
      </c>
      <c r="N1438" s="37">
        <v>1327560</v>
      </c>
      <c r="O1438" s="37">
        <v>0</v>
      </c>
      <c r="P1438" s="10"/>
      <c r="Q1438" s="10"/>
      <c r="R1438" s="10"/>
      <c r="S1438" s="10"/>
      <c r="T1438" s="10"/>
      <c r="U1438" s="10"/>
      <c r="V1438" s="10"/>
      <c r="W1438" s="10"/>
      <c r="X1438" s="10"/>
      <c r="Y1438" s="10"/>
      <c r="Z1438" s="10"/>
    </row>
    <row r="1439" spans="1:26" ht="14.25" customHeight="1">
      <c r="A1439" s="9">
        <v>1608</v>
      </c>
      <c r="B1439" s="10"/>
      <c r="C1439" s="21">
        <v>230954</v>
      </c>
      <c r="D1439" s="22" t="s">
        <v>811</v>
      </c>
      <c r="E1439" s="23">
        <v>45057</v>
      </c>
      <c r="F1439" s="24">
        <v>45047</v>
      </c>
      <c r="G1439" s="25">
        <v>3493170</v>
      </c>
      <c r="H1439" s="26" t="s">
        <v>3270</v>
      </c>
      <c r="I1439" s="233" t="s">
        <v>29</v>
      </c>
      <c r="J1439" s="27">
        <v>21448355</v>
      </c>
      <c r="K1439" s="39">
        <v>45132</v>
      </c>
      <c r="L1439" s="40">
        <v>45102</v>
      </c>
      <c r="M1439" s="40">
        <v>45102</v>
      </c>
      <c r="N1439" s="37">
        <v>3493170</v>
      </c>
      <c r="O1439" s="37">
        <v>0</v>
      </c>
      <c r="P1439" s="10"/>
      <c r="Q1439" s="10"/>
      <c r="R1439" s="10"/>
      <c r="S1439" s="10"/>
      <c r="T1439" s="10"/>
      <c r="U1439" s="10"/>
      <c r="V1439" s="10"/>
      <c r="W1439" s="10"/>
      <c r="X1439" s="10"/>
      <c r="Y1439" s="10"/>
      <c r="Z1439" s="10"/>
    </row>
    <row r="1440" spans="1:26" ht="14.25" customHeight="1">
      <c r="A1440" s="9">
        <v>1609</v>
      </c>
      <c r="B1440" s="10"/>
      <c r="C1440" s="21">
        <v>230955</v>
      </c>
      <c r="D1440" s="22" t="s">
        <v>811</v>
      </c>
      <c r="E1440" s="23">
        <v>45057</v>
      </c>
      <c r="F1440" s="24">
        <v>45047</v>
      </c>
      <c r="G1440" s="25">
        <v>584449</v>
      </c>
      <c r="H1440" s="26" t="s">
        <v>3271</v>
      </c>
      <c r="I1440" s="233" t="s">
        <v>29</v>
      </c>
      <c r="J1440" s="10"/>
      <c r="K1440" s="39"/>
      <c r="L1440" s="40">
        <v>45102</v>
      </c>
      <c r="M1440" s="40">
        <v>45102</v>
      </c>
      <c r="N1440" s="37">
        <v>584449</v>
      </c>
      <c r="O1440" s="37">
        <v>0</v>
      </c>
      <c r="P1440" s="10"/>
      <c r="Q1440" s="10"/>
      <c r="R1440" s="10"/>
      <c r="S1440" s="10"/>
      <c r="T1440" s="10"/>
      <c r="U1440" s="10"/>
      <c r="V1440" s="10"/>
      <c r="W1440" s="10"/>
      <c r="X1440" s="10"/>
      <c r="Y1440" s="10"/>
      <c r="Z1440" s="10"/>
    </row>
    <row r="1441" spans="1:26" ht="14.25" customHeight="1">
      <c r="A1441" s="9">
        <v>1610</v>
      </c>
      <c r="B1441" s="10"/>
      <c r="C1441" s="21">
        <v>230953</v>
      </c>
      <c r="D1441" s="22" t="s">
        <v>811</v>
      </c>
      <c r="E1441" s="23">
        <v>45058</v>
      </c>
      <c r="F1441" s="24">
        <v>45047</v>
      </c>
      <c r="G1441" s="25">
        <v>3493170</v>
      </c>
      <c r="H1441" s="26" t="s">
        <v>3272</v>
      </c>
      <c r="I1441" s="233" t="s">
        <v>29</v>
      </c>
      <c r="J1441" s="10"/>
      <c r="K1441" s="39"/>
      <c r="L1441" s="40">
        <v>45102</v>
      </c>
      <c r="M1441" s="40">
        <v>45102</v>
      </c>
      <c r="N1441" s="37">
        <v>3493170</v>
      </c>
      <c r="O1441" s="37">
        <v>0</v>
      </c>
      <c r="P1441" s="10"/>
      <c r="Q1441" s="10"/>
      <c r="R1441" s="10"/>
      <c r="S1441" s="10"/>
      <c r="T1441" s="10"/>
      <c r="U1441" s="10"/>
      <c r="V1441" s="10"/>
      <c r="W1441" s="10"/>
      <c r="X1441" s="10"/>
      <c r="Y1441" s="10"/>
      <c r="Z1441" s="10"/>
    </row>
    <row r="1442" spans="1:26" ht="14.25" customHeight="1">
      <c r="A1442" s="9">
        <v>1611</v>
      </c>
      <c r="B1442" s="10"/>
      <c r="C1442" s="21">
        <v>230975</v>
      </c>
      <c r="D1442" s="22" t="s">
        <v>811</v>
      </c>
      <c r="E1442" s="23">
        <v>45061</v>
      </c>
      <c r="F1442" s="24">
        <v>45047</v>
      </c>
      <c r="G1442" s="25">
        <v>849727</v>
      </c>
      <c r="H1442" s="26" t="s">
        <v>3273</v>
      </c>
      <c r="I1442" s="233" t="s">
        <v>29</v>
      </c>
      <c r="J1442" s="10"/>
      <c r="K1442" s="39"/>
      <c r="L1442" s="40">
        <v>45102</v>
      </c>
      <c r="M1442" s="40">
        <v>45102</v>
      </c>
      <c r="N1442" s="37">
        <v>849727</v>
      </c>
      <c r="O1442" s="37">
        <v>0</v>
      </c>
      <c r="P1442" s="10"/>
      <c r="Q1442" s="10"/>
      <c r="R1442" s="10"/>
      <c r="S1442" s="10"/>
      <c r="T1442" s="10"/>
      <c r="U1442" s="10"/>
      <c r="V1442" s="10"/>
      <c r="W1442" s="10"/>
      <c r="X1442" s="10"/>
      <c r="Y1442" s="10"/>
      <c r="Z1442" s="10"/>
    </row>
    <row r="1443" spans="1:26" ht="14.25" customHeight="1">
      <c r="A1443" s="9">
        <v>1612</v>
      </c>
      <c r="B1443" s="10"/>
      <c r="C1443" s="21">
        <v>230978</v>
      </c>
      <c r="D1443" s="22" t="s">
        <v>811</v>
      </c>
      <c r="E1443" s="23">
        <v>45061</v>
      </c>
      <c r="F1443" s="24">
        <v>45047</v>
      </c>
      <c r="G1443" s="25">
        <v>1912313</v>
      </c>
      <c r="H1443" s="26" t="s">
        <v>3274</v>
      </c>
      <c r="I1443" s="233" t="s">
        <v>29</v>
      </c>
      <c r="J1443" s="10"/>
      <c r="K1443" s="39"/>
      <c r="L1443" s="40">
        <v>45102</v>
      </c>
      <c r="M1443" s="40">
        <v>45102</v>
      </c>
      <c r="N1443" s="37">
        <v>1912313</v>
      </c>
      <c r="O1443" s="37">
        <v>0</v>
      </c>
      <c r="P1443" s="10"/>
      <c r="Q1443" s="10"/>
      <c r="R1443" s="10"/>
      <c r="S1443" s="10"/>
      <c r="T1443" s="10"/>
      <c r="U1443" s="10"/>
      <c r="V1443" s="10"/>
      <c r="W1443" s="10"/>
      <c r="X1443" s="10"/>
      <c r="Y1443" s="10"/>
      <c r="Z1443" s="10"/>
    </row>
    <row r="1444" spans="1:26" ht="14.25" customHeight="1">
      <c r="A1444" s="9">
        <v>1613</v>
      </c>
      <c r="B1444" s="10"/>
      <c r="C1444" s="21">
        <v>230986</v>
      </c>
      <c r="D1444" s="22" t="s">
        <v>811</v>
      </c>
      <c r="E1444" s="23">
        <v>45063</v>
      </c>
      <c r="F1444" s="24">
        <v>45047</v>
      </c>
      <c r="G1444" s="25">
        <v>3606512</v>
      </c>
      <c r="H1444" s="26" t="s">
        <v>3275</v>
      </c>
      <c r="I1444" s="233" t="s">
        <v>29</v>
      </c>
      <c r="J1444" s="10"/>
      <c r="K1444" s="39"/>
      <c r="L1444" s="40">
        <v>45102</v>
      </c>
      <c r="M1444" s="40">
        <v>45102</v>
      </c>
      <c r="N1444" s="37">
        <v>3606512</v>
      </c>
      <c r="O1444" s="37">
        <v>0</v>
      </c>
      <c r="P1444" s="10"/>
      <c r="Q1444" s="10"/>
      <c r="R1444" s="10"/>
      <c r="S1444" s="10"/>
      <c r="T1444" s="10"/>
      <c r="U1444" s="10"/>
      <c r="V1444" s="10"/>
      <c r="W1444" s="10"/>
      <c r="X1444" s="10"/>
      <c r="Y1444" s="10"/>
      <c r="Z1444" s="10"/>
    </row>
    <row r="1445" spans="1:26" ht="14.25" customHeight="1">
      <c r="A1445" s="9">
        <v>1614</v>
      </c>
      <c r="B1445" s="10"/>
      <c r="C1445" s="21">
        <v>230987</v>
      </c>
      <c r="D1445" s="22" t="s">
        <v>811</v>
      </c>
      <c r="E1445" s="23">
        <v>45063</v>
      </c>
      <c r="F1445" s="24">
        <v>45047</v>
      </c>
      <c r="G1445" s="25">
        <v>1418313</v>
      </c>
      <c r="H1445" s="26" t="s">
        <v>3276</v>
      </c>
      <c r="I1445" s="233" t="s">
        <v>29</v>
      </c>
      <c r="J1445" s="10"/>
      <c r="K1445" s="39"/>
      <c r="L1445" s="40">
        <v>45102</v>
      </c>
      <c r="M1445" s="40">
        <v>45102</v>
      </c>
      <c r="N1445" s="37">
        <v>1418313</v>
      </c>
      <c r="O1445" s="37">
        <v>0</v>
      </c>
      <c r="P1445" s="10"/>
      <c r="Q1445" s="10"/>
      <c r="R1445" s="10"/>
      <c r="S1445" s="10"/>
      <c r="T1445" s="10"/>
      <c r="U1445" s="10"/>
      <c r="V1445" s="10"/>
      <c r="W1445" s="10"/>
      <c r="X1445" s="10"/>
      <c r="Y1445" s="10"/>
      <c r="Z1445" s="10"/>
    </row>
    <row r="1446" spans="1:26" ht="14.25" customHeight="1">
      <c r="A1446" s="9">
        <v>1647</v>
      </c>
      <c r="B1446" s="10"/>
      <c r="C1446" s="21">
        <v>231094</v>
      </c>
      <c r="D1446" s="22" t="s">
        <v>811</v>
      </c>
      <c r="E1446" s="23">
        <v>45072</v>
      </c>
      <c r="F1446" s="24">
        <v>45047</v>
      </c>
      <c r="G1446" s="25">
        <v>4604058</v>
      </c>
      <c r="H1446" s="25" t="s">
        <v>3277</v>
      </c>
      <c r="I1446" s="233" t="s">
        <v>29</v>
      </c>
      <c r="J1446" s="25">
        <v>13700931</v>
      </c>
      <c r="K1446" s="36">
        <v>45180</v>
      </c>
      <c r="L1446" s="40">
        <v>45180</v>
      </c>
      <c r="M1446" s="40">
        <v>45180</v>
      </c>
      <c r="N1446" s="37">
        <v>4604058</v>
      </c>
      <c r="O1446" s="37">
        <v>0</v>
      </c>
      <c r="P1446" s="10"/>
      <c r="Q1446" s="10"/>
      <c r="R1446" s="10"/>
      <c r="S1446" s="10"/>
      <c r="T1446" s="10"/>
      <c r="U1446" s="10"/>
      <c r="V1446" s="10"/>
      <c r="W1446" s="10"/>
      <c r="X1446" s="10"/>
      <c r="Y1446" s="10"/>
      <c r="Z1446" s="10"/>
    </row>
    <row r="1447" spans="1:26" ht="14.25" customHeight="1">
      <c r="A1447" s="9">
        <v>1648</v>
      </c>
      <c r="B1447" s="10"/>
      <c r="C1447" s="21">
        <v>231095</v>
      </c>
      <c r="D1447" s="22" t="s">
        <v>811</v>
      </c>
      <c r="E1447" s="23">
        <v>45072</v>
      </c>
      <c r="F1447" s="24">
        <v>45047</v>
      </c>
      <c r="G1447" s="25">
        <v>38847</v>
      </c>
      <c r="H1447" s="25" t="s">
        <v>3278</v>
      </c>
      <c r="I1447" s="233" t="s">
        <v>29</v>
      </c>
      <c r="J1447" s="10"/>
      <c r="K1447" s="39"/>
      <c r="L1447" s="40">
        <v>45180</v>
      </c>
      <c r="M1447" s="40">
        <v>45180</v>
      </c>
      <c r="N1447" s="37">
        <v>38847</v>
      </c>
      <c r="O1447" s="37">
        <v>0</v>
      </c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  <c r="Z1447" s="10"/>
    </row>
    <row r="1448" spans="1:26" ht="14.25" customHeight="1">
      <c r="A1448" s="9">
        <v>1615</v>
      </c>
      <c r="B1448" s="10"/>
      <c r="C1448" s="21">
        <v>230891</v>
      </c>
      <c r="D1448" s="22" t="s">
        <v>811</v>
      </c>
      <c r="E1448" s="23">
        <v>45074</v>
      </c>
      <c r="F1448" s="24">
        <v>45047</v>
      </c>
      <c r="G1448" s="25">
        <v>396838</v>
      </c>
      <c r="H1448" s="26" t="s">
        <v>3279</v>
      </c>
      <c r="I1448" s="233" t="s">
        <v>29</v>
      </c>
      <c r="J1448" s="27"/>
      <c r="K1448" s="39"/>
      <c r="L1448" s="40">
        <v>45102</v>
      </c>
      <c r="M1448" s="40">
        <v>45102</v>
      </c>
      <c r="N1448" s="37">
        <v>396838</v>
      </c>
      <c r="O1448" s="37">
        <v>0</v>
      </c>
      <c r="P1448" s="10"/>
      <c r="Q1448" s="10"/>
      <c r="R1448" s="10"/>
      <c r="S1448" s="10"/>
      <c r="T1448" s="10"/>
      <c r="U1448" s="10"/>
      <c r="V1448" s="10"/>
      <c r="W1448" s="10"/>
      <c r="X1448" s="10"/>
      <c r="Y1448" s="10"/>
      <c r="Z1448" s="10"/>
    </row>
    <row r="1449" spans="1:26" ht="14.25" customHeight="1">
      <c r="A1449" s="9">
        <v>1649</v>
      </c>
      <c r="B1449" s="10"/>
      <c r="C1449" s="21">
        <v>231096</v>
      </c>
      <c r="D1449" s="22" t="s">
        <v>811</v>
      </c>
      <c r="E1449" s="23">
        <v>45076</v>
      </c>
      <c r="F1449" s="24">
        <v>45047</v>
      </c>
      <c r="G1449" s="25">
        <v>1418313</v>
      </c>
      <c r="H1449" s="25" t="s">
        <v>3280</v>
      </c>
      <c r="I1449" s="233" t="s">
        <v>29</v>
      </c>
      <c r="J1449" s="10"/>
      <c r="K1449" s="39"/>
      <c r="L1449" s="40">
        <v>45180</v>
      </c>
      <c r="M1449" s="40">
        <v>45180</v>
      </c>
      <c r="N1449" s="37">
        <v>1418313</v>
      </c>
      <c r="O1449" s="37">
        <v>0</v>
      </c>
      <c r="P1449" s="10"/>
      <c r="Q1449" s="10"/>
      <c r="R1449" s="10"/>
      <c r="S1449" s="10"/>
      <c r="T1449" s="10"/>
      <c r="U1449" s="10"/>
      <c r="V1449" s="10"/>
      <c r="W1449" s="10"/>
      <c r="X1449" s="10"/>
      <c r="Y1449" s="10"/>
      <c r="Z1449" s="10"/>
    </row>
    <row r="1450" spans="1:26" ht="14.25" customHeight="1">
      <c r="A1450" s="9">
        <v>1651</v>
      </c>
      <c r="B1450" s="10"/>
      <c r="C1450" s="21">
        <v>231056</v>
      </c>
      <c r="D1450" s="22" t="s">
        <v>811</v>
      </c>
      <c r="E1450" s="23">
        <v>45077</v>
      </c>
      <c r="F1450" s="24">
        <v>45047</v>
      </c>
      <c r="G1450" s="25">
        <v>1382999</v>
      </c>
      <c r="H1450" s="25" t="s">
        <v>3281</v>
      </c>
      <c r="I1450" s="233" t="s">
        <v>29</v>
      </c>
      <c r="J1450" s="10"/>
      <c r="K1450" s="39"/>
      <c r="L1450" s="40">
        <v>45180</v>
      </c>
      <c r="M1450" s="40">
        <v>45180</v>
      </c>
      <c r="N1450" s="37">
        <v>1382999</v>
      </c>
      <c r="O1450" s="37">
        <v>0</v>
      </c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  <c r="Z1450" s="10"/>
    </row>
    <row r="1451" spans="1:26" ht="14.25" customHeight="1">
      <c r="A1451" s="9">
        <v>1650</v>
      </c>
      <c r="B1451" s="10"/>
      <c r="C1451" s="21">
        <v>231057</v>
      </c>
      <c r="D1451" s="22" t="s">
        <v>811</v>
      </c>
      <c r="E1451" s="23">
        <v>45077</v>
      </c>
      <c r="F1451" s="24">
        <v>45047</v>
      </c>
      <c r="G1451" s="25">
        <v>2419999</v>
      </c>
      <c r="H1451" s="25" t="s">
        <v>3282</v>
      </c>
      <c r="I1451" s="233" t="s">
        <v>29</v>
      </c>
      <c r="J1451" s="10"/>
      <c r="K1451" s="39"/>
      <c r="L1451" s="40">
        <v>45180</v>
      </c>
      <c r="M1451" s="40">
        <v>45180</v>
      </c>
      <c r="N1451" s="37">
        <v>2419999</v>
      </c>
      <c r="O1451" s="37">
        <v>0</v>
      </c>
      <c r="P1451" s="10"/>
      <c r="Q1451" s="10"/>
      <c r="R1451" s="10"/>
      <c r="S1451" s="10"/>
      <c r="T1451" s="10"/>
      <c r="U1451" s="10"/>
      <c r="V1451" s="10"/>
      <c r="W1451" s="10"/>
      <c r="X1451" s="10"/>
      <c r="Y1451" s="10"/>
      <c r="Z1451" s="10"/>
    </row>
    <row r="1452" spans="1:26" ht="14.25" customHeight="1">
      <c r="A1452" s="9">
        <v>1617</v>
      </c>
      <c r="B1452" s="10"/>
      <c r="C1452" s="21">
        <v>231118</v>
      </c>
      <c r="D1452" s="22" t="s">
        <v>811</v>
      </c>
      <c r="E1452" s="23">
        <v>45083</v>
      </c>
      <c r="F1452" s="24">
        <v>45078</v>
      </c>
      <c r="G1452" s="25">
        <v>613119</v>
      </c>
      <c r="H1452" s="26" t="s">
        <v>3283</v>
      </c>
      <c r="I1452" s="233" t="s">
        <v>29</v>
      </c>
      <c r="J1452" s="10"/>
      <c r="K1452" s="39"/>
      <c r="L1452" s="40">
        <v>45102</v>
      </c>
      <c r="M1452" s="40">
        <v>45102</v>
      </c>
      <c r="N1452" s="37">
        <v>613119</v>
      </c>
      <c r="O1452" s="37">
        <v>0</v>
      </c>
      <c r="P1452" s="10"/>
      <c r="Q1452" s="10"/>
      <c r="R1452" s="10"/>
      <c r="S1452" s="10"/>
      <c r="T1452" s="10"/>
      <c r="U1452" s="10"/>
      <c r="V1452" s="10"/>
      <c r="W1452" s="10"/>
      <c r="X1452" s="10"/>
      <c r="Y1452" s="10"/>
      <c r="Z1452" s="10"/>
    </row>
    <row r="1453" spans="1:26" ht="14.25" customHeight="1">
      <c r="A1453" s="9">
        <v>1616</v>
      </c>
      <c r="B1453" s="10"/>
      <c r="C1453" s="21">
        <v>231119</v>
      </c>
      <c r="D1453" s="22" t="s">
        <v>811</v>
      </c>
      <c r="E1453" s="23">
        <v>45083</v>
      </c>
      <c r="F1453" s="24">
        <v>45078</v>
      </c>
      <c r="G1453" s="25">
        <v>399600</v>
      </c>
      <c r="H1453" s="26" t="s">
        <v>3284</v>
      </c>
      <c r="I1453" s="233" t="s">
        <v>29</v>
      </c>
      <c r="J1453" s="10"/>
      <c r="K1453" s="39"/>
      <c r="L1453" s="40">
        <v>45102</v>
      </c>
      <c r="M1453" s="40">
        <v>45102</v>
      </c>
      <c r="N1453" s="37">
        <v>399600</v>
      </c>
      <c r="O1453" s="37">
        <v>0</v>
      </c>
      <c r="P1453" s="10"/>
      <c r="Q1453" s="10"/>
      <c r="R1453" s="10"/>
      <c r="S1453" s="10"/>
      <c r="T1453" s="10"/>
      <c r="U1453" s="10"/>
      <c r="V1453" s="10"/>
      <c r="W1453" s="10"/>
      <c r="X1453" s="10"/>
      <c r="Y1453" s="10"/>
      <c r="Z1453" s="10"/>
    </row>
    <row r="1454" spans="1:26" ht="14.25" customHeight="1">
      <c r="A1454" s="9">
        <v>1618</v>
      </c>
      <c r="B1454" s="10"/>
      <c r="C1454" s="21">
        <v>231123</v>
      </c>
      <c r="D1454" s="22" t="s">
        <v>811</v>
      </c>
      <c r="E1454" s="23">
        <v>45084</v>
      </c>
      <c r="F1454" s="24">
        <v>45078</v>
      </c>
      <c r="G1454" s="25">
        <v>232425</v>
      </c>
      <c r="H1454" s="26" t="s">
        <v>3285</v>
      </c>
      <c r="I1454" s="233" t="s">
        <v>29</v>
      </c>
      <c r="J1454" s="10"/>
      <c r="K1454" s="39"/>
      <c r="L1454" s="40">
        <v>45102</v>
      </c>
      <c r="M1454" s="40">
        <v>45102</v>
      </c>
      <c r="N1454" s="37">
        <v>232425</v>
      </c>
      <c r="O1454" s="37">
        <v>0</v>
      </c>
      <c r="P1454" s="10"/>
      <c r="Q1454" s="10"/>
      <c r="R1454" s="10"/>
      <c r="S1454" s="10"/>
      <c r="T1454" s="10"/>
      <c r="U1454" s="10"/>
      <c r="V1454" s="10"/>
      <c r="W1454" s="10"/>
      <c r="X1454" s="10"/>
      <c r="Y1454" s="10"/>
      <c r="Z1454" s="10"/>
    </row>
    <row r="1455" spans="1:26" ht="14.25" customHeight="1">
      <c r="A1455" s="9">
        <v>1652</v>
      </c>
      <c r="B1455" s="10"/>
      <c r="C1455" s="21">
        <v>231192</v>
      </c>
      <c r="D1455" s="22" t="s">
        <v>811</v>
      </c>
      <c r="E1455" s="23">
        <v>45084</v>
      </c>
      <c r="F1455" s="24">
        <v>45078</v>
      </c>
      <c r="G1455" s="25">
        <v>3836715</v>
      </c>
      <c r="H1455" s="25" t="s">
        <v>3286</v>
      </c>
      <c r="I1455" s="233" t="s">
        <v>29</v>
      </c>
      <c r="J1455" s="10"/>
      <c r="K1455" s="39"/>
      <c r="L1455" s="40">
        <v>45180</v>
      </c>
      <c r="M1455" s="40">
        <v>45180</v>
      </c>
      <c r="N1455" s="51">
        <v>3836715</v>
      </c>
      <c r="O1455" s="37">
        <v>0</v>
      </c>
      <c r="P1455" s="10"/>
      <c r="Q1455" s="10"/>
      <c r="R1455" s="10"/>
      <c r="S1455" s="10"/>
      <c r="T1455" s="10"/>
      <c r="U1455" s="10"/>
      <c r="V1455" s="10"/>
      <c r="W1455" s="10"/>
      <c r="X1455" s="10"/>
      <c r="Y1455" s="10"/>
      <c r="Z1455" s="10"/>
    </row>
    <row r="1456" spans="1:26" ht="14.25" customHeight="1">
      <c r="A1456" s="9">
        <v>1654</v>
      </c>
      <c r="B1456" s="10"/>
      <c r="C1456" s="21">
        <v>231190</v>
      </c>
      <c r="D1456" s="22" t="s">
        <v>811</v>
      </c>
      <c r="E1456" s="23">
        <v>45090</v>
      </c>
      <c r="F1456" s="24">
        <v>45078</v>
      </c>
      <c r="G1456" s="25">
        <v>2833107</v>
      </c>
      <c r="H1456" s="25" t="s">
        <v>3287</v>
      </c>
      <c r="I1456" s="233" t="s">
        <v>29</v>
      </c>
      <c r="J1456" s="10"/>
      <c r="K1456" s="39"/>
      <c r="L1456" s="40">
        <v>45199</v>
      </c>
      <c r="M1456" s="40">
        <v>45199</v>
      </c>
      <c r="N1456" s="37">
        <v>2833107</v>
      </c>
      <c r="O1456" s="37">
        <v>0</v>
      </c>
      <c r="P1456" s="10"/>
      <c r="Q1456" s="10"/>
      <c r="R1456" s="10"/>
      <c r="S1456" s="10"/>
      <c r="T1456" s="10"/>
      <c r="U1456" s="10"/>
      <c r="V1456" s="10"/>
      <c r="W1456" s="10"/>
      <c r="X1456" s="10"/>
      <c r="Y1456" s="10"/>
      <c r="Z1456" s="10"/>
    </row>
    <row r="1457" spans="1:26" ht="14.25" customHeight="1">
      <c r="A1457" s="9">
        <v>1653</v>
      </c>
      <c r="B1457" s="10"/>
      <c r="C1457" s="21">
        <v>231191</v>
      </c>
      <c r="D1457" s="22" t="s">
        <v>811</v>
      </c>
      <c r="E1457" s="23">
        <v>45090</v>
      </c>
      <c r="F1457" s="24">
        <v>45078</v>
      </c>
      <c r="G1457" s="25">
        <v>1418313</v>
      </c>
      <c r="H1457" s="25" t="s">
        <v>3288</v>
      </c>
      <c r="I1457" s="233" t="s">
        <v>29</v>
      </c>
      <c r="J1457" s="25">
        <v>15784007</v>
      </c>
      <c r="K1457" s="36">
        <v>45199</v>
      </c>
      <c r="L1457" s="40">
        <v>45199</v>
      </c>
      <c r="M1457" s="40">
        <v>45199</v>
      </c>
      <c r="N1457" s="37">
        <v>1418313</v>
      </c>
      <c r="O1457" s="37">
        <v>0</v>
      </c>
      <c r="P1457" s="10"/>
      <c r="Q1457" s="10"/>
      <c r="R1457" s="10"/>
      <c r="S1457" s="10"/>
      <c r="T1457" s="10"/>
      <c r="U1457" s="10"/>
      <c r="V1457" s="10"/>
      <c r="W1457" s="10"/>
      <c r="X1457" s="10"/>
      <c r="Y1457" s="10"/>
      <c r="Z1457" s="10"/>
    </row>
    <row r="1458" spans="1:26" ht="14.25" customHeight="1">
      <c r="A1458" s="9">
        <v>1619</v>
      </c>
      <c r="B1458" s="10"/>
      <c r="C1458" s="21">
        <v>231230</v>
      </c>
      <c r="D1458" s="22" t="s">
        <v>811</v>
      </c>
      <c r="E1458" s="23">
        <v>45097</v>
      </c>
      <c r="F1458" s="24">
        <v>45078</v>
      </c>
      <c r="G1458" s="25">
        <v>2672991</v>
      </c>
      <c r="H1458" s="25" t="s">
        <v>3289</v>
      </c>
      <c r="I1458" s="233" t="s">
        <v>29</v>
      </c>
      <c r="J1458" s="10"/>
      <c r="K1458" s="39"/>
      <c r="L1458" s="40">
        <v>45102</v>
      </c>
      <c r="M1458" s="40">
        <v>45102</v>
      </c>
      <c r="N1458" s="37">
        <v>2672991</v>
      </c>
      <c r="O1458" s="37">
        <v>0</v>
      </c>
      <c r="P1458" s="10"/>
      <c r="Q1458" s="10"/>
      <c r="R1458" s="10"/>
      <c r="S1458" s="10"/>
      <c r="T1458" s="10"/>
      <c r="U1458" s="10"/>
      <c r="V1458" s="10"/>
      <c r="W1458" s="10"/>
      <c r="X1458" s="10"/>
      <c r="Y1458" s="10"/>
      <c r="Z1458" s="10"/>
    </row>
    <row r="1459" spans="1:26" ht="14.25" customHeight="1">
      <c r="A1459" s="9">
        <v>1620</v>
      </c>
      <c r="B1459" s="10"/>
      <c r="C1459" s="21">
        <v>231231</v>
      </c>
      <c r="D1459" s="22" t="s">
        <v>811</v>
      </c>
      <c r="E1459" s="23">
        <v>45097</v>
      </c>
      <c r="F1459" s="24">
        <v>45078</v>
      </c>
      <c r="G1459" s="25">
        <v>42046</v>
      </c>
      <c r="H1459" s="25" t="s">
        <v>3290</v>
      </c>
      <c r="I1459" s="233" t="s">
        <v>29</v>
      </c>
      <c r="J1459" s="10"/>
      <c r="K1459" s="39"/>
      <c r="L1459" s="40">
        <v>45102</v>
      </c>
      <c r="M1459" s="40">
        <v>45102</v>
      </c>
      <c r="N1459" s="37">
        <v>42046</v>
      </c>
      <c r="O1459" s="37">
        <v>0</v>
      </c>
      <c r="P1459" s="10"/>
      <c r="Q1459" s="10"/>
      <c r="R1459" s="10"/>
      <c r="S1459" s="10"/>
      <c r="T1459" s="10"/>
      <c r="U1459" s="10"/>
      <c r="V1459" s="10"/>
      <c r="W1459" s="10"/>
      <c r="X1459" s="10"/>
      <c r="Y1459" s="10"/>
      <c r="Z1459" s="10"/>
    </row>
    <row r="1460" spans="1:26" ht="14.25" customHeight="1">
      <c r="A1460" s="9">
        <v>1621</v>
      </c>
      <c r="B1460" s="10"/>
      <c r="C1460" s="21">
        <v>231225</v>
      </c>
      <c r="D1460" s="22" t="s">
        <v>811</v>
      </c>
      <c r="E1460" s="23">
        <v>45098</v>
      </c>
      <c r="F1460" s="24">
        <v>45078</v>
      </c>
      <c r="G1460" s="25">
        <v>1326673</v>
      </c>
      <c r="H1460" s="25" t="s">
        <v>3291</v>
      </c>
      <c r="I1460" s="233" t="s">
        <v>29</v>
      </c>
      <c r="J1460" s="10"/>
      <c r="K1460" s="39"/>
      <c r="L1460" s="40">
        <v>45102</v>
      </c>
      <c r="M1460" s="40">
        <v>45102</v>
      </c>
      <c r="N1460" s="37">
        <v>1326673</v>
      </c>
      <c r="O1460" s="37">
        <v>0</v>
      </c>
      <c r="P1460" s="10"/>
      <c r="Q1460" s="10"/>
      <c r="R1460" s="10"/>
      <c r="S1460" s="10"/>
      <c r="T1460" s="10"/>
      <c r="U1460" s="10"/>
      <c r="V1460" s="10"/>
      <c r="W1460" s="10"/>
      <c r="X1460" s="10"/>
      <c r="Y1460" s="10"/>
      <c r="Z1460" s="10"/>
    </row>
    <row r="1461" spans="1:26" ht="14.25" customHeight="1">
      <c r="A1461" s="9">
        <v>1622</v>
      </c>
      <c r="B1461" s="10"/>
      <c r="C1461" s="21">
        <v>231226</v>
      </c>
      <c r="D1461" s="22" t="s">
        <v>811</v>
      </c>
      <c r="E1461" s="23">
        <v>45098</v>
      </c>
      <c r="F1461" s="24">
        <v>45078</v>
      </c>
      <c r="G1461" s="25">
        <v>407009</v>
      </c>
      <c r="H1461" s="25" t="s">
        <v>3292</v>
      </c>
      <c r="I1461" s="233" t="s">
        <v>29</v>
      </c>
      <c r="J1461" s="10"/>
      <c r="K1461" s="39"/>
      <c r="L1461" s="40">
        <v>45102</v>
      </c>
      <c r="M1461" s="40">
        <v>45102</v>
      </c>
      <c r="N1461" s="37">
        <v>407009</v>
      </c>
      <c r="O1461" s="37">
        <v>0</v>
      </c>
      <c r="P1461" s="10"/>
      <c r="Q1461" s="10"/>
      <c r="R1461" s="10"/>
      <c r="S1461" s="10"/>
      <c r="T1461" s="10"/>
      <c r="U1461" s="10"/>
      <c r="V1461" s="10"/>
      <c r="W1461" s="10"/>
      <c r="X1461" s="10"/>
      <c r="Y1461" s="10"/>
      <c r="Z1461" s="10"/>
    </row>
    <row r="1462" spans="1:26" ht="14.25" customHeight="1">
      <c r="A1462" s="9">
        <v>1623</v>
      </c>
      <c r="B1462" s="10"/>
      <c r="C1462" s="21">
        <v>231250</v>
      </c>
      <c r="D1462" s="22" t="s">
        <v>811</v>
      </c>
      <c r="E1462" s="23">
        <v>45100</v>
      </c>
      <c r="F1462" s="24">
        <v>45078</v>
      </c>
      <c r="G1462" s="25">
        <v>157499</v>
      </c>
      <c r="H1462" s="25" t="s">
        <v>3293</v>
      </c>
      <c r="I1462" s="233" t="s">
        <v>29</v>
      </c>
      <c r="J1462" s="27">
        <v>25298908</v>
      </c>
      <c r="K1462" s="36">
        <v>45169</v>
      </c>
      <c r="L1462" s="40">
        <v>45169</v>
      </c>
      <c r="M1462" s="40">
        <v>45169</v>
      </c>
      <c r="N1462" s="37">
        <v>157499</v>
      </c>
      <c r="O1462" s="37">
        <v>0</v>
      </c>
      <c r="P1462" s="10"/>
      <c r="Q1462" s="10"/>
      <c r="R1462" s="10"/>
      <c r="S1462" s="10"/>
      <c r="T1462" s="10"/>
      <c r="U1462" s="10"/>
      <c r="V1462" s="10"/>
      <c r="W1462" s="10"/>
      <c r="X1462" s="10"/>
      <c r="Y1462" s="10"/>
      <c r="Z1462" s="10"/>
    </row>
    <row r="1463" spans="1:26" ht="14.25" customHeight="1">
      <c r="A1463" s="9">
        <v>1624</v>
      </c>
      <c r="B1463" s="10"/>
      <c r="C1463" s="21">
        <v>231251</v>
      </c>
      <c r="D1463" s="22" t="s">
        <v>811</v>
      </c>
      <c r="E1463" s="23">
        <v>45100</v>
      </c>
      <c r="F1463" s="24">
        <v>45078</v>
      </c>
      <c r="G1463" s="25">
        <v>77999</v>
      </c>
      <c r="H1463" s="25" t="s">
        <v>3294</v>
      </c>
      <c r="I1463" s="233" t="s">
        <v>29</v>
      </c>
      <c r="J1463" s="10"/>
      <c r="K1463" s="39"/>
      <c r="L1463" s="40">
        <v>45169</v>
      </c>
      <c r="M1463" s="40">
        <v>45169</v>
      </c>
      <c r="N1463" s="37">
        <v>77999</v>
      </c>
      <c r="O1463" s="37">
        <v>0</v>
      </c>
      <c r="P1463" s="10"/>
      <c r="Q1463" s="10"/>
      <c r="R1463" s="10"/>
      <c r="S1463" s="10"/>
      <c r="T1463" s="10"/>
      <c r="U1463" s="10"/>
      <c r="V1463" s="10"/>
      <c r="W1463" s="10"/>
      <c r="X1463" s="10"/>
      <c r="Y1463" s="10"/>
      <c r="Z1463" s="10"/>
    </row>
    <row r="1464" spans="1:26" ht="14.25" customHeight="1">
      <c r="A1464" s="9">
        <v>1625</v>
      </c>
      <c r="B1464" s="10"/>
      <c r="C1464" s="21">
        <v>231276</v>
      </c>
      <c r="D1464" s="22" t="s">
        <v>811</v>
      </c>
      <c r="E1464" s="23">
        <v>45104</v>
      </c>
      <c r="F1464" s="24">
        <v>45078</v>
      </c>
      <c r="G1464" s="25">
        <v>5244750</v>
      </c>
      <c r="H1464" s="25" t="s">
        <v>3295</v>
      </c>
      <c r="I1464" s="233" t="s">
        <v>29</v>
      </c>
      <c r="J1464" s="10"/>
      <c r="K1464" s="39"/>
      <c r="L1464" s="40">
        <v>45169</v>
      </c>
      <c r="M1464" s="40">
        <v>45169</v>
      </c>
      <c r="N1464" s="37">
        <v>5244750</v>
      </c>
      <c r="O1464" s="37">
        <v>0</v>
      </c>
      <c r="P1464" s="10"/>
      <c r="Q1464" s="10"/>
      <c r="R1464" s="10"/>
      <c r="S1464" s="10"/>
      <c r="T1464" s="10"/>
      <c r="U1464" s="10"/>
      <c r="V1464" s="10"/>
      <c r="W1464" s="10"/>
      <c r="X1464" s="10"/>
      <c r="Y1464" s="10"/>
      <c r="Z1464" s="10"/>
    </row>
    <row r="1465" spans="1:26" ht="14.25" customHeight="1">
      <c r="A1465" s="9">
        <v>1626</v>
      </c>
      <c r="B1465" s="10"/>
      <c r="C1465" s="21">
        <v>231329</v>
      </c>
      <c r="D1465" s="22" t="s">
        <v>811</v>
      </c>
      <c r="E1465" s="23">
        <v>45104</v>
      </c>
      <c r="F1465" s="24">
        <v>45078</v>
      </c>
      <c r="G1465" s="25">
        <v>275000</v>
      </c>
      <c r="H1465" s="25" t="s">
        <v>3296</v>
      </c>
      <c r="I1465" s="233" t="s">
        <v>29</v>
      </c>
      <c r="J1465" s="10"/>
      <c r="K1465" s="39"/>
      <c r="L1465" s="40">
        <v>45169</v>
      </c>
      <c r="M1465" s="40">
        <v>45169</v>
      </c>
      <c r="N1465" s="37">
        <v>275000</v>
      </c>
      <c r="O1465" s="37">
        <v>0</v>
      </c>
      <c r="P1465" s="10"/>
      <c r="Q1465" s="10"/>
      <c r="R1465" s="10"/>
      <c r="S1465" s="10"/>
      <c r="T1465" s="10"/>
      <c r="U1465" s="10"/>
      <c r="V1465" s="10"/>
      <c r="W1465" s="10"/>
      <c r="X1465" s="10"/>
      <c r="Y1465" s="10"/>
      <c r="Z1465" s="10"/>
    </row>
    <row r="1466" spans="1:26" ht="14.25" customHeight="1">
      <c r="A1466" s="9">
        <v>1629</v>
      </c>
      <c r="B1466" s="10"/>
      <c r="C1466" s="21">
        <v>231301</v>
      </c>
      <c r="D1466" s="22" t="s">
        <v>811</v>
      </c>
      <c r="E1466" s="23">
        <v>45111</v>
      </c>
      <c r="F1466" s="24">
        <v>45108</v>
      </c>
      <c r="G1466" s="25">
        <v>1721598</v>
      </c>
      <c r="H1466" s="25" t="s">
        <v>3297</v>
      </c>
      <c r="I1466" s="233" t="s">
        <v>29</v>
      </c>
      <c r="J1466" s="10"/>
      <c r="K1466" s="39"/>
      <c r="L1466" s="40">
        <v>45169</v>
      </c>
      <c r="M1466" s="40">
        <v>45169</v>
      </c>
      <c r="N1466" s="37">
        <v>1721598</v>
      </c>
      <c r="O1466" s="37">
        <v>0</v>
      </c>
      <c r="P1466" s="10"/>
      <c r="Q1466" s="10"/>
      <c r="R1466" s="10"/>
      <c r="S1466" s="10"/>
      <c r="T1466" s="10"/>
      <c r="U1466" s="10"/>
      <c r="V1466" s="10"/>
      <c r="W1466" s="10"/>
      <c r="X1466" s="10"/>
      <c r="Y1466" s="10"/>
      <c r="Z1466" s="10"/>
    </row>
    <row r="1467" spans="1:26" ht="14.25" customHeight="1">
      <c r="A1467" s="9">
        <v>1628</v>
      </c>
      <c r="B1467" s="10"/>
      <c r="C1467" s="21">
        <v>231304</v>
      </c>
      <c r="D1467" s="22" t="s">
        <v>811</v>
      </c>
      <c r="E1467" s="23">
        <v>45111</v>
      </c>
      <c r="F1467" s="24">
        <v>45108</v>
      </c>
      <c r="G1467" s="25">
        <v>126501</v>
      </c>
      <c r="H1467" s="25" t="s">
        <v>3298</v>
      </c>
      <c r="I1467" s="233" t="s">
        <v>29</v>
      </c>
      <c r="J1467" s="10"/>
      <c r="K1467" s="39"/>
      <c r="L1467" s="40">
        <v>45169</v>
      </c>
      <c r="M1467" s="40">
        <v>45169</v>
      </c>
      <c r="N1467" s="37">
        <v>126501</v>
      </c>
      <c r="O1467" s="37">
        <v>0</v>
      </c>
      <c r="P1467" s="10"/>
      <c r="Q1467" s="10"/>
      <c r="R1467" s="10"/>
      <c r="S1467" s="10"/>
      <c r="T1467" s="10"/>
      <c r="U1467" s="10"/>
      <c r="V1467" s="10"/>
      <c r="W1467" s="10"/>
      <c r="X1467" s="10"/>
      <c r="Y1467" s="10"/>
      <c r="Z1467" s="10"/>
    </row>
    <row r="1468" spans="1:26" ht="14.25" customHeight="1">
      <c r="A1468" s="9">
        <v>1630</v>
      </c>
      <c r="B1468" s="10"/>
      <c r="C1468" s="21">
        <v>231327</v>
      </c>
      <c r="D1468" s="22" t="s">
        <v>811</v>
      </c>
      <c r="E1468" s="23">
        <v>45111</v>
      </c>
      <c r="F1468" s="24">
        <v>45108</v>
      </c>
      <c r="G1468" s="25">
        <v>4604058</v>
      </c>
      <c r="H1468" s="25" t="s">
        <v>3299</v>
      </c>
      <c r="I1468" s="233" t="s">
        <v>29</v>
      </c>
      <c r="J1468" s="10"/>
      <c r="K1468" s="39"/>
      <c r="L1468" s="40">
        <v>45169</v>
      </c>
      <c r="M1468" s="40">
        <v>45169</v>
      </c>
      <c r="N1468" s="37">
        <v>4604058</v>
      </c>
      <c r="O1468" s="37">
        <v>0</v>
      </c>
      <c r="P1468" s="10"/>
      <c r="Q1468" s="10"/>
      <c r="R1468" s="10"/>
      <c r="S1468" s="10"/>
      <c r="T1468" s="10"/>
      <c r="U1468" s="10"/>
      <c r="V1468" s="10"/>
      <c r="W1468" s="10"/>
      <c r="X1468" s="10"/>
      <c r="Y1468" s="10"/>
      <c r="Z1468" s="10"/>
    </row>
    <row r="1469" spans="1:26" ht="14.25" customHeight="1">
      <c r="A1469" s="9">
        <v>1627</v>
      </c>
      <c r="B1469" s="10"/>
      <c r="C1469" s="21">
        <v>231328</v>
      </c>
      <c r="D1469" s="22" t="s">
        <v>811</v>
      </c>
      <c r="E1469" s="23">
        <v>45111</v>
      </c>
      <c r="F1469" s="24">
        <v>45108</v>
      </c>
      <c r="G1469" s="25">
        <v>815850</v>
      </c>
      <c r="H1469" s="25" t="s">
        <v>3300</v>
      </c>
      <c r="I1469" s="233" t="s">
        <v>29</v>
      </c>
      <c r="J1469" s="10"/>
      <c r="K1469" s="39"/>
      <c r="L1469" s="40">
        <v>45169</v>
      </c>
      <c r="M1469" s="40">
        <v>45169</v>
      </c>
      <c r="N1469" s="37">
        <v>815850</v>
      </c>
      <c r="O1469" s="37">
        <v>0</v>
      </c>
      <c r="P1469" s="10"/>
      <c r="Q1469" s="10"/>
      <c r="R1469" s="10"/>
      <c r="S1469" s="10"/>
      <c r="T1469" s="10"/>
      <c r="U1469" s="10"/>
      <c r="V1469" s="10"/>
      <c r="W1469" s="10"/>
      <c r="X1469" s="10"/>
      <c r="Y1469" s="10"/>
      <c r="Z1469" s="10"/>
    </row>
    <row r="1470" spans="1:26" ht="14.25" customHeight="1">
      <c r="A1470" s="9">
        <v>1631</v>
      </c>
      <c r="B1470" s="10"/>
      <c r="C1470" s="21">
        <v>231331</v>
      </c>
      <c r="D1470" s="22" t="s">
        <v>811</v>
      </c>
      <c r="E1470" s="23">
        <v>45111</v>
      </c>
      <c r="F1470" s="24">
        <v>45108</v>
      </c>
      <c r="G1470" s="25">
        <v>339660</v>
      </c>
      <c r="H1470" s="25" t="s">
        <v>3301</v>
      </c>
      <c r="I1470" s="233" t="s">
        <v>29</v>
      </c>
      <c r="J1470" s="10"/>
      <c r="K1470" s="39"/>
      <c r="L1470" s="40">
        <v>45169</v>
      </c>
      <c r="M1470" s="40">
        <v>45169</v>
      </c>
      <c r="N1470" s="37">
        <v>339660</v>
      </c>
      <c r="O1470" s="37">
        <v>0</v>
      </c>
      <c r="P1470" s="10"/>
      <c r="Q1470" s="10"/>
      <c r="R1470" s="10"/>
      <c r="S1470" s="10"/>
      <c r="T1470" s="10"/>
      <c r="U1470" s="10"/>
      <c r="V1470" s="10"/>
      <c r="W1470" s="10"/>
      <c r="X1470" s="10"/>
      <c r="Y1470" s="10"/>
      <c r="Z1470" s="10"/>
    </row>
    <row r="1471" spans="1:26" ht="14.25" customHeight="1">
      <c r="A1471" s="9">
        <v>1632</v>
      </c>
      <c r="B1471" s="10"/>
      <c r="C1471" s="21">
        <v>231330</v>
      </c>
      <c r="D1471" s="22" t="s">
        <v>811</v>
      </c>
      <c r="E1471" s="23">
        <v>45113</v>
      </c>
      <c r="F1471" s="24">
        <v>45108</v>
      </c>
      <c r="G1471" s="25">
        <v>216450</v>
      </c>
      <c r="H1471" s="25" t="s">
        <v>3302</v>
      </c>
      <c r="I1471" s="233" t="s">
        <v>29</v>
      </c>
      <c r="J1471" s="10"/>
      <c r="K1471" s="39"/>
      <c r="L1471" s="40">
        <v>45169</v>
      </c>
      <c r="M1471" s="40">
        <v>45169</v>
      </c>
      <c r="N1471" s="37">
        <v>216450</v>
      </c>
      <c r="O1471" s="37">
        <v>0</v>
      </c>
      <c r="P1471" s="10"/>
      <c r="Q1471" s="10"/>
      <c r="R1471" s="10"/>
      <c r="S1471" s="10"/>
      <c r="T1471" s="10"/>
      <c r="U1471" s="10"/>
      <c r="V1471" s="10"/>
      <c r="W1471" s="10"/>
      <c r="X1471" s="10"/>
      <c r="Y1471" s="10"/>
      <c r="Z1471" s="10"/>
    </row>
    <row r="1472" spans="1:26" ht="14.25" customHeight="1">
      <c r="A1472" s="9">
        <v>1633</v>
      </c>
      <c r="B1472" s="10"/>
      <c r="C1472" s="21">
        <v>231346</v>
      </c>
      <c r="D1472" s="22" t="s">
        <v>811</v>
      </c>
      <c r="E1472" s="23">
        <v>45118</v>
      </c>
      <c r="F1472" s="24">
        <v>45108</v>
      </c>
      <c r="G1472" s="25">
        <v>1002978</v>
      </c>
      <c r="H1472" s="25" t="s">
        <v>3303</v>
      </c>
      <c r="I1472" s="233" t="s">
        <v>29</v>
      </c>
      <c r="J1472" s="10"/>
      <c r="K1472" s="39"/>
      <c r="L1472" s="40">
        <v>45169</v>
      </c>
      <c r="M1472" s="40">
        <v>45169</v>
      </c>
      <c r="N1472" s="37">
        <v>1002978</v>
      </c>
      <c r="O1472" s="37">
        <v>0</v>
      </c>
      <c r="P1472" s="10"/>
      <c r="Q1472" s="10"/>
      <c r="R1472" s="10"/>
      <c r="S1472" s="10"/>
      <c r="T1472" s="10"/>
      <c r="U1472" s="10"/>
      <c r="V1472" s="10"/>
      <c r="W1472" s="10"/>
      <c r="X1472" s="10"/>
      <c r="Y1472" s="10"/>
      <c r="Z1472" s="10"/>
    </row>
    <row r="1473" spans="1:26" ht="14.25" customHeight="1">
      <c r="A1473" s="9">
        <v>1634</v>
      </c>
      <c r="B1473" s="10"/>
      <c r="C1473" s="21">
        <v>231348</v>
      </c>
      <c r="D1473" s="22" t="s">
        <v>811</v>
      </c>
      <c r="E1473" s="23">
        <v>45118</v>
      </c>
      <c r="F1473" s="24">
        <v>45108</v>
      </c>
      <c r="G1473" s="25">
        <v>1162126</v>
      </c>
      <c r="H1473" s="25" t="s">
        <v>3304</v>
      </c>
      <c r="I1473" s="233" t="s">
        <v>29</v>
      </c>
      <c r="J1473" s="10"/>
      <c r="K1473" s="39"/>
      <c r="L1473" s="40">
        <v>45169</v>
      </c>
      <c r="M1473" s="40">
        <v>45169</v>
      </c>
      <c r="N1473" s="37">
        <v>1162126</v>
      </c>
      <c r="O1473" s="37">
        <v>0</v>
      </c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  <c r="Z1473" s="10"/>
    </row>
    <row r="1474" spans="1:26" ht="14.25" customHeight="1">
      <c r="A1474" s="9">
        <v>1636</v>
      </c>
      <c r="B1474" s="10"/>
      <c r="C1474" s="21">
        <v>231432</v>
      </c>
      <c r="D1474" s="22" t="s">
        <v>811</v>
      </c>
      <c r="E1474" s="23">
        <v>45124</v>
      </c>
      <c r="F1474" s="24">
        <v>45108</v>
      </c>
      <c r="G1474" s="25">
        <v>509490</v>
      </c>
      <c r="H1474" s="25" t="s">
        <v>3305</v>
      </c>
      <c r="I1474" s="233" t="s">
        <v>29</v>
      </c>
      <c r="J1474" s="10"/>
      <c r="K1474" s="39"/>
      <c r="L1474" s="40">
        <v>45169</v>
      </c>
      <c r="M1474" s="40">
        <v>45169</v>
      </c>
      <c r="N1474" s="37">
        <v>509490</v>
      </c>
      <c r="O1474" s="37">
        <v>0</v>
      </c>
      <c r="P1474" s="10"/>
      <c r="Q1474" s="10"/>
      <c r="R1474" s="10"/>
      <c r="S1474" s="10"/>
      <c r="T1474" s="10"/>
      <c r="U1474" s="10"/>
      <c r="V1474" s="10"/>
      <c r="W1474" s="10"/>
      <c r="X1474" s="10"/>
      <c r="Y1474" s="10"/>
      <c r="Z1474" s="10"/>
    </row>
    <row r="1475" spans="1:26" ht="14.25" customHeight="1">
      <c r="A1475" s="9">
        <v>1635</v>
      </c>
      <c r="B1475" s="10"/>
      <c r="C1475" s="21">
        <v>231433</v>
      </c>
      <c r="D1475" s="22" t="s">
        <v>811</v>
      </c>
      <c r="E1475" s="23">
        <v>45124</v>
      </c>
      <c r="F1475" s="24">
        <v>45108</v>
      </c>
      <c r="G1475" s="25">
        <v>216450</v>
      </c>
      <c r="H1475" s="25" t="s">
        <v>3306</v>
      </c>
      <c r="I1475" s="233" t="s">
        <v>29</v>
      </c>
      <c r="J1475" s="10"/>
      <c r="K1475" s="39"/>
      <c r="L1475" s="40">
        <v>45169</v>
      </c>
      <c r="M1475" s="40">
        <v>45169</v>
      </c>
      <c r="N1475" s="37">
        <v>216450</v>
      </c>
      <c r="O1475" s="37">
        <v>0</v>
      </c>
      <c r="P1475" s="10"/>
      <c r="Q1475" s="10"/>
      <c r="R1475" s="10"/>
      <c r="S1475" s="10"/>
      <c r="T1475" s="10"/>
      <c r="U1475" s="10"/>
      <c r="V1475" s="10"/>
      <c r="W1475" s="10"/>
      <c r="X1475" s="10"/>
      <c r="Y1475" s="10"/>
      <c r="Z1475" s="10"/>
    </row>
    <row r="1476" spans="1:26" ht="14.25" customHeight="1">
      <c r="A1476" s="9">
        <v>1637</v>
      </c>
      <c r="B1476" s="10"/>
      <c r="C1476" s="21">
        <v>231417</v>
      </c>
      <c r="D1476" s="22" t="s">
        <v>811</v>
      </c>
      <c r="E1476" s="23">
        <v>45127</v>
      </c>
      <c r="F1476" s="24">
        <v>45108</v>
      </c>
      <c r="G1476" s="25">
        <v>829725</v>
      </c>
      <c r="H1476" s="25" t="s">
        <v>3307</v>
      </c>
      <c r="I1476" s="233" t="s">
        <v>29</v>
      </c>
      <c r="J1476" s="10"/>
      <c r="K1476" s="39"/>
      <c r="L1476" s="40">
        <v>45169</v>
      </c>
      <c r="M1476" s="40">
        <v>45169</v>
      </c>
      <c r="N1476" s="37">
        <v>829725</v>
      </c>
      <c r="O1476" s="37">
        <v>0</v>
      </c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  <c r="Z1476" s="10"/>
    </row>
    <row r="1477" spans="1:26" ht="14.25" customHeight="1">
      <c r="A1477" s="9">
        <v>1638</v>
      </c>
      <c r="B1477" s="10"/>
      <c r="C1477" s="21">
        <v>231420</v>
      </c>
      <c r="D1477" s="22" t="s">
        <v>811</v>
      </c>
      <c r="E1477" s="23">
        <v>45128</v>
      </c>
      <c r="F1477" s="24">
        <v>45108</v>
      </c>
      <c r="G1477" s="25">
        <v>339660</v>
      </c>
      <c r="H1477" s="25" t="s">
        <v>3308</v>
      </c>
      <c r="I1477" s="233" t="s">
        <v>29</v>
      </c>
      <c r="J1477" s="10"/>
      <c r="K1477" s="39"/>
      <c r="L1477" s="40">
        <v>45169</v>
      </c>
      <c r="M1477" s="40">
        <v>45169</v>
      </c>
      <c r="N1477" s="37">
        <v>339660</v>
      </c>
      <c r="O1477" s="37">
        <v>0</v>
      </c>
      <c r="P1477" s="10"/>
      <c r="Q1477" s="10"/>
      <c r="R1477" s="10"/>
      <c r="S1477" s="10"/>
      <c r="T1477" s="10"/>
      <c r="U1477" s="10"/>
      <c r="V1477" s="10"/>
      <c r="W1477" s="10"/>
      <c r="X1477" s="10"/>
      <c r="Y1477" s="10"/>
      <c r="Z1477" s="10"/>
    </row>
    <row r="1478" spans="1:26" ht="14.25" customHeight="1">
      <c r="A1478" s="9">
        <v>1639</v>
      </c>
      <c r="B1478" s="10"/>
      <c r="C1478" s="21">
        <v>231421</v>
      </c>
      <c r="D1478" s="22" t="s">
        <v>811</v>
      </c>
      <c r="E1478" s="23">
        <v>45128</v>
      </c>
      <c r="F1478" s="24">
        <v>45108</v>
      </c>
      <c r="G1478" s="25">
        <v>93599</v>
      </c>
      <c r="H1478" s="25" t="s">
        <v>3309</v>
      </c>
      <c r="I1478" s="233" t="s">
        <v>29</v>
      </c>
      <c r="J1478" s="10"/>
      <c r="K1478" s="39"/>
      <c r="L1478" s="40">
        <v>45169</v>
      </c>
      <c r="M1478" s="40">
        <v>45169</v>
      </c>
      <c r="N1478" s="37">
        <v>93599</v>
      </c>
      <c r="O1478" s="37">
        <v>0</v>
      </c>
      <c r="P1478" s="10"/>
      <c r="Q1478" s="10"/>
      <c r="R1478" s="10"/>
      <c r="S1478" s="10"/>
      <c r="T1478" s="10"/>
      <c r="U1478" s="10"/>
      <c r="V1478" s="10"/>
      <c r="W1478" s="10"/>
      <c r="X1478" s="10"/>
      <c r="Y1478" s="10"/>
      <c r="Z1478" s="10"/>
    </row>
    <row r="1479" spans="1:26" ht="14.25" customHeight="1">
      <c r="A1479" s="9">
        <v>1640</v>
      </c>
      <c r="B1479" s="10"/>
      <c r="C1479" s="21">
        <v>231453</v>
      </c>
      <c r="D1479" s="22" t="s">
        <v>811</v>
      </c>
      <c r="E1479" s="23">
        <v>45132</v>
      </c>
      <c r="F1479" s="24">
        <v>45108</v>
      </c>
      <c r="G1479" s="25">
        <v>166500</v>
      </c>
      <c r="H1479" s="25" t="s">
        <v>3310</v>
      </c>
      <c r="I1479" s="233" t="s">
        <v>29</v>
      </c>
      <c r="J1479" s="10"/>
      <c r="K1479" s="39"/>
      <c r="L1479" s="40">
        <v>45169</v>
      </c>
      <c r="M1479" s="40">
        <v>45169</v>
      </c>
      <c r="N1479" s="37">
        <v>166500</v>
      </c>
      <c r="O1479" s="37">
        <v>0</v>
      </c>
      <c r="P1479" s="10"/>
      <c r="Q1479" s="10"/>
      <c r="R1479" s="10"/>
      <c r="S1479" s="10"/>
      <c r="T1479" s="10"/>
      <c r="U1479" s="10"/>
      <c r="V1479" s="10"/>
      <c r="W1479" s="10"/>
      <c r="X1479" s="10"/>
      <c r="Y1479" s="10"/>
      <c r="Z1479" s="10"/>
    </row>
    <row r="1480" spans="1:26" ht="14.25" customHeight="1">
      <c r="A1480" s="9">
        <v>1641</v>
      </c>
      <c r="B1480" s="10"/>
      <c r="C1480" s="21">
        <v>231472</v>
      </c>
      <c r="D1480" s="22" t="s">
        <v>811</v>
      </c>
      <c r="E1480" s="23">
        <v>45134</v>
      </c>
      <c r="F1480" s="24">
        <v>45108</v>
      </c>
      <c r="G1480" s="25">
        <v>1574729</v>
      </c>
      <c r="H1480" s="25" t="s">
        <v>3311</v>
      </c>
      <c r="I1480" s="233" t="s">
        <v>29</v>
      </c>
      <c r="J1480" s="10"/>
      <c r="K1480" s="39"/>
      <c r="L1480" s="40">
        <v>45169</v>
      </c>
      <c r="M1480" s="40">
        <v>45169</v>
      </c>
      <c r="N1480" s="37">
        <v>1574729</v>
      </c>
      <c r="O1480" s="37">
        <v>0</v>
      </c>
      <c r="P1480" s="10"/>
      <c r="Q1480" s="10"/>
      <c r="R1480" s="10"/>
      <c r="S1480" s="10"/>
      <c r="T1480" s="10"/>
      <c r="U1480" s="10"/>
      <c r="V1480" s="10"/>
      <c r="W1480" s="10"/>
      <c r="X1480" s="10"/>
      <c r="Y1480" s="10"/>
      <c r="Z1480" s="10"/>
    </row>
    <row r="1481" spans="1:26" ht="14.25" customHeight="1">
      <c r="A1481" s="9">
        <v>1642</v>
      </c>
      <c r="B1481" s="10"/>
      <c r="C1481" s="21">
        <v>231514</v>
      </c>
      <c r="D1481" s="22" t="s">
        <v>811</v>
      </c>
      <c r="E1481" s="23">
        <v>45140</v>
      </c>
      <c r="F1481" s="24">
        <v>45139</v>
      </c>
      <c r="G1481" s="25">
        <v>276728</v>
      </c>
      <c r="H1481" s="25" t="s">
        <v>3312</v>
      </c>
      <c r="I1481" s="233" t="s">
        <v>29</v>
      </c>
      <c r="J1481" s="10"/>
      <c r="K1481" s="39"/>
      <c r="L1481" s="40">
        <v>45169</v>
      </c>
      <c r="M1481" s="40">
        <v>45169</v>
      </c>
      <c r="N1481" s="37">
        <v>276728</v>
      </c>
      <c r="O1481" s="37">
        <v>0</v>
      </c>
      <c r="P1481" s="10"/>
      <c r="Q1481" s="10"/>
      <c r="R1481" s="10"/>
      <c r="S1481" s="10"/>
      <c r="T1481" s="10"/>
      <c r="U1481" s="10"/>
      <c r="V1481" s="10"/>
      <c r="W1481" s="10"/>
      <c r="X1481" s="10"/>
      <c r="Y1481" s="10"/>
      <c r="Z1481" s="10"/>
    </row>
    <row r="1482" spans="1:26" ht="14.25" customHeight="1">
      <c r="A1482" s="9">
        <v>1643</v>
      </c>
      <c r="B1482" s="10"/>
      <c r="C1482" s="21">
        <v>231515</v>
      </c>
      <c r="D1482" s="22" t="s">
        <v>811</v>
      </c>
      <c r="E1482" s="23">
        <v>45140</v>
      </c>
      <c r="F1482" s="24">
        <v>45139</v>
      </c>
      <c r="G1482" s="25">
        <v>2797200</v>
      </c>
      <c r="H1482" s="25" t="s">
        <v>3313</v>
      </c>
      <c r="I1482" s="233" t="s">
        <v>29</v>
      </c>
      <c r="J1482" s="10"/>
      <c r="K1482" s="39"/>
      <c r="L1482" s="40">
        <v>45169</v>
      </c>
      <c r="M1482" s="40">
        <v>45169</v>
      </c>
      <c r="N1482" s="37">
        <v>2797200</v>
      </c>
      <c r="O1482" s="37">
        <v>0</v>
      </c>
      <c r="P1482" s="10"/>
      <c r="Q1482" s="10"/>
      <c r="R1482" s="10"/>
      <c r="S1482" s="10"/>
      <c r="T1482" s="10"/>
      <c r="U1482" s="10"/>
      <c r="V1482" s="10"/>
      <c r="W1482" s="10"/>
      <c r="X1482" s="10"/>
      <c r="Y1482" s="10"/>
      <c r="Z1482" s="10"/>
    </row>
    <row r="1483" spans="1:26" ht="14.25" customHeight="1">
      <c r="A1483" s="9">
        <v>1644</v>
      </c>
      <c r="B1483" s="10"/>
      <c r="C1483" s="21">
        <v>231516</v>
      </c>
      <c r="D1483" s="22" t="s">
        <v>811</v>
      </c>
      <c r="E1483" s="23">
        <v>45141</v>
      </c>
      <c r="F1483" s="24">
        <v>45139</v>
      </c>
      <c r="G1483" s="25">
        <v>829725</v>
      </c>
      <c r="H1483" s="25" t="s">
        <v>3314</v>
      </c>
      <c r="I1483" s="233" t="s">
        <v>29</v>
      </c>
      <c r="J1483" s="10"/>
      <c r="K1483" s="39"/>
      <c r="L1483" s="40">
        <v>45169</v>
      </c>
      <c r="M1483" s="40">
        <v>45169</v>
      </c>
      <c r="N1483" s="37">
        <v>829725</v>
      </c>
      <c r="O1483" s="37">
        <v>0</v>
      </c>
      <c r="P1483" s="10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</row>
    <row r="1484" spans="1:26" ht="14.25" customHeight="1">
      <c r="A1484" s="9">
        <v>1646</v>
      </c>
      <c r="B1484" s="10"/>
      <c r="C1484" s="21">
        <v>231571</v>
      </c>
      <c r="D1484" s="22" t="s">
        <v>811</v>
      </c>
      <c r="E1484" s="23">
        <v>45141</v>
      </c>
      <c r="F1484" s="24">
        <v>45139</v>
      </c>
      <c r="G1484" s="25">
        <v>1418313</v>
      </c>
      <c r="H1484" s="25" t="s">
        <v>3315</v>
      </c>
      <c r="I1484" s="233" t="s">
        <v>29</v>
      </c>
      <c r="J1484" s="10"/>
      <c r="K1484" s="39"/>
      <c r="L1484" s="40">
        <v>45169</v>
      </c>
      <c r="M1484" s="40">
        <v>45169</v>
      </c>
      <c r="N1484" s="37">
        <v>1418313</v>
      </c>
      <c r="O1484" s="37">
        <v>0</v>
      </c>
      <c r="P1484" s="10"/>
      <c r="Q1484" s="10"/>
      <c r="R1484" s="10"/>
      <c r="S1484" s="10"/>
      <c r="T1484" s="10"/>
      <c r="U1484" s="10"/>
      <c r="V1484" s="10"/>
      <c r="W1484" s="10"/>
      <c r="X1484" s="10"/>
      <c r="Y1484" s="10"/>
      <c r="Z1484" s="10"/>
    </row>
    <row r="1485" spans="1:26" ht="14.25" customHeight="1">
      <c r="A1485" s="9">
        <v>1645</v>
      </c>
      <c r="B1485" s="10"/>
      <c r="C1485" s="21">
        <v>231569</v>
      </c>
      <c r="D1485" s="22" t="s">
        <v>811</v>
      </c>
      <c r="E1485" s="23">
        <v>45142</v>
      </c>
      <c r="F1485" s="24">
        <v>45139</v>
      </c>
      <c r="G1485" s="25">
        <v>502320</v>
      </c>
      <c r="H1485" s="25" t="s">
        <v>3316</v>
      </c>
      <c r="I1485" s="233" t="s">
        <v>29</v>
      </c>
      <c r="J1485" s="10"/>
      <c r="K1485" s="39"/>
      <c r="L1485" s="40">
        <v>45169</v>
      </c>
      <c r="M1485" s="40">
        <v>45169</v>
      </c>
      <c r="N1485" s="37">
        <v>502320</v>
      </c>
      <c r="O1485" s="37">
        <v>0</v>
      </c>
      <c r="P1485" s="10"/>
      <c r="Q1485" s="10"/>
      <c r="R1485" s="10"/>
      <c r="S1485" s="10"/>
      <c r="T1485" s="10"/>
      <c r="U1485" s="10"/>
      <c r="V1485" s="10"/>
      <c r="W1485" s="10"/>
      <c r="X1485" s="10"/>
      <c r="Y1485" s="10"/>
      <c r="Z1485" s="10"/>
    </row>
    <row r="1486" spans="1:26" ht="14.25" customHeight="1">
      <c r="A1486" s="9">
        <v>1658</v>
      </c>
      <c r="B1486" s="10"/>
      <c r="C1486" s="21">
        <v>231556</v>
      </c>
      <c r="D1486" s="22" t="s">
        <v>811</v>
      </c>
      <c r="E1486" s="23">
        <v>45147</v>
      </c>
      <c r="F1486" s="24">
        <v>45139</v>
      </c>
      <c r="G1486" s="25">
        <v>617279</v>
      </c>
      <c r="H1486" s="25" t="s">
        <v>3317</v>
      </c>
      <c r="I1486" s="233" t="s">
        <v>29</v>
      </c>
      <c r="J1486" s="10"/>
      <c r="K1486" s="39"/>
      <c r="L1486" s="40">
        <v>45199</v>
      </c>
      <c r="M1486" s="40">
        <v>45199</v>
      </c>
      <c r="N1486" s="37">
        <v>617279</v>
      </c>
      <c r="O1486" s="37">
        <v>0</v>
      </c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  <c r="Z1486" s="10"/>
    </row>
    <row r="1487" spans="1:26" ht="14.25" customHeight="1">
      <c r="A1487" s="9">
        <v>1657</v>
      </c>
      <c r="B1487" s="10"/>
      <c r="C1487" s="21">
        <v>231557</v>
      </c>
      <c r="D1487" s="22" t="s">
        <v>811</v>
      </c>
      <c r="E1487" s="23">
        <v>45147</v>
      </c>
      <c r="F1487" s="24">
        <v>45139</v>
      </c>
      <c r="G1487" s="25">
        <v>414119</v>
      </c>
      <c r="H1487" s="25" t="s">
        <v>3318</v>
      </c>
      <c r="I1487" s="233" t="s">
        <v>29</v>
      </c>
      <c r="J1487" s="10"/>
      <c r="K1487" s="39"/>
      <c r="L1487" s="40">
        <v>45199</v>
      </c>
      <c r="M1487" s="40">
        <v>45199</v>
      </c>
      <c r="N1487" s="37">
        <v>414119</v>
      </c>
      <c r="O1487" s="37">
        <v>0</v>
      </c>
      <c r="P1487" s="10"/>
      <c r="Q1487" s="10"/>
      <c r="R1487" s="10"/>
      <c r="S1487" s="10"/>
      <c r="T1487" s="10"/>
      <c r="U1487" s="10"/>
      <c r="V1487" s="10"/>
      <c r="W1487" s="10"/>
      <c r="X1487" s="10"/>
      <c r="Y1487" s="10"/>
      <c r="Z1487" s="10"/>
    </row>
    <row r="1488" spans="1:26" ht="14.25" customHeight="1">
      <c r="A1488" s="9">
        <v>1655</v>
      </c>
      <c r="B1488" s="10"/>
      <c r="C1488" s="21">
        <v>231558</v>
      </c>
      <c r="D1488" s="22" t="s">
        <v>811</v>
      </c>
      <c r="E1488" s="23">
        <v>45147</v>
      </c>
      <c r="F1488" s="24">
        <v>45139</v>
      </c>
      <c r="G1488" s="25">
        <v>1798200</v>
      </c>
      <c r="H1488" s="25" t="s">
        <v>3319</v>
      </c>
      <c r="I1488" s="233" t="s">
        <v>29</v>
      </c>
      <c r="J1488" s="10"/>
      <c r="K1488" s="39"/>
      <c r="L1488" s="40">
        <v>45199</v>
      </c>
      <c r="M1488" s="40">
        <v>45199</v>
      </c>
      <c r="N1488" s="37">
        <v>1798200</v>
      </c>
      <c r="O1488" s="37">
        <v>0</v>
      </c>
      <c r="P1488" s="10"/>
      <c r="Q1488" s="10"/>
      <c r="R1488" s="10"/>
      <c r="S1488" s="10"/>
      <c r="T1488" s="10"/>
      <c r="U1488" s="10"/>
      <c r="V1488" s="10"/>
      <c r="W1488" s="10"/>
      <c r="X1488" s="10"/>
      <c r="Y1488" s="10"/>
      <c r="Z1488" s="10"/>
    </row>
    <row r="1489" spans="1:26" ht="14.25" customHeight="1">
      <c r="A1489" s="9">
        <v>1656</v>
      </c>
      <c r="B1489" s="10"/>
      <c r="C1489" s="21">
        <v>231559</v>
      </c>
      <c r="D1489" s="22" t="s">
        <v>811</v>
      </c>
      <c r="E1489" s="23">
        <v>45147</v>
      </c>
      <c r="F1489" s="24">
        <v>45139</v>
      </c>
      <c r="G1489" s="25">
        <v>1032959</v>
      </c>
      <c r="H1489" s="25" t="s">
        <v>3320</v>
      </c>
      <c r="I1489" s="233" t="s">
        <v>29</v>
      </c>
      <c r="J1489" s="10"/>
      <c r="K1489" s="39"/>
      <c r="L1489" s="40">
        <v>45199</v>
      </c>
      <c r="M1489" s="40">
        <v>45199</v>
      </c>
      <c r="N1489" s="37">
        <v>1032959</v>
      </c>
      <c r="O1489" s="37">
        <v>0</v>
      </c>
      <c r="P1489" s="10"/>
      <c r="Q1489" s="10"/>
      <c r="R1489" s="10"/>
      <c r="S1489" s="10"/>
      <c r="T1489" s="10"/>
      <c r="U1489" s="10"/>
      <c r="V1489" s="10"/>
      <c r="W1489" s="10"/>
      <c r="X1489" s="10"/>
      <c r="Y1489" s="10"/>
      <c r="Z1489" s="10"/>
    </row>
    <row r="1490" spans="1:26" ht="14.25" customHeight="1">
      <c r="A1490" s="9">
        <v>1659</v>
      </c>
      <c r="B1490" s="10"/>
      <c r="C1490" s="21">
        <v>231583</v>
      </c>
      <c r="D1490" s="22" t="s">
        <v>811</v>
      </c>
      <c r="E1490" s="23">
        <v>45152</v>
      </c>
      <c r="F1490" s="24">
        <v>45139</v>
      </c>
      <c r="G1490" s="25">
        <v>678442</v>
      </c>
      <c r="H1490" s="25" t="s">
        <v>3321</v>
      </c>
      <c r="I1490" s="233" t="s">
        <v>29</v>
      </c>
      <c r="J1490" s="10"/>
      <c r="K1490" s="39"/>
      <c r="L1490" s="40">
        <v>45199</v>
      </c>
      <c r="M1490" s="40">
        <v>45199</v>
      </c>
      <c r="N1490" s="37">
        <v>678442</v>
      </c>
      <c r="O1490" s="37">
        <v>0</v>
      </c>
      <c r="P1490" s="10"/>
      <c r="Q1490" s="10"/>
      <c r="R1490" s="10"/>
      <c r="S1490" s="10"/>
      <c r="T1490" s="10"/>
      <c r="U1490" s="10"/>
      <c r="V1490" s="10"/>
      <c r="W1490" s="10"/>
      <c r="X1490" s="10"/>
      <c r="Y1490" s="10"/>
      <c r="Z1490" s="10"/>
    </row>
    <row r="1491" spans="1:26" ht="14.25" customHeight="1">
      <c r="A1491" s="9">
        <v>1661</v>
      </c>
      <c r="B1491" s="10"/>
      <c r="C1491" s="21">
        <v>231584</v>
      </c>
      <c r="D1491" s="22" t="s">
        <v>811</v>
      </c>
      <c r="E1491" s="23">
        <v>45152</v>
      </c>
      <c r="F1491" s="24">
        <v>45139</v>
      </c>
      <c r="G1491" s="25">
        <v>411188</v>
      </c>
      <c r="H1491" s="25" t="s">
        <v>3322</v>
      </c>
      <c r="I1491" s="233" t="s">
        <v>29</v>
      </c>
      <c r="J1491" s="10"/>
      <c r="K1491" s="39"/>
      <c r="L1491" s="40">
        <v>45199</v>
      </c>
      <c r="M1491" s="40">
        <v>45199</v>
      </c>
      <c r="N1491" s="37">
        <v>411188</v>
      </c>
      <c r="O1491" s="37">
        <v>0</v>
      </c>
      <c r="P1491" s="10"/>
      <c r="Q1491" s="10"/>
      <c r="R1491" s="10"/>
      <c r="S1491" s="10"/>
      <c r="T1491" s="10"/>
      <c r="U1491" s="10"/>
      <c r="V1491" s="10"/>
      <c r="W1491" s="10"/>
      <c r="X1491" s="10"/>
      <c r="Y1491" s="10"/>
      <c r="Z1491" s="10"/>
    </row>
    <row r="1492" spans="1:26" ht="14.25" customHeight="1">
      <c r="A1492" s="9">
        <v>1660</v>
      </c>
      <c r="B1492" s="10"/>
      <c r="C1492" s="21">
        <v>231585</v>
      </c>
      <c r="D1492" s="22" t="s">
        <v>811</v>
      </c>
      <c r="E1492" s="23">
        <v>45152</v>
      </c>
      <c r="F1492" s="24">
        <v>45139</v>
      </c>
      <c r="G1492" s="25">
        <v>1418313</v>
      </c>
      <c r="H1492" s="25" t="s">
        <v>3323</v>
      </c>
      <c r="I1492" s="233" t="s">
        <v>29</v>
      </c>
      <c r="J1492" s="10"/>
      <c r="K1492" s="39"/>
      <c r="L1492" s="40">
        <v>45199</v>
      </c>
      <c r="M1492" s="40">
        <v>45199</v>
      </c>
      <c r="N1492" s="37">
        <v>1418313</v>
      </c>
      <c r="O1492" s="37">
        <v>0</v>
      </c>
      <c r="P1492" s="10"/>
      <c r="Q1492" s="10"/>
      <c r="R1492" s="10"/>
      <c r="S1492" s="10"/>
      <c r="T1492" s="10"/>
      <c r="U1492" s="10"/>
      <c r="V1492" s="10"/>
      <c r="W1492" s="10"/>
      <c r="X1492" s="10"/>
      <c r="Y1492" s="10"/>
      <c r="Z1492" s="10"/>
    </row>
    <row r="1493" spans="1:26" ht="14.25" customHeight="1">
      <c r="A1493" s="9">
        <v>1664</v>
      </c>
      <c r="B1493" s="10"/>
      <c r="C1493" s="21">
        <v>231662</v>
      </c>
      <c r="D1493" s="22" t="s">
        <v>811</v>
      </c>
      <c r="E1493" s="23">
        <v>45154</v>
      </c>
      <c r="F1493" s="24">
        <v>45139</v>
      </c>
      <c r="G1493" s="25">
        <v>2249781</v>
      </c>
      <c r="H1493" s="25" t="s">
        <v>3324</v>
      </c>
      <c r="I1493" s="233" t="s">
        <v>29</v>
      </c>
      <c r="J1493" s="10"/>
      <c r="K1493" s="39"/>
      <c r="L1493" s="40">
        <v>45199</v>
      </c>
      <c r="M1493" s="40">
        <v>45199</v>
      </c>
      <c r="N1493" s="37">
        <v>2249781</v>
      </c>
      <c r="O1493" s="37">
        <v>0</v>
      </c>
      <c r="P1493" s="10"/>
      <c r="Q1493" s="10"/>
      <c r="R1493" s="10"/>
      <c r="S1493" s="10"/>
      <c r="T1493" s="10"/>
      <c r="U1493" s="10"/>
      <c r="V1493" s="10"/>
      <c r="W1493" s="10"/>
      <c r="X1493" s="10"/>
      <c r="Y1493" s="10"/>
      <c r="Z1493" s="10"/>
    </row>
    <row r="1494" spans="1:26" ht="14.25" customHeight="1">
      <c r="A1494" s="9">
        <v>1662</v>
      </c>
      <c r="B1494" s="10"/>
      <c r="C1494" s="21">
        <v>231664</v>
      </c>
      <c r="D1494" s="22" t="s">
        <v>811</v>
      </c>
      <c r="E1494" s="23">
        <v>45154</v>
      </c>
      <c r="F1494" s="24">
        <v>45139</v>
      </c>
      <c r="G1494" s="25">
        <v>675990</v>
      </c>
      <c r="H1494" s="25" t="s">
        <v>3325</v>
      </c>
      <c r="I1494" s="233" t="s">
        <v>29</v>
      </c>
      <c r="J1494" s="10"/>
      <c r="K1494" s="39"/>
      <c r="L1494" s="40">
        <v>45199</v>
      </c>
      <c r="M1494" s="40">
        <v>45199</v>
      </c>
      <c r="N1494" s="37">
        <v>675990</v>
      </c>
      <c r="O1494" s="37">
        <v>0</v>
      </c>
      <c r="P1494" s="10"/>
      <c r="Q1494" s="10"/>
      <c r="R1494" s="10"/>
      <c r="S1494" s="10"/>
      <c r="T1494" s="10"/>
      <c r="U1494" s="10"/>
      <c r="V1494" s="10"/>
      <c r="W1494" s="10"/>
      <c r="X1494" s="10"/>
      <c r="Y1494" s="10"/>
      <c r="Z1494" s="10"/>
    </row>
    <row r="1495" spans="1:26" ht="14.25" customHeight="1">
      <c r="A1495" s="9">
        <v>1663</v>
      </c>
      <c r="B1495" s="10"/>
      <c r="C1495" s="21">
        <v>231665</v>
      </c>
      <c r="D1495" s="22" t="s">
        <v>811</v>
      </c>
      <c r="E1495" s="23">
        <v>45154</v>
      </c>
      <c r="F1495" s="24">
        <v>45139</v>
      </c>
      <c r="G1495" s="25">
        <v>1252200</v>
      </c>
      <c r="H1495" s="25" t="s">
        <v>3326</v>
      </c>
      <c r="I1495" s="233" t="s">
        <v>29</v>
      </c>
      <c r="J1495" s="10"/>
      <c r="K1495" s="39"/>
      <c r="L1495" s="40">
        <v>45199</v>
      </c>
      <c r="M1495" s="40">
        <v>45199</v>
      </c>
      <c r="N1495" s="37">
        <v>1252200</v>
      </c>
      <c r="O1495" s="37">
        <v>0</v>
      </c>
      <c r="P1495" s="10"/>
      <c r="Q1495" s="10"/>
      <c r="R1495" s="10"/>
      <c r="S1495" s="10"/>
      <c r="T1495" s="10"/>
      <c r="U1495" s="10"/>
      <c r="V1495" s="10"/>
      <c r="W1495" s="10"/>
      <c r="X1495" s="10"/>
      <c r="Y1495" s="10"/>
      <c r="Z1495" s="10"/>
    </row>
    <row r="1496" spans="1:26" ht="14.25" customHeight="1">
      <c r="A1496" s="9">
        <v>1665</v>
      </c>
      <c r="B1496" s="10"/>
      <c r="C1496" s="21">
        <v>231661</v>
      </c>
      <c r="D1496" s="22" t="s">
        <v>811</v>
      </c>
      <c r="E1496" s="23">
        <v>45156</v>
      </c>
      <c r="F1496" s="24">
        <v>45139</v>
      </c>
      <c r="G1496" s="25">
        <v>984116</v>
      </c>
      <c r="H1496" s="25" t="s">
        <v>3327</v>
      </c>
      <c r="I1496" s="233" t="s">
        <v>29</v>
      </c>
      <c r="J1496" s="10"/>
      <c r="K1496" s="39"/>
      <c r="L1496" s="40">
        <v>45199</v>
      </c>
      <c r="M1496" s="40">
        <v>45199</v>
      </c>
      <c r="N1496" s="37">
        <v>984116</v>
      </c>
      <c r="O1496" s="37">
        <v>0</v>
      </c>
      <c r="P1496" s="10"/>
      <c r="Q1496" s="10"/>
      <c r="R1496" s="10"/>
      <c r="S1496" s="10"/>
      <c r="T1496" s="10"/>
      <c r="U1496" s="10"/>
      <c r="V1496" s="10"/>
      <c r="W1496" s="10"/>
      <c r="X1496" s="10"/>
      <c r="Y1496" s="10"/>
      <c r="Z1496" s="10"/>
    </row>
    <row r="1497" spans="1:26" ht="14.25" customHeight="1">
      <c r="A1497" s="9">
        <v>1669</v>
      </c>
      <c r="B1497" s="10"/>
      <c r="C1497" s="21">
        <v>231704</v>
      </c>
      <c r="D1497" s="22" t="s">
        <v>811</v>
      </c>
      <c r="E1497" s="23">
        <v>45162</v>
      </c>
      <c r="F1497" s="24">
        <v>45139</v>
      </c>
      <c r="G1497" s="25">
        <v>2024525</v>
      </c>
      <c r="H1497" s="25" t="s">
        <v>3328</v>
      </c>
      <c r="I1497" s="233" t="s">
        <v>29</v>
      </c>
      <c r="J1497" s="10"/>
      <c r="K1497" s="39"/>
      <c r="L1497" s="40">
        <v>45225</v>
      </c>
      <c r="M1497" s="40">
        <v>45225</v>
      </c>
      <c r="N1497" s="37">
        <v>2024525</v>
      </c>
      <c r="O1497" s="37">
        <v>0</v>
      </c>
      <c r="P1497" s="10"/>
      <c r="Q1497" s="10"/>
      <c r="R1497" s="10"/>
      <c r="S1497" s="10"/>
      <c r="T1497" s="10"/>
      <c r="U1497" s="10"/>
      <c r="V1497" s="10"/>
      <c r="W1497" s="10"/>
      <c r="X1497" s="10"/>
      <c r="Y1497" s="10"/>
      <c r="Z1497" s="10"/>
    </row>
    <row r="1498" spans="1:26" ht="14.25" customHeight="1">
      <c r="A1498" s="9">
        <v>1670</v>
      </c>
      <c r="B1498" s="10"/>
      <c r="C1498" s="21">
        <v>231705</v>
      </c>
      <c r="D1498" s="22" t="s">
        <v>811</v>
      </c>
      <c r="E1498" s="23">
        <v>45162</v>
      </c>
      <c r="F1498" s="24">
        <v>45139</v>
      </c>
      <c r="G1498" s="25">
        <v>66600</v>
      </c>
      <c r="H1498" s="25" t="s">
        <v>3329</v>
      </c>
      <c r="I1498" s="233" t="s">
        <v>29</v>
      </c>
      <c r="J1498" s="10"/>
      <c r="K1498" s="39"/>
      <c r="L1498" s="40">
        <v>45225</v>
      </c>
      <c r="M1498" s="40">
        <v>45225</v>
      </c>
      <c r="N1498" s="37">
        <v>66600</v>
      </c>
      <c r="O1498" s="37">
        <v>0</v>
      </c>
      <c r="P1498" s="10"/>
      <c r="Q1498" s="10"/>
      <c r="R1498" s="10"/>
      <c r="S1498" s="10"/>
      <c r="T1498" s="10"/>
      <c r="U1498" s="10"/>
      <c r="V1498" s="10"/>
      <c r="W1498" s="10"/>
      <c r="X1498" s="10"/>
      <c r="Y1498" s="10"/>
      <c r="Z1498" s="10"/>
    </row>
    <row r="1499" spans="1:26" ht="14.25" customHeight="1">
      <c r="A1499" s="9">
        <v>1666</v>
      </c>
      <c r="B1499" s="10"/>
      <c r="C1499" s="21">
        <v>231741</v>
      </c>
      <c r="D1499" s="22" t="s">
        <v>811</v>
      </c>
      <c r="E1499" s="23">
        <v>45166</v>
      </c>
      <c r="F1499" s="24">
        <v>45139</v>
      </c>
      <c r="G1499" s="25">
        <v>596999</v>
      </c>
      <c r="H1499" s="25" t="s">
        <v>3330</v>
      </c>
      <c r="I1499" s="233" t="s">
        <v>29</v>
      </c>
      <c r="J1499" s="27">
        <v>18859364</v>
      </c>
      <c r="K1499" s="39">
        <v>45224</v>
      </c>
      <c r="L1499" s="40">
        <v>45225</v>
      </c>
      <c r="M1499" s="40">
        <v>45225</v>
      </c>
      <c r="N1499" s="37">
        <v>596999</v>
      </c>
      <c r="O1499" s="37">
        <v>0</v>
      </c>
      <c r="P1499" s="10"/>
      <c r="Q1499" s="10"/>
      <c r="R1499" s="10"/>
      <c r="S1499" s="10"/>
      <c r="T1499" s="10"/>
      <c r="U1499" s="10"/>
      <c r="V1499" s="10"/>
      <c r="W1499" s="10"/>
      <c r="X1499" s="10"/>
      <c r="Y1499" s="10"/>
      <c r="Z1499" s="10"/>
    </row>
    <row r="1500" spans="1:26" ht="14.25" customHeight="1">
      <c r="A1500" s="9">
        <v>1667</v>
      </c>
      <c r="B1500" s="10"/>
      <c r="C1500" s="21">
        <v>231756</v>
      </c>
      <c r="D1500" s="22" t="s">
        <v>811</v>
      </c>
      <c r="E1500" s="23">
        <v>45166</v>
      </c>
      <c r="F1500" s="24">
        <v>45139</v>
      </c>
      <c r="G1500" s="25">
        <v>2969827</v>
      </c>
      <c r="H1500" s="25" t="s">
        <v>3331</v>
      </c>
      <c r="I1500" s="233" t="s">
        <v>29</v>
      </c>
      <c r="J1500" s="10"/>
      <c r="K1500" s="39"/>
      <c r="L1500" s="40">
        <v>45225</v>
      </c>
      <c r="M1500" s="40">
        <v>45225</v>
      </c>
      <c r="N1500" s="37">
        <v>2969827</v>
      </c>
      <c r="O1500" s="37">
        <v>0</v>
      </c>
      <c r="P1500" s="10"/>
      <c r="Q1500" s="10"/>
      <c r="R1500" s="10"/>
      <c r="S1500" s="10"/>
      <c r="T1500" s="10"/>
      <c r="U1500" s="10"/>
      <c r="V1500" s="10"/>
      <c r="W1500" s="10"/>
      <c r="X1500" s="10"/>
      <c r="Y1500" s="10"/>
      <c r="Z1500" s="10"/>
    </row>
    <row r="1501" spans="1:26" ht="14.25" customHeight="1">
      <c r="A1501" s="9">
        <v>1668</v>
      </c>
      <c r="B1501" s="10"/>
      <c r="C1501" s="21">
        <v>231757</v>
      </c>
      <c r="D1501" s="22" t="s">
        <v>811</v>
      </c>
      <c r="E1501" s="23">
        <v>45166</v>
      </c>
      <c r="F1501" s="24">
        <v>45139</v>
      </c>
      <c r="G1501" s="25">
        <v>3216780</v>
      </c>
      <c r="H1501" s="25" t="s">
        <v>3332</v>
      </c>
      <c r="I1501" s="233" t="s">
        <v>29</v>
      </c>
      <c r="J1501" s="10"/>
      <c r="K1501" s="39"/>
      <c r="L1501" s="40">
        <v>45225</v>
      </c>
      <c r="M1501" s="40">
        <v>45225</v>
      </c>
      <c r="N1501" s="37">
        <v>3216780</v>
      </c>
      <c r="O1501" s="37">
        <v>0</v>
      </c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</row>
    <row r="1502" spans="1:26" ht="14.25" customHeight="1">
      <c r="A1502" s="9">
        <v>1672</v>
      </c>
      <c r="B1502" s="10"/>
      <c r="C1502" s="21">
        <v>231778</v>
      </c>
      <c r="D1502" s="22" t="s">
        <v>811</v>
      </c>
      <c r="E1502" s="23">
        <v>45168</v>
      </c>
      <c r="F1502" s="24">
        <v>45139</v>
      </c>
      <c r="G1502" s="25">
        <v>359640</v>
      </c>
      <c r="H1502" s="25" t="s">
        <v>3333</v>
      </c>
      <c r="I1502" s="233" t="s">
        <v>29</v>
      </c>
      <c r="J1502" s="10"/>
      <c r="K1502" s="39"/>
      <c r="L1502" s="40">
        <v>45225</v>
      </c>
      <c r="M1502" s="40">
        <v>45225</v>
      </c>
      <c r="N1502" s="37">
        <v>359640</v>
      </c>
      <c r="O1502" s="37">
        <v>0</v>
      </c>
      <c r="P1502" s="10"/>
      <c r="Q1502" s="10"/>
      <c r="R1502" s="10"/>
      <c r="S1502" s="10"/>
      <c r="T1502" s="10"/>
      <c r="U1502" s="10"/>
      <c r="V1502" s="10"/>
      <c r="W1502" s="10"/>
      <c r="X1502" s="10"/>
      <c r="Y1502" s="10"/>
      <c r="Z1502" s="10"/>
    </row>
    <row r="1503" spans="1:26" ht="14.25" customHeight="1">
      <c r="A1503" s="9">
        <v>1671</v>
      </c>
      <c r="B1503" s="10"/>
      <c r="C1503" s="21">
        <v>231794</v>
      </c>
      <c r="D1503" s="22" t="s">
        <v>811</v>
      </c>
      <c r="E1503" s="23">
        <v>45168</v>
      </c>
      <c r="F1503" s="24">
        <v>45139</v>
      </c>
      <c r="G1503" s="25">
        <v>396503</v>
      </c>
      <c r="H1503" s="25" t="s">
        <v>3334</v>
      </c>
      <c r="I1503" s="233" t="s">
        <v>29</v>
      </c>
      <c r="J1503" s="10"/>
      <c r="K1503" s="39"/>
      <c r="L1503" s="40">
        <v>45225</v>
      </c>
      <c r="M1503" s="40">
        <v>45225</v>
      </c>
      <c r="N1503" s="37">
        <v>396503</v>
      </c>
      <c r="O1503" s="37">
        <v>0</v>
      </c>
      <c r="P1503" s="10"/>
      <c r="Q1503" s="10"/>
      <c r="R1503" s="10"/>
      <c r="S1503" s="10"/>
      <c r="T1503" s="10"/>
      <c r="U1503" s="10"/>
      <c r="V1503" s="10"/>
      <c r="W1503" s="10"/>
      <c r="X1503" s="10"/>
      <c r="Y1503" s="10"/>
      <c r="Z1503" s="10"/>
    </row>
    <row r="1504" spans="1:26" ht="14.25" customHeight="1">
      <c r="A1504" s="9">
        <v>1673</v>
      </c>
      <c r="B1504" s="10"/>
      <c r="C1504" s="21">
        <v>231817</v>
      </c>
      <c r="D1504" s="22" t="s">
        <v>811</v>
      </c>
      <c r="E1504" s="23">
        <v>45169</v>
      </c>
      <c r="F1504" s="24">
        <v>45139</v>
      </c>
      <c r="G1504" s="25">
        <v>218999</v>
      </c>
      <c r="H1504" s="25" t="s">
        <v>3335</v>
      </c>
      <c r="I1504" s="233" t="s">
        <v>29</v>
      </c>
      <c r="J1504" s="10"/>
      <c r="K1504" s="39"/>
      <c r="L1504" s="40">
        <v>45225</v>
      </c>
      <c r="M1504" s="40">
        <v>45225</v>
      </c>
      <c r="N1504" s="37">
        <v>218999</v>
      </c>
      <c r="O1504" s="37">
        <v>0</v>
      </c>
      <c r="P1504" s="10"/>
      <c r="Q1504" s="10"/>
      <c r="R1504" s="10"/>
      <c r="S1504" s="10"/>
      <c r="T1504" s="10"/>
      <c r="U1504" s="10"/>
      <c r="V1504" s="10"/>
      <c r="W1504" s="10"/>
      <c r="X1504" s="10"/>
      <c r="Y1504" s="10"/>
      <c r="Z1504" s="10"/>
    </row>
    <row r="1505" spans="1:26" ht="14.25" customHeight="1">
      <c r="A1505" s="9">
        <v>1675</v>
      </c>
      <c r="B1505" s="10"/>
      <c r="C1505" s="21">
        <v>231872</v>
      </c>
      <c r="D1505" s="22" t="s">
        <v>811</v>
      </c>
      <c r="E1505" s="23">
        <v>45175</v>
      </c>
      <c r="F1505" s="24">
        <v>45170</v>
      </c>
      <c r="G1505" s="25">
        <v>606060</v>
      </c>
      <c r="H1505" s="25" t="s">
        <v>3336</v>
      </c>
      <c r="I1505" s="233" t="s">
        <v>29</v>
      </c>
      <c r="J1505" s="10"/>
      <c r="K1505" s="39"/>
      <c r="L1505" s="40">
        <v>45225</v>
      </c>
      <c r="M1505" s="40">
        <v>45225</v>
      </c>
      <c r="N1505" s="37">
        <v>606060</v>
      </c>
      <c r="O1505" s="37">
        <v>0</v>
      </c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  <c r="Z1505" s="10"/>
    </row>
    <row r="1506" spans="1:26" ht="14.25" customHeight="1">
      <c r="A1506" s="9">
        <v>1674</v>
      </c>
      <c r="B1506" s="10"/>
      <c r="C1506" s="21">
        <v>231873</v>
      </c>
      <c r="D1506" s="22" t="s">
        <v>811</v>
      </c>
      <c r="E1506" s="23">
        <v>45175</v>
      </c>
      <c r="F1506" s="24">
        <v>45170</v>
      </c>
      <c r="G1506" s="25">
        <v>555000</v>
      </c>
      <c r="H1506" s="25" t="s">
        <v>3337</v>
      </c>
      <c r="I1506" s="233" t="s">
        <v>29</v>
      </c>
      <c r="J1506" s="10"/>
      <c r="K1506" s="39"/>
      <c r="L1506" s="40">
        <v>45225</v>
      </c>
      <c r="M1506" s="40">
        <v>45225</v>
      </c>
      <c r="N1506" s="37">
        <v>555000</v>
      </c>
      <c r="O1506" s="37">
        <v>0</v>
      </c>
      <c r="P1506" s="10"/>
      <c r="Q1506" s="10"/>
      <c r="R1506" s="10"/>
      <c r="S1506" s="10"/>
      <c r="T1506" s="10"/>
      <c r="U1506" s="10"/>
      <c r="V1506" s="10"/>
      <c r="W1506" s="10"/>
      <c r="X1506" s="10"/>
      <c r="Y1506" s="10"/>
      <c r="Z1506" s="10"/>
    </row>
    <row r="1507" spans="1:26" ht="14.25" customHeight="1">
      <c r="A1507" s="9">
        <v>1676</v>
      </c>
      <c r="B1507" s="10"/>
      <c r="C1507" s="21">
        <v>231885</v>
      </c>
      <c r="D1507" s="22" t="s">
        <v>811</v>
      </c>
      <c r="E1507" s="23">
        <v>45181</v>
      </c>
      <c r="F1507" s="24">
        <v>45170</v>
      </c>
      <c r="G1507" s="25">
        <v>172494</v>
      </c>
      <c r="H1507" s="25" t="s">
        <v>3338</v>
      </c>
      <c r="I1507" s="233" t="s">
        <v>29</v>
      </c>
      <c r="J1507" s="10"/>
      <c r="K1507" s="39"/>
      <c r="L1507" s="40">
        <v>45225</v>
      </c>
      <c r="M1507" s="40">
        <v>45225</v>
      </c>
      <c r="N1507" s="37">
        <v>172494</v>
      </c>
      <c r="O1507" s="37">
        <v>0</v>
      </c>
      <c r="P1507" s="10"/>
      <c r="Q1507" s="10"/>
      <c r="R1507" s="10"/>
      <c r="S1507" s="10"/>
      <c r="T1507" s="10"/>
      <c r="U1507" s="10"/>
      <c r="V1507" s="10"/>
      <c r="W1507" s="10"/>
      <c r="X1507" s="10"/>
      <c r="Y1507" s="10"/>
      <c r="Z1507" s="10"/>
    </row>
    <row r="1508" spans="1:26" ht="14.25" customHeight="1">
      <c r="A1508" s="9">
        <v>1678</v>
      </c>
      <c r="B1508" s="10"/>
      <c r="C1508" s="21">
        <v>231896</v>
      </c>
      <c r="D1508" s="22" t="s">
        <v>811</v>
      </c>
      <c r="E1508" s="23">
        <v>45183</v>
      </c>
      <c r="F1508" s="24">
        <v>45170</v>
      </c>
      <c r="G1508" s="25">
        <v>1238760</v>
      </c>
      <c r="H1508" s="25" t="s">
        <v>3339</v>
      </c>
      <c r="I1508" s="233" t="s">
        <v>29</v>
      </c>
      <c r="J1508" s="10"/>
      <c r="K1508" s="39"/>
      <c r="L1508" s="40">
        <v>45225</v>
      </c>
      <c r="M1508" s="40">
        <v>45225</v>
      </c>
      <c r="N1508" s="37">
        <v>1238760</v>
      </c>
      <c r="O1508" s="37">
        <v>0</v>
      </c>
      <c r="P1508" s="41"/>
      <c r="Q1508" s="41"/>
      <c r="R1508" s="41"/>
      <c r="S1508" s="41"/>
      <c r="T1508" s="41"/>
      <c r="U1508" s="41"/>
      <c r="V1508" s="41"/>
      <c r="W1508" s="41"/>
      <c r="X1508" s="41"/>
      <c r="Y1508" s="41"/>
      <c r="Z1508" s="41"/>
    </row>
    <row r="1509" spans="1:26" ht="14.25" customHeight="1">
      <c r="A1509" s="9">
        <v>1677</v>
      </c>
      <c r="B1509" s="10"/>
      <c r="C1509" s="21">
        <v>231897</v>
      </c>
      <c r="D1509" s="22" t="s">
        <v>811</v>
      </c>
      <c r="E1509" s="23">
        <v>45183</v>
      </c>
      <c r="F1509" s="24">
        <v>45170</v>
      </c>
      <c r="G1509" s="25">
        <v>1058399</v>
      </c>
      <c r="H1509" s="25" t="s">
        <v>3340</v>
      </c>
      <c r="I1509" s="233" t="s">
        <v>29</v>
      </c>
      <c r="J1509" s="10"/>
      <c r="K1509" s="39"/>
      <c r="L1509" s="40">
        <v>45225</v>
      </c>
      <c r="M1509" s="40">
        <v>45225</v>
      </c>
      <c r="N1509" s="37">
        <v>1058399</v>
      </c>
      <c r="O1509" s="37">
        <v>0</v>
      </c>
      <c r="P1509" s="10"/>
      <c r="Q1509" s="10"/>
      <c r="R1509" s="10"/>
      <c r="S1509" s="10"/>
      <c r="T1509" s="10"/>
      <c r="U1509" s="10"/>
      <c r="V1509" s="10"/>
      <c r="W1509" s="10"/>
      <c r="X1509" s="10"/>
      <c r="Y1509" s="10"/>
      <c r="Z1509" s="10"/>
    </row>
    <row r="1510" spans="1:26" ht="14.25" customHeight="1">
      <c r="A1510" s="9">
        <v>1681</v>
      </c>
      <c r="B1510" s="10"/>
      <c r="C1510" s="21">
        <v>231907</v>
      </c>
      <c r="D1510" s="22" t="s">
        <v>811</v>
      </c>
      <c r="E1510" s="23">
        <v>45187</v>
      </c>
      <c r="F1510" s="24">
        <v>45170</v>
      </c>
      <c r="G1510" s="25">
        <v>477274</v>
      </c>
      <c r="H1510" s="25" t="s">
        <v>3341</v>
      </c>
      <c r="I1510" s="233" t="s">
        <v>29</v>
      </c>
      <c r="J1510" s="10"/>
      <c r="K1510" s="39"/>
      <c r="L1510" s="40">
        <v>45225</v>
      </c>
      <c r="M1510" s="40">
        <v>45225</v>
      </c>
      <c r="N1510" s="37">
        <v>477274</v>
      </c>
      <c r="O1510" s="37">
        <v>0</v>
      </c>
      <c r="P1510" s="10"/>
      <c r="Q1510" s="10"/>
      <c r="R1510" s="10"/>
      <c r="S1510" s="10"/>
      <c r="T1510" s="10"/>
      <c r="U1510" s="10"/>
      <c r="V1510" s="10"/>
      <c r="W1510" s="10"/>
      <c r="X1510" s="10"/>
      <c r="Y1510" s="10"/>
      <c r="Z1510" s="10"/>
    </row>
    <row r="1511" spans="1:26" ht="14.25" customHeight="1">
      <c r="A1511" s="9">
        <v>1680</v>
      </c>
      <c r="B1511" s="10"/>
      <c r="C1511" s="21">
        <v>231908</v>
      </c>
      <c r="D1511" s="22" t="s">
        <v>811</v>
      </c>
      <c r="E1511" s="23">
        <v>45187</v>
      </c>
      <c r="F1511" s="24">
        <v>45170</v>
      </c>
      <c r="G1511" s="25">
        <v>929701</v>
      </c>
      <c r="H1511" s="25" t="s">
        <v>3342</v>
      </c>
      <c r="I1511" s="233" t="s">
        <v>29</v>
      </c>
      <c r="J1511" s="10"/>
      <c r="K1511" s="39"/>
      <c r="L1511" s="40">
        <v>45225</v>
      </c>
      <c r="M1511" s="40">
        <v>45225</v>
      </c>
      <c r="N1511" s="37">
        <v>929701</v>
      </c>
      <c r="O1511" s="37">
        <v>0</v>
      </c>
      <c r="P1511" s="10"/>
      <c r="Q1511" s="10"/>
      <c r="R1511" s="10"/>
      <c r="S1511" s="10"/>
      <c r="T1511" s="10"/>
      <c r="U1511" s="10"/>
      <c r="V1511" s="10"/>
      <c r="W1511" s="10"/>
      <c r="X1511" s="10"/>
      <c r="Y1511" s="10"/>
      <c r="Z1511" s="10"/>
    </row>
    <row r="1512" spans="1:26" ht="14.25" customHeight="1">
      <c r="A1512" s="9">
        <v>1683</v>
      </c>
      <c r="B1512" s="10"/>
      <c r="C1512" s="21">
        <v>231914</v>
      </c>
      <c r="D1512" s="22" t="s">
        <v>811</v>
      </c>
      <c r="E1512" s="23">
        <v>45187</v>
      </c>
      <c r="F1512" s="24">
        <v>45170</v>
      </c>
      <c r="G1512" s="25">
        <v>3069372</v>
      </c>
      <c r="H1512" s="25" t="s">
        <v>3343</v>
      </c>
      <c r="I1512" s="233" t="s">
        <v>29</v>
      </c>
      <c r="J1512" s="10"/>
      <c r="K1512" s="39"/>
      <c r="L1512" s="40">
        <v>45225</v>
      </c>
      <c r="M1512" s="40">
        <v>45225</v>
      </c>
      <c r="N1512" s="37">
        <v>3069372</v>
      </c>
      <c r="O1512" s="37">
        <v>0</v>
      </c>
      <c r="P1512" s="10"/>
      <c r="Q1512" s="10"/>
      <c r="R1512" s="10"/>
      <c r="S1512" s="10"/>
      <c r="T1512" s="10"/>
      <c r="U1512" s="10"/>
      <c r="V1512" s="10"/>
      <c r="W1512" s="10"/>
      <c r="X1512" s="10"/>
      <c r="Y1512" s="10"/>
      <c r="Z1512" s="10"/>
    </row>
    <row r="1513" spans="1:26" ht="14.25" customHeight="1">
      <c r="A1513" s="9">
        <v>1682</v>
      </c>
      <c r="B1513" s="10"/>
      <c r="C1513" s="21">
        <v>231915</v>
      </c>
      <c r="D1513" s="22" t="s">
        <v>811</v>
      </c>
      <c r="E1513" s="23">
        <v>45187</v>
      </c>
      <c r="F1513" s="24">
        <v>45170</v>
      </c>
      <c r="G1513" s="25">
        <v>478832</v>
      </c>
      <c r="H1513" s="25" t="s">
        <v>3344</v>
      </c>
      <c r="I1513" s="233" t="s">
        <v>29</v>
      </c>
      <c r="J1513" s="10"/>
      <c r="K1513" s="39"/>
      <c r="L1513" s="40">
        <v>45225</v>
      </c>
      <c r="M1513" s="40">
        <v>45225</v>
      </c>
      <c r="N1513" s="37">
        <v>478832</v>
      </c>
      <c r="O1513" s="37">
        <v>0</v>
      </c>
      <c r="P1513" s="10"/>
      <c r="Q1513" s="10"/>
      <c r="R1513" s="10"/>
      <c r="S1513" s="10"/>
      <c r="T1513" s="10"/>
      <c r="U1513" s="10"/>
      <c r="V1513" s="10"/>
      <c r="W1513" s="10"/>
      <c r="X1513" s="10"/>
      <c r="Y1513" s="10"/>
      <c r="Z1513" s="10"/>
    </row>
    <row r="1514" spans="1:26" ht="14.25" customHeight="1">
      <c r="A1514" s="9">
        <v>1679</v>
      </c>
      <c r="B1514" s="10"/>
      <c r="C1514" s="21">
        <v>231932</v>
      </c>
      <c r="D1514" s="22" t="s">
        <v>811</v>
      </c>
      <c r="E1514" s="23">
        <v>45187</v>
      </c>
      <c r="F1514" s="24">
        <v>45170</v>
      </c>
      <c r="G1514" s="25">
        <v>423599</v>
      </c>
      <c r="H1514" s="25" t="s">
        <v>3345</v>
      </c>
      <c r="I1514" s="233" t="s">
        <v>29</v>
      </c>
      <c r="J1514" s="10"/>
      <c r="K1514" s="39"/>
      <c r="L1514" s="40">
        <v>45225</v>
      </c>
      <c r="M1514" s="40">
        <v>45225</v>
      </c>
      <c r="N1514" s="37">
        <v>423599</v>
      </c>
      <c r="O1514" s="37">
        <v>0</v>
      </c>
      <c r="P1514" s="10"/>
      <c r="Q1514" s="10"/>
      <c r="R1514" s="10"/>
      <c r="S1514" s="10"/>
      <c r="T1514" s="10"/>
      <c r="U1514" s="10"/>
      <c r="V1514" s="10"/>
      <c r="W1514" s="10"/>
      <c r="X1514" s="10"/>
      <c r="Y1514" s="10"/>
      <c r="Z1514" s="10"/>
    </row>
    <row r="1515" spans="1:26" ht="14.25" customHeight="1">
      <c r="A1515" s="9">
        <v>1684</v>
      </c>
      <c r="B1515" s="10"/>
      <c r="C1515" s="21">
        <v>231928</v>
      </c>
      <c r="D1515" s="22" t="s">
        <v>811</v>
      </c>
      <c r="E1515" s="23">
        <v>45190</v>
      </c>
      <c r="F1515" s="24">
        <v>45170</v>
      </c>
      <c r="G1515" s="25">
        <v>133200</v>
      </c>
      <c r="H1515" s="25" t="s">
        <v>3346</v>
      </c>
      <c r="I1515" s="233" t="s">
        <v>29</v>
      </c>
      <c r="J1515" s="27">
        <v>17678184</v>
      </c>
      <c r="K1515" s="39">
        <v>45240</v>
      </c>
      <c r="L1515" s="40">
        <v>45240</v>
      </c>
      <c r="M1515" s="40">
        <v>45240</v>
      </c>
      <c r="N1515" s="37">
        <v>133200</v>
      </c>
      <c r="O1515" s="37">
        <v>0</v>
      </c>
      <c r="P1515" s="10"/>
      <c r="Q1515" s="10"/>
      <c r="R1515" s="10"/>
      <c r="S1515" s="10"/>
      <c r="T1515" s="10"/>
      <c r="U1515" s="10"/>
      <c r="V1515" s="10"/>
      <c r="W1515" s="10"/>
      <c r="X1515" s="10"/>
      <c r="Y1515" s="10"/>
      <c r="Z1515" s="10"/>
    </row>
    <row r="1516" spans="1:26" ht="14.25" customHeight="1">
      <c r="A1516" s="9">
        <v>1686</v>
      </c>
      <c r="B1516" s="10"/>
      <c r="C1516" s="21">
        <v>231929</v>
      </c>
      <c r="D1516" s="22" t="s">
        <v>811</v>
      </c>
      <c r="E1516" s="23">
        <v>45190</v>
      </c>
      <c r="F1516" s="24">
        <v>45170</v>
      </c>
      <c r="G1516" s="25">
        <v>699300</v>
      </c>
      <c r="H1516" s="25" t="s">
        <v>3347</v>
      </c>
      <c r="I1516" s="233" t="s">
        <v>29</v>
      </c>
      <c r="J1516" s="10"/>
      <c r="K1516" s="39"/>
      <c r="L1516" s="40">
        <v>45240</v>
      </c>
      <c r="M1516" s="40">
        <v>45240</v>
      </c>
      <c r="N1516" s="37">
        <v>699300</v>
      </c>
      <c r="O1516" s="37">
        <v>0</v>
      </c>
      <c r="P1516" s="41"/>
      <c r="Q1516" s="41"/>
      <c r="R1516" s="41"/>
      <c r="S1516" s="41"/>
      <c r="T1516" s="41"/>
      <c r="U1516" s="41"/>
      <c r="V1516" s="41"/>
      <c r="W1516" s="41"/>
      <c r="X1516" s="41"/>
      <c r="Y1516" s="41"/>
      <c r="Z1516" s="41"/>
    </row>
    <row r="1517" spans="1:26" ht="14.25" customHeight="1">
      <c r="A1517" s="9">
        <v>1685</v>
      </c>
      <c r="B1517" s="10"/>
      <c r="C1517" s="21">
        <v>231930</v>
      </c>
      <c r="D1517" s="22" t="s">
        <v>811</v>
      </c>
      <c r="E1517" s="23">
        <v>45190</v>
      </c>
      <c r="F1517" s="24">
        <v>45170</v>
      </c>
      <c r="G1517" s="25">
        <v>925350</v>
      </c>
      <c r="H1517" s="25" t="s">
        <v>3348</v>
      </c>
      <c r="I1517" s="233" t="s">
        <v>29</v>
      </c>
      <c r="J1517" s="10"/>
      <c r="K1517" s="39"/>
      <c r="L1517" s="40">
        <v>45240</v>
      </c>
      <c r="M1517" s="40">
        <v>45240</v>
      </c>
      <c r="N1517" s="37">
        <v>925350</v>
      </c>
      <c r="O1517" s="37">
        <v>0</v>
      </c>
      <c r="P1517" s="10"/>
      <c r="Q1517" s="10"/>
      <c r="R1517" s="10"/>
      <c r="S1517" s="10"/>
      <c r="T1517" s="10"/>
      <c r="U1517" s="10"/>
      <c r="V1517" s="10"/>
      <c r="W1517" s="10"/>
      <c r="X1517" s="10"/>
      <c r="Y1517" s="10"/>
      <c r="Z1517" s="10"/>
    </row>
    <row r="1518" spans="1:26" ht="14.25" customHeight="1">
      <c r="A1518" s="9">
        <v>1687</v>
      </c>
      <c r="B1518" s="10"/>
      <c r="C1518" s="21">
        <v>231931</v>
      </c>
      <c r="D1518" s="22" t="s">
        <v>811</v>
      </c>
      <c r="E1518" s="23">
        <v>45191</v>
      </c>
      <c r="F1518" s="24">
        <v>45170</v>
      </c>
      <c r="G1518" s="25">
        <v>498757</v>
      </c>
      <c r="H1518" s="25" t="s">
        <v>3349</v>
      </c>
      <c r="I1518" s="233" t="s">
        <v>29</v>
      </c>
      <c r="J1518" s="10"/>
      <c r="K1518" s="39"/>
      <c r="L1518" s="40">
        <v>45240</v>
      </c>
      <c r="M1518" s="40">
        <v>45240</v>
      </c>
      <c r="N1518" s="37">
        <v>498757</v>
      </c>
      <c r="O1518" s="37">
        <v>0</v>
      </c>
      <c r="P1518" s="10"/>
      <c r="Q1518" s="10"/>
      <c r="R1518" s="10"/>
      <c r="S1518" s="10"/>
      <c r="T1518" s="10"/>
      <c r="U1518" s="10"/>
      <c r="V1518" s="10"/>
      <c r="W1518" s="10"/>
      <c r="X1518" s="10"/>
      <c r="Y1518" s="10"/>
      <c r="Z1518" s="10"/>
    </row>
    <row r="1519" spans="1:26" ht="14.25" customHeight="1">
      <c r="A1519" s="9">
        <v>1689</v>
      </c>
      <c r="B1519" s="10"/>
      <c r="C1519" s="21">
        <v>231982</v>
      </c>
      <c r="D1519" s="22" t="s">
        <v>811</v>
      </c>
      <c r="E1519" s="23">
        <v>45195</v>
      </c>
      <c r="F1519" s="24">
        <v>45170</v>
      </c>
      <c r="G1519" s="25">
        <v>2471440</v>
      </c>
      <c r="H1519" s="25" t="s">
        <v>3350</v>
      </c>
      <c r="I1519" s="233" t="s">
        <v>29</v>
      </c>
      <c r="J1519" s="10"/>
      <c r="K1519" s="39"/>
      <c r="L1519" s="40">
        <v>45240</v>
      </c>
      <c r="M1519" s="40">
        <v>45240</v>
      </c>
      <c r="N1519" s="37">
        <v>2471440</v>
      </c>
      <c r="O1519" s="37">
        <v>0</v>
      </c>
      <c r="P1519" s="10"/>
      <c r="Q1519" s="10"/>
      <c r="R1519" s="10"/>
      <c r="S1519" s="10"/>
      <c r="T1519" s="10"/>
      <c r="U1519" s="10"/>
      <c r="V1519" s="10"/>
      <c r="W1519" s="52"/>
      <c r="X1519" s="10"/>
      <c r="Y1519" s="10"/>
      <c r="Z1519" s="10"/>
    </row>
    <row r="1520" spans="1:26" ht="14.25" customHeight="1">
      <c r="A1520" s="9">
        <v>1688</v>
      </c>
      <c r="B1520" s="10"/>
      <c r="C1520" s="21">
        <v>231983</v>
      </c>
      <c r="D1520" s="22" t="s">
        <v>811</v>
      </c>
      <c r="E1520" s="23">
        <v>45195</v>
      </c>
      <c r="F1520" s="24">
        <v>45170</v>
      </c>
      <c r="G1520" s="25">
        <v>849150</v>
      </c>
      <c r="H1520" s="25" t="s">
        <v>3351</v>
      </c>
      <c r="I1520" s="233" t="s">
        <v>29</v>
      </c>
      <c r="J1520" s="10"/>
      <c r="K1520" s="39"/>
      <c r="L1520" s="40">
        <v>45240</v>
      </c>
      <c r="M1520" s="40">
        <v>45240</v>
      </c>
      <c r="N1520" s="37">
        <v>849150</v>
      </c>
      <c r="O1520" s="37">
        <v>0</v>
      </c>
      <c r="P1520" s="10"/>
      <c r="Q1520" s="10"/>
      <c r="R1520" s="10"/>
      <c r="S1520" s="10"/>
      <c r="T1520" s="10"/>
      <c r="U1520" s="10"/>
      <c r="V1520" s="10"/>
      <c r="W1520" s="52"/>
      <c r="X1520" s="10"/>
      <c r="Y1520" s="10"/>
      <c r="Z1520" s="10"/>
    </row>
    <row r="1521" spans="1:26" ht="14.25" customHeight="1">
      <c r="A1521" s="9">
        <v>1691</v>
      </c>
      <c r="B1521" s="10"/>
      <c r="C1521" s="21">
        <v>232027</v>
      </c>
      <c r="D1521" s="22" t="s">
        <v>811</v>
      </c>
      <c r="E1521" s="23">
        <v>45201</v>
      </c>
      <c r="F1521" s="24">
        <v>45200</v>
      </c>
      <c r="G1521" s="25">
        <v>1180391</v>
      </c>
      <c r="H1521" s="25" t="s">
        <v>3352</v>
      </c>
      <c r="I1521" s="233" t="s">
        <v>29</v>
      </c>
      <c r="J1521" s="10"/>
      <c r="K1521" s="39"/>
      <c r="L1521" s="40">
        <v>45240</v>
      </c>
      <c r="M1521" s="40">
        <v>45240</v>
      </c>
      <c r="N1521" s="37">
        <v>1180391</v>
      </c>
      <c r="O1521" s="37">
        <v>0</v>
      </c>
      <c r="P1521" s="41"/>
      <c r="Q1521" s="41"/>
      <c r="R1521" s="41"/>
      <c r="S1521" s="41"/>
      <c r="T1521" s="41"/>
      <c r="U1521" s="41"/>
      <c r="V1521" s="41"/>
      <c r="W1521" s="86"/>
      <c r="X1521" s="41"/>
      <c r="Y1521" s="41"/>
      <c r="Z1521" s="41"/>
    </row>
    <row r="1522" spans="1:26" ht="14.25" customHeight="1">
      <c r="A1522" s="9">
        <v>1690</v>
      </c>
      <c r="B1522" s="10"/>
      <c r="C1522" s="21">
        <v>232028</v>
      </c>
      <c r="D1522" s="22" t="s">
        <v>811</v>
      </c>
      <c r="E1522" s="23">
        <v>45201</v>
      </c>
      <c r="F1522" s="24">
        <v>45200</v>
      </c>
      <c r="G1522" s="25">
        <v>712148</v>
      </c>
      <c r="H1522" s="25" t="s">
        <v>3353</v>
      </c>
      <c r="I1522" s="233" t="s">
        <v>29</v>
      </c>
      <c r="J1522" s="10"/>
      <c r="K1522" s="39"/>
      <c r="L1522" s="40">
        <v>45240</v>
      </c>
      <c r="M1522" s="40">
        <v>45240</v>
      </c>
      <c r="N1522" s="37">
        <v>712148</v>
      </c>
      <c r="O1522" s="37">
        <v>0</v>
      </c>
      <c r="P1522" s="10"/>
      <c r="Q1522" s="10"/>
      <c r="R1522" s="10"/>
      <c r="S1522" s="10"/>
      <c r="T1522" s="10"/>
      <c r="U1522" s="10"/>
      <c r="V1522" s="10"/>
      <c r="W1522" s="10"/>
      <c r="X1522" s="10"/>
      <c r="Y1522" s="10"/>
      <c r="Z1522" s="10"/>
    </row>
    <row r="1523" spans="1:26" ht="14.25" customHeight="1">
      <c r="A1523" s="9">
        <v>1693</v>
      </c>
      <c r="B1523" s="10"/>
      <c r="C1523" s="21">
        <v>232054</v>
      </c>
      <c r="D1523" s="22" t="s">
        <v>811</v>
      </c>
      <c r="E1523" s="23">
        <v>45203</v>
      </c>
      <c r="F1523" s="24">
        <v>45200</v>
      </c>
      <c r="G1523" s="25">
        <v>4604058</v>
      </c>
      <c r="H1523" s="25" t="s">
        <v>3354</v>
      </c>
      <c r="I1523" s="233" t="s">
        <v>29</v>
      </c>
      <c r="J1523" s="10"/>
      <c r="K1523" s="39"/>
      <c r="L1523" s="40">
        <v>45240</v>
      </c>
      <c r="M1523" s="40">
        <v>45240</v>
      </c>
      <c r="N1523" s="37">
        <v>4604058</v>
      </c>
      <c r="O1523" s="37">
        <v>0</v>
      </c>
      <c r="P1523" s="10"/>
      <c r="Q1523" s="10"/>
      <c r="R1523" s="10"/>
      <c r="S1523" s="10"/>
      <c r="T1523" s="10"/>
      <c r="U1523" s="10"/>
      <c r="V1523" s="10"/>
      <c r="W1523" s="10"/>
      <c r="X1523" s="10"/>
      <c r="Y1523" s="10"/>
      <c r="Z1523" s="10"/>
    </row>
    <row r="1524" spans="1:26" ht="14.25" customHeight="1">
      <c r="A1524" s="9">
        <v>1692</v>
      </c>
      <c r="B1524" s="10"/>
      <c r="C1524" s="21">
        <v>232056</v>
      </c>
      <c r="D1524" s="22" t="s">
        <v>811</v>
      </c>
      <c r="E1524" s="23">
        <v>45203</v>
      </c>
      <c r="F1524" s="24">
        <v>45200</v>
      </c>
      <c r="G1524" s="25">
        <v>5604390</v>
      </c>
      <c r="H1524" s="25" t="s">
        <v>3355</v>
      </c>
      <c r="I1524" s="233" t="s">
        <v>29</v>
      </c>
      <c r="J1524" s="10"/>
      <c r="K1524" s="39"/>
      <c r="L1524" s="40">
        <v>45240</v>
      </c>
      <c r="M1524" s="40">
        <v>45240</v>
      </c>
      <c r="N1524" s="37">
        <v>5604390</v>
      </c>
      <c r="O1524" s="37">
        <v>0</v>
      </c>
      <c r="P1524" s="10"/>
      <c r="Q1524" s="10"/>
      <c r="R1524" s="10"/>
      <c r="S1524" s="10"/>
      <c r="T1524" s="10"/>
      <c r="U1524" s="10"/>
      <c r="V1524" s="10"/>
      <c r="W1524" s="10"/>
      <c r="X1524" s="10"/>
      <c r="Y1524" s="10"/>
      <c r="Z1524" s="10"/>
    </row>
    <row r="1525" spans="1:26" ht="14.25" customHeight="1">
      <c r="A1525" s="9">
        <v>1695</v>
      </c>
      <c r="B1525" s="10"/>
      <c r="C1525" s="21">
        <v>232111</v>
      </c>
      <c r="D1525" s="22" t="s">
        <v>811</v>
      </c>
      <c r="E1525" s="23">
        <v>45208</v>
      </c>
      <c r="F1525" s="24">
        <v>45200</v>
      </c>
      <c r="G1525" s="25">
        <v>849150</v>
      </c>
      <c r="H1525" s="25" t="s">
        <v>3356</v>
      </c>
      <c r="I1525" s="233" t="s">
        <v>29</v>
      </c>
      <c r="J1525" s="10"/>
      <c r="K1525" s="39"/>
      <c r="L1525" s="40">
        <v>45265</v>
      </c>
      <c r="M1525" s="40">
        <v>45265</v>
      </c>
      <c r="N1525" s="37">
        <v>849150</v>
      </c>
      <c r="O1525" s="37">
        <v>0</v>
      </c>
      <c r="P1525" s="10"/>
      <c r="Q1525" s="10"/>
      <c r="R1525" s="10"/>
      <c r="S1525" s="10"/>
      <c r="T1525" s="10"/>
      <c r="U1525" s="10"/>
      <c r="V1525" s="10"/>
      <c r="W1525" s="10"/>
      <c r="X1525" s="10"/>
      <c r="Y1525" s="10"/>
      <c r="Z1525" s="10"/>
    </row>
    <row r="1526" spans="1:26" ht="14.25" customHeight="1">
      <c r="A1526" s="9">
        <v>1694</v>
      </c>
      <c r="B1526" s="10"/>
      <c r="C1526" s="21">
        <v>232113</v>
      </c>
      <c r="D1526" s="22" t="s">
        <v>811</v>
      </c>
      <c r="E1526" s="23">
        <v>45208</v>
      </c>
      <c r="F1526" s="24">
        <v>45200</v>
      </c>
      <c r="G1526" s="25">
        <v>2836627</v>
      </c>
      <c r="H1526" s="25" t="s">
        <v>3357</v>
      </c>
      <c r="I1526" s="233" t="s">
        <v>29</v>
      </c>
      <c r="J1526" s="27">
        <v>21459040</v>
      </c>
      <c r="K1526" s="39">
        <v>45265</v>
      </c>
      <c r="L1526" s="40">
        <v>45265</v>
      </c>
      <c r="M1526" s="40">
        <v>45265</v>
      </c>
      <c r="N1526" s="37">
        <v>2836627</v>
      </c>
      <c r="O1526" s="37">
        <v>0</v>
      </c>
      <c r="P1526" s="10"/>
      <c r="Q1526" s="10"/>
      <c r="R1526" s="10"/>
      <c r="S1526" s="10"/>
      <c r="T1526" s="10"/>
      <c r="U1526" s="10"/>
      <c r="V1526" s="10"/>
      <c r="W1526" s="10"/>
      <c r="X1526" s="10"/>
      <c r="Y1526" s="10"/>
      <c r="Z1526" s="10"/>
    </row>
    <row r="1527" spans="1:26" ht="14.25" customHeight="1">
      <c r="A1527" s="9">
        <v>1696</v>
      </c>
      <c r="B1527" s="10"/>
      <c r="C1527" s="21">
        <v>232115</v>
      </c>
      <c r="D1527" s="22" t="s">
        <v>811</v>
      </c>
      <c r="E1527" s="23">
        <v>45208</v>
      </c>
      <c r="F1527" s="24">
        <v>45200</v>
      </c>
      <c r="G1527" s="25">
        <v>399600</v>
      </c>
      <c r="H1527" s="25" t="s">
        <v>3358</v>
      </c>
      <c r="I1527" s="233" t="s">
        <v>29</v>
      </c>
      <c r="J1527" s="10"/>
      <c r="K1527" s="39"/>
      <c r="L1527" s="40">
        <v>45265</v>
      </c>
      <c r="M1527" s="40">
        <v>45265</v>
      </c>
      <c r="N1527" s="37">
        <v>399600</v>
      </c>
      <c r="O1527" s="37">
        <v>0</v>
      </c>
      <c r="P1527" s="10"/>
      <c r="Q1527" s="10"/>
      <c r="R1527" s="10"/>
      <c r="S1527" s="10"/>
      <c r="T1527" s="10"/>
      <c r="U1527" s="10"/>
      <c r="V1527" s="10"/>
      <c r="W1527" s="10"/>
      <c r="X1527" s="10"/>
      <c r="Y1527" s="10"/>
      <c r="Z1527" s="10"/>
    </row>
    <row r="1528" spans="1:26" ht="14.25" customHeight="1">
      <c r="A1528" s="9">
        <v>1697</v>
      </c>
      <c r="B1528" s="10"/>
      <c r="C1528" s="21">
        <v>232112</v>
      </c>
      <c r="D1528" s="22" t="s">
        <v>811</v>
      </c>
      <c r="E1528" s="23">
        <v>45209</v>
      </c>
      <c r="F1528" s="24">
        <v>45200</v>
      </c>
      <c r="G1528" s="25">
        <v>518271</v>
      </c>
      <c r="H1528" s="25" t="s">
        <v>3359</v>
      </c>
      <c r="I1528" s="233" t="s">
        <v>29</v>
      </c>
      <c r="J1528" s="10"/>
      <c r="K1528" s="39"/>
      <c r="L1528" s="40">
        <v>45265</v>
      </c>
      <c r="M1528" s="40">
        <v>45265</v>
      </c>
      <c r="N1528" s="37">
        <v>518271</v>
      </c>
      <c r="O1528" s="37">
        <v>0</v>
      </c>
      <c r="P1528" s="10"/>
      <c r="Q1528" s="10"/>
      <c r="R1528" s="10"/>
      <c r="S1528" s="10"/>
      <c r="T1528" s="10"/>
      <c r="U1528" s="10"/>
      <c r="V1528" s="10"/>
      <c r="W1528" s="10"/>
      <c r="X1528" s="10"/>
      <c r="Y1528" s="10"/>
      <c r="Z1528" s="10"/>
    </row>
    <row r="1529" spans="1:26" ht="14.25" customHeight="1">
      <c r="A1529" s="9">
        <v>1698</v>
      </c>
      <c r="B1529" s="10"/>
      <c r="C1529" s="21">
        <v>232114</v>
      </c>
      <c r="D1529" s="22" t="s">
        <v>811</v>
      </c>
      <c r="E1529" s="23">
        <v>45209</v>
      </c>
      <c r="F1529" s="24">
        <v>45200</v>
      </c>
      <c r="G1529" s="25">
        <v>1962660</v>
      </c>
      <c r="H1529" s="25" t="s">
        <v>3360</v>
      </c>
      <c r="I1529" s="233" t="s">
        <v>29</v>
      </c>
      <c r="J1529" s="10"/>
      <c r="K1529" s="39"/>
      <c r="L1529" s="40">
        <v>45265</v>
      </c>
      <c r="M1529" s="40">
        <v>45265</v>
      </c>
      <c r="N1529" s="37">
        <v>1962660</v>
      </c>
      <c r="O1529" s="37">
        <v>0</v>
      </c>
      <c r="P1529" s="10"/>
      <c r="Q1529" s="10"/>
      <c r="R1529" s="10"/>
      <c r="S1529" s="10"/>
      <c r="T1529" s="10"/>
      <c r="U1529" s="10"/>
      <c r="V1529" s="10"/>
      <c r="W1529" s="10"/>
      <c r="X1529" s="10"/>
      <c r="Y1529" s="10"/>
      <c r="Z1529" s="10"/>
    </row>
    <row r="1530" spans="1:26" ht="14.25" customHeight="1">
      <c r="A1530" s="9">
        <v>1699</v>
      </c>
      <c r="B1530" s="10"/>
      <c r="C1530" s="21">
        <v>232116</v>
      </c>
      <c r="D1530" s="22" t="s">
        <v>811</v>
      </c>
      <c r="E1530" s="23">
        <v>45215</v>
      </c>
      <c r="F1530" s="24">
        <v>45200</v>
      </c>
      <c r="G1530" s="25">
        <v>5098896</v>
      </c>
      <c r="H1530" s="25" t="s">
        <v>3361</v>
      </c>
      <c r="I1530" s="233" t="s">
        <v>29</v>
      </c>
      <c r="J1530" s="10"/>
      <c r="K1530" s="39"/>
      <c r="L1530" s="40">
        <v>45265</v>
      </c>
      <c r="M1530" s="40">
        <v>45265</v>
      </c>
      <c r="N1530" s="37">
        <v>5098896</v>
      </c>
      <c r="O1530" s="37">
        <v>0</v>
      </c>
      <c r="P1530" s="10"/>
      <c r="Q1530" s="10"/>
      <c r="R1530" s="10"/>
      <c r="S1530" s="10"/>
      <c r="T1530" s="10"/>
      <c r="U1530" s="10"/>
      <c r="V1530" s="10"/>
      <c r="W1530" s="10"/>
      <c r="X1530" s="10"/>
      <c r="Y1530" s="10"/>
      <c r="Z1530" s="10"/>
    </row>
    <row r="1531" spans="1:26" ht="14.25" customHeight="1">
      <c r="A1531" s="9">
        <v>1700</v>
      </c>
      <c r="B1531" s="10"/>
      <c r="C1531" s="21">
        <v>232117</v>
      </c>
      <c r="D1531" s="22" t="s">
        <v>811</v>
      </c>
      <c r="E1531" s="23">
        <v>45216</v>
      </c>
      <c r="F1531" s="24">
        <v>45200</v>
      </c>
      <c r="G1531" s="25">
        <v>555000</v>
      </c>
      <c r="H1531" s="25" t="s">
        <v>3362</v>
      </c>
      <c r="I1531" s="233" t="s">
        <v>29</v>
      </c>
      <c r="J1531" s="10"/>
      <c r="K1531" s="39"/>
      <c r="L1531" s="40">
        <v>45265</v>
      </c>
      <c r="M1531" s="40">
        <v>45265</v>
      </c>
      <c r="N1531" s="37">
        <v>555000</v>
      </c>
      <c r="O1531" s="37">
        <v>0</v>
      </c>
      <c r="P1531" s="10"/>
      <c r="Q1531" s="10"/>
      <c r="R1531" s="10"/>
      <c r="S1531" s="10"/>
      <c r="T1531" s="10"/>
      <c r="U1531" s="10"/>
      <c r="V1531" s="10"/>
      <c r="W1531" s="10"/>
      <c r="X1531" s="10"/>
      <c r="Y1531" s="10"/>
      <c r="Z1531" s="10"/>
    </row>
    <row r="1532" spans="1:26" ht="14.25" customHeight="1">
      <c r="A1532" s="9">
        <v>1701</v>
      </c>
      <c r="B1532" s="10"/>
      <c r="C1532" s="21">
        <v>232118</v>
      </c>
      <c r="D1532" s="22" t="s">
        <v>811</v>
      </c>
      <c r="E1532" s="23">
        <v>45216</v>
      </c>
      <c r="F1532" s="24">
        <v>45200</v>
      </c>
      <c r="G1532" s="25">
        <v>3496500</v>
      </c>
      <c r="H1532" s="25" t="s">
        <v>3363</v>
      </c>
      <c r="I1532" s="233" t="s">
        <v>29</v>
      </c>
      <c r="J1532" s="10"/>
      <c r="K1532" s="39"/>
      <c r="L1532" s="40">
        <v>45265</v>
      </c>
      <c r="M1532" s="40">
        <v>45265</v>
      </c>
      <c r="N1532" s="37">
        <v>3496500</v>
      </c>
      <c r="O1532" s="37">
        <v>0</v>
      </c>
      <c r="P1532" s="10"/>
      <c r="Q1532" s="10"/>
      <c r="R1532" s="10"/>
      <c r="S1532" s="10"/>
      <c r="T1532" s="10"/>
      <c r="U1532" s="10"/>
      <c r="V1532" s="10"/>
      <c r="W1532" s="10"/>
      <c r="X1532" s="10"/>
      <c r="Y1532" s="10"/>
      <c r="Z1532" s="10"/>
    </row>
    <row r="1533" spans="1:26" ht="14.25" customHeight="1">
      <c r="A1533" s="9">
        <v>1702</v>
      </c>
      <c r="B1533" s="10"/>
      <c r="C1533" s="21">
        <v>232119</v>
      </c>
      <c r="D1533" s="22" t="s">
        <v>811</v>
      </c>
      <c r="E1533" s="23">
        <v>45216</v>
      </c>
      <c r="F1533" s="24">
        <v>45200</v>
      </c>
      <c r="G1533" s="25">
        <v>166500</v>
      </c>
      <c r="H1533" s="25" t="s">
        <v>3364</v>
      </c>
      <c r="I1533" s="233" t="s">
        <v>29</v>
      </c>
      <c r="J1533" s="10"/>
      <c r="K1533" s="39"/>
      <c r="L1533" s="40">
        <v>45265</v>
      </c>
      <c r="M1533" s="40">
        <v>45265</v>
      </c>
      <c r="N1533" s="37">
        <v>166500</v>
      </c>
      <c r="O1533" s="37">
        <v>0</v>
      </c>
      <c r="P1533" s="10"/>
      <c r="Q1533" s="10"/>
      <c r="R1533" s="10"/>
      <c r="S1533" s="10"/>
      <c r="T1533" s="10"/>
      <c r="U1533" s="10"/>
      <c r="V1533" s="10"/>
      <c r="W1533" s="10"/>
      <c r="X1533" s="10"/>
      <c r="Y1533" s="10"/>
      <c r="Z1533" s="10"/>
    </row>
    <row r="1534" spans="1:26" ht="14.25" customHeight="1">
      <c r="A1534" s="9">
        <v>1703</v>
      </c>
      <c r="B1534" s="10"/>
      <c r="C1534" s="21">
        <v>232158</v>
      </c>
      <c r="D1534" s="22" t="s">
        <v>811</v>
      </c>
      <c r="E1534" s="23">
        <v>45222</v>
      </c>
      <c r="F1534" s="24">
        <v>45200</v>
      </c>
      <c r="G1534" s="25">
        <v>898649</v>
      </c>
      <c r="H1534" s="25" t="s">
        <v>3365</v>
      </c>
      <c r="I1534" s="233" t="s">
        <v>29</v>
      </c>
      <c r="J1534" s="10"/>
      <c r="K1534" s="39"/>
      <c r="L1534" s="40">
        <v>45265</v>
      </c>
      <c r="M1534" s="40">
        <v>45265</v>
      </c>
      <c r="N1534" s="37">
        <v>898649</v>
      </c>
      <c r="O1534" s="37">
        <v>0</v>
      </c>
      <c r="P1534" s="10"/>
      <c r="Q1534" s="10"/>
      <c r="R1534" s="10"/>
      <c r="S1534" s="10"/>
      <c r="T1534" s="10"/>
      <c r="U1534" s="10"/>
      <c r="V1534" s="10"/>
      <c r="W1534" s="10"/>
      <c r="X1534" s="10"/>
      <c r="Y1534" s="10"/>
      <c r="Z1534" s="10"/>
    </row>
    <row r="1535" spans="1:26" ht="14.25" customHeight="1">
      <c r="A1535" s="9">
        <v>1704</v>
      </c>
      <c r="B1535" s="10"/>
      <c r="C1535" s="21">
        <v>232159</v>
      </c>
      <c r="D1535" s="22" t="s">
        <v>811</v>
      </c>
      <c r="E1535" s="23">
        <v>45222</v>
      </c>
      <c r="F1535" s="24">
        <v>45200</v>
      </c>
      <c r="G1535" s="25">
        <v>1834879</v>
      </c>
      <c r="H1535" s="25" t="s">
        <v>3366</v>
      </c>
      <c r="I1535" s="233" t="s">
        <v>29</v>
      </c>
      <c r="J1535" s="10"/>
      <c r="K1535" s="39"/>
      <c r="L1535" s="40">
        <v>45265</v>
      </c>
      <c r="M1535" s="40">
        <v>45265</v>
      </c>
      <c r="N1535" s="37">
        <v>1834879</v>
      </c>
      <c r="O1535" s="37">
        <v>0</v>
      </c>
      <c r="P1535" s="10"/>
      <c r="Q1535" s="10"/>
      <c r="R1535" s="10"/>
      <c r="S1535" s="10"/>
      <c r="T1535" s="10"/>
      <c r="U1535" s="10"/>
      <c r="V1535" s="10"/>
      <c r="W1535" s="10"/>
      <c r="X1535" s="10"/>
      <c r="Y1535" s="10"/>
      <c r="Z1535" s="10"/>
    </row>
    <row r="1536" spans="1:26" ht="14.25" customHeight="1">
      <c r="A1536" s="9">
        <v>1705</v>
      </c>
      <c r="B1536" s="10"/>
      <c r="C1536" s="21">
        <v>232160</v>
      </c>
      <c r="D1536" s="22" t="s">
        <v>811</v>
      </c>
      <c r="E1536" s="23">
        <v>45222</v>
      </c>
      <c r="F1536" s="24">
        <v>45200</v>
      </c>
      <c r="G1536" s="25">
        <v>1499854</v>
      </c>
      <c r="H1536" s="25" t="s">
        <v>3367</v>
      </c>
      <c r="I1536" s="233" t="s">
        <v>29</v>
      </c>
      <c r="J1536" s="10"/>
      <c r="K1536" s="39"/>
      <c r="L1536" s="40">
        <v>45265</v>
      </c>
      <c r="M1536" s="40">
        <v>45265</v>
      </c>
      <c r="N1536" s="37">
        <v>1499854</v>
      </c>
      <c r="O1536" s="37">
        <v>0</v>
      </c>
      <c r="P1536" s="10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</row>
    <row r="1537" spans="1:26" ht="14.25" customHeight="1">
      <c r="A1537" s="9">
        <v>1706</v>
      </c>
      <c r="B1537" s="10"/>
      <c r="C1537" s="21">
        <v>232163</v>
      </c>
      <c r="D1537" s="22" t="s">
        <v>811</v>
      </c>
      <c r="E1537" s="23">
        <v>45223</v>
      </c>
      <c r="F1537" s="24">
        <v>45200</v>
      </c>
      <c r="G1537" s="25">
        <v>65399</v>
      </c>
      <c r="H1537" s="25" t="s">
        <v>3368</v>
      </c>
      <c r="I1537" s="233" t="s">
        <v>29</v>
      </c>
      <c r="J1537" s="10"/>
      <c r="K1537" s="39"/>
      <c r="L1537" s="40">
        <v>45265</v>
      </c>
      <c r="M1537" s="40">
        <v>45265</v>
      </c>
      <c r="N1537" s="37">
        <v>65399</v>
      </c>
      <c r="O1537" s="37">
        <v>0</v>
      </c>
      <c r="P1537" s="10"/>
      <c r="Q1537" s="10"/>
      <c r="R1537" s="10"/>
      <c r="S1537" s="10"/>
      <c r="T1537" s="10"/>
      <c r="U1537" s="10"/>
      <c r="V1537" s="10"/>
      <c r="W1537" s="10"/>
      <c r="X1537" s="10"/>
      <c r="Y1537" s="10"/>
      <c r="Z1537" s="10"/>
    </row>
    <row r="1538" spans="1:26" ht="14.25" customHeight="1">
      <c r="A1538" s="9">
        <v>1707</v>
      </c>
      <c r="B1538" s="10"/>
      <c r="C1538" s="21">
        <v>232166</v>
      </c>
      <c r="D1538" s="22" t="s">
        <v>811</v>
      </c>
      <c r="E1538" s="23">
        <v>45223</v>
      </c>
      <c r="F1538" s="24">
        <v>45200</v>
      </c>
      <c r="G1538" s="25">
        <v>1277055</v>
      </c>
      <c r="H1538" s="25" t="s">
        <v>3369</v>
      </c>
      <c r="I1538" s="233" t="s">
        <v>29</v>
      </c>
      <c r="J1538" s="10"/>
      <c r="K1538" s="39"/>
      <c r="L1538" s="40">
        <v>45265</v>
      </c>
      <c r="M1538" s="40">
        <v>45265</v>
      </c>
      <c r="N1538" s="37">
        <v>1277055</v>
      </c>
      <c r="O1538" s="37">
        <v>0</v>
      </c>
      <c r="P1538" s="10"/>
      <c r="Q1538" s="10"/>
      <c r="R1538" s="10"/>
      <c r="S1538" s="10"/>
      <c r="T1538" s="10"/>
      <c r="U1538" s="10"/>
      <c r="V1538" s="10"/>
      <c r="W1538" s="10"/>
      <c r="X1538" s="10"/>
      <c r="Y1538" s="10"/>
      <c r="Z1538" s="10"/>
    </row>
    <row r="1539" spans="1:26" ht="14.25" customHeight="1">
      <c r="A1539" s="9">
        <v>1708</v>
      </c>
      <c r="B1539" s="10"/>
      <c r="C1539" s="9">
        <v>232175</v>
      </c>
      <c r="D1539" s="11" t="s">
        <v>811</v>
      </c>
      <c r="E1539" s="12">
        <v>45225</v>
      </c>
      <c r="F1539" s="13">
        <v>45200</v>
      </c>
      <c r="G1539" s="27">
        <v>3836715</v>
      </c>
      <c r="H1539" s="27" t="s">
        <v>3370</v>
      </c>
      <c r="I1539" s="34">
        <v>65.606678703705299</v>
      </c>
      <c r="J1539" s="27">
        <v>22620390</v>
      </c>
      <c r="K1539" s="39">
        <v>45290</v>
      </c>
      <c r="L1539" s="49"/>
      <c r="M1539" s="49"/>
      <c r="N1539" s="37">
        <v>0</v>
      </c>
      <c r="O1539" s="37">
        <v>3836715</v>
      </c>
      <c r="P1539" s="10"/>
      <c r="Q1539" s="10"/>
      <c r="R1539" s="10"/>
      <c r="S1539" s="10"/>
      <c r="T1539" s="10"/>
      <c r="U1539" s="10"/>
      <c r="V1539" s="10"/>
      <c r="W1539" s="10"/>
      <c r="X1539" s="10"/>
      <c r="Y1539" s="10"/>
      <c r="Z1539" s="10"/>
    </row>
    <row r="1540" spans="1:26" ht="14.25" customHeight="1">
      <c r="A1540" s="9">
        <v>1710</v>
      </c>
      <c r="B1540" s="10"/>
      <c r="C1540" s="9">
        <v>232242</v>
      </c>
      <c r="D1540" s="11" t="s">
        <v>811</v>
      </c>
      <c r="E1540" s="12">
        <v>45230</v>
      </c>
      <c r="F1540" s="13">
        <v>45200</v>
      </c>
      <c r="G1540" s="27">
        <v>2563619</v>
      </c>
      <c r="H1540" s="27" t="s">
        <v>3371</v>
      </c>
      <c r="I1540" s="34">
        <v>60.606678703705299</v>
      </c>
      <c r="J1540" s="10"/>
      <c r="K1540" s="39"/>
      <c r="L1540" s="49"/>
      <c r="M1540" s="49"/>
      <c r="N1540" s="37">
        <v>0</v>
      </c>
      <c r="O1540" s="37">
        <v>2563619</v>
      </c>
      <c r="P1540" s="10"/>
      <c r="Q1540" s="10"/>
      <c r="R1540" s="10"/>
      <c r="S1540" s="10"/>
      <c r="T1540" s="10"/>
      <c r="U1540" s="10"/>
      <c r="V1540" s="10"/>
      <c r="W1540" s="10"/>
      <c r="X1540" s="10"/>
      <c r="Y1540" s="10"/>
      <c r="Z1540" s="10"/>
    </row>
    <row r="1541" spans="1:26" ht="14.25" customHeight="1">
      <c r="A1541" s="9">
        <v>1709</v>
      </c>
      <c r="B1541" s="10"/>
      <c r="C1541" s="9">
        <v>232243</v>
      </c>
      <c r="D1541" s="11" t="s">
        <v>811</v>
      </c>
      <c r="E1541" s="12">
        <v>45230</v>
      </c>
      <c r="F1541" s="13">
        <v>45200</v>
      </c>
      <c r="G1541" s="27">
        <v>333346</v>
      </c>
      <c r="H1541" s="27" t="s">
        <v>3372</v>
      </c>
      <c r="I1541" s="34">
        <v>60.606678703705299</v>
      </c>
      <c r="J1541" s="10"/>
      <c r="K1541" s="39"/>
      <c r="L1541" s="49"/>
      <c r="M1541" s="49"/>
      <c r="N1541" s="37">
        <v>0</v>
      </c>
      <c r="O1541" s="37">
        <v>333346</v>
      </c>
      <c r="P1541" s="10"/>
      <c r="Q1541" s="10"/>
      <c r="R1541" s="10"/>
      <c r="S1541" s="10"/>
      <c r="T1541" s="10"/>
      <c r="U1541" s="10"/>
      <c r="V1541" s="10"/>
      <c r="W1541" s="10"/>
      <c r="X1541" s="10"/>
      <c r="Y1541" s="10"/>
      <c r="Z1541" s="10"/>
    </row>
    <row r="1542" spans="1:26" ht="14.25" customHeight="1">
      <c r="A1542" s="9">
        <v>1711</v>
      </c>
      <c r="B1542" s="10"/>
      <c r="C1542" s="9">
        <v>232240</v>
      </c>
      <c r="D1542" s="11" t="s">
        <v>811</v>
      </c>
      <c r="E1542" s="12">
        <v>45232</v>
      </c>
      <c r="F1542" s="13">
        <v>45231</v>
      </c>
      <c r="G1542" s="27">
        <v>180502</v>
      </c>
      <c r="H1542" s="27" t="s">
        <v>3373</v>
      </c>
      <c r="I1542" s="34">
        <v>58.606678703705299</v>
      </c>
      <c r="J1542" s="10"/>
      <c r="K1542" s="39"/>
      <c r="L1542" s="49"/>
      <c r="M1542" s="49"/>
      <c r="N1542" s="37">
        <v>0</v>
      </c>
      <c r="O1542" s="37">
        <v>180502</v>
      </c>
      <c r="P1542" s="10"/>
      <c r="Q1542" s="10"/>
      <c r="R1542" s="10"/>
      <c r="S1542" s="10"/>
      <c r="T1542" s="10"/>
      <c r="U1542" s="10"/>
      <c r="V1542" s="10"/>
      <c r="W1542" s="10"/>
      <c r="X1542" s="10"/>
      <c r="Y1542" s="10"/>
      <c r="Z1542" s="10"/>
    </row>
    <row r="1543" spans="1:26" ht="14.25" customHeight="1">
      <c r="A1543" s="9">
        <v>1712</v>
      </c>
      <c r="B1543" s="10"/>
      <c r="C1543" s="9">
        <v>232241</v>
      </c>
      <c r="D1543" s="11" t="s">
        <v>811</v>
      </c>
      <c r="E1543" s="12">
        <v>45232</v>
      </c>
      <c r="F1543" s="13">
        <v>45231</v>
      </c>
      <c r="G1543" s="27">
        <v>2836627</v>
      </c>
      <c r="H1543" s="27" t="s">
        <v>3374</v>
      </c>
      <c r="I1543" s="34">
        <v>58.606678703705299</v>
      </c>
      <c r="J1543" s="10"/>
      <c r="K1543" s="39"/>
      <c r="L1543" s="49"/>
      <c r="M1543" s="49"/>
      <c r="N1543" s="37">
        <v>0</v>
      </c>
      <c r="O1543" s="37">
        <v>2836627</v>
      </c>
      <c r="P1543" s="10"/>
      <c r="Q1543" s="10"/>
      <c r="R1543" s="10"/>
      <c r="S1543" s="10"/>
      <c r="T1543" s="10"/>
      <c r="U1543" s="10"/>
      <c r="V1543" s="10"/>
      <c r="W1543" s="10"/>
      <c r="X1543" s="10"/>
      <c r="Y1543" s="10"/>
      <c r="Z1543" s="10"/>
    </row>
    <row r="1544" spans="1:26" ht="14.25" customHeight="1">
      <c r="A1544" s="9">
        <v>1714</v>
      </c>
      <c r="B1544" s="10"/>
      <c r="C1544" s="9">
        <v>232269</v>
      </c>
      <c r="D1544" s="11" t="s">
        <v>811</v>
      </c>
      <c r="E1544" s="12">
        <v>45238</v>
      </c>
      <c r="F1544" s="13">
        <v>45231</v>
      </c>
      <c r="G1544" s="27">
        <v>36060</v>
      </c>
      <c r="H1544" s="27" t="s">
        <v>3375</v>
      </c>
      <c r="I1544" s="34">
        <v>52.606678703705299</v>
      </c>
      <c r="J1544" s="10"/>
      <c r="K1544" s="39"/>
      <c r="L1544" s="49"/>
      <c r="M1544" s="49"/>
      <c r="N1544" s="37">
        <v>0</v>
      </c>
      <c r="O1544" s="37">
        <v>36060</v>
      </c>
      <c r="P1544" s="10"/>
      <c r="Q1544" s="10"/>
      <c r="R1544" s="10"/>
      <c r="S1544" s="10"/>
      <c r="T1544" s="10"/>
      <c r="U1544" s="10"/>
      <c r="V1544" s="10"/>
      <c r="W1544" s="10"/>
      <c r="X1544" s="10"/>
      <c r="Y1544" s="10"/>
      <c r="Z1544" s="10"/>
    </row>
    <row r="1545" spans="1:26" ht="14.25" customHeight="1">
      <c r="A1545" s="9">
        <v>1713</v>
      </c>
      <c r="B1545" s="10"/>
      <c r="C1545" s="9">
        <v>232270</v>
      </c>
      <c r="D1545" s="11" t="s">
        <v>811</v>
      </c>
      <c r="E1545" s="12">
        <v>45238</v>
      </c>
      <c r="F1545" s="13">
        <v>45231</v>
      </c>
      <c r="G1545" s="27">
        <v>899100</v>
      </c>
      <c r="H1545" s="27" t="s">
        <v>3376</v>
      </c>
      <c r="I1545" s="34">
        <v>52.606678703705299</v>
      </c>
      <c r="J1545" s="10"/>
      <c r="K1545" s="39"/>
      <c r="L1545" s="49"/>
      <c r="M1545" s="49"/>
      <c r="N1545" s="37">
        <v>0</v>
      </c>
      <c r="O1545" s="37">
        <v>899100</v>
      </c>
      <c r="P1545" s="10"/>
      <c r="Q1545" s="10"/>
      <c r="R1545" s="10"/>
      <c r="S1545" s="10"/>
      <c r="T1545" s="10"/>
      <c r="U1545" s="10"/>
      <c r="V1545" s="10"/>
      <c r="W1545" s="10"/>
      <c r="X1545" s="10"/>
      <c r="Y1545" s="10"/>
      <c r="Z1545" s="10"/>
    </row>
    <row r="1546" spans="1:26" ht="14.25" customHeight="1">
      <c r="A1546" s="9">
        <v>1715</v>
      </c>
      <c r="B1546" s="10"/>
      <c r="C1546" s="9">
        <v>232261</v>
      </c>
      <c r="D1546" s="11" t="s">
        <v>811</v>
      </c>
      <c r="E1546" s="12">
        <v>45239</v>
      </c>
      <c r="F1546" s="13">
        <v>45231</v>
      </c>
      <c r="G1546" s="27">
        <v>1874817</v>
      </c>
      <c r="H1546" s="27" t="s">
        <v>3377</v>
      </c>
      <c r="I1546" s="34">
        <v>51.606678703705299</v>
      </c>
      <c r="J1546" s="10"/>
      <c r="K1546" s="39"/>
      <c r="L1546" s="49"/>
      <c r="M1546" s="49"/>
      <c r="N1546" s="37">
        <v>0</v>
      </c>
      <c r="O1546" s="37">
        <v>1874817</v>
      </c>
      <c r="P1546" s="10"/>
      <c r="Q1546" s="10"/>
      <c r="R1546" s="10"/>
      <c r="S1546" s="10"/>
      <c r="T1546" s="10"/>
      <c r="U1546" s="10"/>
      <c r="V1546" s="10"/>
      <c r="W1546" s="10"/>
      <c r="X1546" s="10"/>
      <c r="Y1546" s="10"/>
      <c r="Z1546" s="10"/>
    </row>
    <row r="1547" spans="1:26" ht="14.25" customHeight="1">
      <c r="A1547" s="9">
        <v>1716</v>
      </c>
      <c r="B1547" s="10"/>
      <c r="C1547" s="9">
        <v>232365</v>
      </c>
      <c r="D1547" s="11" t="s">
        <v>811</v>
      </c>
      <c r="E1547" s="12">
        <v>45243</v>
      </c>
      <c r="F1547" s="13">
        <v>45231</v>
      </c>
      <c r="G1547" s="27">
        <v>1932279</v>
      </c>
      <c r="H1547" s="27" t="s">
        <v>3378</v>
      </c>
      <c r="I1547" s="34">
        <v>47.606678703705299</v>
      </c>
      <c r="J1547" s="10"/>
      <c r="K1547" s="39"/>
      <c r="L1547" s="49"/>
      <c r="M1547" s="49"/>
      <c r="N1547" s="37">
        <v>0</v>
      </c>
      <c r="O1547" s="37">
        <v>1932279</v>
      </c>
      <c r="P1547" s="10"/>
      <c r="Q1547" s="10"/>
      <c r="R1547" s="10"/>
      <c r="S1547" s="10"/>
      <c r="T1547" s="10"/>
      <c r="U1547" s="10"/>
      <c r="V1547" s="10"/>
      <c r="W1547" s="10"/>
      <c r="X1547" s="10"/>
      <c r="Y1547" s="10"/>
      <c r="Z1547" s="10"/>
    </row>
    <row r="1548" spans="1:26" ht="14.25" customHeight="1">
      <c r="A1548" s="9">
        <v>1717</v>
      </c>
      <c r="B1548" s="10"/>
      <c r="C1548" s="9">
        <v>232366</v>
      </c>
      <c r="D1548" s="11" t="s">
        <v>811</v>
      </c>
      <c r="E1548" s="12">
        <v>45243</v>
      </c>
      <c r="F1548" s="13">
        <v>45231</v>
      </c>
      <c r="G1548" s="27">
        <v>3836715</v>
      </c>
      <c r="H1548" s="27" t="s">
        <v>3379</v>
      </c>
      <c r="I1548" s="34">
        <v>47.606678703705299</v>
      </c>
      <c r="J1548" s="10"/>
      <c r="K1548" s="39"/>
      <c r="L1548" s="49"/>
      <c r="M1548" s="49"/>
      <c r="N1548" s="37">
        <v>0</v>
      </c>
      <c r="O1548" s="37">
        <v>3836715</v>
      </c>
      <c r="P1548" s="10"/>
      <c r="Q1548" s="10"/>
      <c r="R1548" s="10"/>
      <c r="S1548" s="10"/>
      <c r="T1548" s="10"/>
      <c r="U1548" s="10"/>
      <c r="V1548" s="10"/>
      <c r="W1548" s="10"/>
      <c r="X1548" s="10"/>
      <c r="Y1548" s="10"/>
      <c r="Z1548" s="10"/>
    </row>
    <row r="1549" spans="1:26" ht="14.25" customHeight="1">
      <c r="A1549" s="9">
        <v>1719</v>
      </c>
      <c r="B1549" s="10"/>
      <c r="C1549" s="9">
        <v>232363</v>
      </c>
      <c r="D1549" s="11" t="s">
        <v>811</v>
      </c>
      <c r="E1549" s="12">
        <v>45244</v>
      </c>
      <c r="F1549" s="13">
        <v>45231</v>
      </c>
      <c r="G1549" s="27">
        <v>981684</v>
      </c>
      <c r="H1549" s="27" t="s">
        <v>3380</v>
      </c>
      <c r="I1549" s="34">
        <v>46.606678703705299</v>
      </c>
      <c r="J1549" s="10"/>
      <c r="K1549" s="39"/>
      <c r="L1549" s="49"/>
      <c r="M1549" s="49"/>
      <c r="N1549" s="37">
        <v>0</v>
      </c>
      <c r="O1549" s="37">
        <v>981684</v>
      </c>
      <c r="P1549" s="10"/>
      <c r="Q1549" s="10"/>
      <c r="R1549" s="10"/>
      <c r="S1549" s="10"/>
      <c r="T1549" s="10"/>
      <c r="U1549" s="10"/>
      <c r="V1549" s="10"/>
      <c r="W1549" s="10"/>
      <c r="X1549" s="10"/>
      <c r="Y1549" s="10"/>
      <c r="Z1549" s="10"/>
    </row>
    <row r="1550" spans="1:26" ht="14.25" customHeight="1">
      <c r="A1550" s="9">
        <v>1718</v>
      </c>
      <c r="B1550" s="10"/>
      <c r="C1550" s="9">
        <v>232364</v>
      </c>
      <c r="D1550" s="11" t="s">
        <v>811</v>
      </c>
      <c r="E1550" s="12">
        <v>45244</v>
      </c>
      <c r="F1550" s="13">
        <v>45231</v>
      </c>
      <c r="G1550" s="27">
        <v>2797200</v>
      </c>
      <c r="H1550" s="27" t="s">
        <v>3381</v>
      </c>
      <c r="I1550" s="34">
        <v>46.606678703705299</v>
      </c>
      <c r="J1550" s="10"/>
      <c r="K1550" s="39"/>
      <c r="L1550" s="49"/>
      <c r="M1550" s="49"/>
      <c r="N1550" s="37">
        <v>0</v>
      </c>
      <c r="O1550" s="37">
        <v>2797200</v>
      </c>
      <c r="P1550" s="10"/>
      <c r="Q1550" s="10"/>
      <c r="R1550" s="10"/>
      <c r="S1550" s="10"/>
      <c r="T1550" s="10"/>
      <c r="U1550" s="10"/>
      <c r="V1550" s="10"/>
      <c r="W1550" s="10"/>
      <c r="X1550" s="10"/>
      <c r="Y1550" s="10"/>
      <c r="Z1550" s="10"/>
    </row>
    <row r="1551" spans="1:26" ht="14.25" customHeight="1">
      <c r="A1551" s="9">
        <v>1721</v>
      </c>
      <c r="B1551" s="10"/>
      <c r="C1551" s="9">
        <v>232370</v>
      </c>
      <c r="D1551" s="11" t="s">
        <v>811</v>
      </c>
      <c r="E1551" s="12">
        <v>45250</v>
      </c>
      <c r="F1551" s="13">
        <v>45231</v>
      </c>
      <c r="G1551" s="27">
        <v>186480</v>
      </c>
      <c r="H1551" s="27" t="s">
        <v>3382</v>
      </c>
      <c r="I1551" s="34">
        <v>40.606678703705299</v>
      </c>
      <c r="J1551" s="10"/>
      <c r="K1551" s="39"/>
      <c r="L1551" s="49"/>
      <c r="M1551" s="49"/>
      <c r="N1551" s="37">
        <v>0</v>
      </c>
      <c r="O1551" s="37">
        <v>186480</v>
      </c>
      <c r="P1551" s="10"/>
      <c r="Q1551" s="10"/>
      <c r="R1551" s="10"/>
      <c r="S1551" s="10"/>
      <c r="T1551" s="10"/>
      <c r="U1551" s="10"/>
      <c r="V1551" s="10"/>
      <c r="W1551" s="10"/>
      <c r="X1551" s="10"/>
      <c r="Y1551" s="10"/>
      <c r="Z1551" s="10"/>
    </row>
    <row r="1552" spans="1:26" ht="14.25" customHeight="1">
      <c r="A1552" s="9">
        <v>1720</v>
      </c>
      <c r="B1552" s="10"/>
      <c r="C1552" s="9">
        <v>232371</v>
      </c>
      <c r="D1552" s="11" t="s">
        <v>811</v>
      </c>
      <c r="E1552" s="12">
        <v>45250</v>
      </c>
      <c r="F1552" s="13">
        <v>45231</v>
      </c>
      <c r="G1552" s="27">
        <v>234239</v>
      </c>
      <c r="H1552" s="27" t="s">
        <v>3383</v>
      </c>
      <c r="I1552" s="34">
        <v>40.606678703705299</v>
      </c>
      <c r="J1552" s="10"/>
      <c r="K1552" s="39"/>
      <c r="L1552" s="49"/>
      <c r="M1552" s="49"/>
      <c r="N1552" s="37">
        <v>0</v>
      </c>
      <c r="O1552" s="37">
        <v>234239</v>
      </c>
      <c r="P1552" s="10"/>
      <c r="Q1552" s="10"/>
      <c r="R1552" s="10"/>
      <c r="S1552" s="10"/>
      <c r="T1552" s="10"/>
      <c r="U1552" s="10"/>
      <c r="V1552" s="10"/>
      <c r="W1552" s="10"/>
      <c r="X1552" s="10"/>
      <c r="Y1552" s="10"/>
      <c r="Z1552" s="10"/>
    </row>
    <row r="1553" spans="1:26" ht="14.25" customHeight="1">
      <c r="A1553" s="9">
        <v>1722</v>
      </c>
      <c r="B1553" s="10"/>
      <c r="C1553" s="9">
        <v>232367</v>
      </c>
      <c r="D1553" s="11" t="s">
        <v>811</v>
      </c>
      <c r="E1553" s="12">
        <v>45251</v>
      </c>
      <c r="F1553" s="13">
        <v>45231</v>
      </c>
      <c r="G1553" s="27">
        <v>91007</v>
      </c>
      <c r="H1553" s="27" t="s">
        <v>3384</v>
      </c>
      <c r="I1553" s="34">
        <v>39.606678703705299</v>
      </c>
      <c r="J1553" s="10"/>
      <c r="K1553" s="39"/>
      <c r="L1553" s="49"/>
      <c r="M1553" s="49"/>
      <c r="N1553" s="37">
        <v>0</v>
      </c>
      <c r="O1553" s="37">
        <v>91007</v>
      </c>
      <c r="P1553" s="10"/>
      <c r="Q1553" s="10"/>
      <c r="R1553" s="10"/>
      <c r="S1553" s="10"/>
      <c r="T1553" s="10"/>
      <c r="U1553" s="10"/>
      <c r="V1553" s="10"/>
      <c r="W1553" s="10"/>
      <c r="X1553" s="10"/>
      <c r="Y1553" s="10"/>
      <c r="Z1553" s="10"/>
    </row>
    <row r="1554" spans="1:26" ht="14.25" customHeight="1">
      <c r="A1554" s="9">
        <v>1725</v>
      </c>
      <c r="B1554" s="10"/>
      <c r="C1554" s="9">
        <v>232372</v>
      </c>
      <c r="D1554" s="11" t="s">
        <v>811</v>
      </c>
      <c r="E1554" s="12">
        <v>45257</v>
      </c>
      <c r="F1554" s="13">
        <v>45231</v>
      </c>
      <c r="G1554" s="27">
        <v>1137750</v>
      </c>
      <c r="H1554" s="27" t="s">
        <v>3385</v>
      </c>
      <c r="I1554" s="34">
        <v>33.606678703705299</v>
      </c>
      <c r="J1554" s="10"/>
      <c r="K1554" s="39"/>
      <c r="L1554" s="49"/>
      <c r="M1554" s="49"/>
      <c r="N1554" s="37">
        <v>0</v>
      </c>
      <c r="O1554" s="37">
        <v>1137750</v>
      </c>
      <c r="P1554" s="10"/>
      <c r="Q1554" s="10"/>
      <c r="R1554" s="10"/>
      <c r="S1554" s="10"/>
      <c r="T1554" s="10"/>
      <c r="U1554" s="10"/>
      <c r="V1554" s="10"/>
      <c r="W1554" s="10"/>
      <c r="X1554" s="10"/>
      <c r="Y1554" s="10"/>
      <c r="Z1554" s="10"/>
    </row>
    <row r="1555" spans="1:26" ht="14.25" customHeight="1">
      <c r="A1555" s="9">
        <v>1723</v>
      </c>
      <c r="B1555" s="10"/>
      <c r="C1555" s="9">
        <v>232373</v>
      </c>
      <c r="D1555" s="11" t="s">
        <v>811</v>
      </c>
      <c r="E1555" s="12">
        <v>45257</v>
      </c>
      <c r="F1555" s="13">
        <v>45231</v>
      </c>
      <c r="G1555" s="27">
        <v>2836627</v>
      </c>
      <c r="H1555" s="27" t="s">
        <v>3386</v>
      </c>
      <c r="I1555" s="34">
        <v>33.606678703705299</v>
      </c>
      <c r="J1555" s="10"/>
      <c r="K1555" s="39"/>
      <c r="L1555" s="49"/>
      <c r="M1555" s="49"/>
      <c r="N1555" s="37">
        <v>0</v>
      </c>
      <c r="O1555" s="37">
        <v>2836627</v>
      </c>
      <c r="P1555" s="10"/>
      <c r="Q1555" s="10"/>
      <c r="R1555" s="10"/>
      <c r="S1555" s="10"/>
      <c r="T1555" s="10"/>
      <c r="U1555" s="10"/>
      <c r="V1555" s="10"/>
      <c r="W1555" s="10"/>
      <c r="X1555" s="10"/>
      <c r="Y1555" s="10"/>
      <c r="Z1555" s="10"/>
    </row>
    <row r="1556" spans="1:26" ht="14.25" customHeight="1">
      <c r="A1556" s="9">
        <v>1724</v>
      </c>
      <c r="B1556" s="10"/>
      <c r="C1556" s="9">
        <v>232374</v>
      </c>
      <c r="D1556" s="11" t="s">
        <v>811</v>
      </c>
      <c r="E1556" s="12">
        <v>45257</v>
      </c>
      <c r="F1556" s="13">
        <v>45231</v>
      </c>
      <c r="G1556" s="27">
        <v>509889</v>
      </c>
      <c r="H1556" s="27" t="s">
        <v>3387</v>
      </c>
      <c r="I1556" s="34">
        <v>33.606678703705299</v>
      </c>
      <c r="J1556" s="10"/>
      <c r="K1556" s="39"/>
      <c r="L1556" s="49"/>
      <c r="M1556" s="49"/>
      <c r="N1556" s="37">
        <v>0</v>
      </c>
      <c r="O1556" s="37">
        <v>509889</v>
      </c>
      <c r="P1556" s="10"/>
      <c r="Q1556" s="10"/>
      <c r="R1556" s="10"/>
      <c r="S1556" s="10"/>
      <c r="T1556" s="10"/>
      <c r="U1556" s="10"/>
      <c r="V1556" s="10"/>
      <c r="W1556" s="10"/>
      <c r="X1556" s="10"/>
      <c r="Y1556" s="10"/>
      <c r="Z1556" s="10"/>
    </row>
    <row r="1557" spans="1:26" ht="14.25" customHeight="1">
      <c r="A1557" s="9">
        <v>1726</v>
      </c>
      <c r="B1557" s="10"/>
      <c r="C1557" s="9">
        <v>232434</v>
      </c>
      <c r="D1557" s="11" t="s">
        <v>811</v>
      </c>
      <c r="E1557" s="12">
        <v>45260</v>
      </c>
      <c r="F1557" s="13">
        <v>45231</v>
      </c>
      <c r="G1557" s="27">
        <v>921999</v>
      </c>
      <c r="H1557" s="27" t="s">
        <v>3388</v>
      </c>
      <c r="I1557" s="34">
        <v>30.606678703705299</v>
      </c>
      <c r="J1557" s="10"/>
      <c r="K1557" s="39"/>
      <c r="L1557" s="49"/>
      <c r="M1557" s="49"/>
      <c r="N1557" s="37">
        <v>0</v>
      </c>
      <c r="O1557" s="37">
        <v>921999</v>
      </c>
      <c r="P1557" s="10"/>
      <c r="Q1557" s="10"/>
      <c r="R1557" s="10"/>
      <c r="S1557" s="10"/>
      <c r="T1557" s="10"/>
      <c r="U1557" s="10"/>
      <c r="V1557" s="10"/>
      <c r="W1557" s="10"/>
      <c r="X1557" s="10"/>
      <c r="Y1557" s="10"/>
      <c r="Z1557" s="10"/>
    </row>
    <row r="1558" spans="1:26" ht="14.25" customHeight="1">
      <c r="A1558" s="9">
        <v>1727</v>
      </c>
      <c r="B1558" s="10"/>
      <c r="C1558" s="9">
        <v>232473</v>
      </c>
      <c r="D1558" s="11" t="s">
        <v>811</v>
      </c>
      <c r="E1558" s="12">
        <v>45264</v>
      </c>
      <c r="F1558" s="13">
        <v>45261</v>
      </c>
      <c r="G1558" s="27">
        <v>276079</v>
      </c>
      <c r="H1558" s="27" t="s">
        <v>3389</v>
      </c>
      <c r="I1558" s="34">
        <v>26.606678703705299</v>
      </c>
      <c r="J1558" s="10"/>
      <c r="K1558" s="39"/>
      <c r="L1558" s="49"/>
      <c r="M1558" s="49"/>
      <c r="N1558" s="37">
        <v>0</v>
      </c>
      <c r="O1558" s="37">
        <v>276079</v>
      </c>
      <c r="P1558" s="10"/>
      <c r="Q1558" s="10"/>
      <c r="R1558" s="10"/>
      <c r="S1558" s="10"/>
      <c r="T1558" s="10"/>
      <c r="U1558" s="10"/>
      <c r="V1558" s="10"/>
      <c r="W1558" s="10"/>
      <c r="X1558" s="10"/>
      <c r="Y1558" s="10"/>
      <c r="Z1558" s="10"/>
    </row>
    <row r="1559" spans="1:26" ht="14.25" customHeight="1">
      <c r="A1559" s="9">
        <v>1728</v>
      </c>
      <c r="B1559" s="10"/>
      <c r="C1559" s="9">
        <v>232474</v>
      </c>
      <c r="D1559" s="11" t="s">
        <v>811</v>
      </c>
      <c r="E1559" s="12">
        <v>45264</v>
      </c>
      <c r="F1559" s="13">
        <v>45261</v>
      </c>
      <c r="G1559" s="27">
        <v>3406723</v>
      </c>
      <c r="H1559" s="27" t="s">
        <v>3390</v>
      </c>
      <c r="I1559" s="34">
        <v>26.606678703705299</v>
      </c>
      <c r="J1559" s="10"/>
      <c r="K1559" s="39"/>
      <c r="L1559" s="49"/>
      <c r="M1559" s="49"/>
      <c r="N1559" s="37">
        <v>0</v>
      </c>
      <c r="O1559" s="37">
        <v>3406723</v>
      </c>
      <c r="P1559" s="10"/>
      <c r="Q1559" s="10"/>
      <c r="R1559" s="10"/>
      <c r="S1559" s="10"/>
      <c r="T1559" s="10"/>
      <c r="U1559" s="10"/>
      <c r="V1559" s="10"/>
      <c r="W1559" s="10"/>
      <c r="X1559" s="10"/>
      <c r="Y1559" s="10"/>
      <c r="Z1559" s="10"/>
    </row>
    <row r="1560" spans="1:26" ht="14.25" customHeight="1">
      <c r="A1560" s="9">
        <v>1729</v>
      </c>
      <c r="B1560" s="10"/>
      <c r="C1560" s="9">
        <v>232475</v>
      </c>
      <c r="D1560" s="11" t="s">
        <v>811</v>
      </c>
      <c r="E1560" s="12">
        <v>45264</v>
      </c>
      <c r="F1560" s="13">
        <v>45261</v>
      </c>
      <c r="G1560" s="27">
        <v>442465</v>
      </c>
      <c r="H1560" s="27" t="s">
        <v>3391</v>
      </c>
      <c r="I1560" s="34">
        <v>26.606678703705299</v>
      </c>
      <c r="J1560" s="10"/>
      <c r="K1560" s="39"/>
      <c r="L1560" s="49"/>
      <c r="M1560" s="49"/>
      <c r="N1560" s="37">
        <v>0</v>
      </c>
      <c r="O1560" s="37">
        <v>442465</v>
      </c>
      <c r="P1560" s="10"/>
      <c r="Q1560" s="10"/>
      <c r="R1560" s="10"/>
      <c r="S1560" s="10"/>
      <c r="T1560" s="10"/>
      <c r="U1560" s="10"/>
      <c r="V1560" s="10"/>
      <c r="W1560" s="10"/>
      <c r="X1560" s="10"/>
      <c r="Y1560" s="10"/>
      <c r="Z1560" s="10"/>
    </row>
    <row r="1561" spans="1:26" ht="14.25" customHeight="1">
      <c r="A1561" s="9">
        <v>1734</v>
      </c>
      <c r="B1561" s="10"/>
      <c r="C1561" s="21">
        <v>230448</v>
      </c>
      <c r="D1561" s="22" t="s">
        <v>841</v>
      </c>
      <c r="E1561" s="23">
        <v>44985</v>
      </c>
      <c r="F1561" s="24">
        <v>44958</v>
      </c>
      <c r="G1561" s="25">
        <v>236830</v>
      </c>
      <c r="H1561" s="26" t="s">
        <v>3392</v>
      </c>
      <c r="I1561" s="34" t="s">
        <v>29</v>
      </c>
      <c r="J1561" s="25">
        <v>236830</v>
      </c>
      <c r="K1561" s="40">
        <v>45026</v>
      </c>
      <c r="L1561" s="40">
        <v>45026</v>
      </c>
      <c r="M1561" s="40">
        <v>45026</v>
      </c>
      <c r="N1561" s="37">
        <v>236830</v>
      </c>
      <c r="O1561" s="37">
        <v>0</v>
      </c>
      <c r="P1561" s="10"/>
      <c r="Q1561" s="10"/>
      <c r="R1561" s="10"/>
      <c r="S1561" s="10"/>
      <c r="T1561" s="10"/>
      <c r="U1561" s="10"/>
      <c r="V1561" s="10"/>
      <c r="W1561" s="10"/>
      <c r="X1561" s="10"/>
      <c r="Y1561" s="10"/>
      <c r="Z1561" s="10"/>
    </row>
    <row r="1562" spans="1:26" ht="14.25" customHeight="1">
      <c r="A1562" s="9">
        <v>1735</v>
      </c>
      <c r="B1562" s="10"/>
      <c r="C1562" s="21">
        <v>230889</v>
      </c>
      <c r="D1562" s="22" t="s">
        <v>841</v>
      </c>
      <c r="E1562" s="23">
        <v>45045</v>
      </c>
      <c r="F1562" s="24">
        <v>45017</v>
      </c>
      <c r="G1562" s="25">
        <v>210900</v>
      </c>
      <c r="H1562" s="26" t="s">
        <v>3393</v>
      </c>
      <c r="I1562" s="233" t="s">
        <v>29</v>
      </c>
      <c r="J1562" s="25">
        <v>543900</v>
      </c>
      <c r="K1562" s="40">
        <v>45092</v>
      </c>
      <c r="L1562" s="40">
        <v>45093</v>
      </c>
      <c r="M1562" s="40">
        <v>45093</v>
      </c>
      <c r="N1562" s="37">
        <v>210900</v>
      </c>
      <c r="O1562" s="37">
        <v>0</v>
      </c>
      <c r="P1562" s="10"/>
      <c r="Q1562" s="10"/>
      <c r="R1562" s="10"/>
      <c r="S1562" s="10"/>
      <c r="T1562" s="10"/>
      <c r="U1562" s="10"/>
      <c r="V1562" s="10"/>
      <c r="W1562" s="10"/>
      <c r="X1562" s="10"/>
      <c r="Y1562" s="10"/>
      <c r="Z1562" s="10"/>
    </row>
    <row r="1563" spans="1:26" ht="14.25" customHeight="1">
      <c r="A1563" s="9">
        <v>1736</v>
      </c>
      <c r="B1563" s="10"/>
      <c r="C1563" s="21">
        <v>230969</v>
      </c>
      <c r="D1563" s="22" t="s">
        <v>841</v>
      </c>
      <c r="E1563" s="23">
        <v>45059</v>
      </c>
      <c r="F1563" s="24">
        <v>45047</v>
      </c>
      <c r="G1563" s="25">
        <v>333000</v>
      </c>
      <c r="H1563" s="26" t="s">
        <v>3394</v>
      </c>
      <c r="I1563" s="233" t="s">
        <v>29</v>
      </c>
      <c r="J1563" s="11"/>
      <c r="K1563" s="39"/>
      <c r="L1563" s="40">
        <v>45093</v>
      </c>
      <c r="M1563" s="40">
        <v>45093</v>
      </c>
      <c r="N1563" s="37">
        <v>333000</v>
      </c>
      <c r="O1563" s="37">
        <v>0</v>
      </c>
      <c r="P1563" s="10"/>
      <c r="Q1563" s="10"/>
      <c r="R1563" s="10"/>
      <c r="S1563" s="10"/>
      <c r="T1563" s="10"/>
      <c r="U1563" s="10"/>
      <c r="V1563" s="10"/>
      <c r="W1563" s="10"/>
      <c r="X1563" s="10"/>
      <c r="Y1563" s="10"/>
      <c r="Z1563" s="10"/>
    </row>
    <row r="1564" spans="1:26" ht="14.25" customHeight="1">
      <c r="A1564" s="9">
        <v>1737</v>
      </c>
      <c r="B1564" s="10"/>
      <c r="C1564" s="21">
        <v>231214</v>
      </c>
      <c r="D1564" s="22" t="s">
        <v>841</v>
      </c>
      <c r="E1564" s="23">
        <v>45097</v>
      </c>
      <c r="F1564" s="24">
        <v>45078</v>
      </c>
      <c r="G1564" s="25">
        <v>236830</v>
      </c>
      <c r="H1564" s="26" t="s">
        <v>3395</v>
      </c>
      <c r="I1564" s="233" t="s">
        <v>29</v>
      </c>
      <c r="J1564" s="35">
        <v>576490</v>
      </c>
      <c r="K1564" s="36">
        <v>45148</v>
      </c>
      <c r="L1564" s="40">
        <v>45148</v>
      </c>
      <c r="M1564" s="40">
        <v>45148</v>
      </c>
      <c r="N1564" s="37">
        <v>236830</v>
      </c>
      <c r="O1564" s="37">
        <v>0</v>
      </c>
      <c r="P1564" s="10"/>
      <c r="Q1564" s="10"/>
      <c r="R1564" s="10"/>
      <c r="S1564" s="10"/>
      <c r="T1564" s="10"/>
      <c r="U1564" s="10"/>
      <c r="V1564" s="10"/>
      <c r="W1564" s="10"/>
      <c r="X1564" s="10"/>
      <c r="Y1564" s="10"/>
      <c r="Z1564" s="10"/>
    </row>
    <row r="1565" spans="1:26" ht="14.25" customHeight="1">
      <c r="A1565" s="9">
        <v>1738</v>
      </c>
      <c r="B1565" s="10"/>
      <c r="C1565" s="21">
        <v>231223</v>
      </c>
      <c r="D1565" s="22" t="s">
        <v>841</v>
      </c>
      <c r="E1565" s="23">
        <v>45099</v>
      </c>
      <c r="F1565" s="24">
        <v>45078</v>
      </c>
      <c r="G1565" s="25">
        <v>339660</v>
      </c>
      <c r="H1565" s="26" t="s">
        <v>3396</v>
      </c>
      <c r="I1565" s="233" t="s">
        <v>29</v>
      </c>
      <c r="J1565" s="11"/>
      <c r="K1565" s="39"/>
      <c r="L1565" s="40">
        <v>45148</v>
      </c>
      <c r="M1565" s="40">
        <v>45148</v>
      </c>
      <c r="N1565" s="37">
        <v>339660</v>
      </c>
      <c r="O1565" s="37">
        <v>0</v>
      </c>
      <c r="P1565" s="10"/>
      <c r="Q1565" s="10"/>
      <c r="R1565" s="10"/>
      <c r="S1565" s="10"/>
      <c r="T1565" s="10"/>
      <c r="U1565" s="10"/>
      <c r="V1565" s="10"/>
      <c r="W1565" s="10"/>
      <c r="X1565" s="10"/>
      <c r="Y1565" s="10"/>
      <c r="Z1565" s="10"/>
    </row>
    <row r="1566" spans="1:26" ht="14.25" customHeight="1">
      <c r="A1566" s="9">
        <v>1739</v>
      </c>
      <c r="B1566" s="10"/>
      <c r="C1566" s="21">
        <v>231587</v>
      </c>
      <c r="D1566" s="22" t="s">
        <v>841</v>
      </c>
      <c r="E1566" s="23">
        <v>45150</v>
      </c>
      <c r="F1566" s="24">
        <v>45139</v>
      </c>
      <c r="G1566" s="25">
        <v>745210</v>
      </c>
      <c r="H1566" s="26" t="s">
        <v>3397</v>
      </c>
      <c r="I1566" s="233" t="s">
        <v>29</v>
      </c>
      <c r="J1566" s="11"/>
      <c r="K1566" s="39">
        <v>45194</v>
      </c>
      <c r="L1566" s="40">
        <v>45196</v>
      </c>
      <c r="M1566" s="40">
        <v>45196</v>
      </c>
      <c r="N1566" s="37">
        <v>745210</v>
      </c>
      <c r="O1566" s="37">
        <v>0</v>
      </c>
      <c r="P1566" s="10"/>
      <c r="Q1566" s="10"/>
      <c r="R1566" s="10"/>
      <c r="S1566" s="10"/>
      <c r="T1566" s="10"/>
      <c r="U1566" s="10"/>
      <c r="V1566" s="10"/>
      <c r="W1566" s="10"/>
      <c r="X1566" s="10"/>
      <c r="Y1566" s="10"/>
      <c r="Z1566" s="10"/>
    </row>
    <row r="1567" spans="1:26" ht="14.25" customHeight="1">
      <c r="A1567" s="9">
        <v>1740</v>
      </c>
      <c r="B1567" s="10"/>
      <c r="C1567" s="21">
        <v>231752</v>
      </c>
      <c r="D1567" s="22" t="s">
        <v>841</v>
      </c>
      <c r="E1567" s="23">
        <v>45167</v>
      </c>
      <c r="F1567" s="24">
        <v>45139</v>
      </c>
      <c r="G1567" s="25">
        <v>253080</v>
      </c>
      <c r="H1567" s="26" t="s">
        <v>3398</v>
      </c>
      <c r="I1567" s="233" t="s">
        <v>29</v>
      </c>
      <c r="J1567" s="31">
        <v>963569</v>
      </c>
      <c r="K1567" s="36">
        <v>45204</v>
      </c>
      <c r="L1567" s="40">
        <v>45204</v>
      </c>
      <c r="M1567" s="40">
        <v>45205</v>
      </c>
      <c r="N1567" s="37">
        <v>253080</v>
      </c>
      <c r="O1567" s="37">
        <v>0</v>
      </c>
      <c r="P1567" s="10"/>
      <c r="Q1567" s="10"/>
      <c r="R1567" s="10"/>
      <c r="S1567" s="10"/>
      <c r="T1567" s="10"/>
      <c r="U1567" s="10"/>
      <c r="V1567" s="10"/>
      <c r="W1567" s="10"/>
      <c r="X1567" s="10"/>
      <c r="Y1567" s="10"/>
      <c r="Z1567" s="10"/>
    </row>
    <row r="1568" spans="1:26" ht="14.25" customHeight="1">
      <c r="A1568" s="9">
        <v>1741</v>
      </c>
      <c r="B1568" s="10"/>
      <c r="C1568" s="21">
        <v>231785</v>
      </c>
      <c r="D1568" s="22" t="s">
        <v>841</v>
      </c>
      <c r="E1568" s="23">
        <v>45169</v>
      </c>
      <c r="F1568" s="24">
        <v>45139</v>
      </c>
      <c r="G1568" s="25">
        <v>236830</v>
      </c>
      <c r="H1568" s="26" t="s">
        <v>3399</v>
      </c>
      <c r="I1568" s="233" t="s">
        <v>29</v>
      </c>
      <c r="J1568" s="11"/>
      <c r="K1568" s="39"/>
      <c r="L1568" s="40">
        <v>45204</v>
      </c>
      <c r="M1568" s="40">
        <v>45205</v>
      </c>
      <c r="N1568" s="37">
        <v>236830</v>
      </c>
      <c r="O1568" s="37">
        <v>0</v>
      </c>
      <c r="P1568" s="10"/>
      <c r="Q1568" s="10"/>
      <c r="R1568" s="10"/>
      <c r="S1568" s="10"/>
      <c r="T1568" s="10"/>
      <c r="U1568" s="10"/>
      <c r="V1568" s="10"/>
      <c r="W1568" s="10"/>
      <c r="X1568" s="10"/>
      <c r="Y1568" s="10"/>
      <c r="Z1568" s="10"/>
    </row>
    <row r="1569" spans="1:26" ht="14.25" customHeight="1">
      <c r="A1569" s="9">
        <v>1742</v>
      </c>
      <c r="B1569" s="10"/>
      <c r="C1569" s="21">
        <v>231837</v>
      </c>
      <c r="D1569" s="22" t="s">
        <v>841</v>
      </c>
      <c r="E1569" s="23">
        <v>45175</v>
      </c>
      <c r="F1569" s="24">
        <v>45170</v>
      </c>
      <c r="G1569" s="25">
        <v>473659</v>
      </c>
      <c r="H1569" s="26" t="s">
        <v>3400</v>
      </c>
      <c r="I1569" s="233" t="s">
        <v>29</v>
      </c>
      <c r="J1569" s="11"/>
      <c r="K1569" s="39"/>
      <c r="L1569" s="40">
        <v>45204</v>
      </c>
      <c r="M1569" s="40">
        <v>45205</v>
      </c>
      <c r="N1569" s="37">
        <v>473659</v>
      </c>
      <c r="O1569" s="37">
        <v>0</v>
      </c>
      <c r="P1569" s="10"/>
      <c r="Q1569" s="10"/>
      <c r="R1569" s="10"/>
      <c r="S1569" s="10"/>
      <c r="T1569" s="10"/>
      <c r="U1569" s="10"/>
      <c r="V1569" s="10"/>
      <c r="W1569" s="10"/>
      <c r="X1569" s="10"/>
      <c r="Y1569" s="10"/>
      <c r="Z1569" s="10"/>
    </row>
    <row r="1570" spans="1:26" ht="14.25" customHeight="1">
      <c r="A1570" s="9">
        <v>1743</v>
      </c>
      <c r="B1570" s="10"/>
      <c r="C1570" s="21">
        <v>232076</v>
      </c>
      <c r="D1570" s="22" t="s">
        <v>841</v>
      </c>
      <c r="E1570" s="23">
        <v>45208</v>
      </c>
      <c r="F1570" s="24">
        <v>45200</v>
      </c>
      <c r="G1570" s="25">
        <v>1319479</v>
      </c>
      <c r="H1570" s="26" t="s">
        <v>3401</v>
      </c>
      <c r="I1570" s="233" t="s">
        <v>29</v>
      </c>
      <c r="J1570" s="11"/>
      <c r="K1570" s="36">
        <v>45260</v>
      </c>
      <c r="L1570" s="40">
        <v>45260</v>
      </c>
      <c r="M1570" s="40">
        <v>45260</v>
      </c>
      <c r="N1570" s="37">
        <v>1319479</v>
      </c>
      <c r="O1570" s="37">
        <v>0</v>
      </c>
      <c r="P1570" s="10"/>
      <c r="Q1570" s="10"/>
      <c r="R1570" s="10"/>
      <c r="S1570" s="10"/>
      <c r="T1570" s="10"/>
      <c r="U1570" s="10"/>
      <c r="V1570" s="10"/>
      <c r="W1570" s="10"/>
      <c r="X1570" s="10"/>
      <c r="Y1570" s="10"/>
      <c r="Z1570" s="10"/>
    </row>
    <row r="1571" spans="1:26" ht="14.25" customHeight="1">
      <c r="A1571" s="9">
        <v>1744</v>
      </c>
      <c r="B1571" s="10"/>
      <c r="C1571" s="9">
        <v>232276</v>
      </c>
      <c r="D1571" s="11" t="s">
        <v>841</v>
      </c>
      <c r="E1571" s="12">
        <v>45236</v>
      </c>
      <c r="F1571" s="13">
        <v>45231</v>
      </c>
      <c r="G1571" s="27">
        <v>576490</v>
      </c>
      <c r="H1571" s="10" t="s">
        <v>3402</v>
      </c>
      <c r="I1571" s="34">
        <v>54.606678703705299</v>
      </c>
      <c r="J1571" s="11"/>
      <c r="K1571" s="39"/>
      <c r="L1571" s="49"/>
      <c r="M1571" s="49"/>
      <c r="N1571" s="37">
        <v>0</v>
      </c>
      <c r="O1571" s="37">
        <v>576490</v>
      </c>
      <c r="P1571" s="10"/>
      <c r="Q1571" s="10"/>
      <c r="R1571" s="10"/>
      <c r="S1571" s="10"/>
      <c r="T1571" s="10"/>
      <c r="U1571" s="10"/>
      <c r="V1571" s="10"/>
      <c r="W1571" s="10"/>
      <c r="X1571" s="10"/>
      <c r="Y1571" s="10"/>
      <c r="Z1571" s="10"/>
    </row>
    <row r="1572" spans="1:26" ht="14.25" customHeight="1">
      <c r="A1572" s="9">
        <v>1745</v>
      </c>
      <c r="B1572" s="10"/>
      <c r="C1572" s="9">
        <v>232456</v>
      </c>
      <c r="D1572" s="11" t="s">
        <v>841</v>
      </c>
      <c r="E1572" s="12">
        <v>45264</v>
      </c>
      <c r="F1572" s="13">
        <v>45261</v>
      </c>
      <c r="G1572" s="27">
        <v>534033</v>
      </c>
      <c r="H1572" s="10" t="s">
        <v>3403</v>
      </c>
      <c r="I1572" s="34">
        <v>26.606678703705299</v>
      </c>
      <c r="J1572" s="11"/>
      <c r="K1572" s="39"/>
      <c r="L1572" s="49"/>
      <c r="M1572" s="49"/>
      <c r="N1572" s="37">
        <v>0</v>
      </c>
      <c r="O1572" s="37">
        <v>534033</v>
      </c>
      <c r="P1572" s="10"/>
      <c r="Q1572" s="10"/>
      <c r="R1572" s="10"/>
      <c r="S1572" s="10"/>
      <c r="T1572" s="10"/>
      <c r="U1572" s="10"/>
      <c r="V1572" s="10"/>
      <c r="W1572" s="10"/>
      <c r="X1572" s="10"/>
      <c r="Y1572" s="10"/>
      <c r="Z1572" s="10"/>
    </row>
    <row r="1573" spans="1:26" ht="14.25" customHeight="1">
      <c r="A1573" s="9">
        <v>1750</v>
      </c>
      <c r="B1573" s="10"/>
      <c r="C1573" s="21">
        <v>222248</v>
      </c>
      <c r="D1573" s="22" t="s">
        <v>849</v>
      </c>
      <c r="E1573" s="23">
        <v>44909</v>
      </c>
      <c r="F1573" s="24">
        <v>44896</v>
      </c>
      <c r="G1573" s="25">
        <v>616050</v>
      </c>
      <c r="H1573" s="26" t="s">
        <v>3404</v>
      </c>
      <c r="I1573" s="34" t="s">
        <v>29</v>
      </c>
      <c r="J1573" s="25">
        <v>616050</v>
      </c>
      <c r="K1573" s="40">
        <v>44986</v>
      </c>
      <c r="L1573" s="40">
        <v>44986</v>
      </c>
      <c r="M1573" s="40">
        <v>44986</v>
      </c>
      <c r="N1573" s="37">
        <v>616050</v>
      </c>
      <c r="O1573" s="37">
        <v>0</v>
      </c>
      <c r="P1573" s="10"/>
      <c r="Q1573" s="10"/>
      <c r="R1573" s="10"/>
      <c r="S1573" s="10"/>
      <c r="T1573" s="10"/>
      <c r="U1573" s="10"/>
      <c r="V1573" s="10"/>
      <c r="W1573" s="10"/>
      <c r="X1573" s="10"/>
      <c r="Y1573" s="10"/>
      <c r="Z1573" s="10"/>
    </row>
    <row r="1574" spans="1:26" ht="14.25" customHeight="1">
      <c r="A1574" s="9">
        <v>1752</v>
      </c>
      <c r="B1574" s="10"/>
      <c r="C1574" s="21">
        <v>230116</v>
      </c>
      <c r="D1574" s="22" t="s">
        <v>849</v>
      </c>
      <c r="E1574" s="23">
        <v>44943</v>
      </c>
      <c r="F1574" s="24">
        <v>44927</v>
      </c>
      <c r="G1574" s="25">
        <v>616050</v>
      </c>
      <c r="H1574" s="26" t="s">
        <v>3405</v>
      </c>
      <c r="I1574" s="34" t="s">
        <v>29</v>
      </c>
      <c r="J1574" s="25">
        <v>1848150</v>
      </c>
      <c r="K1574" s="40">
        <v>45061</v>
      </c>
      <c r="L1574" s="40">
        <v>45061</v>
      </c>
      <c r="M1574" s="40">
        <v>45063</v>
      </c>
      <c r="N1574" s="37">
        <v>616050</v>
      </c>
      <c r="O1574" s="37">
        <v>0</v>
      </c>
      <c r="P1574" s="10"/>
      <c r="Q1574" s="10"/>
      <c r="R1574" s="10"/>
      <c r="S1574" s="10"/>
      <c r="T1574" s="10"/>
      <c r="U1574" s="10"/>
      <c r="V1574" s="10"/>
      <c r="W1574" s="10"/>
      <c r="X1574" s="10"/>
      <c r="Y1574" s="10"/>
      <c r="Z1574" s="10"/>
    </row>
    <row r="1575" spans="1:26" ht="14.25" customHeight="1">
      <c r="A1575" s="9">
        <v>1751</v>
      </c>
      <c r="B1575" s="10"/>
      <c r="C1575" s="21">
        <v>230384</v>
      </c>
      <c r="D1575" s="22" t="s">
        <v>849</v>
      </c>
      <c r="E1575" s="23">
        <v>44973</v>
      </c>
      <c r="F1575" s="24">
        <v>44958</v>
      </c>
      <c r="G1575" s="25">
        <v>616050</v>
      </c>
      <c r="H1575" s="26" t="s">
        <v>3406</v>
      </c>
      <c r="I1575" s="34" t="s">
        <v>29</v>
      </c>
      <c r="J1575" s="25">
        <v>616050</v>
      </c>
      <c r="K1575" s="40">
        <v>45017</v>
      </c>
      <c r="L1575" s="40">
        <v>45017</v>
      </c>
      <c r="M1575" s="40">
        <v>45017</v>
      </c>
      <c r="N1575" s="37">
        <v>616050</v>
      </c>
      <c r="O1575" s="37">
        <v>0</v>
      </c>
      <c r="P1575" s="10"/>
      <c r="Q1575" s="10"/>
      <c r="R1575" s="10"/>
      <c r="S1575" s="10"/>
      <c r="T1575" s="10"/>
      <c r="U1575" s="10"/>
      <c r="V1575" s="10"/>
      <c r="W1575" s="10"/>
      <c r="X1575" s="10"/>
      <c r="Y1575" s="10"/>
      <c r="Z1575" s="10"/>
    </row>
    <row r="1576" spans="1:26" ht="14.25" customHeight="1">
      <c r="A1576" s="9">
        <v>1753</v>
      </c>
      <c r="B1576" s="10"/>
      <c r="C1576" s="21">
        <v>230914</v>
      </c>
      <c r="D1576" s="22" t="s">
        <v>849</v>
      </c>
      <c r="E1576" s="23">
        <v>45012</v>
      </c>
      <c r="F1576" s="24">
        <v>44986</v>
      </c>
      <c r="G1576" s="25">
        <v>1232100</v>
      </c>
      <c r="H1576" s="26" t="s">
        <v>3407</v>
      </c>
      <c r="I1576" s="34" t="s">
        <v>29</v>
      </c>
      <c r="J1576" s="10"/>
      <c r="K1576" s="39"/>
      <c r="L1576" s="40">
        <v>45061</v>
      </c>
      <c r="M1576" s="40">
        <v>45063</v>
      </c>
      <c r="N1576" s="37">
        <v>1232100</v>
      </c>
      <c r="O1576" s="37">
        <v>0</v>
      </c>
      <c r="P1576" s="10"/>
      <c r="Q1576" s="10"/>
      <c r="R1576" s="10"/>
      <c r="S1576" s="10"/>
      <c r="T1576" s="10"/>
      <c r="U1576" s="10"/>
      <c r="V1576" s="10"/>
      <c r="W1576" s="10"/>
      <c r="X1576" s="10"/>
      <c r="Y1576" s="10"/>
      <c r="Z1576" s="10"/>
    </row>
    <row r="1577" spans="1:26" ht="14.25" customHeight="1">
      <c r="A1577" s="9">
        <v>1754</v>
      </c>
      <c r="B1577" s="10"/>
      <c r="C1577" s="21">
        <v>231011</v>
      </c>
      <c r="D1577" s="22" t="s">
        <v>849</v>
      </c>
      <c r="E1577" s="23">
        <v>45065</v>
      </c>
      <c r="F1577" s="24">
        <v>45047</v>
      </c>
      <c r="G1577" s="25">
        <v>1478520</v>
      </c>
      <c r="H1577" s="26" t="s">
        <v>3408</v>
      </c>
      <c r="I1577" s="34" t="s">
        <v>29</v>
      </c>
      <c r="J1577" s="25">
        <v>1478520</v>
      </c>
      <c r="K1577" s="40">
        <v>45102</v>
      </c>
      <c r="L1577" s="40">
        <v>45105</v>
      </c>
      <c r="M1577" s="40">
        <v>45106</v>
      </c>
      <c r="N1577" s="37">
        <v>1478520</v>
      </c>
      <c r="O1577" s="37">
        <v>0</v>
      </c>
      <c r="P1577" s="10"/>
      <c r="Q1577" s="10"/>
      <c r="R1577" s="10"/>
      <c r="S1577" s="10"/>
      <c r="T1577" s="10"/>
      <c r="U1577" s="10"/>
      <c r="V1577" s="10"/>
      <c r="W1577" s="10"/>
      <c r="X1577" s="10"/>
      <c r="Y1577" s="10"/>
      <c r="Z1577" s="10"/>
    </row>
    <row r="1578" spans="1:26" ht="14.25" customHeight="1">
      <c r="A1578" s="9">
        <v>1755</v>
      </c>
      <c r="B1578" s="10"/>
      <c r="C1578" s="21">
        <v>231198</v>
      </c>
      <c r="D1578" s="22" t="s">
        <v>849</v>
      </c>
      <c r="E1578" s="23">
        <v>45091</v>
      </c>
      <c r="F1578" s="24">
        <v>45078</v>
      </c>
      <c r="G1578" s="25">
        <v>1848150</v>
      </c>
      <c r="H1578" s="25" t="s">
        <v>3409</v>
      </c>
      <c r="I1578" s="34" t="s">
        <v>29</v>
      </c>
      <c r="J1578" s="25">
        <v>1848150</v>
      </c>
      <c r="K1578" s="36">
        <v>45148</v>
      </c>
      <c r="L1578" s="40">
        <v>45148</v>
      </c>
      <c r="M1578" s="40">
        <v>45148</v>
      </c>
      <c r="N1578" s="37">
        <v>1848150</v>
      </c>
      <c r="O1578" s="37">
        <v>0</v>
      </c>
      <c r="P1578" s="10"/>
      <c r="Q1578" s="10"/>
      <c r="R1578" s="10"/>
      <c r="S1578" s="10"/>
      <c r="T1578" s="10"/>
      <c r="U1578" s="10"/>
      <c r="V1578" s="10"/>
      <c r="W1578" s="10"/>
      <c r="X1578" s="10"/>
      <c r="Y1578" s="10"/>
      <c r="Z1578" s="10"/>
    </row>
    <row r="1579" spans="1:26" ht="14.25" customHeight="1">
      <c r="A1579" s="9">
        <v>1756</v>
      </c>
      <c r="B1579" s="10"/>
      <c r="C1579" s="21">
        <v>231543</v>
      </c>
      <c r="D1579" s="22" t="s">
        <v>849</v>
      </c>
      <c r="E1579" s="23">
        <v>45146</v>
      </c>
      <c r="F1579" s="24">
        <v>45139</v>
      </c>
      <c r="G1579" s="25">
        <v>1232100</v>
      </c>
      <c r="H1579" s="25" t="s">
        <v>3410</v>
      </c>
      <c r="I1579" s="34" t="s">
        <v>29</v>
      </c>
      <c r="J1579" s="27"/>
      <c r="K1579" s="36">
        <v>45209</v>
      </c>
      <c r="L1579" s="40">
        <v>45209</v>
      </c>
      <c r="M1579" s="40">
        <v>45209</v>
      </c>
      <c r="N1579" s="37">
        <v>1232100</v>
      </c>
      <c r="O1579" s="37">
        <v>0</v>
      </c>
      <c r="P1579" s="10"/>
      <c r="Q1579" s="10"/>
      <c r="R1579" s="10"/>
      <c r="S1579" s="10"/>
      <c r="T1579" s="10"/>
      <c r="U1579" s="10"/>
      <c r="V1579" s="10"/>
      <c r="W1579" s="10"/>
      <c r="X1579" s="10"/>
      <c r="Y1579" s="10"/>
      <c r="Z1579" s="10"/>
    </row>
    <row r="1580" spans="1:26" ht="14.25" customHeight="1">
      <c r="A1580" s="9">
        <v>1757</v>
      </c>
      <c r="B1580" s="10"/>
      <c r="C1580" s="9">
        <v>232079</v>
      </c>
      <c r="D1580" s="11" t="s">
        <v>849</v>
      </c>
      <c r="E1580" s="12">
        <v>45211</v>
      </c>
      <c r="F1580" s="13">
        <v>45200</v>
      </c>
      <c r="G1580" s="27">
        <v>1232100</v>
      </c>
      <c r="H1580" s="27" t="s">
        <v>3411</v>
      </c>
      <c r="I1580" s="34">
        <v>79.606678703705299</v>
      </c>
      <c r="J1580" s="27">
        <v>2464200</v>
      </c>
      <c r="K1580" s="36">
        <v>45290</v>
      </c>
      <c r="L1580" s="49"/>
      <c r="M1580" s="49"/>
      <c r="N1580" s="37">
        <v>0</v>
      </c>
      <c r="O1580" s="37">
        <v>1232100</v>
      </c>
      <c r="P1580" s="10"/>
      <c r="Q1580" s="10"/>
      <c r="R1580" s="10"/>
      <c r="S1580" s="10"/>
      <c r="T1580" s="10"/>
      <c r="U1580" s="10"/>
      <c r="V1580" s="10"/>
      <c r="W1580" s="10"/>
      <c r="X1580" s="10"/>
      <c r="Y1580" s="10"/>
      <c r="Z1580" s="10"/>
    </row>
    <row r="1581" spans="1:26" ht="14.25" customHeight="1">
      <c r="A1581" s="9">
        <v>1758</v>
      </c>
      <c r="B1581" s="10"/>
      <c r="C1581" s="9">
        <v>232609</v>
      </c>
      <c r="D1581" s="11" t="s">
        <v>849</v>
      </c>
      <c r="E1581" s="12">
        <v>45251</v>
      </c>
      <c r="F1581" s="13">
        <v>45231</v>
      </c>
      <c r="G1581" s="27">
        <v>1232100</v>
      </c>
      <c r="H1581" s="27" t="s">
        <v>3412</v>
      </c>
      <c r="I1581" s="34">
        <v>39.606678703705299</v>
      </c>
      <c r="J1581" s="27"/>
      <c r="K1581" s="39"/>
      <c r="L1581" s="49"/>
      <c r="M1581" s="49"/>
      <c r="N1581" s="37">
        <v>0</v>
      </c>
      <c r="O1581" s="37">
        <v>1232100</v>
      </c>
      <c r="P1581" s="10"/>
      <c r="Q1581" s="10"/>
      <c r="R1581" s="10"/>
      <c r="S1581" s="10"/>
      <c r="T1581" s="10"/>
      <c r="U1581" s="10"/>
      <c r="V1581" s="10"/>
      <c r="W1581" s="10"/>
      <c r="X1581" s="10"/>
      <c r="Y1581" s="10"/>
      <c r="Z1581" s="10"/>
    </row>
    <row r="1582" spans="1:26" ht="14.25" customHeight="1">
      <c r="A1582" s="9">
        <v>1763</v>
      </c>
      <c r="B1582" s="10"/>
      <c r="C1582" s="21">
        <v>222038</v>
      </c>
      <c r="D1582" s="22" t="s">
        <v>852</v>
      </c>
      <c r="E1582" s="23">
        <v>44882</v>
      </c>
      <c r="F1582" s="24">
        <v>44866</v>
      </c>
      <c r="G1582" s="44">
        <v>2292150</v>
      </c>
      <c r="H1582" s="26" t="s">
        <v>3413</v>
      </c>
      <c r="I1582" s="34" t="s">
        <v>29</v>
      </c>
      <c r="J1582" s="25">
        <v>5084355</v>
      </c>
      <c r="K1582" s="40">
        <v>45017</v>
      </c>
      <c r="L1582" s="40">
        <v>45017</v>
      </c>
      <c r="M1582" s="40">
        <v>45017</v>
      </c>
      <c r="N1582" s="37">
        <v>2292150</v>
      </c>
      <c r="O1582" s="37">
        <v>0</v>
      </c>
      <c r="P1582" s="10"/>
      <c r="Q1582" s="10"/>
      <c r="R1582" s="10"/>
      <c r="S1582" s="10"/>
      <c r="T1582" s="10"/>
      <c r="U1582" s="10"/>
      <c r="V1582" s="10"/>
      <c r="W1582" s="10"/>
      <c r="X1582" s="10"/>
      <c r="Y1582" s="10"/>
      <c r="Z1582" s="10"/>
    </row>
    <row r="1583" spans="1:26" ht="14.25" customHeight="1">
      <c r="A1583" s="9">
        <v>1764</v>
      </c>
      <c r="B1583" s="10"/>
      <c r="C1583" s="21">
        <v>222104</v>
      </c>
      <c r="D1583" s="22" t="s">
        <v>852</v>
      </c>
      <c r="E1583" s="23">
        <v>44887</v>
      </c>
      <c r="F1583" s="24">
        <v>44866</v>
      </c>
      <c r="G1583" s="44">
        <v>344100</v>
      </c>
      <c r="H1583" s="26" t="s">
        <v>3414</v>
      </c>
      <c r="I1583" s="34" t="s">
        <v>29</v>
      </c>
      <c r="J1583" s="10"/>
      <c r="K1583" s="49"/>
      <c r="L1583" s="40">
        <v>45017</v>
      </c>
      <c r="M1583" s="40">
        <v>45017</v>
      </c>
      <c r="N1583" s="37">
        <v>344100</v>
      </c>
      <c r="O1583" s="37">
        <v>0</v>
      </c>
      <c r="P1583" s="10"/>
      <c r="Q1583" s="10"/>
      <c r="R1583" s="10"/>
      <c r="S1583" s="10"/>
      <c r="T1583" s="10"/>
      <c r="U1583" s="10"/>
      <c r="V1583" s="10"/>
      <c r="W1583" s="10"/>
      <c r="X1583" s="10"/>
      <c r="Y1583" s="10"/>
      <c r="Z1583" s="10"/>
    </row>
    <row r="1584" spans="1:26" ht="14.25" customHeight="1">
      <c r="A1584" s="9">
        <v>1765</v>
      </c>
      <c r="B1584" s="10"/>
      <c r="C1584" s="21">
        <v>222105</v>
      </c>
      <c r="D1584" s="22" t="s">
        <v>852</v>
      </c>
      <c r="E1584" s="23">
        <v>44888</v>
      </c>
      <c r="F1584" s="24">
        <v>44866</v>
      </c>
      <c r="G1584" s="44">
        <v>386835</v>
      </c>
      <c r="H1584" s="26" t="s">
        <v>3415</v>
      </c>
      <c r="I1584" s="34" t="s">
        <v>29</v>
      </c>
      <c r="J1584" s="10"/>
      <c r="K1584" s="49"/>
      <c r="L1584" s="40">
        <v>45017</v>
      </c>
      <c r="M1584" s="40">
        <v>45017</v>
      </c>
      <c r="N1584" s="37">
        <v>386835</v>
      </c>
      <c r="O1584" s="37">
        <v>0</v>
      </c>
      <c r="P1584" s="10"/>
      <c r="Q1584" s="10"/>
      <c r="R1584" s="10"/>
      <c r="S1584" s="10"/>
      <c r="T1584" s="10"/>
      <c r="U1584" s="10"/>
      <c r="V1584" s="10"/>
      <c r="W1584" s="10"/>
      <c r="X1584" s="10"/>
      <c r="Y1584" s="10"/>
      <c r="Z1584" s="10"/>
    </row>
    <row r="1585" spans="1:26" ht="14.25" customHeight="1">
      <c r="A1585" s="9">
        <v>1766</v>
      </c>
      <c r="B1585" s="10"/>
      <c r="C1585" s="21">
        <v>222106</v>
      </c>
      <c r="D1585" s="22" t="s">
        <v>852</v>
      </c>
      <c r="E1585" s="23">
        <v>44888</v>
      </c>
      <c r="F1585" s="24">
        <v>44866</v>
      </c>
      <c r="G1585" s="44">
        <v>177600</v>
      </c>
      <c r="H1585" s="26" t="s">
        <v>3416</v>
      </c>
      <c r="I1585" s="34" t="s">
        <v>29</v>
      </c>
      <c r="J1585" s="10"/>
      <c r="K1585" s="49"/>
      <c r="L1585" s="40">
        <v>45017</v>
      </c>
      <c r="M1585" s="40">
        <v>45017</v>
      </c>
      <c r="N1585" s="37">
        <v>177600</v>
      </c>
      <c r="O1585" s="37">
        <v>0</v>
      </c>
      <c r="P1585" s="10"/>
      <c r="Q1585" s="10"/>
      <c r="R1585" s="10"/>
      <c r="S1585" s="10"/>
      <c r="T1585" s="10"/>
      <c r="U1585" s="10"/>
      <c r="V1585" s="10"/>
      <c r="W1585" s="10"/>
      <c r="X1585" s="10"/>
      <c r="Y1585" s="10"/>
      <c r="Z1585" s="10"/>
    </row>
    <row r="1586" spans="1:26" ht="14.25" customHeight="1">
      <c r="A1586" s="9">
        <v>1767</v>
      </c>
      <c r="B1586" s="10"/>
      <c r="C1586" s="21">
        <v>222076</v>
      </c>
      <c r="D1586" s="22" t="s">
        <v>852</v>
      </c>
      <c r="E1586" s="23">
        <v>44891</v>
      </c>
      <c r="F1586" s="24">
        <v>44866</v>
      </c>
      <c r="G1586" s="44">
        <v>199800</v>
      </c>
      <c r="H1586" s="26" t="s">
        <v>3417</v>
      </c>
      <c r="I1586" s="34" t="s">
        <v>29</v>
      </c>
      <c r="J1586" s="10"/>
      <c r="K1586" s="49"/>
      <c r="L1586" s="40">
        <v>45017</v>
      </c>
      <c r="M1586" s="40">
        <v>45017</v>
      </c>
      <c r="N1586" s="37">
        <v>199800</v>
      </c>
      <c r="O1586" s="37">
        <v>0</v>
      </c>
      <c r="P1586" s="10"/>
      <c r="Q1586" s="10"/>
      <c r="R1586" s="10"/>
      <c r="S1586" s="10"/>
      <c r="T1586" s="10"/>
      <c r="U1586" s="10"/>
      <c r="V1586" s="10"/>
      <c r="W1586" s="10"/>
      <c r="X1586" s="10"/>
      <c r="Y1586" s="10"/>
      <c r="Z1586" s="10"/>
    </row>
    <row r="1587" spans="1:26" ht="14.25" customHeight="1">
      <c r="A1587" s="9">
        <v>1768</v>
      </c>
      <c r="B1587" s="10"/>
      <c r="C1587" s="21">
        <v>222119</v>
      </c>
      <c r="D1587" s="22" t="s">
        <v>852</v>
      </c>
      <c r="E1587" s="23">
        <v>44893</v>
      </c>
      <c r="F1587" s="24">
        <v>44866</v>
      </c>
      <c r="G1587" s="44">
        <v>1683870</v>
      </c>
      <c r="H1587" s="26" t="s">
        <v>3418</v>
      </c>
      <c r="I1587" s="34" t="s">
        <v>29</v>
      </c>
      <c r="J1587" s="10"/>
      <c r="K1587" s="49"/>
      <c r="L1587" s="40">
        <v>45017</v>
      </c>
      <c r="M1587" s="40">
        <v>45017</v>
      </c>
      <c r="N1587" s="37">
        <v>1683870</v>
      </c>
      <c r="O1587" s="37">
        <v>0</v>
      </c>
      <c r="P1587" s="10"/>
      <c r="Q1587" s="10"/>
      <c r="R1587" s="10"/>
      <c r="S1587" s="10"/>
      <c r="T1587" s="10"/>
      <c r="U1587" s="10"/>
      <c r="V1587" s="10"/>
      <c r="W1587" s="10"/>
      <c r="X1587" s="10"/>
      <c r="Y1587" s="10"/>
      <c r="Z1587" s="10"/>
    </row>
    <row r="1588" spans="1:26" ht="14.25" customHeight="1">
      <c r="A1588" s="9">
        <v>1769</v>
      </c>
      <c r="B1588" s="10"/>
      <c r="C1588" s="21">
        <v>222169</v>
      </c>
      <c r="D1588" s="22" t="s">
        <v>852</v>
      </c>
      <c r="E1588" s="23">
        <v>44897</v>
      </c>
      <c r="F1588" s="24">
        <v>44896</v>
      </c>
      <c r="G1588" s="25">
        <v>466200</v>
      </c>
      <c r="H1588" s="26" t="s">
        <v>3419</v>
      </c>
      <c r="I1588" s="34" t="s">
        <v>29</v>
      </c>
      <c r="J1588" s="25">
        <v>7423680</v>
      </c>
      <c r="K1588" s="40">
        <v>45044</v>
      </c>
      <c r="L1588" s="40">
        <v>45044</v>
      </c>
      <c r="M1588" s="40">
        <v>45045</v>
      </c>
      <c r="N1588" s="37">
        <v>466200</v>
      </c>
      <c r="O1588" s="37">
        <v>0</v>
      </c>
      <c r="P1588" s="10"/>
      <c r="Q1588" s="10"/>
      <c r="R1588" s="10"/>
      <c r="S1588" s="10"/>
      <c r="T1588" s="10"/>
      <c r="U1588" s="10"/>
      <c r="V1588" s="10"/>
      <c r="W1588" s="10"/>
      <c r="X1588" s="10"/>
      <c r="Y1588" s="10"/>
      <c r="Z1588" s="10"/>
    </row>
    <row r="1589" spans="1:26" ht="14.25" customHeight="1">
      <c r="A1589" s="9">
        <v>1770</v>
      </c>
      <c r="B1589" s="10"/>
      <c r="C1589" s="21">
        <v>222175</v>
      </c>
      <c r="D1589" s="22" t="s">
        <v>852</v>
      </c>
      <c r="E1589" s="23">
        <v>44901</v>
      </c>
      <c r="F1589" s="24">
        <v>44896</v>
      </c>
      <c r="G1589" s="25">
        <v>732600</v>
      </c>
      <c r="H1589" s="26" t="s">
        <v>3420</v>
      </c>
      <c r="I1589" s="34" t="s">
        <v>29</v>
      </c>
      <c r="J1589" s="10"/>
      <c r="K1589" s="39"/>
      <c r="L1589" s="40">
        <v>45044</v>
      </c>
      <c r="M1589" s="40">
        <v>45045</v>
      </c>
      <c r="N1589" s="37">
        <v>732600</v>
      </c>
      <c r="O1589" s="37">
        <v>0</v>
      </c>
      <c r="P1589" s="10"/>
      <c r="Q1589" s="10"/>
      <c r="R1589" s="10"/>
      <c r="S1589" s="10"/>
      <c r="T1589" s="10"/>
      <c r="U1589" s="10"/>
      <c r="V1589" s="10"/>
      <c r="W1589" s="10"/>
      <c r="X1589" s="10"/>
      <c r="Y1589" s="10"/>
      <c r="Z1589" s="10"/>
    </row>
    <row r="1590" spans="1:26" ht="14.25" customHeight="1">
      <c r="A1590" s="9">
        <v>1771</v>
      </c>
      <c r="B1590" s="10"/>
      <c r="C1590" s="21">
        <v>222232</v>
      </c>
      <c r="D1590" s="22" t="s">
        <v>852</v>
      </c>
      <c r="E1590" s="23">
        <v>44903</v>
      </c>
      <c r="F1590" s="24">
        <v>44896</v>
      </c>
      <c r="G1590" s="25">
        <v>693750</v>
      </c>
      <c r="H1590" s="26" t="s">
        <v>3421</v>
      </c>
      <c r="I1590" s="34" t="s">
        <v>29</v>
      </c>
      <c r="J1590" s="10"/>
      <c r="K1590" s="39"/>
      <c r="L1590" s="40">
        <v>45044</v>
      </c>
      <c r="M1590" s="40">
        <v>45045</v>
      </c>
      <c r="N1590" s="37">
        <v>693750</v>
      </c>
      <c r="O1590" s="37">
        <v>0</v>
      </c>
      <c r="P1590" s="10"/>
      <c r="Q1590" s="10"/>
      <c r="R1590" s="10"/>
      <c r="S1590" s="10"/>
      <c r="T1590" s="10"/>
      <c r="U1590" s="10"/>
      <c r="V1590" s="10"/>
      <c r="W1590" s="10"/>
      <c r="X1590" s="10"/>
      <c r="Y1590" s="10"/>
      <c r="Z1590" s="10"/>
    </row>
    <row r="1591" spans="1:26" ht="14.25" customHeight="1">
      <c r="A1591" s="9">
        <v>1772</v>
      </c>
      <c r="B1591" s="10"/>
      <c r="C1591" s="21">
        <v>230321</v>
      </c>
      <c r="D1591" s="22" t="s">
        <v>852</v>
      </c>
      <c r="E1591" s="23">
        <v>44908</v>
      </c>
      <c r="F1591" s="24">
        <v>44896</v>
      </c>
      <c r="G1591" s="25">
        <v>1998000</v>
      </c>
      <c r="H1591" s="26" t="s">
        <v>3422</v>
      </c>
      <c r="I1591" s="34" t="s">
        <v>29</v>
      </c>
      <c r="J1591" s="10"/>
      <c r="K1591" s="39"/>
      <c r="L1591" s="40">
        <v>45044</v>
      </c>
      <c r="M1591" s="40">
        <v>45045</v>
      </c>
      <c r="N1591" s="37">
        <v>1998000</v>
      </c>
      <c r="O1591" s="37">
        <v>0</v>
      </c>
      <c r="P1591" s="10"/>
      <c r="Q1591" s="10"/>
      <c r="R1591" s="10"/>
      <c r="S1591" s="10"/>
      <c r="T1591" s="10"/>
      <c r="U1591" s="10"/>
      <c r="V1591" s="10"/>
      <c r="W1591" s="10"/>
      <c r="X1591" s="10"/>
      <c r="Y1591" s="10"/>
      <c r="Z1591" s="10"/>
    </row>
    <row r="1592" spans="1:26" ht="14.25" customHeight="1">
      <c r="A1592" s="9">
        <v>1773</v>
      </c>
      <c r="B1592" s="10"/>
      <c r="C1592" s="21">
        <v>222283</v>
      </c>
      <c r="D1592" s="22" t="s">
        <v>852</v>
      </c>
      <c r="E1592" s="23">
        <v>44914</v>
      </c>
      <c r="F1592" s="24">
        <v>44896</v>
      </c>
      <c r="G1592" s="25">
        <v>2217225</v>
      </c>
      <c r="H1592" s="26" t="s">
        <v>3423</v>
      </c>
      <c r="I1592" s="34" t="s">
        <v>29</v>
      </c>
      <c r="J1592" s="10"/>
      <c r="K1592" s="39"/>
      <c r="L1592" s="40">
        <v>45044</v>
      </c>
      <c r="M1592" s="40">
        <v>45045</v>
      </c>
      <c r="N1592" s="37">
        <v>2217225</v>
      </c>
      <c r="O1592" s="37">
        <v>0</v>
      </c>
      <c r="P1592" s="10"/>
      <c r="Q1592" s="10"/>
      <c r="R1592" s="10"/>
      <c r="S1592" s="10"/>
      <c r="T1592" s="10"/>
      <c r="U1592" s="10"/>
      <c r="V1592" s="10"/>
      <c r="W1592" s="10"/>
      <c r="X1592" s="10"/>
      <c r="Y1592" s="10"/>
      <c r="Z1592" s="10"/>
    </row>
    <row r="1593" spans="1:26" ht="14.25" customHeight="1">
      <c r="A1593" s="9">
        <v>1774</v>
      </c>
      <c r="B1593" s="10"/>
      <c r="C1593" s="21">
        <v>222332</v>
      </c>
      <c r="D1593" s="22" t="s">
        <v>852</v>
      </c>
      <c r="E1593" s="23">
        <v>44919</v>
      </c>
      <c r="F1593" s="24">
        <v>44896</v>
      </c>
      <c r="G1593" s="25">
        <v>438450</v>
      </c>
      <c r="H1593" s="26" t="s">
        <v>3424</v>
      </c>
      <c r="I1593" s="34" t="s">
        <v>29</v>
      </c>
      <c r="J1593" s="10"/>
      <c r="K1593" s="39"/>
      <c r="L1593" s="40">
        <v>45044</v>
      </c>
      <c r="M1593" s="40">
        <v>45045</v>
      </c>
      <c r="N1593" s="37">
        <v>438450</v>
      </c>
      <c r="O1593" s="37">
        <v>0</v>
      </c>
      <c r="P1593" s="10"/>
      <c r="Q1593" s="10"/>
      <c r="R1593" s="10"/>
      <c r="S1593" s="10"/>
      <c r="T1593" s="10"/>
      <c r="U1593" s="10"/>
      <c r="V1593" s="10"/>
      <c r="W1593" s="10"/>
      <c r="X1593" s="10"/>
      <c r="Y1593" s="10"/>
      <c r="Z1593" s="10"/>
    </row>
    <row r="1594" spans="1:26" ht="14.25" customHeight="1">
      <c r="A1594" s="9">
        <v>1775</v>
      </c>
      <c r="B1594" s="10"/>
      <c r="C1594" s="21">
        <v>222347</v>
      </c>
      <c r="D1594" s="22" t="s">
        <v>852</v>
      </c>
      <c r="E1594" s="23">
        <v>44923</v>
      </c>
      <c r="F1594" s="24">
        <v>44896</v>
      </c>
      <c r="G1594" s="25">
        <v>877455</v>
      </c>
      <c r="H1594" s="26" t="s">
        <v>3425</v>
      </c>
      <c r="I1594" s="34" t="s">
        <v>29</v>
      </c>
      <c r="J1594" s="10"/>
      <c r="K1594" s="39"/>
      <c r="L1594" s="40">
        <v>45044</v>
      </c>
      <c r="M1594" s="40">
        <v>45045</v>
      </c>
      <c r="N1594" s="37">
        <v>877455</v>
      </c>
      <c r="O1594" s="37">
        <v>0</v>
      </c>
      <c r="P1594" s="10"/>
      <c r="Q1594" s="10"/>
      <c r="R1594" s="10"/>
      <c r="S1594" s="10"/>
      <c r="T1594" s="10"/>
      <c r="U1594" s="10"/>
      <c r="V1594" s="10"/>
      <c r="W1594" s="10"/>
      <c r="X1594" s="10"/>
      <c r="Y1594" s="10"/>
      <c r="Z1594" s="10"/>
    </row>
    <row r="1595" spans="1:26" ht="14.25" customHeight="1">
      <c r="A1595" s="9">
        <v>1776</v>
      </c>
      <c r="B1595" s="10"/>
      <c r="C1595" s="21">
        <v>230073</v>
      </c>
      <c r="D1595" s="22" t="s">
        <v>852</v>
      </c>
      <c r="E1595" s="23">
        <v>44935</v>
      </c>
      <c r="F1595" s="24">
        <v>44927</v>
      </c>
      <c r="G1595" s="25">
        <v>1959705</v>
      </c>
      <c r="H1595" s="26" t="s">
        <v>3426</v>
      </c>
      <c r="I1595" s="34" t="s">
        <v>29</v>
      </c>
      <c r="J1595" s="25">
        <v>6544560</v>
      </c>
      <c r="K1595" s="40">
        <v>45071</v>
      </c>
      <c r="L1595" s="40">
        <v>45071</v>
      </c>
      <c r="M1595" s="40">
        <v>45072</v>
      </c>
      <c r="N1595" s="37">
        <v>1959705</v>
      </c>
      <c r="O1595" s="37">
        <v>0</v>
      </c>
      <c r="P1595" s="10"/>
      <c r="Q1595" s="10"/>
      <c r="R1595" s="10"/>
      <c r="S1595" s="10"/>
      <c r="T1595" s="10"/>
      <c r="U1595" s="10"/>
      <c r="V1595" s="10"/>
      <c r="W1595" s="10"/>
      <c r="X1595" s="10"/>
      <c r="Y1595" s="10"/>
      <c r="Z1595" s="10"/>
    </row>
    <row r="1596" spans="1:26" ht="14.25" customHeight="1">
      <c r="A1596" s="9">
        <v>1777</v>
      </c>
      <c r="B1596" s="10"/>
      <c r="C1596" s="21">
        <v>230072</v>
      </c>
      <c r="D1596" s="22" t="s">
        <v>852</v>
      </c>
      <c r="E1596" s="23">
        <v>44937</v>
      </c>
      <c r="F1596" s="24">
        <v>44927</v>
      </c>
      <c r="G1596" s="25">
        <v>1464645</v>
      </c>
      <c r="H1596" s="26" t="s">
        <v>3427</v>
      </c>
      <c r="I1596" s="34" t="s">
        <v>29</v>
      </c>
      <c r="J1596" s="10"/>
      <c r="K1596" s="39"/>
      <c r="L1596" s="40">
        <v>45071</v>
      </c>
      <c r="M1596" s="40">
        <v>45072</v>
      </c>
      <c r="N1596" s="37">
        <v>1464645</v>
      </c>
      <c r="O1596" s="37">
        <v>0</v>
      </c>
      <c r="P1596" s="10"/>
      <c r="Q1596" s="10"/>
      <c r="R1596" s="10"/>
      <c r="S1596" s="10"/>
      <c r="T1596" s="10"/>
      <c r="U1596" s="10"/>
      <c r="V1596" s="10"/>
      <c r="W1596" s="10"/>
      <c r="X1596" s="10"/>
      <c r="Y1596" s="10"/>
      <c r="Z1596" s="10"/>
    </row>
    <row r="1597" spans="1:26" ht="14.25" customHeight="1">
      <c r="A1597" s="9">
        <v>1778</v>
      </c>
      <c r="B1597" s="10"/>
      <c r="C1597" s="21">
        <v>230140</v>
      </c>
      <c r="D1597" s="22" t="s">
        <v>852</v>
      </c>
      <c r="E1597" s="23">
        <v>44947</v>
      </c>
      <c r="F1597" s="24">
        <v>44927</v>
      </c>
      <c r="G1597" s="25">
        <v>1118325</v>
      </c>
      <c r="H1597" s="26" t="s">
        <v>3428</v>
      </c>
      <c r="I1597" s="34" t="s">
        <v>29</v>
      </c>
      <c r="J1597" s="10"/>
      <c r="K1597" s="39"/>
      <c r="L1597" s="40">
        <v>45071</v>
      </c>
      <c r="M1597" s="40">
        <v>45072</v>
      </c>
      <c r="N1597" s="37">
        <v>1118325</v>
      </c>
      <c r="O1597" s="37">
        <v>0</v>
      </c>
      <c r="P1597" s="10"/>
      <c r="Q1597" s="10"/>
      <c r="R1597" s="10"/>
      <c r="S1597" s="10"/>
      <c r="T1597" s="10"/>
      <c r="U1597" s="10"/>
      <c r="V1597" s="10"/>
      <c r="W1597" s="10"/>
      <c r="X1597" s="10"/>
      <c r="Y1597" s="10"/>
      <c r="Z1597" s="10"/>
    </row>
    <row r="1598" spans="1:26" ht="14.25" customHeight="1">
      <c r="A1598" s="9">
        <v>1779</v>
      </c>
      <c r="B1598" s="10"/>
      <c r="C1598" s="21">
        <v>230167</v>
      </c>
      <c r="D1598" s="22" t="s">
        <v>852</v>
      </c>
      <c r="E1598" s="23">
        <v>44950</v>
      </c>
      <c r="F1598" s="24">
        <v>44927</v>
      </c>
      <c r="G1598" s="25">
        <v>366300</v>
      </c>
      <c r="H1598" s="26" t="s">
        <v>3429</v>
      </c>
      <c r="I1598" s="34" t="s">
        <v>29</v>
      </c>
      <c r="J1598" s="10"/>
      <c r="K1598" s="39"/>
      <c r="L1598" s="40">
        <v>45071</v>
      </c>
      <c r="M1598" s="40">
        <v>45072</v>
      </c>
      <c r="N1598" s="37">
        <v>366300</v>
      </c>
      <c r="O1598" s="37">
        <v>0</v>
      </c>
      <c r="P1598" s="10"/>
      <c r="Q1598" s="10"/>
      <c r="R1598" s="10"/>
      <c r="S1598" s="10"/>
      <c r="T1598" s="10"/>
      <c r="U1598" s="10"/>
      <c r="V1598" s="10"/>
      <c r="W1598" s="10"/>
      <c r="X1598" s="10"/>
      <c r="Y1598" s="10"/>
      <c r="Z1598" s="10"/>
    </row>
    <row r="1599" spans="1:26" ht="14.25" customHeight="1">
      <c r="A1599" s="9">
        <v>1780</v>
      </c>
      <c r="B1599" s="10"/>
      <c r="C1599" s="21">
        <v>230149</v>
      </c>
      <c r="D1599" s="22" t="s">
        <v>852</v>
      </c>
      <c r="E1599" s="23">
        <v>44951</v>
      </c>
      <c r="F1599" s="24">
        <v>44927</v>
      </c>
      <c r="G1599" s="25">
        <v>249750</v>
      </c>
      <c r="H1599" s="26" t="s">
        <v>3430</v>
      </c>
      <c r="I1599" s="34" t="s">
        <v>29</v>
      </c>
      <c r="J1599" s="10"/>
      <c r="K1599" s="39"/>
      <c r="L1599" s="40">
        <v>45071</v>
      </c>
      <c r="M1599" s="40">
        <v>45072</v>
      </c>
      <c r="N1599" s="37">
        <v>249750</v>
      </c>
      <c r="O1599" s="37">
        <v>0</v>
      </c>
      <c r="P1599" s="10"/>
      <c r="Q1599" s="10"/>
      <c r="R1599" s="10"/>
      <c r="S1599" s="10"/>
      <c r="T1599" s="10"/>
      <c r="U1599" s="10"/>
      <c r="V1599" s="10"/>
      <c r="W1599" s="10"/>
      <c r="X1599" s="10"/>
      <c r="Y1599" s="10"/>
      <c r="Z1599" s="10"/>
    </row>
    <row r="1600" spans="1:26" ht="14.25" customHeight="1">
      <c r="A1600" s="9">
        <v>1781</v>
      </c>
      <c r="B1600" s="10"/>
      <c r="C1600" s="21">
        <v>230195</v>
      </c>
      <c r="D1600" s="22" t="s">
        <v>852</v>
      </c>
      <c r="E1600" s="23">
        <v>44956</v>
      </c>
      <c r="F1600" s="24">
        <v>44927</v>
      </c>
      <c r="G1600" s="25">
        <v>1385835</v>
      </c>
      <c r="H1600" s="26" t="s">
        <v>3421</v>
      </c>
      <c r="I1600" s="34" t="s">
        <v>29</v>
      </c>
      <c r="J1600" s="10"/>
      <c r="K1600" s="39"/>
      <c r="L1600" s="40">
        <v>45071</v>
      </c>
      <c r="M1600" s="40">
        <v>45072</v>
      </c>
      <c r="N1600" s="37">
        <v>1385835</v>
      </c>
      <c r="O1600" s="37">
        <v>0</v>
      </c>
      <c r="P1600" s="10"/>
      <c r="Q1600" s="10"/>
      <c r="R1600" s="10"/>
      <c r="S1600" s="10"/>
      <c r="T1600" s="10"/>
      <c r="U1600" s="10"/>
      <c r="V1600" s="10"/>
      <c r="W1600" s="10"/>
      <c r="X1600" s="10"/>
      <c r="Y1600" s="10"/>
      <c r="Z1600" s="10"/>
    </row>
    <row r="1601" spans="1:26" ht="14.25" customHeight="1">
      <c r="A1601" s="9">
        <v>1782</v>
      </c>
      <c r="B1601" s="10"/>
      <c r="C1601" s="21">
        <v>230278</v>
      </c>
      <c r="D1601" s="22" t="s">
        <v>852</v>
      </c>
      <c r="E1601" s="23">
        <v>44959</v>
      </c>
      <c r="F1601" s="24">
        <v>44958</v>
      </c>
      <c r="G1601" s="25">
        <v>277500</v>
      </c>
      <c r="H1601" s="26" t="s">
        <v>3431</v>
      </c>
      <c r="I1601" s="233" t="s">
        <v>29</v>
      </c>
      <c r="J1601" s="25">
        <v>9619593</v>
      </c>
      <c r="K1601" s="40">
        <v>45092</v>
      </c>
      <c r="L1601" s="40">
        <v>45093</v>
      </c>
      <c r="M1601" s="40">
        <v>45093</v>
      </c>
      <c r="N1601" s="37">
        <v>277500</v>
      </c>
      <c r="O1601" s="37">
        <v>0</v>
      </c>
      <c r="P1601" s="10"/>
      <c r="Q1601" s="10"/>
      <c r="R1601" s="10"/>
      <c r="S1601" s="10"/>
      <c r="T1601" s="10"/>
      <c r="U1601" s="10"/>
      <c r="V1601" s="10"/>
      <c r="W1601" s="10"/>
      <c r="X1601" s="10"/>
      <c r="Y1601" s="10"/>
      <c r="Z1601" s="10"/>
    </row>
    <row r="1602" spans="1:26" ht="14.25" customHeight="1">
      <c r="A1602" s="9">
        <v>1783</v>
      </c>
      <c r="B1602" s="10"/>
      <c r="C1602" s="21">
        <v>230276</v>
      </c>
      <c r="D1602" s="22" t="s">
        <v>852</v>
      </c>
      <c r="E1602" s="23">
        <v>44960</v>
      </c>
      <c r="F1602" s="24">
        <v>44958</v>
      </c>
      <c r="G1602" s="25">
        <v>863025</v>
      </c>
      <c r="H1602" s="26" t="s">
        <v>3432</v>
      </c>
      <c r="I1602" s="233" t="s">
        <v>29</v>
      </c>
      <c r="J1602" s="11"/>
      <c r="K1602" s="39"/>
      <c r="L1602" s="40">
        <v>45093</v>
      </c>
      <c r="M1602" s="40">
        <v>45093</v>
      </c>
      <c r="N1602" s="37">
        <v>863025</v>
      </c>
      <c r="O1602" s="37">
        <v>0</v>
      </c>
      <c r="P1602" s="10"/>
      <c r="Q1602" s="10"/>
      <c r="R1602" s="10"/>
      <c r="S1602" s="10"/>
      <c r="T1602" s="10"/>
      <c r="U1602" s="10"/>
      <c r="V1602" s="10"/>
      <c r="W1602" s="10"/>
      <c r="X1602" s="10"/>
      <c r="Y1602" s="10"/>
      <c r="Z1602" s="10"/>
    </row>
    <row r="1603" spans="1:26" ht="14.25" customHeight="1">
      <c r="A1603" s="9">
        <v>1784</v>
      </c>
      <c r="B1603" s="10"/>
      <c r="C1603" s="21">
        <v>230277</v>
      </c>
      <c r="D1603" s="22" t="s">
        <v>852</v>
      </c>
      <c r="E1603" s="23">
        <v>44964</v>
      </c>
      <c r="F1603" s="24">
        <v>44958</v>
      </c>
      <c r="G1603" s="25">
        <v>663225</v>
      </c>
      <c r="H1603" s="26" t="s">
        <v>3433</v>
      </c>
      <c r="I1603" s="233" t="s">
        <v>29</v>
      </c>
      <c r="J1603" s="11"/>
      <c r="K1603" s="39"/>
      <c r="L1603" s="40">
        <v>45093</v>
      </c>
      <c r="M1603" s="40">
        <v>45093</v>
      </c>
      <c r="N1603" s="37">
        <v>663225</v>
      </c>
      <c r="O1603" s="37">
        <v>0</v>
      </c>
      <c r="P1603" s="10"/>
      <c r="Q1603" s="10"/>
      <c r="R1603" s="10"/>
      <c r="S1603" s="10"/>
      <c r="T1603" s="10"/>
      <c r="U1603" s="10"/>
      <c r="V1603" s="10"/>
      <c r="W1603" s="10"/>
      <c r="X1603" s="10"/>
      <c r="Y1603" s="10"/>
      <c r="Z1603" s="10"/>
    </row>
    <row r="1604" spans="1:26" ht="14.25" customHeight="1">
      <c r="A1604" s="9">
        <v>1785</v>
      </c>
      <c r="B1604" s="10"/>
      <c r="C1604" s="21">
        <v>230426</v>
      </c>
      <c r="D1604" s="22" t="s">
        <v>852</v>
      </c>
      <c r="E1604" s="23">
        <v>44972</v>
      </c>
      <c r="F1604" s="24">
        <v>44958</v>
      </c>
      <c r="G1604" s="25">
        <v>394050</v>
      </c>
      <c r="H1604" s="26" t="s">
        <v>3434</v>
      </c>
      <c r="I1604" s="233" t="s">
        <v>29</v>
      </c>
      <c r="J1604" s="11"/>
      <c r="K1604" s="39"/>
      <c r="L1604" s="40">
        <v>45093</v>
      </c>
      <c r="M1604" s="40">
        <v>45093</v>
      </c>
      <c r="N1604" s="37">
        <v>394050</v>
      </c>
      <c r="O1604" s="37">
        <v>0</v>
      </c>
      <c r="P1604" s="10"/>
      <c r="Q1604" s="10"/>
      <c r="R1604" s="10"/>
      <c r="S1604" s="10"/>
      <c r="T1604" s="10"/>
      <c r="U1604" s="10"/>
      <c r="V1604" s="10"/>
      <c r="W1604" s="10"/>
      <c r="X1604" s="10"/>
      <c r="Y1604" s="10"/>
      <c r="Z1604" s="10"/>
    </row>
    <row r="1605" spans="1:26" ht="14.25" customHeight="1">
      <c r="A1605" s="9">
        <v>1786</v>
      </c>
      <c r="B1605" s="10"/>
      <c r="C1605" s="21">
        <v>230425</v>
      </c>
      <c r="D1605" s="22" t="s">
        <v>852</v>
      </c>
      <c r="E1605" s="23">
        <v>44981</v>
      </c>
      <c r="F1605" s="24">
        <v>44958</v>
      </c>
      <c r="G1605" s="25">
        <v>748584</v>
      </c>
      <c r="H1605" s="26" t="s">
        <v>3435</v>
      </c>
      <c r="I1605" s="233" t="s">
        <v>29</v>
      </c>
      <c r="J1605" s="11"/>
      <c r="K1605" s="39"/>
      <c r="L1605" s="40">
        <v>45093</v>
      </c>
      <c r="M1605" s="40">
        <v>45093</v>
      </c>
      <c r="N1605" s="37">
        <v>748584</v>
      </c>
      <c r="O1605" s="37">
        <v>0</v>
      </c>
      <c r="P1605" s="10"/>
      <c r="Q1605" s="10"/>
      <c r="R1605" s="10"/>
      <c r="S1605" s="10"/>
      <c r="T1605" s="10"/>
      <c r="U1605" s="10"/>
      <c r="V1605" s="10"/>
      <c r="W1605" s="10"/>
      <c r="X1605" s="10"/>
      <c r="Y1605" s="10"/>
      <c r="Z1605" s="10"/>
    </row>
    <row r="1606" spans="1:26" ht="14.25" customHeight="1">
      <c r="A1606" s="9">
        <v>1788</v>
      </c>
      <c r="B1606" s="10"/>
      <c r="C1606" s="21">
        <v>230427</v>
      </c>
      <c r="D1606" s="22" t="s">
        <v>852</v>
      </c>
      <c r="E1606" s="23">
        <v>44982</v>
      </c>
      <c r="F1606" s="24">
        <v>44958</v>
      </c>
      <c r="G1606" s="25">
        <v>277500</v>
      </c>
      <c r="H1606" s="26" t="s">
        <v>3436</v>
      </c>
      <c r="I1606" s="233" t="s">
        <v>29</v>
      </c>
      <c r="J1606" s="11"/>
      <c r="K1606" s="39"/>
      <c r="L1606" s="40">
        <v>45093</v>
      </c>
      <c r="M1606" s="40">
        <v>45093</v>
      </c>
      <c r="N1606" s="37">
        <v>277500</v>
      </c>
      <c r="O1606" s="37">
        <v>0</v>
      </c>
      <c r="P1606" s="10"/>
      <c r="Q1606" s="10"/>
      <c r="R1606" s="10"/>
      <c r="S1606" s="10"/>
      <c r="T1606" s="10"/>
      <c r="U1606" s="10"/>
      <c r="V1606" s="10"/>
      <c r="W1606" s="10"/>
      <c r="X1606" s="10"/>
      <c r="Y1606" s="10"/>
      <c r="Z1606" s="10"/>
    </row>
    <row r="1607" spans="1:26" ht="14.25" customHeight="1">
      <c r="A1607" s="9">
        <v>1787</v>
      </c>
      <c r="B1607" s="10"/>
      <c r="C1607" s="21">
        <v>230428</v>
      </c>
      <c r="D1607" s="22" t="s">
        <v>852</v>
      </c>
      <c r="E1607" s="23">
        <v>44982</v>
      </c>
      <c r="F1607" s="24">
        <v>44958</v>
      </c>
      <c r="G1607" s="25">
        <v>388500</v>
      </c>
      <c r="H1607" s="26" t="s">
        <v>3437</v>
      </c>
      <c r="I1607" s="233" t="s">
        <v>29</v>
      </c>
      <c r="J1607" s="11"/>
      <c r="K1607" s="39"/>
      <c r="L1607" s="40">
        <v>45093</v>
      </c>
      <c r="M1607" s="40">
        <v>45093</v>
      </c>
      <c r="N1607" s="37">
        <v>388500</v>
      </c>
      <c r="O1607" s="37">
        <v>0</v>
      </c>
      <c r="P1607" s="10"/>
      <c r="Q1607" s="10"/>
      <c r="R1607" s="10"/>
      <c r="S1607" s="10"/>
      <c r="T1607" s="10"/>
      <c r="U1607" s="10"/>
      <c r="V1607" s="10"/>
      <c r="W1607" s="10"/>
      <c r="X1607" s="10"/>
      <c r="Y1607" s="10"/>
      <c r="Z1607" s="10"/>
    </row>
    <row r="1608" spans="1:26" ht="14.25" customHeight="1">
      <c r="A1608" s="9">
        <v>1789</v>
      </c>
      <c r="B1608" s="10"/>
      <c r="C1608" s="21">
        <v>230511</v>
      </c>
      <c r="D1608" s="22" t="s">
        <v>852</v>
      </c>
      <c r="E1608" s="23">
        <v>44986</v>
      </c>
      <c r="F1608" s="24">
        <v>44986</v>
      </c>
      <c r="G1608" s="25">
        <v>2275500</v>
      </c>
      <c r="H1608" s="26" t="s">
        <v>3438</v>
      </c>
      <c r="I1608" s="233" t="s">
        <v>29</v>
      </c>
      <c r="J1608" s="11"/>
      <c r="K1608" s="39"/>
      <c r="L1608" s="40">
        <v>45093</v>
      </c>
      <c r="M1608" s="40">
        <v>45093</v>
      </c>
      <c r="N1608" s="37">
        <v>2275500</v>
      </c>
      <c r="O1608" s="37">
        <v>0</v>
      </c>
      <c r="P1608" s="10"/>
      <c r="Q1608" s="10"/>
      <c r="R1608" s="10"/>
      <c r="S1608" s="10"/>
      <c r="T1608" s="10"/>
      <c r="U1608" s="10"/>
      <c r="V1608" s="10"/>
      <c r="W1608" s="10"/>
      <c r="X1608" s="10"/>
      <c r="Y1608" s="10"/>
      <c r="Z1608" s="10"/>
    </row>
    <row r="1609" spans="1:26" ht="14.25" customHeight="1">
      <c r="A1609" s="9">
        <v>1790</v>
      </c>
      <c r="B1609" s="10"/>
      <c r="C1609" s="21">
        <v>230510</v>
      </c>
      <c r="D1609" s="22" t="s">
        <v>852</v>
      </c>
      <c r="E1609" s="23">
        <v>44992</v>
      </c>
      <c r="F1609" s="24">
        <v>44986</v>
      </c>
      <c r="G1609" s="25">
        <v>1150404</v>
      </c>
      <c r="H1609" s="26" t="s">
        <v>3439</v>
      </c>
      <c r="I1609" s="233" t="s">
        <v>29</v>
      </c>
      <c r="J1609" s="11"/>
      <c r="K1609" s="39"/>
      <c r="L1609" s="40">
        <v>45093</v>
      </c>
      <c r="M1609" s="40">
        <v>45093</v>
      </c>
      <c r="N1609" s="37">
        <v>1150404</v>
      </c>
      <c r="O1609" s="37">
        <v>0</v>
      </c>
      <c r="P1609" s="10"/>
      <c r="Q1609" s="10"/>
      <c r="R1609" s="10"/>
      <c r="S1609" s="10"/>
      <c r="T1609" s="10"/>
      <c r="U1609" s="10"/>
      <c r="V1609" s="10"/>
      <c r="W1609" s="10"/>
      <c r="X1609" s="10"/>
      <c r="Y1609" s="10"/>
      <c r="Z1609" s="10"/>
    </row>
    <row r="1610" spans="1:26" ht="14.25" customHeight="1">
      <c r="A1610" s="9">
        <v>1791</v>
      </c>
      <c r="B1610" s="10"/>
      <c r="C1610" s="21">
        <v>230529</v>
      </c>
      <c r="D1610" s="22" t="s">
        <v>852</v>
      </c>
      <c r="E1610" s="23">
        <v>44993</v>
      </c>
      <c r="F1610" s="24">
        <v>44986</v>
      </c>
      <c r="G1610" s="25">
        <v>1149960</v>
      </c>
      <c r="H1610" s="26" t="s">
        <v>3440</v>
      </c>
      <c r="I1610" s="233" t="s">
        <v>29</v>
      </c>
      <c r="J1610" s="11"/>
      <c r="K1610" s="39"/>
      <c r="L1610" s="40">
        <v>45093</v>
      </c>
      <c r="M1610" s="40">
        <v>45093</v>
      </c>
      <c r="N1610" s="37">
        <v>1149960</v>
      </c>
      <c r="O1610" s="37">
        <v>0</v>
      </c>
      <c r="P1610" s="10"/>
      <c r="Q1610" s="10"/>
      <c r="R1610" s="10"/>
      <c r="S1610" s="10"/>
      <c r="T1610" s="10"/>
      <c r="U1610" s="10"/>
      <c r="V1610" s="10"/>
      <c r="W1610" s="10"/>
      <c r="X1610" s="10"/>
      <c r="Y1610" s="10"/>
      <c r="Z1610" s="10"/>
    </row>
    <row r="1611" spans="1:26" ht="14.25" customHeight="1">
      <c r="A1611" s="9">
        <v>1792</v>
      </c>
      <c r="B1611" s="10"/>
      <c r="C1611" s="21">
        <v>230608</v>
      </c>
      <c r="D1611" s="22" t="s">
        <v>852</v>
      </c>
      <c r="E1611" s="23">
        <v>45001</v>
      </c>
      <c r="F1611" s="24">
        <v>44986</v>
      </c>
      <c r="G1611" s="25">
        <v>610500</v>
      </c>
      <c r="H1611" s="26" t="s">
        <v>3441</v>
      </c>
      <c r="I1611" s="233" t="s">
        <v>29</v>
      </c>
      <c r="J1611" s="11"/>
      <c r="K1611" s="39"/>
      <c r="L1611" s="40">
        <v>45093</v>
      </c>
      <c r="M1611" s="40">
        <v>45093</v>
      </c>
      <c r="N1611" s="37">
        <v>610500</v>
      </c>
      <c r="O1611" s="37">
        <v>0</v>
      </c>
      <c r="P1611" s="10"/>
      <c r="Q1611" s="10"/>
      <c r="R1611" s="10"/>
      <c r="S1611" s="10"/>
      <c r="T1611" s="10"/>
      <c r="U1611" s="10"/>
      <c r="V1611" s="10"/>
      <c r="W1611" s="10"/>
      <c r="X1611" s="10"/>
      <c r="Y1611" s="10"/>
      <c r="Z1611" s="10"/>
    </row>
    <row r="1612" spans="1:26" ht="14.25" customHeight="1">
      <c r="A1612" s="9">
        <v>1793</v>
      </c>
      <c r="B1612" s="10"/>
      <c r="C1612" s="21">
        <v>230609</v>
      </c>
      <c r="D1612" s="22" t="s">
        <v>852</v>
      </c>
      <c r="E1612" s="23">
        <v>45005</v>
      </c>
      <c r="F1612" s="24">
        <v>44986</v>
      </c>
      <c r="G1612" s="25">
        <v>820845</v>
      </c>
      <c r="H1612" s="26" t="s">
        <v>3442</v>
      </c>
      <c r="I1612" s="233" t="s">
        <v>29</v>
      </c>
      <c r="J1612" s="11"/>
      <c r="K1612" s="39"/>
      <c r="L1612" s="40">
        <v>45093</v>
      </c>
      <c r="M1612" s="40">
        <v>45093</v>
      </c>
      <c r="N1612" s="37">
        <v>820845</v>
      </c>
      <c r="O1612" s="37">
        <v>0</v>
      </c>
      <c r="P1612" s="10"/>
      <c r="Q1612" s="10"/>
      <c r="R1612" s="10"/>
      <c r="S1612" s="10"/>
      <c r="T1612" s="10"/>
      <c r="U1612" s="10"/>
      <c r="V1612" s="10"/>
      <c r="W1612" s="10"/>
      <c r="X1612" s="10"/>
      <c r="Y1612" s="10"/>
      <c r="Z1612" s="10"/>
    </row>
    <row r="1613" spans="1:26" ht="14.25" customHeight="1">
      <c r="A1613" s="9">
        <v>1794</v>
      </c>
      <c r="B1613" s="10"/>
      <c r="C1613" s="21">
        <v>230643</v>
      </c>
      <c r="D1613" s="22" t="s">
        <v>852</v>
      </c>
      <c r="E1613" s="23">
        <v>45012</v>
      </c>
      <c r="F1613" s="24">
        <v>44986</v>
      </c>
      <c r="G1613" s="25">
        <v>1387500</v>
      </c>
      <c r="H1613" s="26" t="s">
        <v>3443</v>
      </c>
      <c r="I1613" s="233" t="s">
        <v>29</v>
      </c>
      <c r="J1613" s="76">
        <v>11438661</v>
      </c>
      <c r="K1613" s="39">
        <v>45174</v>
      </c>
      <c r="L1613" s="36">
        <v>45174</v>
      </c>
      <c r="M1613" s="36">
        <v>45174</v>
      </c>
      <c r="N1613" s="37">
        <v>1387500</v>
      </c>
      <c r="O1613" s="37">
        <v>0</v>
      </c>
      <c r="P1613" s="10"/>
      <c r="Q1613" s="10"/>
      <c r="R1613" s="10"/>
      <c r="S1613" s="10"/>
      <c r="T1613" s="10"/>
      <c r="U1613" s="10"/>
      <c r="V1613" s="10"/>
      <c r="W1613" s="10"/>
      <c r="X1613" s="10"/>
      <c r="Y1613" s="10"/>
      <c r="Z1613" s="10"/>
    </row>
    <row r="1614" spans="1:26" ht="14.25" customHeight="1">
      <c r="A1614" s="9">
        <v>1795</v>
      </c>
      <c r="B1614" s="10"/>
      <c r="C1614" s="21">
        <v>230679</v>
      </c>
      <c r="D1614" s="22" t="s">
        <v>852</v>
      </c>
      <c r="E1614" s="23">
        <v>45013</v>
      </c>
      <c r="F1614" s="24">
        <v>44986</v>
      </c>
      <c r="G1614" s="25">
        <v>663225</v>
      </c>
      <c r="H1614" s="26" t="s">
        <v>3433</v>
      </c>
      <c r="I1614" s="233" t="s">
        <v>29</v>
      </c>
      <c r="J1614" s="11"/>
      <c r="K1614" s="39"/>
      <c r="L1614" s="36">
        <v>45174</v>
      </c>
      <c r="M1614" s="36">
        <v>45174</v>
      </c>
      <c r="N1614" s="37">
        <v>663225</v>
      </c>
      <c r="O1614" s="37">
        <v>0</v>
      </c>
      <c r="P1614" s="10"/>
      <c r="Q1614" s="10"/>
      <c r="R1614" s="10"/>
      <c r="S1614" s="10"/>
      <c r="T1614" s="10"/>
      <c r="U1614" s="10"/>
      <c r="V1614" s="10"/>
      <c r="W1614" s="10"/>
      <c r="X1614" s="10"/>
      <c r="Y1614" s="10"/>
      <c r="Z1614" s="10"/>
    </row>
    <row r="1615" spans="1:26" ht="14.25" customHeight="1">
      <c r="A1615" s="9">
        <v>1796</v>
      </c>
      <c r="B1615" s="10"/>
      <c r="C1615" s="21">
        <v>230727</v>
      </c>
      <c r="D1615" s="22" t="s">
        <v>852</v>
      </c>
      <c r="E1615" s="23">
        <v>45015</v>
      </c>
      <c r="F1615" s="24">
        <v>44986</v>
      </c>
      <c r="G1615" s="25">
        <v>222000</v>
      </c>
      <c r="H1615" s="26" t="s">
        <v>3444</v>
      </c>
      <c r="I1615" s="233" t="s">
        <v>29</v>
      </c>
      <c r="J1615" s="11"/>
      <c r="K1615" s="39"/>
      <c r="L1615" s="36">
        <v>45174</v>
      </c>
      <c r="M1615" s="36">
        <v>45174</v>
      </c>
      <c r="N1615" s="37">
        <v>222000</v>
      </c>
      <c r="O1615" s="37">
        <v>0</v>
      </c>
      <c r="P1615" s="10"/>
      <c r="Q1615" s="10"/>
      <c r="R1615" s="10"/>
      <c r="S1615" s="10"/>
      <c r="T1615" s="10"/>
      <c r="U1615" s="10"/>
      <c r="V1615" s="10"/>
      <c r="W1615" s="10"/>
      <c r="X1615" s="10"/>
      <c r="Y1615" s="10"/>
      <c r="Z1615" s="10"/>
    </row>
    <row r="1616" spans="1:26" ht="14.25" customHeight="1">
      <c r="A1616" s="9">
        <v>1797</v>
      </c>
      <c r="B1616" s="10"/>
      <c r="C1616" s="21">
        <v>230751</v>
      </c>
      <c r="D1616" s="22" t="s">
        <v>852</v>
      </c>
      <c r="E1616" s="23">
        <v>45020</v>
      </c>
      <c r="F1616" s="24">
        <v>45017</v>
      </c>
      <c r="G1616" s="25">
        <v>3759237</v>
      </c>
      <c r="H1616" s="26" t="s">
        <v>3445</v>
      </c>
      <c r="I1616" s="233" t="s">
        <v>29</v>
      </c>
      <c r="J1616" s="11"/>
      <c r="K1616" s="39"/>
      <c r="L1616" s="36">
        <v>45174</v>
      </c>
      <c r="M1616" s="36">
        <v>45174</v>
      </c>
      <c r="N1616" s="37">
        <v>3759237</v>
      </c>
      <c r="O1616" s="37">
        <v>0</v>
      </c>
      <c r="P1616" s="10"/>
      <c r="Q1616" s="10"/>
      <c r="R1616" s="10"/>
      <c r="S1616" s="10"/>
      <c r="T1616" s="10"/>
      <c r="U1616" s="10"/>
      <c r="V1616" s="10"/>
      <c r="W1616" s="10"/>
      <c r="X1616" s="10"/>
      <c r="Y1616" s="10"/>
      <c r="Z1616" s="10"/>
    </row>
    <row r="1617" spans="1:26" ht="14.25" customHeight="1">
      <c r="A1617" s="9">
        <v>1798</v>
      </c>
      <c r="B1617" s="10"/>
      <c r="C1617" s="21">
        <v>230778</v>
      </c>
      <c r="D1617" s="22" t="s">
        <v>852</v>
      </c>
      <c r="E1617" s="23">
        <v>45026</v>
      </c>
      <c r="F1617" s="24">
        <v>45017</v>
      </c>
      <c r="G1617" s="25">
        <v>1004550</v>
      </c>
      <c r="H1617" s="26" t="s">
        <v>3446</v>
      </c>
      <c r="I1617" s="233" t="s">
        <v>29</v>
      </c>
      <c r="J1617" s="11"/>
      <c r="K1617" s="39"/>
      <c r="L1617" s="36">
        <v>45174</v>
      </c>
      <c r="M1617" s="36">
        <v>45174</v>
      </c>
      <c r="N1617" s="37">
        <v>1004550</v>
      </c>
      <c r="O1617" s="37">
        <v>0</v>
      </c>
      <c r="P1617" s="10"/>
      <c r="Q1617" s="10"/>
      <c r="R1617" s="10"/>
      <c r="S1617" s="10"/>
      <c r="T1617" s="10"/>
      <c r="U1617" s="10"/>
      <c r="V1617" s="10"/>
      <c r="W1617" s="10"/>
      <c r="X1617" s="10"/>
      <c r="Y1617" s="10"/>
      <c r="Z1617" s="10"/>
    </row>
    <row r="1618" spans="1:26" ht="14.25" customHeight="1">
      <c r="A1618" s="9">
        <v>1799</v>
      </c>
      <c r="B1618" s="10"/>
      <c r="C1618" s="21">
        <v>230797</v>
      </c>
      <c r="D1618" s="22" t="s">
        <v>852</v>
      </c>
      <c r="E1618" s="23">
        <v>45028</v>
      </c>
      <c r="F1618" s="24">
        <v>45017</v>
      </c>
      <c r="G1618" s="25">
        <v>699300</v>
      </c>
      <c r="H1618" s="26" t="s">
        <v>3447</v>
      </c>
      <c r="I1618" s="233" t="s">
        <v>29</v>
      </c>
      <c r="J1618" s="11"/>
      <c r="K1618" s="39"/>
      <c r="L1618" s="36">
        <v>45174</v>
      </c>
      <c r="M1618" s="36">
        <v>45174</v>
      </c>
      <c r="N1618" s="37">
        <v>699300</v>
      </c>
      <c r="O1618" s="37">
        <v>0</v>
      </c>
      <c r="P1618" s="10"/>
      <c r="Q1618" s="10"/>
      <c r="R1618" s="10"/>
      <c r="S1618" s="10"/>
      <c r="T1618" s="10"/>
      <c r="U1618" s="10"/>
      <c r="V1618" s="10"/>
      <c r="W1618" s="10"/>
      <c r="X1618" s="10"/>
      <c r="Y1618" s="10"/>
      <c r="Z1618" s="10"/>
    </row>
    <row r="1619" spans="1:26" ht="14.25" customHeight="1">
      <c r="A1619" s="9">
        <v>1800</v>
      </c>
      <c r="B1619" s="10"/>
      <c r="C1619" s="21">
        <v>230840</v>
      </c>
      <c r="D1619" s="22" t="s">
        <v>852</v>
      </c>
      <c r="E1619" s="23">
        <v>45034</v>
      </c>
      <c r="F1619" s="24">
        <v>45017</v>
      </c>
      <c r="G1619" s="25">
        <v>1232544</v>
      </c>
      <c r="H1619" s="26" t="s">
        <v>3448</v>
      </c>
      <c r="I1619" s="233" t="s">
        <v>29</v>
      </c>
      <c r="J1619" s="11"/>
      <c r="K1619" s="39"/>
      <c r="L1619" s="36">
        <v>45174</v>
      </c>
      <c r="M1619" s="36">
        <v>45174</v>
      </c>
      <c r="N1619" s="37">
        <v>1232544</v>
      </c>
      <c r="O1619" s="37">
        <v>0</v>
      </c>
      <c r="P1619" s="10"/>
      <c r="Q1619" s="10"/>
      <c r="R1619" s="10"/>
      <c r="S1619" s="10"/>
      <c r="T1619" s="10"/>
      <c r="U1619" s="10"/>
      <c r="V1619" s="10"/>
      <c r="W1619" s="10"/>
      <c r="X1619" s="10"/>
      <c r="Y1619" s="10"/>
      <c r="Z1619" s="10"/>
    </row>
    <row r="1620" spans="1:26" ht="14.25" customHeight="1">
      <c r="A1620" s="9">
        <v>1801</v>
      </c>
      <c r="B1620" s="10"/>
      <c r="C1620" s="21">
        <v>230865</v>
      </c>
      <c r="D1620" s="22" t="s">
        <v>852</v>
      </c>
      <c r="E1620" s="23">
        <v>45042</v>
      </c>
      <c r="F1620" s="24">
        <v>45017</v>
      </c>
      <c r="G1620" s="25">
        <v>1387500</v>
      </c>
      <c r="H1620" s="26" t="s">
        <v>3449</v>
      </c>
      <c r="I1620" s="233" t="s">
        <v>29</v>
      </c>
      <c r="J1620" s="11"/>
      <c r="K1620" s="39"/>
      <c r="L1620" s="36">
        <v>45174</v>
      </c>
      <c r="M1620" s="36">
        <v>45174</v>
      </c>
      <c r="N1620" s="37">
        <v>1387500</v>
      </c>
      <c r="O1620" s="37">
        <v>0</v>
      </c>
      <c r="P1620" s="10"/>
      <c r="Q1620" s="10"/>
      <c r="R1620" s="10"/>
      <c r="S1620" s="10"/>
      <c r="T1620" s="10"/>
      <c r="U1620" s="10"/>
      <c r="V1620" s="10"/>
      <c r="W1620" s="10"/>
      <c r="X1620" s="10"/>
      <c r="Y1620" s="10"/>
      <c r="Z1620" s="10"/>
    </row>
    <row r="1621" spans="1:26" ht="14.25" customHeight="1">
      <c r="A1621" s="9">
        <v>1802</v>
      </c>
      <c r="B1621" s="10"/>
      <c r="C1621" s="21">
        <v>230879</v>
      </c>
      <c r="D1621" s="22" t="s">
        <v>852</v>
      </c>
      <c r="E1621" s="23">
        <v>45044</v>
      </c>
      <c r="F1621" s="24">
        <v>45017</v>
      </c>
      <c r="G1621" s="25">
        <v>261960</v>
      </c>
      <c r="H1621" s="26" t="s">
        <v>3450</v>
      </c>
      <c r="I1621" s="233" t="s">
        <v>29</v>
      </c>
      <c r="J1621" s="11"/>
      <c r="K1621" s="39"/>
      <c r="L1621" s="36">
        <v>45174</v>
      </c>
      <c r="M1621" s="36">
        <v>45174</v>
      </c>
      <c r="N1621" s="37">
        <v>261960</v>
      </c>
      <c r="O1621" s="37">
        <v>0</v>
      </c>
      <c r="P1621" s="10"/>
      <c r="Q1621" s="10"/>
      <c r="R1621" s="10"/>
      <c r="S1621" s="10"/>
      <c r="T1621" s="10"/>
      <c r="U1621" s="10"/>
      <c r="V1621" s="10"/>
      <c r="W1621" s="10"/>
      <c r="X1621" s="10"/>
      <c r="Y1621" s="10"/>
      <c r="Z1621" s="10"/>
    </row>
    <row r="1622" spans="1:26" ht="14.25" customHeight="1">
      <c r="A1622" s="9">
        <v>1803</v>
      </c>
      <c r="B1622" s="10"/>
      <c r="C1622" s="21">
        <v>230885</v>
      </c>
      <c r="D1622" s="22" t="s">
        <v>852</v>
      </c>
      <c r="E1622" s="23">
        <v>45045</v>
      </c>
      <c r="F1622" s="24">
        <v>45017</v>
      </c>
      <c r="G1622" s="25">
        <v>820845</v>
      </c>
      <c r="H1622" s="26" t="s">
        <v>3451</v>
      </c>
      <c r="I1622" s="233" t="s">
        <v>29</v>
      </c>
      <c r="J1622" s="11"/>
      <c r="K1622" s="39"/>
      <c r="L1622" s="36">
        <v>45174</v>
      </c>
      <c r="M1622" s="36">
        <v>45174</v>
      </c>
      <c r="N1622" s="37">
        <v>820845</v>
      </c>
      <c r="O1622" s="37">
        <v>0</v>
      </c>
      <c r="P1622" s="10"/>
      <c r="Q1622" s="10"/>
      <c r="R1622" s="10"/>
      <c r="S1622" s="10"/>
      <c r="T1622" s="10"/>
      <c r="U1622" s="10"/>
      <c r="V1622" s="10"/>
      <c r="W1622" s="10"/>
      <c r="X1622" s="10"/>
      <c r="Y1622" s="10"/>
      <c r="Z1622" s="10"/>
    </row>
    <row r="1623" spans="1:26" ht="14.25" customHeight="1">
      <c r="A1623" s="9">
        <v>1811</v>
      </c>
      <c r="B1623" s="10"/>
      <c r="C1623" s="21">
        <v>230939</v>
      </c>
      <c r="D1623" s="22" t="s">
        <v>852</v>
      </c>
      <c r="E1623" s="23">
        <v>45054</v>
      </c>
      <c r="F1623" s="24">
        <v>45047</v>
      </c>
      <c r="G1623" s="25">
        <v>321900</v>
      </c>
      <c r="H1623" s="26" t="s">
        <v>3452</v>
      </c>
      <c r="I1623" s="233" t="s">
        <v>29</v>
      </c>
      <c r="J1623" s="11"/>
      <c r="K1623" s="36">
        <v>45260</v>
      </c>
      <c r="L1623" s="36">
        <v>45260</v>
      </c>
      <c r="M1623" s="36">
        <v>45260</v>
      </c>
      <c r="N1623" s="37">
        <v>321900</v>
      </c>
      <c r="O1623" s="37">
        <v>0</v>
      </c>
      <c r="P1623" s="10"/>
      <c r="Q1623" s="10"/>
      <c r="R1623" s="10"/>
      <c r="S1623" s="10"/>
      <c r="T1623" s="10"/>
      <c r="U1623" s="10"/>
      <c r="V1623" s="10"/>
      <c r="W1623" s="10"/>
      <c r="X1623" s="10"/>
      <c r="Y1623" s="10"/>
      <c r="Z1623" s="10"/>
    </row>
    <row r="1624" spans="1:26" ht="14.25" customHeight="1">
      <c r="A1624" s="9">
        <v>1810</v>
      </c>
      <c r="B1624" s="10"/>
      <c r="C1624" s="21">
        <v>230931</v>
      </c>
      <c r="D1624" s="22" t="s">
        <v>852</v>
      </c>
      <c r="E1624" s="23">
        <v>45055</v>
      </c>
      <c r="F1624" s="24">
        <v>45047</v>
      </c>
      <c r="G1624" s="25">
        <v>2207990</v>
      </c>
      <c r="H1624" s="26" t="s">
        <v>3453</v>
      </c>
      <c r="I1624" s="233" t="s">
        <v>29</v>
      </c>
      <c r="J1624" s="11"/>
      <c r="K1624" s="36">
        <v>45260</v>
      </c>
      <c r="L1624" s="36">
        <v>45260</v>
      </c>
      <c r="M1624" s="36">
        <v>45260</v>
      </c>
      <c r="N1624" s="37">
        <v>2207990</v>
      </c>
      <c r="O1624" s="37">
        <v>0</v>
      </c>
      <c r="P1624" s="10"/>
      <c r="Q1624" s="10"/>
      <c r="R1624" s="10"/>
      <c r="S1624" s="10"/>
      <c r="T1624" s="10"/>
      <c r="U1624" s="10"/>
      <c r="V1624" s="10"/>
      <c r="W1624" s="10"/>
      <c r="X1624" s="10"/>
      <c r="Y1624" s="10"/>
      <c r="Z1624" s="10"/>
    </row>
    <row r="1625" spans="1:26" ht="14.25" customHeight="1">
      <c r="A1625" s="9">
        <v>1809</v>
      </c>
      <c r="B1625" s="10"/>
      <c r="C1625" s="21">
        <v>230950</v>
      </c>
      <c r="D1625" s="22" t="s">
        <v>852</v>
      </c>
      <c r="E1625" s="23">
        <v>45057</v>
      </c>
      <c r="F1625" s="24">
        <v>45047</v>
      </c>
      <c r="G1625" s="25">
        <v>1875900</v>
      </c>
      <c r="H1625" s="26" t="s">
        <v>3454</v>
      </c>
      <c r="I1625" s="233" t="s">
        <v>29</v>
      </c>
      <c r="J1625" s="11"/>
      <c r="K1625" s="36">
        <v>45260</v>
      </c>
      <c r="L1625" s="36">
        <v>45260</v>
      </c>
      <c r="M1625" s="36">
        <v>45260</v>
      </c>
      <c r="N1625" s="37">
        <v>1875900</v>
      </c>
      <c r="O1625" s="37">
        <v>0</v>
      </c>
      <c r="P1625" s="10"/>
      <c r="Q1625" s="10"/>
      <c r="R1625" s="10"/>
      <c r="S1625" s="10"/>
      <c r="T1625" s="10"/>
      <c r="U1625" s="10"/>
      <c r="V1625" s="10"/>
      <c r="W1625" s="10"/>
      <c r="X1625" s="10"/>
      <c r="Y1625" s="10"/>
      <c r="Z1625" s="10"/>
    </row>
    <row r="1626" spans="1:26" ht="14.25" customHeight="1">
      <c r="A1626" s="9">
        <v>1808</v>
      </c>
      <c r="B1626" s="10"/>
      <c r="C1626" s="21">
        <v>230970</v>
      </c>
      <c r="D1626" s="22" t="s">
        <v>852</v>
      </c>
      <c r="E1626" s="23">
        <v>45061</v>
      </c>
      <c r="F1626" s="24">
        <v>45047</v>
      </c>
      <c r="G1626" s="25">
        <v>1300254</v>
      </c>
      <c r="H1626" s="26" t="s">
        <v>3455</v>
      </c>
      <c r="I1626" s="233" t="s">
        <v>29</v>
      </c>
      <c r="J1626" s="11"/>
      <c r="K1626" s="36">
        <v>45260</v>
      </c>
      <c r="L1626" s="36">
        <v>45260</v>
      </c>
      <c r="M1626" s="36">
        <v>45260</v>
      </c>
      <c r="N1626" s="37">
        <v>1300254</v>
      </c>
      <c r="O1626" s="37">
        <v>0</v>
      </c>
      <c r="P1626" s="10"/>
      <c r="Q1626" s="10"/>
      <c r="R1626" s="10"/>
      <c r="S1626" s="10"/>
      <c r="T1626" s="10"/>
      <c r="U1626" s="10"/>
      <c r="V1626" s="10"/>
      <c r="W1626" s="10"/>
      <c r="X1626" s="10"/>
      <c r="Y1626" s="10"/>
      <c r="Z1626" s="10"/>
    </row>
    <row r="1627" spans="1:26" ht="14.25" customHeight="1">
      <c r="A1627" s="9">
        <v>1807</v>
      </c>
      <c r="B1627" s="10"/>
      <c r="C1627" s="21">
        <v>230979</v>
      </c>
      <c r="D1627" s="22" t="s">
        <v>852</v>
      </c>
      <c r="E1627" s="23">
        <v>45063</v>
      </c>
      <c r="F1627" s="24">
        <v>45047</v>
      </c>
      <c r="G1627" s="25">
        <v>597735</v>
      </c>
      <c r="H1627" s="26" t="s">
        <v>3456</v>
      </c>
      <c r="I1627" s="233" t="s">
        <v>29</v>
      </c>
      <c r="J1627" s="11"/>
      <c r="K1627" s="36">
        <v>45260</v>
      </c>
      <c r="L1627" s="36">
        <v>45260</v>
      </c>
      <c r="M1627" s="36">
        <v>45260</v>
      </c>
      <c r="N1627" s="37">
        <v>597735</v>
      </c>
      <c r="O1627" s="37">
        <v>0</v>
      </c>
      <c r="P1627" s="10"/>
      <c r="Q1627" s="10"/>
      <c r="R1627" s="10"/>
      <c r="S1627" s="10"/>
      <c r="T1627" s="10"/>
      <c r="U1627" s="10"/>
      <c r="V1627" s="10"/>
      <c r="W1627" s="10"/>
      <c r="X1627" s="10"/>
      <c r="Y1627" s="10"/>
      <c r="Z1627" s="10"/>
    </row>
    <row r="1628" spans="1:26" ht="14.25" customHeight="1">
      <c r="A1628" s="9">
        <v>1806</v>
      </c>
      <c r="B1628" s="10"/>
      <c r="C1628" s="21">
        <v>230990</v>
      </c>
      <c r="D1628" s="22" t="s">
        <v>852</v>
      </c>
      <c r="E1628" s="23">
        <v>45065</v>
      </c>
      <c r="F1628" s="24">
        <v>45047</v>
      </c>
      <c r="G1628" s="25">
        <v>1192795</v>
      </c>
      <c r="H1628" s="26" t="s">
        <v>3457</v>
      </c>
      <c r="I1628" s="233" t="s">
        <v>29</v>
      </c>
      <c r="J1628" s="11"/>
      <c r="K1628" s="36">
        <v>45260</v>
      </c>
      <c r="L1628" s="36">
        <v>45260</v>
      </c>
      <c r="M1628" s="36">
        <v>45260</v>
      </c>
      <c r="N1628" s="37">
        <v>1192795</v>
      </c>
      <c r="O1628" s="37">
        <v>0</v>
      </c>
      <c r="P1628" s="10"/>
      <c r="Q1628" s="10"/>
      <c r="R1628" s="10"/>
      <c r="S1628" s="10"/>
      <c r="T1628" s="10"/>
      <c r="U1628" s="10"/>
      <c r="V1628" s="10"/>
      <c r="W1628" s="10"/>
      <c r="X1628" s="10"/>
      <c r="Y1628" s="10"/>
      <c r="Z1628" s="10"/>
    </row>
    <row r="1629" spans="1:26" ht="14.25" customHeight="1">
      <c r="A1629" s="9">
        <v>1805</v>
      </c>
      <c r="B1629" s="10"/>
      <c r="C1629" s="21">
        <v>231015</v>
      </c>
      <c r="D1629" s="22" t="s">
        <v>852</v>
      </c>
      <c r="E1629" s="23">
        <v>45069</v>
      </c>
      <c r="F1629" s="24">
        <v>45047</v>
      </c>
      <c r="G1629" s="25">
        <v>2207990</v>
      </c>
      <c r="H1629" s="26" t="s">
        <v>3458</v>
      </c>
      <c r="I1629" s="233" t="s">
        <v>29</v>
      </c>
      <c r="J1629" s="11"/>
      <c r="K1629" s="36">
        <v>45260</v>
      </c>
      <c r="L1629" s="36">
        <v>45260</v>
      </c>
      <c r="M1629" s="36">
        <v>45260</v>
      </c>
      <c r="N1629" s="37">
        <v>2207990</v>
      </c>
      <c r="O1629" s="37">
        <v>0</v>
      </c>
      <c r="P1629" s="10"/>
      <c r="Q1629" s="10"/>
      <c r="R1629" s="10"/>
      <c r="S1629" s="10"/>
      <c r="T1629" s="10"/>
      <c r="U1629" s="10"/>
      <c r="V1629" s="10"/>
      <c r="W1629" s="10"/>
      <c r="X1629" s="10"/>
      <c r="Y1629" s="10"/>
      <c r="Z1629" s="10"/>
    </row>
    <row r="1630" spans="1:26" ht="14.25" customHeight="1">
      <c r="A1630" s="9">
        <v>1804</v>
      </c>
      <c r="B1630" s="10"/>
      <c r="C1630" s="21">
        <v>231068</v>
      </c>
      <c r="D1630" s="22" t="s">
        <v>852</v>
      </c>
      <c r="E1630" s="23">
        <v>45075</v>
      </c>
      <c r="F1630" s="24">
        <v>45047</v>
      </c>
      <c r="G1630" s="25">
        <v>512154</v>
      </c>
      <c r="H1630" s="26" t="s">
        <v>3459</v>
      </c>
      <c r="I1630" s="233" t="s">
        <v>29</v>
      </c>
      <c r="J1630" s="31">
        <v>10216718</v>
      </c>
      <c r="K1630" s="36">
        <v>45260</v>
      </c>
      <c r="L1630" s="36">
        <v>45260</v>
      </c>
      <c r="M1630" s="36">
        <v>45260</v>
      </c>
      <c r="N1630" s="37">
        <v>512154</v>
      </c>
      <c r="O1630" s="37">
        <v>0</v>
      </c>
      <c r="P1630" s="10"/>
      <c r="Q1630" s="10"/>
      <c r="R1630" s="10"/>
      <c r="S1630" s="10"/>
      <c r="T1630" s="10"/>
      <c r="U1630" s="10"/>
      <c r="V1630" s="10"/>
      <c r="W1630" s="10"/>
      <c r="X1630" s="10"/>
      <c r="Y1630" s="10"/>
      <c r="Z1630" s="10"/>
    </row>
    <row r="1631" spans="1:26" ht="14.25" customHeight="1">
      <c r="A1631" s="9">
        <v>1812</v>
      </c>
      <c r="B1631" s="10"/>
      <c r="C1631" s="9">
        <v>231113</v>
      </c>
      <c r="D1631" s="11" t="s">
        <v>852</v>
      </c>
      <c r="E1631" s="12">
        <v>45082</v>
      </c>
      <c r="F1631" s="13">
        <v>45078</v>
      </c>
      <c r="G1631" s="27">
        <v>421245</v>
      </c>
      <c r="H1631" s="10" t="s">
        <v>3460</v>
      </c>
      <c r="I1631" s="34">
        <v>208.606678703705</v>
      </c>
      <c r="J1631" s="31">
        <v>25726071</v>
      </c>
      <c r="K1631" s="39"/>
      <c r="L1631" s="39"/>
      <c r="M1631" s="39"/>
      <c r="N1631" s="37">
        <v>0</v>
      </c>
      <c r="O1631" s="37">
        <v>421245</v>
      </c>
      <c r="P1631" s="10"/>
      <c r="Q1631" s="10"/>
      <c r="R1631" s="10"/>
      <c r="S1631" s="10"/>
      <c r="T1631" s="10"/>
      <c r="U1631" s="10"/>
      <c r="V1631" s="10"/>
      <c r="W1631" s="10"/>
      <c r="X1631" s="10"/>
      <c r="Y1631" s="10"/>
      <c r="Z1631" s="10"/>
    </row>
    <row r="1632" spans="1:26" ht="14.25" customHeight="1">
      <c r="A1632" s="9">
        <v>1813</v>
      </c>
      <c r="B1632" s="10"/>
      <c r="C1632" s="9">
        <v>231120</v>
      </c>
      <c r="D1632" s="11" t="s">
        <v>852</v>
      </c>
      <c r="E1632" s="12">
        <v>45084</v>
      </c>
      <c r="F1632" s="13">
        <v>45078</v>
      </c>
      <c r="G1632" s="27">
        <v>2553555</v>
      </c>
      <c r="H1632" s="10" t="s">
        <v>3461</v>
      </c>
      <c r="I1632" s="34">
        <v>206.606678703705</v>
      </c>
      <c r="J1632" s="11"/>
      <c r="K1632" s="39"/>
      <c r="L1632" s="39"/>
      <c r="M1632" s="39"/>
      <c r="N1632" s="37">
        <v>0</v>
      </c>
      <c r="O1632" s="37">
        <v>2553555</v>
      </c>
      <c r="P1632" s="10"/>
      <c r="Q1632" s="10"/>
      <c r="R1632" s="10"/>
      <c r="S1632" s="10"/>
      <c r="T1632" s="10"/>
      <c r="U1632" s="10"/>
      <c r="V1632" s="10"/>
      <c r="W1632" s="10"/>
      <c r="X1632" s="10"/>
      <c r="Y1632" s="10"/>
      <c r="Z1632" s="10"/>
    </row>
    <row r="1633" spans="1:26" ht="14.25" customHeight="1">
      <c r="A1633" s="9">
        <v>1814</v>
      </c>
      <c r="B1633" s="10"/>
      <c r="C1633" s="9">
        <v>231156</v>
      </c>
      <c r="D1633" s="11" t="s">
        <v>852</v>
      </c>
      <c r="E1633" s="12">
        <v>45085</v>
      </c>
      <c r="F1633" s="13">
        <v>45078</v>
      </c>
      <c r="G1633" s="27">
        <v>3679983</v>
      </c>
      <c r="H1633" s="10" t="s">
        <v>3462</v>
      </c>
      <c r="I1633" s="34">
        <v>205.606678703705</v>
      </c>
      <c r="J1633" s="11"/>
      <c r="K1633" s="39"/>
      <c r="L1633" s="39"/>
      <c r="M1633" s="39"/>
      <c r="N1633" s="37">
        <v>0</v>
      </c>
      <c r="O1633" s="37">
        <v>3679983</v>
      </c>
      <c r="P1633" s="10"/>
      <c r="Q1633" s="10"/>
      <c r="R1633" s="10"/>
      <c r="S1633" s="10"/>
      <c r="T1633" s="10"/>
      <c r="U1633" s="10"/>
      <c r="V1633" s="10"/>
      <c r="W1633" s="10"/>
      <c r="X1633" s="10"/>
      <c r="Y1633" s="10"/>
      <c r="Z1633" s="10"/>
    </row>
    <row r="1634" spans="1:26" ht="14.25" customHeight="1">
      <c r="A1634" s="9">
        <v>1815</v>
      </c>
      <c r="B1634" s="10"/>
      <c r="C1634" s="9">
        <v>231130</v>
      </c>
      <c r="D1634" s="11" t="s">
        <v>852</v>
      </c>
      <c r="E1634" s="12">
        <v>45086</v>
      </c>
      <c r="F1634" s="13">
        <v>45078</v>
      </c>
      <c r="G1634" s="27">
        <v>610500</v>
      </c>
      <c r="H1634" s="10" t="s">
        <v>3463</v>
      </c>
      <c r="I1634" s="34">
        <v>204.606678703705</v>
      </c>
      <c r="J1634" s="11"/>
      <c r="K1634" s="39"/>
      <c r="L1634" s="39"/>
      <c r="M1634" s="39"/>
      <c r="N1634" s="37">
        <v>0</v>
      </c>
      <c r="O1634" s="37">
        <v>610500</v>
      </c>
      <c r="P1634" s="10"/>
      <c r="Q1634" s="10"/>
      <c r="R1634" s="10"/>
      <c r="S1634" s="10"/>
      <c r="T1634" s="10"/>
      <c r="U1634" s="10"/>
      <c r="V1634" s="10"/>
      <c r="W1634" s="10"/>
      <c r="X1634" s="10"/>
      <c r="Y1634" s="10"/>
      <c r="Z1634" s="10"/>
    </row>
    <row r="1635" spans="1:26" ht="14.25" customHeight="1">
      <c r="A1635" s="9">
        <v>1816</v>
      </c>
      <c r="B1635" s="10"/>
      <c r="C1635" s="9">
        <v>231160</v>
      </c>
      <c r="D1635" s="11" t="s">
        <v>852</v>
      </c>
      <c r="E1635" s="12">
        <v>45090</v>
      </c>
      <c r="F1635" s="13">
        <v>45078</v>
      </c>
      <c r="G1635" s="27">
        <v>793650</v>
      </c>
      <c r="H1635" s="10" t="s">
        <v>3464</v>
      </c>
      <c r="I1635" s="34">
        <v>200.606678703705</v>
      </c>
      <c r="J1635" s="11"/>
      <c r="K1635" s="39"/>
      <c r="L1635" s="39"/>
      <c r="M1635" s="39"/>
      <c r="N1635" s="37">
        <v>0</v>
      </c>
      <c r="O1635" s="37">
        <v>793650</v>
      </c>
      <c r="P1635" s="10"/>
      <c r="Q1635" s="10"/>
      <c r="R1635" s="10"/>
      <c r="S1635" s="10"/>
      <c r="T1635" s="10"/>
      <c r="U1635" s="10"/>
      <c r="V1635" s="10"/>
      <c r="W1635" s="10"/>
      <c r="X1635" s="10"/>
      <c r="Y1635" s="10"/>
      <c r="Z1635" s="10"/>
    </row>
    <row r="1636" spans="1:26" ht="14.25" customHeight="1">
      <c r="A1636" s="9">
        <v>1817</v>
      </c>
      <c r="B1636" s="10"/>
      <c r="C1636" s="9">
        <v>231177</v>
      </c>
      <c r="D1636" s="11" t="s">
        <v>852</v>
      </c>
      <c r="E1636" s="12">
        <v>45091</v>
      </c>
      <c r="F1636" s="13">
        <v>45078</v>
      </c>
      <c r="G1636" s="27">
        <v>1250970</v>
      </c>
      <c r="H1636" s="10" t="s">
        <v>3465</v>
      </c>
      <c r="I1636" s="34">
        <v>199.606678703705</v>
      </c>
      <c r="J1636" s="11"/>
      <c r="K1636" s="39"/>
      <c r="L1636" s="39"/>
      <c r="M1636" s="39"/>
      <c r="N1636" s="37">
        <v>0</v>
      </c>
      <c r="O1636" s="37">
        <v>1250970</v>
      </c>
      <c r="P1636" s="10"/>
      <c r="Q1636" s="10"/>
      <c r="R1636" s="10"/>
      <c r="S1636" s="10"/>
      <c r="T1636" s="10"/>
      <c r="U1636" s="10"/>
      <c r="V1636" s="10"/>
      <c r="W1636" s="10"/>
      <c r="X1636" s="10"/>
      <c r="Y1636" s="10"/>
      <c r="Z1636" s="10"/>
    </row>
    <row r="1637" spans="1:26" ht="14.25" customHeight="1">
      <c r="A1637" s="9">
        <v>1818</v>
      </c>
      <c r="B1637" s="10"/>
      <c r="C1637" s="9">
        <v>231220</v>
      </c>
      <c r="D1637" s="11" t="s">
        <v>852</v>
      </c>
      <c r="E1637" s="12">
        <v>45099</v>
      </c>
      <c r="F1637" s="13">
        <v>45078</v>
      </c>
      <c r="G1637" s="27">
        <v>2836661</v>
      </c>
      <c r="H1637" s="10" t="s">
        <v>3466</v>
      </c>
      <c r="I1637" s="34">
        <v>191.606678703705</v>
      </c>
      <c r="J1637" s="11"/>
      <c r="K1637" s="39"/>
      <c r="L1637" s="39"/>
      <c r="M1637" s="39"/>
      <c r="N1637" s="37">
        <v>0</v>
      </c>
      <c r="O1637" s="37">
        <v>2836661</v>
      </c>
      <c r="P1637" s="10"/>
      <c r="Q1637" s="10"/>
      <c r="R1637" s="10"/>
      <c r="S1637" s="10"/>
      <c r="T1637" s="10"/>
      <c r="U1637" s="10"/>
      <c r="V1637" s="10"/>
      <c r="W1637" s="10"/>
      <c r="X1637" s="10"/>
      <c r="Y1637" s="10"/>
      <c r="Z1637" s="10"/>
    </row>
    <row r="1638" spans="1:26" ht="14.25" customHeight="1">
      <c r="A1638" s="9">
        <v>1819</v>
      </c>
      <c r="B1638" s="10"/>
      <c r="C1638" s="9">
        <v>231241</v>
      </c>
      <c r="D1638" s="11" t="s">
        <v>852</v>
      </c>
      <c r="E1638" s="12">
        <v>45100</v>
      </c>
      <c r="F1638" s="13">
        <v>45078</v>
      </c>
      <c r="G1638" s="27">
        <v>699300</v>
      </c>
      <c r="H1638" s="10" t="s">
        <v>3467</v>
      </c>
      <c r="I1638" s="34">
        <v>190.606678703705</v>
      </c>
      <c r="J1638" s="11"/>
      <c r="K1638" s="39"/>
      <c r="L1638" s="39"/>
      <c r="M1638" s="39"/>
      <c r="N1638" s="37">
        <v>0</v>
      </c>
      <c r="O1638" s="37">
        <v>699300</v>
      </c>
      <c r="P1638" s="10"/>
      <c r="Q1638" s="10"/>
      <c r="R1638" s="10"/>
      <c r="S1638" s="10"/>
      <c r="T1638" s="10"/>
      <c r="U1638" s="10"/>
      <c r="V1638" s="10"/>
      <c r="W1638" s="10"/>
      <c r="X1638" s="10"/>
      <c r="Y1638" s="10"/>
      <c r="Z1638" s="10"/>
    </row>
    <row r="1639" spans="1:26" ht="14.25" customHeight="1">
      <c r="A1639" s="9">
        <v>1821</v>
      </c>
      <c r="B1639" s="10"/>
      <c r="C1639" s="9">
        <v>231255</v>
      </c>
      <c r="D1639" s="11" t="s">
        <v>852</v>
      </c>
      <c r="E1639" s="12">
        <v>45104</v>
      </c>
      <c r="F1639" s="13">
        <v>45078</v>
      </c>
      <c r="G1639" s="27">
        <v>1387500</v>
      </c>
      <c r="H1639" s="10" t="s">
        <v>3468</v>
      </c>
      <c r="I1639" s="34">
        <v>186.606678703705</v>
      </c>
      <c r="J1639" s="11"/>
      <c r="K1639" s="39"/>
      <c r="L1639" s="39"/>
      <c r="M1639" s="39"/>
      <c r="N1639" s="37">
        <v>0</v>
      </c>
      <c r="O1639" s="37">
        <v>1387500</v>
      </c>
      <c r="P1639" s="10"/>
      <c r="Q1639" s="10"/>
      <c r="R1639" s="10"/>
      <c r="S1639" s="10"/>
      <c r="T1639" s="10"/>
      <c r="U1639" s="10"/>
      <c r="V1639" s="10"/>
      <c r="W1639" s="10"/>
      <c r="X1639" s="10"/>
      <c r="Y1639" s="10"/>
      <c r="Z1639" s="10"/>
    </row>
    <row r="1640" spans="1:26" ht="14.25" customHeight="1">
      <c r="A1640" s="9">
        <v>1820</v>
      </c>
      <c r="B1640" s="10"/>
      <c r="C1640" s="9">
        <v>231275</v>
      </c>
      <c r="D1640" s="11" t="s">
        <v>852</v>
      </c>
      <c r="E1640" s="12">
        <v>45104</v>
      </c>
      <c r="F1640" s="13">
        <v>45078</v>
      </c>
      <c r="G1640" s="27">
        <v>187590</v>
      </c>
      <c r="H1640" s="10" t="s">
        <v>3469</v>
      </c>
      <c r="I1640" s="34">
        <v>186.606678703705</v>
      </c>
      <c r="J1640" s="11"/>
      <c r="K1640" s="39"/>
      <c r="L1640" s="39"/>
      <c r="M1640" s="39"/>
      <c r="N1640" s="37">
        <v>0</v>
      </c>
      <c r="O1640" s="37">
        <v>187590</v>
      </c>
      <c r="P1640" s="10"/>
      <c r="Q1640" s="10"/>
      <c r="R1640" s="10"/>
      <c r="S1640" s="10"/>
      <c r="T1640" s="10"/>
      <c r="U1640" s="10"/>
      <c r="V1640" s="10"/>
      <c r="W1640" s="10"/>
      <c r="X1640" s="10"/>
      <c r="Y1640" s="10"/>
      <c r="Z1640" s="10"/>
    </row>
    <row r="1641" spans="1:26" ht="14.25" customHeight="1">
      <c r="A1641" s="9">
        <v>1822</v>
      </c>
      <c r="B1641" s="10"/>
      <c r="C1641" s="9">
        <v>231332</v>
      </c>
      <c r="D1641" s="11" t="s">
        <v>852</v>
      </c>
      <c r="E1641" s="12">
        <v>45114</v>
      </c>
      <c r="F1641" s="13">
        <v>45108</v>
      </c>
      <c r="G1641" s="27">
        <v>2943986</v>
      </c>
      <c r="H1641" s="10" t="s">
        <v>3470</v>
      </c>
      <c r="I1641" s="34">
        <v>176.606678703705</v>
      </c>
      <c r="J1641" s="11"/>
      <c r="K1641" s="39"/>
      <c r="L1641" s="39"/>
      <c r="M1641" s="39"/>
      <c r="N1641" s="37">
        <v>0</v>
      </c>
      <c r="O1641" s="37">
        <v>2943986</v>
      </c>
      <c r="P1641" s="10"/>
      <c r="Q1641" s="10"/>
      <c r="R1641" s="10"/>
      <c r="S1641" s="10"/>
      <c r="T1641" s="10"/>
      <c r="U1641" s="10"/>
      <c r="V1641" s="10"/>
      <c r="W1641" s="10"/>
      <c r="X1641" s="10"/>
      <c r="Y1641" s="10"/>
      <c r="Z1641" s="10"/>
    </row>
    <row r="1642" spans="1:26" ht="14.25" customHeight="1">
      <c r="A1642" s="9">
        <v>1823</v>
      </c>
      <c r="B1642" s="10"/>
      <c r="C1642" s="9">
        <v>231357</v>
      </c>
      <c r="D1642" s="11" t="s">
        <v>852</v>
      </c>
      <c r="E1642" s="12">
        <v>45115</v>
      </c>
      <c r="F1642" s="13">
        <v>45108</v>
      </c>
      <c r="G1642" s="27">
        <v>1068930</v>
      </c>
      <c r="H1642" s="10" t="s">
        <v>3471</v>
      </c>
      <c r="I1642" s="34">
        <v>175.606678703705</v>
      </c>
      <c r="J1642" s="11"/>
      <c r="K1642" s="39"/>
      <c r="L1642" s="39"/>
      <c r="M1642" s="39"/>
      <c r="N1642" s="37">
        <v>0</v>
      </c>
      <c r="O1642" s="37">
        <v>1068930</v>
      </c>
      <c r="P1642" s="10"/>
      <c r="Q1642" s="10"/>
      <c r="R1642" s="10"/>
      <c r="S1642" s="10"/>
      <c r="T1642" s="10"/>
      <c r="U1642" s="10"/>
      <c r="V1642" s="10"/>
      <c r="W1642" s="10"/>
      <c r="X1642" s="10"/>
      <c r="Y1642" s="10"/>
      <c r="Z1642" s="10"/>
    </row>
    <row r="1643" spans="1:26" ht="14.25" customHeight="1">
      <c r="A1643" s="9">
        <v>1824</v>
      </c>
      <c r="B1643" s="10"/>
      <c r="C1643" s="9">
        <v>231400</v>
      </c>
      <c r="D1643" s="11" t="s">
        <v>852</v>
      </c>
      <c r="E1643" s="12">
        <v>45122</v>
      </c>
      <c r="F1643" s="13">
        <v>45108</v>
      </c>
      <c r="G1643" s="27">
        <v>985014</v>
      </c>
      <c r="H1643" s="10" t="s">
        <v>3472</v>
      </c>
      <c r="I1643" s="34">
        <v>168.606678703705</v>
      </c>
      <c r="J1643" s="11"/>
      <c r="K1643" s="39"/>
      <c r="L1643" s="39"/>
      <c r="M1643" s="39"/>
      <c r="N1643" s="37">
        <v>0</v>
      </c>
      <c r="O1643" s="37">
        <v>985014</v>
      </c>
      <c r="P1643" s="10"/>
      <c r="Q1643" s="10"/>
      <c r="R1643" s="10"/>
      <c r="S1643" s="10"/>
      <c r="T1643" s="10"/>
      <c r="U1643" s="10"/>
      <c r="V1643" s="10"/>
      <c r="W1643" s="10"/>
      <c r="X1643" s="10"/>
      <c r="Y1643" s="10"/>
      <c r="Z1643" s="10"/>
    </row>
    <row r="1644" spans="1:26" ht="14.25" customHeight="1">
      <c r="A1644" s="9">
        <v>1825</v>
      </c>
      <c r="B1644" s="10"/>
      <c r="C1644" s="9">
        <v>231411</v>
      </c>
      <c r="D1644" s="11" t="s">
        <v>852</v>
      </c>
      <c r="E1644" s="12">
        <v>45127</v>
      </c>
      <c r="F1644" s="13">
        <v>45108</v>
      </c>
      <c r="G1644" s="27">
        <v>1950992</v>
      </c>
      <c r="H1644" s="10" t="s">
        <v>3473</v>
      </c>
      <c r="I1644" s="34">
        <v>163.606678703705</v>
      </c>
      <c r="J1644" s="11"/>
      <c r="K1644" s="39"/>
      <c r="L1644" s="39"/>
      <c r="M1644" s="39"/>
      <c r="N1644" s="37">
        <v>0</v>
      </c>
      <c r="O1644" s="37">
        <v>1950992</v>
      </c>
      <c r="P1644" s="10"/>
      <c r="Q1644" s="10"/>
      <c r="R1644" s="10"/>
      <c r="S1644" s="10"/>
      <c r="T1644" s="10"/>
      <c r="U1644" s="10"/>
      <c r="V1644" s="10"/>
      <c r="W1644" s="10"/>
      <c r="X1644" s="10"/>
      <c r="Y1644" s="10"/>
      <c r="Z1644" s="10"/>
    </row>
    <row r="1645" spans="1:26" ht="14.25" customHeight="1">
      <c r="A1645" s="9">
        <v>1826</v>
      </c>
      <c r="B1645" s="10"/>
      <c r="C1645" s="9">
        <v>231450</v>
      </c>
      <c r="D1645" s="11" t="s">
        <v>852</v>
      </c>
      <c r="E1645" s="12">
        <v>45131</v>
      </c>
      <c r="F1645" s="13">
        <v>45108</v>
      </c>
      <c r="G1645" s="27">
        <v>699300</v>
      </c>
      <c r="H1645" s="10" t="s">
        <v>3474</v>
      </c>
      <c r="I1645" s="34">
        <v>159.606678703705</v>
      </c>
      <c r="J1645" s="11"/>
      <c r="K1645" s="39"/>
      <c r="L1645" s="39"/>
      <c r="M1645" s="39"/>
      <c r="N1645" s="37">
        <v>0</v>
      </c>
      <c r="O1645" s="37">
        <v>699300</v>
      </c>
      <c r="P1645" s="10"/>
      <c r="Q1645" s="10"/>
      <c r="R1645" s="10"/>
      <c r="S1645" s="10"/>
      <c r="T1645" s="10"/>
      <c r="U1645" s="10"/>
      <c r="V1645" s="10"/>
      <c r="W1645" s="10"/>
      <c r="X1645" s="10"/>
      <c r="Y1645" s="10"/>
      <c r="Z1645" s="10"/>
    </row>
    <row r="1646" spans="1:26" ht="14.25" customHeight="1">
      <c r="A1646" s="9">
        <v>1827</v>
      </c>
      <c r="B1646" s="10"/>
      <c r="C1646" s="9">
        <v>231452</v>
      </c>
      <c r="D1646" s="11" t="s">
        <v>852</v>
      </c>
      <c r="E1646" s="12">
        <v>45132</v>
      </c>
      <c r="F1646" s="13">
        <v>45108</v>
      </c>
      <c r="G1646" s="27">
        <v>1814295</v>
      </c>
      <c r="H1646" s="10" t="s">
        <v>3475</v>
      </c>
      <c r="I1646" s="34">
        <v>158.606678703705</v>
      </c>
      <c r="J1646" s="11"/>
      <c r="K1646" s="39"/>
      <c r="L1646" s="39"/>
      <c r="M1646" s="39"/>
      <c r="N1646" s="37">
        <v>0</v>
      </c>
      <c r="O1646" s="37">
        <v>1814295</v>
      </c>
      <c r="P1646" s="10"/>
      <c r="Q1646" s="10"/>
      <c r="R1646" s="10"/>
      <c r="S1646" s="10"/>
      <c r="T1646" s="10"/>
      <c r="U1646" s="10"/>
      <c r="V1646" s="10"/>
      <c r="W1646" s="10"/>
      <c r="X1646" s="10"/>
      <c r="Y1646" s="10"/>
      <c r="Z1646" s="10"/>
    </row>
    <row r="1647" spans="1:26" ht="14.25" customHeight="1">
      <c r="A1647" s="9">
        <v>1828</v>
      </c>
      <c r="B1647" s="10"/>
      <c r="C1647" s="9">
        <v>231495</v>
      </c>
      <c r="D1647" s="11" t="s">
        <v>852</v>
      </c>
      <c r="E1647" s="12">
        <v>45135</v>
      </c>
      <c r="F1647" s="13">
        <v>45108</v>
      </c>
      <c r="G1647" s="27">
        <v>910200</v>
      </c>
      <c r="H1647" s="10" t="s">
        <v>3476</v>
      </c>
      <c r="I1647" s="34">
        <v>155.606678703705</v>
      </c>
      <c r="J1647" s="11"/>
      <c r="K1647" s="39"/>
      <c r="L1647" s="39"/>
      <c r="M1647" s="39"/>
      <c r="N1647" s="37">
        <v>0</v>
      </c>
      <c r="O1647" s="37">
        <v>910200</v>
      </c>
      <c r="P1647" s="10"/>
      <c r="Q1647" s="10"/>
      <c r="R1647" s="10"/>
      <c r="S1647" s="10"/>
      <c r="T1647" s="10"/>
      <c r="U1647" s="10"/>
      <c r="V1647" s="10"/>
      <c r="W1647" s="10"/>
      <c r="X1647" s="10"/>
      <c r="Y1647" s="10"/>
      <c r="Z1647" s="10"/>
    </row>
    <row r="1648" spans="1:26" ht="14.25" customHeight="1">
      <c r="A1648" s="9">
        <v>1829</v>
      </c>
      <c r="B1648" s="10"/>
      <c r="C1648" s="9">
        <v>231478</v>
      </c>
      <c r="D1648" s="11" t="s">
        <v>852</v>
      </c>
      <c r="E1648" s="12">
        <v>45136</v>
      </c>
      <c r="F1648" s="13">
        <v>45108</v>
      </c>
      <c r="G1648" s="27">
        <v>932400</v>
      </c>
      <c r="H1648" s="10" t="s">
        <v>3477</v>
      </c>
      <c r="I1648" s="34">
        <v>154.606678703705</v>
      </c>
      <c r="J1648" s="11"/>
      <c r="K1648" s="39"/>
      <c r="L1648" s="39"/>
      <c r="M1648" s="39"/>
      <c r="N1648" s="37">
        <v>0</v>
      </c>
      <c r="O1648" s="37">
        <v>932400</v>
      </c>
      <c r="P1648" s="10"/>
      <c r="Q1648" s="10"/>
      <c r="R1648" s="10"/>
      <c r="S1648" s="10"/>
      <c r="T1648" s="10"/>
      <c r="U1648" s="10"/>
      <c r="V1648" s="10"/>
      <c r="W1648" s="10"/>
      <c r="X1648" s="10"/>
      <c r="Y1648" s="10"/>
      <c r="Z1648" s="10"/>
    </row>
    <row r="1649" spans="1:26" ht="14.25" customHeight="1">
      <c r="A1649" s="9">
        <v>1831</v>
      </c>
      <c r="B1649" s="10"/>
      <c r="C1649" s="9">
        <v>231512</v>
      </c>
      <c r="D1649" s="11" t="s">
        <v>852</v>
      </c>
      <c r="E1649" s="12">
        <v>45140</v>
      </c>
      <c r="F1649" s="13">
        <v>45139</v>
      </c>
      <c r="G1649" s="27">
        <v>1103995</v>
      </c>
      <c r="H1649" s="10" t="s">
        <v>3478</v>
      </c>
      <c r="I1649" s="34">
        <v>150.606678703705</v>
      </c>
      <c r="J1649" s="11"/>
      <c r="K1649" s="39"/>
      <c r="L1649" s="39"/>
      <c r="M1649" s="39"/>
      <c r="N1649" s="37">
        <v>0</v>
      </c>
      <c r="O1649" s="37">
        <v>1103995</v>
      </c>
      <c r="P1649" s="10"/>
      <c r="Q1649" s="10"/>
      <c r="R1649" s="10"/>
      <c r="S1649" s="10"/>
      <c r="T1649" s="10"/>
      <c r="U1649" s="10"/>
      <c r="V1649" s="10"/>
      <c r="W1649" s="10"/>
      <c r="X1649" s="10"/>
      <c r="Y1649" s="10"/>
      <c r="Z1649" s="10"/>
    </row>
    <row r="1650" spans="1:26" ht="14.25" customHeight="1">
      <c r="A1650" s="9">
        <v>1830</v>
      </c>
      <c r="B1650" s="10"/>
      <c r="C1650" s="9">
        <v>231522</v>
      </c>
      <c r="D1650" s="11" t="s">
        <v>852</v>
      </c>
      <c r="E1650" s="12">
        <v>45140</v>
      </c>
      <c r="F1650" s="13">
        <v>45139</v>
      </c>
      <c r="G1650" s="27">
        <v>788100</v>
      </c>
      <c r="H1650" s="10" t="s">
        <v>3479</v>
      </c>
      <c r="I1650" s="34">
        <v>150.606678703705</v>
      </c>
      <c r="J1650" s="11"/>
      <c r="K1650" s="39"/>
      <c r="L1650" s="39"/>
      <c r="M1650" s="39"/>
      <c r="N1650" s="37">
        <v>0</v>
      </c>
      <c r="O1650" s="37">
        <v>788100</v>
      </c>
      <c r="P1650" s="10"/>
      <c r="Q1650" s="10"/>
      <c r="R1650" s="10"/>
      <c r="S1650" s="10"/>
      <c r="T1650" s="10"/>
      <c r="U1650" s="10"/>
      <c r="V1650" s="10"/>
      <c r="W1650" s="10"/>
      <c r="X1650" s="10"/>
      <c r="Y1650" s="10"/>
      <c r="Z1650" s="10"/>
    </row>
    <row r="1651" spans="1:26" ht="14.25" customHeight="1">
      <c r="A1651" s="9">
        <v>1832</v>
      </c>
      <c r="B1651" s="10"/>
      <c r="C1651" s="9">
        <v>231575</v>
      </c>
      <c r="D1651" s="11" t="s">
        <v>852</v>
      </c>
      <c r="E1651" s="12">
        <v>45148</v>
      </c>
      <c r="F1651" s="13">
        <v>45139</v>
      </c>
      <c r="G1651" s="27">
        <v>5013371</v>
      </c>
      <c r="H1651" s="10" t="s">
        <v>3480</v>
      </c>
      <c r="I1651" s="34">
        <v>142.606678703705</v>
      </c>
      <c r="J1651" s="11"/>
      <c r="K1651" s="39"/>
      <c r="L1651" s="39"/>
      <c r="M1651" s="39"/>
      <c r="N1651" s="37">
        <v>0</v>
      </c>
      <c r="O1651" s="37">
        <v>5013371</v>
      </c>
      <c r="P1651" s="10"/>
      <c r="Q1651" s="10"/>
      <c r="R1651" s="10"/>
      <c r="S1651" s="10"/>
      <c r="T1651" s="10"/>
      <c r="U1651" s="10"/>
      <c r="V1651" s="10"/>
      <c r="W1651" s="10"/>
      <c r="X1651" s="10"/>
      <c r="Y1651" s="10"/>
      <c r="Z1651" s="10"/>
    </row>
    <row r="1652" spans="1:26" ht="14.25" customHeight="1">
      <c r="A1652" s="9">
        <v>1833</v>
      </c>
      <c r="B1652" s="10"/>
      <c r="C1652" s="9">
        <v>231605</v>
      </c>
      <c r="D1652" s="11" t="s">
        <v>852</v>
      </c>
      <c r="E1652" s="12">
        <v>45150</v>
      </c>
      <c r="F1652" s="13">
        <v>45139</v>
      </c>
      <c r="G1652" s="27">
        <v>344100</v>
      </c>
      <c r="H1652" s="10" t="s">
        <v>3481</v>
      </c>
      <c r="I1652" s="34">
        <v>140.606678703705</v>
      </c>
      <c r="J1652" s="11"/>
      <c r="K1652" s="39"/>
      <c r="L1652" s="39"/>
      <c r="M1652" s="39"/>
      <c r="N1652" s="37">
        <v>0</v>
      </c>
      <c r="O1652" s="37">
        <v>344100</v>
      </c>
      <c r="P1652" s="10"/>
      <c r="Q1652" s="10"/>
      <c r="R1652" s="10"/>
      <c r="S1652" s="10"/>
      <c r="T1652" s="10"/>
      <c r="U1652" s="10"/>
      <c r="V1652" s="10"/>
      <c r="W1652" s="10"/>
      <c r="X1652" s="10"/>
      <c r="Y1652" s="10"/>
      <c r="Z1652" s="10"/>
    </row>
    <row r="1653" spans="1:26" ht="14.25" customHeight="1">
      <c r="A1653" s="9">
        <v>1834</v>
      </c>
      <c r="B1653" s="10"/>
      <c r="C1653" s="9">
        <v>231632</v>
      </c>
      <c r="D1653" s="11" t="s">
        <v>852</v>
      </c>
      <c r="E1653" s="12">
        <v>45153</v>
      </c>
      <c r="F1653" s="13">
        <v>45139</v>
      </c>
      <c r="G1653" s="27">
        <v>2491495</v>
      </c>
      <c r="H1653" s="10" t="s">
        <v>3482</v>
      </c>
      <c r="I1653" s="34">
        <v>137.606678703705</v>
      </c>
      <c r="J1653" s="11"/>
      <c r="K1653" s="39"/>
      <c r="L1653" s="39"/>
      <c r="M1653" s="39"/>
      <c r="N1653" s="37">
        <v>0</v>
      </c>
      <c r="O1653" s="37">
        <v>2491495</v>
      </c>
      <c r="P1653" s="10"/>
      <c r="Q1653" s="10"/>
      <c r="R1653" s="10"/>
      <c r="S1653" s="10"/>
      <c r="T1653" s="10"/>
      <c r="U1653" s="10"/>
      <c r="V1653" s="10"/>
      <c r="W1653" s="10"/>
      <c r="X1653" s="10"/>
      <c r="Y1653" s="10"/>
      <c r="Z1653" s="10"/>
    </row>
    <row r="1654" spans="1:26" ht="14.25" customHeight="1">
      <c r="A1654" s="9">
        <v>1836</v>
      </c>
      <c r="B1654" s="10"/>
      <c r="C1654" s="9">
        <v>231631</v>
      </c>
      <c r="D1654" s="11" t="s">
        <v>852</v>
      </c>
      <c r="E1654" s="12">
        <v>45156</v>
      </c>
      <c r="F1654" s="13">
        <v>45139</v>
      </c>
      <c r="G1654" s="27">
        <v>749250</v>
      </c>
      <c r="H1654" s="10" t="s">
        <v>3483</v>
      </c>
      <c r="I1654" s="34">
        <v>134.606678703705</v>
      </c>
      <c r="J1654" s="11"/>
      <c r="K1654" s="39"/>
      <c r="L1654" s="39"/>
      <c r="M1654" s="39"/>
      <c r="N1654" s="37">
        <v>0</v>
      </c>
      <c r="O1654" s="37">
        <v>749250</v>
      </c>
      <c r="P1654" s="10"/>
      <c r="Q1654" s="10"/>
      <c r="R1654" s="10"/>
      <c r="S1654" s="10"/>
      <c r="T1654" s="10"/>
      <c r="U1654" s="10"/>
      <c r="V1654" s="10"/>
      <c r="W1654" s="10"/>
      <c r="X1654" s="10"/>
      <c r="Y1654" s="10"/>
      <c r="Z1654" s="10"/>
    </row>
    <row r="1655" spans="1:26" ht="14.25" customHeight="1">
      <c r="A1655" s="9">
        <v>1837</v>
      </c>
      <c r="B1655" s="10"/>
      <c r="C1655" s="9">
        <v>231633</v>
      </c>
      <c r="D1655" s="11" t="s">
        <v>852</v>
      </c>
      <c r="E1655" s="12">
        <v>45157</v>
      </c>
      <c r="F1655" s="13">
        <v>45139</v>
      </c>
      <c r="G1655" s="27">
        <v>1242978</v>
      </c>
      <c r="H1655" s="10" t="s">
        <v>3484</v>
      </c>
      <c r="I1655" s="34">
        <v>133.606678703705</v>
      </c>
      <c r="J1655" s="11"/>
      <c r="K1655" s="39"/>
      <c r="L1655" s="39"/>
      <c r="M1655" s="39"/>
      <c r="N1655" s="37">
        <v>0</v>
      </c>
      <c r="O1655" s="37">
        <v>1242978</v>
      </c>
      <c r="P1655" s="10"/>
      <c r="Q1655" s="10"/>
      <c r="R1655" s="10"/>
      <c r="S1655" s="10"/>
      <c r="T1655" s="10"/>
      <c r="U1655" s="10"/>
      <c r="V1655" s="10"/>
      <c r="W1655" s="10"/>
      <c r="X1655" s="10"/>
      <c r="Y1655" s="10"/>
      <c r="Z1655" s="10"/>
    </row>
    <row r="1656" spans="1:26" ht="14.25" customHeight="1">
      <c r="A1656" s="9">
        <v>1838</v>
      </c>
      <c r="B1656" s="10"/>
      <c r="C1656" s="9">
        <v>231690</v>
      </c>
      <c r="D1656" s="11" t="s">
        <v>852</v>
      </c>
      <c r="E1656" s="12">
        <v>45161</v>
      </c>
      <c r="F1656" s="13">
        <v>45139</v>
      </c>
      <c r="G1656" s="27">
        <v>277500</v>
      </c>
      <c r="H1656" s="10" t="s">
        <v>3485</v>
      </c>
      <c r="I1656" s="34">
        <v>129.606678703705</v>
      </c>
      <c r="J1656" s="11"/>
      <c r="K1656" s="39"/>
      <c r="L1656" s="39"/>
      <c r="M1656" s="39"/>
      <c r="N1656" s="37">
        <v>0</v>
      </c>
      <c r="O1656" s="37">
        <v>277500</v>
      </c>
      <c r="P1656" s="10"/>
      <c r="Q1656" s="10"/>
      <c r="R1656" s="10"/>
      <c r="S1656" s="10"/>
      <c r="T1656" s="10"/>
      <c r="U1656" s="10"/>
      <c r="V1656" s="10"/>
      <c r="W1656" s="10"/>
      <c r="X1656" s="10"/>
      <c r="Y1656" s="10"/>
      <c r="Z1656" s="10"/>
    </row>
    <row r="1657" spans="1:26" ht="14.25" customHeight="1">
      <c r="A1657" s="9">
        <v>1839</v>
      </c>
      <c r="B1657" s="10"/>
      <c r="C1657" s="9">
        <v>231698</v>
      </c>
      <c r="D1657" s="11" t="s">
        <v>852</v>
      </c>
      <c r="E1657" s="12">
        <v>45162</v>
      </c>
      <c r="F1657" s="13">
        <v>45139</v>
      </c>
      <c r="G1657" s="27">
        <v>1276500</v>
      </c>
      <c r="H1657" s="10" t="s">
        <v>3486</v>
      </c>
      <c r="I1657" s="34">
        <v>128.606678703705</v>
      </c>
      <c r="J1657" s="11"/>
      <c r="K1657" s="39"/>
      <c r="L1657" s="39"/>
      <c r="M1657" s="39"/>
      <c r="N1657" s="37">
        <v>0</v>
      </c>
      <c r="O1657" s="37">
        <v>1276500</v>
      </c>
      <c r="P1657" s="10"/>
      <c r="Q1657" s="10"/>
      <c r="R1657" s="10"/>
      <c r="S1657" s="10"/>
      <c r="T1657" s="10"/>
      <c r="U1657" s="10"/>
      <c r="V1657" s="10"/>
      <c r="W1657" s="10"/>
      <c r="X1657" s="10"/>
      <c r="Y1657" s="10"/>
      <c r="Z1657" s="10"/>
    </row>
    <row r="1658" spans="1:26" ht="14.25" customHeight="1">
      <c r="A1658" s="9">
        <v>1840</v>
      </c>
      <c r="B1658" s="10"/>
      <c r="C1658" s="9">
        <v>231736</v>
      </c>
      <c r="D1658" s="11" t="s">
        <v>852</v>
      </c>
      <c r="E1658" s="12">
        <v>45166</v>
      </c>
      <c r="F1658" s="13">
        <v>45139</v>
      </c>
      <c r="G1658" s="27">
        <v>735997</v>
      </c>
      <c r="H1658" s="10" t="s">
        <v>3487</v>
      </c>
      <c r="I1658" s="34">
        <v>124.606678703705</v>
      </c>
      <c r="J1658" s="11"/>
      <c r="K1658" s="39"/>
      <c r="L1658" s="39"/>
      <c r="M1658" s="39"/>
      <c r="N1658" s="37">
        <v>0</v>
      </c>
      <c r="O1658" s="37">
        <v>735997</v>
      </c>
      <c r="P1658" s="10"/>
      <c r="Q1658" s="10"/>
      <c r="R1658" s="10"/>
      <c r="S1658" s="10"/>
      <c r="T1658" s="10"/>
      <c r="U1658" s="10"/>
      <c r="V1658" s="10"/>
      <c r="W1658" s="10"/>
      <c r="X1658" s="10"/>
      <c r="Y1658" s="10"/>
      <c r="Z1658" s="10"/>
    </row>
    <row r="1659" spans="1:26" ht="14.25" customHeight="1">
      <c r="A1659" s="9">
        <v>1841</v>
      </c>
      <c r="B1659" s="10"/>
      <c r="C1659" s="9">
        <v>231747</v>
      </c>
      <c r="D1659" s="11" t="s">
        <v>852</v>
      </c>
      <c r="E1659" s="12">
        <v>45167</v>
      </c>
      <c r="F1659" s="13">
        <v>45139</v>
      </c>
      <c r="G1659" s="27">
        <v>356310</v>
      </c>
      <c r="H1659" s="10" t="s">
        <v>3488</v>
      </c>
      <c r="I1659" s="34">
        <v>123.606678703705</v>
      </c>
      <c r="J1659" s="11"/>
      <c r="K1659" s="39"/>
      <c r="L1659" s="39"/>
      <c r="M1659" s="39"/>
      <c r="N1659" s="37">
        <v>0</v>
      </c>
      <c r="O1659" s="37">
        <v>356310</v>
      </c>
      <c r="P1659" s="10"/>
      <c r="Q1659" s="10"/>
      <c r="R1659" s="10"/>
      <c r="S1659" s="10"/>
      <c r="T1659" s="10"/>
      <c r="U1659" s="10"/>
      <c r="V1659" s="10"/>
      <c r="W1659" s="10"/>
      <c r="X1659" s="10"/>
      <c r="Y1659" s="10"/>
      <c r="Z1659" s="10"/>
    </row>
    <row r="1660" spans="1:26" ht="14.25" customHeight="1">
      <c r="A1660" s="9">
        <v>1842</v>
      </c>
      <c r="B1660" s="10"/>
      <c r="C1660" s="9">
        <v>231747</v>
      </c>
      <c r="D1660" s="11" t="s">
        <v>852</v>
      </c>
      <c r="E1660" s="12">
        <v>45168</v>
      </c>
      <c r="F1660" s="13">
        <v>45139</v>
      </c>
      <c r="G1660" s="27">
        <v>1452435</v>
      </c>
      <c r="H1660" s="10" t="s">
        <v>3489</v>
      </c>
      <c r="I1660" s="34">
        <v>122.606678703705</v>
      </c>
      <c r="J1660" s="11"/>
      <c r="K1660" s="39"/>
      <c r="L1660" s="39"/>
      <c r="M1660" s="39"/>
      <c r="N1660" s="37">
        <v>0</v>
      </c>
      <c r="O1660" s="37">
        <v>1452435</v>
      </c>
      <c r="P1660" s="10"/>
      <c r="Q1660" s="10"/>
      <c r="R1660" s="10"/>
      <c r="S1660" s="10"/>
      <c r="T1660" s="10"/>
      <c r="U1660" s="10"/>
      <c r="V1660" s="10"/>
      <c r="W1660" s="10"/>
      <c r="X1660" s="10"/>
      <c r="Y1660" s="10"/>
      <c r="Z1660" s="10"/>
    </row>
    <row r="1661" spans="1:26" ht="14.25" customHeight="1">
      <c r="A1661" s="9">
        <v>1835</v>
      </c>
      <c r="B1661" s="10"/>
      <c r="C1661" s="9">
        <v>231791</v>
      </c>
      <c r="D1661" s="11" t="s">
        <v>852</v>
      </c>
      <c r="E1661" s="12">
        <v>45169</v>
      </c>
      <c r="F1661" s="13">
        <v>45139</v>
      </c>
      <c r="G1661" s="27">
        <v>366300</v>
      </c>
      <c r="H1661" s="10" t="s">
        <v>3490</v>
      </c>
      <c r="I1661" s="34">
        <v>121.606678703705</v>
      </c>
      <c r="J1661" s="11"/>
      <c r="K1661" s="39"/>
      <c r="L1661" s="39"/>
      <c r="M1661" s="39"/>
      <c r="N1661" s="37">
        <v>0</v>
      </c>
      <c r="O1661" s="37">
        <v>366300</v>
      </c>
      <c r="P1661" s="10"/>
      <c r="Q1661" s="10"/>
      <c r="R1661" s="10"/>
      <c r="S1661" s="10"/>
      <c r="T1661" s="10"/>
      <c r="U1661" s="10"/>
      <c r="V1661" s="10"/>
      <c r="W1661" s="10"/>
      <c r="X1661" s="10"/>
      <c r="Y1661" s="10"/>
      <c r="Z1661" s="10"/>
    </row>
    <row r="1662" spans="1:26" ht="14.25" customHeight="1">
      <c r="A1662" s="9">
        <v>1843</v>
      </c>
      <c r="B1662" s="10"/>
      <c r="C1662" s="9">
        <v>231839</v>
      </c>
      <c r="D1662" s="11" t="s">
        <v>852</v>
      </c>
      <c r="E1662" s="12">
        <v>45174</v>
      </c>
      <c r="F1662" s="13">
        <v>45170</v>
      </c>
      <c r="G1662" s="27">
        <v>416250</v>
      </c>
      <c r="H1662" s="10" t="s">
        <v>3491</v>
      </c>
      <c r="I1662" s="34">
        <v>116.606678703705</v>
      </c>
      <c r="J1662" s="11"/>
      <c r="K1662" s="39"/>
      <c r="L1662" s="39"/>
      <c r="M1662" s="39"/>
      <c r="N1662" s="37">
        <v>0</v>
      </c>
      <c r="O1662" s="37">
        <v>416250</v>
      </c>
      <c r="P1662" s="10"/>
      <c r="Q1662" s="10"/>
      <c r="R1662" s="10"/>
      <c r="S1662" s="10"/>
      <c r="T1662" s="10"/>
      <c r="U1662" s="10"/>
      <c r="V1662" s="10"/>
      <c r="W1662" s="10"/>
      <c r="X1662" s="10"/>
      <c r="Y1662" s="10"/>
      <c r="Z1662" s="10"/>
    </row>
    <row r="1663" spans="1:26" ht="14.25" customHeight="1">
      <c r="A1663" s="9">
        <v>1844</v>
      </c>
      <c r="B1663" s="10"/>
      <c r="C1663" s="9">
        <v>231844</v>
      </c>
      <c r="D1663" s="11" t="s">
        <v>852</v>
      </c>
      <c r="E1663" s="12">
        <v>45176</v>
      </c>
      <c r="F1663" s="13">
        <v>45170</v>
      </c>
      <c r="G1663" s="27">
        <v>1609500</v>
      </c>
      <c r="H1663" s="10" t="s">
        <v>3492</v>
      </c>
      <c r="I1663" s="34">
        <v>114.606678703705</v>
      </c>
      <c r="J1663" s="11"/>
      <c r="K1663" s="39"/>
      <c r="L1663" s="39"/>
      <c r="M1663" s="39"/>
      <c r="N1663" s="37">
        <v>0</v>
      </c>
      <c r="O1663" s="37">
        <v>1609500</v>
      </c>
      <c r="P1663" s="10"/>
      <c r="Q1663" s="10"/>
      <c r="R1663" s="10"/>
      <c r="S1663" s="10"/>
      <c r="T1663" s="10"/>
      <c r="U1663" s="10"/>
      <c r="V1663" s="10"/>
      <c r="W1663" s="10"/>
      <c r="X1663" s="10"/>
      <c r="Y1663" s="10"/>
      <c r="Z1663" s="10"/>
    </row>
    <row r="1664" spans="1:26" ht="14.25" customHeight="1">
      <c r="A1664" s="9">
        <v>1845</v>
      </c>
      <c r="B1664" s="10"/>
      <c r="C1664" s="9">
        <v>231884</v>
      </c>
      <c r="D1664" s="11" t="s">
        <v>852</v>
      </c>
      <c r="E1664" s="12">
        <v>45181</v>
      </c>
      <c r="F1664" s="13">
        <v>45170</v>
      </c>
      <c r="G1664" s="27">
        <v>467865</v>
      </c>
      <c r="H1664" s="10" t="s">
        <v>3493</v>
      </c>
      <c r="I1664" s="34">
        <v>109.606678703705</v>
      </c>
      <c r="J1664" s="11"/>
      <c r="K1664" s="39"/>
      <c r="L1664" s="39"/>
      <c r="M1664" s="39"/>
      <c r="N1664" s="37">
        <v>0</v>
      </c>
      <c r="O1664" s="37">
        <v>467865</v>
      </c>
      <c r="P1664" s="10"/>
      <c r="Q1664" s="10"/>
      <c r="R1664" s="10"/>
      <c r="S1664" s="10"/>
      <c r="T1664" s="10"/>
      <c r="U1664" s="10"/>
      <c r="V1664" s="10"/>
      <c r="W1664" s="10"/>
      <c r="X1664" s="10"/>
      <c r="Y1664" s="10"/>
      <c r="Z1664" s="10"/>
    </row>
    <row r="1665" spans="1:26" ht="14.25" customHeight="1">
      <c r="A1665" s="9">
        <v>1846</v>
      </c>
      <c r="B1665" s="10"/>
      <c r="C1665" s="9">
        <v>231886</v>
      </c>
      <c r="D1665" s="11" t="s">
        <v>852</v>
      </c>
      <c r="E1665" s="12">
        <v>45182</v>
      </c>
      <c r="F1665" s="13">
        <v>45170</v>
      </c>
      <c r="G1665" s="27">
        <v>710400</v>
      </c>
      <c r="H1665" s="10" t="s">
        <v>3494</v>
      </c>
      <c r="I1665" s="34">
        <v>108.606678703705</v>
      </c>
      <c r="J1665" s="11"/>
      <c r="K1665" s="39"/>
      <c r="L1665" s="39"/>
      <c r="M1665" s="39"/>
      <c r="N1665" s="37">
        <v>0</v>
      </c>
      <c r="O1665" s="37">
        <v>710400</v>
      </c>
      <c r="P1665" s="10"/>
      <c r="Q1665" s="10"/>
      <c r="R1665" s="10"/>
      <c r="S1665" s="10"/>
      <c r="T1665" s="10"/>
      <c r="U1665" s="10"/>
      <c r="V1665" s="10"/>
      <c r="W1665" s="10"/>
      <c r="X1665" s="10"/>
      <c r="Y1665" s="10"/>
      <c r="Z1665" s="10"/>
    </row>
    <row r="1666" spans="1:26" ht="14.25" customHeight="1">
      <c r="A1666" s="9">
        <v>1847</v>
      </c>
      <c r="B1666" s="10"/>
      <c r="C1666" s="9">
        <v>231903</v>
      </c>
      <c r="D1666" s="11" t="s">
        <v>852</v>
      </c>
      <c r="E1666" s="12">
        <v>45184</v>
      </c>
      <c r="F1666" s="13">
        <v>45170</v>
      </c>
      <c r="G1666" s="27">
        <v>482850</v>
      </c>
      <c r="H1666" s="10" t="s">
        <v>3495</v>
      </c>
      <c r="I1666" s="34">
        <v>106.606678703705</v>
      </c>
      <c r="J1666" s="11"/>
      <c r="K1666" s="39"/>
      <c r="L1666" s="39"/>
      <c r="M1666" s="39"/>
      <c r="N1666" s="37">
        <v>0</v>
      </c>
      <c r="O1666" s="37">
        <v>482850</v>
      </c>
      <c r="P1666" s="10"/>
      <c r="Q1666" s="10"/>
      <c r="R1666" s="10"/>
      <c r="S1666" s="10"/>
      <c r="T1666" s="10"/>
      <c r="U1666" s="10"/>
      <c r="V1666" s="10"/>
      <c r="W1666" s="10"/>
      <c r="X1666" s="10"/>
      <c r="Y1666" s="10"/>
      <c r="Z1666" s="10"/>
    </row>
    <row r="1667" spans="1:26" ht="14.25" customHeight="1">
      <c r="A1667" s="9">
        <v>1848</v>
      </c>
      <c r="B1667" s="10"/>
      <c r="C1667" s="9">
        <v>231909</v>
      </c>
      <c r="D1667" s="11" t="s">
        <v>852</v>
      </c>
      <c r="E1667" s="12">
        <v>45185</v>
      </c>
      <c r="F1667" s="13">
        <v>45170</v>
      </c>
      <c r="G1667" s="27">
        <v>911310</v>
      </c>
      <c r="H1667" s="10" t="s">
        <v>3496</v>
      </c>
      <c r="I1667" s="34">
        <v>105.606678703705</v>
      </c>
      <c r="J1667" s="11"/>
      <c r="K1667" s="39"/>
      <c r="L1667" s="39"/>
      <c r="M1667" s="39"/>
      <c r="N1667" s="37">
        <v>0</v>
      </c>
      <c r="O1667" s="37">
        <v>911310</v>
      </c>
      <c r="P1667" s="10"/>
      <c r="Q1667" s="10"/>
      <c r="R1667" s="10"/>
      <c r="S1667" s="10"/>
      <c r="T1667" s="10"/>
      <c r="U1667" s="10"/>
      <c r="V1667" s="10"/>
      <c r="W1667" s="10"/>
      <c r="X1667" s="10"/>
      <c r="Y1667" s="10"/>
      <c r="Z1667" s="10"/>
    </row>
    <row r="1668" spans="1:26" ht="14.25" customHeight="1">
      <c r="A1668" s="9">
        <v>1849</v>
      </c>
      <c r="B1668" s="10"/>
      <c r="C1668" s="9">
        <v>231917</v>
      </c>
      <c r="D1668" s="11" t="s">
        <v>852</v>
      </c>
      <c r="E1668" s="12">
        <v>45187</v>
      </c>
      <c r="F1668" s="13">
        <v>45170</v>
      </c>
      <c r="G1668" s="27">
        <v>1253845</v>
      </c>
      <c r="H1668" s="10" t="s">
        <v>3497</v>
      </c>
      <c r="I1668" s="34">
        <v>103.606678703705</v>
      </c>
      <c r="J1668" s="11"/>
      <c r="K1668" s="39"/>
      <c r="L1668" s="39"/>
      <c r="M1668" s="39"/>
      <c r="N1668" s="37">
        <v>0</v>
      </c>
      <c r="O1668" s="37">
        <v>1253845</v>
      </c>
      <c r="P1668" s="10"/>
      <c r="Q1668" s="10"/>
      <c r="R1668" s="10"/>
      <c r="S1668" s="10"/>
      <c r="T1668" s="10"/>
      <c r="U1668" s="10"/>
      <c r="V1668" s="10"/>
      <c r="W1668" s="10"/>
      <c r="X1668" s="10"/>
      <c r="Y1668" s="10"/>
      <c r="Z1668" s="10"/>
    </row>
    <row r="1669" spans="1:26" ht="14.25" customHeight="1">
      <c r="A1669" s="9">
        <v>1850</v>
      </c>
      <c r="B1669" s="10"/>
      <c r="C1669" s="9">
        <v>231927</v>
      </c>
      <c r="D1669" s="11" t="s">
        <v>852</v>
      </c>
      <c r="E1669" s="12">
        <v>45190</v>
      </c>
      <c r="F1669" s="13">
        <v>45170</v>
      </c>
      <c r="G1669" s="27">
        <v>1389587</v>
      </c>
      <c r="H1669" s="10" t="s">
        <v>3498</v>
      </c>
      <c r="I1669" s="34">
        <v>100.606678703705</v>
      </c>
      <c r="J1669" s="11"/>
      <c r="K1669" s="39"/>
      <c r="L1669" s="39"/>
      <c r="M1669" s="39"/>
      <c r="N1669" s="37">
        <v>0</v>
      </c>
      <c r="O1669" s="37">
        <v>1389587</v>
      </c>
      <c r="P1669" s="10"/>
      <c r="Q1669" s="10"/>
      <c r="R1669" s="10"/>
      <c r="S1669" s="10"/>
      <c r="T1669" s="10"/>
      <c r="U1669" s="10"/>
      <c r="V1669" s="10"/>
      <c r="W1669" s="10"/>
      <c r="X1669" s="10"/>
      <c r="Y1669" s="10"/>
      <c r="Z1669" s="10"/>
    </row>
    <row r="1670" spans="1:26" ht="14.25" customHeight="1">
      <c r="A1670" s="9">
        <v>1851</v>
      </c>
      <c r="B1670" s="10"/>
      <c r="C1670" s="9">
        <v>231975</v>
      </c>
      <c r="D1670" s="11" t="s">
        <v>852</v>
      </c>
      <c r="E1670" s="12">
        <v>45195</v>
      </c>
      <c r="F1670" s="13">
        <v>45170</v>
      </c>
      <c r="G1670" s="27">
        <v>1387500</v>
      </c>
      <c r="H1670" s="10" t="s">
        <v>3499</v>
      </c>
      <c r="I1670" s="34">
        <v>95.606678703705299</v>
      </c>
      <c r="J1670" s="11"/>
      <c r="K1670" s="39"/>
      <c r="L1670" s="39"/>
      <c r="M1670" s="39"/>
      <c r="N1670" s="37">
        <v>0</v>
      </c>
      <c r="O1670" s="37">
        <v>1387500</v>
      </c>
      <c r="P1670" s="10"/>
      <c r="Q1670" s="10"/>
      <c r="R1670" s="10"/>
      <c r="S1670" s="10"/>
      <c r="T1670" s="10"/>
      <c r="U1670" s="10"/>
      <c r="V1670" s="10"/>
      <c r="W1670" s="10"/>
      <c r="X1670" s="10"/>
      <c r="Y1670" s="10"/>
      <c r="Z1670" s="10"/>
    </row>
    <row r="1671" spans="1:26" ht="14.25" customHeight="1">
      <c r="A1671" s="9">
        <v>1852</v>
      </c>
      <c r="B1671" s="10"/>
      <c r="C1671" s="9">
        <v>231976</v>
      </c>
      <c r="D1671" s="11" t="s">
        <v>852</v>
      </c>
      <c r="E1671" s="12">
        <v>45195</v>
      </c>
      <c r="F1671" s="13">
        <v>45170</v>
      </c>
      <c r="G1671" s="27">
        <v>172050</v>
      </c>
      <c r="H1671" s="10" t="s">
        <v>3500</v>
      </c>
      <c r="I1671" s="34">
        <v>95.606678703705299</v>
      </c>
      <c r="J1671" s="11"/>
      <c r="K1671" s="39"/>
      <c r="L1671" s="39"/>
      <c r="M1671" s="39"/>
      <c r="N1671" s="37">
        <v>0</v>
      </c>
      <c r="O1671" s="37">
        <v>172050</v>
      </c>
      <c r="P1671" s="10"/>
      <c r="Q1671" s="10"/>
      <c r="R1671" s="10"/>
      <c r="S1671" s="10"/>
      <c r="T1671" s="10"/>
      <c r="U1671" s="10"/>
      <c r="V1671" s="10"/>
      <c r="W1671" s="10"/>
      <c r="X1671" s="10"/>
      <c r="Y1671" s="10"/>
      <c r="Z1671" s="10"/>
    </row>
    <row r="1672" spans="1:26" ht="14.25" customHeight="1">
      <c r="A1672" s="9">
        <v>1853</v>
      </c>
      <c r="B1672" s="10"/>
      <c r="C1672" s="9">
        <v>231989</v>
      </c>
      <c r="D1672" s="11" t="s">
        <v>852</v>
      </c>
      <c r="E1672" s="12">
        <v>45198</v>
      </c>
      <c r="F1672" s="13">
        <v>45170</v>
      </c>
      <c r="G1672" s="27">
        <v>183150</v>
      </c>
      <c r="H1672" s="10" t="s">
        <v>3501</v>
      </c>
      <c r="I1672" s="34">
        <v>92.606678703705299</v>
      </c>
      <c r="J1672" s="11"/>
      <c r="K1672" s="39"/>
      <c r="L1672" s="39"/>
      <c r="M1672" s="39"/>
      <c r="N1672" s="37">
        <v>0</v>
      </c>
      <c r="O1672" s="37">
        <v>183150</v>
      </c>
      <c r="P1672" s="10"/>
      <c r="Q1672" s="10"/>
      <c r="R1672" s="10"/>
      <c r="S1672" s="10"/>
      <c r="T1672" s="10"/>
      <c r="U1672" s="10"/>
      <c r="V1672" s="10"/>
      <c r="W1672" s="10"/>
      <c r="X1672" s="10"/>
      <c r="Y1672" s="10"/>
      <c r="Z1672" s="10"/>
    </row>
    <row r="1673" spans="1:26" ht="14.25" customHeight="1">
      <c r="A1673" s="9">
        <v>1854</v>
      </c>
      <c r="B1673" s="10"/>
      <c r="C1673" s="9">
        <v>232042</v>
      </c>
      <c r="D1673" s="11" t="s">
        <v>852</v>
      </c>
      <c r="E1673" s="12">
        <v>45203</v>
      </c>
      <c r="F1673" s="13">
        <v>45200</v>
      </c>
      <c r="G1673" s="27">
        <v>275835</v>
      </c>
      <c r="H1673" s="10" t="s">
        <v>3502</v>
      </c>
      <c r="I1673" s="34">
        <v>87.606678703705299</v>
      </c>
      <c r="J1673" s="11"/>
      <c r="K1673" s="39"/>
      <c r="L1673" s="39"/>
      <c r="M1673" s="39"/>
      <c r="N1673" s="37">
        <v>0</v>
      </c>
      <c r="O1673" s="37">
        <v>275835</v>
      </c>
      <c r="P1673" s="10"/>
      <c r="Q1673" s="10"/>
      <c r="R1673" s="10"/>
      <c r="S1673" s="10"/>
      <c r="T1673" s="10"/>
      <c r="U1673" s="10"/>
      <c r="V1673" s="10"/>
      <c r="W1673" s="10"/>
      <c r="X1673" s="10"/>
      <c r="Y1673" s="10"/>
      <c r="Z1673" s="10"/>
    </row>
    <row r="1674" spans="1:26" ht="14.25" customHeight="1">
      <c r="A1674" s="9">
        <v>1855</v>
      </c>
      <c r="B1674" s="10"/>
      <c r="C1674" s="9">
        <v>232140</v>
      </c>
      <c r="D1674" s="11" t="s">
        <v>852</v>
      </c>
      <c r="E1674" s="12">
        <v>45209</v>
      </c>
      <c r="F1674" s="13">
        <v>45200</v>
      </c>
      <c r="G1674" s="27">
        <v>1366965</v>
      </c>
      <c r="H1674" s="10" t="s">
        <v>3503</v>
      </c>
      <c r="I1674" s="34">
        <v>81.606678703705299</v>
      </c>
      <c r="J1674" s="11"/>
      <c r="K1674" s="39"/>
      <c r="L1674" s="39"/>
      <c r="M1674" s="39"/>
      <c r="N1674" s="37">
        <v>0</v>
      </c>
      <c r="O1674" s="37">
        <v>1366965</v>
      </c>
      <c r="P1674" s="10"/>
      <c r="Q1674" s="10"/>
      <c r="R1674" s="10"/>
      <c r="S1674" s="10"/>
      <c r="T1674" s="10"/>
      <c r="U1674" s="10"/>
      <c r="V1674" s="10"/>
      <c r="W1674" s="10"/>
      <c r="X1674" s="10"/>
      <c r="Y1674" s="10"/>
      <c r="Z1674" s="10"/>
    </row>
    <row r="1675" spans="1:26" ht="14.25" customHeight="1">
      <c r="A1675" s="9">
        <v>1856</v>
      </c>
      <c r="B1675" s="10"/>
      <c r="C1675" s="9">
        <v>232141</v>
      </c>
      <c r="D1675" s="11" t="s">
        <v>852</v>
      </c>
      <c r="E1675" s="12">
        <v>45218</v>
      </c>
      <c r="F1675" s="13">
        <v>45200</v>
      </c>
      <c r="G1675" s="27">
        <v>2698699</v>
      </c>
      <c r="H1675" s="10" t="s">
        <v>3504</v>
      </c>
      <c r="I1675" s="34">
        <v>72.606678703705299</v>
      </c>
      <c r="J1675" s="11"/>
      <c r="K1675" s="39"/>
      <c r="L1675" s="39"/>
      <c r="M1675" s="39"/>
      <c r="N1675" s="37">
        <v>0</v>
      </c>
      <c r="O1675" s="37">
        <v>2698699</v>
      </c>
      <c r="P1675" s="10"/>
      <c r="Q1675" s="10"/>
      <c r="R1675" s="10"/>
      <c r="S1675" s="10"/>
      <c r="T1675" s="10"/>
      <c r="U1675" s="10"/>
      <c r="V1675" s="10"/>
      <c r="W1675" s="10"/>
      <c r="X1675" s="10"/>
      <c r="Y1675" s="10"/>
      <c r="Z1675" s="10"/>
    </row>
    <row r="1676" spans="1:26" ht="14.25" customHeight="1">
      <c r="A1676" s="9">
        <v>1857</v>
      </c>
      <c r="B1676" s="10"/>
      <c r="C1676" s="9">
        <v>232150</v>
      </c>
      <c r="D1676" s="11" t="s">
        <v>852</v>
      </c>
      <c r="E1676" s="12">
        <v>45222</v>
      </c>
      <c r="F1676" s="13">
        <v>45200</v>
      </c>
      <c r="G1676" s="27">
        <v>416250</v>
      </c>
      <c r="H1676" s="10" t="s">
        <v>3505</v>
      </c>
      <c r="I1676" s="34">
        <v>68.606678703705299</v>
      </c>
      <c r="J1676" s="11"/>
      <c r="K1676" s="39"/>
      <c r="L1676" s="39"/>
      <c r="M1676" s="39"/>
      <c r="N1676" s="37">
        <v>0</v>
      </c>
      <c r="O1676" s="37">
        <v>416250</v>
      </c>
      <c r="P1676" s="10"/>
      <c r="Q1676" s="10"/>
      <c r="R1676" s="10"/>
      <c r="S1676" s="10"/>
      <c r="T1676" s="10"/>
      <c r="U1676" s="10"/>
      <c r="V1676" s="10"/>
      <c r="W1676" s="10"/>
      <c r="X1676" s="10"/>
      <c r="Y1676" s="10"/>
      <c r="Z1676" s="10"/>
    </row>
    <row r="1677" spans="1:26" ht="14.25" customHeight="1">
      <c r="A1677" s="9">
        <v>1858</v>
      </c>
      <c r="B1677" s="10"/>
      <c r="C1677" s="9">
        <v>232169</v>
      </c>
      <c r="D1677" s="11" t="s">
        <v>852</v>
      </c>
      <c r="E1677" s="12">
        <v>45224</v>
      </c>
      <c r="F1677" s="13">
        <v>45200</v>
      </c>
      <c r="G1677" s="27">
        <v>1113330</v>
      </c>
      <c r="H1677" s="10" t="s">
        <v>3506</v>
      </c>
      <c r="I1677" s="34">
        <v>66.606678703705299</v>
      </c>
      <c r="J1677" s="11"/>
      <c r="K1677" s="39"/>
      <c r="L1677" s="39"/>
      <c r="M1677" s="39"/>
      <c r="N1677" s="37">
        <v>0</v>
      </c>
      <c r="O1677" s="37">
        <v>1113330</v>
      </c>
      <c r="P1677" s="10"/>
      <c r="Q1677" s="10"/>
      <c r="R1677" s="10"/>
      <c r="S1677" s="10"/>
      <c r="T1677" s="10"/>
      <c r="U1677" s="10"/>
      <c r="V1677" s="10"/>
      <c r="W1677" s="10"/>
      <c r="X1677" s="10"/>
      <c r="Y1677" s="10"/>
      <c r="Z1677" s="10"/>
    </row>
    <row r="1678" spans="1:26" ht="14.25" customHeight="1">
      <c r="A1678" s="9">
        <v>1859</v>
      </c>
      <c r="B1678" s="10"/>
      <c r="C1678" s="9">
        <v>232297</v>
      </c>
      <c r="D1678" s="11" t="s">
        <v>852</v>
      </c>
      <c r="E1678" s="12">
        <v>45230</v>
      </c>
      <c r="F1678" s="13">
        <v>45200</v>
      </c>
      <c r="G1678" s="27">
        <v>588300</v>
      </c>
      <c r="H1678" s="10" t="s">
        <v>3507</v>
      </c>
      <c r="I1678" s="34">
        <v>60.606678703705299</v>
      </c>
      <c r="J1678" s="11"/>
      <c r="K1678" s="39"/>
      <c r="L1678" s="39"/>
      <c r="M1678" s="39"/>
      <c r="N1678" s="37">
        <v>0</v>
      </c>
      <c r="O1678" s="37">
        <v>588300</v>
      </c>
      <c r="P1678" s="10"/>
      <c r="Q1678" s="10"/>
      <c r="R1678" s="10"/>
      <c r="S1678" s="10"/>
      <c r="T1678" s="10"/>
      <c r="U1678" s="10"/>
      <c r="V1678" s="10"/>
      <c r="W1678" s="10"/>
      <c r="X1678" s="10"/>
      <c r="Y1678" s="10"/>
      <c r="Z1678" s="10"/>
    </row>
    <row r="1679" spans="1:26" ht="14.25" customHeight="1">
      <c r="A1679" s="9">
        <v>1860</v>
      </c>
      <c r="B1679" s="10"/>
      <c r="C1679" s="9">
        <v>232296</v>
      </c>
      <c r="D1679" s="11" t="s">
        <v>852</v>
      </c>
      <c r="E1679" s="12">
        <v>45231</v>
      </c>
      <c r="F1679" s="13">
        <v>45231</v>
      </c>
      <c r="G1679" s="27">
        <v>3679983</v>
      </c>
      <c r="H1679" s="10" t="s">
        <v>3508</v>
      </c>
      <c r="I1679" s="34">
        <v>59.606678703705299</v>
      </c>
      <c r="J1679" s="11"/>
      <c r="K1679" s="39"/>
      <c r="L1679" s="39"/>
      <c r="M1679" s="39"/>
      <c r="N1679" s="37">
        <v>0</v>
      </c>
      <c r="O1679" s="37">
        <v>3679983</v>
      </c>
      <c r="P1679" s="10"/>
      <c r="Q1679" s="10"/>
      <c r="R1679" s="10"/>
      <c r="S1679" s="10"/>
      <c r="T1679" s="10"/>
      <c r="U1679" s="10"/>
      <c r="V1679" s="10"/>
      <c r="W1679" s="10"/>
      <c r="X1679" s="10"/>
      <c r="Y1679" s="10"/>
      <c r="Z1679" s="10"/>
    </row>
    <row r="1680" spans="1:26" ht="14.25" customHeight="1">
      <c r="A1680" s="9">
        <v>1861</v>
      </c>
      <c r="B1680" s="10"/>
      <c r="C1680" s="9">
        <v>232295</v>
      </c>
      <c r="D1680" s="11" t="s">
        <v>852</v>
      </c>
      <c r="E1680" s="12">
        <v>45232</v>
      </c>
      <c r="F1680" s="13">
        <v>45231</v>
      </c>
      <c r="G1680" s="27">
        <v>1101453</v>
      </c>
      <c r="H1680" s="10" t="s">
        <v>3509</v>
      </c>
      <c r="I1680" s="34">
        <v>58.606678703705299</v>
      </c>
      <c r="J1680" s="11"/>
      <c r="K1680" s="39"/>
      <c r="L1680" s="39"/>
      <c r="M1680" s="39"/>
      <c r="N1680" s="37">
        <v>0</v>
      </c>
      <c r="O1680" s="37">
        <v>1101453</v>
      </c>
      <c r="P1680" s="10"/>
      <c r="Q1680" s="10"/>
      <c r="R1680" s="10"/>
      <c r="S1680" s="10"/>
      <c r="T1680" s="10"/>
      <c r="U1680" s="10"/>
      <c r="V1680" s="10"/>
      <c r="W1680" s="10"/>
      <c r="X1680" s="10"/>
      <c r="Y1680" s="10"/>
      <c r="Z1680" s="10"/>
    </row>
    <row r="1681" spans="1:26" ht="14.25" customHeight="1">
      <c r="A1681" s="9">
        <v>1862</v>
      </c>
      <c r="B1681" s="10"/>
      <c r="C1681" s="9">
        <v>232245</v>
      </c>
      <c r="D1681" s="11" t="s">
        <v>852</v>
      </c>
      <c r="E1681" s="12">
        <v>45238</v>
      </c>
      <c r="F1681" s="13">
        <v>45231</v>
      </c>
      <c r="G1681" s="27">
        <v>1665000</v>
      </c>
      <c r="H1681" s="10" t="s">
        <v>3510</v>
      </c>
      <c r="I1681" s="34">
        <v>52.606678703705299</v>
      </c>
      <c r="J1681" s="11"/>
      <c r="K1681" s="39"/>
      <c r="L1681" s="39"/>
      <c r="M1681" s="39"/>
      <c r="N1681" s="37">
        <v>0</v>
      </c>
      <c r="O1681" s="37">
        <v>1665000</v>
      </c>
      <c r="P1681" s="10"/>
      <c r="Q1681" s="10"/>
      <c r="R1681" s="10"/>
      <c r="S1681" s="10"/>
      <c r="T1681" s="10"/>
      <c r="U1681" s="10"/>
      <c r="V1681" s="10"/>
      <c r="W1681" s="10"/>
      <c r="X1681" s="10"/>
      <c r="Y1681" s="10"/>
      <c r="Z1681" s="10"/>
    </row>
    <row r="1682" spans="1:26" ht="14.25" customHeight="1">
      <c r="A1682" s="9">
        <v>1864</v>
      </c>
      <c r="B1682" s="10"/>
      <c r="C1682" s="9">
        <v>232259</v>
      </c>
      <c r="D1682" s="11" t="s">
        <v>852</v>
      </c>
      <c r="E1682" s="12">
        <v>45241</v>
      </c>
      <c r="F1682" s="13">
        <v>45231</v>
      </c>
      <c r="G1682" s="27">
        <v>1304250</v>
      </c>
      <c r="H1682" s="10" t="s">
        <v>3511</v>
      </c>
      <c r="I1682" s="34">
        <v>49.606678703705299</v>
      </c>
      <c r="J1682" s="11"/>
      <c r="K1682" s="39"/>
      <c r="L1682" s="39"/>
      <c r="M1682" s="39"/>
      <c r="N1682" s="37">
        <v>0</v>
      </c>
      <c r="O1682" s="37">
        <v>1304250</v>
      </c>
      <c r="P1682" s="10"/>
      <c r="Q1682" s="10"/>
      <c r="R1682" s="10"/>
      <c r="S1682" s="10"/>
      <c r="T1682" s="10"/>
      <c r="U1682" s="10"/>
      <c r="V1682" s="10"/>
      <c r="W1682" s="52"/>
      <c r="X1682" s="10"/>
      <c r="Y1682" s="10"/>
      <c r="Z1682" s="10"/>
    </row>
    <row r="1683" spans="1:26" ht="14.25" customHeight="1">
      <c r="A1683" s="9">
        <v>1863</v>
      </c>
      <c r="B1683" s="10"/>
      <c r="C1683" s="9">
        <v>232298</v>
      </c>
      <c r="D1683" s="11" t="s">
        <v>852</v>
      </c>
      <c r="E1683" s="12">
        <v>45241</v>
      </c>
      <c r="F1683" s="13">
        <v>45231</v>
      </c>
      <c r="G1683" s="27">
        <v>1377621</v>
      </c>
      <c r="H1683" s="10" t="s">
        <v>3512</v>
      </c>
      <c r="I1683" s="34">
        <v>49.606678703705299</v>
      </c>
      <c r="J1683" s="11"/>
      <c r="K1683" s="39"/>
      <c r="L1683" s="39"/>
      <c r="M1683" s="39"/>
      <c r="N1683" s="37">
        <v>0</v>
      </c>
      <c r="O1683" s="37">
        <v>1377621</v>
      </c>
      <c r="P1683" s="10"/>
      <c r="Q1683" s="10"/>
      <c r="R1683" s="10"/>
      <c r="S1683" s="10"/>
      <c r="T1683" s="10"/>
      <c r="U1683" s="10"/>
      <c r="V1683" s="10"/>
      <c r="W1683" s="52"/>
      <c r="X1683" s="10"/>
      <c r="Y1683" s="10"/>
      <c r="Z1683" s="10"/>
    </row>
    <row r="1684" spans="1:26" ht="14.25" customHeight="1">
      <c r="A1684" s="9">
        <v>1865</v>
      </c>
      <c r="B1684" s="10"/>
      <c r="C1684" s="9">
        <v>232389</v>
      </c>
      <c r="D1684" s="11" t="s">
        <v>852</v>
      </c>
      <c r="E1684" s="12">
        <v>45243</v>
      </c>
      <c r="F1684" s="13">
        <v>45231</v>
      </c>
      <c r="G1684" s="27">
        <v>6781978</v>
      </c>
      <c r="H1684" s="10" t="s">
        <v>3513</v>
      </c>
      <c r="I1684" s="34">
        <v>47.606678703705299</v>
      </c>
      <c r="J1684" s="11"/>
      <c r="K1684" s="39"/>
      <c r="L1684" s="39"/>
      <c r="M1684" s="39"/>
      <c r="N1684" s="37">
        <v>0</v>
      </c>
      <c r="O1684" s="37">
        <v>6781978</v>
      </c>
      <c r="P1684" s="41"/>
      <c r="Q1684" s="41"/>
      <c r="R1684" s="41"/>
      <c r="S1684" s="41"/>
      <c r="T1684" s="41"/>
      <c r="U1684" s="41"/>
      <c r="V1684" s="41"/>
      <c r="W1684" s="41"/>
      <c r="X1684" s="41"/>
      <c r="Y1684" s="41"/>
      <c r="Z1684" s="41"/>
    </row>
    <row r="1685" spans="1:26" ht="14.25" customHeight="1">
      <c r="A1685" s="9">
        <v>1866</v>
      </c>
      <c r="B1685" s="10"/>
      <c r="C1685" s="9">
        <v>232388</v>
      </c>
      <c r="D1685" s="11" t="s">
        <v>852</v>
      </c>
      <c r="E1685" s="12">
        <v>45244</v>
      </c>
      <c r="F1685" s="13">
        <v>45231</v>
      </c>
      <c r="G1685" s="27">
        <v>3885000</v>
      </c>
      <c r="H1685" s="10" t="s">
        <v>3514</v>
      </c>
      <c r="I1685" s="34">
        <v>46.606678703705299</v>
      </c>
      <c r="J1685" s="11"/>
      <c r="K1685" s="39"/>
      <c r="L1685" s="39"/>
      <c r="M1685" s="39"/>
      <c r="N1685" s="37">
        <v>0</v>
      </c>
      <c r="O1685" s="37">
        <v>3885000</v>
      </c>
      <c r="P1685" s="10"/>
      <c r="Q1685" s="10"/>
      <c r="R1685" s="10"/>
      <c r="S1685" s="10"/>
      <c r="T1685" s="10"/>
      <c r="U1685" s="10"/>
      <c r="V1685" s="10"/>
      <c r="W1685" s="10"/>
      <c r="X1685" s="10"/>
      <c r="Y1685" s="10"/>
      <c r="Z1685" s="10"/>
    </row>
    <row r="1686" spans="1:26" ht="14.25" customHeight="1">
      <c r="A1686" s="9">
        <v>1867</v>
      </c>
      <c r="B1686" s="10"/>
      <c r="C1686" s="9">
        <v>232390</v>
      </c>
      <c r="D1686" s="11" t="s">
        <v>852</v>
      </c>
      <c r="E1686" s="12">
        <v>45246</v>
      </c>
      <c r="F1686" s="13">
        <v>45231</v>
      </c>
      <c r="G1686" s="27">
        <v>2613495</v>
      </c>
      <c r="H1686" s="10" t="s">
        <v>3515</v>
      </c>
      <c r="I1686" s="34">
        <v>44.606678703705299</v>
      </c>
      <c r="J1686" s="11"/>
      <c r="K1686" s="39"/>
      <c r="L1686" s="39"/>
      <c r="M1686" s="39"/>
      <c r="N1686" s="37">
        <v>0</v>
      </c>
      <c r="O1686" s="37">
        <v>2613495</v>
      </c>
      <c r="P1686" s="10"/>
      <c r="Q1686" s="10"/>
      <c r="R1686" s="10"/>
      <c r="S1686" s="10"/>
      <c r="T1686" s="10"/>
      <c r="U1686" s="10"/>
      <c r="V1686" s="10"/>
      <c r="W1686" s="52"/>
      <c r="X1686" s="10"/>
      <c r="Y1686" s="10"/>
      <c r="Z1686" s="10"/>
    </row>
    <row r="1687" spans="1:26" ht="14.25" customHeight="1">
      <c r="A1687" s="9">
        <v>1868</v>
      </c>
      <c r="B1687" s="10"/>
      <c r="C1687" s="9">
        <v>232387</v>
      </c>
      <c r="D1687" s="11" t="s">
        <v>852</v>
      </c>
      <c r="E1687" s="12">
        <v>45250</v>
      </c>
      <c r="F1687" s="13">
        <v>45231</v>
      </c>
      <c r="G1687" s="27">
        <v>286380</v>
      </c>
      <c r="H1687" s="10" t="s">
        <v>3516</v>
      </c>
      <c r="I1687" s="34">
        <v>40.606678703705299</v>
      </c>
      <c r="J1687" s="11"/>
      <c r="K1687" s="39"/>
      <c r="L1687" s="39"/>
      <c r="M1687" s="39"/>
      <c r="N1687" s="37">
        <v>0</v>
      </c>
      <c r="O1687" s="37">
        <v>286380</v>
      </c>
      <c r="P1687" s="10"/>
      <c r="Q1687" s="10"/>
      <c r="R1687" s="10"/>
      <c r="S1687" s="10"/>
      <c r="T1687" s="10"/>
      <c r="U1687" s="10"/>
      <c r="V1687" s="10"/>
      <c r="W1687" s="52"/>
      <c r="X1687" s="10"/>
      <c r="Y1687" s="10"/>
      <c r="Z1687" s="10"/>
    </row>
    <row r="1688" spans="1:26" ht="14.25" customHeight="1">
      <c r="A1688" s="9">
        <v>1869</v>
      </c>
      <c r="B1688" s="10"/>
      <c r="C1688" s="9">
        <v>232386</v>
      </c>
      <c r="D1688" s="11" t="s">
        <v>852</v>
      </c>
      <c r="E1688" s="12">
        <v>45255</v>
      </c>
      <c r="F1688" s="13">
        <v>45231</v>
      </c>
      <c r="G1688" s="27">
        <v>318570</v>
      </c>
      <c r="H1688" s="10" t="s">
        <v>3517</v>
      </c>
      <c r="I1688" s="34">
        <v>35.606678703705299</v>
      </c>
      <c r="J1688" s="11"/>
      <c r="K1688" s="39"/>
      <c r="L1688" s="39"/>
      <c r="M1688" s="39"/>
      <c r="N1688" s="37">
        <v>0</v>
      </c>
      <c r="O1688" s="37">
        <v>318570</v>
      </c>
      <c r="P1688" s="10"/>
      <c r="Q1688" s="10"/>
      <c r="R1688" s="10"/>
      <c r="S1688" s="10"/>
      <c r="T1688" s="10"/>
      <c r="U1688" s="10"/>
      <c r="V1688" s="10"/>
      <c r="W1688" s="52"/>
      <c r="X1688" s="10"/>
      <c r="Y1688" s="10"/>
      <c r="Z1688" s="10"/>
    </row>
    <row r="1689" spans="1:26" ht="14.25" customHeight="1">
      <c r="A1689" s="9">
        <v>1870</v>
      </c>
      <c r="B1689" s="10"/>
      <c r="C1689" s="9">
        <v>232385</v>
      </c>
      <c r="D1689" s="11" t="s">
        <v>852</v>
      </c>
      <c r="E1689" s="12">
        <v>45257</v>
      </c>
      <c r="F1689" s="13">
        <v>45231</v>
      </c>
      <c r="G1689" s="27">
        <v>610500</v>
      </c>
      <c r="H1689" s="10" t="s">
        <v>3518</v>
      </c>
      <c r="I1689" s="34">
        <v>33.606678703705299</v>
      </c>
      <c r="J1689" s="11"/>
      <c r="K1689" s="39"/>
      <c r="L1689" s="39"/>
      <c r="M1689" s="39"/>
      <c r="N1689" s="37">
        <v>0</v>
      </c>
      <c r="O1689" s="37">
        <v>610500</v>
      </c>
      <c r="P1689" s="10"/>
      <c r="Q1689" s="10"/>
      <c r="R1689" s="10"/>
      <c r="S1689" s="10"/>
      <c r="T1689" s="10"/>
      <c r="U1689" s="10"/>
      <c r="V1689" s="10"/>
      <c r="W1689" s="52"/>
      <c r="X1689" s="10"/>
      <c r="Y1689" s="10"/>
      <c r="Z1689" s="10"/>
    </row>
    <row r="1690" spans="1:26" ht="14.25" customHeight="1">
      <c r="A1690" s="9">
        <v>1875</v>
      </c>
      <c r="B1690" s="10"/>
      <c r="C1690" s="21">
        <v>230034</v>
      </c>
      <c r="D1690" s="22" t="s">
        <v>862</v>
      </c>
      <c r="E1690" s="23">
        <v>44929</v>
      </c>
      <c r="F1690" s="24">
        <v>44927</v>
      </c>
      <c r="G1690" s="25">
        <v>1553024</v>
      </c>
      <c r="H1690" s="26" t="s">
        <v>3519</v>
      </c>
      <c r="I1690" s="34" t="s">
        <v>29</v>
      </c>
      <c r="J1690" s="25">
        <v>10964463</v>
      </c>
      <c r="K1690" s="40">
        <v>45017</v>
      </c>
      <c r="L1690" s="40">
        <v>45017</v>
      </c>
      <c r="M1690" s="40">
        <v>45017</v>
      </c>
      <c r="N1690" s="37">
        <v>1553024</v>
      </c>
      <c r="O1690" s="37">
        <v>0</v>
      </c>
      <c r="P1690" s="10"/>
      <c r="Q1690" s="10"/>
      <c r="R1690" s="10"/>
      <c r="S1690" s="10"/>
      <c r="T1690" s="10"/>
      <c r="U1690" s="10"/>
      <c r="V1690" s="10"/>
      <c r="W1690" s="52"/>
      <c r="X1690" s="10"/>
      <c r="Y1690" s="10"/>
      <c r="Z1690" s="10"/>
    </row>
    <row r="1691" spans="1:26" ht="14.25" customHeight="1">
      <c r="A1691" s="9">
        <v>1876</v>
      </c>
      <c r="B1691" s="10"/>
      <c r="C1691" s="21">
        <v>230089</v>
      </c>
      <c r="D1691" s="22" t="s">
        <v>862</v>
      </c>
      <c r="E1691" s="23">
        <v>44937</v>
      </c>
      <c r="F1691" s="24">
        <v>44927</v>
      </c>
      <c r="G1691" s="25">
        <v>145687</v>
      </c>
      <c r="H1691" s="26" t="s">
        <v>3520</v>
      </c>
      <c r="I1691" s="34" t="s">
        <v>29</v>
      </c>
      <c r="J1691" s="10"/>
      <c r="K1691" s="49"/>
      <c r="L1691" s="40">
        <v>45017</v>
      </c>
      <c r="M1691" s="40">
        <v>45017</v>
      </c>
      <c r="N1691" s="37">
        <v>145687</v>
      </c>
      <c r="O1691" s="37">
        <v>0</v>
      </c>
      <c r="P1691" s="10"/>
      <c r="Q1691" s="10"/>
      <c r="R1691" s="10"/>
      <c r="S1691" s="10"/>
      <c r="T1691" s="10"/>
      <c r="U1691" s="10"/>
      <c r="V1691" s="10"/>
      <c r="W1691" s="52"/>
      <c r="X1691" s="10"/>
      <c r="Y1691" s="10"/>
      <c r="Z1691" s="10"/>
    </row>
    <row r="1692" spans="1:26" ht="14.25" customHeight="1">
      <c r="A1692" s="9">
        <v>1879</v>
      </c>
      <c r="B1692" s="10"/>
      <c r="C1692" s="21">
        <v>230090</v>
      </c>
      <c r="D1692" s="22" t="s">
        <v>862</v>
      </c>
      <c r="E1692" s="23">
        <v>44937</v>
      </c>
      <c r="F1692" s="24">
        <v>44927</v>
      </c>
      <c r="G1692" s="25">
        <v>821372</v>
      </c>
      <c r="H1692" s="26" t="s">
        <v>3521</v>
      </c>
      <c r="I1692" s="34" t="s">
        <v>29</v>
      </c>
      <c r="J1692" s="10"/>
      <c r="K1692" s="49"/>
      <c r="L1692" s="40">
        <v>45017</v>
      </c>
      <c r="M1692" s="40">
        <v>45017</v>
      </c>
      <c r="N1692" s="37">
        <v>821372</v>
      </c>
      <c r="O1692" s="37">
        <v>0</v>
      </c>
      <c r="P1692" s="10"/>
      <c r="Q1692" s="10"/>
      <c r="R1692" s="10"/>
      <c r="S1692" s="10"/>
      <c r="T1692" s="10"/>
      <c r="U1692" s="10"/>
      <c r="V1692" s="10"/>
      <c r="W1692" s="52"/>
      <c r="X1692" s="10"/>
      <c r="Y1692" s="10"/>
      <c r="Z1692" s="10"/>
    </row>
    <row r="1693" spans="1:26" ht="14.25" customHeight="1">
      <c r="A1693" s="9">
        <v>1878</v>
      </c>
      <c r="B1693" s="10"/>
      <c r="C1693" s="21">
        <v>230091</v>
      </c>
      <c r="D1693" s="22" t="s">
        <v>862</v>
      </c>
      <c r="E1693" s="23">
        <v>44937</v>
      </c>
      <c r="F1693" s="24">
        <v>44927</v>
      </c>
      <c r="G1693" s="25">
        <v>6280380</v>
      </c>
      <c r="H1693" s="26" t="s">
        <v>3522</v>
      </c>
      <c r="I1693" s="34" t="s">
        <v>29</v>
      </c>
      <c r="J1693" s="10"/>
      <c r="K1693" s="49"/>
      <c r="L1693" s="40">
        <v>45017</v>
      </c>
      <c r="M1693" s="40">
        <v>45017</v>
      </c>
      <c r="N1693" s="37">
        <v>6280380</v>
      </c>
      <c r="O1693" s="37">
        <v>0</v>
      </c>
      <c r="P1693" s="10"/>
      <c r="Q1693" s="10"/>
      <c r="R1693" s="10"/>
      <c r="S1693" s="10"/>
      <c r="T1693" s="10"/>
      <c r="U1693" s="10"/>
      <c r="V1693" s="10"/>
      <c r="W1693" s="52"/>
      <c r="X1693" s="10"/>
      <c r="Y1693" s="10"/>
      <c r="Z1693" s="10"/>
    </row>
    <row r="1694" spans="1:26" ht="14.25" customHeight="1">
      <c r="A1694" s="9">
        <v>1877</v>
      </c>
      <c r="B1694" s="10"/>
      <c r="C1694" s="21">
        <v>230154</v>
      </c>
      <c r="D1694" s="22" t="s">
        <v>862</v>
      </c>
      <c r="E1694" s="23">
        <v>44949</v>
      </c>
      <c r="F1694" s="24">
        <v>44927</v>
      </c>
      <c r="G1694" s="25">
        <v>106615</v>
      </c>
      <c r="H1694" s="26" t="s">
        <v>3523</v>
      </c>
      <c r="I1694" s="34" t="s">
        <v>29</v>
      </c>
      <c r="J1694" s="10"/>
      <c r="K1694" s="49"/>
      <c r="L1694" s="40">
        <v>45017</v>
      </c>
      <c r="M1694" s="40">
        <v>45017</v>
      </c>
      <c r="N1694" s="37">
        <v>106615</v>
      </c>
      <c r="O1694" s="37">
        <v>0</v>
      </c>
      <c r="P1694" s="10"/>
      <c r="Q1694" s="10"/>
      <c r="R1694" s="10"/>
      <c r="S1694" s="10"/>
      <c r="T1694" s="10"/>
      <c r="U1694" s="10"/>
      <c r="V1694" s="10"/>
      <c r="W1694" s="52"/>
      <c r="X1694" s="10"/>
      <c r="Y1694" s="10"/>
      <c r="Z1694" s="10"/>
    </row>
    <row r="1695" spans="1:26" ht="14.25" customHeight="1">
      <c r="A1695" s="9">
        <v>1880</v>
      </c>
      <c r="B1695" s="10"/>
      <c r="C1695" s="21">
        <v>230156</v>
      </c>
      <c r="D1695" s="22" t="s">
        <v>862</v>
      </c>
      <c r="E1695" s="23">
        <v>44949</v>
      </c>
      <c r="F1695" s="24">
        <v>44927</v>
      </c>
      <c r="G1695" s="25">
        <v>1476300</v>
      </c>
      <c r="H1695" s="26" t="s">
        <v>3524</v>
      </c>
      <c r="I1695" s="34" t="s">
        <v>29</v>
      </c>
      <c r="J1695" s="10"/>
      <c r="K1695" s="49"/>
      <c r="L1695" s="40">
        <v>45017</v>
      </c>
      <c r="M1695" s="40">
        <v>45017</v>
      </c>
      <c r="N1695" s="37">
        <v>1476300</v>
      </c>
      <c r="O1695" s="37">
        <v>0</v>
      </c>
      <c r="P1695" s="10"/>
      <c r="Q1695" s="10"/>
      <c r="R1695" s="10"/>
      <c r="S1695" s="10"/>
      <c r="T1695" s="10"/>
      <c r="U1695" s="10"/>
      <c r="V1695" s="10"/>
      <c r="W1695" s="52"/>
      <c r="X1695" s="10"/>
      <c r="Y1695" s="10"/>
      <c r="Z1695" s="10"/>
    </row>
    <row r="1696" spans="1:26" ht="14.25" customHeight="1">
      <c r="A1696" s="9">
        <v>1881</v>
      </c>
      <c r="B1696" s="10"/>
      <c r="C1696" s="21">
        <v>230194</v>
      </c>
      <c r="D1696" s="22" t="s">
        <v>862</v>
      </c>
      <c r="E1696" s="23">
        <v>44956</v>
      </c>
      <c r="F1696" s="24">
        <v>44927</v>
      </c>
      <c r="G1696" s="25">
        <v>581085</v>
      </c>
      <c r="H1696" s="26" t="s">
        <v>3525</v>
      </c>
      <c r="I1696" s="34" t="s">
        <v>29</v>
      </c>
      <c r="J1696" s="10"/>
      <c r="K1696" s="49"/>
      <c r="L1696" s="40">
        <v>45017</v>
      </c>
      <c r="M1696" s="40">
        <v>45017</v>
      </c>
      <c r="N1696" s="37">
        <v>581085</v>
      </c>
      <c r="O1696" s="37">
        <v>0</v>
      </c>
      <c r="P1696" s="10"/>
      <c r="Q1696" s="10"/>
      <c r="R1696" s="10"/>
      <c r="S1696" s="10"/>
      <c r="T1696" s="10"/>
      <c r="U1696" s="10"/>
      <c r="V1696" s="10"/>
      <c r="W1696" s="52"/>
      <c r="X1696" s="10"/>
      <c r="Y1696" s="10"/>
      <c r="Z1696" s="10"/>
    </row>
    <row r="1697" spans="1:26" ht="14.25" customHeight="1">
      <c r="A1697" s="9">
        <v>1882</v>
      </c>
      <c r="B1697" s="10"/>
      <c r="C1697" s="21">
        <v>230274</v>
      </c>
      <c r="D1697" s="22" t="s">
        <v>862</v>
      </c>
      <c r="E1697" s="23">
        <v>44959</v>
      </c>
      <c r="F1697" s="24">
        <v>44958</v>
      </c>
      <c r="G1697" s="25">
        <v>625338</v>
      </c>
      <c r="H1697" s="26" t="s">
        <v>3526</v>
      </c>
      <c r="I1697" s="34" t="s">
        <v>29</v>
      </c>
      <c r="J1697" s="25">
        <v>15372691</v>
      </c>
      <c r="K1697" s="40">
        <v>45071</v>
      </c>
      <c r="L1697" s="40">
        <v>45071</v>
      </c>
      <c r="M1697" s="40">
        <v>45072</v>
      </c>
      <c r="N1697" s="37">
        <v>625338</v>
      </c>
      <c r="O1697" s="37">
        <v>0</v>
      </c>
      <c r="P1697" s="10"/>
      <c r="Q1697" s="10"/>
      <c r="R1697" s="10"/>
      <c r="S1697" s="10"/>
      <c r="T1697" s="10"/>
      <c r="U1697" s="10"/>
      <c r="V1697" s="10"/>
      <c r="W1697" s="52"/>
      <c r="X1697" s="10"/>
      <c r="Y1697" s="10"/>
      <c r="Z1697" s="10"/>
    </row>
    <row r="1698" spans="1:26" ht="14.25" customHeight="1">
      <c r="A1698" s="9">
        <v>1887</v>
      </c>
      <c r="B1698" s="10"/>
      <c r="C1698" s="21">
        <v>230275</v>
      </c>
      <c r="D1698" s="22" t="s">
        <v>862</v>
      </c>
      <c r="E1698" s="23">
        <v>44960</v>
      </c>
      <c r="F1698" s="24">
        <v>44958</v>
      </c>
      <c r="G1698" s="25">
        <v>710400</v>
      </c>
      <c r="H1698" s="26" t="s">
        <v>3527</v>
      </c>
      <c r="I1698" s="34" t="s">
        <v>29</v>
      </c>
      <c r="J1698" s="10"/>
      <c r="K1698" s="39"/>
      <c r="L1698" s="40">
        <v>45071</v>
      </c>
      <c r="M1698" s="40">
        <v>45072</v>
      </c>
      <c r="N1698" s="37">
        <v>710400</v>
      </c>
      <c r="O1698" s="37">
        <v>0</v>
      </c>
      <c r="P1698" s="10"/>
      <c r="Q1698" s="10"/>
      <c r="R1698" s="10"/>
      <c r="S1698" s="10"/>
      <c r="T1698" s="10"/>
      <c r="U1698" s="10"/>
      <c r="V1698" s="10"/>
      <c r="W1698" s="52"/>
      <c r="X1698" s="10"/>
      <c r="Y1698" s="10"/>
      <c r="Z1698" s="10"/>
    </row>
    <row r="1699" spans="1:26" ht="14.25" customHeight="1">
      <c r="A1699" s="9">
        <v>1883</v>
      </c>
      <c r="B1699" s="10"/>
      <c r="C1699" s="21">
        <v>230273</v>
      </c>
      <c r="D1699" s="22" t="s">
        <v>862</v>
      </c>
      <c r="E1699" s="23">
        <v>44961</v>
      </c>
      <c r="F1699" s="24">
        <v>44958</v>
      </c>
      <c r="G1699" s="25">
        <v>1494060</v>
      </c>
      <c r="H1699" s="26" t="s">
        <v>3528</v>
      </c>
      <c r="I1699" s="34" t="s">
        <v>29</v>
      </c>
      <c r="J1699" s="10"/>
      <c r="K1699" s="39"/>
      <c r="L1699" s="40">
        <v>45071</v>
      </c>
      <c r="M1699" s="40">
        <v>45072</v>
      </c>
      <c r="N1699" s="37">
        <v>1494060</v>
      </c>
      <c r="O1699" s="37">
        <v>0</v>
      </c>
      <c r="P1699" s="10"/>
      <c r="Q1699" s="10"/>
      <c r="R1699" s="10"/>
      <c r="S1699" s="10"/>
      <c r="T1699" s="10"/>
      <c r="U1699" s="10"/>
      <c r="V1699" s="10"/>
      <c r="W1699" s="10"/>
      <c r="X1699" s="10"/>
      <c r="Y1699" s="10"/>
      <c r="Z1699" s="10"/>
    </row>
    <row r="1700" spans="1:26" ht="14.25" customHeight="1">
      <c r="A1700" s="9">
        <v>1884</v>
      </c>
      <c r="B1700" s="10"/>
      <c r="C1700" s="21">
        <v>230272</v>
      </c>
      <c r="D1700" s="22" t="s">
        <v>862</v>
      </c>
      <c r="E1700" s="23">
        <v>44963</v>
      </c>
      <c r="F1700" s="24">
        <v>44958</v>
      </c>
      <c r="G1700" s="25">
        <v>2760303</v>
      </c>
      <c r="H1700" s="26" t="s">
        <v>3529</v>
      </c>
      <c r="I1700" s="34" t="s">
        <v>29</v>
      </c>
      <c r="J1700" s="10"/>
      <c r="K1700" s="39"/>
      <c r="L1700" s="40">
        <v>45071</v>
      </c>
      <c r="M1700" s="40">
        <v>45072</v>
      </c>
      <c r="N1700" s="37">
        <v>2760303</v>
      </c>
      <c r="O1700" s="37">
        <v>0</v>
      </c>
      <c r="P1700" s="41"/>
      <c r="Q1700" s="41"/>
      <c r="R1700" s="41"/>
      <c r="S1700" s="41"/>
      <c r="T1700" s="41"/>
      <c r="U1700" s="41"/>
      <c r="V1700" s="41"/>
      <c r="W1700" s="41"/>
      <c r="X1700" s="41"/>
      <c r="Y1700" s="41"/>
      <c r="Z1700" s="41"/>
    </row>
    <row r="1701" spans="1:26" ht="14.25" customHeight="1">
      <c r="A1701" s="9">
        <v>1885</v>
      </c>
      <c r="B1701" s="10"/>
      <c r="C1701" s="21">
        <v>230305</v>
      </c>
      <c r="D1701" s="22" t="s">
        <v>862</v>
      </c>
      <c r="E1701" s="23">
        <v>44967</v>
      </c>
      <c r="F1701" s="24">
        <v>44958</v>
      </c>
      <c r="G1701" s="25">
        <v>630369</v>
      </c>
      <c r="H1701" s="26" t="s">
        <v>3530</v>
      </c>
      <c r="I1701" s="34" t="s">
        <v>29</v>
      </c>
      <c r="J1701" s="10"/>
      <c r="K1701" s="39"/>
      <c r="L1701" s="40">
        <v>45071</v>
      </c>
      <c r="M1701" s="40">
        <v>45072</v>
      </c>
      <c r="N1701" s="37">
        <v>630369</v>
      </c>
      <c r="O1701" s="37">
        <v>0</v>
      </c>
      <c r="P1701" s="10"/>
      <c r="Q1701" s="10"/>
      <c r="R1701" s="10"/>
      <c r="S1701" s="10"/>
      <c r="T1701" s="10"/>
      <c r="U1701" s="10"/>
      <c r="V1701" s="10"/>
      <c r="W1701" s="10"/>
      <c r="X1701" s="10"/>
      <c r="Y1701" s="10"/>
      <c r="Z1701" s="10"/>
    </row>
    <row r="1702" spans="1:26" ht="14.25" customHeight="1">
      <c r="A1702" s="9">
        <v>1888</v>
      </c>
      <c r="B1702" s="10"/>
      <c r="C1702" s="21">
        <v>230388</v>
      </c>
      <c r="D1702" s="22" t="s">
        <v>862</v>
      </c>
      <c r="E1702" s="23">
        <v>44970</v>
      </c>
      <c r="F1702" s="24">
        <v>44958</v>
      </c>
      <c r="G1702" s="25">
        <v>4162500</v>
      </c>
      <c r="H1702" s="26" t="s">
        <v>3531</v>
      </c>
      <c r="I1702" s="34" t="s">
        <v>29</v>
      </c>
      <c r="J1702" s="10"/>
      <c r="K1702" s="39"/>
      <c r="L1702" s="40">
        <v>45071</v>
      </c>
      <c r="M1702" s="40">
        <v>45072</v>
      </c>
      <c r="N1702" s="37">
        <v>4162500</v>
      </c>
      <c r="O1702" s="37">
        <v>0</v>
      </c>
      <c r="P1702" s="10"/>
      <c r="Q1702" s="10"/>
      <c r="R1702" s="10"/>
      <c r="S1702" s="10"/>
      <c r="T1702" s="10"/>
      <c r="U1702" s="10"/>
      <c r="V1702" s="10"/>
      <c r="W1702" s="10"/>
      <c r="X1702" s="10"/>
      <c r="Y1702" s="10"/>
      <c r="Z1702" s="10"/>
    </row>
    <row r="1703" spans="1:26" ht="14.25" customHeight="1">
      <c r="A1703" s="9">
        <v>1886</v>
      </c>
      <c r="B1703" s="10"/>
      <c r="C1703" s="21">
        <v>230389</v>
      </c>
      <c r="D1703" s="22" t="s">
        <v>862</v>
      </c>
      <c r="E1703" s="23">
        <v>44970</v>
      </c>
      <c r="F1703" s="24">
        <v>44958</v>
      </c>
      <c r="G1703" s="25">
        <v>494671</v>
      </c>
      <c r="H1703" s="26" t="s">
        <v>3532</v>
      </c>
      <c r="I1703" s="34" t="s">
        <v>29</v>
      </c>
      <c r="J1703" s="10"/>
      <c r="K1703" s="39"/>
      <c r="L1703" s="40">
        <v>45071</v>
      </c>
      <c r="M1703" s="40">
        <v>45072</v>
      </c>
      <c r="N1703" s="37">
        <v>494671</v>
      </c>
      <c r="O1703" s="37">
        <v>0</v>
      </c>
      <c r="P1703" s="10"/>
      <c r="Q1703" s="10"/>
      <c r="R1703" s="10"/>
      <c r="S1703" s="10"/>
      <c r="T1703" s="10"/>
      <c r="U1703" s="10"/>
      <c r="V1703" s="10"/>
      <c r="W1703" s="10"/>
      <c r="X1703" s="10"/>
      <c r="Y1703" s="10"/>
      <c r="Z1703" s="10"/>
    </row>
    <row r="1704" spans="1:26" ht="14.25" customHeight="1">
      <c r="A1704" s="9">
        <v>1889</v>
      </c>
      <c r="B1704" s="10"/>
      <c r="C1704" s="21">
        <v>230439</v>
      </c>
      <c r="D1704" s="22" t="s">
        <v>862</v>
      </c>
      <c r="E1704" s="23">
        <v>44981</v>
      </c>
      <c r="F1704" s="24">
        <v>44958</v>
      </c>
      <c r="G1704" s="25">
        <v>4495050</v>
      </c>
      <c r="H1704" s="26" t="s">
        <v>3533</v>
      </c>
      <c r="I1704" s="34" t="s">
        <v>29</v>
      </c>
      <c r="J1704" s="10"/>
      <c r="K1704" s="39"/>
      <c r="L1704" s="40">
        <v>45071</v>
      </c>
      <c r="M1704" s="40">
        <v>45072</v>
      </c>
      <c r="N1704" s="37">
        <v>4495050</v>
      </c>
      <c r="O1704" s="37">
        <v>0</v>
      </c>
      <c r="P1704" s="10"/>
      <c r="Q1704" s="10"/>
      <c r="R1704" s="10"/>
      <c r="S1704" s="10"/>
      <c r="T1704" s="10"/>
      <c r="U1704" s="10"/>
      <c r="V1704" s="10"/>
      <c r="W1704" s="10"/>
      <c r="X1704" s="10"/>
      <c r="Y1704" s="10"/>
      <c r="Z1704" s="10"/>
    </row>
    <row r="1705" spans="1:26" ht="14.25" customHeight="1">
      <c r="A1705" s="9">
        <v>1890</v>
      </c>
      <c r="B1705" s="10"/>
      <c r="C1705" s="21">
        <v>230543</v>
      </c>
      <c r="D1705" s="22" t="s">
        <v>862</v>
      </c>
      <c r="E1705" s="23">
        <v>44995</v>
      </c>
      <c r="F1705" s="24">
        <v>44986</v>
      </c>
      <c r="G1705" s="25">
        <v>446200</v>
      </c>
      <c r="H1705" s="26" t="s">
        <v>3534</v>
      </c>
      <c r="I1705" s="233" t="s">
        <v>29</v>
      </c>
      <c r="J1705" s="25">
        <v>4908062</v>
      </c>
      <c r="K1705" s="40">
        <v>45092</v>
      </c>
      <c r="L1705" s="40">
        <v>45093</v>
      </c>
      <c r="M1705" s="40">
        <v>45093</v>
      </c>
      <c r="N1705" s="37">
        <v>446200</v>
      </c>
      <c r="O1705" s="37">
        <v>0</v>
      </c>
      <c r="P1705" s="10"/>
      <c r="Q1705" s="10"/>
      <c r="R1705" s="10"/>
      <c r="S1705" s="10"/>
      <c r="T1705" s="10"/>
      <c r="U1705" s="10"/>
      <c r="V1705" s="10"/>
      <c r="W1705" s="10"/>
      <c r="X1705" s="10"/>
      <c r="Y1705" s="10"/>
      <c r="Z1705" s="10"/>
    </row>
    <row r="1706" spans="1:26" ht="14.25" customHeight="1">
      <c r="A1706" s="9">
        <v>1898</v>
      </c>
      <c r="B1706" s="10"/>
      <c r="C1706" s="21">
        <v>230543</v>
      </c>
      <c r="D1706" s="22" t="s">
        <v>862</v>
      </c>
      <c r="E1706" s="23">
        <v>44995</v>
      </c>
      <c r="F1706" s="24">
        <v>44986</v>
      </c>
      <c r="G1706" s="25">
        <v>20000</v>
      </c>
      <c r="H1706" s="26" t="s">
        <v>3534</v>
      </c>
      <c r="I1706" s="233" t="s">
        <v>29</v>
      </c>
      <c r="J1706" s="10"/>
      <c r="K1706" s="39"/>
      <c r="L1706" s="40">
        <v>45105</v>
      </c>
      <c r="M1706" s="40">
        <v>45106</v>
      </c>
      <c r="N1706" s="37">
        <v>20000</v>
      </c>
      <c r="O1706" s="37">
        <v>0</v>
      </c>
      <c r="P1706" s="10"/>
      <c r="Q1706" s="10"/>
      <c r="R1706" s="10"/>
      <c r="S1706" s="10"/>
      <c r="T1706" s="10"/>
      <c r="U1706" s="10"/>
      <c r="V1706" s="10"/>
      <c r="W1706" s="10"/>
      <c r="X1706" s="10"/>
      <c r="Y1706" s="10"/>
      <c r="Z1706" s="10"/>
    </row>
    <row r="1707" spans="1:26" ht="14.25" customHeight="1">
      <c r="A1707" s="9">
        <v>1891</v>
      </c>
      <c r="B1707" s="10"/>
      <c r="C1707" s="21">
        <v>230544</v>
      </c>
      <c r="D1707" s="22" t="s">
        <v>862</v>
      </c>
      <c r="E1707" s="23">
        <v>44995</v>
      </c>
      <c r="F1707" s="24">
        <v>44986</v>
      </c>
      <c r="G1707" s="25">
        <v>181684</v>
      </c>
      <c r="H1707" s="26" t="s">
        <v>3535</v>
      </c>
      <c r="I1707" s="233" t="s">
        <v>29</v>
      </c>
      <c r="J1707" s="10"/>
      <c r="K1707" s="39"/>
      <c r="L1707" s="40">
        <v>45093</v>
      </c>
      <c r="M1707" s="40">
        <v>45093</v>
      </c>
      <c r="N1707" s="37">
        <v>181684</v>
      </c>
      <c r="O1707" s="37">
        <v>0</v>
      </c>
      <c r="P1707" s="10"/>
      <c r="Q1707" s="10"/>
      <c r="R1707" s="10"/>
      <c r="S1707" s="10"/>
      <c r="T1707" s="10"/>
      <c r="U1707" s="10"/>
      <c r="V1707" s="10"/>
      <c r="W1707" s="10"/>
      <c r="X1707" s="10"/>
      <c r="Y1707" s="10"/>
      <c r="Z1707" s="10"/>
    </row>
    <row r="1708" spans="1:26" ht="14.25" customHeight="1">
      <c r="A1708" s="9">
        <v>1892</v>
      </c>
      <c r="B1708" s="10"/>
      <c r="C1708" s="21">
        <v>230570</v>
      </c>
      <c r="D1708" s="22" t="s">
        <v>862</v>
      </c>
      <c r="E1708" s="23">
        <v>45000</v>
      </c>
      <c r="F1708" s="24">
        <v>44986</v>
      </c>
      <c r="G1708" s="25">
        <v>810300</v>
      </c>
      <c r="H1708" s="26" t="s">
        <v>3536</v>
      </c>
      <c r="I1708" s="233" t="s">
        <v>29</v>
      </c>
      <c r="J1708" s="10"/>
      <c r="K1708" s="39"/>
      <c r="L1708" s="40">
        <v>45093</v>
      </c>
      <c r="M1708" s="40">
        <v>45093</v>
      </c>
      <c r="N1708" s="37">
        <v>810300</v>
      </c>
      <c r="O1708" s="37">
        <v>0</v>
      </c>
      <c r="P1708" s="10"/>
      <c r="Q1708" s="10"/>
      <c r="R1708" s="10"/>
      <c r="S1708" s="10"/>
      <c r="T1708" s="10"/>
      <c r="U1708" s="10"/>
      <c r="V1708" s="10"/>
      <c r="W1708" s="10"/>
      <c r="X1708" s="10"/>
      <c r="Y1708" s="10"/>
      <c r="Z1708" s="10"/>
    </row>
    <row r="1709" spans="1:26" ht="14.25" customHeight="1">
      <c r="A1709" s="9">
        <v>1893</v>
      </c>
      <c r="B1709" s="10"/>
      <c r="C1709" s="21">
        <v>230647</v>
      </c>
      <c r="D1709" s="22" t="s">
        <v>862</v>
      </c>
      <c r="E1709" s="23">
        <v>45012</v>
      </c>
      <c r="F1709" s="24">
        <v>44986</v>
      </c>
      <c r="G1709" s="25">
        <v>1367776</v>
      </c>
      <c r="H1709" s="26" t="s">
        <v>3537</v>
      </c>
      <c r="I1709" s="233" t="s">
        <v>29</v>
      </c>
      <c r="J1709" s="10"/>
      <c r="K1709" s="39"/>
      <c r="L1709" s="40">
        <v>45093</v>
      </c>
      <c r="M1709" s="40">
        <v>45093</v>
      </c>
      <c r="N1709" s="37">
        <v>1367776</v>
      </c>
      <c r="O1709" s="37">
        <v>0</v>
      </c>
      <c r="P1709" s="10"/>
      <c r="Q1709" s="10"/>
      <c r="R1709" s="10"/>
      <c r="S1709" s="10"/>
      <c r="T1709" s="10"/>
      <c r="U1709" s="10"/>
      <c r="V1709" s="10"/>
      <c r="W1709" s="10"/>
      <c r="X1709" s="10"/>
      <c r="Y1709" s="10"/>
      <c r="Z1709" s="10"/>
    </row>
    <row r="1710" spans="1:26" ht="14.25" customHeight="1">
      <c r="A1710" s="9">
        <v>1894</v>
      </c>
      <c r="B1710" s="10"/>
      <c r="C1710" s="21">
        <v>230660</v>
      </c>
      <c r="D1710" s="22" t="s">
        <v>862</v>
      </c>
      <c r="E1710" s="23">
        <v>45013</v>
      </c>
      <c r="F1710" s="24">
        <v>44986</v>
      </c>
      <c r="G1710" s="25">
        <v>463980</v>
      </c>
      <c r="H1710" s="26" t="s">
        <v>3538</v>
      </c>
      <c r="I1710" s="233" t="s">
        <v>29</v>
      </c>
      <c r="J1710" s="10"/>
      <c r="K1710" s="39"/>
      <c r="L1710" s="40">
        <v>45093</v>
      </c>
      <c r="M1710" s="40">
        <v>45093</v>
      </c>
      <c r="N1710" s="37">
        <v>463980</v>
      </c>
      <c r="O1710" s="37">
        <v>0</v>
      </c>
      <c r="P1710" s="10"/>
      <c r="Q1710" s="10"/>
      <c r="R1710" s="10"/>
      <c r="S1710" s="10"/>
      <c r="T1710" s="10"/>
      <c r="U1710" s="10"/>
      <c r="V1710" s="10"/>
      <c r="W1710" s="10"/>
      <c r="X1710" s="10"/>
      <c r="Y1710" s="10"/>
      <c r="Z1710" s="10"/>
    </row>
    <row r="1711" spans="1:26" ht="14.25" customHeight="1">
      <c r="A1711" s="9">
        <v>1895</v>
      </c>
      <c r="B1711" s="10"/>
      <c r="C1711" s="21">
        <v>230736</v>
      </c>
      <c r="D1711" s="22" t="s">
        <v>862</v>
      </c>
      <c r="E1711" s="23">
        <v>45015</v>
      </c>
      <c r="F1711" s="24">
        <v>44986</v>
      </c>
      <c r="G1711" s="25">
        <v>1438322</v>
      </c>
      <c r="H1711" s="26" t="s">
        <v>3539</v>
      </c>
      <c r="I1711" s="233" t="s">
        <v>29</v>
      </c>
      <c r="J1711" s="10"/>
      <c r="K1711" s="39"/>
      <c r="L1711" s="40">
        <v>45093</v>
      </c>
      <c r="M1711" s="40">
        <v>45093</v>
      </c>
      <c r="N1711" s="37">
        <v>1438322</v>
      </c>
      <c r="O1711" s="37">
        <v>0</v>
      </c>
      <c r="P1711" s="10"/>
      <c r="Q1711" s="10"/>
      <c r="R1711" s="10"/>
      <c r="S1711" s="10"/>
      <c r="T1711" s="10"/>
      <c r="U1711" s="10"/>
      <c r="V1711" s="10"/>
      <c r="W1711" s="10"/>
      <c r="X1711" s="10"/>
      <c r="Y1711" s="10"/>
      <c r="Z1711" s="10"/>
    </row>
    <row r="1712" spans="1:26" ht="14.25" customHeight="1">
      <c r="A1712" s="9">
        <v>1896</v>
      </c>
      <c r="B1712" s="10"/>
      <c r="C1712" s="21">
        <v>230716</v>
      </c>
      <c r="D1712" s="22" t="s">
        <v>862</v>
      </c>
      <c r="E1712" s="23">
        <v>45016</v>
      </c>
      <c r="F1712" s="24">
        <v>44986</v>
      </c>
      <c r="G1712" s="25">
        <v>199800</v>
      </c>
      <c r="H1712" s="26" t="s">
        <v>3540</v>
      </c>
      <c r="I1712" s="233" t="s">
        <v>29</v>
      </c>
      <c r="J1712" s="10"/>
      <c r="K1712" s="39"/>
      <c r="L1712" s="40">
        <v>45093</v>
      </c>
      <c r="M1712" s="40">
        <v>45093</v>
      </c>
      <c r="N1712" s="37">
        <v>199800</v>
      </c>
      <c r="O1712" s="37">
        <v>0</v>
      </c>
      <c r="P1712" s="10"/>
      <c r="Q1712" s="10"/>
      <c r="R1712" s="10"/>
      <c r="S1712" s="10"/>
      <c r="T1712" s="10"/>
      <c r="U1712" s="10"/>
      <c r="V1712" s="10"/>
      <c r="W1712" s="10"/>
      <c r="X1712" s="10"/>
      <c r="Y1712" s="10"/>
      <c r="Z1712" s="10"/>
    </row>
    <row r="1713" spans="1:26" ht="14.25" customHeight="1">
      <c r="A1713" s="9">
        <v>1897</v>
      </c>
      <c r="B1713" s="10"/>
      <c r="C1713" s="21">
        <v>230766</v>
      </c>
      <c r="D1713" s="22" t="s">
        <v>862</v>
      </c>
      <c r="E1713" s="23">
        <v>45017</v>
      </c>
      <c r="F1713" s="24">
        <v>45017</v>
      </c>
      <c r="G1713" s="25">
        <v>1770633</v>
      </c>
      <c r="H1713" s="26" t="s">
        <v>3541</v>
      </c>
      <c r="I1713" s="233" t="s">
        <v>29</v>
      </c>
      <c r="J1713" s="25">
        <v>4207543</v>
      </c>
      <c r="K1713" s="40">
        <v>45102</v>
      </c>
      <c r="L1713" s="40">
        <v>45105</v>
      </c>
      <c r="M1713" s="40">
        <v>45106</v>
      </c>
      <c r="N1713" s="37">
        <v>1770633</v>
      </c>
      <c r="O1713" s="37">
        <v>0</v>
      </c>
      <c r="P1713" s="41"/>
      <c r="Q1713" s="41"/>
      <c r="R1713" s="41"/>
      <c r="S1713" s="41"/>
      <c r="T1713" s="41"/>
      <c r="U1713" s="41"/>
      <c r="V1713" s="41"/>
      <c r="W1713" s="41"/>
      <c r="X1713" s="41"/>
      <c r="Y1713" s="41"/>
      <c r="Z1713" s="41"/>
    </row>
    <row r="1714" spans="1:26" ht="14.25" customHeight="1">
      <c r="A1714" s="9">
        <v>1899</v>
      </c>
      <c r="B1714" s="10"/>
      <c r="C1714" s="21">
        <v>230767</v>
      </c>
      <c r="D1714" s="22" t="s">
        <v>862</v>
      </c>
      <c r="E1714" s="23">
        <v>45017</v>
      </c>
      <c r="F1714" s="24">
        <v>45017</v>
      </c>
      <c r="G1714" s="25">
        <v>760350</v>
      </c>
      <c r="H1714" s="26" t="s">
        <v>3542</v>
      </c>
      <c r="I1714" s="233" t="s">
        <v>29</v>
      </c>
      <c r="J1714" s="10"/>
      <c r="K1714" s="39"/>
      <c r="L1714" s="40">
        <v>45105</v>
      </c>
      <c r="M1714" s="40">
        <v>45106</v>
      </c>
      <c r="N1714" s="37">
        <v>760350</v>
      </c>
      <c r="O1714" s="37">
        <v>0</v>
      </c>
      <c r="P1714" s="10"/>
      <c r="Q1714" s="10"/>
      <c r="R1714" s="10"/>
      <c r="S1714" s="10"/>
      <c r="T1714" s="10"/>
      <c r="U1714" s="10"/>
      <c r="V1714" s="10"/>
      <c r="W1714" s="10"/>
      <c r="X1714" s="10"/>
      <c r="Y1714" s="10"/>
      <c r="Z1714" s="10"/>
    </row>
    <row r="1715" spans="1:26" ht="14.25" customHeight="1">
      <c r="A1715" s="9">
        <v>1900</v>
      </c>
      <c r="B1715" s="10"/>
      <c r="C1715" s="21">
        <v>230765</v>
      </c>
      <c r="D1715" s="22" t="s">
        <v>862</v>
      </c>
      <c r="E1715" s="23">
        <v>45021</v>
      </c>
      <c r="F1715" s="24">
        <v>45017</v>
      </c>
      <c r="G1715" s="25">
        <v>1221000</v>
      </c>
      <c r="H1715" s="26" t="s">
        <v>3543</v>
      </c>
      <c r="I1715" s="233" t="s">
        <v>29</v>
      </c>
      <c r="J1715" s="10"/>
      <c r="K1715" s="39"/>
      <c r="L1715" s="40">
        <v>45105</v>
      </c>
      <c r="M1715" s="40">
        <v>45106</v>
      </c>
      <c r="N1715" s="37">
        <v>1221000</v>
      </c>
      <c r="O1715" s="37">
        <v>0</v>
      </c>
      <c r="P1715" s="10"/>
      <c r="Q1715" s="10"/>
      <c r="R1715" s="10"/>
      <c r="S1715" s="10"/>
      <c r="T1715" s="10"/>
      <c r="U1715" s="10"/>
      <c r="V1715" s="10"/>
      <c r="W1715" s="10"/>
      <c r="X1715" s="10"/>
      <c r="Y1715" s="10"/>
      <c r="Z1715" s="10"/>
    </row>
    <row r="1716" spans="1:26" ht="14.25" customHeight="1">
      <c r="A1716" s="9">
        <v>1901</v>
      </c>
      <c r="B1716" s="10"/>
      <c r="C1716" s="21">
        <v>230848</v>
      </c>
      <c r="D1716" s="22" t="s">
        <v>862</v>
      </c>
      <c r="E1716" s="23">
        <v>45031</v>
      </c>
      <c r="F1716" s="24">
        <v>45017</v>
      </c>
      <c r="G1716" s="25">
        <v>246749</v>
      </c>
      <c r="H1716" s="26" t="s">
        <v>3544</v>
      </c>
      <c r="I1716" s="233" t="s">
        <v>29</v>
      </c>
      <c r="J1716" s="10"/>
      <c r="K1716" s="39"/>
      <c r="L1716" s="40">
        <v>45105</v>
      </c>
      <c r="M1716" s="40">
        <v>45106</v>
      </c>
      <c r="N1716" s="37">
        <v>246749</v>
      </c>
      <c r="O1716" s="37">
        <v>0</v>
      </c>
      <c r="P1716" s="10"/>
      <c r="Q1716" s="10"/>
      <c r="R1716" s="10"/>
      <c r="S1716" s="10"/>
      <c r="T1716" s="10"/>
      <c r="U1716" s="10"/>
      <c r="V1716" s="10"/>
      <c r="W1716" s="10"/>
      <c r="X1716" s="10"/>
      <c r="Y1716" s="10"/>
      <c r="Z1716" s="10"/>
    </row>
    <row r="1717" spans="1:26" ht="14.25" customHeight="1">
      <c r="A1717" s="9">
        <v>1902</v>
      </c>
      <c r="B1717" s="10"/>
      <c r="C1717" s="21">
        <v>230855</v>
      </c>
      <c r="D1717" s="22" t="s">
        <v>862</v>
      </c>
      <c r="E1717" s="23">
        <v>45034</v>
      </c>
      <c r="F1717" s="24">
        <v>45017</v>
      </c>
      <c r="G1717" s="25">
        <v>188811</v>
      </c>
      <c r="H1717" s="26" t="s">
        <v>3545</v>
      </c>
      <c r="I1717" s="233" t="s">
        <v>29</v>
      </c>
      <c r="J1717" s="10"/>
      <c r="K1717" s="39"/>
      <c r="L1717" s="40">
        <v>45105</v>
      </c>
      <c r="M1717" s="40">
        <v>45106</v>
      </c>
      <c r="N1717" s="37">
        <v>188811</v>
      </c>
      <c r="O1717" s="37">
        <v>0</v>
      </c>
      <c r="P1717" s="10"/>
      <c r="Q1717" s="10"/>
      <c r="R1717" s="10"/>
      <c r="S1717" s="10"/>
      <c r="T1717" s="10"/>
      <c r="U1717" s="10"/>
      <c r="V1717" s="10"/>
      <c r="W1717" s="10"/>
      <c r="X1717" s="10"/>
      <c r="Y1717" s="10"/>
      <c r="Z1717" s="10"/>
    </row>
    <row r="1718" spans="1:26" ht="14.25" customHeight="1">
      <c r="A1718" s="9">
        <v>1904</v>
      </c>
      <c r="B1718" s="10"/>
      <c r="C1718" s="21">
        <v>230900</v>
      </c>
      <c r="D1718" s="22" t="s">
        <v>862</v>
      </c>
      <c r="E1718" s="23">
        <v>45049</v>
      </c>
      <c r="F1718" s="24">
        <v>45047</v>
      </c>
      <c r="G1718" s="25">
        <v>429880</v>
      </c>
      <c r="H1718" s="26" t="s">
        <v>3546</v>
      </c>
      <c r="I1718" s="233" t="s">
        <v>29</v>
      </c>
      <c r="J1718" s="10"/>
      <c r="K1718" s="39"/>
      <c r="L1718" s="36">
        <v>45199</v>
      </c>
      <c r="M1718" s="36">
        <v>45199</v>
      </c>
      <c r="N1718" s="37">
        <v>429880</v>
      </c>
      <c r="O1718" s="37">
        <v>0</v>
      </c>
      <c r="P1718" s="10"/>
      <c r="Q1718" s="10"/>
      <c r="R1718" s="10"/>
      <c r="S1718" s="10"/>
      <c r="T1718" s="10"/>
      <c r="U1718" s="10"/>
      <c r="V1718" s="10"/>
      <c r="W1718" s="10"/>
      <c r="X1718" s="10"/>
      <c r="Y1718" s="10"/>
      <c r="Z1718" s="10"/>
    </row>
    <row r="1719" spans="1:26" ht="14.25" customHeight="1">
      <c r="A1719" s="9">
        <v>1903</v>
      </c>
      <c r="B1719" s="10"/>
      <c r="C1719" s="21">
        <v>230909</v>
      </c>
      <c r="D1719" s="22" t="s">
        <v>862</v>
      </c>
      <c r="E1719" s="23">
        <v>45049</v>
      </c>
      <c r="F1719" s="24">
        <v>45047</v>
      </c>
      <c r="G1719" s="25">
        <v>183749</v>
      </c>
      <c r="H1719" s="26" t="s">
        <v>3547</v>
      </c>
      <c r="I1719" s="233" t="s">
        <v>29</v>
      </c>
      <c r="J1719" s="27">
        <v>13486308</v>
      </c>
      <c r="K1719" s="39">
        <v>45199</v>
      </c>
      <c r="L1719" s="36">
        <v>45199</v>
      </c>
      <c r="M1719" s="36">
        <v>45199</v>
      </c>
      <c r="N1719" s="37">
        <v>183749</v>
      </c>
      <c r="O1719" s="37">
        <v>0</v>
      </c>
      <c r="P1719" s="10"/>
      <c r="Q1719" s="10"/>
      <c r="R1719" s="10"/>
      <c r="S1719" s="10"/>
      <c r="T1719" s="10"/>
      <c r="U1719" s="10"/>
      <c r="V1719" s="10"/>
      <c r="W1719" s="10"/>
      <c r="X1719" s="10"/>
      <c r="Y1719" s="10"/>
      <c r="Z1719" s="10"/>
    </row>
    <row r="1720" spans="1:26" ht="14.25" customHeight="1">
      <c r="A1720" s="9">
        <v>1905</v>
      </c>
      <c r="B1720" s="10"/>
      <c r="C1720" s="21">
        <v>230929</v>
      </c>
      <c r="D1720" s="22" t="s">
        <v>862</v>
      </c>
      <c r="E1720" s="23">
        <v>45054</v>
      </c>
      <c r="F1720" s="24">
        <v>45047</v>
      </c>
      <c r="G1720" s="25">
        <v>4884000</v>
      </c>
      <c r="H1720" s="26" t="s">
        <v>3548</v>
      </c>
      <c r="I1720" s="233" t="s">
        <v>29</v>
      </c>
      <c r="J1720" s="10"/>
      <c r="K1720" s="39"/>
      <c r="L1720" s="36">
        <v>45199</v>
      </c>
      <c r="M1720" s="36">
        <v>45199</v>
      </c>
      <c r="N1720" s="37">
        <v>4884000</v>
      </c>
      <c r="O1720" s="37">
        <v>0</v>
      </c>
      <c r="P1720" s="10"/>
      <c r="Q1720" s="10"/>
      <c r="R1720" s="10"/>
      <c r="S1720" s="10"/>
      <c r="T1720" s="10"/>
      <c r="U1720" s="10"/>
      <c r="V1720" s="10"/>
      <c r="W1720" s="10"/>
      <c r="X1720" s="10"/>
      <c r="Y1720" s="10"/>
      <c r="Z1720" s="10"/>
    </row>
    <row r="1721" spans="1:26" ht="14.25" customHeight="1">
      <c r="A1721" s="9">
        <v>1906</v>
      </c>
      <c r="B1721" s="10"/>
      <c r="C1721" s="21">
        <v>230951</v>
      </c>
      <c r="D1721" s="22" t="s">
        <v>862</v>
      </c>
      <c r="E1721" s="23">
        <v>45056</v>
      </c>
      <c r="F1721" s="24">
        <v>45047</v>
      </c>
      <c r="G1721" s="25">
        <v>348850</v>
      </c>
      <c r="H1721" s="26" t="s">
        <v>3549</v>
      </c>
      <c r="I1721" s="233" t="s">
        <v>29</v>
      </c>
      <c r="J1721" s="10"/>
      <c r="K1721" s="39"/>
      <c r="L1721" s="36">
        <v>45199</v>
      </c>
      <c r="M1721" s="36">
        <v>45199</v>
      </c>
      <c r="N1721" s="37">
        <v>348850</v>
      </c>
      <c r="O1721" s="37">
        <v>0</v>
      </c>
      <c r="P1721" s="10"/>
      <c r="Q1721" s="10"/>
      <c r="R1721" s="10"/>
      <c r="S1721" s="10"/>
      <c r="T1721" s="10"/>
      <c r="U1721" s="10"/>
      <c r="V1721" s="10"/>
      <c r="W1721" s="10"/>
      <c r="X1721" s="10"/>
      <c r="Y1721" s="10"/>
      <c r="Z1721" s="10"/>
    </row>
    <row r="1722" spans="1:26" ht="14.25" customHeight="1">
      <c r="A1722" s="9">
        <v>1907</v>
      </c>
      <c r="B1722" s="10"/>
      <c r="C1722" s="21">
        <v>230964</v>
      </c>
      <c r="D1722" s="22" t="s">
        <v>862</v>
      </c>
      <c r="E1722" s="23">
        <v>45059</v>
      </c>
      <c r="F1722" s="24">
        <v>45047</v>
      </c>
      <c r="G1722" s="25">
        <v>535020</v>
      </c>
      <c r="H1722" s="26" t="s">
        <v>3550</v>
      </c>
      <c r="I1722" s="233" t="s">
        <v>29</v>
      </c>
      <c r="J1722" s="10"/>
      <c r="K1722" s="39"/>
      <c r="L1722" s="36">
        <v>45199</v>
      </c>
      <c r="M1722" s="36">
        <v>45199</v>
      </c>
      <c r="N1722" s="37">
        <v>535020</v>
      </c>
      <c r="O1722" s="37">
        <v>0</v>
      </c>
      <c r="P1722" s="10"/>
      <c r="Q1722" s="10"/>
      <c r="R1722" s="10"/>
      <c r="S1722" s="10"/>
      <c r="T1722" s="10"/>
      <c r="U1722" s="10"/>
      <c r="V1722" s="10"/>
      <c r="W1722" s="10"/>
      <c r="X1722" s="10"/>
      <c r="Y1722" s="10"/>
      <c r="Z1722" s="10"/>
    </row>
    <row r="1723" spans="1:26" ht="14.25" customHeight="1">
      <c r="A1723" s="9">
        <v>1908</v>
      </c>
      <c r="B1723" s="10"/>
      <c r="C1723" s="21">
        <v>230988</v>
      </c>
      <c r="D1723" s="22" t="s">
        <v>862</v>
      </c>
      <c r="E1723" s="23">
        <v>45065</v>
      </c>
      <c r="F1723" s="24">
        <v>45047</v>
      </c>
      <c r="G1723" s="25">
        <v>1641949</v>
      </c>
      <c r="H1723" s="26" t="s">
        <v>3551</v>
      </c>
      <c r="I1723" s="233" t="s">
        <v>29</v>
      </c>
      <c r="J1723" s="27"/>
      <c r="K1723" s="39"/>
      <c r="L1723" s="36">
        <v>45199</v>
      </c>
      <c r="M1723" s="36">
        <v>45199</v>
      </c>
      <c r="N1723" s="37">
        <v>1641949</v>
      </c>
      <c r="O1723" s="37">
        <v>0</v>
      </c>
      <c r="P1723" s="10"/>
      <c r="Q1723" s="10"/>
      <c r="R1723" s="10"/>
      <c r="S1723" s="10"/>
      <c r="T1723" s="10"/>
      <c r="U1723" s="10"/>
      <c r="V1723" s="10"/>
      <c r="W1723" s="10"/>
      <c r="X1723" s="10"/>
      <c r="Y1723" s="10"/>
      <c r="Z1723" s="10"/>
    </row>
    <row r="1724" spans="1:26" ht="14.25" customHeight="1">
      <c r="A1724" s="9">
        <v>1909</v>
      </c>
      <c r="B1724" s="10"/>
      <c r="C1724" s="21">
        <v>231007</v>
      </c>
      <c r="D1724" s="22" t="s">
        <v>862</v>
      </c>
      <c r="E1724" s="23">
        <v>45065</v>
      </c>
      <c r="F1724" s="24">
        <v>45047</v>
      </c>
      <c r="G1724" s="25">
        <v>421800</v>
      </c>
      <c r="H1724" s="26" t="s">
        <v>3552</v>
      </c>
      <c r="I1724" s="233" t="s">
        <v>29</v>
      </c>
      <c r="J1724" s="10"/>
      <c r="K1724" s="39"/>
      <c r="L1724" s="36">
        <v>45199</v>
      </c>
      <c r="M1724" s="36">
        <v>45199</v>
      </c>
      <c r="N1724" s="37">
        <v>421800</v>
      </c>
      <c r="O1724" s="37">
        <v>0</v>
      </c>
      <c r="P1724" s="10"/>
      <c r="Q1724" s="10"/>
      <c r="R1724" s="10"/>
      <c r="S1724" s="10"/>
      <c r="T1724" s="10"/>
      <c r="U1724" s="10"/>
      <c r="V1724" s="10"/>
      <c r="W1724" s="10"/>
      <c r="X1724" s="10"/>
      <c r="Y1724" s="10"/>
      <c r="Z1724" s="10"/>
    </row>
    <row r="1725" spans="1:26" ht="14.25" customHeight="1">
      <c r="A1725" s="9">
        <v>1910</v>
      </c>
      <c r="B1725" s="10"/>
      <c r="C1725" s="21">
        <v>231008</v>
      </c>
      <c r="D1725" s="22" t="s">
        <v>862</v>
      </c>
      <c r="E1725" s="23">
        <v>45065</v>
      </c>
      <c r="F1725" s="24">
        <v>45047</v>
      </c>
      <c r="G1725" s="25">
        <v>498301</v>
      </c>
      <c r="H1725" s="26" t="s">
        <v>3553</v>
      </c>
      <c r="I1725" s="233" t="s">
        <v>29</v>
      </c>
      <c r="J1725" s="10"/>
      <c r="K1725" s="39"/>
      <c r="L1725" s="36">
        <v>45199</v>
      </c>
      <c r="M1725" s="36">
        <v>45199</v>
      </c>
      <c r="N1725" s="37">
        <v>498301</v>
      </c>
      <c r="O1725" s="37">
        <v>0</v>
      </c>
      <c r="P1725" s="10"/>
      <c r="Q1725" s="10"/>
      <c r="R1725" s="10"/>
      <c r="S1725" s="10"/>
      <c r="T1725" s="10"/>
      <c r="U1725" s="10"/>
      <c r="V1725" s="10"/>
      <c r="W1725" s="10"/>
      <c r="X1725" s="10"/>
      <c r="Y1725" s="10"/>
      <c r="Z1725" s="10"/>
    </row>
    <row r="1726" spans="1:26" ht="14.25" customHeight="1">
      <c r="A1726" s="9">
        <v>1912</v>
      </c>
      <c r="B1726" s="10"/>
      <c r="C1726" s="21">
        <v>231016</v>
      </c>
      <c r="D1726" s="22" t="s">
        <v>862</v>
      </c>
      <c r="E1726" s="23">
        <v>45069</v>
      </c>
      <c r="F1726" s="24">
        <v>45047</v>
      </c>
      <c r="G1726" s="25">
        <v>1703161</v>
      </c>
      <c r="H1726" s="26" t="s">
        <v>3554</v>
      </c>
      <c r="I1726" s="233" t="s">
        <v>29</v>
      </c>
      <c r="J1726" s="10"/>
      <c r="K1726" s="39"/>
      <c r="L1726" s="36">
        <v>45199</v>
      </c>
      <c r="M1726" s="36">
        <v>45199</v>
      </c>
      <c r="N1726" s="37">
        <v>1703161</v>
      </c>
      <c r="O1726" s="37">
        <v>0</v>
      </c>
      <c r="P1726" s="10"/>
      <c r="Q1726" s="10"/>
      <c r="R1726" s="10"/>
      <c r="S1726" s="10"/>
      <c r="T1726" s="10"/>
      <c r="U1726" s="10"/>
      <c r="V1726" s="10"/>
      <c r="W1726" s="10"/>
      <c r="X1726" s="10"/>
      <c r="Y1726" s="10"/>
      <c r="Z1726" s="10"/>
    </row>
    <row r="1727" spans="1:26" ht="14.25" customHeight="1">
      <c r="A1727" s="9">
        <v>1911</v>
      </c>
      <c r="B1727" s="10"/>
      <c r="C1727" s="21">
        <v>231017</v>
      </c>
      <c r="D1727" s="22" t="s">
        <v>862</v>
      </c>
      <c r="E1727" s="23">
        <v>45069</v>
      </c>
      <c r="F1727" s="24">
        <v>45047</v>
      </c>
      <c r="G1727" s="25">
        <v>1478286</v>
      </c>
      <c r="H1727" s="26" t="s">
        <v>3555</v>
      </c>
      <c r="I1727" s="233" t="s">
        <v>29</v>
      </c>
      <c r="J1727" s="10"/>
      <c r="K1727" s="39"/>
      <c r="L1727" s="36">
        <v>45199</v>
      </c>
      <c r="M1727" s="36">
        <v>45199</v>
      </c>
      <c r="N1727" s="37">
        <v>1478286</v>
      </c>
      <c r="O1727" s="37">
        <v>0</v>
      </c>
      <c r="P1727" s="10"/>
      <c r="Q1727" s="10"/>
      <c r="R1727" s="10"/>
      <c r="S1727" s="10"/>
      <c r="T1727" s="10"/>
      <c r="U1727" s="10"/>
      <c r="V1727" s="10"/>
      <c r="W1727" s="10"/>
      <c r="X1727" s="10"/>
      <c r="Y1727" s="10"/>
      <c r="Z1727" s="10"/>
    </row>
    <row r="1728" spans="1:26" ht="14.25" customHeight="1">
      <c r="A1728" s="9">
        <v>1913</v>
      </c>
      <c r="B1728" s="10"/>
      <c r="C1728" s="21">
        <v>231052</v>
      </c>
      <c r="D1728" s="22" t="s">
        <v>862</v>
      </c>
      <c r="E1728" s="23">
        <v>45076</v>
      </c>
      <c r="F1728" s="24">
        <v>45047</v>
      </c>
      <c r="G1728" s="25">
        <v>271209</v>
      </c>
      <c r="H1728" s="26" t="s">
        <v>3556</v>
      </c>
      <c r="I1728" s="233" t="s">
        <v>29</v>
      </c>
      <c r="J1728" s="27"/>
      <c r="K1728" s="39"/>
      <c r="L1728" s="36">
        <v>45199</v>
      </c>
      <c r="M1728" s="36">
        <v>45199</v>
      </c>
      <c r="N1728" s="37">
        <v>271209</v>
      </c>
      <c r="O1728" s="37">
        <v>0</v>
      </c>
      <c r="P1728" s="10"/>
      <c r="Q1728" s="10"/>
      <c r="R1728" s="10"/>
      <c r="S1728" s="10"/>
      <c r="T1728" s="10"/>
      <c r="U1728" s="10"/>
      <c r="V1728" s="10"/>
      <c r="W1728" s="10"/>
      <c r="X1728" s="10"/>
      <c r="Y1728" s="10"/>
      <c r="Z1728" s="10"/>
    </row>
    <row r="1729" spans="1:26" ht="14.25" customHeight="1">
      <c r="A1729" s="9">
        <v>1915</v>
      </c>
      <c r="B1729" s="10"/>
      <c r="C1729" s="21">
        <v>231084</v>
      </c>
      <c r="D1729" s="22" t="s">
        <v>862</v>
      </c>
      <c r="E1729" s="23">
        <v>45079</v>
      </c>
      <c r="F1729" s="24">
        <v>45078</v>
      </c>
      <c r="G1729" s="25">
        <v>1274724</v>
      </c>
      <c r="H1729" s="26" t="s">
        <v>3557</v>
      </c>
      <c r="I1729" s="233" t="s">
        <v>29</v>
      </c>
      <c r="J1729" s="27"/>
      <c r="K1729" s="36">
        <v>45209</v>
      </c>
      <c r="L1729" s="36">
        <v>45209</v>
      </c>
      <c r="M1729" s="36">
        <v>45209</v>
      </c>
      <c r="N1729" s="37">
        <v>1274724</v>
      </c>
      <c r="O1729" s="37">
        <v>0</v>
      </c>
      <c r="P1729" s="10"/>
      <c r="Q1729" s="10"/>
      <c r="R1729" s="10"/>
      <c r="S1729" s="10"/>
      <c r="T1729" s="10"/>
      <c r="U1729" s="10"/>
      <c r="V1729" s="10"/>
      <c r="W1729" s="10"/>
      <c r="X1729" s="10"/>
      <c r="Y1729" s="10"/>
      <c r="Z1729" s="10"/>
    </row>
    <row r="1730" spans="1:26" ht="14.25" customHeight="1">
      <c r="A1730" s="9">
        <v>1914</v>
      </c>
      <c r="B1730" s="10"/>
      <c r="C1730" s="21">
        <v>231106</v>
      </c>
      <c r="D1730" s="22" t="s">
        <v>862</v>
      </c>
      <c r="E1730" s="23">
        <v>45080</v>
      </c>
      <c r="F1730" s="24">
        <v>45078</v>
      </c>
      <c r="G1730" s="25">
        <v>1090103</v>
      </c>
      <c r="H1730" s="26" t="s">
        <v>3558</v>
      </c>
      <c r="I1730" s="233" t="s">
        <v>29</v>
      </c>
      <c r="J1730" s="27"/>
      <c r="K1730" s="39"/>
      <c r="L1730" s="36">
        <v>45199</v>
      </c>
      <c r="M1730" s="36">
        <v>45199</v>
      </c>
      <c r="N1730" s="37">
        <v>1090103</v>
      </c>
      <c r="O1730" s="37">
        <v>0</v>
      </c>
      <c r="P1730" s="10"/>
      <c r="Q1730" s="10"/>
      <c r="R1730" s="10"/>
      <c r="S1730" s="10"/>
      <c r="T1730" s="10"/>
      <c r="U1730" s="10"/>
      <c r="V1730" s="10"/>
      <c r="W1730" s="10"/>
      <c r="X1730" s="10"/>
      <c r="Y1730" s="10"/>
      <c r="Z1730" s="10"/>
    </row>
    <row r="1731" spans="1:26" ht="14.25" customHeight="1">
      <c r="A1731" s="9">
        <v>1916</v>
      </c>
      <c r="B1731" s="10"/>
      <c r="C1731" s="21">
        <v>231122</v>
      </c>
      <c r="D1731" s="22" t="s">
        <v>862</v>
      </c>
      <c r="E1731" s="23">
        <v>45084</v>
      </c>
      <c r="F1731" s="24">
        <v>45078</v>
      </c>
      <c r="G1731" s="25">
        <v>143589</v>
      </c>
      <c r="H1731" s="26" t="s">
        <v>3559</v>
      </c>
      <c r="I1731" s="233" t="s">
        <v>29</v>
      </c>
      <c r="J1731" s="27"/>
      <c r="K1731" s="36">
        <v>45209</v>
      </c>
      <c r="L1731" s="36">
        <v>45209</v>
      </c>
      <c r="M1731" s="36">
        <v>45209</v>
      </c>
      <c r="N1731" s="37">
        <v>143589</v>
      </c>
      <c r="O1731" s="37">
        <v>0</v>
      </c>
      <c r="P1731" s="10"/>
      <c r="Q1731" s="10"/>
      <c r="R1731" s="10"/>
      <c r="S1731" s="10"/>
      <c r="T1731" s="10"/>
      <c r="U1731" s="10"/>
      <c r="V1731" s="10"/>
      <c r="W1731" s="10"/>
      <c r="X1731" s="10"/>
      <c r="Y1731" s="10"/>
      <c r="Z1731" s="10"/>
    </row>
    <row r="1732" spans="1:26" ht="14.25" customHeight="1">
      <c r="A1732" s="9">
        <v>1917</v>
      </c>
      <c r="B1732" s="10"/>
      <c r="C1732" s="21">
        <v>231127</v>
      </c>
      <c r="D1732" s="22" t="s">
        <v>862</v>
      </c>
      <c r="E1732" s="23">
        <v>45085</v>
      </c>
      <c r="F1732" s="24">
        <v>45078</v>
      </c>
      <c r="G1732" s="25">
        <v>377622</v>
      </c>
      <c r="H1732" s="26" t="s">
        <v>3560</v>
      </c>
      <c r="I1732" s="233" t="s">
        <v>29</v>
      </c>
      <c r="J1732" s="27"/>
      <c r="K1732" s="36">
        <v>45209</v>
      </c>
      <c r="L1732" s="36">
        <v>45209</v>
      </c>
      <c r="M1732" s="36">
        <v>45209</v>
      </c>
      <c r="N1732" s="37">
        <v>377622</v>
      </c>
      <c r="O1732" s="37">
        <v>0</v>
      </c>
      <c r="P1732" s="10"/>
      <c r="Q1732" s="10"/>
      <c r="R1732" s="10"/>
      <c r="S1732" s="10"/>
      <c r="T1732" s="10"/>
      <c r="U1732" s="10"/>
      <c r="V1732" s="10"/>
      <c r="W1732" s="10"/>
      <c r="X1732" s="10"/>
      <c r="Y1732" s="10"/>
      <c r="Z1732" s="10"/>
    </row>
    <row r="1733" spans="1:26" ht="14.25" customHeight="1">
      <c r="A1733" s="9">
        <v>1918</v>
      </c>
      <c r="B1733" s="10"/>
      <c r="C1733" s="21">
        <v>231151</v>
      </c>
      <c r="D1733" s="22" t="s">
        <v>862</v>
      </c>
      <c r="E1733" s="23">
        <v>45086</v>
      </c>
      <c r="F1733" s="24">
        <v>45078</v>
      </c>
      <c r="G1733" s="25">
        <v>388500</v>
      </c>
      <c r="H1733" s="26" t="s">
        <v>3561</v>
      </c>
      <c r="I1733" s="233" t="s">
        <v>29</v>
      </c>
      <c r="J1733" s="27"/>
      <c r="K1733" s="36">
        <v>45209</v>
      </c>
      <c r="L1733" s="36">
        <v>45209</v>
      </c>
      <c r="M1733" s="36">
        <v>45209</v>
      </c>
      <c r="N1733" s="37">
        <v>388500</v>
      </c>
      <c r="O1733" s="37">
        <v>0</v>
      </c>
      <c r="P1733" s="10"/>
      <c r="Q1733" s="10"/>
      <c r="R1733" s="10"/>
      <c r="S1733" s="10"/>
      <c r="T1733" s="10"/>
      <c r="U1733" s="10"/>
      <c r="V1733" s="10"/>
      <c r="W1733" s="10"/>
      <c r="X1733" s="10"/>
      <c r="Y1733" s="10"/>
      <c r="Z1733" s="10"/>
    </row>
    <row r="1734" spans="1:26" ht="14.25" customHeight="1">
      <c r="A1734" s="9">
        <v>1919</v>
      </c>
      <c r="B1734" s="10"/>
      <c r="C1734" s="21">
        <v>231193</v>
      </c>
      <c r="D1734" s="22" t="s">
        <v>862</v>
      </c>
      <c r="E1734" s="23">
        <v>45089</v>
      </c>
      <c r="F1734" s="24">
        <v>45078</v>
      </c>
      <c r="G1734" s="25">
        <v>7326000</v>
      </c>
      <c r="H1734" s="26" t="s">
        <v>3562</v>
      </c>
      <c r="I1734" s="233" t="s">
        <v>29</v>
      </c>
      <c r="J1734" s="27">
        <v>20126269</v>
      </c>
      <c r="K1734" s="36">
        <v>45209</v>
      </c>
      <c r="L1734" s="36">
        <v>45209</v>
      </c>
      <c r="M1734" s="36">
        <v>45209</v>
      </c>
      <c r="N1734" s="37">
        <v>7326000</v>
      </c>
      <c r="O1734" s="37">
        <v>0</v>
      </c>
      <c r="P1734" s="10"/>
      <c r="Q1734" s="10"/>
      <c r="R1734" s="10"/>
      <c r="S1734" s="10"/>
      <c r="T1734" s="10"/>
      <c r="U1734" s="10"/>
      <c r="V1734" s="10"/>
      <c r="W1734" s="10"/>
      <c r="X1734" s="10"/>
      <c r="Y1734" s="10"/>
      <c r="Z1734" s="10"/>
    </row>
    <row r="1735" spans="1:26" ht="14.25" customHeight="1">
      <c r="A1735" s="9">
        <v>1920</v>
      </c>
      <c r="B1735" s="10"/>
      <c r="C1735" s="21">
        <v>231178</v>
      </c>
      <c r="D1735" s="22" t="s">
        <v>862</v>
      </c>
      <c r="E1735" s="23">
        <v>45090</v>
      </c>
      <c r="F1735" s="24">
        <v>45078</v>
      </c>
      <c r="G1735" s="25">
        <v>2081250</v>
      </c>
      <c r="H1735" s="26" t="s">
        <v>3563</v>
      </c>
      <c r="I1735" s="233" t="s">
        <v>29</v>
      </c>
      <c r="J1735" s="27"/>
      <c r="K1735" s="36">
        <v>45209</v>
      </c>
      <c r="L1735" s="36">
        <v>45209</v>
      </c>
      <c r="M1735" s="36">
        <v>45209</v>
      </c>
      <c r="N1735" s="37">
        <v>2081250</v>
      </c>
      <c r="O1735" s="37">
        <v>0</v>
      </c>
      <c r="P1735" s="10"/>
      <c r="Q1735" s="10"/>
      <c r="R1735" s="10"/>
      <c r="S1735" s="10"/>
      <c r="T1735" s="10"/>
      <c r="U1735" s="10"/>
      <c r="V1735" s="10"/>
      <c r="W1735" s="10"/>
      <c r="X1735" s="10"/>
      <c r="Y1735" s="10"/>
      <c r="Z1735" s="10"/>
    </row>
    <row r="1736" spans="1:26" ht="14.25" customHeight="1">
      <c r="A1736" s="9">
        <v>1921</v>
      </c>
      <c r="B1736" s="10"/>
      <c r="C1736" s="21">
        <v>231215</v>
      </c>
      <c r="D1736" s="22" t="s">
        <v>862</v>
      </c>
      <c r="E1736" s="23">
        <v>45098</v>
      </c>
      <c r="F1736" s="24">
        <v>45078</v>
      </c>
      <c r="G1736" s="25">
        <v>398753</v>
      </c>
      <c r="H1736" s="26" t="s">
        <v>3564</v>
      </c>
      <c r="I1736" s="233" t="s">
        <v>29</v>
      </c>
      <c r="J1736" s="27"/>
      <c r="K1736" s="36">
        <v>45209</v>
      </c>
      <c r="L1736" s="36">
        <v>45209</v>
      </c>
      <c r="M1736" s="36">
        <v>45209</v>
      </c>
      <c r="N1736" s="37">
        <v>398753</v>
      </c>
      <c r="O1736" s="37">
        <v>0</v>
      </c>
      <c r="P1736" s="10"/>
      <c r="Q1736" s="10"/>
      <c r="R1736" s="10"/>
      <c r="S1736" s="10"/>
      <c r="T1736" s="10"/>
      <c r="U1736" s="10"/>
      <c r="V1736" s="10"/>
      <c r="W1736" s="10"/>
      <c r="X1736" s="10"/>
      <c r="Y1736" s="10"/>
      <c r="Z1736" s="10"/>
    </row>
    <row r="1737" spans="1:26" ht="14.25" customHeight="1">
      <c r="A1737" s="9">
        <v>1922</v>
      </c>
      <c r="B1737" s="10"/>
      <c r="C1737" s="21">
        <v>231258</v>
      </c>
      <c r="D1737" s="22" t="s">
        <v>862</v>
      </c>
      <c r="E1737" s="23">
        <v>45101</v>
      </c>
      <c r="F1737" s="24">
        <v>45078</v>
      </c>
      <c r="G1737" s="25">
        <v>362942</v>
      </c>
      <c r="H1737" s="26" t="s">
        <v>3565</v>
      </c>
      <c r="I1737" s="233" t="s">
        <v>29</v>
      </c>
      <c r="J1737" s="27"/>
      <c r="K1737" s="36">
        <v>45209</v>
      </c>
      <c r="L1737" s="36">
        <v>45209</v>
      </c>
      <c r="M1737" s="36">
        <v>45209</v>
      </c>
      <c r="N1737" s="37">
        <v>362942</v>
      </c>
      <c r="O1737" s="37">
        <v>0</v>
      </c>
      <c r="P1737" s="10"/>
      <c r="Q1737" s="10"/>
      <c r="R1737" s="10"/>
      <c r="S1737" s="10"/>
      <c r="T1737" s="10"/>
      <c r="U1737" s="10"/>
      <c r="V1737" s="10"/>
      <c r="W1737" s="10"/>
      <c r="X1737" s="10"/>
      <c r="Y1737" s="10"/>
      <c r="Z1737" s="10"/>
    </row>
    <row r="1738" spans="1:26" ht="14.25" customHeight="1">
      <c r="A1738" s="9">
        <v>1923</v>
      </c>
      <c r="B1738" s="10"/>
      <c r="C1738" s="21">
        <v>231259</v>
      </c>
      <c r="D1738" s="22" t="s">
        <v>862</v>
      </c>
      <c r="E1738" s="23">
        <v>45101</v>
      </c>
      <c r="F1738" s="24">
        <v>45078</v>
      </c>
      <c r="G1738" s="25">
        <v>793650</v>
      </c>
      <c r="H1738" s="26" t="s">
        <v>3566</v>
      </c>
      <c r="I1738" s="233" t="s">
        <v>29</v>
      </c>
      <c r="J1738" s="27"/>
      <c r="K1738" s="36">
        <v>45209</v>
      </c>
      <c r="L1738" s="36">
        <v>45209</v>
      </c>
      <c r="M1738" s="36">
        <v>45209</v>
      </c>
      <c r="N1738" s="37">
        <v>793650</v>
      </c>
      <c r="O1738" s="37">
        <v>0</v>
      </c>
      <c r="P1738" s="10"/>
      <c r="Q1738" s="10"/>
      <c r="R1738" s="10"/>
      <c r="S1738" s="10"/>
      <c r="T1738" s="10"/>
      <c r="U1738" s="10"/>
      <c r="V1738" s="10"/>
      <c r="W1738" s="10"/>
      <c r="X1738" s="10"/>
      <c r="Y1738" s="10"/>
      <c r="Z1738" s="10"/>
    </row>
    <row r="1739" spans="1:26" ht="14.25" customHeight="1">
      <c r="A1739" s="9">
        <v>1924</v>
      </c>
      <c r="B1739" s="10"/>
      <c r="C1739" s="21">
        <v>231261</v>
      </c>
      <c r="D1739" s="22" t="s">
        <v>862</v>
      </c>
      <c r="E1739" s="23">
        <v>45103</v>
      </c>
      <c r="F1739" s="24">
        <v>45078</v>
      </c>
      <c r="G1739" s="25">
        <v>5573281</v>
      </c>
      <c r="H1739" s="26" t="s">
        <v>3567</v>
      </c>
      <c r="I1739" s="233" t="s">
        <v>29</v>
      </c>
      <c r="J1739" s="27"/>
      <c r="K1739" s="36">
        <v>45209</v>
      </c>
      <c r="L1739" s="36">
        <v>45209</v>
      </c>
      <c r="M1739" s="36">
        <v>45209</v>
      </c>
      <c r="N1739" s="37">
        <v>5573281</v>
      </c>
      <c r="O1739" s="37">
        <v>0</v>
      </c>
      <c r="P1739" s="10"/>
      <c r="Q1739" s="10"/>
      <c r="R1739" s="10"/>
      <c r="S1739" s="10"/>
      <c r="T1739" s="10"/>
      <c r="U1739" s="10"/>
      <c r="V1739" s="10"/>
      <c r="W1739" s="10"/>
      <c r="X1739" s="10"/>
      <c r="Y1739" s="10"/>
      <c r="Z1739" s="10"/>
    </row>
    <row r="1740" spans="1:26" ht="14.25" customHeight="1">
      <c r="A1740" s="9">
        <v>1925</v>
      </c>
      <c r="B1740" s="10"/>
      <c r="C1740" s="21">
        <v>231285</v>
      </c>
      <c r="D1740" s="22" t="s">
        <v>862</v>
      </c>
      <c r="E1740" s="23">
        <v>45105</v>
      </c>
      <c r="F1740" s="24">
        <v>45078</v>
      </c>
      <c r="G1740" s="25">
        <v>1405958</v>
      </c>
      <c r="H1740" s="26" t="s">
        <v>3568</v>
      </c>
      <c r="I1740" s="233" t="s">
        <v>29</v>
      </c>
      <c r="J1740" s="27"/>
      <c r="K1740" s="36">
        <v>45209</v>
      </c>
      <c r="L1740" s="36">
        <v>45209</v>
      </c>
      <c r="M1740" s="36">
        <v>45209</v>
      </c>
      <c r="N1740" s="37">
        <v>1405958</v>
      </c>
      <c r="O1740" s="37">
        <v>0</v>
      </c>
      <c r="P1740" s="10"/>
      <c r="Q1740" s="10"/>
      <c r="R1740" s="10"/>
      <c r="S1740" s="10"/>
      <c r="T1740" s="10"/>
      <c r="U1740" s="10"/>
      <c r="V1740" s="10"/>
      <c r="W1740" s="10"/>
      <c r="X1740" s="10"/>
      <c r="Y1740" s="10"/>
      <c r="Z1740" s="10"/>
    </row>
    <row r="1741" spans="1:26" ht="14.25" customHeight="1">
      <c r="A1741" s="9">
        <v>1927</v>
      </c>
      <c r="B1741" s="10"/>
      <c r="C1741" s="21">
        <v>231303</v>
      </c>
      <c r="D1741" s="22" t="s">
        <v>862</v>
      </c>
      <c r="E1741" s="23">
        <v>45110</v>
      </c>
      <c r="F1741" s="24">
        <v>45108</v>
      </c>
      <c r="G1741" s="25">
        <v>900449</v>
      </c>
      <c r="H1741" s="26" t="s">
        <v>3569</v>
      </c>
      <c r="I1741" s="233" t="s">
        <v>29</v>
      </c>
      <c r="J1741" s="27"/>
      <c r="K1741" s="39"/>
      <c r="L1741" s="36">
        <v>45265</v>
      </c>
      <c r="M1741" s="36">
        <v>45265</v>
      </c>
      <c r="N1741" s="37">
        <v>900449</v>
      </c>
      <c r="O1741" s="37">
        <v>0</v>
      </c>
      <c r="P1741" s="10"/>
      <c r="Q1741" s="10"/>
      <c r="R1741" s="10"/>
      <c r="S1741" s="10"/>
      <c r="T1741" s="10"/>
      <c r="U1741" s="10"/>
      <c r="V1741" s="10"/>
      <c r="W1741" s="10"/>
      <c r="X1741" s="10"/>
      <c r="Y1741" s="10"/>
      <c r="Z1741" s="10"/>
    </row>
    <row r="1742" spans="1:26" ht="14.25" customHeight="1">
      <c r="A1742" s="9">
        <v>1926</v>
      </c>
      <c r="B1742" s="10"/>
      <c r="C1742" s="21">
        <v>231305</v>
      </c>
      <c r="D1742" s="22" t="s">
        <v>862</v>
      </c>
      <c r="E1742" s="23">
        <v>45110</v>
      </c>
      <c r="F1742" s="24">
        <v>45108</v>
      </c>
      <c r="G1742" s="25">
        <v>103949</v>
      </c>
      <c r="H1742" s="26" t="s">
        <v>3570</v>
      </c>
      <c r="I1742" s="233" t="s">
        <v>29</v>
      </c>
      <c r="J1742" s="27">
        <v>19137686</v>
      </c>
      <c r="K1742" s="39">
        <v>45265</v>
      </c>
      <c r="L1742" s="36">
        <v>45265</v>
      </c>
      <c r="M1742" s="36">
        <v>45265</v>
      </c>
      <c r="N1742" s="37">
        <v>103949</v>
      </c>
      <c r="O1742" s="37">
        <v>0</v>
      </c>
      <c r="P1742" s="10"/>
      <c r="Q1742" s="10"/>
      <c r="R1742" s="10"/>
      <c r="S1742" s="10"/>
      <c r="T1742" s="10"/>
      <c r="U1742" s="10"/>
      <c r="V1742" s="10"/>
      <c r="W1742" s="10"/>
      <c r="X1742" s="10"/>
      <c r="Y1742" s="10"/>
      <c r="Z1742" s="10"/>
    </row>
    <row r="1743" spans="1:26" ht="14.25" customHeight="1">
      <c r="A1743" s="9">
        <v>1928</v>
      </c>
      <c r="B1743" s="10"/>
      <c r="C1743" s="21">
        <v>231343</v>
      </c>
      <c r="D1743" s="22" t="s">
        <v>862</v>
      </c>
      <c r="E1743" s="23">
        <v>45114</v>
      </c>
      <c r="F1743" s="24">
        <v>45108</v>
      </c>
      <c r="G1743" s="25">
        <v>815112</v>
      </c>
      <c r="H1743" s="26" t="s">
        <v>3571</v>
      </c>
      <c r="I1743" s="233" t="s">
        <v>29</v>
      </c>
      <c r="J1743" s="27"/>
      <c r="K1743" s="39"/>
      <c r="L1743" s="36">
        <v>45265</v>
      </c>
      <c r="M1743" s="36">
        <v>45265</v>
      </c>
      <c r="N1743" s="37">
        <v>815112</v>
      </c>
      <c r="O1743" s="37">
        <v>0</v>
      </c>
      <c r="P1743" s="10"/>
      <c r="Q1743" s="10"/>
      <c r="R1743" s="10"/>
      <c r="S1743" s="10"/>
      <c r="T1743" s="10"/>
      <c r="U1743" s="10"/>
      <c r="V1743" s="10"/>
      <c r="W1743" s="10"/>
      <c r="X1743" s="10"/>
      <c r="Y1743" s="10"/>
      <c r="Z1743" s="10"/>
    </row>
    <row r="1744" spans="1:26" ht="14.25" customHeight="1">
      <c r="A1744" s="9">
        <v>1929</v>
      </c>
      <c r="B1744" s="10"/>
      <c r="C1744" s="21">
        <v>231375</v>
      </c>
      <c r="D1744" s="22" t="s">
        <v>862</v>
      </c>
      <c r="E1744" s="23">
        <v>45118</v>
      </c>
      <c r="F1744" s="24">
        <v>45108</v>
      </c>
      <c r="G1744" s="25">
        <v>320258</v>
      </c>
      <c r="H1744" s="26" t="s">
        <v>3572</v>
      </c>
      <c r="I1744" s="233" t="s">
        <v>29</v>
      </c>
      <c r="J1744" s="27"/>
      <c r="K1744" s="39"/>
      <c r="L1744" s="36">
        <v>45265</v>
      </c>
      <c r="M1744" s="36">
        <v>45265</v>
      </c>
      <c r="N1744" s="37">
        <v>320258</v>
      </c>
      <c r="O1744" s="37">
        <v>0</v>
      </c>
      <c r="P1744" s="10"/>
      <c r="Q1744" s="10"/>
      <c r="R1744" s="10"/>
      <c r="S1744" s="10"/>
      <c r="T1744" s="10"/>
      <c r="U1744" s="10"/>
      <c r="V1744" s="10"/>
      <c r="W1744" s="10"/>
      <c r="X1744" s="10"/>
      <c r="Y1744" s="10"/>
      <c r="Z1744" s="10"/>
    </row>
    <row r="1745" spans="1:26" ht="14.25" customHeight="1">
      <c r="A1745" s="9">
        <v>1930</v>
      </c>
      <c r="B1745" s="10"/>
      <c r="C1745" s="21">
        <v>231391</v>
      </c>
      <c r="D1745" s="22" t="s">
        <v>862</v>
      </c>
      <c r="E1745" s="23">
        <v>45120</v>
      </c>
      <c r="F1745" s="24">
        <v>45108</v>
      </c>
      <c r="G1745" s="25">
        <v>658296</v>
      </c>
      <c r="H1745" s="26" t="s">
        <v>3573</v>
      </c>
      <c r="I1745" s="233" t="s">
        <v>29</v>
      </c>
      <c r="J1745" s="27"/>
      <c r="K1745" s="39"/>
      <c r="L1745" s="36">
        <v>45265</v>
      </c>
      <c r="M1745" s="36">
        <v>45265</v>
      </c>
      <c r="N1745" s="37">
        <v>658296</v>
      </c>
      <c r="O1745" s="37">
        <v>0</v>
      </c>
      <c r="P1745" s="10"/>
      <c r="Q1745" s="10"/>
      <c r="R1745" s="10"/>
      <c r="S1745" s="10"/>
      <c r="T1745" s="10"/>
      <c r="U1745" s="10"/>
      <c r="V1745" s="10"/>
      <c r="W1745" s="10"/>
      <c r="X1745" s="10"/>
      <c r="Y1745" s="10"/>
      <c r="Z1745" s="10"/>
    </row>
    <row r="1746" spans="1:26" ht="14.25" customHeight="1">
      <c r="A1746" s="9">
        <v>1931</v>
      </c>
      <c r="B1746" s="10"/>
      <c r="C1746" s="21">
        <v>231437</v>
      </c>
      <c r="D1746" s="22" t="s">
        <v>862</v>
      </c>
      <c r="E1746" s="23">
        <v>45124</v>
      </c>
      <c r="F1746" s="24">
        <v>45108</v>
      </c>
      <c r="G1746" s="25">
        <v>151404</v>
      </c>
      <c r="H1746" s="26" t="s">
        <v>3574</v>
      </c>
      <c r="I1746" s="233" t="s">
        <v>29</v>
      </c>
      <c r="J1746" s="27"/>
      <c r="K1746" s="39"/>
      <c r="L1746" s="36">
        <v>45265</v>
      </c>
      <c r="M1746" s="36">
        <v>45265</v>
      </c>
      <c r="N1746" s="37">
        <v>151404</v>
      </c>
      <c r="O1746" s="37">
        <v>0</v>
      </c>
      <c r="P1746" s="10"/>
      <c r="Q1746" s="10"/>
      <c r="R1746" s="10"/>
      <c r="S1746" s="10"/>
      <c r="T1746" s="10"/>
      <c r="U1746" s="10"/>
      <c r="V1746" s="10"/>
      <c r="W1746" s="10"/>
      <c r="X1746" s="10"/>
      <c r="Y1746" s="10"/>
      <c r="Z1746" s="10"/>
    </row>
    <row r="1747" spans="1:26" ht="14.25" customHeight="1">
      <c r="A1747" s="9">
        <v>1932</v>
      </c>
      <c r="B1747" s="10"/>
      <c r="C1747" s="21">
        <v>231410</v>
      </c>
      <c r="D1747" s="22" t="s">
        <v>862</v>
      </c>
      <c r="E1747" s="23">
        <v>45125</v>
      </c>
      <c r="F1747" s="24">
        <v>45108</v>
      </c>
      <c r="G1747" s="25">
        <v>155400</v>
      </c>
      <c r="H1747" s="26" t="s">
        <v>3575</v>
      </c>
      <c r="I1747" s="233" t="s">
        <v>29</v>
      </c>
      <c r="J1747" s="27"/>
      <c r="K1747" s="39"/>
      <c r="L1747" s="36">
        <v>45265</v>
      </c>
      <c r="M1747" s="36">
        <v>45265</v>
      </c>
      <c r="N1747" s="37">
        <v>155400</v>
      </c>
      <c r="O1747" s="37">
        <v>0</v>
      </c>
      <c r="P1747" s="10"/>
      <c r="Q1747" s="10"/>
      <c r="R1747" s="10"/>
      <c r="S1747" s="10"/>
      <c r="T1747" s="10"/>
      <c r="U1747" s="10"/>
      <c r="V1747" s="10"/>
      <c r="W1747" s="10"/>
      <c r="X1747" s="10"/>
      <c r="Y1747" s="10"/>
      <c r="Z1747" s="10"/>
    </row>
    <row r="1748" spans="1:26" ht="14.25" customHeight="1">
      <c r="A1748" s="9">
        <v>1933</v>
      </c>
      <c r="B1748" s="10"/>
      <c r="C1748" s="21">
        <v>231434</v>
      </c>
      <c r="D1748" s="22" t="s">
        <v>862</v>
      </c>
      <c r="E1748" s="23">
        <v>45129</v>
      </c>
      <c r="F1748" s="24">
        <v>45108</v>
      </c>
      <c r="G1748" s="25">
        <v>686458</v>
      </c>
      <c r="H1748" s="26" t="s">
        <v>3576</v>
      </c>
      <c r="I1748" s="233" t="s">
        <v>29</v>
      </c>
      <c r="J1748" s="27"/>
      <c r="K1748" s="39"/>
      <c r="L1748" s="36">
        <v>45265</v>
      </c>
      <c r="M1748" s="36">
        <v>45265</v>
      </c>
      <c r="N1748" s="37">
        <v>686458</v>
      </c>
      <c r="O1748" s="37">
        <v>0</v>
      </c>
      <c r="P1748" s="10"/>
      <c r="Q1748" s="10"/>
      <c r="R1748" s="10"/>
      <c r="S1748" s="10"/>
      <c r="T1748" s="10"/>
      <c r="U1748" s="10"/>
      <c r="V1748" s="10"/>
      <c r="W1748" s="10"/>
      <c r="X1748" s="10"/>
      <c r="Y1748" s="10"/>
      <c r="Z1748" s="10"/>
    </row>
    <row r="1749" spans="1:26" ht="14.25" customHeight="1">
      <c r="A1749" s="9">
        <v>1934</v>
      </c>
      <c r="B1749" s="10"/>
      <c r="C1749" s="21">
        <v>231469</v>
      </c>
      <c r="D1749" s="22" t="s">
        <v>862</v>
      </c>
      <c r="E1749" s="23">
        <v>45131</v>
      </c>
      <c r="F1749" s="24">
        <v>45108</v>
      </c>
      <c r="G1749" s="25">
        <v>1537350</v>
      </c>
      <c r="H1749" s="26" t="s">
        <v>3577</v>
      </c>
      <c r="I1749" s="233" t="s">
        <v>29</v>
      </c>
      <c r="J1749" s="27"/>
      <c r="K1749" s="39"/>
      <c r="L1749" s="36">
        <v>45265</v>
      </c>
      <c r="M1749" s="36">
        <v>45265</v>
      </c>
      <c r="N1749" s="37">
        <v>1537350</v>
      </c>
      <c r="O1749" s="37">
        <v>0</v>
      </c>
      <c r="P1749" s="10"/>
      <c r="Q1749" s="10"/>
      <c r="R1749" s="10"/>
      <c r="S1749" s="10"/>
      <c r="T1749" s="10"/>
      <c r="U1749" s="10"/>
      <c r="V1749" s="10"/>
      <c r="W1749" s="10"/>
      <c r="X1749" s="10"/>
      <c r="Y1749" s="10"/>
      <c r="Z1749" s="10"/>
    </row>
    <row r="1750" spans="1:26" ht="14.25" customHeight="1">
      <c r="A1750" s="9">
        <v>1936</v>
      </c>
      <c r="B1750" s="10"/>
      <c r="C1750" s="21">
        <v>231447</v>
      </c>
      <c r="D1750" s="22" t="s">
        <v>862</v>
      </c>
      <c r="E1750" s="23">
        <v>45132</v>
      </c>
      <c r="F1750" s="24">
        <v>45108</v>
      </c>
      <c r="G1750" s="25">
        <v>266400</v>
      </c>
      <c r="H1750" s="26" t="s">
        <v>3578</v>
      </c>
      <c r="I1750" s="233" t="s">
        <v>29</v>
      </c>
      <c r="J1750" s="27"/>
      <c r="K1750" s="39"/>
      <c r="L1750" s="36">
        <v>45265</v>
      </c>
      <c r="M1750" s="36">
        <v>45265</v>
      </c>
      <c r="N1750" s="37">
        <v>266400</v>
      </c>
      <c r="O1750" s="37">
        <v>0</v>
      </c>
      <c r="P1750" s="10"/>
      <c r="Q1750" s="10"/>
      <c r="R1750" s="10"/>
      <c r="S1750" s="10"/>
      <c r="T1750" s="10"/>
      <c r="U1750" s="10"/>
      <c r="V1750" s="10"/>
      <c r="W1750" s="10"/>
      <c r="X1750" s="10"/>
      <c r="Y1750" s="10"/>
      <c r="Z1750" s="10"/>
    </row>
    <row r="1751" spans="1:26" ht="14.25" customHeight="1">
      <c r="A1751" s="9">
        <v>1935</v>
      </c>
      <c r="B1751" s="10"/>
      <c r="C1751" s="21">
        <v>231454</v>
      </c>
      <c r="D1751" s="22" t="s">
        <v>862</v>
      </c>
      <c r="E1751" s="23">
        <v>45132</v>
      </c>
      <c r="F1751" s="24">
        <v>45108</v>
      </c>
      <c r="G1751" s="25">
        <v>604950</v>
      </c>
      <c r="H1751" s="26" t="s">
        <v>3579</v>
      </c>
      <c r="I1751" s="233" t="s">
        <v>29</v>
      </c>
      <c r="J1751" s="27"/>
      <c r="K1751" s="39"/>
      <c r="L1751" s="36">
        <v>45265</v>
      </c>
      <c r="M1751" s="36">
        <v>45265</v>
      </c>
      <c r="N1751" s="37">
        <v>604950</v>
      </c>
      <c r="O1751" s="37">
        <v>0</v>
      </c>
      <c r="P1751" s="10"/>
      <c r="Q1751" s="10"/>
      <c r="R1751" s="10"/>
      <c r="S1751" s="10"/>
      <c r="T1751" s="10"/>
      <c r="U1751" s="10"/>
      <c r="V1751" s="10"/>
      <c r="W1751" s="10"/>
      <c r="X1751" s="10"/>
      <c r="Y1751" s="10"/>
      <c r="Z1751" s="10"/>
    </row>
    <row r="1752" spans="1:26" ht="14.25" customHeight="1">
      <c r="A1752" s="9">
        <v>1937</v>
      </c>
      <c r="B1752" s="10"/>
      <c r="C1752" s="21">
        <v>231463</v>
      </c>
      <c r="D1752" s="22" t="s">
        <v>862</v>
      </c>
      <c r="E1752" s="23">
        <v>45132</v>
      </c>
      <c r="F1752" s="24">
        <v>45108</v>
      </c>
      <c r="G1752" s="25">
        <v>821372</v>
      </c>
      <c r="H1752" s="26" t="s">
        <v>3580</v>
      </c>
      <c r="I1752" s="233" t="s">
        <v>29</v>
      </c>
      <c r="J1752" s="27"/>
      <c r="K1752" s="39"/>
      <c r="L1752" s="36">
        <v>45265</v>
      </c>
      <c r="M1752" s="36">
        <v>45265</v>
      </c>
      <c r="N1752" s="37">
        <v>821372</v>
      </c>
      <c r="O1752" s="37">
        <v>0</v>
      </c>
      <c r="P1752" s="10"/>
      <c r="Q1752" s="10"/>
      <c r="R1752" s="10"/>
      <c r="S1752" s="10"/>
      <c r="T1752" s="10"/>
      <c r="U1752" s="10"/>
      <c r="V1752" s="10"/>
      <c r="W1752" s="10"/>
      <c r="X1752" s="10"/>
      <c r="Y1752" s="10"/>
      <c r="Z1752" s="10"/>
    </row>
    <row r="1753" spans="1:26" ht="14.25" customHeight="1">
      <c r="A1753" s="9">
        <v>1939</v>
      </c>
      <c r="B1753" s="10"/>
      <c r="C1753" s="21">
        <v>231466</v>
      </c>
      <c r="D1753" s="22" t="s">
        <v>862</v>
      </c>
      <c r="E1753" s="23">
        <v>45132</v>
      </c>
      <c r="F1753" s="24">
        <v>45108</v>
      </c>
      <c r="G1753" s="25">
        <v>11818170</v>
      </c>
      <c r="H1753" s="26" t="s">
        <v>3581</v>
      </c>
      <c r="I1753" s="233" t="s">
        <v>29</v>
      </c>
      <c r="J1753" s="27"/>
      <c r="K1753" s="39"/>
      <c r="L1753" s="36">
        <v>45265</v>
      </c>
      <c r="M1753" s="36">
        <v>45265</v>
      </c>
      <c r="N1753" s="37">
        <v>11818170</v>
      </c>
      <c r="O1753" s="37">
        <v>0</v>
      </c>
      <c r="P1753" s="10"/>
      <c r="Q1753" s="10"/>
      <c r="R1753" s="10"/>
      <c r="S1753" s="10"/>
      <c r="T1753" s="10"/>
      <c r="U1753" s="10"/>
      <c r="V1753" s="10"/>
      <c r="W1753" s="10"/>
      <c r="X1753" s="10"/>
      <c r="Y1753" s="10"/>
      <c r="Z1753" s="10"/>
    </row>
    <row r="1754" spans="1:26" ht="14.25" customHeight="1">
      <c r="A1754" s="9">
        <v>1938</v>
      </c>
      <c r="B1754" s="10"/>
      <c r="C1754" s="21">
        <v>231477</v>
      </c>
      <c r="D1754" s="22" t="s">
        <v>862</v>
      </c>
      <c r="E1754" s="23">
        <v>45138</v>
      </c>
      <c r="F1754" s="24">
        <v>45108</v>
      </c>
      <c r="G1754" s="25">
        <v>298118</v>
      </c>
      <c r="H1754" s="26" t="s">
        <v>3582</v>
      </c>
      <c r="I1754" s="233" t="s">
        <v>29</v>
      </c>
      <c r="J1754" s="27"/>
      <c r="K1754" s="39"/>
      <c r="L1754" s="36">
        <v>45265</v>
      </c>
      <c r="M1754" s="36">
        <v>45265</v>
      </c>
      <c r="N1754" s="37">
        <v>298118</v>
      </c>
      <c r="O1754" s="37">
        <v>0</v>
      </c>
      <c r="P1754" s="10"/>
      <c r="Q1754" s="10"/>
      <c r="R1754" s="10"/>
      <c r="S1754" s="10"/>
      <c r="T1754" s="10"/>
      <c r="U1754" s="10"/>
      <c r="V1754" s="10"/>
      <c r="W1754" s="10"/>
      <c r="X1754" s="10"/>
      <c r="Y1754" s="10"/>
      <c r="Z1754" s="10"/>
    </row>
    <row r="1755" spans="1:26" ht="14.25" customHeight="1">
      <c r="A1755" s="9">
        <v>1940</v>
      </c>
      <c r="B1755" s="10"/>
      <c r="C1755" s="9">
        <v>231503</v>
      </c>
      <c r="D1755" s="11" t="s">
        <v>862</v>
      </c>
      <c r="E1755" s="12">
        <v>45139</v>
      </c>
      <c r="F1755" s="13">
        <v>45139</v>
      </c>
      <c r="G1755" s="27">
        <v>3663000</v>
      </c>
      <c r="H1755" s="10" t="s">
        <v>3583</v>
      </c>
      <c r="I1755" s="34">
        <v>109.606678703705</v>
      </c>
      <c r="J1755" s="27"/>
      <c r="K1755" s="39"/>
      <c r="L1755" s="39"/>
      <c r="M1755" s="39"/>
      <c r="N1755" s="37">
        <v>0</v>
      </c>
      <c r="O1755" s="37">
        <v>3663000</v>
      </c>
      <c r="P1755" s="10"/>
      <c r="Q1755" s="10"/>
      <c r="R1755" s="10"/>
      <c r="S1755" s="10"/>
      <c r="T1755" s="10"/>
      <c r="U1755" s="10"/>
      <c r="V1755" s="10"/>
      <c r="W1755" s="10"/>
      <c r="X1755" s="10"/>
      <c r="Y1755" s="10"/>
      <c r="Z1755" s="10"/>
    </row>
    <row r="1756" spans="1:26" ht="14.25" customHeight="1">
      <c r="A1756" s="9">
        <v>1941</v>
      </c>
      <c r="B1756" s="10"/>
      <c r="C1756" s="9">
        <v>231530</v>
      </c>
      <c r="D1756" s="11" t="s">
        <v>862</v>
      </c>
      <c r="E1756" s="12">
        <v>45143</v>
      </c>
      <c r="F1756" s="13">
        <v>45139</v>
      </c>
      <c r="G1756" s="27">
        <v>1739647</v>
      </c>
      <c r="H1756" s="10" t="s">
        <v>3584</v>
      </c>
      <c r="I1756" s="34">
        <v>109.606678703705</v>
      </c>
      <c r="J1756" s="27"/>
      <c r="K1756" s="39"/>
      <c r="L1756" s="39"/>
      <c r="M1756" s="39"/>
      <c r="N1756" s="37">
        <v>0</v>
      </c>
      <c r="O1756" s="37">
        <v>1739647</v>
      </c>
      <c r="P1756" s="10"/>
      <c r="Q1756" s="10"/>
      <c r="R1756" s="10"/>
      <c r="S1756" s="10"/>
      <c r="T1756" s="10"/>
      <c r="U1756" s="10"/>
      <c r="V1756" s="10"/>
      <c r="W1756" s="10"/>
      <c r="X1756" s="10"/>
      <c r="Y1756" s="10"/>
      <c r="Z1756" s="10"/>
    </row>
    <row r="1757" spans="1:26" ht="14.25" customHeight="1">
      <c r="A1757" s="9">
        <v>1942</v>
      </c>
      <c r="B1757" s="10"/>
      <c r="C1757" s="9">
        <v>231579</v>
      </c>
      <c r="D1757" s="11" t="s">
        <v>862</v>
      </c>
      <c r="E1757" s="12">
        <v>45148</v>
      </c>
      <c r="F1757" s="13">
        <v>45139</v>
      </c>
      <c r="G1757" s="27">
        <v>291375</v>
      </c>
      <c r="H1757" s="10" t="s">
        <v>3585</v>
      </c>
      <c r="I1757" s="34">
        <v>109.606678703705</v>
      </c>
      <c r="J1757" s="27"/>
      <c r="K1757" s="39"/>
      <c r="L1757" s="39"/>
      <c r="M1757" s="39"/>
      <c r="N1757" s="37">
        <v>0</v>
      </c>
      <c r="O1757" s="37">
        <v>291375</v>
      </c>
      <c r="P1757" s="10"/>
      <c r="Q1757" s="10"/>
      <c r="R1757" s="10"/>
      <c r="S1757" s="10"/>
      <c r="T1757" s="10"/>
      <c r="U1757" s="10"/>
      <c r="V1757" s="10"/>
      <c r="W1757" s="10"/>
      <c r="X1757" s="10"/>
      <c r="Y1757" s="10"/>
      <c r="Z1757" s="10"/>
    </row>
    <row r="1758" spans="1:26" ht="14.25" customHeight="1">
      <c r="A1758" s="9">
        <v>1943</v>
      </c>
      <c r="B1758" s="10"/>
      <c r="C1758" s="9">
        <v>231673</v>
      </c>
      <c r="D1758" s="11" t="s">
        <v>862</v>
      </c>
      <c r="E1758" s="12">
        <v>45150</v>
      </c>
      <c r="F1758" s="13">
        <v>45139</v>
      </c>
      <c r="G1758" s="27">
        <v>1818180</v>
      </c>
      <c r="H1758" s="10" t="s">
        <v>3586</v>
      </c>
      <c r="I1758" s="34">
        <v>109.606678703705</v>
      </c>
      <c r="J1758" s="27"/>
      <c r="K1758" s="39"/>
      <c r="L1758" s="39"/>
      <c r="M1758" s="39"/>
      <c r="N1758" s="37">
        <v>0</v>
      </c>
      <c r="O1758" s="37">
        <v>1818180</v>
      </c>
      <c r="P1758" s="10"/>
      <c r="Q1758" s="10"/>
      <c r="R1758" s="10"/>
      <c r="S1758" s="10"/>
      <c r="T1758" s="10"/>
      <c r="U1758" s="10"/>
      <c r="V1758" s="10"/>
      <c r="W1758" s="10"/>
      <c r="X1758" s="10"/>
      <c r="Y1758" s="10"/>
      <c r="Z1758" s="10"/>
    </row>
    <row r="1759" spans="1:26" ht="14.25" customHeight="1">
      <c r="A1759" s="9">
        <v>1944</v>
      </c>
      <c r="B1759" s="10"/>
      <c r="C1759" s="9">
        <v>231592</v>
      </c>
      <c r="D1759" s="11" t="s">
        <v>862</v>
      </c>
      <c r="E1759" s="12">
        <v>45153</v>
      </c>
      <c r="F1759" s="13">
        <v>45139</v>
      </c>
      <c r="G1759" s="27">
        <v>151404</v>
      </c>
      <c r="H1759" s="10" t="s">
        <v>3587</v>
      </c>
      <c r="I1759" s="34">
        <v>109.606678703705</v>
      </c>
      <c r="J1759" s="27"/>
      <c r="K1759" s="39"/>
      <c r="L1759" s="39"/>
      <c r="M1759" s="39"/>
      <c r="N1759" s="37">
        <v>0</v>
      </c>
      <c r="O1759" s="37">
        <v>151404</v>
      </c>
      <c r="P1759" s="10"/>
      <c r="Q1759" s="10"/>
      <c r="R1759" s="10"/>
      <c r="S1759" s="10"/>
      <c r="T1759" s="10"/>
      <c r="U1759" s="10"/>
      <c r="V1759" s="10"/>
      <c r="W1759" s="10"/>
      <c r="X1759" s="10"/>
      <c r="Y1759" s="10"/>
      <c r="Z1759" s="10"/>
    </row>
    <row r="1760" spans="1:26" ht="14.25" customHeight="1">
      <c r="A1760" s="9">
        <v>1945</v>
      </c>
      <c r="B1760" s="10"/>
      <c r="C1760" s="9">
        <v>231593</v>
      </c>
      <c r="D1760" s="11" t="s">
        <v>862</v>
      </c>
      <c r="E1760" s="12">
        <v>45153</v>
      </c>
      <c r="F1760" s="13">
        <v>45139</v>
      </c>
      <c r="G1760" s="27">
        <v>230999</v>
      </c>
      <c r="H1760" s="10" t="s">
        <v>3588</v>
      </c>
      <c r="I1760" s="34">
        <v>109.606678703705</v>
      </c>
      <c r="J1760" s="27"/>
      <c r="K1760" s="39"/>
      <c r="L1760" s="39"/>
      <c r="M1760" s="39"/>
      <c r="N1760" s="37">
        <v>0</v>
      </c>
      <c r="O1760" s="37">
        <v>230999</v>
      </c>
      <c r="P1760" s="10"/>
      <c r="Q1760" s="10"/>
      <c r="R1760" s="10"/>
      <c r="S1760" s="10"/>
      <c r="T1760" s="10"/>
      <c r="U1760" s="10"/>
      <c r="V1760" s="10"/>
      <c r="W1760" s="10"/>
      <c r="X1760" s="10"/>
      <c r="Y1760" s="10"/>
      <c r="Z1760" s="10"/>
    </row>
    <row r="1761" spans="1:26" ht="14.25" customHeight="1">
      <c r="A1761" s="9">
        <v>1946</v>
      </c>
      <c r="B1761" s="10"/>
      <c r="C1761" s="9">
        <v>231759</v>
      </c>
      <c r="D1761" s="11" t="s">
        <v>862</v>
      </c>
      <c r="E1761" s="12">
        <v>45154</v>
      </c>
      <c r="F1761" s="13">
        <v>45139</v>
      </c>
      <c r="G1761" s="27">
        <v>1054500</v>
      </c>
      <c r="H1761" s="10" t="s">
        <v>3589</v>
      </c>
      <c r="I1761" s="34">
        <v>109.606678703705</v>
      </c>
      <c r="J1761" s="27"/>
      <c r="K1761" s="39"/>
      <c r="L1761" s="39"/>
      <c r="M1761" s="39"/>
      <c r="N1761" s="37">
        <v>0</v>
      </c>
      <c r="O1761" s="37">
        <v>1054500</v>
      </c>
      <c r="P1761" s="10"/>
      <c r="Q1761" s="10"/>
      <c r="R1761" s="10"/>
      <c r="S1761" s="10"/>
      <c r="T1761" s="10"/>
      <c r="U1761" s="10"/>
      <c r="V1761" s="10"/>
      <c r="W1761" s="10"/>
      <c r="X1761" s="10"/>
      <c r="Y1761" s="10"/>
      <c r="Z1761" s="10"/>
    </row>
    <row r="1762" spans="1:26" ht="14.25" customHeight="1">
      <c r="A1762" s="9">
        <v>1947</v>
      </c>
      <c r="B1762" s="10"/>
      <c r="C1762" s="9">
        <v>231670</v>
      </c>
      <c r="D1762" s="11" t="s">
        <v>862</v>
      </c>
      <c r="E1762" s="12">
        <v>45157</v>
      </c>
      <c r="F1762" s="13">
        <v>45139</v>
      </c>
      <c r="G1762" s="27">
        <v>173248</v>
      </c>
      <c r="H1762" s="10" t="s">
        <v>3590</v>
      </c>
      <c r="I1762" s="34">
        <v>109.606678703705</v>
      </c>
      <c r="J1762" s="27"/>
      <c r="K1762" s="39"/>
      <c r="L1762" s="39"/>
      <c r="M1762" s="39"/>
      <c r="N1762" s="37">
        <v>0</v>
      </c>
      <c r="O1762" s="37">
        <v>173248</v>
      </c>
      <c r="P1762" s="10"/>
      <c r="Q1762" s="10"/>
      <c r="R1762" s="10"/>
      <c r="S1762" s="10"/>
      <c r="T1762" s="10"/>
      <c r="U1762" s="10"/>
      <c r="V1762" s="10"/>
      <c r="W1762" s="10"/>
      <c r="X1762" s="10"/>
      <c r="Y1762" s="10"/>
      <c r="Z1762" s="10"/>
    </row>
    <row r="1763" spans="1:26" ht="14.25" customHeight="1">
      <c r="A1763" s="9">
        <v>1948</v>
      </c>
      <c r="B1763" s="10"/>
      <c r="C1763" s="9">
        <v>231728</v>
      </c>
      <c r="D1763" s="11" t="s">
        <v>862</v>
      </c>
      <c r="E1763" s="12">
        <v>45163</v>
      </c>
      <c r="F1763" s="13">
        <v>45139</v>
      </c>
      <c r="G1763" s="27">
        <v>155011</v>
      </c>
      <c r="H1763" s="10" t="s">
        <v>3591</v>
      </c>
      <c r="I1763" s="34">
        <v>109.606678703705</v>
      </c>
      <c r="J1763" s="27"/>
      <c r="K1763" s="39"/>
      <c r="L1763" s="39"/>
      <c r="M1763" s="39"/>
      <c r="N1763" s="37">
        <v>0</v>
      </c>
      <c r="O1763" s="37">
        <v>155011</v>
      </c>
      <c r="P1763" s="10"/>
      <c r="Q1763" s="10"/>
      <c r="R1763" s="10"/>
      <c r="S1763" s="10"/>
      <c r="T1763" s="10"/>
      <c r="U1763" s="10"/>
      <c r="V1763" s="10"/>
      <c r="W1763" s="10"/>
      <c r="X1763" s="10"/>
      <c r="Y1763" s="10"/>
      <c r="Z1763" s="10"/>
    </row>
    <row r="1764" spans="1:26" ht="14.25" customHeight="1">
      <c r="A1764" s="9">
        <v>1949</v>
      </c>
      <c r="B1764" s="10"/>
      <c r="C1764" s="9">
        <v>231798</v>
      </c>
      <c r="D1764" s="11" t="s">
        <v>862</v>
      </c>
      <c r="E1764" s="12">
        <v>45169</v>
      </c>
      <c r="F1764" s="13">
        <v>45139</v>
      </c>
      <c r="G1764" s="27">
        <v>670959</v>
      </c>
      <c r="H1764" s="10" t="s">
        <v>3592</v>
      </c>
      <c r="I1764" s="34">
        <v>109.606678703705</v>
      </c>
      <c r="J1764" s="27"/>
      <c r="K1764" s="39"/>
      <c r="L1764" s="39"/>
      <c r="M1764" s="39"/>
      <c r="N1764" s="37">
        <v>0</v>
      </c>
      <c r="O1764" s="37">
        <v>670959</v>
      </c>
      <c r="P1764" s="10"/>
      <c r="Q1764" s="10"/>
      <c r="R1764" s="10"/>
      <c r="S1764" s="10"/>
      <c r="T1764" s="10"/>
      <c r="U1764" s="10"/>
      <c r="V1764" s="10"/>
      <c r="W1764" s="10"/>
      <c r="X1764" s="10"/>
      <c r="Y1764" s="10"/>
      <c r="Z1764" s="10"/>
    </row>
    <row r="1765" spans="1:26" ht="14.25" customHeight="1">
      <c r="A1765" s="9">
        <v>1950</v>
      </c>
      <c r="B1765" s="10"/>
      <c r="C1765" s="9">
        <v>231832</v>
      </c>
      <c r="D1765" s="11" t="s">
        <v>862</v>
      </c>
      <c r="E1765" s="12">
        <v>45175</v>
      </c>
      <c r="F1765" s="13">
        <v>45170</v>
      </c>
      <c r="G1765" s="27">
        <v>793650</v>
      </c>
      <c r="H1765" s="10" t="s">
        <v>3593</v>
      </c>
      <c r="I1765" s="34">
        <v>81.606678703705299</v>
      </c>
      <c r="J1765" s="27"/>
      <c r="K1765" s="39"/>
      <c r="L1765" s="39"/>
      <c r="M1765" s="39"/>
      <c r="N1765" s="37">
        <v>0</v>
      </c>
      <c r="O1765" s="37">
        <v>793650</v>
      </c>
      <c r="P1765" s="10"/>
      <c r="Q1765" s="10"/>
      <c r="R1765" s="10"/>
      <c r="S1765" s="10"/>
      <c r="T1765" s="10"/>
      <c r="U1765" s="10"/>
      <c r="V1765" s="10"/>
      <c r="W1765" s="10"/>
      <c r="X1765" s="10"/>
      <c r="Y1765" s="10"/>
      <c r="Z1765" s="10"/>
    </row>
    <row r="1766" spans="1:26" ht="14.25" customHeight="1">
      <c r="A1766" s="9">
        <v>1957</v>
      </c>
      <c r="B1766" s="10"/>
      <c r="C1766" s="9">
        <v>231835</v>
      </c>
      <c r="D1766" s="11" t="s">
        <v>862</v>
      </c>
      <c r="E1766" s="12">
        <v>45176</v>
      </c>
      <c r="F1766" s="13">
        <v>45170</v>
      </c>
      <c r="G1766" s="27">
        <v>1221000</v>
      </c>
      <c r="H1766" s="10" t="s">
        <v>3594</v>
      </c>
      <c r="I1766" s="34">
        <v>81.606678703705299</v>
      </c>
      <c r="J1766" s="27"/>
      <c r="K1766" s="39"/>
      <c r="L1766" s="39"/>
      <c r="M1766" s="39"/>
      <c r="N1766" s="37">
        <v>0</v>
      </c>
      <c r="O1766" s="37">
        <v>1221000</v>
      </c>
      <c r="P1766" s="10"/>
      <c r="Q1766" s="10"/>
      <c r="R1766" s="10"/>
      <c r="S1766" s="10"/>
      <c r="T1766" s="10"/>
      <c r="U1766" s="10"/>
      <c r="V1766" s="10"/>
      <c r="W1766" s="10"/>
      <c r="X1766" s="10"/>
      <c r="Y1766" s="10"/>
      <c r="Z1766" s="10"/>
    </row>
    <row r="1767" spans="1:26" ht="14.25" customHeight="1">
      <c r="A1767" s="9">
        <v>1951</v>
      </c>
      <c r="B1767" s="10"/>
      <c r="C1767" s="9">
        <v>231836</v>
      </c>
      <c r="D1767" s="11" t="s">
        <v>862</v>
      </c>
      <c r="E1767" s="12">
        <v>45176</v>
      </c>
      <c r="F1767" s="13">
        <v>45170</v>
      </c>
      <c r="G1767" s="27">
        <v>1259067</v>
      </c>
      <c r="H1767" s="10" t="s">
        <v>3595</v>
      </c>
      <c r="I1767" s="34">
        <v>81.606678703705299</v>
      </c>
      <c r="J1767" s="27"/>
      <c r="K1767" s="39"/>
      <c r="L1767" s="39"/>
      <c r="M1767" s="39"/>
      <c r="N1767" s="37">
        <v>0</v>
      </c>
      <c r="O1767" s="37">
        <v>1259067</v>
      </c>
      <c r="P1767" s="10"/>
      <c r="Q1767" s="10"/>
      <c r="R1767" s="10"/>
      <c r="S1767" s="10"/>
      <c r="T1767" s="10"/>
      <c r="U1767" s="10"/>
      <c r="V1767" s="10"/>
      <c r="W1767" s="10"/>
      <c r="X1767" s="10"/>
      <c r="Y1767" s="10"/>
      <c r="Z1767" s="10"/>
    </row>
    <row r="1768" spans="1:26" ht="14.25" customHeight="1">
      <c r="A1768" s="9">
        <v>1958</v>
      </c>
      <c r="B1768" s="10"/>
      <c r="C1768" s="9">
        <v>231891</v>
      </c>
      <c r="D1768" s="11" t="s">
        <v>862</v>
      </c>
      <c r="E1768" s="12">
        <v>45181</v>
      </c>
      <c r="F1768" s="13">
        <v>45170</v>
      </c>
      <c r="G1768" s="27">
        <v>4884000</v>
      </c>
      <c r="H1768" s="10" t="s">
        <v>3596</v>
      </c>
      <c r="I1768" s="34">
        <v>81.606678703705299</v>
      </c>
      <c r="J1768" s="27"/>
      <c r="K1768" s="39"/>
      <c r="L1768" s="39"/>
      <c r="M1768" s="39"/>
      <c r="N1768" s="37">
        <v>0</v>
      </c>
      <c r="O1768" s="37">
        <v>4884000</v>
      </c>
      <c r="P1768" s="10"/>
      <c r="Q1768" s="10"/>
      <c r="R1768" s="10"/>
      <c r="S1768" s="10"/>
      <c r="T1768" s="10"/>
      <c r="U1768" s="10"/>
      <c r="V1768" s="10"/>
      <c r="W1768" s="10"/>
      <c r="X1768" s="10"/>
      <c r="Y1768" s="10"/>
      <c r="Z1768" s="10"/>
    </row>
    <row r="1769" spans="1:26" ht="14.25" customHeight="1">
      <c r="A1769" s="9">
        <v>1952</v>
      </c>
      <c r="B1769" s="10"/>
      <c r="C1769" s="9">
        <v>231904</v>
      </c>
      <c r="D1769" s="11" t="s">
        <v>862</v>
      </c>
      <c r="E1769" s="12">
        <v>45187</v>
      </c>
      <c r="F1769" s="13">
        <v>45170</v>
      </c>
      <c r="G1769" s="27">
        <v>248728</v>
      </c>
      <c r="H1769" s="10" t="s">
        <v>3597</v>
      </c>
      <c r="I1769" s="34">
        <v>81.606678703705299</v>
      </c>
      <c r="J1769" s="27"/>
      <c r="K1769" s="39"/>
      <c r="L1769" s="39"/>
      <c r="M1769" s="39"/>
      <c r="N1769" s="37">
        <v>0</v>
      </c>
      <c r="O1769" s="37">
        <v>248728</v>
      </c>
      <c r="P1769" s="10"/>
      <c r="Q1769" s="10"/>
      <c r="R1769" s="10"/>
      <c r="S1769" s="10"/>
      <c r="T1769" s="10"/>
      <c r="U1769" s="10"/>
      <c r="V1769" s="10"/>
      <c r="W1769" s="10"/>
      <c r="X1769" s="10"/>
      <c r="Y1769" s="10"/>
      <c r="Z1769" s="10"/>
    </row>
    <row r="1770" spans="1:26" ht="14.25" customHeight="1">
      <c r="A1770" s="9">
        <v>1953</v>
      </c>
      <c r="B1770" s="10"/>
      <c r="C1770" s="9">
        <v>231965</v>
      </c>
      <c r="D1770" s="11" t="s">
        <v>862</v>
      </c>
      <c r="E1770" s="12">
        <v>45188</v>
      </c>
      <c r="F1770" s="13">
        <v>45170</v>
      </c>
      <c r="G1770" s="27">
        <v>3086077</v>
      </c>
      <c r="H1770" s="10" t="s">
        <v>3598</v>
      </c>
      <c r="I1770" s="34">
        <v>81.606678703705299</v>
      </c>
      <c r="J1770" s="27"/>
      <c r="K1770" s="39"/>
      <c r="L1770" s="39"/>
      <c r="M1770" s="39"/>
      <c r="N1770" s="37">
        <v>0</v>
      </c>
      <c r="O1770" s="37">
        <v>3086077</v>
      </c>
      <c r="P1770" s="10"/>
      <c r="Q1770" s="10"/>
      <c r="R1770" s="10"/>
      <c r="S1770" s="10"/>
      <c r="T1770" s="10"/>
      <c r="U1770" s="10"/>
      <c r="V1770" s="10"/>
      <c r="W1770" s="10"/>
      <c r="X1770" s="10"/>
      <c r="Y1770" s="10"/>
      <c r="Z1770" s="10"/>
    </row>
    <row r="1771" spans="1:26" ht="14.25" customHeight="1">
      <c r="A1771" s="9">
        <v>1959</v>
      </c>
      <c r="B1771" s="10"/>
      <c r="C1771" s="9">
        <v>231966</v>
      </c>
      <c r="D1771" s="11" t="s">
        <v>862</v>
      </c>
      <c r="E1771" s="12">
        <v>45189</v>
      </c>
      <c r="F1771" s="13">
        <v>45170</v>
      </c>
      <c r="G1771" s="27">
        <v>2665040</v>
      </c>
      <c r="H1771" s="10" t="s">
        <v>3599</v>
      </c>
      <c r="I1771" s="34">
        <v>81.606678703705299</v>
      </c>
      <c r="J1771" s="27"/>
      <c r="K1771" s="39"/>
      <c r="L1771" s="39"/>
      <c r="M1771" s="39"/>
      <c r="N1771" s="37">
        <v>0</v>
      </c>
      <c r="O1771" s="37">
        <v>2665040</v>
      </c>
      <c r="P1771" s="10"/>
      <c r="Q1771" s="10"/>
      <c r="R1771" s="10"/>
      <c r="S1771" s="10"/>
      <c r="T1771" s="10"/>
      <c r="U1771" s="10"/>
      <c r="V1771" s="10"/>
      <c r="W1771" s="10"/>
      <c r="X1771" s="10"/>
      <c r="Y1771" s="10"/>
      <c r="Z1771" s="10"/>
    </row>
    <row r="1772" spans="1:26" ht="14.25" customHeight="1">
      <c r="A1772" s="9">
        <v>1954</v>
      </c>
      <c r="B1772" s="10"/>
      <c r="C1772" s="9">
        <v>231967</v>
      </c>
      <c r="D1772" s="11" t="s">
        <v>862</v>
      </c>
      <c r="E1772" s="12">
        <v>45192</v>
      </c>
      <c r="F1772" s="13">
        <v>45170</v>
      </c>
      <c r="G1772" s="27">
        <v>379353</v>
      </c>
      <c r="H1772" s="10" t="s">
        <v>3600</v>
      </c>
      <c r="I1772" s="34">
        <v>81.606678703705299</v>
      </c>
      <c r="J1772" s="27"/>
      <c r="K1772" s="39"/>
      <c r="L1772" s="39"/>
      <c r="M1772" s="39"/>
      <c r="N1772" s="37">
        <v>0</v>
      </c>
      <c r="O1772" s="37">
        <v>379353</v>
      </c>
      <c r="P1772" s="10"/>
      <c r="Q1772" s="10"/>
      <c r="R1772" s="10"/>
      <c r="S1772" s="10"/>
      <c r="T1772" s="10"/>
      <c r="U1772" s="10"/>
      <c r="V1772" s="10"/>
      <c r="W1772" s="10"/>
      <c r="X1772" s="10"/>
      <c r="Y1772" s="10"/>
      <c r="Z1772" s="10"/>
    </row>
    <row r="1773" spans="1:26" ht="14.25" customHeight="1">
      <c r="A1773" s="9">
        <v>1955</v>
      </c>
      <c r="B1773" s="10"/>
      <c r="C1773" s="9">
        <v>231969</v>
      </c>
      <c r="D1773" s="11" t="s">
        <v>862</v>
      </c>
      <c r="E1773" s="12">
        <v>45192</v>
      </c>
      <c r="F1773" s="13">
        <v>45170</v>
      </c>
      <c r="G1773" s="27">
        <v>6660000</v>
      </c>
      <c r="H1773" s="10" t="s">
        <v>3601</v>
      </c>
      <c r="I1773" s="34">
        <v>81.606678703705299</v>
      </c>
      <c r="J1773" s="27"/>
      <c r="K1773" s="39"/>
      <c r="L1773" s="39"/>
      <c r="M1773" s="39"/>
      <c r="N1773" s="37">
        <v>0</v>
      </c>
      <c r="O1773" s="37">
        <v>6660000</v>
      </c>
      <c r="P1773" s="10"/>
      <c r="Q1773" s="10"/>
      <c r="R1773" s="10"/>
      <c r="S1773" s="10"/>
      <c r="T1773" s="10"/>
      <c r="U1773" s="10"/>
      <c r="V1773" s="10"/>
      <c r="W1773" s="10"/>
      <c r="X1773" s="10"/>
      <c r="Y1773" s="10"/>
      <c r="Z1773" s="10"/>
    </row>
    <row r="1774" spans="1:26" ht="14.25" customHeight="1">
      <c r="A1774" s="9">
        <v>1956</v>
      </c>
      <c r="B1774" s="10"/>
      <c r="C1774" s="9">
        <v>231968</v>
      </c>
      <c r="D1774" s="11" t="s">
        <v>862</v>
      </c>
      <c r="E1774" s="12">
        <v>45194</v>
      </c>
      <c r="F1774" s="13">
        <v>45170</v>
      </c>
      <c r="G1774" s="27">
        <v>107692</v>
      </c>
      <c r="H1774" s="10" t="s">
        <v>3602</v>
      </c>
      <c r="I1774" s="34">
        <v>81.606678703705299</v>
      </c>
      <c r="J1774" s="27"/>
      <c r="K1774" s="39"/>
      <c r="L1774" s="39"/>
      <c r="M1774" s="39"/>
      <c r="N1774" s="37">
        <v>0</v>
      </c>
      <c r="O1774" s="37">
        <v>107692</v>
      </c>
      <c r="P1774" s="10"/>
      <c r="Q1774" s="10"/>
      <c r="R1774" s="10"/>
      <c r="S1774" s="10"/>
      <c r="T1774" s="10"/>
      <c r="U1774" s="10"/>
      <c r="V1774" s="10"/>
      <c r="W1774" s="10"/>
      <c r="X1774" s="10"/>
      <c r="Y1774" s="10"/>
      <c r="Z1774" s="10"/>
    </row>
    <row r="1775" spans="1:26" ht="14.25" customHeight="1">
      <c r="A1775" s="9">
        <v>1960</v>
      </c>
      <c r="B1775" s="10"/>
      <c r="C1775" s="9">
        <v>232045</v>
      </c>
      <c r="D1775" s="11" t="s">
        <v>862</v>
      </c>
      <c r="E1775" s="12">
        <v>45202</v>
      </c>
      <c r="F1775" s="13">
        <v>45200</v>
      </c>
      <c r="G1775" s="27">
        <v>995403</v>
      </c>
      <c r="H1775" s="10" t="s">
        <v>3603</v>
      </c>
      <c r="I1775" s="34">
        <v>51.606678703705299</v>
      </c>
      <c r="J1775" s="27"/>
      <c r="K1775" s="39"/>
      <c r="L1775" s="39"/>
      <c r="M1775" s="39"/>
      <c r="N1775" s="37">
        <v>0</v>
      </c>
      <c r="O1775" s="37">
        <v>995403</v>
      </c>
      <c r="P1775" s="10"/>
      <c r="Q1775" s="10"/>
      <c r="R1775" s="10"/>
      <c r="S1775" s="10"/>
      <c r="T1775" s="10"/>
      <c r="U1775" s="10"/>
      <c r="V1775" s="10"/>
      <c r="W1775" s="10"/>
      <c r="X1775" s="10"/>
      <c r="Y1775" s="10"/>
      <c r="Z1775" s="10"/>
    </row>
    <row r="1776" spans="1:26" ht="14.25" customHeight="1">
      <c r="A1776" s="9">
        <v>1961</v>
      </c>
      <c r="B1776" s="10"/>
      <c r="C1776" s="9">
        <v>232046</v>
      </c>
      <c r="D1776" s="11" t="s">
        <v>862</v>
      </c>
      <c r="E1776" s="12">
        <v>45202</v>
      </c>
      <c r="F1776" s="13">
        <v>45200</v>
      </c>
      <c r="G1776" s="27">
        <v>1250676</v>
      </c>
      <c r="H1776" s="10" t="s">
        <v>3604</v>
      </c>
      <c r="I1776" s="34">
        <v>51.606678703705299</v>
      </c>
      <c r="J1776" s="27"/>
      <c r="K1776" s="39"/>
      <c r="L1776" s="39"/>
      <c r="M1776" s="39"/>
      <c r="N1776" s="37">
        <v>0</v>
      </c>
      <c r="O1776" s="37">
        <v>1250676</v>
      </c>
      <c r="P1776" s="10"/>
      <c r="Q1776" s="10"/>
      <c r="R1776" s="10"/>
      <c r="S1776" s="10"/>
      <c r="T1776" s="10"/>
      <c r="U1776" s="10"/>
      <c r="V1776" s="10"/>
      <c r="W1776" s="10"/>
      <c r="X1776" s="10"/>
      <c r="Y1776" s="10"/>
      <c r="Z1776" s="10"/>
    </row>
    <row r="1777" spans="1:26" ht="14.25" customHeight="1">
      <c r="A1777" s="9">
        <v>1967</v>
      </c>
      <c r="B1777" s="10"/>
      <c r="C1777" s="9">
        <v>232050</v>
      </c>
      <c r="D1777" s="11" t="s">
        <v>862</v>
      </c>
      <c r="E1777" s="12">
        <v>45202</v>
      </c>
      <c r="F1777" s="13">
        <v>45200</v>
      </c>
      <c r="G1777" s="27">
        <v>4610003</v>
      </c>
      <c r="H1777" s="10" t="s">
        <v>3605</v>
      </c>
      <c r="I1777" s="34">
        <v>51.606678703705299</v>
      </c>
      <c r="J1777" s="27"/>
      <c r="K1777" s="39"/>
      <c r="L1777" s="39"/>
      <c r="M1777" s="39"/>
      <c r="N1777" s="37">
        <v>0</v>
      </c>
      <c r="O1777" s="37">
        <v>4610003</v>
      </c>
      <c r="P1777" s="10"/>
      <c r="Q1777" s="10"/>
      <c r="R1777" s="10"/>
      <c r="S1777" s="10"/>
      <c r="T1777" s="10"/>
      <c r="U1777" s="10"/>
      <c r="V1777" s="10"/>
      <c r="W1777" s="10"/>
      <c r="X1777" s="10"/>
      <c r="Y1777" s="10"/>
      <c r="Z1777" s="10"/>
    </row>
    <row r="1778" spans="1:26" ht="14.25" customHeight="1">
      <c r="A1778" s="9">
        <v>1962</v>
      </c>
      <c r="B1778" s="10"/>
      <c r="C1778" s="9">
        <v>232143</v>
      </c>
      <c r="D1778" s="11" t="s">
        <v>862</v>
      </c>
      <c r="E1778" s="12">
        <v>45215</v>
      </c>
      <c r="F1778" s="13">
        <v>45200</v>
      </c>
      <c r="G1778" s="27">
        <v>2630180</v>
      </c>
      <c r="H1778" s="10" t="s">
        <v>3606</v>
      </c>
      <c r="I1778" s="34">
        <v>51.606678703705299</v>
      </c>
      <c r="J1778" s="27"/>
      <c r="K1778" s="39"/>
      <c r="L1778" s="39"/>
      <c r="M1778" s="39"/>
      <c r="N1778" s="37">
        <v>0</v>
      </c>
      <c r="O1778" s="37">
        <v>2630180</v>
      </c>
      <c r="P1778" s="10"/>
      <c r="Q1778" s="10"/>
      <c r="R1778" s="10"/>
      <c r="S1778" s="10"/>
      <c r="T1778" s="10"/>
      <c r="U1778" s="10"/>
      <c r="V1778" s="10"/>
      <c r="W1778" s="10"/>
      <c r="X1778" s="10"/>
      <c r="Y1778" s="10"/>
      <c r="Z1778" s="10"/>
    </row>
    <row r="1779" spans="1:26" ht="14.25" customHeight="1">
      <c r="A1779" s="9">
        <v>1963</v>
      </c>
      <c r="B1779" s="10"/>
      <c r="C1779" s="9">
        <v>232142</v>
      </c>
      <c r="D1779" s="11" t="s">
        <v>862</v>
      </c>
      <c r="E1779" s="12">
        <v>45216</v>
      </c>
      <c r="F1779" s="13">
        <v>45200</v>
      </c>
      <c r="G1779" s="27">
        <v>505105</v>
      </c>
      <c r="H1779" s="10" t="s">
        <v>3607</v>
      </c>
      <c r="I1779" s="34">
        <v>51.606678703705299</v>
      </c>
      <c r="J1779" s="27"/>
      <c r="K1779" s="39"/>
      <c r="L1779" s="39"/>
      <c r="M1779" s="39"/>
      <c r="N1779" s="37">
        <v>0</v>
      </c>
      <c r="O1779" s="37">
        <v>505105</v>
      </c>
      <c r="P1779" s="10"/>
      <c r="Q1779" s="10"/>
      <c r="R1779" s="10"/>
      <c r="S1779" s="10"/>
      <c r="T1779" s="10"/>
      <c r="U1779" s="10"/>
      <c r="V1779" s="10"/>
      <c r="W1779" s="10"/>
      <c r="X1779" s="10"/>
      <c r="Y1779" s="10"/>
      <c r="Z1779" s="10"/>
    </row>
    <row r="1780" spans="1:26" ht="14.25" customHeight="1">
      <c r="A1780" s="9">
        <v>1964</v>
      </c>
      <c r="B1780" s="10"/>
      <c r="C1780" s="9">
        <v>232144</v>
      </c>
      <c r="D1780" s="11" t="s">
        <v>862</v>
      </c>
      <c r="E1780" s="12">
        <v>45219</v>
      </c>
      <c r="F1780" s="13">
        <v>45200</v>
      </c>
      <c r="G1780" s="27">
        <v>952380</v>
      </c>
      <c r="H1780" s="10" t="s">
        <v>3608</v>
      </c>
      <c r="I1780" s="34">
        <v>51.606678703705299</v>
      </c>
      <c r="J1780" s="27"/>
      <c r="K1780" s="39"/>
      <c r="L1780" s="39"/>
      <c r="M1780" s="39"/>
      <c r="N1780" s="37">
        <v>0</v>
      </c>
      <c r="O1780" s="37">
        <v>952380</v>
      </c>
      <c r="P1780" s="10"/>
      <c r="Q1780" s="10"/>
      <c r="R1780" s="10"/>
      <c r="S1780" s="10"/>
      <c r="T1780" s="10"/>
      <c r="U1780" s="10"/>
      <c r="V1780" s="10"/>
      <c r="W1780" s="10"/>
      <c r="X1780" s="10"/>
      <c r="Y1780" s="10"/>
      <c r="Z1780" s="10"/>
    </row>
    <row r="1781" spans="1:26" ht="14.25" customHeight="1">
      <c r="A1781" s="9">
        <v>1965</v>
      </c>
      <c r="B1781" s="10"/>
      <c r="C1781" s="9">
        <v>232155</v>
      </c>
      <c r="D1781" s="11" t="s">
        <v>862</v>
      </c>
      <c r="E1781" s="12">
        <v>45222</v>
      </c>
      <c r="F1781" s="13">
        <v>45200</v>
      </c>
      <c r="G1781" s="27">
        <v>859848</v>
      </c>
      <c r="H1781" s="10" t="s">
        <v>3609</v>
      </c>
      <c r="I1781" s="34">
        <v>51.606678703705299</v>
      </c>
      <c r="J1781" s="27"/>
      <c r="K1781" s="39"/>
      <c r="L1781" s="39"/>
      <c r="M1781" s="39"/>
      <c r="N1781" s="37">
        <v>0</v>
      </c>
      <c r="O1781" s="37">
        <v>859848</v>
      </c>
      <c r="P1781" s="10"/>
      <c r="Q1781" s="10"/>
      <c r="R1781" s="10"/>
      <c r="S1781" s="10"/>
      <c r="T1781" s="10"/>
      <c r="U1781" s="10"/>
      <c r="V1781" s="10"/>
      <c r="W1781" s="10"/>
      <c r="X1781" s="10"/>
      <c r="Y1781" s="10"/>
      <c r="Z1781" s="10"/>
    </row>
    <row r="1782" spans="1:26" ht="14.25" customHeight="1">
      <c r="A1782" s="9">
        <v>1968</v>
      </c>
      <c r="B1782" s="10"/>
      <c r="C1782" s="9">
        <v>232161</v>
      </c>
      <c r="D1782" s="11" t="s">
        <v>862</v>
      </c>
      <c r="E1782" s="12">
        <v>45222</v>
      </c>
      <c r="F1782" s="13">
        <v>45200</v>
      </c>
      <c r="G1782" s="27">
        <v>287188</v>
      </c>
      <c r="H1782" s="10" t="s">
        <v>3610</v>
      </c>
      <c r="I1782" s="34">
        <v>51.606678703705299</v>
      </c>
      <c r="J1782" s="27"/>
      <c r="K1782" s="39"/>
      <c r="L1782" s="39"/>
      <c r="M1782" s="39"/>
      <c r="N1782" s="37">
        <v>0</v>
      </c>
      <c r="O1782" s="37">
        <v>287188</v>
      </c>
      <c r="P1782" s="10"/>
      <c r="Q1782" s="10"/>
      <c r="R1782" s="10"/>
      <c r="S1782" s="10"/>
      <c r="T1782" s="10"/>
      <c r="U1782" s="10"/>
      <c r="V1782" s="10"/>
      <c r="W1782" s="10"/>
      <c r="X1782" s="10"/>
      <c r="Y1782" s="10"/>
      <c r="Z1782" s="10"/>
    </row>
    <row r="1783" spans="1:26" ht="14.25" customHeight="1">
      <c r="A1783" s="9">
        <v>1969</v>
      </c>
      <c r="B1783" s="10"/>
      <c r="C1783" s="9">
        <v>232179</v>
      </c>
      <c r="D1783" s="11" t="s">
        <v>862</v>
      </c>
      <c r="E1783" s="12">
        <v>45223</v>
      </c>
      <c r="F1783" s="13">
        <v>45200</v>
      </c>
      <c r="G1783" s="27">
        <v>1221000</v>
      </c>
      <c r="H1783" s="10" t="s">
        <v>3611</v>
      </c>
      <c r="I1783" s="34">
        <v>51.606678703705299</v>
      </c>
      <c r="J1783" s="27"/>
      <c r="K1783" s="39"/>
      <c r="L1783" s="39"/>
      <c r="M1783" s="39"/>
      <c r="N1783" s="37">
        <v>0</v>
      </c>
      <c r="O1783" s="37">
        <v>1221000</v>
      </c>
      <c r="P1783" s="10"/>
      <c r="Q1783" s="10"/>
      <c r="R1783" s="10"/>
      <c r="S1783" s="10"/>
      <c r="T1783" s="10"/>
      <c r="U1783" s="10"/>
      <c r="V1783" s="10"/>
      <c r="W1783" s="10"/>
      <c r="X1783" s="10"/>
      <c r="Y1783" s="10"/>
      <c r="Z1783" s="10"/>
    </row>
    <row r="1784" spans="1:26" ht="14.25" customHeight="1">
      <c r="A1784" s="9">
        <v>1966</v>
      </c>
      <c r="B1784" s="10"/>
      <c r="C1784" s="9">
        <v>232180</v>
      </c>
      <c r="D1784" s="11" t="s">
        <v>862</v>
      </c>
      <c r="E1784" s="12">
        <v>45225</v>
      </c>
      <c r="F1784" s="13">
        <v>45200</v>
      </c>
      <c r="G1784" s="27">
        <v>207792</v>
      </c>
      <c r="H1784" s="10" t="s">
        <v>3612</v>
      </c>
      <c r="I1784" s="34">
        <v>51.606678703705299</v>
      </c>
      <c r="J1784" s="27"/>
      <c r="K1784" s="39"/>
      <c r="L1784" s="39"/>
      <c r="M1784" s="39"/>
      <c r="N1784" s="37">
        <v>0</v>
      </c>
      <c r="O1784" s="37">
        <v>207792</v>
      </c>
      <c r="P1784" s="10"/>
      <c r="Q1784" s="10"/>
      <c r="R1784" s="10"/>
      <c r="S1784" s="10"/>
      <c r="T1784" s="10"/>
      <c r="U1784" s="10"/>
      <c r="V1784" s="10"/>
      <c r="W1784" s="10"/>
      <c r="X1784" s="10"/>
      <c r="Y1784" s="10"/>
      <c r="Z1784" s="10"/>
    </row>
    <row r="1785" spans="1:26" ht="14.25" customHeight="1">
      <c r="A1785" s="9">
        <v>1970</v>
      </c>
      <c r="B1785" s="10"/>
      <c r="C1785" s="9">
        <v>232197</v>
      </c>
      <c r="D1785" s="11" t="s">
        <v>862</v>
      </c>
      <c r="E1785" s="12">
        <v>45229</v>
      </c>
      <c r="F1785" s="13">
        <v>45200</v>
      </c>
      <c r="G1785" s="27">
        <v>650904</v>
      </c>
      <c r="H1785" s="10" t="s">
        <v>3613</v>
      </c>
      <c r="I1785" s="34">
        <v>51.606678703705299</v>
      </c>
      <c r="J1785" s="27"/>
      <c r="K1785" s="39"/>
      <c r="L1785" s="39"/>
      <c r="M1785" s="39"/>
      <c r="N1785" s="37">
        <v>0</v>
      </c>
      <c r="O1785" s="37">
        <v>650904</v>
      </c>
      <c r="P1785" s="10"/>
      <c r="Q1785" s="10"/>
      <c r="R1785" s="10"/>
      <c r="S1785" s="10"/>
      <c r="T1785" s="10"/>
      <c r="U1785" s="10"/>
      <c r="V1785" s="10"/>
      <c r="W1785" s="10"/>
      <c r="X1785" s="10"/>
      <c r="Y1785" s="10"/>
      <c r="Z1785" s="10"/>
    </row>
    <row r="1786" spans="1:26" ht="14.25" customHeight="1">
      <c r="A1786" s="9">
        <v>1971</v>
      </c>
      <c r="B1786" s="10"/>
      <c r="C1786" s="9">
        <v>232608</v>
      </c>
      <c r="D1786" s="11" t="s">
        <v>862</v>
      </c>
      <c r="E1786" s="12">
        <v>45231</v>
      </c>
      <c r="F1786" s="13">
        <v>45231</v>
      </c>
      <c r="G1786" s="27">
        <v>179487</v>
      </c>
      <c r="H1786" s="10" t="s">
        <v>3614</v>
      </c>
      <c r="I1786" s="34">
        <v>18.606678703705299</v>
      </c>
      <c r="J1786" s="27"/>
      <c r="K1786" s="39"/>
      <c r="L1786" s="39"/>
      <c r="M1786" s="39"/>
      <c r="N1786" s="37">
        <v>0</v>
      </c>
      <c r="O1786" s="37">
        <v>179487</v>
      </c>
      <c r="P1786" s="10"/>
      <c r="Q1786" s="10"/>
      <c r="R1786" s="10"/>
      <c r="S1786" s="10"/>
      <c r="T1786" s="10"/>
      <c r="U1786" s="10"/>
      <c r="V1786" s="10"/>
      <c r="W1786" s="10"/>
      <c r="X1786" s="10"/>
      <c r="Y1786" s="10"/>
      <c r="Z1786" s="10"/>
    </row>
    <row r="1787" spans="1:26" ht="14.25" customHeight="1">
      <c r="A1787" s="9">
        <v>1972</v>
      </c>
      <c r="B1787" s="10"/>
      <c r="C1787" s="9">
        <v>232247</v>
      </c>
      <c r="D1787" s="11" t="s">
        <v>862</v>
      </c>
      <c r="E1787" s="12">
        <v>45233</v>
      </c>
      <c r="F1787" s="13">
        <v>45231</v>
      </c>
      <c r="G1787" s="27">
        <v>724423</v>
      </c>
      <c r="H1787" s="10" t="s">
        <v>3615</v>
      </c>
      <c r="I1787" s="34">
        <v>18.606678703705299</v>
      </c>
      <c r="J1787" s="27"/>
      <c r="K1787" s="39"/>
      <c r="L1787" s="39"/>
      <c r="M1787" s="39"/>
      <c r="N1787" s="37">
        <v>0</v>
      </c>
      <c r="O1787" s="37">
        <v>724423</v>
      </c>
      <c r="P1787" s="10"/>
      <c r="Q1787" s="10"/>
      <c r="R1787" s="10"/>
      <c r="S1787" s="10"/>
      <c r="T1787" s="10"/>
      <c r="U1787" s="10"/>
      <c r="V1787" s="10"/>
      <c r="W1787" s="10"/>
      <c r="X1787" s="10"/>
      <c r="Y1787" s="10"/>
      <c r="Z1787" s="10"/>
    </row>
    <row r="1788" spans="1:26" ht="14.25" customHeight="1">
      <c r="A1788" s="9">
        <v>1973</v>
      </c>
      <c r="B1788" s="10"/>
      <c r="C1788" s="9">
        <v>232302</v>
      </c>
      <c r="D1788" s="11" t="s">
        <v>862</v>
      </c>
      <c r="E1788" s="12">
        <v>45241</v>
      </c>
      <c r="F1788" s="13">
        <v>45231</v>
      </c>
      <c r="G1788" s="27">
        <v>1250676</v>
      </c>
      <c r="H1788" s="10" t="s">
        <v>3616</v>
      </c>
      <c r="I1788" s="34">
        <v>18.606678703705299</v>
      </c>
      <c r="J1788" s="27"/>
      <c r="K1788" s="39"/>
      <c r="L1788" s="39"/>
      <c r="M1788" s="39"/>
      <c r="N1788" s="37">
        <v>0</v>
      </c>
      <c r="O1788" s="37">
        <v>1250676</v>
      </c>
      <c r="P1788" s="10"/>
      <c r="Q1788" s="10"/>
      <c r="R1788" s="10"/>
      <c r="S1788" s="10"/>
      <c r="T1788" s="10"/>
      <c r="U1788" s="10"/>
      <c r="V1788" s="10"/>
      <c r="W1788" s="10"/>
      <c r="X1788" s="10"/>
      <c r="Y1788" s="10"/>
      <c r="Z1788" s="10"/>
    </row>
    <row r="1789" spans="1:26" ht="14.25" customHeight="1">
      <c r="A1789" s="9">
        <v>1974</v>
      </c>
      <c r="B1789" s="10"/>
      <c r="C1789" s="9">
        <v>232303</v>
      </c>
      <c r="D1789" s="11" t="s">
        <v>862</v>
      </c>
      <c r="E1789" s="12">
        <v>45241</v>
      </c>
      <c r="F1789" s="13">
        <v>45231</v>
      </c>
      <c r="G1789" s="27">
        <v>1620311</v>
      </c>
      <c r="H1789" s="10" t="s">
        <v>3617</v>
      </c>
      <c r="I1789" s="34">
        <v>18.606678703705299</v>
      </c>
      <c r="J1789" s="27"/>
      <c r="K1789" s="39"/>
      <c r="L1789" s="39"/>
      <c r="M1789" s="39"/>
      <c r="N1789" s="37">
        <v>0</v>
      </c>
      <c r="O1789" s="37">
        <v>1620311</v>
      </c>
      <c r="P1789" s="10"/>
      <c r="Q1789" s="10"/>
      <c r="R1789" s="10"/>
      <c r="S1789" s="10"/>
      <c r="T1789" s="10"/>
      <c r="U1789" s="10"/>
      <c r="V1789" s="10"/>
      <c r="W1789" s="10"/>
      <c r="X1789" s="10"/>
      <c r="Y1789" s="10"/>
      <c r="Z1789" s="10"/>
    </row>
    <row r="1790" spans="1:26" ht="14.25" customHeight="1">
      <c r="A1790" s="9">
        <v>1979</v>
      </c>
      <c r="B1790" s="10"/>
      <c r="C1790" s="9">
        <v>232307</v>
      </c>
      <c r="D1790" s="11" t="s">
        <v>862</v>
      </c>
      <c r="E1790" s="12">
        <v>45243</v>
      </c>
      <c r="F1790" s="13">
        <v>45231</v>
      </c>
      <c r="G1790" s="27">
        <v>6105000</v>
      </c>
      <c r="H1790" s="10" t="s">
        <v>3618</v>
      </c>
      <c r="I1790" s="34">
        <v>18.606678703705299</v>
      </c>
      <c r="J1790" s="27"/>
      <c r="K1790" s="39"/>
      <c r="L1790" s="39"/>
      <c r="M1790" s="39"/>
      <c r="N1790" s="37">
        <v>0</v>
      </c>
      <c r="O1790" s="37">
        <v>6105000</v>
      </c>
      <c r="P1790" s="10"/>
      <c r="Q1790" s="10"/>
      <c r="R1790" s="10"/>
      <c r="S1790" s="10"/>
      <c r="T1790" s="10"/>
      <c r="U1790" s="10"/>
      <c r="V1790" s="10"/>
      <c r="W1790" s="10"/>
      <c r="X1790" s="10"/>
      <c r="Y1790" s="10"/>
      <c r="Z1790" s="10"/>
    </row>
    <row r="1791" spans="1:26" ht="14.25" customHeight="1">
      <c r="A1791" s="9">
        <v>1976</v>
      </c>
      <c r="B1791" s="10"/>
      <c r="C1791" s="9">
        <v>232379</v>
      </c>
      <c r="D1791" s="11" t="s">
        <v>862</v>
      </c>
      <c r="E1791" s="12">
        <v>45246</v>
      </c>
      <c r="F1791" s="13">
        <v>45231</v>
      </c>
      <c r="G1791" s="27">
        <v>302613</v>
      </c>
      <c r="H1791" s="10" t="s">
        <v>3619</v>
      </c>
      <c r="I1791" s="34">
        <v>18.606678703705299</v>
      </c>
      <c r="J1791" s="27"/>
      <c r="K1791" s="39"/>
      <c r="L1791" s="39"/>
      <c r="M1791" s="39"/>
      <c r="N1791" s="37">
        <v>0</v>
      </c>
      <c r="O1791" s="37">
        <v>302613</v>
      </c>
      <c r="P1791" s="10"/>
      <c r="Q1791" s="10"/>
      <c r="R1791" s="10"/>
      <c r="S1791" s="10"/>
      <c r="T1791" s="10"/>
      <c r="U1791" s="10"/>
      <c r="V1791" s="10"/>
      <c r="W1791" s="10"/>
      <c r="X1791" s="10"/>
      <c r="Y1791" s="10"/>
      <c r="Z1791" s="10"/>
    </row>
    <row r="1792" spans="1:26" ht="14.25" customHeight="1">
      <c r="A1792" s="9">
        <v>1975</v>
      </c>
      <c r="B1792" s="10"/>
      <c r="C1792" s="9">
        <v>232380</v>
      </c>
      <c r="D1792" s="11" t="s">
        <v>862</v>
      </c>
      <c r="E1792" s="12">
        <v>45246</v>
      </c>
      <c r="F1792" s="13">
        <v>45231</v>
      </c>
      <c r="G1792" s="27">
        <v>2024632</v>
      </c>
      <c r="H1792" s="10" t="s">
        <v>3620</v>
      </c>
      <c r="I1792" s="34">
        <v>18.606678703705299</v>
      </c>
      <c r="J1792" s="27"/>
      <c r="K1792" s="39"/>
      <c r="L1792" s="39"/>
      <c r="M1792" s="39"/>
      <c r="N1792" s="37">
        <v>0</v>
      </c>
      <c r="O1792" s="37">
        <v>2024632</v>
      </c>
      <c r="P1792" s="10"/>
      <c r="Q1792" s="10"/>
      <c r="R1792" s="10"/>
      <c r="S1792" s="10"/>
      <c r="T1792" s="10"/>
      <c r="U1792" s="10"/>
      <c r="V1792" s="10"/>
      <c r="W1792" s="10"/>
      <c r="X1792" s="10"/>
      <c r="Y1792" s="10"/>
      <c r="Z1792" s="10"/>
    </row>
    <row r="1793" spans="1:26" ht="14.25" customHeight="1">
      <c r="A1793" s="9">
        <v>1977</v>
      </c>
      <c r="B1793" s="10"/>
      <c r="C1793" s="9">
        <v>232377</v>
      </c>
      <c r="D1793" s="11" t="s">
        <v>862</v>
      </c>
      <c r="E1793" s="12">
        <v>45251</v>
      </c>
      <c r="F1793" s="13">
        <v>45231</v>
      </c>
      <c r="G1793" s="27">
        <v>379955</v>
      </c>
      <c r="H1793" s="10" t="s">
        <v>3621</v>
      </c>
      <c r="I1793" s="34">
        <v>18.606678703705299</v>
      </c>
      <c r="J1793" s="27"/>
      <c r="K1793" s="39"/>
      <c r="L1793" s="39"/>
      <c r="M1793" s="39"/>
      <c r="N1793" s="37">
        <v>0</v>
      </c>
      <c r="O1793" s="37">
        <v>379955</v>
      </c>
      <c r="P1793" s="10"/>
      <c r="Q1793" s="10"/>
      <c r="R1793" s="10"/>
      <c r="S1793" s="10"/>
      <c r="T1793" s="10"/>
      <c r="U1793" s="10"/>
      <c r="V1793" s="10"/>
      <c r="W1793" s="10"/>
      <c r="X1793" s="10"/>
      <c r="Y1793" s="10"/>
      <c r="Z1793" s="10"/>
    </row>
    <row r="1794" spans="1:26" ht="14.25" customHeight="1">
      <c r="A1794" s="9">
        <v>1978</v>
      </c>
      <c r="B1794" s="10"/>
      <c r="C1794" s="9">
        <v>232375</v>
      </c>
      <c r="D1794" s="11" t="s">
        <v>862</v>
      </c>
      <c r="E1794" s="12">
        <v>45253</v>
      </c>
      <c r="F1794" s="13">
        <v>45231</v>
      </c>
      <c r="G1794" s="27">
        <v>200502</v>
      </c>
      <c r="H1794" s="10" t="s">
        <v>3622</v>
      </c>
      <c r="I1794" s="34">
        <v>18.606678703705299</v>
      </c>
      <c r="J1794" s="27"/>
      <c r="K1794" s="39"/>
      <c r="L1794" s="39"/>
      <c r="M1794" s="39"/>
      <c r="N1794" s="37">
        <v>0</v>
      </c>
      <c r="O1794" s="37">
        <v>200502</v>
      </c>
      <c r="P1794" s="10"/>
      <c r="Q1794" s="10"/>
      <c r="R1794" s="10"/>
      <c r="S1794" s="10"/>
      <c r="T1794" s="10"/>
      <c r="U1794" s="10"/>
      <c r="V1794" s="10"/>
      <c r="W1794" s="10"/>
      <c r="X1794" s="10"/>
      <c r="Y1794" s="10"/>
      <c r="Z1794" s="10"/>
    </row>
    <row r="1795" spans="1:26" ht="14.25" customHeight="1">
      <c r="A1795" s="9">
        <v>1980</v>
      </c>
      <c r="B1795" s="10"/>
      <c r="C1795" s="9">
        <v>232378</v>
      </c>
      <c r="D1795" s="11" t="s">
        <v>862</v>
      </c>
      <c r="E1795" s="12">
        <v>45257</v>
      </c>
      <c r="F1795" s="13">
        <v>45231</v>
      </c>
      <c r="G1795" s="27">
        <v>1218774</v>
      </c>
      <c r="H1795" s="10" t="s">
        <v>3623</v>
      </c>
      <c r="I1795" s="34">
        <v>18.606678703705299</v>
      </c>
      <c r="J1795" s="27"/>
      <c r="K1795" s="39"/>
      <c r="L1795" s="39"/>
      <c r="M1795" s="39"/>
      <c r="N1795" s="37">
        <v>0</v>
      </c>
      <c r="O1795" s="37">
        <v>1218774</v>
      </c>
      <c r="P1795" s="10"/>
      <c r="Q1795" s="10"/>
      <c r="R1795" s="10"/>
      <c r="S1795" s="10"/>
      <c r="T1795" s="10"/>
      <c r="U1795" s="10"/>
      <c r="V1795" s="10"/>
      <c r="W1795" s="10"/>
      <c r="X1795" s="10"/>
      <c r="Y1795" s="10"/>
      <c r="Z1795" s="10"/>
    </row>
    <row r="1796" spans="1:26" ht="14.25" customHeight="1">
      <c r="A1796" s="9">
        <v>1990</v>
      </c>
      <c r="B1796" s="10"/>
      <c r="C1796" s="21">
        <v>230182</v>
      </c>
      <c r="D1796" s="22" t="s">
        <v>924</v>
      </c>
      <c r="E1796" s="23">
        <v>44952</v>
      </c>
      <c r="F1796" s="24">
        <v>44927</v>
      </c>
      <c r="G1796" s="25">
        <v>191628</v>
      </c>
      <c r="H1796" s="26" t="s">
        <v>3624</v>
      </c>
      <c r="I1796" s="34" t="s">
        <v>29</v>
      </c>
      <c r="J1796" s="25">
        <v>10401003</v>
      </c>
      <c r="K1796" s="40">
        <v>45005</v>
      </c>
      <c r="L1796" s="40">
        <v>45005</v>
      </c>
      <c r="M1796" s="40">
        <v>45005</v>
      </c>
      <c r="N1796" s="37">
        <v>191628</v>
      </c>
      <c r="O1796" s="37">
        <v>0</v>
      </c>
      <c r="P1796" s="10"/>
      <c r="Q1796" s="10"/>
      <c r="R1796" s="10"/>
      <c r="S1796" s="10"/>
      <c r="T1796" s="10"/>
      <c r="U1796" s="10"/>
      <c r="V1796" s="10"/>
      <c r="W1796" s="10"/>
      <c r="X1796" s="10"/>
      <c r="Y1796" s="10"/>
      <c r="Z1796" s="10"/>
    </row>
    <row r="1797" spans="1:26" ht="14.25" customHeight="1">
      <c r="A1797" s="9">
        <v>1991</v>
      </c>
      <c r="B1797" s="10"/>
      <c r="C1797" s="21">
        <v>230311</v>
      </c>
      <c r="D1797" s="22" t="s">
        <v>924</v>
      </c>
      <c r="E1797" s="23">
        <v>44972</v>
      </c>
      <c r="F1797" s="24">
        <v>44958</v>
      </c>
      <c r="G1797" s="25">
        <v>10209375</v>
      </c>
      <c r="H1797" s="26" t="s">
        <v>3625</v>
      </c>
      <c r="I1797" s="34" t="s">
        <v>29</v>
      </c>
      <c r="J1797" s="10"/>
      <c r="K1797" s="39"/>
      <c r="L1797" s="40">
        <v>45005</v>
      </c>
      <c r="M1797" s="40">
        <v>45005</v>
      </c>
      <c r="N1797" s="37">
        <v>10209375</v>
      </c>
      <c r="O1797" s="37">
        <v>0</v>
      </c>
      <c r="P1797" s="10"/>
      <c r="Q1797" s="10"/>
      <c r="R1797" s="10"/>
      <c r="S1797" s="10"/>
      <c r="T1797" s="10"/>
      <c r="U1797" s="10"/>
      <c r="V1797" s="10"/>
      <c r="W1797" s="10"/>
      <c r="X1797" s="10"/>
      <c r="Y1797" s="10"/>
      <c r="Z1797" s="10"/>
    </row>
    <row r="1798" spans="1:26" ht="14.25" customHeight="1">
      <c r="A1798" s="9">
        <v>1992</v>
      </c>
      <c r="B1798" s="10"/>
      <c r="C1798" s="21">
        <v>230424</v>
      </c>
      <c r="D1798" s="22" t="s">
        <v>924</v>
      </c>
      <c r="E1798" s="23">
        <v>44979</v>
      </c>
      <c r="F1798" s="24">
        <v>44958</v>
      </c>
      <c r="G1798" s="25">
        <v>555498</v>
      </c>
      <c r="H1798" s="26" t="s">
        <v>3626</v>
      </c>
      <c r="I1798" s="34" t="s">
        <v>29</v>
      </c>
      <c r="J1798" s="25">
        <v>26404609</v>
      </c>
      <c r="K1798" s="40">
        <v>45061</v>
      </c>
      <c r="L1798" s="40">
        <v>45061</v>
      </c>
      <c r="M1798" s="40">
        <v>45063</v>
      </c>
      <c r="N1798" s="37">
        <v>555498</v>
      </c>
      <c r="O1798" s="37">
        <v>0</v>
      </c>
      <c r="P1798" s="10"/>
      <c r="Q1798" s="10"/>
      <c r="R1798" s="10"/>
      <c r="S1798" s="10"/>
      <c r="T1798" s="10"/>
      <c r="U1798" s="10"/>
      <c r="V1798" s="10"/>
      <c r="W1798" s="10"/>
      <c r="X1798" s="10"/>
      <c r="Y1798" s="10"/>
      <c r="Z1798" s="10"/>
    </row>
    <row r="1799" spans="1:26" ht="14.25" customHeight="1">
      <c r="A1799" s="9">
        <v>1993</v>
      </c>
      <c r="B1799" s="10"/>
      <c r="C1799" s="21">
        <v>230802</v>
      </c>
      <c r="D1799" s="22" t="s">
        <v>924</v>
      </c>
      <c r="E1799" s="23">
        <v>45002</v>
      </c>
      <c r="F1799" s="24">
        <v>44986</v>
      </c>
      <c r="G1799" s="25">
        <v>1877259</v>
      </c>
      <c r="H1799" s="26" t="s">
        <v>3627</v>
      </c>
      <c r="I1799" s="34" t="s">
        <v>29</v>
      </c>
      <c r="J1799" s="26"/>
      <c r="K1799" s="36"/>
      <c r="L1799" s="40">
        <v>45061</v>
      </c>
      <c r="M1799" s="40">
        <v>45063</v>
      </c>
      <c r="N1799" s="37">
        <v>1877259</v>
      </c>
      <c r="O1799" s="37">
        <v>0</v>
      </c>
      <c r="P1799" s="10"/>
      <c r="Q1799" s="10"/>
      <c r="R1799" s="10"/>
      <c r="S1799" s="10"/>
      <c r="T1799" s="10"/>
      <c r="U1799" s="10"/>
      <c r="V1799" s="10"/>
      <c r="W1799" s="10"/>
      <c r="X1799" s="10"/>
      <c r="Y1799" s="10"/>
      <c r="Z1799" s="10"/>
    </row>
    <row r="1800" spans="1:26" ht="14.25" customHeight="1">
      <c r="A1800" s="9">
        <v>1994</v>
      </c>
      <c r="B1800" s="10"/>
      <c r="C1800" s="21">
        <v>230770</v>
      </c>
      <c r="D1800" s="22" t="s">
        <v>924</v>
      </c>
      <c r="E1800" s="23">
        <v>45022</v>
      </c>
      <c r="F1800" s="24">
        <v>45017</v>
      </c>
      <c r="G1800" s="25">
        <v>151424</v>
      </c>
      <c r="H1800" s="26" t="s">
        <v>3628</v>
      </c>
      <c r="I1800" s="34" t="s">
        <v>29</v>
      </c>
      <c r="J1800" s="25">
        <v>34435904</v>
      </c>
      <c r="K1800" s="40">
        <v>45079</v>
      </c>
      <c r="L1800" s="40">
        <v>45079</v>
      </c>
      <c r="M1800" s="40">
        <v>45080</v>
      </c>
      <c r="N1800" s="37">
        <v>151424</v>
      </c>
      <c r="O1800" s="37">
        <v>0</v>
      </c>
      <c r="P1800" s="10"/>
      <c r="Q1800" s="10"/>
      <c r="R1800" s="10"/>
      <c r="S1800" s="10"/>
      <c r="T1800" s="10"/>
      <c r="U1800" s="10"/>
      <c r="V1800" s="10"/>
      <c r="W1800" s="10"/>
      <c r="X1800" s="10"/>
      <c r="Y1800" s="10"/>
      <c r="Z1800" s="10"/>
    </row>
    <row r="1801" spans="1:26" ht="14.25" customHeight="1">
      <c r="A1801" s="9">
        <v>1996</v>
      </c>
      <c r="B1801" s="10"/>
      <c r="C1801" s="21">
        <v>231129</v>
      </c>
      <c r="D1801" s="22" t="s">
        <v>924</v>
      </c>
      <c r="E1801" s="23">
        <v>45084</v>
      </c>
      <c r="F1801" s="24">
        <v>45078</v>
      </c>
      <c r="G1801" s="25">
        <v>2724000</v>
      </c>
      <c r="H1801" s="26" t="s">
        <v>3629</v>
      </c>
      <c r="I1801" s="34" t="s">
        <v>29</v>
      </c>
      <c r="J1801" s="27"/>
      <c r="K1801" s="49"/>
      <c r="L1801" s="40">
        <v>45148</v>
      </c>
      <c r="M1801" s="40">
        <v>45148</v>
      </c>
      <c r="N1801" s="37">
        <v>2724000</v>
      </c>
      <c r="O1801" s="37">
        <v>0</v>
      </c>
      <c r="P1801" s="10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</row>
    <row r="1802" spans="1:26" ht="14.25" customHeight="1">
      <c r="A1802" s="9">
        <v>1995</v>
      </c>
      <c r="B1802" s="10"/>
      <c r="C1802" s="21">
        <v>231131</v>
      </c>
      <c r="D1802" s="22" t="s">
        <v>924</v>
      </c>
      <c r="E1802" s="23">
        <v>45084</v>
      </c>
      <c r="F1802" s="24">
        <v>45078</v>
      </c>
      <c r="G1802" s="25">
        <v>1877859</v>
      </c>
      <c r="H1802" s="26" t="s">
        <v>3630</v>
      </c>
      <c r="I1802" s="34" t="s">
        <v>29</v>
      </c>
      <c r="J1802" s="25">
        <v>10243619</v>
      </c>
      <c r="K1802" s="40">
        <v>45148</v>
      </c>
      <c r="L1802" s="40">
        <v>45148</v>
      </c>
      <c r="M1802" s="40">
        <v>45148</v>
      </c>
      <c r="N1802" s="37">
        <v>1877859</v>
      </c>
      <c r="O1802" s="37">
        <v>0</v>
      </c>
      <c r="P1802" s="10"/>
      <c r="Q1802" s="10"/>
      <c r="R1802" s="10"/>
      <c r="S1802" s="10"/>
      <c r="T1802" s="10"/>
      <c r="U1802" s="10"/>
      <c r="V1802" s="10"/>
      <c r="W1802" s="10"/>
      <c r="X1802" s="10"/>
      <c r="Y1802" s="10"/>
      <c r="Z1802" s="10"/>
    </row>
    <row r="1803" spans="1:26" ht="14.25" customHeight="1">
      <c r="A1803" s="9">
        <v>1997</v>
      </c>
      <c r="B1803" s="10"/>
      <c r="C1803" s="21">
        <v>231206</v>
      </c>
      <c r="D1803" s="22" t="s">
        <v>924</v>
      </c>
      <c r="E1803" s="23">
        <v>45093</v>
      </c>
      <c r="F1803" s="24">
        <v>45078</v>
      </c>
      <c r="G1803" s="25">
        <v>5448000</v>
      </c>
      <c r="H1803" s="26" t="s">
        <v>3631</v>
      </c>
      <c r="I1803" s="34" t="s">
        <v>29</v>
      </c>
      <c r="J1803" s="27"/>
      <c r="K1803" s="49"/>
      <c r="L1803" s="40">
        <v>45148</v>
      </c>
      <c r="M1803" s="40">
        <v>45148</v>
      </c>
      <c r="N1803" s="37">
        <v>5448000</v>
      </c>
      <c r="O1803" s="37">
        <v>0</v>
      </c>
      <c r="P1803" s="10"/>
      <c r="Q1803" s="10"/>
      <c r="R1803" s="10"/>
      <c r="S1803" s="10"/>
      <c r="T1803" s="10"/>
      <c r="U1803" s="10"/>
      <c r="V1803" s="10"/>
      <c r="W1803" s="10"/>
      <c r="X1803" s="10"/>
      <c r="Y1803" s="10"/>
      <c r="Z1803" s="10"/>
    </row>
    <row r="1804" spans="1:26" ht="14.25" customHeight="1">
      <c r="A1804" s="9">
        <v>1998</v>
      </c>
      <c r="B1804" s="10"/>
      <c r="C1804" s="21">
        <v>231299</v>
      </c>
      <c r="D1804" s="22" t="s">
        <v>924</v>
      </c>
      <c r="E1804" s="23">
        <v>45107</v>
      </c>
      <c r="F1804" s="24">
        <v>45078</v>
      </c>
      <c r="G1804" s="25">
        <v>193760</v>
      </c>
      <c r="H1804" s="26" t="s">
        <v>3632</v>
      </c>
      <c r="I1804" s="34" t="s">
        <v>29</v>
      </c>
      <c r="J1804" s="27"/>
      <c r="K1804" s="49"/>
      <c r="L1804" s="40">
        <v>45148</v>
      </c>
      <c r="M1804" s="40">
        <v>45148</v>
      </c>
      <c r="N1804" s="37">
        <v>193760</v>
      </c>
      <c r="O1804" s="37">
        <v>0</v>
      </c>
      <c r="P1804" s="10"/>
      <c r="Q1804" s="10"/>
      <c r="R1804" s="10"/>
      <c r="S1804" s="10"/>
      <c r="T1804" s="10"/>
      <c r="U1804" s="10"/>
      <c r="V1804" s="10"/>
      <c r="W1804" s="10"/>
      <c r="X1804" s="10"/>
      <c r="Y1804" s="10"/>
      <c r="Z1804" s="10"/>
    </row>
    <row r="1805" spans="1:26" ht="14.25" customHeight="1">
      <c r="A1805" s="9">
        <v>1999</v>
      </c>
      <c r="B1805" s="10"/>
      <c r="C1805" s="21">
        <v>231681</v>
      </c>
      <c r="D1805" s="22" t="s">
        <v>924</v>
      </c>
      <c r="E1805" s="23">
        <v>45149</v>
      </c>
      <c r="F1805" s="24">
        <v>45139</v>
      </c>
      <c r="G1805" s="25">
        <v>4223750</v>
      </c>
      <c r="H1805" s="26" t="s">
        <v>3633</v>
      </c>
      <c r="I1805" s="34" t="s">
        <v>29</v>
      </c>
      <c r="J1805" s="27">
        <v>9036809</v>
      </c>
      <c r="K1805" s="49">
        <v>45229</v>
      </c>
      <c r="L1805" s="40">
        <v>45229</v>
      </c>
      <c r="M1805" s="40">
        <v>45229</v>
      </c>
      <c r="N1805" s="37">
        <v>4223750</v>
      </c>
      <c r="O1805" s="37">
        <v>0</v>
      </c>
      <c r="P1805" s="10"/>
      <c r="Q1805" s="10"/>
      <c r="R1805" s="10"/>
      <c r="S1805" s="10"/>
      <c r="T1805" s="10"/>
      <c r="U1805" s="10"/>
      <c r="V1805" s="10"/>
      <c r="W1805" s="10"/>
      <c r="X1805" s="10"/>
      <c r="Y1805" s="10"/>
      <c r="Z1805" s="10"/>
    </row>
    <row r="1806" spans="1:26" ht="14.25" customHeight="1">
      <c r="A1806" s="9">
        <v>2000</v>
      </c>
      <c r="B1806" s="10"/>
      <c r="C1806" s="21">
        <v>231714</v>
      </c>
      <c r="D1806" s="22" t="s">
        <v>924</v>
      </c>
      <c r="E1806" s="23">
        <v>45163</v>
      </c>
      <c r="F1806" s="24">
        <v>45139</v>
      </c>
      <c r="G1806" s="25">
        <v>1877859</v>
      </c>
      <c r="H1806" s="26" t="s">
        <v>3634</v>
      </c>
      <c r="I1806" s="34" t="s">
        <v>29</v>
      </c>
      <c r="J1806" s="27"/>
      <c r="K1806" s="49"/>
      <c r="L1806" s="40">
        <v>45229</v>
      </c>
      <c r="M1806" s="40">
        <v>45229</v>
      </c>
      <c r="N1806" s="37">
        <v>1877859</v>
      </c>
      <c r="O1806" s="37">
        <v>0</v>
      </c>
      <c r="P1806" s="10"/>
      <c r="Q1806" s="10"/>
      <c r="R1806" s="10"/>
      <c r="S1806" s="10"/>
      <c r="T1806" s="10"/>
      <c r="U1806" s="10"/>
      <c r="V1806" s="10"/>
      <c r="W1806" s="10"/>
      <c r="X1806" s="10"/>
      <c r="Y1806" s="10"/>
      <c r="Z1806" s="10"/>
    </row>
    <row r="1807" spans="1:26" ht="14.25" customHeight="1">
      <c r="A1807" s="9">
        <v>2001</v>
      </c>
      <c r="B1807" s="10"/>
      <c r="C1807" s="21">
        <v>231746</v>
      </c>
      <c r="D1807" s="22" t="s">
        <v>924</v>
      </c>
      <c r="E1807" s="23">
        <v>45167</v>
      </c>
      <c r="F1807" s="24">
        <v>45139</v>
      </c>
      <c r="G1807" s="25">
        <v>2935200</v>
      </c>
      <c r="H1807" s="26" t="s">
        <v>3635</v>
      </c>
      <c r="I1807" s="34" t="s">
        <v>29</v>
      </c>
      <c r="J1807" s="27"/>
      <c r="K1807" s="49"/>
      <c r="L1807" s="40">
        <v>45229</v>
      </c>
      <c r="M1807" s="40">
        <v>45229</v>
      </c>
      <c r="N1807" s="37">
        <v>2935200</v>
      </c>
      <c r="O1807" s="37">
        <v>0</v>
      </c>
      <c r="P1807" s="10"/>
      <c r="Q1807" s="10"/>
      <c r="R1807" s="10"/>
      <c r="S1807" s="10"/>
      <c r="T1807" s="10"/>
      <c r="U1807" s="10"/>
      <c r="V1807" s="10"/>
      <c r="W1807" s="10"/>
      <c r="X1807" s="10"/>
      <c r="Y1807" s="10"/>
      <c r="Z1807" s="10"/>
    </row>
    <row r="1808" spans="1:26" ht="14.25" customHeight="1">
      <c r="A1808" s="9">
        <v>2002</v>
      </c>
      <c r="B1808" s="10"/>
      <c r="C1808" s="21">
        <v>232051</v>
      </c>
      <c r="D1808" s="22" t="s">
        <v>924</v>
      </c>
      <c r="E1808" s="23">
        <v>45199</v>
      </c>
      <c r="F1808" s="24">
        <v>45170</v>
      </c>
      <c r="G1808" s="25">
        <v>4540000</v>
      </c>
      <c r="H1808" s="26" t="s">
        <v>3636</v>
      </c>
      <c r="I1808" s="34" t="s">
        <v>29</v>
      </c>
      <c r="J1808" s="31">
        <v>6990250</v>
      </c>
      <c r="K1808" s="39">
        <v>45271</v>
      </c>
      <c r="L1808" s="36">
        <v>45271</v>
      </c>
      <c r="M1808" s="36">
        <v>45271</v>
      </c>
      <c r="N1808" s="37">
        <v>4540000</v>
      </c>
      <c r="O1808" s="37">
        <v>0</v>
      </c>
      <c r="P1808" s="10"/>
      <c r="Q1808" s="10"/>
      <c r="R1808" s="10"/>
      <c r="S1808" s="10"/>
      <c r="T1808" s="10"/>
      <c r="U1808" s="10"/>
      <c r="V1808" s="10"/>
      <c r="W1808" s="10"/>
      <c r="X1808" s="10"/>
      <c r="Y1808" s="10"/>
      <c r="Z1808" s="10"/>
    </row>
    <row r="1809" spans="1:26" ht="14.25" customHeight="1">
      <c r="A1809" s="9">
        <v>2003</v>
      </c>
      <c r="B1809" s="10"/>
      <c r="C1809" s="21">
        <v>232149</v>
      </c>
      <c r="D1809" s="22" t="s">
        <v>924</v>
      </c>
      <c r="E1809" s="23">
        <v>45218</v>
      </c>
      <c r="F1809" s="24">
        <v>45200</v>
      </c>
      <c r="G1809" s="25">
        <v>2450250</v>
      </c>
      <c r="H1809" s="26" t="s">
        <v>3637</v>
      </c>
      <c r="I1809" s="34" t="s">
        <v>29</v>
      </c>
      <c r="J1809" s="11"/>
      <c r="K1809" s="39"/>
      <c r="L1809" s="36">
        <v>45271</v>
      </c>
      <c r="M1809" s="36">
        <v>45271</v>
      </c>
      <c r="N1809" s="37">
        <v>2450250</v>
      </c>
      <c r="O1809" s="37">
        <v>0</v>
      </c>
      <c r="P1809" s="10"/>
      <c r="Q1809" s="10"/>
      <c r="R1809" s="10"/>
      <c r="S1809" s="10"/>
      <c r="T1809" s="10"/>
      <c r="U1809" s="10"/>
      <c r="V1809" s="10"/>
      <c r="W1809" s="10"/>
      <c r="X1809" s="10"/>
      <c r="Y1809" s="10"/>
      <c r="Z1809" s="10"/>
    </row>
    <row r="1810" spans="1:26" ht="14.25" customHeight="1">
      <c r="A1810" s="9">
        <v>2005</v>
      </c>
      <c r="B1810" s="10"/>
      <c r="C1810" s="21">
        <v>232195</v>
      </c>
      <c r="D1810" s="22" t="s">
        <v>924</v>
      </c>
      <c r="E1810" s="23">
        <v>45226</v>
      </c>
      <c r="F1810" s="24">
        <v>45200</v>
      </c>
      <c r="G1810" s="25">
        <v>1840302</v>
      </c>
      <c r="H1810" s="26" t="s">
        <v>3638</v>
      </c>
      <c r="I1810" s="34" t="s">
        <v>29</v>
      </c>
      <c r="J1810" s="11"/>
      <c r="K1810" s="39"/>
      <c r="L1810" s="36">
        <v>45288</v>
      </c>
      <c r="M1810" s="36">
        <v>45288</v>
      </c>
      <c r="N1810" s="37">
        <v>1840302</v>
      </c>
      <c r="O1810" s="37">
        <v>0</v>
      </c>
      <c r="P1810" s="10"/>
      <c r="Q1810" s="10"/>
      <c r="R1810" s="10"/>
      <c r="S1810" s="10"/>
      <c r="T1810" s="10"/>
      <c r="U1810" s="10"/>
      <c r="V1810" s="10"/>
      <c r="W1810" s="10"/>
      <c r="X1810" s="10"/>
      <c r="Y1810" s="10"/>
      <c r="Z1810" s="10"/>
    </row>
    <row r="1811" spans="1:26" ht="14.25" customHeight="1">
      <c r="A1811" s="9">
        <v>2004</v>
      </c>
      <c r="B1811" s="10"/>
      <c r="C1811" s="21">
        <v>232194</v>
      </c>
      <c r="D1811" s="22" t="s">
        <v>924</v>
      </c>
      <c r="E1811" s="23">
        <v>45229</v>
      </c>
      <c r="F1811" s="24">
        <v>45200</v>
      </c>
      <c r="G1811" s="25">
        <v>1633500</v>
      </c>
      <c r="H1811" s="26" t="s">
        <v>3639</v>
      </c>
      <c r="I1811" s="34" t="s">
        <v>29</v>
      </c>
      <c r="J1811" s="31">
        <v>3473802</v>
      </c>
      <c r="K1811" s="39">
        <v>45288</v>
      </c>
      <c r="L1811" s="36">
        <v>45288</v>
      </c>
      <c r="M1811" s="36">
        <v>45288</v>
      </c>
      <c r="N1811" s="37">
        <v>1633500</v>
      </c>
      <c r="O1811" s="37">
        <v>0</v>
      </c>
      <c r="P1811" s="10"/>
      <c r="Q1811" s="10"/>
      <c r="R1811" s="10"/>
      <c r="S1811" s="10"/>
      <c r="T1811" s="10"/>
      <c r="U1811" s="10"/>
      <c r="V1811" s="10"/>
      <c r="W1811" s="10"/>
      <c r="X1811" s="10"/>
      <c r="Y1811" s="10"/>
      <c r="Z1811" s="10"/>
    </row>
    <row r="1812" spans="1:26" ht="14.25" customHeight="1">
      <c r="A1812" s="9">
        <v>2006</v>
      </c>
      <c r="B1812" s="10"/>
      <c r="C1812" s="9">
        <v>232321</v>
      </c>
      <c r="D1812" s="11" t="s">
        <v>924</v>
      </c>
      <c r="E1812" s="12">
        <v>45246</v>
      </c>
      <c r="F1812" s="13">
        <v>45231</v>
      </c>
      <c r="G1812" s="27">
        <v>4540000</v>
      </c>
      <c r="H1812" s="10" t="s">
        <v>3640</v>
      </c>
      <c r="I1812" s="34">
        <v>30.606678703705299</v>
      </c>
      <c r="J1812" s="11"/>
      <c r="K1812" s="39"/>
      <c r="L1812" s="39"/>
      <c r="M1812" s="39"/>
      <c r="N1812" s="37">
        <v>0</v>
      </c>
      <c r="O1812" s="37">
        <v>4540000</v>
      </c>
      <c r="P1812" s="10"/>
      <c r="Q1812" s="10"/>
      <c r="R1812" s="10"/>
      <c r="S1812" s="10"/>
      <c r="T1812" s="10"/>
      <c r="U1812" s="10"/>
      <c r="V1812" s="10"/>
      <c r="W1812" s="10"/>
      <c r="X1812" s="10"/>
      <c r="Y1812" s="10"/>
      <c r="Z1812" s="10"/>
    </row>
    <row r="1813" spans="1:26" ht="14.25" customHeight="1">
      <c r="A1813" s="9">
        <v>2014</v>
      </c>
      <c r="B1813" s="10"/>
      <c r="C1813" s="21">
        <v>222291</v>
      </c>
      <c r="D1813" s="22" t="s">
        <v>938</v>
      </c>
      <c r="E1813" s="23">
        <v>44917</v>
      </c>
      <c r="F1813" s="24">
        <v>44896</v>
      </c>
      <c r="G1813" s="25">
        <v>1392606</v>
      </c>
      <c r="H1813" s="26" t="s">
        <v>3641</v>
      </c>
      <c r="I1813" s="34" t="s">
        <v>29</v>
      </c>
      <c r="J1813" s="25">
        <v>1392606</v>
      </c>
      <c r="K1813" s="40">
        <v>44967</v>
      </c>
      <c r="L1813" s="40">
        <v>44967</v>
      </c>
      <c r="M1813" s="40">
        <v>44967</v>
      </c>
      <c r="N1813" s="37">
        <v>1392606</v>
      </c>
      <c r="O1813" s="37">
        <v>0</v>
      </c>
      <c r="P1813" s="10"/>
      <c r="Q1813" s="10"/>
      <c r="R1813" s="10"/>
      <c r="S1813" s="10"/>
      <c r="T1813" s="10"/>
      <c r="U1813" s="10"/>
      <c r="V1813" s="10"/>
      <c r="W1813" s="10"/>
      <c r="X1813" s="10"/>
      <c r="Y1813" s="10"/>
      <c r="Z1813" s="10"/>
    </row>
    <row r="1814" spans="1:26" ht="14.25" customHeight="1">
      <c r="A1814" s="9">
        <v>2015</v>
      </c>
      <c r="B1814" s="10"/>
      <c r="C1814" s="21">
        <v>230455</v>
      </c>
      <c r="D1814" s="22" t="s">
        <v>938</v>
      </c>
      <c r="E1814" s="23">
        <v>44957</v>
      </c>
      <c r="F1814" s="24">
        <v>44927</v>
      </c>
      <c r="G1814" s="25">
        <v>402279</v>
      </c>
      <c r="H1814" s="26" t="s">
        <v>3642</v>
      </c>
      <c r="I1814" s="34" t="s">
        <v>29</v>
      </c>
      <c r="J1814" s="25">
        <v>402279</v>
      </c>
      <c r="K1814" s="40">
        <v>45005</v>
      </c>
      <c r="L1814" s="40">
        <v>45005</v>
      </c>
      <c r="M1814" s="40">
        <v>45005</v>
      </c>
      <c r="N1814" s="37">
        <v>402279</v>
      </c>
      <c r="O1814" s="37">
        <v>0</v>
      </c>
      <c r="P1814" s="10"/>
      <c r="Q1814" s="10"/>
      <c r="R1814" s="10"/>
      <c r="S1814" s="10"/>
      <c r="T1814" s="10"/>
      <c r="U1814" s="10"/>
      <c r="V1814" s="10"/>
      <c r="W1814" s="10"/>
      <c r="X1814" s="10"/>
      <c r="Y1814" s="10"/>
      <c r="Z1814" s="10"/>
    </row>
    <row r="1815" spans="1:26" ht="14.25" customHeight="1">
      <c r="A1815" s="9">
        <v>2016</v>
      </c>
      <c r="B1815" s="10"/>
      <c r="C1815" s="21">
        <v>230322</v>
      </c>
      <c r="D1815" s="22" t="s">
        <v>938</v>
      </c>
      <c r="E1815" s="23">
        <v>44974</v>
      </c>
      <c r="F1815" s="24">
        <v>44958</v>
      </c>
      <c r="G1815" s="25">
        <v>863518</v>
      </c>
      <c r="H1815" s="26" t="s">
        <v>3643</v>
      </c>
      <c r="I1815" s="34" t="s">
        <v>29</v>
      </c>
      <c r="J1815" s="25">
        <v>863518</v>
      </c>
      <c r="K1815" s="40">
        <v>45071</v>
      </c>
      <c r="L1815" s="40">
        <v>45071</v>
      </c>
      <c r="M1815" s="40">
        <v>45072</v>
      </c>
      <c r="N1815" s="37">
        <v>863518</v>
      </c>
      <c r="O1815" s="37">
        <v>0</v>
      </c>
      <c r="P1815" s="10"/>
      <c r="Q1815" s="10"/>
      <c r="R1815" s="10"/>
      <c r="S1815" s="10"/>
      <c r="T1815" s="10"/>
      <c r="U1815" s="10"/>
      <c r="V1815" s="10"/>
      <c r="W1815" s="10"/>
      <c r="X1815" s="10"/>
      <c r="Y1815" s="10"/>
      <c r="Z1815" s="10"/>
    </row>
    <row r="1816" spans="1:26" ht="14.25" customHeight="1">
      <c r="A1816" s="9">
        <v>2017</v>
      </c>
      <c r="B1816" s="10"/>
      <c r="C1816" s="21">
        <v>230580</v>
      </c>
      <c r="D1816" s="22" t="s">
        <v>938</v>
      </c>
      <c r="E1816" s="23">
        <v>45002</v>
      </c>
      <c r="F1816" s="24">
        <v>44986</v>
      </c>
      <c r="G1816" s="25">
        <v>2302029</v>
      </c>
      <c r="H1816" s="26" t="s">
        <v>3644</v>
      </c>
      <c r="I1816" s="34" t="s">
        <v>29</v>
      </c>
      <c r="J1816" s="25">
        <v>3322674</v>
      </c>
      <c r="K1816" s="40">
        <v>45079</v>
      </c>
      <c r="L1816" s="40">
        <v>45079</v>
      </c>
      <c r="M1816" s="40">
        <v>45080</v>
      </c>
      <c r="N1816" s="37">
        <v>2302029</v>
      </c>
      <c r="O1816" s="37">
        <v>0</v>
      </c>
      <c r="P1816" s="10"/>
      <c r="Q1816" s="10"/>
      <c r="R1816" s="10"/>
      <c r="S1816" s="10"/>
      <c r="T1816" s="10"/>
      <c r="U1816" s="10"/>
      <c r="V1816" s="10"/>
      <c r="W1816" s="10"/>
      <c r="X1816" s="10"/>
      <c r="Y1816" s="10"/>
      <c r="Z1816" s="10"/>
    </row>
    <row r="1817" spans="1:26" ht="14.25" customHeight="1">
      <c r="A1817" s="9">
        <v>2018</v>
      </c>
      <c r="B1817" s="10"/>
      <c r="C1817" s="21">
        <v>230659</v>
      </c>
      <c r="D1817" s="22" t="s">
        <v>938</v>
      </c>
      <c r="E1817" s="23">
        <v>45013</v>
      </c>
      <c r="F1817" s="24">
        <v>44986</v>
      </c>
      <c r="G1817" s="25">
        <v>310245</v>
      </c>
      <c r="H1817" s="26" t="s">
        <v>3645</v>
      </c>
      <c r="I1817" s="34" t="s">
        <v>29</v>
      </c>
      <c r="J1817" s="27"/>
      <c r="K1817" s="49"/>
      <c r="L1817" s="40">
        <v>45079</v>
      </c>
      <c r="M1817" s="40">
        <v>45080</v>
      </c>
      <c r="N1817" s="37">
        <v>310245</v>
      </c>
      <c r="O1817" s="37">
        <v>0</v>
      </c>
      <c r="P1817" s="10"/>
      <c r="Q1817" s="10"/>
      <c r="R1817" s="10"/>
      <c r="S1817" s="10"/>
      <c r="T1817" s="10"/>
      <c r="U1817" s="10"/>
      <c r="V1817" s="10"/>
      <c r="W1817" s="10"/>
      <c r="X1817" s="10"/>
      <c r="Y1817" s="10"/>
      <c r="Z1817" s="10"/>
    </row>
    <row r="1818" spans="1:26" ht="14.25" customHeight="1">
      <c r="A1818" s="9">
        <v>2019</v>
      </c>
      <c r="B1818" s="10"/>
      <c r="C1818" s="21">
        <v>230702</v>
      </c>
      <c r="D1818" s="22" t="s">
        <v>938</v>
      </c>
      <c r="E1818" s="23">
        <v>45014</v>
      </c>
      <c r="F1818" s="24">
        <v>44986</v>
      </c>
      <c r="G1818" s="25">
        <v>710400</v>
      </c>
      <c r="H1818" s="26" t="s">
        <v>3646</v>
      </c>
      <c r="I1818" s="34" t="s">
        <v>29</v>
      </c>
      <c r="J1818" s="27"/>
      <c r="K1818" s="49"/>
      <c r="L1818" s="40">
        <v>45079</v>
      </c>
      <c r="M1818" s="40">
        <v>45080</v>
      </c>
      <c r="N1818" s="37">
        <v>710400</v>
      </c>
      <c r="O1818" s="37">
        <v>0</v>
      </c>
      <c r="P1818" s="10"/>
      <c r="Q1818" s="10"/>
      <c r="R1818" s="10"/>
      <c r="S1818" s="10"/>
      <c r="T1818" s="10"/>
      <c r="U1818" s="10"/>
      <c r="V1818" s="10"/>
      <c r="W1818" s="10"/>
      <c r="X1818" s="10"/>
      <c r="Y1818" s="10"/>
      <c r="Z1818" s="10"/>
    </row>
    <row r="1819" spans="1:26" ht="14.25" customHeight="1">
      <c r="A1819" s="9">
        <v>2020</v>
      </c>
      <c r="B1819" s="10"/>
      <c r="C1819" s="21">
        <v>231112</v>
      </c>
      <c r="D1819" s="22" t="s">
        <v>938</v>
      </c>
      <c r="E1819" s="23">
        <v>45082</v>
      </c>
      <c r="F1819" s="24">
        <v>45078</v>
      </c>
      <c r="G1819" s="25">
        <v>2261070</v>
      </c>
      <c r="H1819" s="25" t="s">
        <v>3647</v>
      </c>
      <c r="I1819" s="34" t="s">
        <v>29</v>
      </c>
      <c r="J1819" s="25">
        <v>2261070</v>
      </c>
      <c r="K1819" s="36">
        <v>45148</v>
      </c>
      <c r="L1819" s="36">
        <v>45148</v>
      </c>
      <c r="M1819" s="36">
        <v>45148</v>
      </c>
      <c r="N1819" s="37">
        <v>2261070</v>
      </c>
      <c r="O1819" s="37">
        <v>0</v>
      </c>
      <c r="P1819" s="10"/>
      <c r="Q1819" s="10"/>
      <c r="R1819" s="10"/>
      <c r="S1819" s="10"/>
      <c r="T1819" s="10"/>
      <c r="U1819" s="10"/>
      <c r="V1819" s="10"/>
      <c r="W1819" s="10"/>
      <c r="X1819" s="10"/>
      <c r="Y1819" s="10"/>
      <c r="Z1819" s="10"/>
    </row>
    <row r="1820" spans="1:26" ht="14.25" customHeight="1">
      <c r="A1820" s="9">
        <v>2021</v>
      </c>
      <c r="B1820" s="10"/>
      <c r="C1820" s="21">
        <v>231209</v>
      </c>
      <c r="D1820" s="22" t="s">
        <v>938</v>
      </c>
      <c r="E1820" s="23">
        <v>45093</v>
      </c>
      <c r="F1820" s="24">
        <v>45078</v>
      </c>
      <c r="G1820" s="25">
        <v>3069372</v>
      </c>
      <c r="H1820" s="25" t="s">
        <v>3648</v>
      </c>
      <c r="I1820" s="34" t="s">
        <v>29</v>
      </c>
      <c r="J1820" s="27">
        <v>3069372</v>
      </c>
      <c r="K1820" s="36">
        <v>45169</v>
      </c>
      <c r="L1820" s="36">
        <v>45169</v>
      </c>
      <c r="M1820" s="36">
        <v>45169</v>
      </c>
      <c r="N1820" s="37">
        <v>3069372</v>
      </c>
      <c r="O1820" s="37">
        <v>0</v>
      </c>
      <c r="P1820" s="10"/>
      <c r="Q1820" s="10"/>
      <c r="R1820" s="10"/>
      <c r="S1820" s="10"/>
      <c r="T1820" s="10"/>
      <c r="U1820" s="10"/>
      <c r="V1820" s="10"/>
      <c r="W1820" s="10"/>
      <c r="X1820" s="10"/>
      <c r="Y1820" s="10"/>
      <c r="Z1820" s="10"/>
    </row>
    <row r="1821" spans="1:26" ht="14.25" customHeight="1">
      <c r="A1821" s="9">
        <v>2024</v>
      </c>
      <c r="B1821" s="10"/>
      <c r="C1821" s="21">
        <v>231567</v>
      </c>
      <c r="D1821" s="22" t="s">
        <v>938</v>
      </c>
      <c r="E1821" s="23">
        <v>45145</v>
      </c>
      <c r="F1821" s="24">
        <v>45139</v>
      </c>
      <c r="G1821" s="25">
        <v>456093</v>
      </c>
      <c r="H1821" s="25" t="s">
        <v>3649</v>
      </c>
      <c r="I1821" s="34" t="s">
        <v>29</v>
      </c>
      <c r="J1821" s="27"/>
      <c r="K1821" s="36">
        <v>45229</v>
      </c>
      <c r="L1821" s="36">
        <v>45229</v>
      </c>
      <c r="M1821" s="36">
        <v>45229</v>
      </c>
      <c r="N1821" s="37">
        <v>456093</v>
      </c>
      <c r="O1821" s="37">
        <v>0</v>
      </c>
      <c r="P1821" s="10"/>
      <c r="Q1821" s="10"/>
      <c r="R1821" s="10"/>
      <c r="S1821" s="10"/>
      <c r="T1821" s="10"/>
      <c r="U1821" s="10"/>
      <c r="V1821" s="10"/>
      <c r="W1821" s="10"/>
      <c r="X1821" s="10"/>
      <c r="Y1821" s="10"/>
      <c r="Z1821" s="10"/>
    </row>
    <row r="1822" spans="1:26" ht="14.25" customHeight="1">
      <c r="A1822" s="9">
        <v>2022</v>
      </c>
      <c r="B1822" s="10"/>
      <c r="C1822" s="21">
        <v>231588</v>
      </c>
      <c r="D1822" s="22" t="s">
        <v>938</v>
      </c>
      <c r="E1822" s="23">
        <v>45149</v>
      </c>
      <c r="F1822" s="24">
        <v>45139</v>
      </c>
      <c r="G1822" s="25">
        <v>1727038</v>
      </c>
      <c r="H1822" s="25" t="s">
        <v>3650</v>
      </c>
      <c r="I1822" s="34" t="s">
        <v>29</v>
      </c>
      <c r="J1822" s="27">
        <v>5252503</v>
      </c>
      <c r="K1822" s="36">
        <v>45229</v>
      </c>
      <c r="L1822" s="36">
        <v>45229</v>
      </c>
      <c r="M1822" s="36">
        <v>45229</v>
      </c>
      <c r="N1822" s="37">
        <v>1727038</v>
      </c>
      <c r="O1822" s="37">
        <v>0</v>
      </c>
      <c r="P1822" s="10"/>
      <c r="Q1822" s="10"/>
      <c r="R1822" s="10"/>
      <c r="S1822" s="10"/>
      <c r="T1822" s="10"/>
      <c r="U1822" s="10"/>
      <c r="V1822" s="10"/>
      <c r="W1822" s="10"/>
      <c r="X1822" s="10"/>
      <c r="Y1822" s="10"/>
      <c r="Z1822" s="10"/>
    </row>
    <row r="1823" spans="1:26" ht="14.25" customHeight="1">
      <c r="A1823" s="9">
        <v>2023</v>
      </c>
      <c r="B1823" s="10"/>
      <c r="C1823" s="21">
        <v>231590</v>
      </c>
      <c r="D1823" s="22" t="s">
        <v>938</v>
      </c>
      <c r="E1823" s="23">
        <v>45153</v>
      </c>
      <c r="F1823" s="24">
        <v>45139</v>
      </c>
      <c r="G1823" s="25">
        <v>3069372</v>
      </c>
      <c r="H1823" s="25" t="s">
        <v>3651</v>
      </c>
      <c r="I1823" s="34" t="s">
        <v>29</v>
      </c>
      <c r="J1823" s="27"/>
      <c r="K1823" s="36">
        <v>45229</v>
      </c>
      <c r="L1823" s="36">
        <v>45229</v>
      </c>
      <c r="M1823" s="36">
        <v>45229</v>
      </c>
      <c r="N1823" s="37">
        <v>3069372</v>
      </c>
      <c r="O1823" s="37">
        <v>0</v>
      </c>
      <c r="P1823" s="10"/>
      <c r="Q1823" s="10"/>
      <c r="R1823" s="10"/>
      <c r="S1823" s="10"/>
      <c r="T1823" s="10"/>
      <c r="U1823" s="10"/>
      <c r="V1823" s="10"/>
      <c r="W1823" s="10"/>
      <c r="X1823" s="10"/>
      <c r="Y1823" s="10"/>
      <c r="Z1823" s="10"/>
    </row>
    <row r="1824" spans="1:26" ht="14.25" customHeight="1">
      <c r="A1824" s="9">
        <v>2029</v>
      </c>
      <c r="B1824" s="10"/>
      <c r="C1824" s="21">
        <v>222080</v>
      </c>
      <c r="D1824" s="22" t="s">
        <v>954</v>
      </c>
      <c r="E1824" s="23">
        <v>44888</v>
      </c>
      <c r="F1824" s="24">
        <v>44866</v>
      </c>
      <c r="G1824" s="25">
        <v>854700</v>
      </c>
      <c r="H1824" s="26" t="s">
        <v>3652</v>
      </c>
      <c r="I1824" s="34" t="s">
        <v>29</v>
      </c>
      <c r="J1824" s="25">
        <v>2524140</v>
      </c>
      <c r="K1824" s="40">
        <v>45071</v>
      </c>
      <c r="L1824" s="40">
        <v>45071</v>
      </c>
      <c r="M1824" s="40">
        <v>45072</v>
      </c>
      <c r="N1824" s="37">
        <v>854700</v>
      </c>
      <c r="O1824" s="37">
        <v>0</v>
      </c>
      <c r="P1824" s="41"/>
      <c r="Q1824" s="41"/>
      <c r="R1824" s="41"/>
      <c r="S1824" s="41"/>
      <c r="T1824" s="41"/>
      <c r="U1824" s="41"/>
      <c r="V1824" s="41"/>
      <c r="W1824" s="41"/>
      <c r="X1824" s="41"/>
      <c r="Y1824" s="41"/>
      <c r="Z1824" s="41"/>
    </row>
    <row r="1825" spans="1:26" ht="14.25" customHeight="1">
      <c r="A1825" s="9">
        <v>2030</v>
      </c>
      <c r="B1825" s="10"/>
      <c r="C1825" s="21">
        <v>222324</v>
      </c>
      <c r="D1825" s="22" t="s">
        <v>954</v>
      </c>
      <c r="E1825" s="23">
        <v>44915</v>
      </c>
      <c r="F1825" s="24">
        <v>44896</v>
      </c>
      <c r="G1825" s="25">
        <v>371850</v>
      </c>
      <c r="H1825" s="26" t="s">
        <v>3653</v>
      </c>
      <c r="I1825" s="34" t="s">
        <v>29</v>
      </c>
      <c r="J1825" s="10"/>
      <c r="K1825" s="39"/>
      <c r="L1825" s="40">
        <v>45071</v>
      </c>
      <c r="M1825" s="40">
        <v>45072</v>
      </c>
      <c r="N1825" s="37">
        <v>371850</v>
      </c>
      <c r="O1825" s="37">
        <v>0</v>
      </c>
      <c r="P1825" s="10"/>
      <c r="Q1825" s="10"/>
      <c r="R1825" s="10"/>
      <c r="S1825" s="10"/>
      <c r="T1825" s="10"/>
      <c r="U1825" s="10"/>
      <c r="V1825" s="10"/>
      <c r="W1825" s="10"/>
      <c r="X1825" s="10"/>
      <c r="Y1825" s="10"/>
      <c r="Z1825" s="10"/>
    </row>
    <row r="1826" spans="1:26" ht="14.25" customHeight="1">
      <c r="A1826" s="9">
        <v>2031</v>
      </c>
      <c r="B1826" s="10"/>
      <c r="C1826" s="21">
        <v>230087</v>
      </c>
      <c r="D1826" s="22" t="s">
        <v>954</v>
      </c>
      <c r="E1826" s="23">
        <v>44933</v>
      </c>
      <c r="F1826" s="24">
        <v>44927</v>
      </c>
      <c r="G1826" s="25">
        <v>659340</v>
      </c>
      <c r="H1826" s="26" t="s">
        <v>3654</v>
      </c>
      <c r="I1826" s="34" t="s">
        <v>29</v>
      </c>
      <c r="J1826" s="10"/>
      <c r="K1826" s="39"/>
      <c r="L1826" s="40">
        <v>45071</v>
      </c>
      <c r="M1826" s="40">
        <v>45072</v>
      </c>
      <c r="N1826" s="37">
        <v>659340</v>
      </c>
      <c r="O1826" s="37">
        <v>0</v>
      </c>
      <c r="P1826" s="10"/>
      <c r="Q1826" s="10"/>
      <c r="R1826" s="10"/>
      <c r="S1826" s="10"/>
      <c r="T1826" s="10"/>
      <c r="U1826" s="10"/>
      <c r="V1826" s="10"/>
      <c r="W1826" s="10"/>
      <c r="X1826" s="10"/>
      <c r="Y1826" s="10"/>
      <c r="Z1826" s="10"/>
    </row>
    <row r="1827" spans="1:26" ht="14.25" customHeight="1">
      <c r="A1827" s="9">
        <v>2032</v>
      </c>
      <c r="B1827" s="10"/>
      <c r="C1827" s="21">
        <v>230233</v>
      </c>
      <c r="D1827" s="22" t="s">
        <v>954</v>
      </c>
      <c r="E1827" s="23">
        <v>44959</v>
      </c>
      <c r="F1827" s="24">
        <v>44958</v>
      </c>
      <c r="G1827" s="25">
        <v>638250</v>
      </c>
      <c r="H1827" s="26" t="s">
        <v>3655</v>
      </c>
      <c r="I1827" s="34" t="s">
        <v>29</v>
      </c>
      <c r="J1827" s="10"/>
      <c r="K1827" s="39"/>
      <c r="L1827" s="40">
        <v>45071</v>
      </c>
      <c r="M1827" s="40">
        <v>45072</v>
      </c>
      <c r="N1827" s="37">
        <v>638250</v>
      </c>
      <c r="O1827" s="37">
        <v>0</v>
      </c>
      <c r="P1827" s="10"/>
      <c r="Q1827" s="10"/>
      <c r="R1827" s="10"/>
      <c r="S1827" s="10"/>
      <c r="T1827" s="10"/>
      <c r="U1827" s="10"/>
      <c r="V1827" s="10"/>
      <c r="W1827" s="10"/>
      <c r="X1827" s="10"/>
      <c r="Y1827" s="10"/>
      <c r="Z1827" s="10"/>
    </row>
    <row r="1828" spans="1:26" ht="14.25" customHeight="1">
      <c r="A1828" s="9">
        <v>2033</v>
      </c>
      <c r="B1828" s="10"/>
      <c r="C1828" s="21">
        <v>230435</v>
      </c>
      <c r="D1828" s="22" t="s">
        <v>954</v>
      </c>
      <c r="E1828" s="23">
        <v>44984</v>
      </c>
      <c r="F1828" s="24">
        <v>44958</v>
      </c>
      <c r="G1828" s="25">
        <v>678210</v>
      </c>
      <c r="H1828" s="26" t="s">
        <v>3656</v>
      </c>
      <c r="I1828" s="233" t="s">
        <v>29</v>
      </c>
      <c r="J1828" s="25">
        <v>2719500</v>
      </c>
      <c r="K1828" s="40">
        <v>45092</v>
      </c>
      <c r="L1828" s="40">
        <v>45093</v>
      </c>
      <c r="M1828" s="40">
        <v>45093</v>
      </c>
      <c r="N1828" s="37">
        <v>678210</v>
      </c>
      <c r="O1828" s="37">
        <v>0</v>
      </c>
      <c r="P1828" s="10"/>
      <c r="Q1828" s="10"/>
      <c r="R1828" s="10"/>
      <c r="S1828" s="10"/>
      <c r="T1828" s="10"/>
      <c r="U1828" s="10"/>
      <c r="V1828" s="10"/>
      <c r="W1828" s="10"/>
      <c r="X1828" s="10"/>
      <c r="Y1828" s="10"/>
      <c r="Z1828" s="10"/>
    </row>
    <row r="1829" spans="1:26" ht="14.25" customHeight="1">
      <c r="A1829" s="9">
        <v>2034</v>
      </c>
      <c r="B1829" s="10"/>
      <c r="C1829" s="21">
        <v>230652</v>
      </c>
      <c r="D1829" s="22" t="s">
        <v>954</v>
      </c>
      <c r="E1829" s="23">
        <v>45012</v>
      </c>
      <c r="F1829" s="24">
        <v>44986</v>
      </c>
      <c r="G1829" s="25">
        <v>932400</v>
      </c>
      <c r="H1829" s="26" t="s">
        <v>3657</v>
      </c>
      <c r="I1829" s="233" t="s">
        <v>29</v>
      </c>
      <c r="J1829" s="10"/>
      <c r="K1829" s="39"/>
      <c r="L1829" s="40">
        <v>45093</v>
      </c>
      <c r="M1829" s="40">
        <v>45093</v>
      </c>
      <c r="N1829" s="37">
        <v>932400</v>
      </c>
      <c r="O1829" s="37">
        <v>0</v>
      </c>
      <c r="P1829" s="10"/>
      <c r="Q1829" s="10"/>
      <c r="R1829" s="10"/>
      <c r="S1829" s="10"/>
      <c r="T1829" s="10"/>
      <c r="U1829" s="10"/>
      <c r="V1829" s="10"/>
      <c r="W1829" s="10"/>
      <c r="X1829" s="10"/>
      <c r="Y1829" s="10"/>
      <c r="Z1829" s="10"/>
    </row>
    <row r="1830" spans="1:26" ht="14.25" customHeight="1">
      <c r="A1830" s="9">
        <v>2035</v>
      </c>
      <c r="B1830" s="10"/>
      <c r="C1830" s="21">
        <v>230844</v>
      </c>
      <c r="D1830" s="22" t="s">
        <v>954</v>
      </c>
      <c r="E1830" s="23">
        <v>45034</v>
      </c>
      <c r="F1830" s="24">
        <v>45017</v>
      </c>
      <c r="G1830" s="25">
        <v>814740</v>
      </c>
      <c r="H1830" s="26" t="s">
        <v>3658</v>
      </c>
      <c r="I1830" s="233" t="s">
        <v>29</v>
      </c>
      <c r="J1830" s="10"/>
      <c r="K1830" s="39"/>
      <c r="L1830" s="40">
        <v>45093</v>
      </c>
      <c r="M1830" s="40">
        <v>45093</v>
      </c>
      <c r="N1830" s="37">
        <v>814740</v>
      </c>
      <c r="O1830" s="37">
        <v>0</v>
      </c>
      <c r="P1830" s="10"/>
      <c r="Q1830" s="10"/>
      <c r="R1830" s="10"/>
      <c r="S1830" s="10"/>
      <c r="T1830" s="10"/>
      <c r="U1830" s="10"/>
      <c r="V1830" s="10"/>
      <c r="W1830" s="10"/>
      <c r="X1830" s="10"/>
      <c r="Y1830" s="10"/>
      <c r="Z1830" s="10"/>
    </row>
    <row r="1831" spans="1:26" ht="14.25" customHeight="1">
      <c r="A1831" s="9">
        <v>2036</v>
      </c>
      <c r="B1831" s="10"/>
      <c r="C1831" s="21">
        <v>230882</v>
      </c>
      <c r="D1831" s="22" t="s">
        <v>954</v>
      </c>
      <c r="E1831" s="23">
        <v>45034</v>
      </c>
      <c r="F1831" s="24">
        <v>45017</v>
      </c>
      <c r="G1831" s="25">
        <v>294150</v>
      </c>
      <c r="H1831" s="26" t="s">
        <v>3659</v>
      </c>
      <c r="I1831" s="233" t="s">
        <v>29</v>
      </c>
      <c r="J1831" s="10"/>
      <c r="K1831" s="39"/>
      <c r="L1831" s="40">
        <v>45093</v>
      </c>
      <c r="M1831" s="40">
        <v>45093</v>
      </c>
      <c r="N1831" s="37">
        <v>294150</v>
      </c>
      <c r="O1831" s="37">
        <v>0</v>
      </c>
      <c r="P1831" s="10"/>
      <c r="Q1831" s="10"/>
      <c r="R1831" s="10"/>
      <c r="S1831" s="10"/>
      <c r="T1831" s="10"/>
      <c r="U1831" s="10"/>
      <c r="V1831" s="10"/>
      <c r="W1831" s="10"/>
      <c r="X1831" s="10"/>
      <c r="Y1831" s="10"/>
      <c r="Z1831" s="10"/>
    </row>
    <row r="1832" spans="1:26" ht="14.25" customHeight="1">
      <c r="A1832" s="9">
        <v>2037</v>
      </c>
      <c r="B1832" s="10"/>
      <c r="C1832" s="21">
        <v>230965</v>
      </c>
      <c r="D1832" s="22" t="s">
        <v>954</v>
      </c>
      <c r="E1832" s="23">
        <v>45059</v>
      </c>
      <c r="F1832" s="24">
        <v>45047</v>
      </c>
      <c r="G1832" s="25">
        <v>754800</v>
      </c>
      <c r="H1832" s="25" t="s">
        <v>3660</v>
      </c>
      <c r="I1832" s="233" t="s">
        <v>29</v>
      </c>
      <c r="J1832" s="27">
        <v>4388940</v>
      </c>
      <c r="K1832" s="39">
        <v>45271</v>
      </c>
      <c r="L1832" s="36">
        <v>45271</v>
      </c>
      <c r="M1832" s="36">
        <v>45271</v>
      </c>
      <c r="N1832" s="37">
        <v>754800</v>
      </c>
      <c r="O1832" s="37">
        <v>0</v>
      </c>
      <c r="P1832" s="10"/>
      <c r="Q1832" s="10"/>
      <c r="R1832" s="10"/>
      <c r="S1832" s="10"/>
      <c r="T1832" s="10"/>
      <c r="U1832" s="10"/>
      <c r="V1832" s="10"/>
      <c r="W1832" s="10"/>
      <c r="X1832" s="10"/>
      <c r="Y1832" s="10"/>
      <c r="Z1832" s="10"/>
    </row>
    <row r="1833" spans="1:26" ht="14.25" customHeight="1">
      <c r="A1833" s="9">
        <v>2038</v>
      </c>
      <c r="B1833" s="10"/>
      <c r="C1833" s="21">
        <v>231069</v>
      </c>
      <c r="D1833" s="22" t="s">
        <v>954</v>
      </c>
      <c r="E1833" s="23">
        <v>45073</v>
      </c>
      <c r="F1833" s="24">
        <v>45047</v>
      </c>
      <c r="G1833" s="25">
        <v>352980</v>
      </c>
      <c r="H1833" s="25" t="s">
        <v>3661</v>
      </c>
      <c r="I1833" s="233" t="s">
        <v>29</v>
      </c>
      <c r="J1833" s="10"/>
      <c r="K1833" s="39"/>
      <c r="L1833" s="36">
        <v>45271</v>
      </c>
      <c r="M1833" s="36">
        <v>45271</v>
      </c>
      <c r="N1833" s="37">
        <v>352980</v>
      </c>
      <c r="O1833" s="37">
        <v>0</v>
      </c>
      <c r="P1833" s="10"/>
      <c r="Q1833" s="10"/>
      <c r="R1833" s="10"/>
      <c r="S1833" s="10"/>
      <c r="T1833" s="10"/>
      <c r="U1833" s="10"/>
      <c r="V1833" s="10"/>
      <c r="W1833" s="10"/>
      <c r="X1833" s="10"/>
      <c r="Y1833" s="10"/>
      <c r="Z1833" s="10"/>
    </row>
    <row r="1834" spans="1:26" ht="14.25" customHeight="1">
      <c r="A1834" s="9">
        <v>2039</v>
      </c>
      <c r="B1834" s="10"/>
      <c r="C1834" s="21">
        <v>231169</v>
      </c>
      <c r="D1834" s="22" t="s">
        <v>954</v>
      </c>
      <c r="E1834" s="23">
        <v>45092</v>
      </c>
      <c r="F1834" s="24">
        <v>45078</v>
      </c>
      <c r="G1834" s="25">
        <v>638250</v>
      </c>
      <c r="H1834" s="25" t="s">
        <v>3662</v>
      </c>
      <c r="I1834" s="233" t="s">
        <v>29</v>
      </c>
      <c r="J1834" s="10"/>
      <c r="K1834" s="39"/>
      <c r="L1834" s="36">
        <v>45271</v>
      </c>
      <c r="M1834" s="36">
        <v>45271</v>
      </c>
      <c r="N1834" s="37">
        <v>638250</v>
      </c>
      <c r="O1834" s="37">
        <v>0</v>
      </c>
      <c r="P1834" s="10"/>
      <c r="Q1834" s="10"/>
      <c r="R1834" s="10"/>
      <c r="S1834" s="10"/>
      <c r="T1834" s="10"/>
      <c r="U1834" s="10"/>
      <c r="V1834" s="10"/>
      <c r="W1834" s="10"/>
      <c r="X1834" s="10"/>
      <c r="Y1834" s="10"/>
      <c r="Z1834" s="10"/>
    </row>
    <row r="1835" spans="1:26" ht="14.25" customHeight="1">
      <c r="A1835" s="9">
        <v>2040</v>
      </c>
      <c r="B1835" s="10"/>
      <c r="C1835" s="21">
        <v>231284</v>
      </c>
      <c r="D1835" s="22" t="s">
        <v>954</v>
      </c>
      <c r="E1835" s="23">
        <v>45105</v>
      </c>
      <c r="F1835" s="24">
        <v>45078</v>
      </c>
      <c r="G1835" s="25">
        <v>294150</v>
      </c>
      <c r="H1835" s="25" t="s">
        <v>3663</v>
      </c>
      <c r="I1835" s="233" t="s">
        <v>29</v>
      </c>
      <c r="J1835" s="10"/>
      <c r="K1835" s="39"/>
      <c r="L1835" s="36">
        <v>45271</v>
      </c>
      <c r="M1835" s="36">
        <v>45271</v>
      </c>
      <c r="N1835" s="37">
        <v>294150</v>
      </c>
      <c r="O1835" s="37">
        <v>0</v>
      </c>
      <c r="P1835" s="10"/>
      <c r="Q1835" s="10"/>
      <c r="R1835" s="10"/>
      <c r="S1835" s="10"/>
      <c r="T1835" s="10"/>
      <c r="U1835" s="10"/>
      <c r="V1835" s="10"/>
      <c r="W1835" s="10"/>
      <c r="X1835" s="10"/>
      <c r="Y1835" s="10"/>
      <c r="Z1835" s="10"/>
    </row>
    <row r="1836" spans="1:26" ht="14.25" customHeight="1">
      <c r="A1836" s="9">
        <v>2041</v>
      </c>
      <c r="B1836" s="10"/>
      <c r="C1836" s="21">
        <v>231397</v>
      </c>
      <c r="D1836" s="22" t="s">
        <v>954</v>
      </c>
      <c r="E1836" s="23">
        <v>45124</v>
      </c>
      <c r="F1836" s="24">
        <v>45108</v>
      </c>
      <c r="G1836" s="25">
        <v>873570</v>
      </c>
      <c r="H1836" s="25" t="s">
        <v>3664</v>
      </c>
      <c r="I1836" s="233" t="s">
        <v>29</v>
      </c>
      <c r="J1836" s="10"/>
      <c r="K1836" s="39"/>
      <c r="L1836" s="36">
        <v>45271</v>
      </c>
      <c r="M1836" s="36">
        <v>45271</v>
      </c>
      <c r="N1836" s="37">
        <v>873570</v>
      </c>
      <c r="O1836" s="37">
        <v>0</v>
      </c>
      <c r="P1836" s="10"/>
      <c r="Q1836" s="10"/>
      <c r="R1836" s="10"/>
      <c r="S1836" s="10"/>
      <c r="T1836" s="10"/>
      <c r="U1836" s="10"/>
      <c r="V1836" s="10"/>
      <c r="W1836" s="10"/>
      <c r="X1836" s="10"/>
      <c r="Y1836" s="10"/>
      <c r="Z1836" s="10"/>
    </row>
    <row r="1837" spans="1:26" ht="14.25" customHeight="1">
      <c r="A1837" s="9">
        <v>2042</v>
      </c>
      <c r="B1837" s="10"/>
      <c r="C1837" s="21">
        <v>231580</v>
      </c>
      <c r="D1837" s="22" t="s">
        <v>954</v>
      </c>
      <c r="E1837" s="23">
        <v>45149</v>
      </c>
      <c r="F1837" s="24">
        <v>45139</v>
      </c>
      <c r="G1837" s="25">
        <v>1168830</v>
      </c>
      <c r="H1837" s="25" t="s">
        <v>3665</v>
      </c>
      <c r="I1837" s="233" t="s">
        <v>29</v>
      </c>
      <c r="J1837" s="10"/>
      <c r="K1837" s="39"/>
      <c r="L1837" s="36">
        <v>45271</v>
      </c>
      <c r="M1837" s="36">
        <v>45271</v>
      </c>
      <c r="N1837" s="37">
        <v>1168830</v>
      </c>
      <c r="O1837" s="37">
        <v>0</v>
      </c>
      <c r="P1837" s="10"/>
      <c r="Q1837" s="10"/>
      <c r="R1837" s="10"/>
      <c r="S1837" s="10"/>
      <c r="T1837" s="10"/>
      <c r="U1837" s="10"/>
      <c r="V1837" s="10"/>
      <c r="W1837" s="10"/>
      <c r="X1837" s="10"/>
      <c r="Y1837" s="10"/>
      <c r="Z1837" s="10"/>
    </row>
    <row r="1838" spans="1:26" ht="14.25" customHeight="1">
      <c r="A1838" s="9">
        <v>2043</v>
      </c>
      <c r="B1838" s="10"/>
      <c r="C1838" s="21">
        <v>231776</v>
      </c>
      <c r="D1838" s="22" t="s">
        <v>954</v>
      </c>
      <c r="E1838" s="23">
        <v>45168</v>
      </c>
      <c r="F1838" s="24">
        <v>45139</v>
      </c>
      <c r="G1838" s="25">
        <v>306360</v>
      </c>
      <c r="H1838" s="25" t="s">
        <v>3666</v>
      </c>
      <c r="I1838" s="233" t="s">
        <v>29</v>
      </c>
      <c r="J1838" s="10"/>
      <c r="K1838" s="39"/>
      <c r="L1838" s="36">
        <v>45271</v>
      </c>
      <c r="M1838" s="36">
        <v>45271</v>
      </c>
      <c r="N1838" s="37">
        <v>306360</v>
      </c>
      <c r="O1838" s="37">
        <v>0</v>
      </c>
      <c r="P1838" s="10"/>
      <c r="Q1838" s="10"/>
      <c r="R1838" s="10"/>
      <c r="S1838" s="10"/>
      <c r="T1838" s="10"/>
      <c r="U1838" s="10"/>
      <c r="V1838" s="10"/>
      <c r="W1838" s="10"/>
      <c r="X1838" s="10"/>
      <c r="Y1838" s="10"/>
      <c r="Z1838" s="10"/>
    </row>
    <row r="1839" spans="1:26" ht="14.25" customHeight="1">
      <c r="A1839" s="9">
        <v>2044</v>
      </c>
      <c r="B1839" s="10"/>
      <c r="C1839" s="9">
        <v>231887</v>
      </c>
      <c r="D1839" s="11" t="s">
        <v>954</v>
      </c>
      <c r="E1839" s="12">
        <v>45183</v>
      </c>
      <c r="F1839" s="13">
        <v>45170</v>
      </c>
      <c r="G1839" s="27">
        <v>1068930</v>
      </c>
      <c r="H1839" s="27" t="s">
        <v>3667</v>
      </c>
      <c r="I1839" s="34">
        <v>107.606678703705</v>
      </c>
      <c r="J1839" s="10"/>
      <c r="K1839" s="39"/>
      <c r="L1839" s="39"/>
      <c r="M1839" s="39"/>
      <c r="N1839" s="37">
        <v>0</v>
      </c>
      <c r="O1839" s="37">
        <v>1068930</v>
      </c>
      <c r="P1839" s="10"/>
      <c r="Q1839" s="10"/>
      <c r="R1839" s="10"/>
      <c r="S1839" s="10"/>
      <c r="T1839" s="10"/>
      <c r="U1839" s="10"/>
      <c r="V1839" s="10"/>
      <c r="W1839" s="10"/>
      <c r="X1839" s="10"/>
      <c r="Y1839" s="10"/>
      <c r="Z1839" s="10"/>
    </row>
    <row r="1840" spans="1:26" ht="12.75" customHeight="1">
      <c r="F1840" s="87"/>
    </row>
    <row r="1841" spans="6:7" ht="12.75" customHeight="1">
      <c r="F1841" s="87"/>
      <c r="G1841" s="88">
        <f>G1035+G709</f>
        <v>-7788809</v>
      </c>
    </row>
    <row r="1842" spans="6:7" ht="12.75" customHeight="1">
      <c r="F1842" s="87"/>
      <c r="G1842" s="88">
        <f>G1-G1841</f>
        <v>3944641389</v>
      </c>
    </row>
  </sheetData>
  <autoFilter ref="A2:O1839" xr:uid="{00000000-0009-0000-0000-000001000000}">
    <sortState xmlns:xlrd2="http://schemas.microsoft.com/office/spreadsheetml/2017/richdata2" ref="A2:O1839">
      <sortCondition ref="D2:D1839"/>
    </sortState>
  </autoFilter>
  <pageMargins left="0.25" right="0.25" top="0.75" bottom="0.75" header="0" footer="0"/>
  <pageSetup paperSize="5" scale="45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G1000"/>
  <sheetViews>
    <sheetView workbookViewId="0">
      <selection activeCell="C23" sqref="C23"/>
    </sheetView>
  </sheetViews>
  <sheetFormatPr defaultColWidth="12.5703125" defaultRowHeight="15" customHeight="1"/>
  <cols>
    <col min="1" max="1" width="13.85546875" customWidth="1"/>
    <col min="2" max="2" width="16.7109375" customWidth="1"/>
    <col min="3" max="4" width="8.5703125" customWidth="1"/>
    <col min="5" max="5" width="10.140625" customWidth="1"/>
    <col min="6" max="6" width="13.5703125" customWidth="1"/>
    <col min="7" max="7" width="14" customWidth="1"/>
  </cols>
  <sheetData>
    <row r="1" spans="1:7" ht="12.75" customHeight="1">
      <c r="B1" s="6"/>
    </row>
    <row r="2" spans="1:7" ht="12.75" customHeight="1">
      <c r="B2" s="6"/>
    </row>
    <row r="3" spans="1:7" ht="12.75" customHeight="1">
      <c r="A3" s="252" t="s">
        <v>1793</v>
      </c>
    </row>
    <row r="4" spans="1:7" ht="12.75" customHeight="1">
      <c r="A4" s="253">
        <v>44743</v>
      </c>
      <c r="E4" s="7">
        <v>44743</v>
      </c>
      <c r="F4" s="6"/>
      <c r="G4" s="6">
        <v>429992</v>
      </c>
    </row>
    <row r="5" spans="1:7" ht="12.75" customHeight="1">
      <c r="A5" s="254">
        <v>44774</v>
      </c>
      <c r="E5" s="7">
        <v>44774</v>
      </c>
      <c r="F5" s="6"/>
      <c r="G5" s="6">
        <v>8611159</v>
      </c>
    </row>
    <row r="6" spans="1:7" ht="12.75" customHeight="1">
      <c r="A6" s="254">
        <v>44805</v>
      </c>
      <c r="E6" s="7">
        <v>44805</v>
      </c>
      <c r="F6" s="6"/>
      <c r="G6" s="6">
        <v>17918498</v>
      </c>
    </row>
    <row r="7" spans="1:7" ht="12.75" customHeight="1">
      <c r="A7" s="254">
        <v>44835</v>
      </c>
      <c r="E7" s="7">
        <v>44835</v>
      </c>
      <c r="F7" s="6"/>
      <c r="G7" s="6">
        <v>6536019</v>
      </c>
    </row>
    <row r="8" spans="1:7" ht="12.75" customHeight="1">
      <c r="A8" s="254">
        <v>44866</v>
      </c>
      <c r="E8" s="7">
        <v>44866</v>
      </c>
      <c r="F8" s="6"/>
      <c r="G8" s="6">
        <v>10801419</v>
      </c>
    </row>
    <row r="9" spans="1:7" ht="12.75" customHeight="1">
      <c r="A9" s="254">
        <v>44896</v>
      </c>
      <c r="E9" s="7">
        <v>44896</v>
      </c>
      <c r="F9" s="6"/>
      <c r="G9" s="6">
        <v>26424701</v>
      </c>
    </row>
    <row r="10" spans="1:7" ht="12.75" customHeight="1">
      <c r="A10" s="254">
        <v>44927</v>
      </c>
      <c r="E10" s="7">
        <v>44927</v>
      </c>
      <c r="F10" s="6">
        <f>SUM(G4:G10)</f>
        <v>138167945</v>
      </c>
      <c r="G10" s="6">
        <v>67446157</v>
      </c>
    </row>
    <row r="11" spans="1:7" ht="12.75" customHeight="1">
      <c r="A11" s="254">
        <v>44958</v>
      </c>
      <c r="E11" s="7">
        <v>44958</v>
      </c>
      <c r="F11" s="6">
        <v>287288878</v>
      </c>
      <c r="G11" s="6">
        <v>287288878</v>
      </c>
    </row>
    <row r="12" spans="1:7" ht="12.75" customHeight="1">
      <c r="A12" s="254">
        <v>44986</v>
      </c>
      <c r="E12" s="7">
        <v>44986</v>
      </c>
      <c r="F12" s="6">
        <v>442901241</v>
      </c>
      <c r="G12" s="6">
        <v>442901241</v>
      </c>
    </row>
    <row r="13" spans="1:7" ht="12.75" customHeight="1">
      <c r="A13" s="254">
        <v>45017</v>
      </c>
      <c r="E13" s="7">
        <v>45017</v>
      </c>
      <c r="F13" s="6">
        <v>212009490</v>
      </c>
      <c r="G13" s="6">
        <v>212009490</v>
      </c>
    </row>
    <row r="14" spans="1:7" ht="12.75" customHeight="1">
      <c r="A14" s="254">
        <v>45047</v>
      </c>
      <c r="E14" s="7">
        <v>45047</v>
      </c>
      <c r="F14" s="6">
        <v>325292230</v>
      </c>
      <c r="G14" s="6">
        <v>325292230</v>
      </c>
    </row>
    <row r="15" spans="1:7" ht="12.75" customHeight="1">
      <c r="A15" s="254">
        <v>45078</v>
      </c>
      <c r="E15" s="7">
        <v>45078</v>
      </c>
      <c r="F15" s="6">
        <v>364010115</v>
      </c>
      <c r="G15" s="6">
        <v>364010115</v>
      </c>
    </row>
    <row r="16" spans="1:7" ht="12.75" customHeight="1">
      <c r="A16" s="254">
        <v>45108</v>
      </c>
      <c r="E16" s="7">
        <v>45108</v>
      </c>
      <c r="F16" s="6">
        <v>332342025</v>
      </c>
      <c r="G16" s="6">
        <v>332342025</v>
      </c>
    </row>
    <row r="17" spans="1:7" ht="12.75" customHeight="1">
      <c r="A17" s="254">
        <v>45139</v>
      </c>
      <c r="E17" s="7">
        <v>45139</v>
      </c>
      <c r="F17" s="6">
        <v>515476947</v>
      </c>
      <c r="G17" s="6">
        <v>515476947</v>
      </c>
    </row>
    <row r="18" spans="1:7" ht="12.75" customHeight="1">
      <c r="A18" s="254">
        <v>45170</v>
      </c>
      <c r="E18" s="7">
        <v>45170</v>
      </c>
      <c r="F18" s="6">
        <v>425987834</v>
      </c>
      <c r="G18" s="6">
        <v>425987834</v>
      </c>
    </row>
    <row r="19" spans="1:7" ht="12.75" customHeight="1">
      <c r="A19" s="254">
        <v>45200</v>
      </c>
      <c r="E19" s="7">
        <v>45200</v>
      </c>
      <c r="F19" s="6">
        <v>420113333</v>
      </c>
      <c r="G19" s="6">
        <v>420113333</v>
      </c>
    </row>
    <row r="20" spans="1:7" ht="12.75" customHeight="1">
      <c r="A20" s="254">
        <v>45231</v>
      </c>
      <c r="E20" s="7">
        <v>45231</v>
      </c>
      <c r="F20" s="6">
        <v>469874991</v>
      </c>
      <c r="G20" s="6">
        <v>469874991</v>
      </c>
    </row>
    <row r="21" spans="1:7" ht="12.75" customHeight="1">
      <c r="A21" s="254">
        <v>45261</v>
      </c>
      <c r="E21" s="7">
        <v>45261</v>
      </c>
      <c r="F21" s="6">
        <v>11176360</v>
      </c>
      <c r="G21" s="6">
        <v>11176360</v>
      </c>
    </row>
    <row r="22" spans="1:7" ht="12.75" customHeight="1">
      <c r="A22" s="254" t="s">
        <v>3668</v>
      </c>
      <c r="F22" s="6">
        <f>SUM(F10:F21)</f>
        <v>3944641389</v>
      </c>
    </row>
    <row r="23" spans="1:7" ht="12.75" customHeight="1">
      <c r="A23" s="255" t="s">
        <v>3669</v>
      </c>
    </row>
    <row r="24" spans="1:7" ht="12.75" customHeight="1">
      <c r="A24" s="8"/>
      <c r="B24" s="6"/>
    </row>
    <row r="25" spans="1:7" ht="12.75" customHeight="1">
      <c r="B25" s="6"/>
    </row>
    <row r="26" spans="1:7" ht="12.75" customHeight="1">
      <c r="B26" s="6"/>
    </row>
    <row r="27" spans="1:7" ht="12.75" customHeight="1">
      <c r="B27" s="6"/>
    </row>
    <row r="28" spans="1:7" ht="12.75" customHeight="1">
      <c r="B28" s="6"/>
    </row>
    <row r="29" spans="1:7" ht="12.75" customHeight="1">
      <c r="B29" s="6"/>
    </row>
    <row r="30" spans="1:7" ht="12.75" customHeight="1">
      <c r="B30" s="6"/>
    </row>
    <row r="31" spans="1:7" ht="12.75" customHeight="1">
      <c r="B31" s="6"/>
    </row>
    <row r="32" spans="1:7" ht="12.75" customHeight="1">
      <c r="B32" s="6"/>
    </row>
    <row r="33" spans="2:2" ht="12.75" customHeight="1">
      <c r="B33" s="6"/>
    </row>
    <row r="34" spans="2:2" ht="12.75" customHeight="1">
      <c r="B34" s="6"/>
    </row>
    <row r="35" spans="2:2" ht="12.75" customHeight="1">
      <c r="B35" s="6"/>
    </row>
    <row r="36" spans="2:2" ht="12.75" customHeight="1">
      <c r="B36" s="6"/>
    </row>
    <row r="37" spans="2:2" ht="12.75" customHeight="1">
      <c r="B37" s="6"/>
    </row>
    <row r="38" spans="2:2" ht="12.75" customHeight="1">
      <c r="B38" s="6"/>
    </row>
    <row r="39" spans="2:2" ht="12.75" customHeight="1">
      <c r="B39" s="6"/>
    </row>
    <row r="40" spans="2:2" ht="12.75" customHeight="1">
      <c r="B40" s="6"/>
    </row>
    <row r="41" spans="2:2" ht="12.75" customHeight="1">
      <c r="B41" s="6"/>
    </row>
    <row r="42" spans="2:2" ht="12.75" customHeight="1">
      <c r="B42" s="6"/>
    </row>
    <row r="43" spans="2:2" ht="12.75" customHeight="1">
      <c r="B43" s="6"/>
    </row>
    <row r="44" spans="2:2" ht="12.75" customHeight="1">
      <c r="B44" s="6"/>
    </row>
    <row r="45" spans="2:2" ht="12.75" customHeight="1">
      <c r="B45" s="6"/>
    </row>
    <row r="46" spans="2:2" ht="12.75" customHeight="1">
      <c r="B46" s="6"/>
    </row>
    <row r="47" spans="2:2" ht="12.75" customHeight="1">
      <c r="B47" s="6"/>
    </row>
    <row r="48" spans="2:2" ht="12.75" customHeight="1">
      <c r="B48" s="6"/>
    </row>
    <row r="49" spans="2:2" ht="12.75" customHeight="1">
      <c r="B49" s="6"/>
    </row>
    <row r="50" spans="2:2" ht="12.75" customHeight="1">
      <c r="B50" s="6"/>
    </row>
    <row r="51" spans="2:2" ht="12.75" customHeight="1">
      <c r="B51" s="6"/>
    </row>
    <row r="52" spans="2:2" ht="12.75" customHeight="1">
      <c r="B52" s="6"/>
    </row>
    <row r="53" spans="2:2" ht="12.75" customHeight="1">
      <c r="B53" s="6"/>
    </row>
    <row r="54" spans="2:2" ht="12.75" customHeight="1">
      <c r="B54" s="6"/>
    </row>
    <row r="55" spans="2:2" ht="12.75" customHeight="1">
      <c r="B55" s="6"/>
    </row>
    <row r="56" spans="2:2" ht="12.75" customHeight="1">
      <c r="B56" s="6"/>
    </row>
    <row r="57" spans="2:2" ht="12.75" customHeight="1">
      <c r="B57" s="6"/>
    </row>
    <row r="58" spans="2:2" ht="12.75" customHeight="1">
      <c r="B58" s="6"/>
    </row>
    <row r="59" spans="2:2" ht="12.75" customHeight="1">
      <c r="B59" s="6"/>
    </row>
    <row r="60" spans="2:2" ht="12.75" customHeight="1">
      <c r="B60" s="6"/>
    </row>
    <row r="61" spans="2:2" ht="12.75" customHeight="1">
      <c r="B61" s="6"/>
    </row>
    <row r="62" spans="2:2" ht="12.75" customHeight="1">
      <c r="B62" s="6"/>
    </row>
    <row r="63" spans="2:2" ht="12.75" customHeight="1">
      <c r="B63" s="6"/>
    </row>
    <row r="64" spans="2:2" ht="12.75" customHeight="1">
      <c r="B64" s="6"/>
    </row>
    <row r="65" spans="2:2" ht="12.75" customHeight="1">
      <c r="B65" s="6"/>
    </row>
    <row r="66" spans="2:2" ht="12.75" customHeight="1">
      <c r="B66" s="6"/>
    </row>
    <row r="67" spans="2:2" ht="12.75" customHeight="1">
      <c r="B67" s="6"/>
    </row>
    <row r="68" spans="2:2" ht="12.75" customHeight="1">
      <c r="B68" s="6"/>
    </row>
    <row r="69" spans="2:2" ht="12.75" customHeight="1">
      <c r="B69" s="6"/>
    </row>
    <row r="70" spans="2:2" ht="12.75" customHeight="1">
      <c r="B70" s="6"/>
    </row>
    <row r="71" spans="2:2" ht="12.75" customHeight="1">
      <c r="B71" s="6"/>
    </row>
    <row r="72" spans="2:2" ht="12.75" customHeight="1">
      <c r="B72" s="6"/>
    </row>
    <row r="73" spans="2:2" ht="12.75" customHeight="1">
      <c r="B73" s="6"/>
    </row>
    <row r="74" spans="2:2" ht="12.75" customHeight="1">
      <c r="B74" s="6"/>
    </row>
    <row r="75" spans="2:2" ht="12.75" customHeight="1">
      <c r="B75" s="6"/>
    </row>
    <row r="76" spans="2:2" ht="12.75" customHeight="1">
      <c r="B76" s="6"/>
    </row>
    <row r="77" spans="2:2" ht="12.75" customHeight="1">
      <c r="B77" s="6"/>
    </row>
    <row r="78" spans="2:2" ht="12.75" customHeight="1">
      <c r="B78" s="6"/>
    </row>
    <row r="79" spans="2:2" ht="12.75" customHeight="1">
      <c r="B79" s="6"/>
    </row>
    <row r="80" spans="2:2" ht="12.75" customHeight="1">
      <c r="B80" s="6"/>
    </row>
    <row r="81" spans="2:2" ht="12.75" customHeight="1">
      <c r="B81" s="6"/>
    </row>
    <row r="82" spans="2:2" ht="12.75" customHeight="1">
      <c r="B82" s="6"/>
    </row>
    <row r="83" spans="2:2" ht="12.75" customHeight="1">
      <c r="B83" s="6"/>
    </row>
    <row r="84" spans="2:2" ht="12.75" customHeight="1">
      <c r="B84" s="6"/>
    </row>
    <row r="85" spans="2:2" ht="12.75" customHeight="1">
      <c r="B85" s="6"/>
    </row>
    <row r="86" spans="2:2" ht="12.75" customHeight="1">
      <c r="B86" s="6"/>
    </row>
    <row r="87" spans="2:2" ht="12.75" customHeight="1">
      <c r="B87" s="6"/>
    </row>
    <row r="88" spans="2:2" ht="12.75" customHeight="1">
      <c r="B88" s="6"/>
    </row>
    <row r="89" spans="2:2" ht="12.75" customHeight="1">
      <c r="B89" s="6"/>
    </row>
    <row r="90" spans="2:2" ht="12.75" customHeight="1">
      <c r="B90" s="6"/>
    </row>
    <row r="91" spans="2:2" ht="12.75" customHeight="1">
      <c r="B91" s="6"/>
    </row>
    <row r="92" spans="2:2" ht="12.75" customHeight="1">
      <c r="B92" s="6"/>
    </row>
    <row r="93" spans="2:2" ht="12.75" customHeight="1">
      <c r="B93" s="6"/>
    </row>
    <row r="94" spans="2:2" ht="12.75" customHeight="1">
      <c r="B94" s="6"/>
    </row>
    <row r="95" spans="2:2" ht="12.75" customHeight="1">
      <c r="B95" s="6"/>
    </row>
    <row r="96" spans="2:2" ht="12.75" customHeight="1">
      <c r="B96" s="6"/>
    </row>
    <row r="97" spans="2:2" ht="12.75" customHeight="1">
      <c r="B97" s="6"/>
    </row>
    <row r="98" spans="2:2" ht="12.75" customHeight="1">
      <c r="B98" s="6"/>
    </row>
    <row r="99" spans="2:2" ht="12.75" customHeight="1">
      <c r="B99" s="6"/>
    </row>
    <row r="100" spans="2:2" ht="12.75" customHeight="1">
      <c r="B100" s="6"/>
    </row>
    <row r="101" spans="2:2" ht="12.75" customHeight="1">
      <c r="B101" s="6"/>
    </row>
    <row r="102" spans="2:2" ht="12.75" customHeight="1">
      <c r="B102" s="6"/>
    </row>
    <row r="103" spans="2:2" ht="12.75" customHeight="1">
      <c r="B103" s="6"/>
    </row>
    <row r="104" spans="2:2" ht="12.75" customHeight="1">
      <c r="B104" s="6"/>
    </row>
    <row r="105" spans="2:2" ht="12.75" customHeight="1">
      <c r="B105" s="6"/>
    </row>
    <row r="106" spans="2:2" ht="12.75" customHeight="1">
      <c r="B106" s="6"/>
    </row>
    <row r="107" spans="2:2" ht="12.75" customHeight="1">
      <c r="B107" s="6"/>
    </row>
    <row r="108" spans="2:2" ht="12.75" customHeight="1">
      <c r="B108" s="6"/>
    </row>
    <row r="109" spans="2:2" ht="12.75" customHeight="1">
      <c r="B109" s="6"/>
    </row>
    <row r="110" spans="2:2" ht="12.75" customHeight="1">
      <c r="B110" s="6"/>
    </row>
    <row r="111" spans="2:2" ht="12.75" customHeight="1">
      <c r="B111" s="6"/>
    </row>
    <row r="112" spans="2:2" ht="12.75" customHeight="1">
      <c r="B112" s="6"/>
    </row>
    <row r="113" spans="2:2" ht="12.75" customHeight="1">
      <c r="B113" s="6"/>
    </row>
    <row r="114" spans="2:2" ht="12.75" customHeight="1">
      <c r="B114" s="6"/>
    </row>
    <row r="115" spans="2:2" ht="12.75" customHeight="1">
      <c r="B115" s="6"/>
    </row>
    <row r="116" spans="2:2" ht="12.75" customHeight="1">
      <c r="B116" s="6"/>
    </row>
    <row r="117" spans="2:2" ht="12.75" customHeight="1">
      <c r="B117" s="6"/>
    </row>
    <row r="118" spans="2:2" ht="12.75" customHeight="1">
      <c r="B118" s="6"/>
    </row>
    <row r="119" spans="2:2" ht="12.75" customHeight="1">
      <c r="B119" s="6"/>
    </row>
    <row r="120" spans="2:2" ht="12.75" customHeight="1">
      <c r="B120" s="6"/>
    </row>
    <row r="121" spans="2:2" ht="12.75" customHeight="1">
      <c r="B121" s="6"/>
    </row>
    <row r="122" spans="2:2" ht="12.75" customHeight="1">
      <c r="B122" s="6"/>
    </row>
    <row r="123" spans="2:2" ht="12.75" customHeight="1">
      <c r="B123" s="6"/>
    </row>
    <row r="124" spans="2:2" ht="12.75" customHeight="1">
      <c r="B124" s="6"/>
    </row>
    <row r="125" spans="2:2" ht="12.75" customHeight="1">
      <c r="B125" s="6"/>
    </row>
    <row r="126" spans="2:2" ht="12.75" customHeight="1">
      <c r="B126" s="6"/>
    </row>
    <row r="127" spans="2:2" ht="12.75" customHeight="1">
      <c r="B127" s="6"/>
    </row>
    <row r="128" spans="2:2" ht="12.75" customHeight="1">
      <c r="B128" s="6"/>
    </row>
    <row r="129" spans="2:2" ht="12.75" customHeight="1">
      <c r="B129" s="6"/>
    </row>
    <row r="130" spans="2:2" ht="12.75" customHeight="1">
      <c r="B130" s="6"/>
    </row>
    <row r="131" spans="2:2" ht="12.75" customHeight="1">
      <c r="B131" s="6"/>
    </row>
    <row r="132" spans="2:2" ht="12.75" customHeight="1">
      <c r="B132" s="6"/>
    </row>
    <row r="133" spans="2:2" ht="12.75" customHeight="1">
      <c r="B133" s="6"/>
    </row>
    <row r="134" spans="2:2" ht="12.75" customHeight="1">
      <c r="B134" s="6"/>
    </row>
    <row r="135" spans="2:2" ht="12.75" customHeight="1">
      <c r="B135" s="6"/>
    </row>
    <row r="136" spans="2:2" ht="12.75" customHeight="1">
      <c r="B136" s="6"/>
    </row>
    <row r="137" spans="2:2" ht="12.75" customHeight="1">
      <c r="B137" s="6"/>
    </row>
    <row r="138" spans="2:2" ht="12.75" customHeight="1">
      <c r="B138" s="6"/>
    </row>
    <row r="139" spans="2:2" ht="12.75" customHeight="1">
      <c r="B139" s="6"/>
    </row>
    <row r="140" spans="2:2" ht="12.75" customHeight="1">
      <c r="B140" s="6"/>
    </row>
    <row r="141" spans="2:2" ht="12.75" customHeight="1">
      <c r="B141" s="6"/>
    </row>
    <row r="142" spans="2:2" ht="12.75" customHeight="1">
      <c r="B142" s="6"/>
    </row>
    <row r="143" spans="2:2" ht="12.75" customHeight="1">
      <c r="B143" s="6"/>
    </row>
    <row r="144" spans="2:2" ht="12.75" customHeight="1">
      <c r="B144" s="6"/>
    </row>
    <row r="145" spans="2:2" ht="12.75" customHeight="1">
      <c r="B145" s="6"/>
    </row>
    <row r="146" spans="2:2" ht="12.75" customHeight="1">
      <c r="B146" s="6"/>
    </row>
    <row r="147" spans="2:2" ht="12.75" customHeight="1">
      <c r="B147" s="6"/>
    </row>
    <row r="148" spans="2:2" ht="12.75" customHeight="1">
      <c r="B148" s="6"/>
    </row>
    <row r="149" spans="2:2" ht="12.75" customHeight="1">
      <c r="B149" s="6"/>
    </row>
    <row r="150" spans="2:2" ht="12.75" customHeight="1">
      <c r="B150" s="6"/>
    </row>
    <row r="151" spans="2:2" ht="12.75" customHeight="1">
      <c r="B151" s="6"/>
    </row>
    <row r="152" spans="2:2" ht="12.75" customHeight="1">
      <c r="B152" s="6"/>
    </row>
    <row r="153" spans="2:2" ht="12.75" customHeight="1">
      <c r="B153" s="6"/>
    </row>
    <row r="154" spans="2:2" ht="12.75" customHeight="1">
      <c r="B154" s="6"/>
    </row>
    <row r="155" spans="2:2" ht="12.75" customHeight="1">
      <c r="B155" s="6"/>
    </row>
    <row r="156" spans="2:2" ht="12.75" customHeight="1">
      <c r="B156" s="6"/>
    </row>
    <row r="157" spans="2:2" ht="12.75" customHeight="1">
      <c r="B157" s="6"/>
    </row>
    <row r="158" spans="2:2" ht="12.75" customHeight="1">
      <c r="B158" s="6"/>
    </row>
    <row r="159" spans="2:2" ht="12.75" customHeight="1">
      <c r="B159" s="6"/>
    </row>
    <row r="160" spans="2:2" ht="12.75" customHeight="1">
      <c r="B160" s="6"/>
    </row>
    <row r="161" spans="2:2" ht="12.75" customHeight="1">
      <c r="B161" s="6"/>
    </row>
    <row r="162" spans="2:2" ht="12.75" customHeight="1">
      <c r="B162" s="6"/>
    </row>
    <row r="163" spans="2:2" ht="12.75" customHeight="1">
      <c r="B163" s="6"/>
    </row>
    <row r="164" spans="2:2" ht="12.75" customHeight="1">
      <c r="B164" s="6"/>
    </row>
    <row r="165" spans="2:2" ht="12.75" customHeight="1">
      <c r="B165" s="6"/>
    </row>
    <row r="166" spans="2:2" ht="12.75" customHeight="1">
      <c r="B166" s="6"/>
    </row>
    <row r="167" spans="2:2" ht="12.75" customHeight="1">
      <c r="B167" s="6"/>
    </row>
    <row r="168" spans="2:2" ht="12.75" customHeight="1">
      <c r="B168" s="6"/>
    </row>
    <row r="169" spans="2:2" ht="12.75" customHeight="1">
      <c r="B169" s="6"/>
    </row>
    <row r="170" spans="2:2" ht="12.75" customHeight="1">
      <c r="B170" s="6"/>
    </row>
    <row r="171" spans="2:2" ht="12.75" customHeight="1">
      <c r="B171" s="6"/>
    </row>
    <row r="172" spans="2:2" ht="12.75" customHeight="1">
      <c r="B172" s="6"/>
    </row>
    <row r="173" spans="2:2" ht="12.75" customHeight="1">
      <c r="B173" s="6"/>
    </row>
    <row r="174" spans="2:2" ht="12.75" customHeight="1">
      <c r="B174" s="6"/>
    </row>
    <row r="175" spans="2:2" ht="12.75" customHeight="1">
      <c r="B175" s="6"/>
    </row>
    <row r="176" spans="2:2" ht="12.75" customHeight="1">
      <c r="B176" s="6"/>
    </row>
    <row r="177" spans="2:2" ht="12.75" customHeight="1">
      <c r="B177" s="6"/>
    </row>
    <row r="178" spans="2:2" ht="12.75" customHeight="1">
      <c r="B178" s="6"/>
    </row>
    <row r="179" spans="2:2" ht="12.75" customHeight="1">
      <c r="B179" s="6"/>
    </row>
    <row r="180" spans="2:2" ht="12.75" customHeight="1">
      <c r="B180" s="6"/>
    </row>
    <row r="181" spans="2:2" ht="12.75" customHeight="1">
      <c r="B181" s="6"/>
    </row>
    <row r="182" spans="2:2" ht="12.75" customHeight="1">
      <c r="B182" s="6"/>
    </row>
    <row r="183" spans="2:2" ht="12.75" customHeight="1">
      <c r="B183" s="6"/>
    </row>
    <row r="184" spans="2:2" ht="12.75" customHeight="1">
      <c r="B184" s="6"/>
    </row>
    <row r="185" spans="2:2" ht="12.75" customHeight="1">
      <c r="B185" s="6"/>
    </row>
    <row r="186" spans="2:2" ht="12.75" customHeight="1">
      <c r="B186" s="6"/>
    </row>
    <row r="187" spans="2:2" ht="12.75" customHeight="1">
      <c r="B187" s="6"/>
    </row>
    <row r="188" spans="2:2" ht="12.75" customHeight="1">
      <c r="B188" s="6"/>
    </row>
    <row r="189" spans="2:2" ht="12.75" customHeight="1">
      <c r="B189" s="6"/>
    </row>
    <row r="190" spans="2:2" ht="12.75" customHeight="1">
      <c r="B190" s="6"/>
    </row>
    <row r="191" spans="2:2" ht="12.75" customHeight="1">
      <c r="B191" s="6"/>
    </row>
    <row r="192" spans="2:2" ht="12.75" customHeight="1">
      <c r="B192" s="6"/>
    </row>
    <row r="193" spans="2:2" ht="12.75" customHeight="1">
      <c r="B193" s="6"/>
    </row>
    <row r="194" spans="2:2" ht="12.75" customHeight="1">
      <c r="B194" s="6"/>
    </row>
    <row r="195" spans="2:2" ht="12.75" customHeight="1">
      <c r="B195" s="6"/>
    </row>
    <row r="196" spans="2:2" ht="12.75" customHeight="1">
      <c r="B196" s="6"/>
    </row>
    <row r="197" spans="2:2" ht="12.75" customHeight="1">
      <c r="B197" s="6"/>
    </row>
    <row r="198" spans="2:2" ht="12.75" customHeight="1">
      <c r="B198" s="6"/>
    </row>
    <row r="199" spans="2:2" ht="12.75" customHeight="1">
      <c r="B199" s="6"/>
    </row>
    <row r="200" spans="2:2" ht="12.75" customHeight="1">
      <c r="B200" s="6"/>
    </row>
    <row r="201" spans="2:2" ht="12.75" customHeight="1">
      <c r="B201" s="6"/>
    </row>
    <row r="202" spans="2:2" ht="12.75" customHeight="1">
      <c r="B202" s="6"/>
    </row>
    <row r="203" spans="2:2" ht="12.75" customHeight="1">
      <c r="B203" s="6"/>
    </row>
    <row r="204" spans="2:2" ht="12.75" customHeight="1">
      <c r="B204" s="6"/>
    </row>
    <row r="205" spans="2:2" ht="12.75" customHeight="1">
      <c r="B205" s="6"/>
    </row>
    <row r="206" spans="2:2" ht="12.75" customHeight="1">
      <c r="B206" s="6"/>
    </row>
    <row r="207" spans="2:2" ht="12.75" customHeight="1">
      <c r="B207" s="6"/>
    </row>
    <row r="208" spans="2:2" ht="12.75" customHeight="1">
      <c r="B208" s="6"/>
    </row>
    <row r="209" spans="2:2" ht="12.75" customHeight="1">
      <c r="B209" s="6"/>
    </row>
    <row r="210" spans="2:2" ht="12.75" customHeight="1">
      <c r="B210" s="6"/>
    </row>
    <row r="211" spans="2:2" ht="12.75" customHeight="1">
      <c r="B211" s="6"/>
    </row>
    <row r="212" spans="2:2" ht="12.75" customHeight="1">
      <c r="B212" s="6"/>
    </row>
    <row r="213" spans="2:2" ht="12.75" customHeight="1">
      <c r="B213" s="6"/>
    </row>
    <row r="214" spans="2:2" ht="12.75" customHeight="1">
      <c r="B214" s="6"/>
    </row>
    <row r="215" spans="2:2" ht="12.75" customHeight="1">
      <c r="B215" s="6"/>
    </row>
    <row r="216" spans="2:2" ht="12.75" customHeight="1">
      <c r="B216" s="6"/>
    </row>
    <row r="217" spans="2:2" ht="12.75" customHeight="1">
      <c r="B217" s="6"/>
    </row>
    <row r="218" spans="2:2" ht="12.75" customHeight="1">
      <c r="B218" s="6"/>
    </row>
    <row r="219" spans="2:2" ht="12.75" customHeight="1">
      <c r="B219" s="6"/>
    </row>
    <row r="220" spans="2:2" ht="12.75" customHeight="1">
      <c r="B220" s="6"/>
    </row>
    <row r="221" spans="2:2" ht="12.75" customHeight="1">
      <c r="B221" s="6"/>
    </row>
    <row r="222" spans="2:2" ht="12.75" customHeight="1">
      <c r="B222" s="6"/>
    </row>
    <row r="223" spans="2:2" ht="12.75" customHeight="1">
      <c r="B223" s="6"/>
    </row>
    <row r="224" spans="2: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U1000"/>
  <sheetViews>
    <sheetView workbookViewId="0">
      <pane xSplit="1" ySplit="5" topLeftCell="B6" activePane="bottomRight" state="frozen"/>
      <selection activeCell="C23" sqref="C23"/>
      <selection pane="topRight" activeCell="C23" sqref="C23"/>
      <selection pane="bottomLeft" activeCell="C23" sqref="C23"/>
      <selection pane="bottomRight" activeCell="C23" sqref="C23"/>
    </sheetView>
  </sheetViews>
  <sheetFormatPr defaultColWidth="12.5703125" defaultRowHeight="15" customHeight="1"/>
  <cols>
    <col min="1" max="1" width="56.140625" customWidth="1"/>
    <col min="2" max="2" width="17" customWidth="1"/>
    <col min="3" max="3" width="11.140625" customWidth="1"/>
    <col min="4" max="4" width="10.85546875" hidden="1" customWidth="1"/>
    <col min="5" max="5" width="13.7109375" hidden="1" customWidth="1"/>
    <col min="6" max="7" width="12.7109375" customWidth="1"/>
    <col min="8" max="8" width="10.85546875" hidden="1" customWidth="1"/>
    <col min="9" max="9" width="13.7109375" hidden="1" customWidth="1"/>
    <col min="10" max="10" width="11.85546875" hidden="1" customWidth="1"/>
    <col min="11" max="11" width="9.7109375" hidden="1" customWidth="1"/>
    <col min="12" max="12" width="14.85546875" hidden="1" customWidth="1"/>
    <col min="13" max="26" width="9.140625" customWidth="1"/>
  </cols>
  <sheetData>
    <row r="1" spans="1:21" ht="12.75" customHeight="1">
      <c r="C1" s="4"/>
      <c r="D1" s="4"/>
      <c r="E1" s="4"/>
      <c r="F1" s="4"/>
      <c r="G1" s="4"/>
      <c r="H1" s="4"/>
      <c r="I1" s="4"/>
      <c r="J1" s="4"/>
    </row>
    <row r="2" spans="1:21" ht="12.75" customHeight="1">
      <c r="C2" s="4"/>
      <c r="D2" s="4"/>
      <c r="E2" s="4"/>
      <c r="F2" s="4"/>
      <c r="G2" s="4"/>
      <c r="H2" s="4"/>
      <c r="I2" s="4"/>
      <c r="J2" s="4"/>
    </row>
    <row r="3" spans="1:21" ht="12.75" customHeight="1">
      <c r="A3" s="236"/>
      <c r="B3" s="237"/>
      <c r="C3" s="238" t="s">
        <v>3</v>
      </c>
      <c r="D3" s="239" t="s">
        <v>4</v>
      </c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7"/>
      <c r="P3" s="237"/>
      <c r="Q3" s="237"/>
      <c r="R3" s="237"/>
      <c r="S3" s="237"/>
      <c r="T3" s="237"/>
      <c r="U3" s="240"/>
    </row>
    <row r="4" spans="1:21" ht="12.75" customHeight="1">
      <c r="A4" s="241"/>
      <c r="B4" s="5"/>
      <c r="C4" s="236">
        <v>2023</v>
      </c>
      <c r="D4" s="237"/>
      <c r="E4" s="237"/>
      <c r="F4" s="236" t="s">
        <v>3670</v>
      </c>
      <c r="G4" s="236">
        <v>2024</v>
      </c>
      <c r="H4" s="237"/>
      <c r="I4" s="237"/>
      <c r="J4" s="236" t="s">
        <v>3671</v>
      </c>
      <c r="K4" s="236">
        <v>2025</v>
      </c>
      <c r="L4" s="237"/>
      <c r="M4" s="237"/>
      <c r="N4" s="236" t="s">
        <v>3672</v>
      </c>
      <c r="O4" s="236">
        <v>2026</v>
      </c>
      <c r="P4" s="237"/>
      <c r="Q4" s="237"/>
      <c r="R4" s="236" t="s">
        <v>4260</v>
      </c>
      <c r="S4" s="236" t="s">
        <v>3668</v>
      </c>
      <c r="T4" s="237"/>
      <c r="U4" s="242" t="s">
        <v>3673</v>
      </c>
    </row>
    <row r="5" spans="1:21" ht="12.75" customHeight="1">
      <c r="A5" s="238" t="s">
        <v>5</v>
      </c>
      <c r="B5" s="238" t="s">
        <v>9</v>
      </c>
      <c r="C5" s="236" t="s">
        <v>27</v>
      </c>
      <c r="D5" s="243" t="s">
        <v>77</v>
      </c>
      <c r="E5" s="243" t="s">
        <v>3668</v>
      </c>
      <c r="F5" s="241"/>
      <c r="G5" s="236" t="s">
        <v>27</v>
      </c>
      <c r="H5" s="243" t="s">
        <v>77</v>
      </c>
      <c r="I5" s="243" t="s">
        <v>3668</v>
      </c>
      <c r="J5" s="241"/>
      <c r="K5" s="236" t="s">
        <v>27</v>
      </c>
      <c r="L5" s="243" t="s">
        <v>77</v>
      </c>
      <c r="M5" s="243" t="s">
        <v>3668</v>
      </c>
      <c r="N5" s="241"/>
      <c r="O5" s="236" t="s">
        <v>27</v>
      </c>
      <c r="P5" s="243" t="s">
        <v>77</v>
      </c>
      <c r="Q5" s="243" t="s">
        <v>3668</v>
      </c>
      <c r="R5" s="241"/>
      <c r="S5" s="236" t="s">
        <v>27</v>
      </c>
      <c r="T5" s="243" t="s">
        <v>3668</v>
      </c>
      <c r="U5" s="244"/>
    </row>
    <row r="6" spans="1:21" ht="12.75" customHeight="1">
      <c r="A6" s="236" t="s">
        <v>3668</v>
      </c>
      <c r="B6" s="237"/>
      <c r="C6" s="236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40"/>
    </row>
    <row r="7" spans="1:21" ht="12.75" customHeight="1">
      <c r="A7" s="236" t="s">
        <v>23</v>
      </c>
      <c r="B7" s="236" t="s">
        <v>3668</v>
      </c>
      <c r="C7" s="241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245"/>
    </row>
    <row r="8" spans="1:21" ht="12.75" customHeight="1">
      <c r="A8" s="241"/>
      <c r="B8" s="246" t="s">
        <v>25</v>
      </c>
      <c r="C8" s="241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245"/>
    </row>
    <row r="9" spans="1:21" ht="12.75" customHeight="1">
      <c r="A9" s="241"/>
      <c r="B9" s="246" t="s">
        <v>34</v>
      </c>
      <c r="C9" s="241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245"/>
    </row>
    <row r="10" spans="1:21" ht="12.75" customHeight="1">
      <c r="A10" s="241"/>
      <c r="B10" s="246" t="s">
        <v>86</v>
      </c>
      <c r="C10" s="241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245"/>
    </row>
    <row r="11" spans="1:21" ht="12.75" customHeight="1">
      <c r="A11" s="241"/>
      <c r="B11" s="246" t="s">
        <v>266</v>
      </c>
      <c r="C11" s="241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245"/>
    </row>
    <row r="12" spans="1:21" ht="12.75" hidden="1" customHeight="1">
      <c r="A12" s="241"/>
      <c r="B12" s="246" t="s">
        <v>314</v>
      </c>
      <c r="C12" s="241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245"/>
    </row>
    <row r="13" spans="1:21" ht="12.75" customHeight="1">
      <c r="A13" s="241"/>
      <c r="B13" s="246" t="s">
        <v>353</v>
      </c>
      <c r="C13" s="241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245"/>
    </row>
    <row r="14" spans="1:21" ht="12.75" customHeight="1">
      <c r="A14" s="241"/>
      <c r="B14" s="246" t="s">
        <v>356</v>
      </c>
      <c r="C14" s="241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245"/>
    </row>
    <row r="15" spans="1:21" ht="12.75" customHeight="1">
      <c r="A15" s="241"/>
      <c r="B15" s="246" t="s">
        <v>364</v>
      </c>
      <c r="C15" s="241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245"/>
    </row>
    <row r="16" spans="1:21" ht="12.75" customHeight="1">
      <c r="A16" s="241"/>
      <c r="B16" s="246" t="s">
        <v>372</v>
      </c>
      <c r="C16" s="241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245"/>
    </row>
    <row r="17" spans="1:21" ht="12.75" customHeight="1">
      <c r="A17" s="241"/>
      <c r="B17" s="246" t="s">
        <v>427</v>
      </c>
      <c r="C17" s="241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245"/>
    </row>
    <row r="18" spans="1:21" ht="12.75" customHeight="1">
      <c r="A18" s="241"/>
      <c r="B18" s="246" t="s">
        <v>436</v>
      </c>
      <c r="C18" s="241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245"/>
    </row>
    <row r="19" spans="1:21" ht="12.75" customHeight="1">
      <c r="A19" s="241"/>
      <c r="B19" s="246" t="s">
        <v>441</v>
      </c>
      <c r="C19" s="241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245"/>
    </row>
    <row r="20" spans="1:21" ht="12.75" customHeight="1">
      <c r="A20" s="241"/>
      <c r="B20" s="246" t="s">
        <v>457</v>
      </c>
      <c r="C20" s="241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245"/>
    </row>
    <row r="21" spans="1:21" ht="12.75" customHeight="1">
      <c r="A21" s="241"/>
      <c r="B21" s="246" t="s">
        <v>509</v>
      </c>
      <c r="C21" s="241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245"/>
    </row>
    <row r="22" spans="1:21" ht="12.75" customHeight="1">
      <c r="A22" s="241"/>
      <c r="B22" s="246" t="s">
        <v>511</v>
      </c>
      <c r="C22" s="241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245"/>
    </row>
    <row r="23" spans="1:21" ht="12.75" customHeight="1">
      <c r="A23" s="241"/>
      <c r="B23" s="246" t="s">
        <v>517</v>
      </c>
      <c r="C23" s="241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245"/>
    </row>
    <row r="24" spans="1:21" ht="12.75" customHeight="1">
      <c r="A24" s="241"/>
      <c r="B24" s="246" t="s">
        <v>562</v>
      </c>
      <c r="C24" s="241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245"/>
    </row>
    <row r="25" spans="1:21" ht="12.75" customHeight="1">
      <c r="A25" s="241"/>
      <c r="B25" s="246" t="s">
        <v>588</v>
      </c>
      <c r="C25" s="241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245"/>
    </row>
    <row r="26" spans="1:21" ht="12.75" customHeight="1">
      <c r="A26" s="241"/>
      <c r="B26" s="246" t="s">
        <v>591</v>
      </c>
      <c r="C26" s="241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245"/>
    </row>
    <row r="27" spans="1:21" ht="12.75" customHeight="1">
      <c r="A27" s="241"/>
      <c r="B27" s="246" t="s">
        <v>664</v>
      </c>
      <c r="C27" s="241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245"/>
    </row>
    <row r="28" spans="1:21" ht="12.75" customHeight="1">
      <c r="A28" s="241"/>
      <c r="B28" s="246" t="s">
        <v>691</v>
      </c>
      <c r="C28" s="241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245"/>
    </row>
    <row r="29" spans="1:21" ht="12.75" customHeight="1">
      <c r="A29" s="241"/>
      <c r="B29" s="246" t="s">
        <v>729</v>
      </c>
      <c r="C29" s="241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245"/>
    </row>
    <row r="30" spans="1:21" ht="12.75" customHeight="1">
      <c r="A30" s="241"/>
      <c r="B30" s="246" t="s">
        <v>747</v>
      </c>
      <c r="C30" s="241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245"/>
    </row>
    <row r="31" spans="1:21" ht="12.75" customHeight="1">
      <c r="A31" s="241"/>
      <c r="B31" s="246" t="s">
        <v>752</v>
      </c>
      <c r="C31" s="241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245"/>
    </row>
    <row r="32" spans="1:21" ht="12.75" customHeight="1">
      <c r="A32" s="241"/>
      <c r="B32" s="246" t="s">
        <v>758</v>
      </c>
      <c r="C32" s="241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245"/>
    </row>
    <row r="33" spans="1:21" ht="12.75" customHeight="1">
      <c r="A33" s="241"/>
      <c r="B33" s="246" t="s">
        <v>762</v>
      </c>
      <c r="C33" s="241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245"/>
    </row>
    <row r="34" spans="1:21" ht="12.75" customHeight="1">
      <c r="A34" s="241"/>
      <c r="B34" s="246" t="s">
        <v>793</v>
      </c>
      <c r="C34" s="241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245"/>
    </row>
    <row r="35" spans="1:21" ht="12.75" hidden="1" customHeight="1">
      <c r="A35" s="241"/>
      <c r="B35" s="246" t="s">
        <v>811</v>
      </c>
      <c r="C35" s="241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245"/>
    </row>
    <row r="36" spans="1:21" ht="12.75" customHeight="1">
      <c r="A36" s="241"/>
      <c r="B36" s="246" t="s">
        <v>812</v>
      </c>
      <c r="C36" s="241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245"/>
    </row>
    <row r="37" spans="1:21" ht="12.75" customHeight="1">
      <c r="A37" s="241"/>
      <c r="B37" s="246" t="s">
        <v>841</v>
      </c>
      <c r="C37" s="241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245"/>
    </row>
    <row r="38" spans="1:21" ht="12.75" customHeight="1">
      <c r="A38" s="241"/>
      <c r="B38" s="246" t="s">
        <v>849</v>
      </c>
      <c r="C38" s="241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245"/>
    </row>
    <row r="39" spans="1:21" ht="12.75" customHeight="1">
      <c r="A39" s="241"/>
      <c r="B39" s="246" t="s">
        <v>852</v>
      </c>
      <c r="C39" s="241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245"/>
    </row>
    <row r="40" spans="1:21" ht="12.75" customHeight="1">
      <c r="A40" s="241"/>
      <c r="B40" s="246" t="s">
        <v>862</v>
      </c>
      <c r="C40" s="241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245"/>
    </row>
    <row r="41" spans="1:21" ht="12.75" customHeight="1">
      <c r="A41" s="241"/>
      <c r="B41" s="246" t="s">
        <v>924</v>
      </c>
      <c r="C41" s="241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245"/>
    </row>
    <row r="42" spans="1:21" ht="12.75" customHeight="1">
      <c r="A42" s="241"/>
      <c r="B42" s="246" t="s">
        <v>938</v>
      </c>
      <c r="C42" s="241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245"/>
    </row>
    <row r="43" spans="1:21" ht="12.75" customHeight="1">
      <c r="A43" s="241"/>
      <c r="B43" s="246" t="s">
        <v>954</v>
      </c>
      <c r="C43" s="241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245"/>
    </row>
    <row r="44" spans="1:21" ht="12.75" customHeight="1">
      <c r="A44" s="241"/>
      <c r="B44" s="246" t="s">
        <v>847</v>
      </c>
      <c r="C44" s="241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245"/>
    </row>
    <row r="45" spans="1:21" ht="12.75" customHeight="1">
      <c r="A45" s="241"/>
      <c r="B45" s="246" t="s">
        <v>936</v>
      </c>
      <c r="C45" s="241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245"/>
    </row>
    <row r="46" spans="1:21" ht="12.75" customHeight="1">
      <c r="A46" s="241"/>
      <c r="B46" s="246" t="s">
        <v>156</v>
      </c>
      <c r="C46" s="241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245"/>
    </row>
    <row r="47" spans="1:21" ht="12.75" customHeight="1">
      <c r="A47" s="241"/>
      <c r="B47" s="246" t="s">
        <v>319</v>
      </c>
      <c r="C47" s="241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245"/>
    </row>
    <row r="48" spans="1:21" ht="12.75" customHeight="1">
      <c r="A48" s="241"/>
      <c r="B48" s="246" t="s">
        <v>563</v>
      </c>
      <c r="C48" s="241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245"/>
    </row>
    <row r="49" spans="1:21" ht="12.75" customHeight="1">
      <c r="A49" s="241"/>
      <c r="B49" s="246" t="s">
        <v>573</v>
      </c>
      <c r="C49" s="241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245"/>
    </row>
    <row r="50" spans="1:21" ht="12.75" customHeight="1">
      <c r="A50" s="241"/>
      <c r="B50" s="246" t="s">
        <v>351</v>
      </c>
      <c r="C50" s="241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245"/>
    </row>
    <row r="51" spans="1:21" ht="12.75" customHeight="1">
      <c r="A51" s="241"/>
      <c r="B51" s="246" t="s">
        <v>507</v>
      </c>
      <c r="C51" s="241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245"/>
    </row>
    <row r="52" spans="1:21" ht="12.75" customHeight="1">
      <c r="A52" s="241"/>
      <c r="B52" s="246" t="s">
        <v>949</v>
      </c>
      <c r="C52" s="241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245"/>
    </row>
    <row r="53" spans="1:21" ht="12.75" customHeight="1">
      <c r="A53" s="241"/>
      <c r="B53" s="246" t="s">
        <v>454</v>
      </c>
      <c r="C53" s="241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245"/>
    </row>
    <row r="54" spans="1:21" ht="12.75" customHeight="1">
      <c r="A54" s="241"/>
      <c r="B54" s="246" t="s">
        <v>3799</v>
      </c>
      <c r="C54" s="241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245"/>
    </row>
    <row r="55" spans="1:21" ht="12.75" hidden="1" customHeight="1">
      <c r="A55" s="241"/>
      <c r="B55" s="246" t="s">
        <v>4112</v>
      </c>
      <c r="C55" s="241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245"/>
    </row>
    <row r="56" spans="1:21" ht="12.75" customHeight="1">
      <c r="A56" s="241"/>
      <c r="B56" s="246" t="s">
        <v>4085</v>
      </c>
      <c r="C56" s="241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245"/>
    </row>
    <row r="57" spans="1:21" ht="12.75" customHeight="1">
      <c r="A57" s="241"/>
      <c r="B57" s="246" t="s">
        <v>4134</v>
      </c>
      <c r="C57" s="241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245"/>
    </row>
    <row r="58" spans="1:21" ht="12.75" customHeight="1">
      <c r="A58" s="241"/>
      <c r="B58" s="246" t="s">
        <v>4271</v>
      </c>
      <c r="C58" s="241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245"/>
    </row>
    <row r="59" spans="1:21" ht="12.75" customHeight="1">
      <c r="A59" s="241"/>
      <c r="B59" s="246" t="s">
        <v>4296</v>
      </c>
      <c r="C59" s="241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245"/>
    </row>
    <row r="60" spans="1:21" ht="12.75" customHeight="1">
      <c r="A60" s="241"/>
      <c r="B60" s="246" t="s">
        <v>4298</v>
      </c>
      <c r="C60" s="241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245"/>
    </row>
    <row r="61" spans="1:21" ht="12.75" hidden="1" customHeight="1">
      <c r="A61" s="241"/>
      <c r="B61" s="246" t="s">
        <v>4397</v>
      </c>
      <c r="C61" s="241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245"/>
    </row>
    <row r="62" spans="1:21" ht="12.75" customHeight="1">
      <c r="A62" s="241"/>
      <c r="B62" s="246" t="s">
        <v>4409</v>
      </c>
      <c r="C62" s="241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245"/>
    </row>
    <row r="63" spans="1:21" ht="12.75" customHeight="1">
      <c r="A63" s="241"/>
      <c r="B63" s="246" t="s">
        <v>4528</v>
      </c>
      <c r="C63" s="241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245"/>
    </row>
    <row r="64" spans="1:21" ht="12.75" customHeight="1">
      <c r="A64" s="241"/>
      <c r="B64" s="246" t="s">
        <v>7060</v>
      </c>
      <c r="C64" s="241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245"/>
    </row>
    <row r="65" spans="1:21" ht="12.75" customHeight="1">
      <c r="A65" s="241"/>
      <c r="B65" s="246" t="s">
        <v>7460</v>
      </c>
      <c r="C65" s="241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245"/>
    </row>
    <row r="66" spans="1:21" ht="12.75" customHeight="1">
      <c r="A66" s="236" t="s">
        <v>3674</v>
      </c>
      <c r="B66" s="237"/>
      <c r="C66" s="241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245"/>
    </row>
    <row r="67" spans="1:21" ht="12.75" customHeight="1">
      <c r="A67" s="236" t="s">
        <v>968</v>
      </c>
      <c r="B67" s="236" t="s">
        <v>852</v>
      </c>
      <c r="C67" s="241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245"/>
    </row>
    <row r="68" spans="1:21" ht="12.75" customHeight="1">
      <c r="A68" s="241"/>
      <c r="B68" s="246" t="s">
        <v>862</v>
      </c>
      <c r="C68" s="241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245"/>
    </row>
    <row r="69" spans="1:21" ht="12.75" customHeight="1">
      <c r="A69" s="241"/>
      <c r="B69" s="246" t="s">
        <v>954</v>
      </c>
      <c r="C69" s="241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245"/>
    </row>
    <row r="70" spans="1:21" ht="12.75" customHeight="1">
      <c r="A70" s="241"/>
      <c r="B70" s="246" t="s">
        <v>969</v>
      </c>
      <c r="C70" s="241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245"/>
    </row>
    <row r="71" spans="1:21" ht="12.75" customHeight="1">
      <c r="A71" s="241"/>
      <c r="B71" s="246" t="s">
        <v>971</v>
      </c>
      <c r="C71" s="241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245"/>
    </row>
    <row r="72" spans="1:21" ht="12.75" hidden="1" customHeight="1">
      <c r="A72" s="241"/>
      <c r="B72" s="246" t="s">
        <v>1004</v>
      </c>
      <c r="C72" s="241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245"/>
    </row>
    <row r="73" spans="1:21" ht="12.75" customHeight="1">
      <c r="A73" s="236" t="s">
        <v>3675</v>
      </c>
      <c r="B73" s="237"/>
      <c r="C73" s="241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245"/>
    </row>
    <row r="74" spans="1:21" ht="12.75" customHeight="1">
      <c r="A74" s="236" t="s">
        <v>1011</v>
      </c>
      <c r="B74" s="236" t="s">
        <v>862</v>
      </c>
      <c r="C74" s="241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245"/>
    </row>
    <row r="75" spans="1:21" ht="12.75" customHeight="1">
      <c r="A75" s="241"/>
      <c r="B75" s="246" t="s">
        <v>1012</v>
      </c>
      <c r="C75" s="241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245"/>
    </row>
    <row r="76" spans="1:21" ht="12.75" customHeight="1">
      <c r="A76" s="241"/>
      <c r="B76" s="246" t="s">
        <v>1097</v>
      </c>
      <c r="C76" s="241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245"/>
    </row>
    <row r="77" spans="1:21" ht="12.75" customHeight="1">
      <c r="A77" s="241"/>
      <c r="B77" s="246" t="s">
        <v>1106</v>
      </c>
      <c r="C77" s="241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245"/>
    </row>
    <row r="78" spans="1:21" ht="12.75" customHeight="1">
      <c r="A78" s="241"/>
      <c r="B78" s="246" t="s">
        <v>1115</v>
      </c>
      <c r="C78" s="241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245"/>
    </row>
    <row r="79" spans="1:21" ht="12.75" customHeight="1">
      <c r="A79" s="241"/>
      <c r="B79" s="246" t="s">
        <v>7012</v>
      </c>
      <c r="C79" s="241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245"/>
    </row>
    <row r="80" spans="1:21" ht="12.75" customHeight="1">
      <c r="A80" s="241"/>
      <c r="B80" s="246" t="s">
        <v>1134</v>
      </c>
      <c r="C80" s="241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245"/>
    </row>
    <row r="81" spans="1:21" ht="12.75" customHeight="1">
      <c r="A81" s="236" t="s">
        <v>3676</v>
      </c>
      <c r="B81" s="237"/>
      <c r="C81" s="241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245"/>
    </row>
    <row r="82" spans="1:21" ht="12.75" customHeight="1">
      <c r="A82" s="236" t="s">
        <v>1147</v>
      </c>
      <c r="B82" s="236" t="s">
        <v>1151</v>
      </c>
      <c r="C82" s="241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245"/>
    </row>
    <row r="83" spans="1:21" ht="12.75" hidden="1" customHeight="1">
      <c r="A83" s="241"/>
      <c r="B83" s="246" t="s">
        <v>1171</v>
      </c>
      <c r="C83" s="241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245"/>
    </row>
    <row r="84" spans="1:21" ht="12.75" customHeight="1">
      <c r="A84" s="241"/>
      <c r="B84" s="246" t="s">
        <v>1192</v>
      </c>
      <c r="C84" s="241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245"/>
    </row>
    <row r="85" spans="1:21" ht="12.75" customHeight="1">
      <c r="A85" s="241"/>
      <c r="B85" s="246" t="s">
        <v>1280</v>
      </c>
      <c r="C85" s="241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245"/>
    </row>
    <row r="86" spans="1:21" ht="12.75" customHeight="1">
      <c r="A86" s="241"/>
      <c r="B86" s="246" t="s">
        <v>1300</v>
      </c>
      <c r="C86" s="241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245"/>
    </row>
    <row r="87" spans="1:21" ht="12.75" customHeight="1">
      <c r="A87" s="241"/>
      <c r="B87" s="246" t="s">
        <v>1181</v>
      </c>
      <c r="C87" s="241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245"/>
    </row>
    <row r="88" spans="1:21" ht="12.75" customHeight="1">
      <c r="A88" s="241"/>
      <c r="B88" s="246" t="s">
        <v>1209</v>
      </c>
      <c r="C88" s="241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245"/>
    </row>
    <row r="89" spans="1:21" ht="12.75" customHeight="1">
      <c r="A89" s="236" t="s">
        <v>3677</v>
      </c>
      <c r="B89" s="237"/>
      <c r="C89" s="241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245"/>
    </row>
    <row r="90" spans="1:21" ht="12.75" hidden="1" customHeight="1">
      <c r="A90" s="236" t="s">
        <v>1315</v>
      </c>
      <c r="B90" s="236" t="s">
        <v>1316</v>
      </c>
      <c r="C90" s="241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245"/>
    </row>
    <row r="91" spans="1:21" ht="12.75" customHeight="1">
      <c r="A91" s="241"/>
      <c r="B91" s="246" t="s">
        <v>1322</v>
      </c>
      <c r="C91" s="241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245"/>
    </row>
    <row r="92" spans="1:21" ht="12.75" customHeight="1">
      <c r="A92" s="241"/>
      <c r="B92" s="246" t="s">
        <v>1326</v>
      </c>
      <c r="C92" s="241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245"/>
    </row>
    <row r="93" spans="1:21" ht="12.75" customHeight="1">
      <c r="A93" s="241"/>
      <c r="B93" s="246" t="s">
        <v>1368</v>
      </c>
      <c r="C93" s="241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245"/>
    </row>
    <row r="94" spans="1:21" ht="12.75" customHeight="1">
      <c r="A94" s="241"/>
      <c r="B94" s="246" t="s">
        <v>1380</v>
      </c>
      <c r="C94" s="241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245"/>
    </row>
    <row r="95" spans="1:21" ht="12.75" customHeight="1">
      <c r="A95" s="241"/>
      <c r="B95" s="246" t="s">
        <v>1385</v>
      </c>
      <c r="C95" s="241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245"/>
    </row>
    <row r="96" spans="1:21" ht="12.75" customHeight="1">
      <c r="A96" s="241"/>
      <c r="B96" s="246" t="s">
        <v>1405</v>
      </c>
      <c r="C96" s="241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245"/>
    </row>
    <row r="97" spans="1:21" ht="12.75" customHeight="1">
      <c r="A97" s="241"/>
      <c r="B97" s="246" t="s">
        <v>1424</v>
      </c>
      <c r="C97" s="241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245"/>
    </row>
    <row r="98" spans="1:21" ht="12.75" customHeight="1">
      <c r="A98" s="241"/>
      <c r="B98" s="246" t="s">
        <v>1439</v>
      </c>
      <c r="C98" s="241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245"/>
    </row>
    <row r="99" spans="1:21" ht="12.75" customHeight="1">
      <c r="A99" s="241"/>
      <c r="B99" s="246" t="s">
        <v>1472</v>
      </c>
      <c r="C99" s="241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245"/>
    </row>
    <row r="100" spans="1:21" ht="12.75" customHeight="1">
      <c r="A100" s="241"/>
      <c r="B100" s="246" t="s">
        <v>1495</v>
      </c>
      <c r="C100" s="241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245"/>
    </row>
    <row r="101" spans="1:21" ht="12.75" customHeight="1">
      <c r="A101" s="241"/>
      <c r="B101" s="246" t="s">
        <v>3798</v>
      </c>
      <c r="C101" s="241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245"/>
    </row>
    <row r="102" spans="1:21" ht="12.75" customHeight="1">
      <c r="A102" s="241"/>
      <c r="B102" s="246" t="s">
        <v>1504</v>
      </c>
      <c r="C102" s="241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245"/>
    </row>
    <row r="103" spans="1:21" ht="12.75" customHeight="1">
      <c r="A103" s="241"/>
      <c r="B103" s="246" t="s">
        <v>1479</v>
      </c>
      <c r="C103" s="241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245"/>
    </row>
    <row r="104" spans="1:21" ht="12.75" customHeight="1">
      <c r="A104" s="241"/>
      <c r="B104" s="246" t="s">
        <v>1455</v>
      </c>
      <c r="C104" s="241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245"/>
    </row>
    <row r="105" spans="1:21" ht="12.75" customHeight="1">
      <c r="A105" s="241"/>
      <c r="B105" s="246" t="s">
        <v>1482</v>
      </c>
      <c r="C105" s="241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245"/>
    </row>
    <row r="106" spans="1:21" ht="12.75" customHeight="1">
      <c r="A106" s="241"/>
      <c r="B106" s="246" t="s">
        <v>1401</v>
      </c>
      <c r="C106" s="241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245"/>
    </row>
    <row r="107" spans="1:21" ht="12.75" customHeight="1">
      <c r="A107" s="241"/>
      <c r="B107" s="246" t="s">
        <v>1434</v>
      </c>
      <c r="C107" s="241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245"/>
    </row>
    <row r="108" spans="1:21" ht="12.75" customHeight="1">
      <c r="A108" s="241"/>
      <c r="B108" s="246" t="s">
        <v>4294</v>
      </c>
      <c r="C108" s="241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245"/>
    </row>
    <row r="109" spans="1:21" ht="12.75" customHeight="1">
      <c r="A109" s="241"/>
      <c r="B109" s="246" t="s">
        <v>4519</v>
      </c>
      <c r="C109" s="241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245"/>
    </row>
    <row r="110" spans="1:21" ht="12.75" customHeight="1">
      <c r="A110" s="236" t="s">
        <v>3678</v>
      </c>
      <c r="B110" s="237"/>
      <c r="C110" s="241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245"/>
    </row>
    <row r="111" spans="1:21" ht="12.75" customHeight="1">
      <c r="A111" s="236" t="s">
        <v>1512</v>
      </c>
      <c r="B111" s="237"/>
      <c r="C111" s="241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245"/>
    </row>
    <row r="112" spans="1:21" ht="12.75" customHeight="1">
      <c r="A112" s="236" t="s">
        <v>1517</v>
      </c>
      <c r="B112" s="236" t="s">
        <v>1519</v>
      </c>
      <c r="C112" s="241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245"/>
    </row>
    <row r="113" spans="1:21" ht="12.75" customHeight="1">
      <c r="A113" s="241"/>
      <c r="B113" s="246" t="s">
        <v>1527</v>
      </c>
      <c r="C113" s="241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245"/>
    </row>
    <row r="114" spans="1:21" ht="12.75" customHeight="1">
      <c r="A114" s="241"/>
      <c r="B114" s="246" t="s">
        <v>7055</v>
      </c>
      <c r="C114" s="241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245"/>
    </row>
    <row r="115" spans="1:21" ht="12.75" customHeight="1">
      <c r="A115" s="241"/>
      <c r="B115" s="246" t="s">
        <v>7057</v>
      </c>
      <c r="C115" s="241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245"/>
    </row>
    <row r="116" spans="1:21" ht="12.75" customHeight="1">
      <c r="A116" s="241"/>
      <c r="B116" s="246" t="s">
        <v>7056</v>
      </c>
      <c r="C116" s="241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245"/>
    </row>
    <row r="117" spans="1:21" ht="12.75" customHeight="1">
      <c r="A117" s="241"/>
      <c r="B117" s="246" t="s">
        <v>7135</v>
      </c>
      <c r="C117" s="241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245"/>
    </row>
    <row r="118" spans="1:21" ht="12.75" customHeight="1">
      <c r="A118" s="236" t="s">
        <v>3679</v>
      </c>
      <c r="B118" s="237"/>
      <c r="C118" s="241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245"/>
    </row>
    <row r="119" spans="1:21" ht="12.75" customHeight="1">
      <c r="A119" s="236" t="s">
        <v>1535</v>
      </c>
      <c r="B119" s="237"/>
      <c r="C119" s="241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245"/>
    </row>
    <row r="120" spans="1:21" ht="12.75" customHeight="1">
      <c r="A120" s="236" t="s">
        <v>1589</v>
      </c>
      <c r="B120" s="237"/>
      <c r="C120" s="241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245"/>
    </row>
    <row r="121" spans="1:21" ht="12.75" customHeight="1">
      <c r="A121" s="236" t="s">
        <v>1621</v>
      </c>
      <c r="B121" s="237"/>
      <c r="C121" s="241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245"/>
    </row>
    <row r="122" spans="1:21" ht="12.75" customHeight="1">
      <c r="A122" s="236" t="s">
        <v>1656</v>
      </c>
      <c r="B122" s="237"/>
      <c r="C122" s="241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245"/>
    </row>
    <row r="123" spans="1:21" ht="12.75" customHeight="1">
      <c r="A123" s="236" t="s">
        <v>1788</v>
      </c>
      <c r="B123" s="237"/>
      <c r="C123" s="241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245"/>
    </row>
    <row r="124" spans="1:21" ht="12.75" customHeight="1">
      <c r="A124" s="247" t="s">
        <v>3669</v>
      </c>
      <c r="B124" s="248"/>
      <c r="C124" s="249"/>
      <c r="D124" s="250"/>
      <c r="E124" s="250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0"/>
      <c r="S124" s="250"/>
      <c r="T124" s="250"/>
      <c r="U124" s="251"/>
    </row>
    <row r="125" spans="1:21" ht="12.75" customHeight="1">
      <c r="C125" s="4"/>
      <c r="D125" s="4"/>
      <c r="E125" s="4"/>
      <c r="F125" s="4"/>
      <c r="G125" s="4"/>
      <c r="H125" s="4"/>
      <c r="I125" s="4"/>
      <c r="J125" s="4"/>
    </row>
    <row r="126" spans="1:21" ht="12.75" customHeight="1">
      <c r="C126" s="4"/>
      <c r="D126" s="4"/>
      <c r="E126" s="4"/>
      <c r="F126" s="4"/>
      <c r="G126" s="4"/>
      <c r="H126" s="4"/>
      <c r="I126" s="4"/>
      <c r="J126" s="4"/>
    </row>
    <row r="127" spans="1:21" ht="12.75" customHeight="1">
      <c r="C127" s="4"/>
      <c r="D127" s="4"/>
      <c r="E127" s="4"/>
      <c r="F127" s="4"/>
      <c r="G127" s="4"/>
      <c r="H127" s="4"/>
      <c r="I127" s="4"/>
      <c r="J127" s="4"/>
    </row>
    <row r="128" spans="1:21" ht="12.75" customHeight="1">
      <c r="C128" s="4"/>
      <c r="D128" s="4"/>
      <c r="E128" s="4"/>
      <c r="F128" s="4"/>
      <c r="G128" s="4"/>
      <c r="H128" s="4"/>
      <c r="I128" s="4"/>
      <c r="J128" s="4"/>
    </row>
    <row r="129" spans="3:10" ht="12.75" customHeight="1">
      <c r="C129" s="4"/>
      <c r="D129" s="4"/>
      <c r="E129" s="4"/>
      <c r="F129" s="4"/>
      <c r="G129" s="4"/>
      <c r="H129" s="4"/>
      <c r="I129" s="4"/>
      <c r="J129" s="4"/>
    </row>
    <row r="130" spans="3:10" ht="12.75" customHeight="1">
      <c r="C130" s="4"/>
      <c r="D130" s="4"/>
      <c r="E130" s="4"/>
      <c r="F130" s="4"/>
      <c r="G130" s="4"/>
      <c r="H130" s="4"/>
      <c r="I130" s="4"/>
      <c r="J130" s="4"/>
    </row>
    <row r="131" spans="3:10" ht="12.75" customHeight="1">
      <c r="C131" s="4"/>
      <c r="D131" s="4"/>
      <c r="E131" s="4"/>
      <c r="F131" s="4"/>
      <c r="G131" s="4"/>
      <c r="H131" s="4"/>
      <c r="I131" s="4"/>
      <c r="J131" s="4"/>
    </row>
    <row r="132" spans="3:10" ht="12.75" customHeight="1">
      <c r="C132" s="4"/>
      <c r="D132" s="4"/>
      <c r="E132" s="4"/>
      <c r="F132" s="4"/>
      <c r="G132" s="4"/>
      <c r="H132" s="4"/>
      <c r="I132" s="4"/>
      <c r="J132" s="4"/>
    </row>
    <row r="133" spans="3:10" ht="12.75" customHeight="1">
      <c r="C133" s="4"/>
      <c r="D133" s="4"/>
      <c r="E133" s="4"/>
      <c r="F133" s="4"/>
      <c r="G133" s="4"/>
      <c r="H133" s="4"/>
      <c r="I133" s="4"/>
      <c r="J133" s="4"/>
    </row>
    <row r="134" spans="3:10" ht="12.75" customHeight="1">
      <c r="C134" s="4"/>
      <c r="D134" s="4"/>
      <c r="E134" s="4"/>
      <c r="F134" s="4"/>
      <c r="G134" s="4"/>
      <c r="H134" s="4"/>
      <c r="I134" s="4"/>
      <c r="J134" s="4"/>
    </row>
    <row r="135" spans="3:10" ht="12.75" customHeight="1">
      <c r="C135" s="4"/>
      <c r="D135" s="4"/>
      <c r="E135" s="4"/>
      <c r="F135" s="4"/>
      <c r="G135" s="4"/>
      <c r="H135" s="4"/>
      <c r="I135" s="4"/>
      <c r="J135" s="4"/>
    </row>
    <row r="136" spans="3:10" ht="12.75" customHeight="1">
      <c r="C136" s="4"/>
      <c r="D136" s="4"/>
      <c r="E136" s="4"/>
      <c r="F136" s="4"/>
      <c r="G136" s="4"/>
      <c r="H136" s="4"/>
      <c r="I136" s="4"/>
      <c r="J136" s="4"/>
    </row>
    <row r="137" spans="3:10" ht="12.75" customHeight="1">
      <c r="C137" s="4"/>
      <c r="D137" s="4"/>
      <c r="E137" s="4"/>
      <c r="F137" s="4"/>
      <c r="G137" s="4"/>
      <c r="H137" s="4"/>
      <c r="I137" s="4"/>
      <c r="J137" s="4"/>
    </row>
    <row r="138" spans="3:10" ht="12.75" customHeight="1">
      <c r="C138" s="4"/>
      <c r="D138" s="4"/>
      <c r="E138" s="4"/>
      <c r="F138" s="4"/>
      <c r="G138" s="4"/>
      <c r="H138" s="4"/>
      <c r="I138" s="4"/>
      <c r="J138" s="4"/>
    </row>
    <row r="139" spans="3:10" ht="12.75" customHeight="1">
      <c r="C139" s="4"/>
      <c r="D139" s="4"/>
      <c r="E139" s="4"/>
      <c r="F139" s="4"/>
      <c r="G139" s="4"/>
      <c r="H139" s="4"/>
      <c r="I139" s="4"/>
      <c r="J139" s="4"/>
    </row>
    <row r="140" spans="3:10" ht="12.75" customHeight="1">
      <c r="C140" s="4"/>
      <c r="D140" s="4"/>
      <c r="E140" s="4"/>
      <c r="F140" s="4"/>
      <c r="G140" s="4"/>
      <c r="H140" s="4"/>
      <c r="I140" s="4"/>
      <c r="J140" s="4"/>
    </row>
    <row r="141" spans="3:10" ht="12.75" customHeight="1">
      <c r="C141" s="4"/>
      <c r="D141" s="4"/>
      <c r="E141" s="4"/>
      <c r="F141" s="4"/>
      <c r="G141" s="4"/>
      <c r="H141" s="4"/>
      <c r="I141" s="4"/>
      <c r="J141" s="4"/>
    </row>
    <row r="142" spans="3:10" ht="12.75" customHeight="1">
      <c r="C142" s="4"/>
      <c r="D142" s="4"/>
      <c r="E142" s="4"/>
      <c r="F142" s="4"/>
      <c r="G142" s="4"/>
      <c r="H142" s="4"/>
      <c r="I142" s="4"/>
      <c r="J142" s="4"/>
    </row>
    <row r="143" spans="3:10" ht="12.75" customHeight="1">
      <c r="C143" s="4"/>
      <c r="D143" s="4"/>
      <c r="E143" s="4"/>
      <c r="F143" s="4"/>
      <c r="G143" s="4"/>
      <c r="H143" s="4"/>
      <c r="I143" s="4"/>
      <c r="J143" s="4"/>
    </row>
    <row r="144" spans="3:10" ht="12.75" customHeight="1">
      <c r="C144" s="4"/>
      <c r="D144" s="4"/>
      <c r="E144" s="4"/>
      <c r="F144" s="4"/>
      <c r="G144" s="4"/>
      <c r="H144" s="4"/>
      <c r="I144" s="4"/>
      <c r="J144" s="4"/>
    </row>
    <row r="145" spans="3:10" ht="12.75" customHeight="1">
      <c r="C145" s="4"/>
      <c r="D145" s="4"/>
      <c r="E145" s="4"/>
      <c r="F145" s="4"/>
      <c r="G145" s="4"/>
      <c r="H145" s="4"/>
      <c r="I145" s="4"/>
      <c r="J145" s="4"/>
    </row>
    <row r="146" spans="3:10" ht="12.75" customHeight="1">
      <c r="C146" s="4"/>
      <c r="D146" s="4"/>
      <c r="E146" s="4"/>
      <c r="F146" s="4"/>
      <c r="G146" s="4"/>
      <c r="H146" s="4"/>
      <c r="I146" s="4"/>
      <c r="J146" s="4"/>
    </row>
    <row r="147" spans="3:10" ht="12.75" customHeight="1">
      <c r="C147" s="4"/>
      <c r="D147" s="4"/>
      <c r="E147" s="4"/>
      <c r="F147" s="4"/>
      <c r="G147" s="4"/>
      <c r="H147" s="4"/>
      <c r="I147" s="4"/>
      <c r="J147" s="4"/>
    </row>
    <row r="148" spans="3:10" ht="12.75" customHeight="1">
      <c r="C148" s="4"/>
      <c r="D148" s="4"/>
      <c r="E148" s="4"/>
      <c r="F148" s="4"/>
      <c r="G148" s="4"/>
      <c r="H148" s="4"/>
      <c r="I148" s="4"/>
      <c r="J148" s="4"/>
    </row>
    <row r="149" spans="3:10" ht="12.75" customHeight="1">
      <c r="C149" s="4"/>
      <c r="D149" s="4"/>
      <c r="E149" s="4"/>
      <c r="F149" s="4"/>
      <c r="G149" s="4"/>
      <c r="H149" s="4"/>
      <c r="I149" s="4"/>
      <c r="J149" s="4"/>
    </row>
    <row r="150" spans="3:10" ht="12.75" customHeight="1">
      <c r="C150" s="4"/>
      <c r="D150" s="4"/>
      <c r="E150" s="4"/>
      <c r="F150" s="4"/>
      <c r="G150" s="4"/>
      <c r="H150" s="4"/>
      <c r="I150" s="4"/>
      <c r="J150" s="4"/>
    </row>
    <row r="151" spans="3:10" ht="12.75" customHeight="1">
      <c r="C151" s="4"/>
      <c r="D151" s="4"/>
      <c r="E151" s="4"/>
      <c r="F151" s="4"/>
      <c r="G151" s="4"/>
      <c r="H151" s="4"/>
      <c r="I151" s="4"/>
      <c r="J151" s="4"/>
    </row>
    <row r="152" spans="3:10" ht="12.75" customHeight="1">
      <c r="C152" s="4"/>
      <c r="D152" s="4"/>
      <c r="E152" s="4"/>
      <c r="F152" s="4"/>
      <c r="G152" s="4"/>
      <c r="H152" s="4"/>
      <c r="I152" s="4"/>
      <c r="J152" s="4"/>
    </row>
    <row r="153" spans="3:10" ht="12.75" customHeight="1">
      <c r="C153" s="4"/>
      <c r="D153" s="4"/>
      <c r="E153" s="4"/>
      <c r="F153" s="4"/>
      <c r="G153" s="4"/>
      <c r="H153" s="4"/>
      <c r="I153" s="4"/>
      <c r="J153" s="4"/>
    </row>
    <row r="154" spans="3:10" ht="12.75" customHeight="1">
      <c r="C154" s="4"/>
      <c r="D154" s="4"/>
      <c r="E154" s="4"/>
      <c r="F154" s="4"/>
      <c r="G154" s="4"/>
      <c r="H154" s="4"/>
      <c r="I154" s="4"/>
      <c r="J154" s="4"/>
    </row>
    <row r="155" spans="3:10" ht="12.75" customHeight="1">
      <c r="C155" s="4"/>
      <c r="D155" s="4"/>
      <c r="E155" s="4"/>
      <c r="F155" s="4"/>
      <c r="G155" s="4"/>
      <c r="H155" s="4"/>
      <c r="I155" s="4"/>
      <c r="J155" s="4"/>
    </row>
    <row r="156" spans="3:10" ht="12.75" customHeight="1">
      <c r="C156" s="4"/>
      <c r="D156" s="4"/>
      <c r="E156" s="4"/>
      <c r="F156" s="4"/>
      <c r="G156" s="4"/>
      <c r="H156" s="4"/>
      <c r="I156" s="4"/>
      <c r="J156" s="4"/>
    </row>
    <row r="157" spans="3:10" ht="12.75" customHeight="1">
      <c r="C157" s="4"/>
      <c r="D157" s="4"/>
      <c r="E157" s="4"/>
      <c r="F157" s="4"/>
      <c r="G157" s="4"/>
      <c r="H157" s="4"/>
      <c r="I157" s="4"/>
      <c r="J157" s="4"/>
    </row>
    <row r="158" spans="3:10" ht="12.75" customHeight="1">
      <c r="C158" s="4"/>
      <c r="D158" s="4"/>
      <c r="E158" s="4"/>
      <c r="F158" s="4"/>
      <c r="G158" s="4"/>
      <c r="H158" s="4"/>
      <c r="I158" s="4"/>
      <c r="J158" s="4"/>
    </row>
    <row r="159" spans="3:10" ht="12.75" customHeight="1">
      <c r="C159" s="4"/>
      <c r="D159" s="4"/>
      <c r="E159" s="4"/>
      <c r="F159" s="4"/>
      <c r="G159" s="4"/>
      <c r="H159" s="4"/>
      <c r="I159" s="4"/>
      <c r="J159" s="4"/>
    </row>
    <row r="160" spans="3:10" ht="12.75" customHeight="1">
      <c r="C160" s="4"/>
      <c r="D160" s="4"/>
      <c r="E160" s="4"/>
      <c r="F160" s="4"/>
      <c r="G160" s="4"/>
      <c r="H160" s="4"/>
      <c r="I160" s="4"/>
      <c r="J160" s="4"/>
    </row>
    <row r="161" spans="3:10" ht="12.75" customHeight="1">
      <c r="C161" s="4"/>
      <c r="D161" s="4"/>
      <c r="E161" s="4"/>
      <c r="F161" s="4"/>
      <c r="G161" s="4"/>
      <c r="H161" s="4"/>
      <c r="I161" s="4"/>
      <c r="J161" s="4"/>
    </row>
    <row r="162" spans="3:10" ht="12.75" customHeight="1">
      <c r="C162" s="4"/>
      <c r="D162" s="4"/>
      <c r="E162" s="4"/>
      <c r="F162" s="4"/>
      <c r="G162" s="4"/>
      <c r="H162" s="4"/>
      <c r="I162" s="4"/>
      <c r="J162" s="4"/>
    </row>
    <row r="163" spans="3:10" ht="12.75" customHeight="1">
      <c r="C163" s="4"/>
      <c r="D163" s="4"/>
      <c r="E163" s="4"/>
      <c r="F163" s="4"/>
      <c r="G163" s="4"/>
      <c r="H163" s="4"/>
      <c r="I163" s="4"/>
      <c r="J163" s="4"/>
    </row>
    <row r="164" spans="3:10" ht="12.75" customHeight="1">
      <c r="C164" s="4"/>
      <c r="D164" s="4"/>
      <c r="E164" s="4"/>
      <c r="F164" s="4"/>
      <c r="G164" s="4"/>
      <c r="H164" s="4"/>
      <c r="I164" s="4"/>
      <c r="J164" s="4"/>
    </row>
    <row r="165" spans="3:10" ht="12.75" customHeight="1">
      <c r="C165" s="4"/>
      <c r="D165" s="4"/>
      <c r="E165" s="4"/>
      <c r="F165" s="4"/>
      <c r="G165" s="4"/>
      <c r="H165" s="4"/>
      <c r="I165" s="4"/>
      <c r="J165" s="4"/>
    </row>
    <row r="166" spans="3:10" ht="12.75" customHeight="1">
      <c r="C166" s="4"/>
      <c r="D166" s="4"/>
      <c r="E166" s="4"/>
      <c r="F166" s="4"/>
      <c r="G166" s="4"/>
      <c r="H166" s="4"/>
      <c r="I166" s="4"/>
      <c r="J166" s="4"/>
    </row>
    <row r="167" spans="3:10" ht="12.75" customHeight="1">
      <c r="C167" s="4"/>
      <c r="D167" s="4"/>
      <c r="E167" s="4"/>
      <c r="F167" s="4"/>
      <c r="G167" s="4"/>
      <c r="H167" s="4"/>
      <c r="I167" s="4"/>
      <c r="J167" s="4"/>
    </row>
    <row r="168" spans="3:10" ht="12.75" customHeight="1">
      <c r="C168" s="4"/>
      <c r="D168" s="4"/>
      <c r="E168" s="4"/>
      <c r="F168" s="4"/>
      <c r="G168" s="4"/>
      <c r="H168" s="4"/>
      <c r="I168" s="4"/>
      <c r="J168" s="4"/>
    </row>
    <row r="169" spans="3:10" ht="12.75" customHeight="1">
      <c r="C169" s="4"/>
      <c r="D169" s="4"/>
      <c r="E169" s="4"/>
      <c r="F169" s="4"/>
      <c r="G169" s="4"/>
      <c r="H169" s="4"/>
      <c r="I169" s="4"/>
      <c r="J169" s="4"/>
    </row>
    <row r="170" spans="3:10" ht="12.75" customHeight="1">
      <c r="C170" s="4"/>
      <c r="D170" s="4"/>
      <c r="E170" s="4"/>
      <c r="F170" s="4"/>
      <c r="G170" s="4"/>
      <c r="H170" s="4"/>
      <c r="I170" s="4"/>
      <c r="J170" s="4"/>
    </row>
    <row r="171" spans="3:10" ht="12.75" customHeight="1">
      <c r="C171" s="4"/>
      <c r="D171" s="4"/>
      <c r="E171" s="4"/>
      <c r="F171" s="4"/>
      <c r="G171" s="4"/>
      <c r="H171" s="4"/>
      <c r="I171" s="4"/>
      <c r="J171" s="4"/>
    </row>
    <row r="172" spans="3:10" ht="12.75" customHeight="1">
      <c r="C172" s="4"/>
      <c r="D172" s="4"/>
      <c r="E172" s="4"/>
      <c r="F172" s="4"/>
      <c r="G172" s="4"/>
      <c r="H172" s="4"/>
      <c r="I172" s="4"/>
      <c r="J172" s="4"/>
    </row>
    <row r="173" spans="3:10" ht="12.75" customHeight="1">
      <c r="C173" s="4"/>
      <c r="D173" s="4"/>
      <c r="E173" s="4"/>
      <c r="F173" s="4"/>
      <c r="G173" s="4"/>
      <c r="H173" s="4"/>
      <c r="I173" s="4"/>
      <c r="J173" s="4"/>
    </row>
    <row r="174" spans="3:10" ht="12.75" customHeight="1">
      <c r="C174" s="4"/>
      <c r="D174" s="4"/>
      <c r="E174" s="4"/>
      <c r="F174" s="4"/>
      <c r="G174" s="4"/>
      <c r="H174" s="4"/>
      <c r="I174" s="4"/>
      <c r="J174" s="4"/>
    </row>
    <row r="175" spans="3:10" ht="12.75" customHeight="1">
      <c r="C175" s="4"/>
      <c r="D175" s="4"/>
      <c r="E175" s="4"/>
      <c r="F175" s="4"/>
      <c r="G175" s="4"/>
      <c r="H175" s="4"/>
      <c r="I175" s="4"/>
      <c r="J175" s="4"/>
    </row>
    <row r="176" spans="3:10" ht="12.75" customHeight="1">
      <c r="C176" s="4"/>
      <c r="D176" s="4"/>
      <c r="E176" s="4"/>
      <c r="F176" s="4"/>
      <c r="G176" s="4"/>
      <c r="H176" s="4"/>
      <c r="I176" s="4"/>
      <c r="J176" s="4"/>
    </row>
    <row r="177" spans="3:10" ht="12.75" customHeight="1">
      <c r="C177" s="4"/>
      <c r="D177" s="4"/>
      <c r="E177" s="4"/>
      <c r="F177" s="4"/>
      <c r="G177" s="4"/>
      <c r="H177" s="4"/>
      <c r="I177" s="4"/>
      <c r="J177" s="4"/>
    </row>
    <row r="178" spans="3:10" ht="12.75" customHeight="1">
      <c r="C178" s="4"/>
      <c r="D178" s="4"/>
      <c r="E178" s="4"/>
      <c r="F178" s="4"/>
      <c r="G178" s="4"/>
      <c r="H178" s="4"/>
      <c r="I178" s="4"/>
      <c r="J178" s="4"/>
    </row>
    <row r="179" spans="3:10" ht="12.75" customHeight="1">
      <c r="C179" s="4"/>
      <c r="D179" s="4"/>
      <c r="E179" s="4"/>
      <c r="F179" s="4"/>
      <c r="G179" s="4"/>
      <c r="H179" s="4"/>
      <c r="I179" s="4"/>
      <c r="J179" s="4"/>
    </row>
    <row r="180" spans="3:10" ht="12.75" customHeight="1">
      <c r="C180" s="4"/>
      <c r="D180" s="4"/>
      <c r="E180" s="4"/>
      <c r="F180" s="4"/>
      <c r="G180" s="4"/>
      <c r="H180" s="4"/>
      <c r="I180" s="4"/>
      <c r="J180" s="4"/>
    </row>
    <row r="181" spans="3:10" ht="12.75" customHeight="1">
      <c r="C181" s="4"/>
      <c r="D181" s="4"/>
      <c r="E181" s="4"/>
      <c r="F181" s="4"/>
      <c r="G181" s="4"/>
      <c r="H181" s="4"/>
      <c r="I181" s="4"/>
      <c r="J181" s="4"/>
    </row>
    <row r="182" spans="3:10" ht="12.75" customHeight="1">
      <c r="C182" s="4"/>
      <c r="D182" s="4"/>
      <c r="E182" s="4"/>
      <c r="F182" s="4"/>
      <c r="G182" s="4"/>
      <c r="H182" s="4"/>
      <c r="I182" s="4"/>
      <c r="J182" s="4"/>
    </row>
    <row r="183" spans="3:10" ht="12.75" customHeight="1">
      <c r="C183" s="4"/>
      <c r="D183" s="4"/>
      <c r="E183" s="4"/>
      <c r="F183" s="4"/>
      <c r="G183" s="4"/>
      <c r="H183" s="4"/>
      <c r="I183" s="4"/>
      <c r="J183" s="4"/>
    </row>
    <row r="184" spans="3:10" ht="12.75" customHeight="1">
      <c r="C184" s="4"/>
      <c r="D184" s="4"/>
      <c r="E184" s="4"/>
      <c r="F184" s="4"/>
      <c r="G184" s="4"/>
      <c r="H184" s="4"/>
      <c r="I184" s="4"/>
      <c r="J184" s="4"/>
    </row>
    <row r="185" spans="3:10" ht="12.75" customHeight="1">
      <c r="C185" s="4"/>
      <c r="D185" s="4"/>
      <c r="E185" s="4"/>
      <c r="F185" s="4"/>
      <c r="G185" s="4"/>
      <c r="H185" s="4"/>
      <c r="I185" s="4"/>
      <c r="J185" s="4"/>
    </row>
    <row r="186" spans="3:10" ht="12.75" customHeight="1">
      <c r="C186" s="4"/>
      <c r="D186" s="4"/>
      <c r="E186" s="4"/>
      <c r="F186" s="4"/>
      <c r="G186" s="4"/>
      <c r="H186" s="4"/>
      <c r="I186" s="4"/>
      <c r="J186" s="4"/>
    </row>
    <row r="187" spans="3:10" ht="12.75" customHeight="1">
      <c r="C187" s="4"/>
      <c r="D187" s="4"/>
      <c r="E187" s="4"/>
      <c r="F187" s="4"/>
      <c r="G187" s="4"/>
      <c r="H187" s="4"/>
      <c r="I187" s="4"/>
      <c r="J187" s="4"/>
    </row>
    <row r="188" spans="3:10" ht="12.75" customHeight="1">
      <c r="C188" s="4"/>
      <c r="D188" s="4"/>
      <c r="E188" s="4"/>
      <c r="F188" s="4"/>
      <c r="G188" s="4"/>
      <c r="H188" s="4"/>
      <c r="I188" s="4"/>
      <c r="J188" s="4"/>
    </row>
    <row r="189" spans="3:10" ht="12.75" customHeight="1">
      <c r="C189" s="4"/>
      <c r="D189" s="4"/>
      <c r="E189" s="4"/>
      <c r="F189" s="4"/>
      <c r="G189" s="4"/>
      <c r="H189" s="4"/>
      <c r="I189" s="4"/>
      <c r="J189" s="4"/>
    </row>
    <row r="190" spans="3:10" ht="12.75" customHeight="1">
      <c r="C190" s="4"/>
      <c r="D190" s="4"/>
      <c r="E190" s="4"/>
      <c r="F190" s="4"/>
      <c r="G190" s="4"/>
      <c r="H190" s="4"/>
      <c r="I190" s="4"/>
      <c r="J190" s="4"/>
    </row>
    <row r="191" spans="3:10" ht="12.75" customHeight="1">
      <c r="C191" s="4"/>
      <c r="D191" s="4"/>
      <c r="E191" s="4"/>
      <c r="F191" s="4"/>
      <c r="G191" s="4"/>
      <c r="H191" s="4"/>
      <c r="I191" s="4"/>
      <c r="J191" s="4"/>
    </row>
    <row r="192" spans="3:10" ht="12.75" customHeight="1">
      <c r="C192" s="4"/>
      <c r="D192" s="4"/>
      <c r="E192" s="4"/>
      <c r="F192" s="4"/>
      <c r="G192" s="4"/>
      <c r="H192" s="4"/>
      <c r="I192" s="4"/>
      <c r="J192" s="4"/>
    </row>
    <row r="193" spans="3:10" ht="12.75" customHeight="1">
      <c r="C193" s="4"/>
      <c r="D193" s="4"/>
      <c r="E193" s="4"/>
      <c r="F193" s="4"/>
      <c r="G193" s="4"/>
      <c r="H193" s="4"/>
      <c r="I193" s="4"/>
      <c r="J193" s="4"/>
    </row>
    <row r="194" spans="3:10" ht="12.75" customHeight="1">
      <c r="C194" s="4"/>
      <c r="D194" s="4"/>
      <c r="E194" s="4"/>
      <c r="F194" s="4"/>
      <c r="G194" s="4"/>
      <c r="H194" s="4"/>
      <c r="I194" s="4"/>
      <c r="J194" s="4"/>
    </row>
    <row r="195" spans="3:10" ht="12.75" customHeight="1">
      <c r="C195" s="4"/>
      <c r="D195" s="4"/>
      <c r="E195" s="4"/>
      <c r="F195" s="4"/>
      <c r="G195" s="4"/>
      <c r="H195" s="4"/>
      <c r="I195" s="4"/>
      <c r="J195" s="4"/>
    </row>
    <row r="196" spans="3:10" ht="12.75" customHeight="1">
      <c r="C196" s="4"/>
      <c r="D196" s="4"/>
      <c r="E196" s="4"/>
      <c r="F196" s="4"/>
      <c r="G196" s="4"/>
      <c r="H196" s="4"/>
      <c r="I196" s="4"/>
      <c r="J196" s="4"/>
    </row>
    <row r="197" spans="3:10" ht="12.75" customHeight="1">
      <c r="C197" s="4"/>
      <c r="D197" s="4"/>
      <c r="E197" s="4"/>
      <c r="F197" s="4"/>
      <c r="G197" s="4"/>
      <c r="H197" s="4"/>
      <c r="I197" s="4"/>
      <c r="J197" s="4"/>
    </row>
    <row r="198" spans="3:10" ht="12.75" customHeight="1">
      <c r="C198" s="4"/>
      <c r="D198" s="4"/>
      <c r="E198" s="4"/>
      <c r="F198" s="4"/>
      <c r="G198" s="4"/>
      <c r="H198" s="4"/>
      <c r="I198" s="4"/>
      <c r="J198" s="4"/>
    </row>
    <row r="199" spans="3:10" ht="12.75" customHeight="1">
      <c r="C199" s="4"/>
      <c r="D199" s="4"/>
      <c r="E199" s="4"/>
      <c r="F199" s="4"/>
      <c r="G199" s="4"/>
      <c r="H199" s="4"/>
      <c r="I199" s="4"/>
      <c r="J199" s="4"/>
    </row>
    <row r="200" spans="3:10" ht="12.75" customHeight="1">
      <c r="C200" s="4"/>
      <c r="D200" s="4"/>
      <c r="E200" s="4"/>
      <c r="F200" s="4"/>
      <c r="G200" s="4"/>
      <c r="H200" s="4"/>
      <c r="I200" s="4"/>
      <c r="J200" s="4"/>
    </row>
    <row r="201" spans="3:10" ht="12.75" customHeight="1">
      <c r="C201" s="4"/>
      <c r="D201" s="4"/>
      <c r="E201" s="4"/>
      <c r="F201" s="4"/>
      <c r="G201" s="4"/>
      <c r="H201" s="4"/>
      <c r="I201" s="4"/>
      <c r="J201" s="4"/>
    </row>
    <row r="202" spans="3:10" ht="12.75" customHeight="1">
      <c r="C202" s="4"/>
      <c r="D202" s="4"/>
      <c r="E202" s="4"/>
      <c r="F202" s="4"/>
      <c r="G202" s="4"/>
      <c r="H202" s="4"/>
      <c r="I202" s="4"/>
      <c r="J202" s="4"/>
    </row>
    <row r="203" spans="3:10" ht="12.75" customHeight="1">
      <c r="C203" s="4"/>
      <c r="D203" s="4"/>
      <c r="E203" s="4"/>
      <c r="F203" s="4"/>
      <c r="G203" s="4"/>
      <c r="H203" s="4"/>
      <c r="I203" s="4"/>
      <c r="J203" s="4"/>
    </row>
    <row r="204" spans="3:10" ht="12.75" customHeight="1">
      <c r="C204" s="4"/>
      <c r="D204" s="4"/>
      <c r="E204" s="4"/>
      <c r="F204" s="4"/>
      <c r="G204" s="4"/>
      <c r="H204" s="4"/>
      <c r="I204" s="4"/>
      <c r="J204" s="4"/>
    </row>
    <row r="205" spans="3:10" ht="12.75" customHeight="1">
      <c r="C205" s="4"/>
      <c r="D205" s="4"/>
      <c r="E205" s="4"/>
      <c r="F205" s="4"/>
      <c r="G205" s="4"/>
      <c r="H205" s="4"/>
      <c r="I205" s="4"/>
      <c r="J205" s="4"/>
    </row>
    <row r="206" spans="3:10" ht="12.75" customHeight="1">
      <c r="C206" s="4"/>
      <c r="D206" s="4"/>
      <c r="E206" s="4"/>
      <c r="F206" s="4"/>
      <c r="G206" s="4"/>
      <c r="H206" s="4"/>
      <c r="I206" s="4"/>
      <c r="J206" s="4"/>
    </row>
    <row r="207" spans="3:10" ht="12.75" customHeight="1">
      <c r="C207" s="4"/>
      <c r="D207" s="4"/>
      <c r="E207" s="4"/>
      <c r="F207" s="4"/>
      <c r="G207" s="4"/>
      <c r="H207" s="4"/>
      <c r="I207" s="4"/>
      <c r="J207" s="4"/>
    </row>
    <row r="208" spans="3:10" ht="12.75" customHeight="1">
      <c r="C208" s="4"/>
      <c r="D208" s="4"/>
      <c r="E208" s="4"/>
      <c r="F208" s="4"/>
      <c r="G208" s="4"/>
      <c r="H208" s="4"/>
      <c r="I208" s="4"/>
      <c r="J208" s="4"/>
    </row>
    <row r="209" spans="3:10" ht="12.75" customHeight="1">
      <c r="C209" s="4"/>
      <c r="D209" s="4"/>
      <c r="E209" s="4"/>
      <c r="F209" s="4"/>
      <c r="G209" s="4"/>
      <c r="H209" s="4"/>
      <c r="I209" s="4"/>
      <c r="J209" s="4"/>
    </row>
    <row r="210" spans="3:10" ht="12.75" customHeight="1">
      <c r="C210" s="4"/>
      <c r="D210" s="4"/>
      <c r="E210" s="4"/>
      <c r="F210" s="4"/>
      <c r="G210" s="4"/>
      <c r="H210" s="4"/>
      <c r="I210" s="4"/>
      <c r="J210" s="4"/>
    </row>
    <row r="211" spans="3:10" ht="12.75" customHeight="1">
      <c r="C211" s="4"/>
      <c r="D211" s="4"/>
      <c r="E211" s="4"/>
      <c r="F211" s="4"/>
      <c r="G211" s="4"/>
      <c r="H211" s="4"/>
      <c r="I211" s="4"/>
      <c r="J211" s="4"/>
    </row>
    <row r="212" spans="3:10" ht="12.75" customHeight="1">
      <c r="C212" s="4"/>
      <c r="D212" s="4"/>
      <c r="E212" s="4"/>
      <c r="F212" s="4"/>
      <c r="G212" s="4"/>
      <c r="H212" s="4"/>
      <c r="I212" s="4"/>
      <c r="J212" s="4"/>
    </row>
    <row r="213" spans="3:10" ht="12.75" customHeight="1">
      <c r="C213" s="4"/>
      <c r="D213" s="4"/>
      <c r="E213" s="4"/>
      <c r="F213" s="4"/>
      <c r="G213" s="4"/>
      <c r="H213" s="4"/>
      <c r="I213" s="4"/>
      <c r="J213" s="4"/>
    </row>
    <row r="214" spans="3:10" ht="12.75" customHeight="1">
      <c r="C214" s="4"/>
      <c r="D214" s="4"/>
      <c r="E214" s="4"/>
      <c r="F214" s="4"/>
      <c r="G214" s="4"/>
      <c r="H214" s="4"/>
      <c r="I214" s="4"/>
      <c r="J214" s="4"/>
    </row>
    <row r="215" spans="3:10" ht="12.75" customHeight="1">
      <c r="C215" s="4"/>
      <c r="D215" s="4"/>
      <c r="E215" s="4"/>
      <c r="F215" s="4"/>
      <c r="G215" s="4"/>
      <c r="H215" s="4"/>
      <c r="I215" s="4"/>
      <c r="J215" s="4"/>
    </row>
    <row r="216" spans="3:10" ht="12.75" customHeight="1">
      <c r="C216" s="4"/>
      <c r="D216" s="4"/>
      <c r="E216" s="4"/>
      <c r="F216" s="4"/>
      <c r="G216" s="4"/>
      <c r="H216" s="4"/>
      <c r="I216" s="4"/>
      <c r="J216" s="4"/>
    </row>
    <row r="217" spans="3:10" ht="12.75" customHeight="1">
      <c r="C217" s="4"/>
      <c r="D217" s="4"/>
      <c r="E217" s="4"/>
      <c r="F217" s="4"/>
      <c r="G217" s="4"/>
      <c r="H217" s="4"/>
      <c r="I217" s="4"/>
      <c r="J217" s="4"/>
    </row>
    <row r="218" spans="3:10" ht="12.75" customHeight="1">
      <c r="C218" s="4"/>
      <c r="D218" s="4"/>
      <c r="E218" s="4"/>
      <c r="F218" s="4"/>
      <c r="G218" s="4"/>
      <c r="H218" s="4"/>
      <c r="I218" s="4"/>
      <c r="J218" s="4"/>
    </row>
    <row r="219" spans="3:10" ht="12.75" customHeight="1">
      <c r="C219" s="4"/>
      <c r="D219" s="4"/>
      <c r="E219" s="4"/>
      <c r="F219" s="4"/>
      <c r="G219" s="4"/>
      <c r="H219" s="4"/>
      <c r="I219" s="4"/>
      <c r="J219" s="4"/>
    </row>
    <row r="220" spans="3:10" ht="12.75" customHeight="1">
      <c r="C220" s="4"/>
      <c r="D220" s="4"/>
      <c r="E220" s="4"/>
      <c r="F220" s="4"/>
      <c r="G220" s="4"/>
      <c r="H220" s="4"/>
      <c r="I220" s="4"/>
      <c r="J220" s="4"/>
    </row>
    <row r="221" spans="3:10" ht="12.75" customHeight="1">
      <c r="C221" s="4"/>
      <c r="D221" s="4"/>
      <c r="E221" s="4"/>
      <c r="F221" s="4"/>
      <c r="G221" s="4"/>
      <c r="H221" s="4"/>
      <c r="I221" s="4"/>
      <c r="J221" s="4"/>
    </row>
    <row r="222" spans="3:10" ht="12.75" customHeight="1">
      <c r="C222" s="4"/>
      <c r="D222" s="4"/>
      <c r="E222" s="4"/>
      <c r="F222" s="4"/>
      <c r="G222" s="4"/>
      <c r="H222" s="4"/>
      <c r="I222" s="4"/>
      <c r="J222" s="4"/>
    </row>
    <row r="223" spans="3:10" ht="12.75" customHeight="1">
      <c r="C223" s="4"/>
      <c r="D223" s="4"/>
      <c r="E223" s="4"/>
      <c r="F223" s="4"/>
      <c r="G223" s="4"/>
      <c r="H223" s="4"/>
      <c r="I223" s="4"/>
      <c r="J223" s="4"/>
    </row>
    <row r="224" spans="3:10" ht="12.75" customHeight="1">
      <c r="C224" s="4"/>
      <c r="D224" s="4"/>
      <c r="E224" s="4"/>
      <c r="F224" s="4"/>
      <c r="G224" s="4"/>
      <c r="H224" s="4"/>
      <c r="I224" s="4"/>
      <c r="J224" s="4"/>
    </row>
    <row r="225" spans="3:10" ht="12.75" customHeight="1">
      <c r="C225" s="4"/>
      <c r="D225" s="4"/>
      <c r="E225" s="4"/>
      <c r="F225" s="4"/>
      <c r="G225" s="4"/>
      <c r="H225" s="4"/>
      <c r="I225" s="4"/>
      <c r="J225" s="4"/>
    </row>
    <row r="226" spans="3:10" ht="12.75" customHeight="1">
      <c r="C226" s="4"/>
      <c r="D226" s="4"/>
      <c r="E226" s="4"/>
      <c r="F226" s="4"/>
      <c r="G226" s="4"/>
      <c r="H226" s="4"/>
      <c r="I226" s="4"/>
      <c r="J226" s="4"/>
    </row>
    <row r="227" spans="3:10" ht="12.75" customHeight="1">
      <c r="C227" s="4"/>
      <c r="D227" s="4"/>
      <c r="E227" s="4"/>
      <c r="F227" s="4"/>
      <c r="G227" s="4"/>
      <c r="H227" s="4"/>
      <c r="I227" s="4"/>
      <c r="J227" s="4"/>
    </row>
    <row r="228" spans="3:10" ht="12.75" customHeight="1">
      <c r="C228" s="4"/>
      <c r="D228" s="4"/>
      <c r="E228" s="4"/>
      <c r="F228" s="4"/>
      <c r="G228" s="4"/>
      <c r="H228" s="4"/>
      <c r="I228" s="4"/>
      <c r="J228" s="4"/>
    </row>
    <row r="229" spans="3:10" ht="12.75" customHeight="1">
      <c r="C229" s="4"/>
      <c r="D229" s="4"/>
      <c r="E229" s="4"/>
      <c r="F229" s="4"/>
      <c r="G229" s="4"/>
      <c r="H229" s="4"/>
      <c r="I229" s="4"/>
      <c r="J229" s="4"/>
    </row>
    <row r="230" spans="3:10" ht="12.75" customHeight="1">
      <c r="C230" s="4"/>
      <c r="D230" s="4"/>
      <c r="E230" s="4"/>
      <c r="F230" s="4"/>
      <c r="G230" s="4"/>
      <c r="H230" s="4"/>
      <c r="I230" s="4"/>
      <c r="J230" s="4"/>
    </row>
    <row r="231" spans="3:10" ht="12.75" customHeight="1">
      <c r="C231" s="4"/>
      <c r="D231" s="4"/>
      <c r="E231" s="4"/>
      <c r="F231" s="4"/>
      <c r="G231" s="4"/>
      <c r="H231" s="4"/>
      <c r="I231" s="4"/>
      <c r="J231" s="4"/>
    </row>
    <row r="232" spans="3:10" ht="12.75" customHeight="1">
      <c r="C232" s="4"/>
      <c r="D232" s="4"/>
      <c r="E232" s="4"/>
      <c r="F232" s="4"/>
      <c r="G232" s="4"/>
      <c r="H232" s="4"/>
      <c r="I232" s="4"/>
      <c r="J232" s="4"/>
    </row>
    <row r="233" spans="3:10" ht="12.75" customHeight="1">
      <c r="C233" s="4"/>
      <c r="D233" s="4"/>
      <c r="E233" s="4"/>
      <c r="F233" s="4"/>
      <c r="G233" s="4"/>
      <c r="H233" s="4"/>
      <c r="I233" s="4"/>
      <c r="J233" s="4"/>
    </row>
    <row r="234" spans="3:10" ht="12.75" customHeight="1">
      <c r="C234" s="4"/>
      <c r="D234" s="4"/>
      <c r="E234" s="4"/>
      <c r="F234" s="4"/>
      <c r="G234" s="4"/>
      <c r="H234" s="4"/>
      <c r="I234" s="4"/>
      <c r="J234" s="4"/>
    </row>
    <row r="235" spans="3:10" ht="12.75" customHeight="1">
      <c r="C235" s="4"/>
      <c r="D235" s="4"/>
      <c r="E235" s="4"/>
      <c r="F235" s="4"/>
      <c r="G235" s="4"/>
      <c r="H235" s="4"/>
      <c r="I235" s="4"/>
      <c r="J235" s="4"/>
    </row>
    <row r="236" spans="3:10" ht="12.75" customHeight="1">
      <c r="C236" s="4"/>
      <c r="D236" s="4"/>
      <c r="E236" s="4"/>
      <c r="F236" s="4"/>
      <c r="G236" s="4"/>
      <c r="H236" s="4"/>
      <c r="I236" s="4"/>
      <c r="J236" s="4"/>
    </row>
    <row r="237" spans="3:10" ht="12.75" customHeight="1">
      <c r="C237" s="4"/>
      <c r="D237" s="4"/>
      <c r="E237" s="4"/>
      <c r="F237" s="4"/>
      <c r="G237" s="4"/>
      <c r="H237" s="4"/>
      <c r="I237" s="4"/>
      <c r="J237" s="4"/>
    </row>
    <row r="238" spans="3:10" ht="12.75" customHeight="1">
      <c r="C238" s="4"/>
      <c r="D238" s="4"/>
      <c r="E238" s="4"/>
      <c r="F238" s="4"/>
      <c r="G238" s="4"/>
      <c r="H238" s="4"/>
      <c r="I238" s="4"/>
      <c r="J238" s="4"/>
    </row>
    <row r="239" spans="3:10" ht="12.75" customHeight="1">
      <c r="C239" s="4"/>
      <c r="D239" s="4"/>
      <c r="E239" s="4"/>
      <c r="F239" s="4"/>
      <c r="G239" s="4"/>
      <c r="H239" s="4"/>
      <c r="I239" s="4"/>
      <c r="J239" s="4"/>
    </row>
    <row r="240" spans="3:10" ht="12.75" customHeight="1">
      <c r="C240" s="4"/>
      <c r="D240" s="4"/>
      <c r="E240" s="4"/>
      <c r="F240" s="4"/>
      <c r="G240" s="4"/>
      <c r="H240" s="4"/>
      <c r="I240" s="4"/>
      <c r="J240" s="4"/>
    </row>
    <row r="241" spans="3:10" ht="12.75" customHeight="1">
      <c r="C241" s="4"/>
      <c r="D241" s="4"/>
      <c r="E241" s="4"/>
      <c r="F241" s="4"/>
      <c r="G241" s="4"/>
      <c r="H241" s="4"/>
      <c r="I241" s="4"/>
      <c r="J241" s="4"/>
    </row>
    <row r="242" spans="3:10" ht="12.75" customHeight="1">
      <c r="C242" s="4"/>
      <c r="D242" s="4"/>
      <c r="E242" s="4"/>
      <c r="F242" s="4"/>
      <c r="G242" s="4"/>
      <c r="H242" s="4"/>
      <c r="I242" s="4"/>
      <c r="J242" s="4"/>
    </row>
    <row r="243" spans="3:10" ht="12.75" customHeight="1">
      <c r="C243" s="4"/>
      <c r="D243" s="4"/>
      <c r="E243" s="4"/>
      <c r="F243" s="4"/>
      <c r="G243" s="4"/>
      <c r="H243" s="4"/>
      <c r="I243" s="4"/>
      <c r="J243" s="4"/>
    </row>
    <row r="244" spans="3:10" ht="12.75" customHeight="1">
      <c r="C244" s="4"/>
      <c r="D244" s="4"/>
      <c r="E244" s="4"/>
      <c r="F244" s="4"/>
      <c r="G244" s="4"/>
      <c r="H244" s="4"/>
      <c r="I244" s="4"/>
      <c r="J244" s="4"/>
    </row>
    <row r="245" spans="3:10" ht="12.75" customHeight="1">
      <c r="C245" s="4"/>
      <c r="D245" s="4"/>
      <c r="E245" s="4"/>
      <c r="F245" s="4"/>
      <c r="G245" s="4"/>
      <c r="H245" s="4"/>
      <c r="I245" s="4"/>
      <c r="J245" s="4"/>
    </row>
    <row r="246" spans="3:10" ht="12.75" customHeight="1">
      <c r="C246" s="4"/>
      <c r="D246" s="4"/>
      <c r="E246" s="4"/>
      <c r="F246" s="4"/>
      <c r="G246" s="4"/>
      <c r="H246" s="4"/>
      <c r="I246" s="4"/>
      <c r="J246" s="4"/>
    </row>
    <row r="247" spans="3:10" ht="12.75" customHeight="1">
      <c r="C247" s="4"/>
      <c r="D247" s="4"/>
      <c r="E247" s="4"/>
      <c r="F247" s="4"/>
      <c r="G247" s="4"/>
      <c r="H247" s="4"/>
      <c r="I247" s="4"/>
      <c r="J247" s="4"/>
    </row>
    <row r="248" spans="3:10" ht="12.75" customHeight="1">
      <c r="C248" s="4"/>
      <c r="D248" s="4"/>
      <c r="E248" s="4"/>
      <c r="F248" s="4"/>
      <c r="G248" s="4"/>
      <c r="H248" s="4"/>
      <c r="I248" s="4"/>
      <c r="J248" s="4"/>
    </row>
    <row r="249" spans="3:10" ht="12.75" customHeight="1">
      <c r="C249" s="4"/>
      <c r="D249" s="4"/>
      <c r="E249" s="4"/>
      <c r="F249" s="4"/>
      <c r="G249" s="4"/>
      <c r="H249" s="4"/>
      <c r="I249" s="4"/>
      <c r="J249" s="4"/>
    </row>
    <row r="250" spans="3:10" ht="12.75" customHeight="1">
      <c r="C250" s="4"/>
      <c r="D250" s="4"/>
      <c r="E250" s="4"/>
      <c r="F250" s="4"/>
      <c r="G250" s="4"/>
      <c r="H250" s="4"/>
      <c r="I250" s="4"/>
      <c r="J250" s="4"/>
    </row>
    <row r="251" spans="3:10" ht="12.75" customHeight="1">
      <c r="C251" s="4"/>
      <c r="D251" s="4"/>
      <c r="E251" s="4"/>
      <c r="F251" s="4"/>
      <c r="G251" s="4"/>
      <c r="H251" s="4"/>
      <c r="I251" s="4"/>
      <c r="J251" s="4"/>
    </row>
    <row r="252" spans="3:10" ht="12.75" customHeight="1">
      <c r="C252" s="4"/>
      <c r="D252" s="4"/>
      <c r="E252" s="4"/>
      <c r="F252" s="4"/>
      <c r="G252" s="4"/>
      <c r="H252" s="4"/>
      <c r="I252" s="4"/>
      <c r="J252" s="4"/>
    </row>
    <row r="253" spans="3:10" ht="12.75" customHeight="1">
      <c r="C253" s="4"/>
      <c r="D253" s="4"/>
      <c r="E253" s="4"/>
      <c r="F253" s="4"/>
      <c r="G253" s="4"/>
      <c r="H253" s="4"/>
      <c r="I253" s="4"/>
      <c r="J253" s="4"/>
    </row>
    <row r="254" spans="3:10" ht="12.75" customHeight="1">
      <c r="C254" s="4"/>
      <c r="D254" s="4"/>
      <c r="E254" s="4"/>
      <c r="F254" s="4"/>
      <c r="G254" s="4"/>
      <c r="H254" s="4"/>
      <c r="I254" s="4"/>
      <c r="J254" s="4"/>
    </row>
    <row r="255" spans="3:10" ht="12.75" customHeight="1">
      <c r="C255" s="4"/>
      <c r="D255" s="4"/>
      <c r="E255" s="4"/>
      <c r="F255" s="4"/>
      <c r="G255" s="4"/>
      <c r="H255" s="4"/>
      <c r="I255" s="4"/>
      <c r="J255" s="4"/>
    </row>
    <row r="256" spans="3:10" ht="12.75" customHeight="1">
      <c r="C256" s="4"/>
      <c r="D256" s="4"/>
      <c r="E256" s="4"/>
      <c r="F256" s="4"/>
      <c r="G256" s="4"/>
      <c r="H256" s="4"/>
      <c r="I256" s="4"/>
      <c r="J256" s="4"/>
    </row>
    <row r="257" spans="3:10" ht="12.75" customHeight="1">
      <c r="C257" s="4"/>
      <c r="D257" s="4"/>
      <c r="E257" s="4"/>
      <c r="F257" s="4"/>
      <c r="G257" s="4"/>
      <c r="H257" s="4"/>
      <c r="I257" s="4"/>
      <c r="J257" s="4"/>
    </row>
    <row r="258" spans="3:10" ht="12.75" customHeight="1">
      <c r="C258" s="4"/>
      <c r="D258" s="4"/>
      <c r="E258" s="4"/>
      <c r="F258" s="4"/>
      <c r="G258" s="4"/>
      <c r="H258" s="4"/>
      <c r="I258" s="4"/>
      <c r="J258" s="4"/>
    </row>
    <row r="259" spans="3:10" ht="12.75" customHeight="1">
      <c r="C259" s="4"/>
      <c r="D259" s="4"/>
      <c r="E259" s="4"/>
      <c r="F259" s="4"/>
      <c r="G259" s="4"/>
      <c r="H259" s="4"/>
      <c r="I259" s="4"/>
      <c r="J259" s="4"/>
    </row>
    <row r="260" spans="3:10" ht="12.75" customHeight="1">
      <c r="C260" s="4"/>
      <c r="D260" s="4"/>
      <c r="E260" s="4"/>
      <c r="F260" s="4"/>
      <c r="G260" s="4"/>
      <c r="H260" s="4"/>
      <c r="I260" s="4"/>
      <c r="J260" s="4"/>
    </row>
    <row r="261" spans="3:10" ht="12.75" customHeight="1">
      <c r="C261" s="4"/>
      <c r="D261" s="4"/>
      <c r="E261" s="4"/>
      <c r="F261" s="4"/>
      <c r="G261" s="4"/>
      <c r="H261" s="4"/>
      <c r="I261" s="4"/>
      <c r="J261" s="4"/>
    </row>
    <row r="262" spans="3:10" ht="12.75" customHeight="1">
      <c r="C262" s="4"/>
      <c r="D262" s="4"/>
      <c r="E262" s="4"/>
      <c r="F262" s="4"/>
      <c r="G262" s="4"/>
      <c r="H262" s="4"/>
      <c r="I262" s="4"/>
      <c r="J262" s="4"/>
    </row>
    <row r="263" spans="3:10" ht="12.75" customHeight="1">
      <c r="C263" s="4"/>
      <c r="D263" s="4"/>
      <c r="E263" s="4"/>
      <c r="F263" s="4"/>
      <c r="G263" s="4"/>
      <c r="H263" s="4"/>
      <c r="I263" s="4"/>
      <c r="J263" s="4"/>
    </row>
    <row r="264" spans="3:10" ht="12.75" customHeight="1">
      <c r="C264" s="4"/>
      <c r="D264" s="4"/>
      <c r="E264" s="4"/>
      <c r="F264" s="4"/>
      <c r="G264" s="4"/>
      <c r="H264" s="4"/>
      <c r="I264" s="4"/>
      <c r="J264" s="4"/>
    </row>
    <row r="265" spans="3:10" ht="12.75" customHeight="1">
      <c r="C265" s="4"/>
      <c r="D265" s="4"/>
      <c r="E265" s="4"/>
      <c r="F265" s="4"/>
      <c r="G265" s="4"/>
      <c r="H265" s="4"/>
      <c r="I265" s="4"/>
      <c r="J265" s="4"/>
    </row>
    <row r="266" spans="3:10" ht="12.75" customHeight="1">
      <c r="C266" s="4"/>
      <c r="D266" s="4"/>
      <c r="E266" s="4"/>
      <c r="F266" s="4"/>
      <c r="G266" s="4"/>
      <c r="H266" s="4"/>
      <c r="I266" s="4"/>
      <c r="J266" s="4"/>
    </row>
    <row r="267" spans="3:10" ht="12.75" customHeight="1">
      <c r="C267" s="4"/>
      <c r="D267" s="4"/>
      <c r="E267" s="4"/>
      <c r="F267" s="4"/>
      <c r="G267" s="4"/>
      <c r="H267" s="4"/>
      <c r="I267" s="4"/>
      <c r="J267" s="4"/>
    </row>
    <row r="268" spans="3:10" ht="12.75" customHeight="1">
      <c r="C268" s="4"/>
      <c r="D268" s="4"/>
      <c r="E268" s="4"/>
      <c r="F268" s="4"/>
      <c r="G268" s="4"/>
      <c r="H268" s="4"/>
      <c r="I268" s="4"/>
      <c r="J268" s="4"/>
    </row>
    <row r="269" spans="3:10" ht="12.75" customHeight="1">
      <c r="C269" s="4"/>
      <c r="D269" s="4"/>
      <c r="E269" s="4"/>
      <c r="F269" s="4"/>
      <c r="G269" s="4"/>
      <c r="H269" s="4"/>
      <c r="I269" s="4"/>
      <c r="J269" s="4"/>
    </row>
    <row r="270" spans="3:10" ht="12.75" customHeight="1">
      <c r="C270" s="4"/>
      <c r="D270" s="4"/>
      <c r="E270" s="4"/>
      <c r="F270" s="4"/>
      <c r="G270" s="4"/>
      <c r="H270" s="4"/>
      <c r="I270" s="4"/>
      <c r="J270" s="4"/>
    </row>
    <row r="271" spans="3:10" ht="12.75" customHeight="1">
      <c r="C271" s="4"/>
      <c r="D271" s="4"/>
      <c r="E271" s="4"/>
      <c r="F271" s="4"/>
      <c r="G271" s="4"/>
      <c r="H271" s="4"/>
      <c r="I271" s="4"/>
      <c r="J271" s="4"/>
    </row>
    <row r="272" spans="3:10" ht="12.75" customHeight="1">
      <c r="C272" s="4"/>
      <c r="D272" s="4"/>
      <c r="E272" s="4"/>
      <c r="F272" s="4"/>
      <c r="G272" s="4"/>
      <c r="H272" s="4"/>
      <c r="I272" s="4"/>
      <c r="J272" s="4"/>
    </row>
    <row r="273" spans="3:10" ht="12.75" customHeight="1">
      <c r="C273" s="4"/>
      <c r="D273" s="4"/>
      <c r="E273" s="4"/>
      <c r="F273" s="4"/>
      <c r="G273" s="4"/>
      <c r="H273" s="4"/>
      <c r="I273" s="4"/>
      <c r="J273" s="4"/>
    </row>
    <row r="274" spans="3:10" ht="12.75" customHeight="1">
      <c r="C274" s="4"/>
      <c r="D274" s="4"/>
      <c r="E274" s="4"/>
      <c r="F274" s="4"/>
      <c r="G274" s="4"/>
      <c r="H274" s="4"/>
      <c r="I274" s="4"/>
      <c r="J274" s="4"/>
    </row>
    <row r="275" spans="3:10" ht="12.75" customHeight="1">
      <c r="C275" s="4"/>
      <c r="D275" s="4"/>
      <c r="E275" s="4"/>
      <c r="F275" s="4"/>
      <c r="G275" s="4"/>
      <c r="H275" s="4"/>
      <c r="I275" s="4"/>
      <c r="J275" s="4"/>
    </row>
    <row r="276" spans="3:10" ht="12.75" customHeight="1">
      <c r="C276" s="4"/>
      <c r="D276" s="4"/>
      <c r="E276" s="4"/>
      <c r="F276" s="4"/>
      <c r="G276" s="4"/>
      <c r="H276" s="4"/>
      <c r="I276" s="4"/>
      <c r="J276" s="4"/>
    </row>
    <row r="277" spans="3:10" ht="12.75" customHeight="1">
      <c r="C277" s="4"/>
      <c r="D277" s="4"/>
      <c r="E277" s="4"/>
      <c r="F277" s="4"/>
      <c r="G277" s="4"/>
      <c r="H277" s="4"/>
      <c r="I277" s="4"/>
      <c r="J277" s="4"/>
    </row>
    <row r="278" spans="3:10" ht="12.75" customHeight="1">
      <c r="C278" s="4"/>
      <c r="D278" s="4"/>
      <c r="E278" s="4"/>
      <c r="F278" s="4"/>
      <c r="G278" s="4"/>
      <c r="H278" s="4"/>
      <c r="I278" s="4"/>
      <c r="J278" s="4"/>
    </row>
    <row r="279" spans="3:10" ht="12.75" customHeight="1">
      <c r="C279" s="4"/>
      <c r="D279" s="4"/>
      <c r="E279" s="4"/>
      <c r="F279" s="4"/>
      <c r="G279" s="4"/>
      <c r="H279" s="4"/>
      <c r="I279" s="4"/>
      <c r="J279" s="4"/>
    </row>
    <row r="280" spans="3:10" ht="12.75" customHeight="1">
      <c r="C280" s="4"/>
      <c r="D280" s="4"/>
      <c r="E280" s="4"/>
      <c r="F280" s="4"/>
      <c r="G280" s="4"/>
      <c r="H280" s="4"/>
      <c r="I280" s="4"/>
      <c r="J280" s="4"/>
    </row>
    <row r="281" spans="3:10" ht="12.75" customHeight="1">
      <c r="C281" s="4"/>
      <c r="D281" s="4"/>
      <c r="E281" s="4"/>
      <c r="F281" s="4"/>
      <c r="G281" s="4"/>
      <c r="H281" s="4"/>
      <c r="I281" s="4"/>
      <c r="J281" s="4"/>
    </row>
    <row r="282" spans="3:10" ht="12.75" customHeight="1">
      <c r="C282" s="4"/>
      <c r="D282" s="4"/>
      <c r="E282" s="4"/>
      <c r="F282" s="4"/>
      <c r="G282" s="4"/>
      <c r="H282" s="4"/>
      <c r="I282" s="4"/>
      <c r="J282" s="4"/>
    </row>
    <row r="283" spans="3:10" ht="12.75" customHeight="1">
      <c r="C283" s="4"/>
      <c r="D283" s="4"/>
      <c r="E283" s="4"/>
      <c r="F283" s="4"/>
      <c r="G283" s="4"/>
      <c r="H283" s="4"/>
      <c r="I283" s="4"/>
      <c r="J283" s="4"/>
    </row>
    <row r="284" spans="3:10" ht="12.75" customHeight="1">
      <c r="C284" s="4"/>
      <c r="D284" s="4"/>
      <c r="E284" s="4"/>
      <c r="F284" s="4"/>
      <c r="G284" s="4"/>
      <c r="H284" s="4"/>
      <c r="I284" s="4"/>
      <c r="J284" s="4"/>
    </row>
    <row r="285" spans="3:10" ht="12.75" customHeight="1">
      <c r="C285" s="4"/>
      <c r="D285" s="4"/>
      <c r="E285" s="4"/>
      <c r="F285" s="4"/>
      <c r="G285" s="4"/>
      <c r="H285" s="4"/>
      <c r="I285" s="4"/>
      <c r="J285" s="4"/>
    </row>
    <row r="286" spans="3:10" ht="12.75" customHeight="1">
      <c r="C286" s="4"/>
      <c r="D286" s="4"/>
      <c r="E286" s="4"/>
      <c r="F286" s="4"/>
      <c r="G286" s="4"/>
      <c r="H286" s="4"/>
      <c r="I286" s="4"/>
      <c r="J286" s="4"/>
    </row>
    <row r="287" spans="3:10" ht="12.75" customHeight="1">
      <c r="C287" s="4"/>
      <c r="D287" s="4"/>
      <c r="E287" s="4"/>
      <c r="F287" s="4"/>
      <c r="G287" s="4"/>
      <c r="H287" s="4"/>
      <c r="I287" s="4"/>
      <c r="J287" s="4"/>
    </row>
    <row r="288" spans="3:10" ht="12.75" customHeight="1">
      <c r="C288" s="4"/>
      <c r="D288" s="4"/>
      <c r="E288" s="4"/>
      <c r="F288" s="4"/>
      <c r="G288" s="4"/>
      <c r="H288" s="4"/>
      <c r="I288" s="4"/>
      <c r="J288" s="4"/>
    </row>
    <row r="289" spans="3:10" ht="12.75" customHeight="1">
      <c r="C289" s="4"/>
      <c r="D289" s="4"/>
      <c r="E289" s="4"/>
      <c r="F289" s="4"/>
      <c r="G289" s="4"/>
      <c r="H289" s="4"/>
      <c r="I289" s="4"/>
      <c r="J289" s="4"/>
    </row>
    <row r="290" spans="3:10" ht="12.75" customHeight="1">
      <c r="C290" s="4"/>
      <c r="D290" s="4"/>
      <c r="E290" s="4"/>
      <c r="F290" s="4"/>
      <c r="G290" s="4"/>
      <c r="H290" s="4"/>
      <c r="I290" s="4"/>
      <c r="J290" s="4"/>
    </row>
    <row r="291" spans="3:10" ht="12.75" customHeight="1">
      <c r="C291" s="4"/>
      <c r="D291" s="4"/>
      <c r="E291" s="4"/>
      <c r="F291" s="4"/>
      <c r="G291" s="4"/>
      <c r="H291" s="4"/>
      <c r="I291" s="4"/>
      <c r="J291" s="4"/>
    </row>
    <row r="292" spans="3:10" ht="12.75" customHeight="1">
      <c r="C292" s="4"/>
      <c r="D292" s="4"/>
      <c r="E292" s="4"/>
      <c r="F292" s="4"/>
      <c r="G292" s="4"/>
      <c r="H292" s="4"/>
      <c r="I292" s="4"/>
      <c r="J292" s="4"/>
    </row>
    <row r="293" spans="3:10" ht="12.75" customHeight="1">
      <c r="C293" s="4"/>
      <c r="D293" s="4"/>
      <c r="E293" s="4"/>
      <c r="F293" s="4"/>
      <c r="G293" s="4"/>
      <c r="H293" s="4"/>
      <c r="I293" s="4"/>
      <c r="J293" s="4"/>
    </row>
    <row r="294" spans="3:10" ht="12.75" customHeight="1">
      <c r="C294" s="4"/>
      <c r="D294" s="4"/>
      <c r="E294" s="4"/>
      <c r="F294" s="4"/>
      <c r="G294" s="4"/>
      <c r="H294" s="4"/>
      <c r="I294" s="4"/>
      <c r="J294" s="4"/>
    </row>
    <row r="295" spans="3:10" ht="12.75" customHeight="1">
      <c r="C295" s="4"/>
      <c r="D295" s="4"/>
      <c r="E295" s="4"/>
      <c r="F295" s="4"/>
      <c r="G295" s="4"/>
      <c r="H295" s="4"/>
      <c r="I295" s="4"/>
      <c r="J295" s="4"/>
    </row>
    <row r="296" spans="3:10" ht="12.75" customHeight="1">
      <c r="C296" s="4"/>
      <c r="D296" s="4"/>
      <c r="E296" s="4"/>
      <c r="F296" s="4"/>
      <c r="G296" s="4"/>
      <c r="H296" s="4"/>
      <c r="I296" s="4"/>
      <c r="J296" s="4"/>
    </row>
    <row r="297" spans="3:10" ht="12.75" customHeight="1">
      <c r="C297" s="4"/>
      <c r="D297" s="4"/>
      <c r="E297" s="4"/>
      <c r="F297" s="4"/>
      <c r="G297" s="4"/>
      <c r="H297" s="4"/>
      <c r="I297" s="4"/>
      <c r="J297" s="4"/>
    </row>
    <row r="298" spans="3:10" ht="12.75" customHeight="1">
      <c r="C298" s="4"/>
      <c r="D298" s="4"/>
      <c r="E298" s="4"/>
      <c r="F298" s="4"/>
      <c r="G298" s="4"/>
      <c r="H298" s="4"/>
      <c r="I298" s="4"/>
      <c r="J298" s="4"/>
    </row>
    <row r="299" spans="3:10" ht="12.75" customHeight="1">
      <c r="C299" s="4"/>
      <c r="D299" s="4"/>
      <c r="E299" s="4"/>
      <c r="F299" s="4"/>
      <c r="G299" s="4"/>
      <c r="H299" s="4"/>
      <c r="I299" s="4"/>
      <c r="J299" s="4"/>
    </row>
    <row r="300" spans="3:10" ht="12.75" customHeight="1">
      <c r="C300" s="4"/>
      <c r="D300" s="4"/>
      <c r="E300" s="4"/>
      <c r="F300" s="4"/>
      <c r="G300" s="4"/>
      <c r="H300" s="4"/>
      <c r="I300" s="4"/>
      <c r="J300" s="4"/>
    </row>
    <row r="301" spans="3:10" ht="12.75" customHeight="1">
      <c r="C301" s="4"/>
      <c r="D301" s="4"/>
      <c r="E301" s="4"/>
      <c r="F301" s="4"/>
      <c r="G301" s="4"/>
      <c r="H301" s="4"/>
      <c r="I301" s="4"/>
      <c r="J301" s="4"/>
    </row>
    <row r="302" spans="3:10" ht="12.75" customHeight="1">
      <c r="C302" s="4"/>
      <c r="D302" s="4"/>
      <c r="E302" s="4"/>
      <c r="F302" s="4"/>
      <c r="G302" s="4"/>
      <c r="H302" s="4"/>
      <c r="I302" s="4"/>
      <c r="J302" s="4"/>
    </row>
    <row r="303" spans="3:10" ht="12.75" customHeight="1">
      <c r="C303" s="4"/>
      <c r="D303" s="4"/>
      <c r="E303" s="4"/>
      <c r="F303" s="4"/>
      <c r="G303" s="4"/>
      <c r="H303" s="4"/>
      <c r="I303" s="4"/>
      <c r="J303" s="4"/>
    </row>
    <row r="304" spans="3:10" ht="12.75" customHeight="1">
      <c r="C304" s="4"/>
      <c r="D304" s="4"/>
      <c r="E304" s="4"/>
      <c r="F304" s="4"/>
      <c r="G304" s="4"/>
      <c r="H304" s="4"/>
      <c r="I304" s="4"/>
      <c r="J304" s="4"/>
    </row>
    <row r="305" spans="3:10" ht="12.75" customHeight="1">
      <c r="C305" s="4"/>
      <c r="D305" s="4"/>
      <c r="E305" s="4"/>
      <c r="F305" s="4"/>
      <c r="G305" s="4"/>
      <c r="H305" s="4"/>
      <c r="I305" s="4"/>
      <c r="J305" s="4"/>
    </row>
    <row r="306" spans="3:10" ht="12.75" customHeight="1">
      <c r="C306" s="4"/>
      <c r="D306" s="4"/>
      <c r="E306" s="4"/>
      <c r="F306" s="4"/>
      <c r="G306" s="4"/>
      <c r="H306" s="4"/>
      <c r="I306" s="4"/>
      <c r="J306" s="4"/>
    </row>
    <row r="307" spans="3:10" ht="12.75" customHeight="1">
      <c r="C307" s="4"/>
      <c r="D307" s="4"/>
      <c r="E307" s="4"/>
      <c r="F307" s="4"/>
      <c r="G307" s="4"/>
      <c r="H307" s="4"/>
      <c r="I307" s="4"/>
      <c r="J307" s="4"/>
    </row>
    <row r="308" spans="3:10" ht="12.75" customHeight="1">
      <c r="C308" s="4"/>
      <c r="D308" s="4"/>
      <c r="E308" s="4"/>
      <c r="F308" s="4"/>
      <c r="G308" s="4"/>
      <c r="H308" s="4"/>
      <c r="I308" s="4"/>
      <c r="J308" s="4"/>
    </row>
    <row r="309" spans="3:10" ht="12.75" customHeight="1">
      <c r="C309" s="4"/>
      <c r="D309" s="4"/>
      <c r="E309" s="4"/>
      <c r="F309" s="4"/>
      <c r="G309" s="4"/>
      <c r="H309" s="4"/>
      <c r="I309" s="4"/>
      <c r="J309" s="4"/>
    </row>
    <row r="310" spans="3:10" ht="12.75" customHeight="1">
      <c r="C310" s="4"/>
      <c r="D310" s="4"/>
      <c r="E310" s="4"/>
      <c r="F310" s="4"/>
      <c r="G310" s="4"/>
      <c r="H310" s="4"/>
      <c r="I310" s="4"/>
      <c r="J310" s="4"/>
    </row>
    <row r="311" spans="3:10" ht="12.75" customHeight="1">
      <c r="C311" s="4"/>
      <c r="D311" s="4"/>
      <c r="E311" s="4"/>
      <c r="F311" s="4"/>
      <c r="G311" s="4"/>
      <c r="H311" s="4"/>
      <c r="I311" s="4"/>
      <c r="J311" s="4"/>
    </row>
    <row r="312" spans="3:10" ht="12.75" customHeight="1">
      <c r="C312" s="4"/>
      <c r="D312" s="4"/>
      <c r="E312" s="4"/>
      <c r="F312" s="4"/>
      <c r="G312" s="4"/>
      <c r="H312" s="4"/>
      <c r="I312" s="4"/>
      <c r="J312" s="4"/>
    </row>
    <row r="313" spans="3:10" ht="12.75" customHeight="1">
      <c r="C313" s="4"/>
      <c r="D313" s="4"/>
      <c r="E313" s="4"/>
      <c r="F313" s="4"/>
      <c r="G313" s="4"/>
      <c r="H313" s="4"/>
      <c r="I313" s="4"/>
      <c r="J313" s="4"/>
    </row>
    <row r="314" spans="3:10" ht="12.75" customHeight="1">
      <c r="C314" s="4"/>
      <c r="D314" s="4"/>
      <c r="E314" s="4"/>
      <c r="F314" s="4"/>
      <c r="G314" s="4"/>
      <c r="H314" s="4"/>
      <c r="I314" s="4"/>
      <c r="J314" s="4"/>
    </row>
    <row r="315" spans="3:10" ht="12.75" customHeight="1">
      <c r="C315" s="4"/>
      <c r="D315" s="4"/>
      <c r="E315" s="4"/>
      <c r="F315" s="4"/>
      <c r="G315" s="4"/>
      <c r="H315" s="4"/>
      <c r="I315" s="4"/>
      <c r="J315" s="4"/>
    </row>
    <row r="316" spans="3:10" ht="12.75" customHeight="1">
      <c r="C316" s="4"/>
      <c r="D316" s="4"/>
      <c r="E316" s="4"/>
      <c r="F316" s="4"/>
      <c r="G316" s="4"/>
      <c r="H316" s="4"/>
      <c r="I316" s="4"/>
      <c r="J316" s="4"/>
    </row>
    <row r="317" spans="3:10" ht="12.75" customHeight="1">
      <c r="C317" s="4"/>
      <c r="D317" s="4"/>
      <c r="E317" s="4"/>
      <c r="F317" s="4"/>
      <c r="G317" s="4"/>
      <c r="H317" s="4"/>
      <c r="I317" s="4"/>
      <c r="J317" s="4"/>
    </row>
    <row r="318" spans="3:10" ht="12.75" customHeight="1">
      <c r="C318" s="4"/>
      <c r="D318" s="4"/>
      <c r="E318" s="4"/>
      <c r="F318" s="4"/>
      <c r="G318" s="4"/>
      <c r="H318" s="4"/>
      <c r="I318" s="4"/>
      <c r="J318" s="4"/>
    </row>
    <row r="319" spans="3:10" ht="12.75" customHeight="1">
      <c r="C319" s="4"/>
      <c r="D319" s="4"/>
      <c r="E319" s="4"/>
      <c r="F319" s="4"/>
      <c r="G319" s="4"/>
      <c r="H319" s="4"/>
      <c r="I319" s="4"/>
      <c r="J319" s="4"/>
    </row>
    <row r="320" spans="3:10" ht="12.75" customHeight="1">
      <c r="C320" s="4"/>
      <c r="D320" s="4"/>
      <c r="E320" s="4"/>
      <c r="F320" s="4"/>
      <c r="G320" s="4"/>
      <c r="H320" s="4"/>
      <c r="I320" s="4"/>
      <c r="J320" s="4"/>
    </row>
    <row r="321" spans="3:10" ht="12.75" customHeight="1">
      <c r="C321" s="4"/>
      <c r="D321" s="4"/>
      <c r="E321" s="4"/>
      <c r="F321" s="4"/>
      <c r="G321" s="4"/>
      <c r="H321" s="4"/>
      <c r="I321" s="4"/>
      <c r="J321" s="4"/>
    </row>
    <row r="322" spans="3:10" ht="12.75" customHeight="1">
      <c r="C322" s="4"/>
      <c r="D322" s="4"/>
      <c r="E322" s="4"/>
      <c r="F322" s="4"/>
      <c r="G322" s="4"/>
      <c r="H322" s="4"/>
      <c r="I322" s="4"/>
      <c r="J322" s="4"/>
    </row>
    <row r="323" spans="3:10" ht="12.75" customHeight="1">
      <c r="C323" s="4"/>
      <c r="D323" s="4"/>
      <c r="E323" s="4"/>
      <c r="F323" s="4"/>
      <c r="G323" s="4"/>
      <c r="H323" s="4"/>
      <c r="I323" s="4"/>
      <c r="J323" s="4"/>
    </row>
    <row r="324" spans="3:10" ht="12.75" customHeight="1">
      <c r="C324" s="4"/>
      <c r="D324" s="4"/>
      <c r="E324" s="4"/>
      <c r="F324" s="4"/>
      <c r="G324" s="4"/>
      <c r="H324" s="4"/>
      <c r="I324" s="4"/>
      <c r="J324" s="4"/>
    </row>
    <row r="325" spans="3:10" ht="12.75" customHeight="1">
      <c r="C325" s="4"/>
      <c r="D325" s="4"/>
      <c r="E325" s="4"/>
      <c r="F325" s="4"/>
      <c r="G325" s="4"/>
      <c r="H325" s="4"/>
      <c r="I325" s="4"/>
      <c r="J325" s="4"/>
    </row>
    <row r="326" spans="3:10" ht="12.75" customHeight="1">
      <c r="C326" s="4"/>
      <c r="D326" s="4"/>
      <c r="E326" s="4"/>
      <c r="F326" s="4"/>
      <c r="G326" s="4"/>
      <c r="H326" s="4"/>
      <c r="I326" s="4"/>
      <c r="J326" s="4"/>
    </row>
    <row r="327" spans="3:10" ht="12.75" customHeight="1">
      <c r="C327" s="4"/>
      <c r="D327" s="4"/>
      <c r="E327" s="4"/>
      <c r="F327" s="4"/>
      <c r="G327" s="4"/>
      <c r="H327" s="4"/>
      <c r="I327" s="4"/>
      <c r="J327" s="4"/>
    </row>
    <row r="328" spans="3:10" ht="12.75" customHeight="1">
      <c r="C328" s="4"/>
      <c r="D328" s="4"/>
      <c r="E328" s="4"/>
      <c r="F328" s="4"/>
      <c r="G328" s="4"/>
      <c r="H328" s="4"/>
      <c r="I328" s="4"/>
      <c r="J328" s="4"/>
    </row>
    <row r="329" spans="3:10" ht="12.75" customHeight="1">
      <c r="C329" s="4"/>
      <c r="D329" s="4"/>
      <c r="E329" s="4"/>
      <c r="F329" s="4"/>
      <c r="G329" s="4"/>
      <c r="H329" s="4"/>
      <c r="I329" s="4"/>
      <c r="J329" s="4"/>
    </row>
    <row r="330" spans="3:10" ht="12.75" customHeight="1">
      <c r="C330" s="4"/>
      <c r="D330" s="4"/>
      <c r="E330" s="4"/>
      <c r="F330" s="4"/>
      <c r="G330" s="4"/>
      <c r="H330" s="4"/>
      <c r="I330" s="4"/>
      <c r="J330" s="4"/>
    </row>
    <row r="331" spans="3:10" ht="12.75" customHeight="1">
      <c r="C331" s="4"/>
      <c r="D331" s="4"/>
      <c r="E331" s="4"/>
      <c r="F331" s="4"/>
      <c r="G331" s="4"/>
      <c r="H331" s="4"/>
      <c r="I331" s="4"/>
      <c r="J331" s="4"/>
    </row>
    <row r="332" spans="3:10" ht="12.75" customHeight="1">
      <c r="C332" s="4"/>
      <c r="D332" s="4"/>
      <c r="E332" s="4"/>
      <c r="F332" s="4"/>
      <c r="G332" s="4"/>
      <c r="H332" s="4"/>
      <c r="I332" s="4"/>
      <c r="J332" s="4"/>
    </row>
    <row r="333" spans="3:10" ht="12.75" customHeight="1">
      <c r="C333" s="4"/>
      <c r="D333" s="4"/>
      <c r="E333" s="4"/>
      <c r="F333" s="4"/>
      <c r="G333" s="4"/>
      <c r="H333" s="4"/>
      <c r="I333" s="4"/>
      <c r="J333" s="4"/>
    </row>
    <row r="334" spans="3:10" ht="12.75" customHeight="1">
      <c r="C334" s="4"/>
      <c r="D334" s="4"/>
      <c r="E334" s="4"/>
      <c r="F334" s="4"/>
      <c r="G334" s="4"/>
      <c r="H334" s="4"/>
      <c r="I334" s="4"/>
      <c r="J334" s="4"/>
    </row>
    <row r="335" spans="3:10" ht="12.75" customHeight="1">
      <c r="C335" s="4"/>
      <c r="D335" s="4"/>
      <c r="E335" s="4"/>
      <c r="F335" s="4"/>
      <c r="G335" s="4"/>
      <c r="H335" s="4"/>
      <c r="I335" s="4"/>
      <c r="J335" s="4"/>
    </row>
    <row r="336" spans="3:10" ht="12.75" customHeight="1">
      <c r="C336" s="4"/>
      <c r="D336" s="4"/>
      <c r="E336" s="4"/>
      <c r="F336" s="4"/>
      <c r="G336" s="4"/>
      <c r="H336" s="4"/>
      <c r="I336" s="4"/>
      <c r="J336" s="4"/>
    </row>
    <row r="337" spans="3:10" ht="12.75" customHeight="1">
      <c r="C337" s="4"/>
      <c r="D337" s="4"/>
      <c r="E337" s="4"/>
      <c r="F337" s="4"/>
      <c r="G337" s="4"/>
      <c r="H337" s="4"/>
      <c r="I337" s="4"/>
      <c r="J337" s="4"/>
    </row>
    <row r="338" spans="3:10" ht="12.75" customHeight="1">
      <c r="C338" s="4"/>
      <c r="D338" s="4"/>
      <c r="E338" s="4"/>
      <c r="F338" s="4"/>
      <c r="G338" s="4"/>
      <c r="H338" s="4"/>
      <c r="I338" s="4"/>
      <c r="J338" s="4"/>
    </row>
    <row r="339" spans="3:10" ht="12.75" customHeight="1">
      <c r="C339" s="4"/>
      <c r="D339" s="4"/>
      <c r="E339" s="4"/>
      <c r="F339" s="4"/>
      <c r="G339" s="4"/>
      <c r="H339" s="4"/>
      <c r="I339" s="4"/>
      <c r="J339" s="4"/>
    </row>
    <row r="340" spans="3:10" ht="12.75" customHeight="1">
      <c r="C340" s="4"/>
      <c r="D340" s="4"/>
      <c r="E340" s="4"/>
      <c r="F340" s="4"/>
      <c r="G340" s="4"/>
      <c r="H340" s="4"/>
      <c r="I340" s="4"/>
      <c r="J340" s="4"/>
    </row>
    <row r="341" spans="3:10" ht="12.75" customHeight="1">
      <c r="C341" s="4"/>
      <c r="D341" s="4"/>
      <c r="E341" s="4"/>
      <c r="F341" s="4"/>
      <c r="G341" s="4"/>
      <c r="H341" s="4"/>
      <c r="I341" s="4"/>
      <c r="J341" s="4"/>
    </row>
    <row r="342" spans="3:10" ht="12.75" customHeight="1">
      <c r="C342" s="4"/>
      <c r="D342" s="4"/>
      <c r="E342" s="4"/>
      <c r="F342" s="4"/>
      <c r="G342" s="4"/>
      <c r="H342" s="4"/>
      <c r="I342" s="4"/>
      <c r="J342" s="4"/>
    </row>
    <row r="343" spans="3:10" ht="12.75" customHeight="1">
      <c r="C343" s="4"/>
      <c r="D343" s="4"/>
      <c r="E343" s="4"/>
      <c r="F343" s="4"/>
      <c r="G343" s="4"/>
      <c r="H343" s="4"/>
      <c r="I343" s="4"/>
      <c r="J343" s="4"/>
    </row>
    <row r="344" spans="3:10" ht="12.75" customHeight="1">
      <c r="C344" s="4"/>
      <c r="D344" s="4"/>
      <c r="E344" s="4"/>
      <c r="F344" s="4"/>
      <c r="G344" s="4"/>
      <c r="H344" s="4"/>
      <c r="I344" s="4"/>
      <c r="J344" s="4"/>
    </row>
    <row r="345" spans="3:10" ht="12.75" customHeight="1">
      <c r="C345" s="4"/>
      <c r="D345" s="4"/>
      <c r="E345" s="4"/>
      <c r="F345" s="4"/>
      <c r="G345" s="4"/>
      <c r="H345" s="4"/>
      <c r="I345" s="4"/>
      <c r="J345" s="4"/>
    </row>
    <row r="346" spans="3:10" ht="12.75" customHeight="1">
      <c r="C346" s="4"/>
      <c r="D346" s="4"/>
      <c r="E346" s="4"/>
      <c r="F346" s="4"/>
      <c r="G346" s="4"/>
      <c r="H346" s="4"/>
      <c r="I346" s="4"/>
      <c r="J346" s="4"/>
    </row>
    <row r="347" spans="3:10" ht="12.75" customHeight="1">
      <c r="C347" s="4"/>
      <c r="D347" s="4"/>
      <c r="E347" s="4"/>
      <c r="F347" s="4"/>
      <c r="G347" s="4"/>
      <c r="H347" s="4"/>
      <c r="I347" s="4"/>
      <c r="J347" s="4"/>
    </row>
    <row r="348" spans="3:10" ht="12.75" customHeight="1">
      <c r="C348" s="4"/>
      <c r="D348" s="4"/>
      <c r="E348" s="4"/>
      <c r="F348" s="4"/>
      <c r="G348" s="4"/>
      <c r="H348" s="4"/>
      <c r="I348" s="4"/>
      <c r="J348" s="4"/>
    </row>
    <row r="349" spans="3:10" ht="12.75" customHeight="1">
      <c r="C349" s="4"/>
      <c r="D349" s="4"/>
      <c r="E349" s="4"/>
      <c r="F349" s="4"/>
      <c r="G349" s="4"/>
      <c r="H349" s="4"/>
      <c r="I349" s="4"/>
      <c r="J349" s="4"/>
    </row>
    <row r="350" spans="3:10" ht="12.75" customHeight="1">
      <c r="C350" s="4"/>
      <c r="D350" s="4"/>
      <c r="E350" s="4"/>
      <c r="F350" s="4"/>
      <c r="G350" s="4"/>
      <c r="H350" s="4"/>
      <c r="I350" s="4"/>
      <c r="J350" s="4"/>
    </row>
    <row r="351" spans="3:10" ht="12.75" customHeight="1">
      <c r="C351" s="4"/>
      <c r="D351" s="4"/>
      <c r="E351" s="4"/>
      <c r="F351" s="4"/>
      <c r="G351" s="4"/>
      <c r="H351" s="4"/>
      <c r="I351" s="4"/>
      <c r="J351" s="4"/>
    </row>
    <row r="352" spans="3:10" ht="12.75" customHeight="1">
      <c r="C352" s="4"/>
      <c r="D352" s="4"/>
      <c r="E352" s="4"/>
      <c r="F352" s="4"/>
      <c r="G352" s="4"/>
      <c r="H352" s="4"/>
      <c r="I352" s="4"/>
      <c r="J352" s="4"/>
    </row>
    <row r="353" spans="3:10" ht="12.75" customHeight="1">
      <c r="C353" s="4"/>
      <c r="D353" s="4"/>
      <c r="E353" s="4"/>
      <c r="F353" s="4"/>
      <c r="G353" s="4"/>
      <c r="H353" s="4"/>
      <c r="I353" s="4"/>
      <c r="J353" s="4"/>
    </row>
    <row r="354" spans="3:10" ht="12.75" customHeight="1">
      <c r="C354" s="4"/>
      <c r="D354" s="4"/>
      <c r="E354" s="4"/>
      <c r="F354" s="4"/>
      <c r="G354" s="4"/>
      <c r="H354" s="4"/>
      <c r="I354" s="4"/>
      <c r="J354" s="4"/>
    </row>
    <row r="355" spans="3:10" ht="12.75" customHeight="1">
      <c r="C355" s="4"/>
      <c r="D355" s="4"/>
      <c r="E355" s="4"/>
      <c r="F355" s="4"/>
      <c r="G355" s="4"/>
      <c r="H355" s="4"/>
      <c r="I355" s="4"/>
      <c r="J355" s="4"/>
    </row>
    <row r="356" spans="3:10" ht="12.75" customHeight="1">
      <c r="C356" s="4"/>
      <c r="D356" s="4"/>
      <c r="E356" s="4"/>
      <c r="F356" s="4"/>
      <c r="G356" s="4"/>
      <c r="H356" s="4"/>
      <c r="I356" s="4"/>
      <c r="J356" s="4"/>
    </row>
    <row r="357" spans="3:10" ht="12.75" customHeight="1">
      <c r="C357" s="4"/>
      <c r="D357" s="4"/>
      <c r="E357" s="4"/>
      <c r="F357" s="4"/>
      <c r="G357" s="4"/>
      <c r="H357" s="4"/>
      <c r="I357" s="4"/>
      <c r="J357" s="4"/>
    </row>
    <row r="358" spans="3:10" ht="12.75" customHeight="1">
      <c r="C358" s="4"/>
      <c r="D358" s="4"/>
      <c r="E358" s="4"/>
      <c r="F358" s="4"/>
      <c r="G358" s="4"/>
      <c r="H358" s="4"/>
      <c r="I358" s="4"/>
      <c r="J358" s="4"/>
    </row>
    <row r="359" spans="3:10" ht="12.75" customHeight="1">
      <c r="C359" s="4"/>
      <c r="D359" s="4"/>
      <c r="E359" s="4"/>
      <c r="F359" s="4"/>
      <c r="G359" s="4"/>
      <c r="H359" s="4"/>
      <c r="I359" s="4"/>
      <c r="J359" s="4"/>
    </row>
    <row r="360" spans="3:10" ht="12.75" customHeight="1">
      <c r="C360" s="4"/>
      <c r="D360" s="4"/>
      <c r="E360" s="4"/>
      <c r="F360" s="4"/>
      <c r="G360" s="4"/>
      <c r="H360" s="4"/>
      <c r="I360" s="4"/>
      <c r="J360" s="4"/>
    </row>
    <row r="361" spans="3:10" ht="12.75" customHeight="1">
      <c r="C361" s="4"/>
      <c r="D361" s="4"/>
      <c r="E361" s="4"/>
      <c r="F361" s="4"/>
      <c r="G361" s="4"/>
      <c r="H361" s="4"/>
      <c r="I361" s="4"/>
      <c r="J361" s="4"/>
    </row>
    <row r="362" spans="3:10" ht="12.75" customHeight="1">
      <c r="C362" s="4"/>
      <c r="D362" s="4"/>
      <c r="E362" s="4"/>
      <c r="F362" s="4"/>
      <c r="G362" s="4"/>
      <c r="H362" s="4"/>
      <c r="I362" s="4"/>
      <c r="J362" s="4"/>
    </row>
    <row r="363" spans="3:10" ht="12.75" customHeight="1">
      <c r="C363" s="4"/>
      <c r="D363" s="4"/>
      <c r="E363" s="4"/>
      <c r="F363" s="4"/>
      <c r="G363" s="4"/>
      <c r="H363" s="4"/>
      <c r="I363" s="4"/>
      <c r="J363" s="4"/>
    </row>
    <row r="364" spans="3:10" ht="12.75" customHeight="1">
      <c r="C364" s="4"/>
      <c r="D364" s="4"/>
      <c r="E364" s="4"/>
      <c r="F364" s="4"/>
      <c r="G364" s="4"/>
      <c r="H364" s="4"/>
      <c r="I364" s="4"/>
      <c r="J364" s="4"/>
    </row>
    <row r="365" spans="3:10" ht="12.75" customHeight="1">
      <c r="C365" s="4"/>
      <c r="D365" s="4"/>
      <c r="E365" s="4"/>
      <c r="F365" s="4"/>
      <c r="G365" s="4"/>
      <c r="H365" s="4"/>
      <c r="I365" s="4"/>
      <c r="J365" s="4"/>
    </row>
    <row r="366" spans="3:10" ht="12.75" customHeight="1">
      <c r="C366" s="4"/>
      <c r="D366" s="4"/>
      <c r="E366" s="4"/>
      <c r="F366" s="4"/>
      <c r="G366" s="4"/>
      <c r="H366" s="4"/>
      <c r="I366" s="4"/>
      <c r="J366" s="4"/>
    </row>
    <row r="367" spans="3:10" ht="12.75" customHeight="1">
      <c r="C367" s="4"/>
      <c r="D367" s="4"/>
      <c r="E367" s="4"/>
      <c r="F367" s="4"/>
      <c r="G367" s="4"/>
      <c r="H367" s="4"/>
      <c r="I367" s="4"/>
      <c r="J367" s="4"/>
    </row>
    <row r="368" spans="3:10" ht="12.75" customHeight="1">
      <c r="C368" s="4"/>
      <c r="D368" s="4"/>
      <c r="E368" s="4"/>
      <c r="F368" s="4"/>
      <c r="G368" s="4"/>
      <c r="H368" s="4"/>
      <c r="I368" s="4"/>
      <c r="J368" s="4"/>
    </row>
    <row r="369" spans="3:10" ht="12.75" customHeight="1">
      <c r="C369" s="4"/>
      <c r="D369" s="4"/>
      <c r="E369" s="4"/>
      <c r="F369" s="4"/>
      <c r="G369" s="4"/>
      <c r="H369" s="4"/>
      <c r="I369" s="4"/>
      <c r="J369" s="4"/>
    </row>
    <row r="370" spans="3:10" ht="12.75" customHeight="1">
      <c r="C370" s="4"/>
      <c r="D370" s="4"/>
      <c r="E370" s="4"/>
      <c r="F370" s="4"/>
      <c r="G370" s="4"/>
      <c r="H370" s="4"/>
      <c r="I370" s="4"/>
      <c r="J370" s="4"/>
    </row>
    <row r="371" spans="3:10" ht="12.75" customHeight="1">
      <c r="C371" s="4"/>
      <c r="D371" s="4"/>
      <c r="E371" s="4"/>
      <c r="F371" s="4"/>
      <c r="G371" s="4"/>
      <c r="H371" s="4"/>
      <c r="I371" s="4"/>
      <c r="J371" s="4"/>
    </row>
    <row r="372" spans="3:10" ht="12.75" customHeight="1">
      <c r="C372" s="4"/>
      <c r="D372" s="4"/>
      <c r="E372" s="4"/>
      <c r="F372" s="4"/>
      <c r="G372" s="4"/>
      <c r="H372" s="4"/>
      <c r="I372" s="4"/>
      <c r="J372" s="4"/>
    </row>
    <row r="373" spans="3:10" ht="12.75" customHeight="1">
      <c r="C373" s="4"/>
      <c r="D373" s="4"/>
      <c r="E373" s="4"/>
      <c r="F373" s="4"/>
      <c r="G373" s="4"/>
      <c r="H373" s="4"/>
      <c r="I373" s="4"/>
      <c r="J373" s="4"/>
    </row>
    <row r="374" spans="3:10" ht="12.75" customHeight="1">
      <c r="C374" s="4"/>
      <c r="D374" s="4"/>
      <c r="E374" s="4"/>
      <c r="F374" s="4"/>
      <c r="G374" s="4"/>
      <c r="H374" s="4"/>
      <c r="I374" s="4"/>
      <c r="J374" s="4"/>
    </row>
    <row r="375" spans="3:10" ht="12.75" customHeight="1">
      <c r="C375" s="4"/>
      <c r="D375" s="4"/>
      <c r="E375" s="4"/>
      <c r="F375" s="4"/>
      <c r="G375" s="4"/>
      <c r="H375" s="4"/>
      <c r="I375" s="4"/>
      <c r="J375" s="4"/>
    </row>
    <row r="376" spans="3:10" ht="12.75" customHeight="1">
      <c r="C376" s="4"/>
      <c r="D376" s="4"/>
      <c r="E376" s="4"/>
      <c r="F376" s="4"/>
      <c r="G376" s="4"/>
      <c r="H376" s="4"/>
      <c r="I376" s="4"/>
      <c r="J376" s="4"/>
    </row>
    <row r="377" spans="3:10" ht="12.75" customHeight="1">
      <c r="C377" s="4"/>
      <c r="D377" s="4"/>
      <c r="E377" s="4"/>
      <c r="F377" s="4"/>
      <c r="G377" s="4"/>
      <c r="H377" s="4"/>
      <c r="I377" s="4"/>
      <c r="J377" s="4"/>
    </row>
    <row r="378" spans="3:10" ht="12.75" customHeight="1">
      <c r="C378" s="4"/>
      <c r="D378" s="4"/>
      <c r="E378" s="4"/>
      <c r="F378" s="4"/>
      <c r="G378" s="4"/>
      <c r="H378" s="4"/>
      <c r="I378" s="4"/>
      <c r="J378" s="4"/>
    </row>
    <row r="379" spans="3:10" ht="12.75" customHeight="1">
      <c r="C379" s="4"/>
      <c r="D379" s="4"/>
      <c r="E379" s="4"/>
      <c r="F379" s="4"/>
      <c r="G379" s="4"/>
      <c r="H379" s="4"/>
      <c r="I379" s="4"/>
      <c r="J379" s="4"/>
    </row>
    <row r="380" spans="3:10" ht="12.75" customHeight="1">
      <c r="C380" s="4"/>
      <c r="D380" s="4"/>
      <c r="E380" s="4"/>
      <c r="F380" s="4"/>
      <c r="G380" s="4"/>
      <c r="H380" s="4"/>
      <c r="I380" s="4"/>
      <c r="J380" s="4"/>
    </row>
    <row r="381" spans="3:10" ht="12.75" customHeight="1">
      <c r="C381" s="4"/>
      <c r="D381" s="4"/>
      <c r="E381" s="4"/>
      <c r="F381" s="4"/>
      <c r="G381" s="4"/>
      <c r="H381" s="4"/>
      <c r="I381" s="4"/>
      <c r="J381" s="4"/>
    </row>
    <row r="382" spans="3:10" ht="12.75" customHeight="1">
      <c r="C382" s="4"/>
      <c r="D382" s="4"/>
      <c r="E382" s="4"/>
      <c r="F382" s="4"/>
      <c r="G382" s="4"/>
      <c r="H382" s="4"/>
      <c r="I382" s="4"/>
      <c r="J382" s="4"/>
    </row>
    <row r="383" spans="3:10" ht="12.75" customHeight="1">
      <c r="C383" s="4"/>
      <c r="D383" s="4"/>
      <c r="E383" s="4"/>
      <c r="F383" s="4"/>
      <c r="G383" s="4"/>
      <c r="H383" s="4"/>
      <c r="I383" s="4"/>
      <c r="J383" s="4"/>
    </row>
    <row r="384" spans="3:10" ht="12.75" customHeight="1">
      <c r="C384" s="4"/>
      <c r="D384" s="4"/>
      <c r="E384" s="4"/>
      <c r="F384" s="4"/>
      <c r="G384" s="4"/>
      <c r="H384" s="4"/>
      <c r="I384" s="4"/>
      <c r="J384" s="4"/>
    </row>
    <row r="385" spans="3:10" ht="12.75" customHeight="1">
      <c r="C385" s="4"/>
      <c r="D385" s="4"/>
      <c r="E385" s="4"/>
      <c r="F385" s="4"/>
      <c r="G385" s="4"/>
      <c r="H385" s="4"/>
      <c r="I385" s="4"/>
      <c r="J385" s="4"/>
    </row>
    <row r="386" spans="3:10" ht="12.75" customHeight="1">
      <c r="C386" s="4"/>
      <c r="D386" s="4"/>
      <c r="E386" s="4"/>
      <c r="F386" s="4"/>
      <c r="G386" s="4"/>
      <c r="H386" s="4"/>
      <c r="I386" s="4"/>
      <c r="J386" s="4"/>
    </row>
    <row r="387" spans="3:10" ht="12.75" customHeight="1">
      <c r="C387" s="4"/>
      <c r="D387" s="4"/>
      <c r="E387" s="4"/>
      <c r="F387" s="4"/>
      <c r="G387" s="4"/>
      <c r="H387" s="4"/>
      <c r="I387" s="4"/>
      <c r="J387" s="4"/>
    </row>
    <row r="388" spans="3:10" ht="12.75" customHeight="1">
      <c r="C388" s="4"/>
      <c r="D388" s="4"/>
      <c r="E388" s="4"/>
      <c r="F388" s="4"/>
      <c r="G388" s="4"/>
      <c r="H388" s="4"/>
      <c r="I388" s="4"/>
      <c r="J388" s="4"/>
    </row>
    <row r="389" spans="3:10" ht="12.75" customHeight="1">
      <c r="C389" s="4"/>
      <c r="D389" s="4"/>
      <c r="E389" s="4"/>
      <c r="F389" s="4"/>
      <c r="G389" s="4"/>
      <c r="H389" s="4"/>
      <c r="I389" s="4"/>
      <c r="J389" s="4"/>
    </row>
    <row r="390" spans="3:10" ht="12.75" customHeight="1">
      <c r="C390" s="4"/>
      <c r="D390" s="4"/>
      <c r="E390" s="4"/>
      <c r="F390" s="4"/>
      <c r="G390" s="4"/>
      <c r="H390" s="4"/>
      <c r="I390" s="4"/>
      <c r="J390" s="4"/>
    </row>
    <row r="391" spans="3:10" ht="12.75" customHeight="1">
      <c r="C391" s="4"/>
      <c r="D391" s="4"/>
      <c r="E391" s="4"/>
      <c r="F391" s="4"/>
      <c r="G391" s="4"/>
      <c r="H391" s="4"/>
      <c r="I391" s="4"/>
      <c r="J391" s="4"/>
    </row>
    <row r="392" spans="3:10" ht="12.75" customHeight="1">
      <c r="C392" s="4"/>
      <c r="D392" s="4"/>
      <c r="E392" s="4"/>
      <c r="F392" s="4"/>
      <c r="G392" s="4"/>
      <c r="H392" s="4"/>
      <c r="I392" s="4"/>
      <c r="J392" s="4"/>
    </row>
    <row r="393" spans="3:10" ht="12.75" customHeight="1">
      <c r="C393" s="4"/>
      <c r="D393" s="4"/>
      <c r="E393" s="4"/>
      <c r="F393" s="4"/>
      <c r="G393" s="4"/>
      <c r="H393" s="4"/>
      <c r="I393" s="4"/>
      <c r="J393" s="4"/>
    </row>
    <row r="394" spans="3:10" ht="12.75" customHeight="1">
      <c r="C394" s="4"/>
      <c r="D394" s="4"/>
      <c r="E394" s="4"/>
      <c r="F394" s="4"/>
      <c r="G394" s="4"/>
      <c r="H394" s="4"/>
      <c r="I394" s="4"/>
      <c r="J394" s="4"/>
    </row>
    <row r="395" spans="3:10" ht="12.75" customHeight="1">
      <c r="C395" s="4"/>
      <c r="D395" s="4"/>
      <c r="E395" s="4"/>
      <c r="F395" s="4"/>
      <c r="G395" s="4"/>
      <c r="H395" s="4"/>
      <c r="I395" s="4"/>
      <c r="J395" s="4"/>
    </row>
    <row r="396" spans="3:10" ht="12.75" customHeight="1">
      <c r="C396" s="4"/>
      <c r="D396" s="4"/>
      <c r="E396" s="4"/>
      <c r="F396" s="4"/>
      <c r="G396" s="4"/>
      <c r="H396" s="4"/>
      <c r="I396" s="4"/>
      <c r="J396" s="4"/>
    </row>
    <row r="397" spans="3:10" ht="12.75" customHeight="1">
      <c r="C397" s="4"/>
      <c r="D397" s="4"/>
      <c r="E397" s="4"/>
      <c r="F397" s="4"/>
      <c r="G397" s="4"/>
      <c r="H397" s="4"/>
      <c r="I397" s="4"/>
      <c r="J397" s="4"/>
    </row>
    <row r="398" spans="3:10" ht="12.75" customHeight="1">
      <c r="C398" s="4"/>
      <c r="D398" s="4"/>
      <c r="E398" s="4"/>
      <c r="F398" s="4"/>
      <c r="G398" s="4"/>
      <c r="H398" s="4"/>
      <c r="I398" s="4"/>
      <c r="J398" s="4"/>
    </row>
    <row r="399" spans="3:10" ht="12.75" customHeight="1">
      <c r="C399" s="4"/>
      <c r="D399" s="4"/>
      <c r="E399" s="4"/>
      <c r="F399" s="4"/>
      <c r="G399" s="4"/>
      <c r="H399" s="4"/>
      <c r="I399" s="4"/>
      <c r="J399" s="4"/>
    </row>
    <row r="400" spans="3:10" ht="12.75" customHeight="1">
      <c r="C400" s="4"/>
      <c r="D400" s="4"/>
      <c r="E400" s="4"/>
      <c r="F400" s="4"/>
      <c r="G400" s="4"/>
      <c r="H400" s="4"/>
      <c r="I400" s="4"/>
      <c r="J400" s="4"/>
    </row>
    <row r="401" spans="3:10" ht="12.75" customHeight="1">
      <c r="C401" s="4"/>
      <c r="D401" s="4"/>
      <c r="E401" s="4"/>
      <c r="F401" s="4"/>
      <c r="G401" s="4"/>
      <c r="H401" s="4"/>
      <c r="I401" s="4"/>
      <c r="J401" s="4"/>
    </row>
    <row r="402" spans="3:10" ht="12.75" customHeight="1">
      <c r="C402" s="4"/>
      <c r="D402" s="4"/>
      <c r="E402" s="4"/>
      <c r="F402" s="4"/>
      <c r="G402" s="4"/>
      <c r="H402" s="4"/>
      <c r="I402" s="4"/>
      <c r="J402" s="4"/>
    </row>
    <row r="403" spans="3:10" ht="12.75" customHeight="1">
      <c r="C403" s="4"/>
      <c r="D403" s="4"/>
      <c r="E403" s="4"/>
      <c r="F403" s="4"/>
      <c r="G403" s="4"/>
      <c r="H403" s="4"/>
      <c r="I403" s="4"/>
      <c r="J403" s="4"/>
    </row>
    <row r="404" spans="3:10" ht="12.75" customHeight="1">
      <c r="C404" s="4"/>
      <c r="D404" s="4"/>
      <c r="E404" s="4"/>
      <c r="F404" s="4"/>
      <c r="G404" s="4"/>
      <c r="H404" s="4"/>
      <c r="I404" s="4"/>
      <c r="J404" s="4"/>
    </row>
    <row r="405" spans="3:10" ht="12.75" customHeight="1">
      <c r="C405" s="4"/>
      <c r="D405" s="4"/>
      <c r="E405" s="4"/>
      <c r="F405" s="4"/>
      <c r="G405" s="4"/>
      <c r="H405" s="4"/>
      <c r="I405" s="4"/>
      <c r="J405" s="4"/>
    </row>
    <row r="406" spans="3:10" ht="12.75" customHeight="1">
      <c r="C406" s="4"/>
      <c r="D406" s="4"/>
      <c r="E406" s="4"/>
      <c r="F406" s="4"/>
      <c r="G406" s="4"/>
      <c r="H406" s="4"/>
      <c r="I406" s="4"/>
      <c r="J406" s="4"/>
    </row>
    <row r="407" spans="3:10" ht="12.75" customHeight="1">
      <c r="C407" s="4"/>
      <c r="D407" s="4"/>
      <c r="E407" s="4"/>
      <c r="F407" s="4"/>
      <c r="G407" s="4"/>
      <c r="H407" s="4"/>
      <c r="I407" s="4"/>
      <c r="J407" s="4"/>
    </row>
    <row r="408" spans="3:10" ht="12.75" customHeight="1">
      <c r="C408" s="4"/>
      <c r="D408" s="4"/>
      <c r="E408" s="4"/>
      <c r="F408" s="4"/>
      <c r="G408" s="4"/>
      <c r="H408" s="4"/>
      <c r="I408" s="4"/>
      <c r="J408" s="4"/>
    </row>
    <row r="409" spans="3:10" ht="12.75" customHeight="1">
      <c r="C409" s="4"/>
      <c r="D409" s="4"/>
      <c r="E409" s="4"/>
      <c r="F409" s="4"/>
      <c r="G409" s="4"/>
      <c r="H409" s="4"/>
      <c r="I409" s="4"/>
      <c r="J409" s="4"/>
    </row>
    <row r="410" spans="3:10" ht="12.75" customHeight="1">
      <c r="C410" s="4"/>
      <c r="D410" s="4"/>
      <c r="E410" s="4"/>
      <c r="F410" s="4"/>
      <c r="G410" s="4"/>
      <c r="H410" s="4"/>
      <c r="I410" s="4"/>
      <c r="J410" s="4"/>
    </row>
    <row r="411" spans="3:10" ht="12.75" customHeight="1">
      <c r="C411" s="4"/>
      <c r="D411" s="4"/>
      <c r="E411" s="4"/>
      <c r="F411" s="4"/>
      <c r="G411" s="4"/>
      <c r="H411" s="4"/>
      <c r="I411" s="4"/>
      <c r="J411" s="4"/>
    </row>
    <row r="412" spans="3:10" ht="12.75" customHeight="1">
      <c r="C412" s="4"/>
      <c r="D412" s="4"/>
      <c r="E412" s="4"/>
      <c r="F412" s="4"/>
      <c r="G412" s="4"/>
      <c r="H412" s="4"/>
      <c r="I412" s="4"/>
      <c r="J412" s="4"/>
    </row>
    <row r="413" spans="3:10" ht="12.75" customHeight="1">
      <c r="C413" s="4"/>
      <c r="D413" s="4"/>
      <c r="E413" s="4"/>
      <c r="F413" s="4"/>
      <c r="G413" s="4"/>
      <c r="H413" s="4"/>
      <c r="I413" s="4"/>
      <c r="J413" s="4"/>
    </row>
    <row r="414" spans="3:10" ht="12.75" customHeight="1">
      <c r="C414" s="4"/>
      <c r="D414" s="4"/>
      <c r="E414" s="4"/>
      <c r="F414" s="4"/>
      <c r="G414" s="4"/>
      <c r="H414" s="4"/>
      <c r="I414" s="4"/>
      <c r="J414" s="4"/>
    </row>
    <row r="415" spans="3:10" ht="12.75" customHeight="1">
      <c r="C415" s="4"/>
      <c r="D415" s="4"/>
      <c r="E415" s="4"/>
      <c r="F415" s="4"/>
      <c r="G415" s="4"/>
      <c r="H415" s="4"/>
      <c r="I415" s="4"/>
      <c r="J415" s="4"/>
    </row>
    <row r="416" spans="3:10" ht="12.75" customHeight="1">
      <c r="C416" s="4"/>
      <c r="D416" s="4"/>
      <c r="E416" s="4"/>
      <c r="F416" s="4"/>
      <c r="G416" s="4"/>
      <c r="H416" s="4"/>
      <c r="I416" s="4"/>
      <c r="J416" s="4"/>
    </row>
    <row r="417" spans="3:10" ht="12.75" customHeight="1">
      <c r="C417" s="4"/>
      <c r="D417" s="4"/>
      <c r="E417" s="4"/>
      <c r="F417" s="4"/>
      <c r="G417" s="4"/>
      <c r="H417" s="4"/>
      <c r="I417" s="4"/>
      <c r="J417" s="4"/>
    </row>
    <row r="418" spans="3:10" ht="12.75" customHeight="1">
      <c r="C418" s="4"/>
      <c r="D418" s="4"/>
      <c r="E418" s="4"/>
      <c r="F418" s="4"/>
      <c r="G418" s="4"/>
      <c r="H418" s="4"/>
      <c r="I418" s="4"/>
      <c r="J418" s="4"/>
    </row>
    <row r="419" spans="3:10" ht="12.75" customHeight="1">
      <c r="C419" s="4"/>
      <c r="D419" s="4"/>
      <c r="E419" s="4"/>
      <c r="F419" s="4"/>
      <c r="G419" s="4"/>
      <c r="H419" s="4"/>
      <c r="I419" s="4"/>
      <c r="J419" s="4"/>
    </row>
    <row r="420" spans="3:10" ht="12.75" customHeight="1">
      <c r="C420" s="4"/>
      <c r="D420" s="4"/>
      <c r="E420" s="4"/>
      <c r="F420" s="4"/>
      <c r="G420" s="4"/>
      <c r="H420" s="4"/>
      <c r="I420" s="4"/>
      <c r="J420" s="4"/>
    </row>
    <row r="421" spans="3:10" ht="12.75" customHeight="1">
      <c r="C421" s="4"/>
      <c r="D421" s="4"/>
      <c r="E421" s="4"/>
      <c r="F421" s="4"/>
      <c r="G421" s="4"/>
      <c r="H421" s="4"/>
      <c r="I421" s="4"/>
      <c r="J421" s="4"/>
    </row>
    <row r="422" spans="3:10" ht="12.75" customHeight="1">
      <c r="C422" s="4"/>
      <c r="D422" s="4"/>
      <c r="E422" s="4"/>
      <c r="F422" s="4"/>
      <c r="G422" s="4"/>
      <c r="H422" s="4"/>
      <c r="I422" s="4"/>
      <c r="J422" s="4"/>
    </row>
    <row r="423" spans="3:10" ht="12.75" customHeight="1">
      <c r="C423" s="4"/>
      <c r="D423" s="4"/>
      <c r="E423" s="4"/>
      <c r="F423" s="4"/>
      <c r="G423" s="4"/>
      <c r="H423" s="4"/>
      <c r="I423" s="4"/>
      <c r="J423" s="4"/>
    </row>
    <row r="424" spans="3:10" ht="12.75" customHeight="1">
      <c r="C424" s="4"/>
      <c r="D424" s="4"/>
      <c r="E424" s="4"/>
      <c r="F424" s="4"/>
      <c r="G424" s="4"/>
      <c r="H424" s="4"/>
      <c r="I424" s="4"/>
      <c r="J424" s="4"/>
    </row>
    <row r="425" spans="3:10" ht="12.75" customHeight="1">
      <c r="C425" s="4"/>
      <c r="D425" s="4"/>
      <c r="E425" s="4"/>
      <c r="F425" s="4"/>
      <c r="G425" s="4"/>
      <c r="H425" s="4"/>
      <c r="I425" s="4"/>
      <c r="J425" s="4"/>
    </row>
    <row r="426" spans="3:10" ht="12.75" customHeight="1">
      <c r="C426" s="4"/>
      <c r="D426" s="4"/>
      <c r="E426" s="4"/>
      <c r="F426" s="4"/>
      <c r="G426" s="4"/>
      <c r="H426" s="4"/>
      <c r="I426" s="4"/>
      <c r="J426" s="4"/>
    </row>
    <row r="427" spans="3:10" ht="12.75" customHeight="1">
      <c r="C427" s="4"/>
      <c r="D427" s="4"/>
      <c r="E427" s="4"/>
      <c r="F427" s="4"/>
      <c r="G427" s="4"/>
      <c r="H427" s="4"/>
      <c r="I427" s="4"/>
      <c r="J427" s="4"/>
    </row>
    <row r="428" spans="3:10" ht="12.75" customHeight="1">
      <c r="C428" s="4"/>
      <c r="D428" s="4"/>
      <c r="E428" s="4"/>
      <c r="F428" s="4"/>
      <c r="G428" s="4"/>
      <c r="H428" s="4"/>
      <c r="I428" s="4"/>
      <c r="J428" s="4"/>
    </row>
    <row r="429" spans="3:10" ht="12.75" customHeight="1">
      <c r="C429" s="4"/>
      <c r="D429" s="4"/>
      <c r="E429" s="4"/>
      <c r="F429" s="4"/>
      <c r="G429" s="4"/>
      <c r="H429" s="4"/>
      <c r="I429" s="4"/>
      <c r="J429" s="4"/>
    </row>
    <row r="430" spans="3:10" ht="12.75" customHeight="1">
      <c r="C430" s="4"/>
      <c r="D430" s="4"/>
      <c r="E430" s="4"/>
      <c r="F430" s="4"/>
      <c r="G430" s="4"/>
      <c r="H430" s="4"/>
      <c r="I430" s="4"/>
      <c r="J430" s="4"/>
    </row>
    <row r="431" spans="3:10" ht="12.75" customHeight="1">
      <c r="C431" s="4"/>
      <c r="D431" s="4"/>
      <c r="E431" s="4"/>
      <c r="F431" s="4"/>
      <c r="G431" s="4"/>
      <c r="H431" s="4"/>
      <c r="I431" s="4"/>
      <c r="J431" s="4"/>
    </row>
    <row r="432" spans="3:10" ht="12.75" customHeight="1">
      <c r="C432" s="4"/>
      <c r="D432" s="4"/>
      <c r="E432" s="4"/>
      <c r="F432" s="4"/>
      <c r="G432" s="4"/>
      <c r="H432" s="4"/>
      <c r="I432" s="4"/>
      <c r="J432" s="4"/>
    </row>
    <row r="433" spans="3:10" ht="12.75" customHeight="1">
      <c r="C433" s="4"/>
      <c r="D433" s="4"/>
      <c r="E433" s="4"/>
      <c r="F433" s="4"/>
      <c r="G433" s="4"/>
      <c r="H433" s="4"/>
      <c r="I433" s="4"/>
      <c r="J433" s="4"/>
    </row>
    <row r="434" spans="3:10" ht="12.75" customHeight="1">
      <c r="C434" s="4"/>
      <c r="D434" s="4"/>
      <c r="E434" s="4"/>
      <c r="F434" s="4"/>
      <c r="G434" s="4"/>
      <c r="H434" s="4"/>
      <c r="I434" s="4"/>
      <c r="J434" s="4"/>
    </row>
    <row r="435" spans="3:10" ht="12.75" customHeight="1">
      <c r="C435" s="4"/>
      <c r="D435" s="4"/>
      <c r="E435" s="4"/>
      <c r="F435" s="4"/>
      <c r="G435" s="4"/>
      <c r="H435" s="4"/>
      <c r="I435" s="4"/>
      <c r="J435" s="4"/>
    </row>
    <row r="436" spans="3:10" ht="12.75" customHeight="1">
      <c r="C436" s="4"/>
      <c r="D436" s="4"/>
      <c r="E436" s="4"/>
      <c r="F436" s="4"/>
      <c r="G436" s="4"/>
      <c r="H436" s="4"/>
      <c r="I436" s="4"/>
      <c r="J436" s="4"/>
    </row>
    <row r="437" spans="3:10" ht="12.75" customHeight="1">
      <c r="C437" s="4"/>
      <c r="D437" s="4"/>
      <c r="E437" s="4"/>
      <c r="F437" s="4"/>
      <c r="G437" s="4"/>
      <c r="H437" s="4"/>
      <c r="I437" s="4"/>
      <c r="J437" s="4"/>
    </row>
    <row r="438" spans="3:10" ht="12.75" customHeight="1">
      <c r="C438" s="4"/>
      <c r="D438" s="4"/>
      <c r="E438" s="4"/>
      <c r="F438" s="4"/>
      <c r="G438" s="4"/>
      <c r="H438" s="4"/>
      <c r="I438" s="4"/>
      <c r="J438" s="4"/>
    </row>
    <row r="439" spans="3:10" ht="12.75" customHeight="1">
      <c r="C439" s="4"/>
      <c r="D439" s="4"/>
      <c r="E439" s="4"/>
      <c r="F439" s="4"/>
      <c r="G439" s="4"/>
      <c r="H439" s="4"/>
      <c r="I439" s="4"/>
      <c r="J439" s="4"/>
    </row>
    <row r="440" spans="3:10" ht="12.75" customHeight="1">
      <c r="C440" s="4"/>
      <c r="D440" s="4"/>
      <c r="E440" s="4"/>
      <c r="F440" s="4"/>
      <c r="G440" s="4"/>
      <c r="H440" s="4"/>
      <c r="I440" s="4"/>
      <c r="J440" s="4"/>
    </row>
    <row r="441" spans="3:10" ht="12.75" customHeight="1">
      <c r="C441" s="4"/>
      <c r="D441" s="4"/>
      <c r="E441" s="4"/>
      <c r="F441" s="4"/>
      <c r="G441" s="4"/>
      <c r="H441" s="4"/>
      <c r="I441" s="4"/>
      <c r="J441" s="4"/>
    </row>
    <row r="442" spans="3:10" ht="12.75" customHeight="1">
      <c r="C442" s="4"/>
      <c r="D442" s="4"/>
      <c r="E442" s="4"/>
      <c r="F442" s="4"/>
      <c r="G442" s="4"/>
      <c r="H442" s="4"/>
      <c r="I442" s="4"/>
      <c r="J442" s="4"/>
    </row>
    <row r="443" spans="3:10" ht="12.75" customHeight="1">
      <c r="C443" s="4"/>
      <c r="D443" s="4"/>
      <c r="E443" s="4"/>
      <c r="F443" s="4"/>
      <c r="G443" s="4"/>
      <c r="H443" s="4"/>
      <c r="I443" s="4"/>
      <c r="J443" s="4"/>
    </row>
    <row r="444" spans="3:10" ht="12.75" customHeight="1">
      <c r="C444" s="4"/>
      <c r="D444" s="4"/>
      <c r="E444" s="4"/>
      <c r="F444" s="4"/>
      <c r="G444" s="4"/>
      <c r="H444" s="4"/>
      <c r="I444" s="4"/>
      <c r="J444" s="4"/>
    </row>
    <row r="445" spans="3:10" ht="12.75" customHeight="1">
      <c r="C445" s="4"/>
      <c r="D445" s="4"/>
      <c r="E445" s="4"/>
      <c r="F445" s="4"/>
      <c r="G445" s="4"/>
      <c r="H445" s="4"/>
      <c r="I445" s="4"/>
      <c r="J445" s="4"/>
    </row>
    <row r="446" spans="3:10" ht="12.75" customHeight="1">
      <c r="C446" s="4"/>
      <c r="D446" s="4"/>
      <c r="E446" s="4"/>
      <c r="F446" s="4"/>
      <c r="G446" s="4"/>
      <c r="H446" s="4"/>
      <c r="I446" s="4"/>
      <c r="J446" s="4"/>
    </row>
    <row r="447" spans="3:10" ht="12.75" customHeight="1">
      <c r="C447" s="4"/>
      <c r="D447" s="4"/>
      <c r="E447" s="4"/>
      <c r="F447" s="4"/>
      <c r="G447" s="4"/>
      <c r="H447" s="4"/>
      <c r="I447" s="4"/>
      <c r="J447" s="4"/>
    </row>
    <row r="448" spans="3:10" ht="12.75" customHeight="1">
      <c r="C448" s="4"/>
      <c r="D448" s="4"/>
      <c r="E448" s="4"/>
      <c r="F448" s="4"/>
      <c r="G448" s="4"/>
      <c r="H448" s="4"/>
      <c r="I448" s="4"/>
      <c r="J448" s="4"/>
    </row>
    <row r="449" spans="3:10" ht="12.75" customHeight="1">
      <c r="C449" s="4"/>
      <c r="D449" s="4"/>
      <c r="E449" s="4"/>
      <c r="F449" s="4"/>
      <c r="G449" s="4"/>
      <c r="H449" s="4"/>
      <c r="I449" s="4"/>
      <c r="J449" s="4"/>
    </row>
    <row r="450" spans="3:10" ht="12.75" customHeight="1">
      <c r="C450" s="4"/>
      <c r="D450" s="4"/>
      <c r="E450" s="4"/>
      <c r="F450" s="4"/>
      <c r="G450" s="4"/>
      <c r="H450" s="4"/>
      <c r="I450" s="4"/>
      <c r="J450" s="4"/>
    </row>
    <row r="451" spans="3:10" ht="12.75" customHeight="1">
      <c r="C451" s="4"/>
      <c r="D451" s="4"/>
      <c r="E451" s="4"/>
      <c r="F451" s="4"/>
      <c r="G451" s="4"/>
      <c r="H451" s="4"/>
      <c r="I451" s="4"/>
      <c r="J451" s="4"/>
    </row>
    <row r="452" spans="3:10" ht="12.75" customHeight="1">
      <c r="C452" s="4"/>
      <c r="D452" s="4"/>
      <c r="E452" s="4"/>
      <c r="F452" s="4"/>
      <c r="G452" s="4"/>
      <c r="H452" s="4"/>
      <c r="I452" s="4"/>
      <c r="J452" s="4"/>
    </row>
    <row r="453" spans="3:10" ht="12.75" customHeight="1">
      <c r="C453" s="4"/>
      <c r="D453" s="4"/>
      <c r="E453" s="4"/>
      <c r="F453" s="4"/>
      <c r="G453" s="4"/>
      <c r="H453" s="4"/>
      <c r="I453" s="4"/>
      <c r="J453" s="4"/>
    </row>
    <row r="454" spans="3:10" ht="12.75" customHeight="1">
      <c r="C454" s="4"/>
      <c r="D454" s="4"/>
      <c r="E454" s="4"/>
      <c r="F454" s="4"/>
      <c r="G454" s="4"/>
      <c r="H454" s="4"/>
      <c r="I454" s="4"/>
      <c r="J454" s="4"/>
    </row>
    <row r="455" spans="3:10" ht="12.75" customHeight="1">
      <c r="C455" s="4"/>
      <c r="D455" s="4"/>
      <c r="E455" s="4"/>
      <c r="F455" s="4"/>
      <c r="G455" s="4"/>
      <c r="H455" s="4"/>
      <c r="I455" s="4"/>
      <c r="J455" s="4"/>
    </row>
    <row r="456" spans="3:10" ht="12.75" customHeight="1">
      <c r="C456" s="4"/>
      <c r="D456" s="4"/>
      <c r="E456" s="4"/>
      <c r="F456" s="4"/>
      <c r="G456" s="4"/>
      <c r="H456" s="4"/>
      <c r="I456" s="4"/>
      <c r="J456" s="4"/>
    </row>
    <row r="457" spans="3:10" ht="12.75" customHeight="1">
      <c r="C457" s="4"/>
      <c r="D457" s="4"/>
      <c r="E457" s="4"/>
      <c r="F457" s="4"/>
      <c r="G457" s="4"/>
      <c r="H457" s="4"/>
      <c r="I457" s="4"/>
      <c r="J457" s="4"/>
    </row>
    <row r="458" spans="3:10" ht="12.75" customHeight="1">
      <c r="C458" s="4"/>
      <c r="D458" s="4"/>
      <c r="E458" s="4"/>
      <c r="F458" s="4"/>
      <c r="G458" s="4"/>
      <c r="H458" s="4"/>
      <c r="I458" s="4"/>
      <c r="J458" s="4"/>
    </row>
    <row r="459" spans="3:10" ht="12.75" customHeight="1">
      <c r="C459" s="4"/>
      <c r="D459" s="4"/>
      <c r="E459" s="4"/>
      <c r="F459" s="4"/>
      <c r="G459" s="4"/>
      <c r="H459" s="4"/>
      <c r="I459" s="4"/>
      <c r="J459" s="4"/>
    </row>
    <row r="460" spans="3:10" ht="12.75" customHeight="1">
      <c r="C460" s="4"/>
      <c r="D460" s="4"/>
      <c r="E460" s="4"/>
      <c r="F460" s="4"/>
      <c r="G460" s="4"/>
      <c r="H460" s="4"/>
      <c r="I460" s="4"/>
      <c r="J460" s="4"/>
    </row>
    <row r="461" spans="3:10" ht="12.75" customHeight="1">
      <c r="C461" s="4"/>
      <c r="D461" s="4"/>
      <c r="E461" s="4"/>
      <c r="F461" s="4"/>
      <c r="G461" s="4"/>
      <c r="H461" s="4"/>
      <c r="I461" s="4"/>
      <c r="J461" s="4"/>
    </row>
    <row r="462" spans="3:10" ht="12.75" customHeight="1">
      <c r="C462" s="4"/>
      <c r="D462" s="4"/>
      <c r="E462" s="4"/>
      <c r="F462" s="4"/>
      <c r="G462" s="4"/>
      <c r="H462" s="4"/>
      <c r="I462" s="4"/>
      <c r="J462" s="4"/>
    </row>
    <row r="463" spans="3:10" ht="12.75" customHeight="1">
      <c r="C463" s="4"/>
      <c r="D463" s="4"/>
      <c r="E463" s="4"/>
      <c r="F463" s="4"/>
      <c r="G463" s="4"/>
      <c r="H463" s="4"/>
      <c r="I463" s="4"/>
      <c r="J463" s="4"/>
    </row>
    <row r="464" spans="3:10" ht="12.75" customHeight="1">
      <c r="C464" s="4"/>
      <c r="D464" s="4"/>
      <c r="E464" s="4"/>
      <c r="F464" s="4"/>
      <c r="G464" s="4"/>
      <c r="H464" s="4"/>
      <c r="I464" s="4"/>
      <c r="J464" s="4"/>
    </row>
    <row r="465" spans="3:10" ht="12.75" customHeight="1">
      <c r="C465" s="4"/>
      <c r="D465" s="4"/>
      <c r="E465" s="4"/>
      <c r="F465" s="4"/>
      <c r="G465" s="4"/>
      <c r="H465" s="4"/>
      <c r="I465" s="4"/>
      <c r="J465" s="4"/>
    </row>
    <row r="466" spans="3:10" ht="12.75" customHeight="1">
      <c r="C466" s="4"/>
      <c r="D466" s="4"/>
      <c r="E466" s="4"/>
      <c r="F466" s="4"/>
      <c r="G466" s="4"/>
      <c r="H466" s="4"/>
      <c r="I466" s="4"/>
      <c r="J466" s="4"/>
    </row>
    <row r="467" spans="3:10" ht="12.75" customHeight="1">
      <c r="C467" s="4"/>
      <c r="D467" s="4"/>
      <c r="E467" s="4"/>
      <c r="F467" s="4"/>
      <c r="G467" s="4"/>
      <c r="H467" s="4"/>
      <c r="I467" s="4"/>
      <c r="J467" s="4"/>
    </row>
    <row r="468" spans="3:10" ht="12.75" customHeight="1">
      <c r="C468" s="4"/>
      <c r="D468" s="4"/>
      <c r="E468" s="4"/>
      <c r="F468" s="4"/>
      <c r="G468" s="4"/>
      <c r="H468" s="4"/>
      <c r="I468" s="4"/>
      <c r="J468" s="4"/>
    </row>
    <row r="469" spans="3:10" ht="12.75" customHeight="1">
      <c r="C469" s="4"/>
      <c r="D469" s="4"/>
      <c r="E469" s="4"/>
      <c r="F469" s="4"/>
      <c r="G469" s="4"/>
      <c r="H469" s="4"/>
      <c r="I469" s="4"/>
      <c r="J469" s="4"/>
    </row>
    <row r="470" spans="3:10" ht="12.75" customHeight="1">
      <c r="C470" s="4"/>
      <c r="D470" s="4"/>
      <c r="E470" s="4"/>
      <c r="F470" s="4"/>
      <c r="G470" s="4"/>
      <c r="H470" s="4"/>
      <c r="I470" s="4"/>
      <c r="J470" s="4"/>
    </row>
    <row r="471" spans="3:10" ht="12.75" customHeight="1">
      <c r="C471" s="4"/>
      <c r="D471" s="4"/>
      <c r="E471" s="4"/>
      <c r="F471" s="4"/>
      <c r="G471" s="4"/>
      <c r="H471" s="4"/>
      <c r="I471" s="4"/>
      <c r="J471" s="4"/>
    </row>
    <row r="472" spans="3:10" ht="12.75" customHeight="1">
      <c r="C472" s="4"/>
      <c r="D472" s="4"/>
      <c r="E472" s="4"/>
      <c r="F472" s="4"/>
      <c r="G472" s="4"/>
      <c r="H472" s="4"/>
      <c r="I472" s="4"/>
      <c r="J472" s="4"/>
    </row>
    <row r="473" spans="3:10" ht="12.75" customHeight="1">
      <c r="C473" s="4"/>
      <c r="D473" s="4"/>
      <c r="E473" s="4"/>
      <c r="F473" s="4"/>
      <c r="G473" s="4"/>
      <c r="H473" s="4"/>
      <c r="I473" s="4"/>
      <c r="J473" s="4"/>
    </row>
    <row r="474" spans="3:10" ht="12.75" customHeight="1">
      <c r="C474" s="4"/>
      <c r="D474" s="4"/>
      <c r="E474" s="4"/>
      <c r="F474" s="4"/>
      <c r="G474" s="4"/>
      <c r="H474" s="4"/>
      <c r="I474" s="4"/>
      <c r="J474" s="4"/>
    </row>
    <row r="475" spans="3:10" ht="12.75" customHeight="1">
      <c r="C475" s="4"/>
      <c r="D475" s="4"/>
      <c r="E475" s="4"/>
      <c r="F475" s="4"/>
      <c r="G475" s="4"/>
      <c r="H475" s="4"/>
      <c r="I475" s="4"/>
      <c r="J475" s="4"/>
    </row>
    <row r="476" spans="3:10" ht="12.75" customHeight="1">
      <c r="C476" s="4"/>
      <c r="D476" s="4"/>
      <c r="E476" s="4"/>
      <c r="F476" s="4"/>
      <c r="G476" s="4"/>
      <c r="H476" s="4"/>
      <c r="I476" s="4"/>
      <c r="J476" s="4"/>
    </row>
    <row r="477" spans="3:10" ht="12.75" customHeight="1">
      <c r="C477" s="4"/>
      <c r="D477" s="4"/>
      <c r="E477" s="4"/>
      <c r="F477" s="4"/>
      <c r="G477" s="4"/>
      <c r="H477" s="4"/>
      <c r="I477" s="4"/>
      <c r="J477" s="4"/>
    </row>
    <row r="478" spans="3:10" ht="12.75" customHeight="1">
      <c r="C478" s="4"/>
      <c r="D478" s="4"/>
      <c r="E478" s="4"/>
      <c r="F478" s="4"/>
      <c r="G478" s="4"/>
      <c r="H478" s="4"/>
      <c r="I478" s="4"/>
      <c r="J478" s="4"/>
    </row>
    <row r="479" spans="3:10" ht="12.75" customHeight="1">
      <c r="C479" s="4"/>
      <c r="D479" s="4"/>
      <c r="E479" s="4"/>
      <c r="F479" s="4"/>
      <c r="G479" s="4"/>
      <c r="H479" s="4"/>
      <c r="I479" s="4"/>
      <c r="J479" s="4"/>
    </row>
    <row r="480" spans="3:10" ht="12.75" customHeight="1">
      <c r="C480" s="4"/>
      <c r="D480" s="4"/>
      <c r="E480" s="4"/>
      <c r="F480" s="4"/>
      <c r="G480" s="4"/>
      <c r="H480" s="4"/>
      <c r="I480" s="4"/>
      <c r="J480" s="4"/>
    </row>
    <row r="481" spans="3:10" ht="12.75" customHeight="1">
      <c r="C481" s="4"/>
      <c r="D481" s="4"/>
      <c r="E481" s="4"/>
      <c r="F481" s="4"/>
      <c r="G481" s="4"/>
      <c r="H481" s="4"/>
      <c r="I481" s="4"/>
      <c r="J481" s="4"/>
    </row>
    <row r="482" spans="3:10" ht="12.75" customHeight="1">
      <c r="C482" s="4"/>
      <c r="D482" s="4"/>
      <c r="E482" s="4"/>
      <c r="F482" s="4"/>
      <c r="G482" s="4"/>
      <c r="H482" s="4"/>
      <c r="I482" s="4"/>
      <c r="J482" s="4"/>
    </row>
    <row r="483" spans="3:10" ht="12.75" customHeight="1">
      <c r="C483" s="4"/>
      <c r="D483" s="4"/>
      <c r="E483" s="4"/>
      <c r="F483" s="4"/>
      <c r="G483" s="4"/>
      <c r="H483" s="4"/>
      <c r="I483" s="4"/>
      <c r="J483" s="4"/>
    </row>
    <row r="484" spans="3:10" ht="12.75" customHeight="1">
      <c r="C484" s="4"/>
      <c r="D484" s="4"/>
      <c r="E484" s="4"/>
      <c r="F484" s="4"/>
      <c r="G484" s="4"/>
      <c r="H484" s="4"/>
      <c r="I484" s="4"/>
      <c r="J484" s="4"/>
    </row>
    <row r="485" spans="3:10" ht="12.75" customHeight="1">
      <c r="C485" s="4"/>
      <c r="D485" s="4"/>
      <c r="E485" s="4"/>
      <c r="F485" s="4"/>
      <c r="G485" s="4"/>
      <c r="H485" s="4"/>
      <c r="I485" s="4"/>
      <c r="J485" s="4"/>
    </row>
    <row r="486" spans="3:10" ht="12.75" customHeight="1">
      <c r="C486" s="4"/>
      <c r="D486" s="4"/>
      <c r="E486" s="4"/>
      <c r="F486" s="4"/>
      <c r="G486" s="4"/>
      <c r="H486" s="4"/>
      <c r="I486" s="4"/>
      <c r="J486" s="4"/>
    </row>
    <row r="487" spans="3:10" ht="12.75" customHeight="1">
      <c r="C487" s="4"/>
      <c r="D487" s="4"/>
      <c r="E487" s="4"/>
      <c r="F487" s="4"/>
      <c r="G487" s="4"/>
      <c r="H487" s="4"/>
      <c r="I487" s="4"/>
      <c r="J487" s="4"/>
    </row>
    <row r="488" spans="3:10" ht="12.75" customHeight="1">
      <c r="C488" s="4"/>
      <c r="D488" s="4"/>
      <c r="E488" s="4"/>
      <c r="F488" s="4"/>
      <c r="G488" s="4"/>
      <c r="H488" s="4"/>
      <c r="I488" s="4"/>
      <c r="J488" s="4"/>
    </row>
    <row r="489" spans="3:10" ht="12.75" customHeight="1">
      <c r="C489" s="4"/>
      <c r="D489" s="4"/>
      <c r="E489" s="4"/>
      <c r="F489" s="4"/>
      <c r="G489" s="4"/>
      <c r="H489" s="4"/>
      <c r="I489" s="4"/>
      <c r="J489" s="4"/>
    </row>
    <row r="490" spans="3:10" ht="12.75" customHeight="1">
      <c r="C490" s="4"/>
      <c r="D490" s="4"/>
      <c r="E490" s="4"/>
      <c r="F490" s="4"/>
      <c r="G490" s="4"/>
      <c r="H490" s="4"/>
      <c r="I490" s="4"/>
      <c r="J490" s="4"/>
    </row>
    <row r="491" spans="3:10" ht="12.75" customHeight="1">
      <c r="C491" s="4"/>
      <c r="D491" s="4"/>
      <c r="E491" s="4"/>
      <c r="F491" s="4"/>
      <c r="G491" s="4"/>
      <c r="H491" s="4"/>
      <c r="I491" s="4"/>
      <c r="J491" s="4"/>
    </row>
    <row r="492" spans="3:10" ht="12.75" customHeight="1">
      <c r="C492" s="4"/>
      <c r="D492" s="4"/>
      <c r="E492" s="4"/>
      <c r="F492" s="4"/>
      <c r="G492" s="4"/>
      <c r="H492" s="4"/>
      <c r="I492" s="4"/>
      <c r="J492" s="4"/>
    </row>
    <row r="493" spans="3:10" ht="12.75" customHeight="1">
      <c r="C493" s="4"/>
      <c r="D493" s="4"/>
      <c r="E493" s="4"/>
      <c r="F493" s="4"/>
      <c r="G493" s="4"/>
      <c r="H493" s="4"/>
      <c r="I493" s="4"/>
      <c r="J493" s="4"/>
    </row>
    <row r="494" spans="3:10" ht="12.75" customHeight="1">
      <c r="C494" s="4"/>
      <c r="D494" s="4"/>
      <c r="E494" s="4"/>
      <c r="F494" s="4"/>
      <c r="G494" s="4"/>
      <c r="H494" s="4"/>
      <c r="I494" s="4"/>
      <c r="J494" s="4"/>
    </row>
    <row r="495" spans="3:10" ht="12.75" customHeight="1">
      <c r="C495" s="4"/>
      <c r="D495" s="4"/>
      <c r="E495" s="4"/>
      <c r="F495" s="4"/>
      <c r="G495" s="4"/>
      <c r="H495" s="4"/>
      <c r="I495" s="4"/>
      <c r="J495" s="4"/>
    </row>
    <row r="496" spans="3:10" ht="12.75" customHeight="1">
      <c r="C496" s="4"/>
      <c r="D496" s="4"/>
      <c r="E496" s="4"/>
      <c r="F496" s="4"/>
      <c r="G496" s="4"/>
      <c r="H496" s="4"/>
      <c r="I496" s="4"/>
      <c r="J496" s="4"/>
    </row>
    <row r="497" spans="3:10" ht="12.75" customHeight="1">
      <c r="C497" s="4"/>
      <c r="D497" s="4"/>
      <c r="E497" s="4"/>
      <c r="F497" s="4"/>
      <c r="G497" s="4"/>
      <c r="H497" s="4"/>
      <c r="I497" s="4"/>
      <c r="J497" s="4"/>
    </row>
    <row r="498" spans="3:10" ht="12.75" customHeight="1">
      <c r="C498" s="4"/>
      <c r="D498" s="4"/>
      <c r="E498" s="4"/>
      <c r="F498" s="4"/>
      <c r="G498" s="4"/>
      <c r="H498" s="4"/>
      <c r="I498" s="4"/>
      <c r="J498" s="4"/>
    </row>
    <row r="499" spans="3:10" ht="12.75" customHeight="1">
      <c r="C499" s="4"/>
      <c r="D499" s="4"/>
      <c r="E499" s="4"/>
      <c r="F499" s="4"/>
      <c r="G499" s="4"/>
      <c r="H499" s="4"/>
      <c r="I499" s="4"/>
      <c r="J499" s="4"/>
    </row>
    <row r="500" spans="3:10" ht="12.75" customHeight="1">
      <c r="C500" s="4"/>
      <c r="D500" s="4"/>
      <c r="E500" s="4"/>
      <c r="F500" s="4"/>
      <c r="G500" s="4"/>
      <c r="H500" s="4"/>
      <c r="I500" s="4"/>
      <c r="J500" s="4"/>
    </row>
    <row r="501" spans="3:10" ht="12.75" customHeight="1">
      <c r="C501" s="4"/>
      <c r="D501" s="4"/>
      <c r="E501" s="4"/>
      <c r="F501" s="4"/>
      <c r="G501" s="4"/>
      <c r="H501" s="4"/>
      <c r="I501" s="4"/>
      <c r="J501" s="4"/>
    </row>
    <row r="502" spans="3:10" ht="12.75" customHeight="1">
      <c r="C502" s="4"/>
      <c r="D502" s="4"/>
      <c r="E502" s="4"/>
      <c r="F502" s="4"/>
      <c r="G502" s="4"/>
      <c r="H502" s="4"/>
      <c r="I502" s="4"/>
      <c r="J502" s="4"/>
    </row>
    <row r="503" spans="3:10" ht="12.75" customHeight="1">
      <c r="C503" s="4"/>
      <c r="D503" s="4"/>
      <c r="E503" s="4"/>
      <c r="F503" s="4"/>
      <c r="G503" s="4"/>
      <c r="H503" s="4"/>
      <c r="I503" s="4"/>
      <c r="J503" s="4"/>
    </row>
    <row r="504" spans="3:10" ht="12.75" customHeight="1">
      <c r="C504" s="4"/>
      <c r="D504" s="4"/>
      <c r="E504" s="4"/>
      <c r="F504" s="4"/>
      <c r="G504" s="4"/>
      <c r="H504" s="4"/>
      <c r="I504" s="4"/>
      <c r="J504" s="4"/>
    </row>
    <row r="505" spans="3:10" ht="12.75" customHeight="1">
      <c r="C505" s="4"/>
      <c r="D505" s="4"/>
      <c r="E505" s="4"/>
      <c r="F505" s="4"/>
      <c r="G505" s="4"/>
      <c r="H505" s="4"/>
      <c r="I505" s="4"/>
      <c r="J505" s="4"/>
    </row>
    <row r="506" spans="3:10" ht="12.75" customHeight="1">
      <c r="C506" s="4"/>
      <c r="D506" s="4"/>
      <c r="E506" s="4"/>
      <c r="F506" s="4"/>
      <c r="G506" s="4"/>
      <c r="H506" s="4"/>
      <c r="I506" s="4"/>
      <c r="J506" s="4"/>
    </row>
    <row r="507" spans="3:10" ht="12.75" customHeight="1">
      <c r="C507" s="4"/>
      <c r="D507" s="4"/>
      <c r="E507" s="4"/>
      <c r="F507" s="4"/>
      <c r="G507" s="4"/>
      <c r="H507" s="4"/>
      <c r="I507" s="4"/>
      <c r="J507" s="4"/>
    </row>
    <row r="508" spans="3:10" ht="12.75" customHeight="1">
      <c r="C508" s="4"/>
      <c r="D508" s="4"/>
      <c r="E508" s="4"/>
      <c r="F508" s="4"/>
      <c r="G508" s="4"/>
      <c r="H508" s="4"/>
      <c r="I508" s="4"/>
      <c r="J508" s="4"/>
    </row>
    <row r="509" spans="3:10" ht="12.75" customHeight="1">
      <c r="C509" s="4"/>
      <c r="D509" s="4"/>
      <c r="E509" s="4"/>
      <c r="F509" s="4"/>
      <c r="G509" s="4"/>
      <c r="H509" s="4"/>
      <c r="I509" s="4"/>
      <c r="J509" s="4"/>
    </row>
    <row r="510" spans="3:10" ht="12.75" customHeight="1">
      <c r="C510" s="4"/>
      <c r="D510" s="4"/>
      <c r="E510" s="4"/>
      <c r="F510" s="4"/>
      <c r="G510" s="4"/>
      <c r="H510" s="4"/>
      <c r="I510" s="4"/>
      <c r="J510" s="4"/>
    </row>
    <row r="511" spans="3:10" ht="12.75" customHeight="1">
      <c r="C511" s="4"/>
      <c r="D511" s="4"/>
      <c r="E511" s="4"/>
      <c r="F511" s="4"/>
      <c r="G511" s="4"/>
      <c r="H511" s="4"/>
      <c r="I511" s="4"/>
      <c r="J511" s="4"/>
    </row>
    <row r="512" spans="3:10" ht="12.75" customHeight="1">
      <c r="C512" s="4"/>
      <c r="D512" s="4"/>
      <c r="E512" s="4"/>
      <c r="F512" s="4"/>
      <c r="G512" s="4"/>
      <c r="H512" s="4"/>
      <c r="I512" s="4"/>
      <c r="J512" s="4"/>
    </row>
    <row r="513" spans="3:10" ht="12.75" customHeight="1">
      <c r="C513" s="4"/>
      <c r="D513" s="4"/>
      <c r="E513" s="4"/>
      <c r="F513" s="4"/>
      <c r="G513" s="4"/>
      <c r="H513" s="4"/>
      <c r="I513" s="4"/>
      <c r="J513" s="4"/>
    </row>
    <row r="514" spans="3:10" ht="12.75" customHeight="1">
      <c r="C514" s="4"/>
      <c r="D514" s="4"/>
      <c r="E514" s="4"/>
      <c r="F514" s="4"/>
      <c r="G514" s="4"/>
      <c r="H514" s="4"/>
      <c r="I514" s="4"/>
      <c r="J514" s="4"/>
    </row>
    <row r="515" spans="3:10" ht="12.75" customHeight="1">
      <c r="C515" s="4"/>
      <c r="D515" s="4"/>
      <c r="E515" s="4"/>
      <c r="F515" s="4"/>
      <c r="G515" s="4"/>
      <c r="H515" s="4"/>
      <c r="I515" s="4"/>
      <c r="J515" s="4"/>
    </row>
    <row r="516" spans="3:10" ht="12.75" customHeight="1">
      <c r="C516" s="4"/>
      <c r="D516" s="4"/>
      <c r="E516" s="4"/>
      <c r="F516" s="4"/>
      <c r="G516" s="4"/>
      <c r="H516" s="4"/>
      <c r="I516" s="4"/>
      <c r="J516" s="4"/>
    </row>
    <row r="517" spans="3:10" ht="12.75" customHeight="1">
      <c r="C517" s="4"/>
      <c r="D517" s="4"/>
      <c r="E517" s="4"/>
      <c r="F517" s="4"/>
      <c r="G517" s="4"/>
      <c r="H517" s="4"/>
      <c r="I517" s="4"/>
      <c r="J517" s="4"/>
    </row>
    <row r="518" spans="3:10" ht="12.75" customHeight="1">
      <c r="C518" s="4"/>
      <c r="D518" s="4"/>
      <c r="E518" s="4"/>
      <c r="F518" s="4"/>
      <c r="G518" s="4"/>
      <c r="H518" s="4"/>
      <c r="I518" s="4"/>
      <c r="J518" s="4"/>
    </row>
    <row r="519" spans="3:10" ht="12.75" customHeight="1">
      <c r="C519" s="4"/>
      <c r="D519" s="4"/>
      <c r="E519" s="4"/>
      <c r="F519" s="4"/>
      <c r="G519" s="4"/>
      <c r="H519" s="4"/>
      <c r="I519" s="4"/>
      <c r="J519" s="4"/>
    </row>
    <row r="520" spans="3:10" ht="12.75" customHeight="1">
      <c r="C520" s="4"/>
      <c r="D520" s="4"/>
      <c r="E520" s="4"/>
      <c r="F520" s="4"/>
      <c r="G520" s="4"/>
      <c r="H520" s="4"/>
      <c r="I520" s="4"/>
      <c r="J520" s="4"/>
    </row>
    <row r="521" spans="3:10" ht="12.75" customHeight="1">
      <c r="C521" s="4"/>
      <c r="D521" s="4"/>
      <c r="E521" s="4"/>
      <c r="F521" s="4"/>
      <c r="G521" s="4"/>
      <c r="H521" s="4"/>
      <c r="I521" s="4"/>
      <c r="J521" s="4"/>
    </row>
    <row r="522" spans="3:10" ht="12.75" customHeight="1">
      <c r="C522" s="4"/>
      <c r="D522" s="4"/>
      <c r="E522" s="4"/>
      <c r="F522" s="4"/>
      <c r="G522" s="4"/>
      <c r="H522" s="4"/>
      <c r="I522" s="4"/>
      <c r="J522" s="4"/>
    </row>
    <row r="523" spans="3:10" ht="12.75" customHeight="1">
      <c r="C523" s="4"/>
      <c r="D523" s="4"/>
      <c r="E523" s="4"/>
      <c r="F523" s="4"/>
      <c r="G523" s="4"/>
      <c r="H523" s="4"/>
      <c r="I523" s="4"/>
      <c r="J523" s="4"/>
    </row>
    <row r="524" spans="3:10" ht="12.75" customHeight="1">
      <c r="C524" s="4"/>
      <c r="D524" s="4"/>
      <c r="E524" s="4"/>
      <c r="F524" s="4"/>
      <c r="G524" s="4"/>
      <c r="H524" s="4"/>
      <c r="I524" s="4"/>
      <c r="J524" s="4"/>
    </row>
    <row r="525" spans="3:10" ht="12.75" customHeight="1">
      <c r="C525" s="4"/>
      <c r="D525" s="4"/>
      <c r="E525" s="4"/>
      <c r="F525" s="4"/>
      <c r="G525" s="4"/>
      <c r="H525" s="4"/>
      <c r="I525" s="4"/>
      <c r="J525" s="4"/>
    </row>
    <row r="526" spans="3:10" ht="12.75" customHeight="1">
      <c r="C526" s="4"/>
      <c r="D526" s="4"/>
      <c r="E526" s="4"/>
      <c r="F526" s="4"/>
      <c r="G526" s="4"/>
      <c r="H526" s="4"/>
      <c r="I526" s="4"/>
      <c r="J526" s="4"/>
    </row>
    <row r="527" spans="3:10" ht="12.75" customHeight="1">
      <c r="C527" s="4"/>
      <c r="D527" s="4"/>
      <c r="E527" s="4"/>
      <c r="F527" s="4"/>
      <c r="G527" s="4"/>
      <c r="H527" s="4"/>
      <c r="I527" s="4"/>
      <c r="J527" s="4"/>
    </row>
    <row r="528" spans="3:10" ht="12.75" customHeight="1">
      <c r="C528" s="4"/>
      <c r="D528" s="4"/>
      <c r="E528" s="4"/>
      <c r="F528" s="4"/>
      <c r="G528" s="4"/>
      <c r="H528" s="4"/>
      <c r="I528" s="4"/>
      <c r="J528" s="4"/>
    </row>
    <row r="529" spans="3:10" ht="12.75" customHeight="1">
      <c r="C529" s="4"/>
      <c r="D529" s="4"/>
      <c r="E529" s="4"/>
      <c r="F529" s="4"/>
      <c r="G529" s="4"/>
      <c r="H529" s="4"/>
      <c r="I529" s="4"/>
      <c r="J529" s="4"/>
    </row>
    <row r="530" spans="3:10" ht="12.75" customHeight="1">
      <c r="C530" s="4"/>
      <c r="D530" s="4"/>
      <c r="E530" s="4"/>
      <c r="F530" s="4"/>
      <c r="G530" s="4"/>
      <c r="H530" s="4"/>
      <c r="I530" s="4"/>
      <c r="J530" s="4"/>
    </row>
    <row r="531" spans="3:10" ht="12.75" customHeight="1">
      <c r="C531" s="4"/>
      <c r="D531" s="4"/>
      <c r="E531" s="4"/>
      <c r="F531" s="4"/>
      <c r="G531" s="4"/>
      <c r="H531" s="4"/>
      <c r="I531" s="4"/>
      <c r="J531" s="4"/>
    </row>
    <row r="532" spans="3:10" ht="12.75" customHeight="1">
      <c r="C532" s="4"/>
      <c r="D532" s="4"/>
      <c r="E532" s="4"/>
      <c r="F532" s="4"/>
      <c r="G532" s="4"/>
      <c r="H532" s="4"/>
      <c r="I532" s="4"/>
      <c r="J532" s="4"/>
    </row>
    <row r="533" spans="3:10" ht="12.75" customHeight="1">
      <c r="C533" s="4"/>
      <c r="D533" s="4"/>
      <c r="E533" s="4"/>
      <c r="F533" s="4"/>
      <c r="G533" s="4"/>
      <c r="H533" s="4"/>
      <c r="I533" s="4"/>
      <c r="J533" s="4"/>
    </row>
    <row r="534" spans="3:10" ht="12.75" customHeight="1">
      <c r="C534" s="4"/>
      <c r="D534" s="4"/>
      <c r="E534" s="4"/>
      <c r="F534" s="4"/>
      <c r="G534" s="4"/>
      <c r="H534" s="4"/>
      <c r="I534" s="4"/>
      <c r="J534" s="4"/>
    </row>
    <row r="535" spans="3:10" ht="12.75" customHeight="1">
      <c r="C535" s="4"/>
      <c r="D535" s="4"/>
      <c r="E535" s="4"/>
      <c r="F535" s="4"/>
      <c r="G535" s="4"/>
      <c r="H535" s="4"/>
      <c r="I535" s="4"/>
      <c r="J535" s="4"/>
    </row>
    <row r="536" spans="3:10" ht="12.75" customHeight="1">
      <c r="C536" s="4"/>
      <c r="D536" s="4"/>
      <c r="E536" s="4"/>
      <c r="F536" s="4"/>
      <c r="G536" s="4"/>
      <c r="H536" s="4"/>
      <c r="I536" s="4"/>
      <c r="J536" s="4"/>
    </row>
    <row r="537" spans="3:10" ht="12.75" customHeight="1">
      <c r="C537" s="4"/>
      <c r="D537" s="4"/>
      <c r="E537" s="4"/>
      <c r="F537" s="4"/>
      <c r="G537" s="4"/>
      <c r="H537" s="4"/>
      <c r="I537" s="4"/>
      <c r="J537" s="4"/>
    </row>
    <row r="538" spans="3:10" ht="12.75" customHeight="1">
      <c r="C538" s="4"/>
      <c r="D538" s="4"/>
      <c r="E538" s="4"/>
      <c r="F538" s="4"/>
      <c r="G538" s="4"/>
      <c r="H538" s="4"/>
      <c r="I538" s="4"/>
      <c r="J538" s="4"/>
    </row>
    <row r="539" spans="3:10" ht="12.75" customHeight="1">
      <c r="C539" s="4"/>
      <c r="D539" s="4"/>
      <c r="E539" s="4"/>
      <c r="F539" s="4"/>
      <c r="G539" s="4"/>
      <c r="H539" s="4"/>
      <c r="I539" s="4"/>
      <c r="J539" s="4"/>
    </row>
    <row r="540" spans="3:10" ht="12.75" customHeight="1">
      <c r="C540" s="4"/>
      <c r="D540" s="4"/>
      <c r="E540" s="4"/>
      <c r="F540" s="4"/>
      <c r="G540" s="4"/>
      <c r="H540" s="4"/>
      <c r="I540" s="4"/>
      <c r="J540" s="4"/>
    </row>
    <row r="541" spans="3:10" ht="12.75" customHeight="1">
      <c r="C541" s="4"/>
      <c r="D541" s="4"/>
      <c r="E541" s="4"/>
      <c r="F541" s="4"/>
      <c r="G541" s="4"/>
      <c r="H541" s="4"/>
      <c r="I541" s="4"/>
      <c r="J541" s="4"/>
    </row>
    <row r="542" spans="3:10" ht="12.75" customHeight="1">
      <c r="C542" s="4"/>
      <c r="D542" s="4"/>
      <c r="E542" s="4"/>
      <c r="F542" s="4"/>
      <c r="G542" s="4"/>
      <c r="H542" s="4"/>
      <c r="I542" s="4"/>
      <c r="J542" s="4"/>
    </row>
    <row r="543" spans="3:10" ht="12.75" customHeight="1">
      <c r="C543" s="4"/>
      <c r="D543" s="4"/>
      <c r="E543" s="4"/>
      <c r="F543" s="4"/>
      <c r="G543" s="4"/>
      <c r="H543" s="4"/>
      <c r="I543" s="4"/>
      <c r="J543" s="4"/>
    </row>
    <row r="544" spans="3:10" ht="12.75" customHeight="1">
      <c r="C544" s="4"/>
      <c r="D544" s="4"/>
      <c r="E544" s="4"/>
      <c r="F544" s="4"/>
      <c r="G544" s="4"/>
      <c r="H544" s="4"/>
      <c r="I544" s="4"/>
      <c r="J544" s="4"/>
    </row>
    <row r="545" spans="3:10" ht="12.75" customHeight="1">
      <c r="C545" s="4"/>
      <c r="D545" s="4"/>
      <c r="E545" s="4"/>
      <c r="F545" s="4"/>
      <c r="G545" s="4"/>
      <c r="H545" s="4"/>
      <c r="I545" s="4"/>
      <c r="J545" s="4"/>
    </row>
    <row r="546" spans="3:10" ht="12.75" customHeight="1">
      <c r="C546" s="4"/>
      <c r="D546" s="4"/>
      <c r="E546" s="4"/>
      <c r="F546" s="4"/>
      <c r="G546" s="4"/>
      <c r="H546" s="4"/>
      <c r="I546" s="4"/>
      <c r="J546" s="4"/>
    </row>
    <row r="547" spans="3:10" ht="12.75" customHeight="1">
      <c r="C547" s="4"/>
      <c r="D547" s="4"/>
      <c r="E547" s="4"/>
      <c r="F547" s="4"/>
      <c r="G547" s="4"/>
      <c r="H547" s="4"/>
      <c r="I547" s="4"/>
      <c r="J547" s="4"/>
    </row>
    <row r="548" spans="3:10" ht="12.75" customHeight="1">
      <c r="C548" s="4"/>
      <c r="D548" s="4"/>
      <c r="E548" s="4"/>
      <c r="F548" s="4"/>
      <c r="G548" s="4"/>
      <c r="H548" s="4"/>
      <c r="I548" s="4"/>
      <c r="J548" s="4"/>
    </row>
    <row r="549" spans="3:10" ht="12.75" customHeight="1">
      <c r="C549" s="4"/>
      <c r="D549" s="4"/>
      <c r="E549" s="4"/>
      <c r="F549" s="4"/>
      <c r="G549" s="4"/>
      <c r="H549" s="4"/>
      <c r="I549" s="4"/>
      <c r="J549" s="4"/>
    </row>
    <row r="550" spans="3:10" ht="12.75" customHeight="1">
      <c r="C550" s="4"/>
      <c r="D550" s="4"/>
      <c r="E550" s="4"/>
      <c r="F550" s="4"/>
      <c r="G550" s="4"/>
      <c r="H550" s="4"/>
      <c r="I550" s="4"/>
      <c r="J550" s="4"/>
    </row>
    <row r="551" spans="3:10" ht="12.75" customHeight="1">
      <c r="C551" s="4"/>
      <c r="D551" s="4"/>
      <c r="E551" s="4"/>
      <c r="F551" s="4"/>
      <c r="G551" s="4"/>
      <c r="H551" s="4"/>
      <c r="I551" s="4"/>
      <c r="J551" s="4"/>
    </row>
    <row r="552" spans="3:10" ht="12.75" customHeight="1">
      <c r="C552" s="4"/>
      <c r="D552" s="4"/>
      <c r="E552" s="4"/>
      <c r="F552" s="4"/>
      <c r="G552" s="4"/>
      <c r="H552" s="4"/>
      <c r="I552" s="4"/>
      <c r="J552" s="4"/>
    </row>
    <row r="553" spans="3:10" ht="12.75" customHeight="1">
      <c r="C553" s="4"/>
      <c r="D553" s="4"/>
      <c r="E553" s="4"/>
      <c r="F553" s="4"/>
      <c r="G553" s="4"/>
      <c r="H553" s="4"/>
      <c r="I553" s="4"/>
      <c r="J553" s="4"/>
    </row>
    <row r="554" spans="3:10" ht="12.75" customHeight="1">
      <c r="C554" s="4"/>
      <c r="D554" s="4"/>
      <c r="E554" s="4"/>
      <c r="F554" s="4"/>
      <c r="G554" s="4"/>
      <c r="H554" s="4"/>
      <c r="I554" s="4"/>
      <c r="J554" s="4"/>
    </row>
    <row r="555" spans="3:10" ht="12.75" customHeight="1">
      <c r="C555" s="4"/>
      <c r="D555" s="4"/>
      <c r="E555" s="4"/>
      <c r="F555" s="4"/>
      <c r="G555" s="4"/>
      <c r="H555" s="4"/>
      <c r="I555" s="4"/>
      <c r="J555" s="4"/>
    </row>
    <row r="556" spans="3:10" ht="12.75" customHeight="1">
      <c r="C556" s="4"/>
      <c r="D556" s="4"/>
      <c r="E556" s="4"/>
      <c r="F556" s="4"/>
      <c r="G556" s="4"/>
      <c r="H556" s="4"/>
      <c r="I556" s="4"/>
      <c r="J556" s="4"/>
    </row>
    <row r="557" spans="3:10" ht="12.75" customHeight="1">
      <c r="C557" s="4"/>
      <c r="D557" s="4"/>
      <c r="E557" s="4"/>
      <c r="F557" s="4"/>
      <c r="G557" s="4"/>
      <c r="H557" s="4"/>
      <c r="I557" s="4"/>
      <c r="J557" s="4"/>
    </row>
    <row r="558" spans="3:10" ht="12.75" customHeight="1">
      <c r="C558" s="4"/>
      <c r="D558" s="4"/>
      <c r="E558" s="4"/>
      <c r="F558" s="4"/>
      <c r="G558" s="4"/>
      <c r="H558" s="4"/>
      <c r="I558" s="4"/>
      <c r="J558" s="4"/>
    </row>
    <row r="559" spans="3:10" ht="12.75" customHeight="1">
      <c r="C559" s="4"/>
      <c r="D559" s="4"/>
      <c r="E559" s="4"/>
      <c r="F559" s="4"/>
      <c r="G559" s="4"/>
      <c r="H559" s="4"/>
      <c r="I559" s="4"/>
      <c r="J559" s="4"/>
    </row>
    <row r="560" spans="3:10" ht="12.75" customHeight="1">
      <c r="C560" s="4"/>
      <c r="D560" s="4"/>
      <c r="E560" s="4"/>
      <c r="F560" s="4"/>
      <c r="G560" s="4"/>
      <c r="H560" s="4"/>
      <c r="I560" s="4"/>
      <c r="J560" s="4"/>
    </row>
    <row r="561" spans="3:10" ht="12.75" customHeight="1">
      <c r="C561" s="4"/>
      <c r="D561" s="4"/>
      <c r="E561" s="4"/>
      <c r="F561" s="4"/>
      <c r="G561" s="4"/>
      <c r="H561" s="4"/>
      <c r="I561" s="4"/>
      <c r="J561" s="4"/>
    </row>
    <row r="562" spans="3:10" ht="12.75" customHeight="1">
      <c r="C562" s="4"/>
      <c r="D562" s="4"/>
      <c r="E562" s="4"/>
      <c r="F562" s="4"/>
      <c r="G562" s="4"/>
      <c r="H562" s="4"/>
      <c r="I562" s="4"/>
      <c r="J562" s="4"/>
    </row>
    <row r="563" spans="3:10" ht="12.75" customHeight="1">
      <c r="C563" s="4"/>
      <c r="D563" s="4"/>
      <c r="E563" s="4"/>
      <c r="F563" s="4"/>
      <c r="G563" s="4"/>
      <c r="H563" s="4"/>
      <c r="I563" s="4"/>
      <c r="J563" s="4"/>
    </row>
    <row r="564" spans="3:10" ht="12.75" customHeight="1">
      <c r="C564" s="4"/>
      <c r="D564" s="4"/>
      <c r="E564" s="4"/>
      <c r="F564" s="4"/>
      <c r="G564" s="4"/>
      <c r="H564" s="4"/>
      <c r="I564" s="4"/>
      <c r="J564" s="4"/>
    </row>
    <row r="565" spans="3:10" ht="12.75" customHeight="1">
      <c r="C565" s="4"/>
      <c r="D565" s="4"/>
      <c r="E565" s="4"/>
      <c r="F565" s="4"/>
      <c r="G565" s="4"/>
      <c r="H565" s="4"/>
      <c r="I565" s="4"/>
      <c r="J565" s="4"/>
    </row>
    <row r="566" spans="3:10" ht="12.75" customHeight="1">
      <c r="C566" s="4"/>
      <c r="D566" s="4"/>
      <c r="E566" s="4"/>
      <c r="F566" s="4"/>
      <c r="G566" s="4"/>
      <c r="H566" s="4"/>
      <c r="I566" s="4"/>
      <c r="J566" s="4"/>
    </row>
    <row r="567" spans="3:10" ht="12.75" customHeight="1">
      <c r="C567" s="4"/>
      <c r="D567" s="4"/>
      <c r="E567" s="4"/>
      <c r="F567" s="4"/>
      <c r="G567" s="4"/>
      <c r="H567" s="4"/>
      <c r="I567" s="4"/>
      <c r="J567" s="4"/>
    </row>
    <row r="568" spans="3:10" ht="12.75" customHeight="1">
      <c r="C568" s="4"/>
      <c r="D568" s="4"/>
      <c r="E568" s="4"/>
      <c r="F568" s="4"/>
      <c r="G568" s="4"/>
      <c r="H568" s="4"/>
      <c r="I568" s="4"/>
      <c r="J568" s="4"/>
    </row>
    <row r="569" spans="3:10" ht="12.75" customHeight="1">
      <c r="C569" s="4"/>
      <c r="D569" s="4"/>
      <c r="E569" s="4"/>
      <c r="F569" s="4"/>
      <c r="G569" s="4"/>
      <c r="H569" s="4"/>
      <c r="I569" s="4"/>
      <c r="J569" s="4"/>
    </row>
    <row r="570" spans="3:10" ht="12.75" customHeight="1">
      <c r="C570" s="4"/>
      <c r="D570" s="4"/>
      <c r="E570" s="4"/>
      <c r="F570" s="4"/>
      <c r="G570" s="4"/>
      <c r="H570" s="4"/>
      <c r="I570" s="4"/>
      <c r="J570" s="4"/>
    </row>
    <row r="571" spans="3:10" ht="12.75" customHeight="1">
      <c r="C571" s="4"/>
      <c r="D571" s="4"/>
      <c r="E571" s="4"/>
      <c r="F571" s="4"/>
      <c r="G571" s="4"/>
      <c r="H571" s="4"/>
      <c r="I571" s="4"/>
      <c r="J571" s="4"/>
    </row>
    <row r="572" spans="3:10" ht="12.75" customHeight="1">
      <c r="C572" s="4"/>
      <c r="D572" s="4"/>
      <c r="E572" s="4"/>
      <c r="F572" s="4"/>
      <c r="G572" s="4"/>
      <c r="H572" s="4"/>
      <c r="I572" s="4"/>
      <c r="J572" s="4"/>
    </row>
    <row r="573" spans="3:10" ht="12.75" customHeight="1">
      <c r="C573" s="4"/>
      <c r="D573" s="4"/>
      <c r="E573" s="4"/>
      <c r="F573" s="4"/>
      <c r="G573" s="4"/>
      <c r="H573" s="4"/>
      <c r="I573" s="4"/>
      <c r="J573" s="4"/>
    </row>
    <row r="574" spans="3:10" ht="12.75" customHeight="1">
      <c r="C574" s="4"/>
      <c r="D574" s="4"/>
      <c r="E574" s="4"/>
      <c r="F574" s="4"/>
      <c r="G574" s="4"/>
      <c r="H574" s="4"/>
      <c r="I574" s="4"/>
      <c r="J574" s="4"/>
    </row>
    <row r="575" spans="3:10" ht="12.75" customHeight="1">
      <c r="C575" s="4"/>
      <c r="D575" s="4"/>
      <c r="E575" s="4"/>
      <c r="F575" s="4"/>
      <c r="G575" s="4"/>
      <c r="H575" s="4"/>
      <c r="I575" s="4"/>
      <c r="J575" s="4"/>
    </row>
    <row r="576" spans="3:10" ht="12.75" customHeight="1">
      <c r="C576" s="4"/>
      <c r="D576" s="4"/>
      <c r="E576" s="4"/>
      <c r="F576" s="4"/>
      <c r="G576" s="4"/>
      <c r="H576" s="4"/>
      <c r="I576" s="4"/>
      <c r="J576" s="4"/>
    </row>
    <row r="577" spans="3:10" ht="12.75" customHeight="1">
      <c r="C577" s="4"/>
      <c r="D577" s="4"/>
      <c r="E577" s="4"/>
      <c r="F577" s="4"/>
      <c r="G577" s="4"/>
      <c r="H577" s="4"/>
      <c r="I577" s="4"/>
      <c r="J577" s="4"/>
    </row>
    <row r="578" spans="3:10" ht="12.75" customHeight="1">
      <c r="C578" s="4"/>
      <c r="D578" s="4"/>
      <c r="E578" s="4"/>
      <c r="F578" s="4"/>
      <c r="G578" s="4"/>
      <c r="H578" s="4"/>
      <c r="I578" s="4"/>
      <c r="J578" s="4"/>
    </row>
    <row r="579" spans="3:10" ht="12.75" customHeight="1">
      <c r="C579" s="4"/>
      <c r="D579" s="4"/>
      <c r="E579" s="4"/>
      <c r="F579" s="4"/>
      <c r="G579" s="4"/>
      <c r="H579" s="4"/>
      <c r="I579" s="4"/>
      <c r="J579" s="4"/>
    </row>
    <row r="580" spans="3:10" ht="12.75" customHeight="1">
      <c r="C580" s="4"/>
      <c r="D580" s="4"/>
      <c r="E580" s="4"/>
      <c r="F580" s="4"/>
      <c r="G580" s="4"/>
      <c r="H580" s="4"/>
      <c r="I580" s="4"/>
      <c r="J580" s="4"/>
    </row>
    <row r="581" spans="3:10" ht="12.75" customHeight="1">
      <c r="C581" s="4"/>
      <c r="D581" s="4"/>
      <c r="E581" s="4"/>
      <c r="F581" s="4"/>
      <c r="G581" s="4"/>
      <c r="H581" s="4"/>
      <c r="I581" s="4"/>
      <c r="J581" s="4"/>
    </row>
    <row r="582" spans="3:10" ht="12.75" customHeight="1">
      <c r="C582" s="4"/>
      <c r="D582" s="4"/>
      <c r="E582" s="4"/>
      <c r="F582" s="4"/>
      <c r="G582" s="4"/>
      <c r="H582" s="4"/>
      <c r="I582" s="4"/>
      <c r="J582" s="4"/>
    </row>
    <row r="583" spans="3:10" ht="12.75" customHeight="1">
      <c r="C583" s="4"/>
      <c r="D583" s="4"/>
      <c r="E583" s="4"/>
      <c r="F583" s="4"/>
      <c r="G583" s="4"/>
      <c r="H583" s="4"/>
      <c r="I583" s="4"/>
      <c r="J583" s="4"/>
    </row>
    <row r="584" spans="3:10" ht="12.75" customHeight="1">
      <c r="C584" s="4"/>
      <c r="D584" s="4"/>
      <c r="E584" s="4"/>
      <c r="F584" s="4"/>
      <c r="G584" s="4"/>
      <c r="H584" s="4"/>
      <c r="I584" s="4"/>
      <c r="J584" s="4"/>
    </row>
    <row r="585" spans="3:10" ht="12.75" customHeight="1">
      <c r="C585" s="4"/>
      <c r="D585" s="4"/>
      <c r="E585" s="4"/>
      <c r="F585" s="4"/>
      <c r="G585" s="4"/>
      <c r="H585" s="4"/>
      <c r="I585" s="4"/>
      <c r="J585" s="4"/>
    </row>
    <row r="586" spans="3:10" ht="12.75" customHeight="1">
      <c r="C586" s="4"/>
      <c r="D586" s="4"/>
      <c r="E586" s="4"/>
      <c r="F586" s="4"/>
      <c r="G586" s="4"/>
      <c r="H586" s="4"/>
      <c r="I586" s="4"/>
      <c r="J586" s="4"/>
    </row>
    <row r="587" spans="3:10" ht="12.75" customHeight="1">
      <c r="C587" s="4"/>
      <c r="D587" s="4"/>
      <c r="E587" s="4"/>
      <c r="F587" s="4"/>
      <c r="G587" s="4"/>
      <c r="H587" s="4"/>
      <c r="I587" s="4"/>
      <c r="J587" s="4"/>
    </row>
    <row r="588" spans="3:10" ht="12.75" customHeight="1">
      <c r="C588" s="4"/>
      <c r="D588" s="4"/>
      <c r="E588" s="4"/>
      <c r="F588" s="4"/>
      <c r="G588" s="4"/>
      <c r="H588" s="4"/>
      <c r="I588" s="4"/>
      <c r="J588" s="4"/>
    </row>
    <row r="589" spans="3:10" ht="12.75" customHeight="1">
      <c r="C589" s="4"/>
      <c r="D589" s="4"/>
      <c r="E589" s="4"/>
      <c r="F589" s="4"/>
      <c r="G589" s="4"/>
      <c r="H589" s="4"/>
      <c r="I589" s="4"/>
      <c r="J589" s="4"/>
    </row>
    <row r="590" spans="3:10" ht="12.75" customHeight="1">
      <c r="C590" s="4"/>
      <c r="D590" s="4"/>
      <c r="E590" s="4"/>
      <c r="F590" s="4"/>
      <c r="G590" s="4"/>
      <c r="H590" s="4"/>
      <c r="I590" s="4"/>
      <c r="J590" s="4"/>
    </row>
    <row r="591" spans="3:10" ht="12.75" customHeight="1">
      <c r="C591" s="4"/>
      <c r="D591" s="4"/>
      <c r="E591" s="4"/>
      <c r="F591" s="4"/>
      <c r="G591" s="4"/>
      <c r="H591" s="4"/>
      <c r="I591" s="4"/>
      <c r="J591" s="4"/>
    </row>
    <row r="592" spans="3:10" ht="12.75" customHeight="1">
      <c r="C592" s="4"/>
      <c r="D592" s="4"/>
      <c r="E592" s="4"/>
      <c r="F592" s="4"/>
      <c r="G592" s="4"/>
      <c r="H592" s="4"/>
      <c r="I592" s="4"/>
      <c r="J592" s="4"/>
    </row>
    <row r="593" spans="3:10" ht="12.75" customHeight="1">
      <c r="C593" s="4"/>
      <c r="D593" s="4"/>
      <c r="E593" s="4"/>
      <c r="F593" s="4"/>
      <c r="G593" s="4"/>
      <c r="H593" s="4"/>
      <c r="I593" s="4"/>
      <c r="J593" s="4"/>
    </row>
    <row r="594" spans="3:10" ht="12.75" customHeight="1">
      <c r="C594" s="4"/>
      <c r="D594" s="4"/>
      <c r="E594" s="4"/>
      <c r="F594" s="4"/>
      <c r="G594" s="4"/>
      <c r="H594" s="4"/>
      <c r="I594" s="4"/>
      <c r="J594" s="4"/>
    </row>
    <row r="595" spans="3:10" ht="12.75" customHeight="1">
      <c r="C595" s="4"/>
      <c r="D595" s="4"/>
      <c r="E595" s="4"/>
      <c r="F595" s="4"/>
      <c r="G595" s="4"/>
      <c r="H595" s="4"/>
      <c r="I595" s="4"/>
      <c r="J595" s="4"/>
    </row>
    <row r="596" spans="3:10" ht="12.75" customHeight="1">
      <c r="C596" s="4"/>
      <c r="D596" s="4"/>
      <c r="E596" s="4"/>
      <c r="F596" s="4"/>
      <c r="G596" s="4"/>
      <c r="H596" s="4"/>
      <c r="I596" s="4"/>
      <c r="J596" s="4"/>
    </row>
    <row r="597" spans="3:10" ht="12.75" customHeight="1">
      <c r="C597" s="4"/>
      <c r="D597" s="4"/>
      <c r="E597" s="4"/>
      <c r="F597" s="4"/>
      <c r="G597" s="4"/>
      <c r="H597" s="4"/>
      <c r="I597" s="4"/>
      <c r="J597" s="4"/>
    </row>
    <row r="598" spans="3:10" ht="12.75" customHeight="1">
      <c r="C598" s="4"/>
      <c r="D598" s="4"/>
      <c r="E598" s="4"/>
      <c r="F598" s="4"/>
      <c r="G598" s="4"/>
      <c r="H598" s="4"/>
      <c r="I598" s="4"/>
      <c r="J598" s="4"/>
    </row>
    <row r="599" spans="3:10" ht="12.75" customHeight="1">
      <c r="C599" s="4"/>
      <c r="D599" s="4"/>
      <c r="E599" s="4"/>
      <c r="F599" s="4"/>
      <c r="G599" s="4"/>
      <c r="H599" s="4"/>
      <c r="I599" s="4"/>
      <c r="J599" s="4"/>
    </row>
    <row r="600" spans="3:10" ht="12.75" customHeight="1">
      <c r="C600" s="4"/>
      <c r="D600" s="4"/>
      <c r="E600" s="4"/>
      <c r="F600" s="4"/>
      <c r="G600" s="4"/>
      <c r="H600" s="4"/>
      <c r="I600" s="4"/>
      <c r="J600" s="4"/>
    </row>
    <row r="601" spans="3:10" ht="12.75" customHeight="1">
      <c r="C601" s="4"/>
      <c r="D601" s="4"/>
      <c r="E601" s="4"/>
      <c r="F601" s="4"/>
      <c r="G601" s="4"/>
      <c r="H601" s="4"/>
      <c r="I601" s="4"/>
      <c r="J601" s="4"/>
    </row>
    <row r="602" spans="3:10" ht="12.75" customHeight="1">
      <c r="C602" s="4"/>
      <c r="D602" s="4"/>
      <c r="E602" s="4"/>
      <c r="F602" s="4"/>
      <c r="G602" s="4"/>
      <c r="H602" s="4"/>
      <c r="I602" s="4"/>
      <c r="J602" s="4"/>
    </row>
    <row r="603" spans="3:10" ht="12.75" customHeight="1">
      <c r="C603" s="4"/>
      <c r="D603" s="4"/>
      <c r="E603" s="4"/>
      <c r="F603" s="4"/>
      <c r="G603" s="4"/>
      <c r="H603" s="4"/>
      <c r="I603" s="4"/>
      <c r="J603" s="4"/>
    </row>
    <row r="604" spans="3:10" ht="12.75" customHeight="1">
      <c r="C604" s="4"/>
      <c r="D604" s="4"/>
      <c r="E604" s="4"/>
      <c r="F604" s="4"/>
      <c r="G604" s="4"/>
      <c r="H604" s="4"/>
      <c r="I604" s="4"/>
      <c r="J604" s="4"/>
    </row>
    <row r="605" spans="3:10" ht="12.75" customHeight="1">
      <c r="C605" s="4"/>
      <c r="D605" s="4"/>
      <c r="E605" s="4"/>
      <c r="F605" s="4"/>
      <c r="G605" s="4"/>
      <c r="H605" s="4"/>
      <c r="I605" s="4"/>
      <c r="J605" s="4"/>
    </row>
    <row r="606" spans="3:10" ht="12.75" customHeight="1">
      <c r="C606" s="4"/>
      <c r="D606" s="4"/>
      <c r="E606" s="4"/>
      <c r="F606" s="4"/>
      <c r="G606" s="4"/>
      <c r="H606" s="4"/>
      <c r="I606" s="4"/>
      <c r="J606" s="4"/>
    </row>
    <row r="607" spans="3:10" ht="12.75" customHeight="1">
      <c r="C607" s="4"/>
      <c r="D607" s="4"/>
      <c r="E607" s="4"/>
      <c r="F607" s="4"/>
      <c r="G607" s="4"/>
      <c r="H607" s="4"/>
      <c r="I607" s="4"/>
      <c r="J607" s="4"/>
    </row>
    <row r="608" spans="3:10" ht="12.75" customHeight="1">
      <c r="C608" s="4"/>
      <c r="D608" s="4"/>
      <c r="E608" s="4"/>
      <c r="F608" s="4"/>
      <c r="G608" s="4"/>
      <c r="H608" s="4"/>
      <c r="I608" s="4"/>
      <c r="J608" s="4"/>
    </row>
    <row r="609" spans="3:10" ht="12.75" customHeight="1">
      <c r="C609" s="4"/>
      <c r="D609" s="4"/>
      <c r="E609" s="4"/>
      <c r="F609" s="4"/>
      <c r="G609" s="4"/>
      <c r="H609" s="4"/>
      <c r="I609" s="4"/>
      <c r="J609" s="4"/>
    </row>
    <row r="610" spans="3:10" ht="12.75" customHeight="1">
      <c r="C610" s="4"/>
      <c r="D610" s="4"/>
      <c r="E610" s="4"/>
      <c r="F610" s="4"/>
      <c r="G610" s="4"/>
      <c r="H610" s="4"/>
      <c r="I610" s="4"/>
      <c r="J610" s="4"/>
    </row>
    <row r="611" spans="3:10" ht="12.75" customHeight="1">
      <c r="C611" s="4"/>
      <c r="D611" s="4"/>
      <c r="E611" s="4"/>
      <c r="F611" s="4"/>
      <c r="G611" s="4"/>
      <c r="H611" s="4"/>
      <c r="I611" s="4"/>
      <c r="J611" s="4"/>
    </row>
    <row r="612" spans="3:10" ht="12.75" customHeight="1">
      <c r="C612" s="4"/>
      <c r="D612" s="4"/>
      <c r="E612" s="4"/>
      <c r="F612" s="4"/>
      <c r="G612" s="4"/>
      <c r="H612" s="4"/>
      <c r="I612" s="4"/>
      <c r="J612" s="4"/>
    </row>
    <row r="613" spans="3:10" ht="12.75" customHeight="1">
      <c r="C613" s="4"/>
      <c r="D613" s="4"/>
      <c r="E613" s="4"/>
      <c r="F613" s="4"/>
      <c r="G613" s="4"/>
      <c r="H613" s="4"/>
      <c r="I613" s="4"/>
      <c r="J613" s="4"/>
    </row>
    <row r="614" spans="3:10" ht="12.75" customHeight="1">
      <c r="C614" s="4"/>
      <c r="D614" s="4"/>
      <c r="E614" s="4"/>
      <c r="F614" s="4"/>
      <c r="G614" s="4"/>
      <c r="H614" s="4"/>
      <c r="I614" s="4"/>
      <c r="J614" s="4"/>
    </row>
    <row r="615" spans="3:10" ht="12.75" customHeight="1">
      <c r="C615" s="4"/>
      <c r="D615" s="4"/>
      <c r="E615" s="4"/>
      <c r="F615" s="4"/>
      <c r="G615" s="4"/>
      <c r="H615" s="4"/>
      <c r="I615" s="4"/>
      <c r="J615" s="4"/>
    </row>
    <row r="616" spans="3:10" ht="12.75" customHeight="1">
      <c r="C616" s="4"/>
      <c r="D616" s="4"/>
      <c r="E616" s="4"/>
      <c r="F616" s="4"/>
      <c r="G616" s="4"/>
      <c r="H616" s="4"/>
      <c r="I616" s="4"/>
      <c r="J616" s="4"/>
    </row>
    <row r="617" spans="3:10" ht="12.75" customHeight="1">
      <c r="C617" s="4"/>
      <c r="D617" s="4"/>
      <c r="E617" s="4"/>
      <c r="F617" s="4"/>
      <c r="G617" s="4"/>
      <c r="H617" s="4"/>
      <c r="I617" s="4"/>
      <c r="J617" s="4"/>
    </row>
    <row r="618" spans="3:10" ht="12.75" customHeight="1">
      <c r="C618" s="4"/>
      <c r="D618" s="4"/>
      <c r="E618" s="4"/>
      <c r="F618" s="4"/>
      <c r="G618" s="4"/>
      <c r="H618" s="4"/>
      <c r="I618" s="4"/>
      <c r="J618" s="4"/>
    </row>
    <row r="619" spans="3:10" ht="12.75" customHeight="1">
      <c r="C619" s="4"/>
      <c r="D619" s="4"/>
      <c r="E619" s="4"/>
      <c r="F619" s="4"/>
      <c r="G619" s="4"/>
      <c r="H619" s="4"/>
      <c r="I619" s="4"/>
      <c r="J619" s="4"/>
    </row>
    <row r="620" spans="3:10" ht="12.75" customHeight="1">
      <c r="C620" s="4"/>
      <c r="D620" s="4"/>
      <c r="E620" s="4"/>
      <c r="F620" s="4"/>
      <c r="G620" s="4"/>
      <c r="H620" s="4"/>
      <c r="I620" s="4"/>
      <c r="J620" s="4"/>
    </row>
    <row r="621" spans="3:10" ht="12.75" customHeight="1">
      <c r="C621" s="4"/>
      <c r="D621" s="4"/>
      <c r="E621" s="4"/>
      <c r="F621" s="4"/>
      <c r="G621" s="4"/>
      <c r="H621" s="4"/>
      <c r="I621" s="4"/>
      <c r="J621" s="4"/>
    </row>
    <row r="622" spans="3:10" ht="12.75" customHeight="1">
      <c r="C622" s="4"/>
      <c r="D622" s="4"/>
      <c r="E622" s="4"/>
      <c r="F622" s="4"/>
      <c r="G622" s="4"/>
      <c r="H622" s="4"/>
      <c r="I622" s="4"/>
      <c r="J622" s="4"/>
    </row>
    <row r="623" spans="3:10" ht="12.75" customHeight="1">
      <c r="C623" s="4"/>
      <c r="D623" s="4"/>
      <c r="E623" s="4"/>
      <c r="F623" s="4"/>
      <c r="G623" s="4"/>
      <c r="H623" s="4"/>
      <c r="I623" s="4"/>
      <c r="J623" s="4"/>
    </row>
    <row r="624" spans="3:10" ht="12.75" customHeight="1">
      <c r="C624" s="4"/>
      <c r="D624" s="4"/>
      <c r="E624" s="4"/>
      <c r="F624" s="4"/>
      <c r="G624" s="4"/>
      <c r="H624" s="4"/>
      <c r="I624" s="4"/>
      <c r="J624" s="4"/>
    </row>
    <row r="625" spans="3:10" ht="12.75" customHeight="1">
      <c r="C625" s="4"/>
      <c r="D625" s="4"/>
      <c r="E625" s="4"/>
      <c r="F625" s="4"/>
      <c r="G625" s="4"/>
      <c r="H625" s="4"/>
      <c r="I625" s="4"/>
      <c r="J625" s="4"/>
    </row>
    <row r="626" spans="3:10" ht="12.75" customHeight="1">
      <c r="C626" s="4"/>
      <c r="D626" s="4"/>
      <c r="E626" s="4"/>
      <c r="F626" s="4"/>
      <c r="G626" s="4"/>
      <c r="H626" s="4"/>
      <c r="I626" s="4"/>
      <c r="J626" s="4"/>
    </row>
    <row r="627" spans="3:10" ht="12.75" customHeight="1">
      <c r="C627" s="4"/>
      <c r="D627" s="4"/>
      <c r="E627" s="4"/>
      <c r="F627" s="4"/>
      <c r="G627" s="4"/>
      <c r="H627" s="4"/>
      <c r="I627" s="4"/>
      <c r="J627" s="4"/>
    </row>
    <row r="628" spans="3:10" ht="12.75" customHeight="1">
      <c r="C628" s="4"/>
      <c r="D628" s="4"/>
      <c r="E628" s="4"/>
      <c r="F628" s="4"/>
      <c r="G628" s="4"/>
      <c r="H628" s="4"/>
      <c r="I628" s="4"/>
      <c r="J628" s="4"/>
    </row>
    <row r="629" spans="3:10" ht="12.75" customHeight="1">
      <c r="C629" s="4"/>
      <c r="D629" s="4"/>
      <c r="E629" s="4"/>
      <c r="F629" s="4"/>
      <c r="G629" s="4"/>
      <c r="H629" s="4"/>
      <c r="I629" s="4"/>
      <c r="J629" s="4"/>
    </row>
    <row r="630" spans="3:10" ht="12.75" customHeight="1">
      <c r="C630" s="4"/>
      <c r="D630" s="4"/>
      <c r="E630" s="4"/>
      <c r="F630" s="4"/>
      <c r="G630" s="4"/>
      <c r="H630" s="4"/>
      <c r="I630" s="4"/>
      <c r="J630" s="4"/>
    </row>
    <row r="631" spans="3:10" ht="12.75" customHeight="1">
      <c r="C631" s="4"/>
      <c r="D631" s="4"/>
      <c r="E631" s="4"/>
      <c r="F631" s="4"/>
      <c r="G631" s="4"/>
      <c r="H631" s="4"/>
      <c r="I631" s="4"/>
      <c r="J631" s="4"/>
    </row>
    <row r="632" spans="3:10" ht="12.75" customHeight="1">
      <c r="C632" s="4"/>
      <c r="D632" s="4"/>
      <c r="E632" s="4"/>
      <c r="F632" s="4"/>
      <c r="G632" s="4"/>
      <c r="H632" s="4"/>
      <c r="I632" s="4"/>
      <c r="J632" s="4"/>
    </row>
    <row r="633" spans="3:10" ht="12.75" customHeight="1">
      <c r="C633" s="4"/>
      <c r="D633" s="4"/>
      <c r="E633" s="4"/>
      <c r="F633" s="4"/>
      <c r="G633" s="4"/>
      <c r="H633" s="4"/>
      <c r="I633" s="4"/>
      <c r="J633" s="4"/>
    </row>
    <row r="634" spans="3:10" ht="12.75" customHeight="1">
      <c r="C634" s="4"/>
      <c r="D634" s="4"/>
      <c r="E634" s="4"/>
      <c r="F634" s="4"/>
      <c r="G634" s="4"/>
      <c r="H634" s="4"/>
      <c r="I634" s="4"/>
      <c r="J634" s="4"/>
    </row>
    <row r="635" spans="3:10" ht="12.75" customHeight="1">
      <c r="C635" s="4"/>
      <c r="D635" s="4"/>
      <c r="E635" s="4"/>
      <c r="F635" s="4"/>
      <c r="G635" s="4"/>
      <c r="H635" s="4"/>
      <c r="I635" s="4"/>
      <c r="J635" s="4"/>
    </row>
    <row r="636" spans="3:10" ht="12.75" customHeight="1">
      <c r="C636" s="4"/>
      <c r="D636" s="4"/>
      <c r="E636" s="4"/>
      <c r="F636" s="4"/>
      <c r="G636" s="4"/>
      <c r="H636" s="4"/>
      <c r="I636" s="4"/>
      <c r="J636" s="4"/>
    </row>
    <row r="637" spans="3:10" ht="12.75" customHeight="1">
      <c r="C637" s="4"/>
      <c r="D637" s="4"/>
      <c r="E637" s="4"/>
      <c r="F637" s="4"/>
      <c r="G637" s="4"/>
      <c r="H637" s="4"/>
      <c r="I637" s="4"/>
      <c r="J637" s="4"/>
    </row>
    <row r="638" spans="3:10" ht="12.75" customHeight="1">
      <c r="C638" s="4"/>
      <c r="D638" s="4"/>
      <c r="E638" s="4"/>
      <c r="F638" s="4"/>
      <c r="G638" s="4"/>
      <c r="H638" s="4"/>
      <c r="I638" s="4"/>
      <c r="J638" s="4"/>
    </row>
    <row r="639" spans="3:10" ht="12.75" customHeight="1">
      <c r="C639" s="4"/>
      <c r="D639" s="4"/>
      <c r="E639" s="4"/>
      <c r="F639" s="4"/>
      <c r="G639" s="4"/>
      <c r="H639" s="4"/>
      <c r="I639" s="4"/>
      <c r="J639" s="4"/>
    </row>
    <row r="640" spans="3:10" ht="12.75" customHeight="1">
      <c r="C640" s="4"/>
      <c r="D640" s="4"/>
      <c r="E640" s="4"/>
      <c r="F640" s="4"/>
      <c r="G640" s="4"/>
      <c r="H640" s="4"/>
      <c r="I640" s="4"/>
      <c r="J640" s="4"/>
    </row>
    <row r="641" spans="3:10" ht="12.75" customHeight="1">
      <c r="C641" s="4"/>
      <c r="D641" s="4"/>
      <c r="E641" s="4"/>
      <c r="F641" s="4"/>
      <c r="G641" s="4"/>
      <c r="H641" s="4"/>
      <c r="I641" s="4"/>
      <c r="J641" s="4"/>
    </row>
    <row r="642" spans="3:10" ht="12.75" customHeight="1">
      <c r="C642" s="4"/>
      <c r="D642" s="4"/>
      <c r="E642" s="4"/>
      <c r="F642" s="4"/>
      <c r="G642" s="4"/>
      <c r="H642" s="4"/>
      <c r="I642" s="4"/>
      <c r="J642" s="4"/>
    </row>
    <row r="643" spans="3:10" ht="12.75" customHeight="1">
      <c r="C643" s="4"/>
      <c r="D643" s="4"/>
      <c r="E643" s="4"/>
      <c r="F643" s="4"/>
      <c r="G643" s="4"/>
      <c r="H643" s="4"/>
      <c r="I643" s="4"/>
      <c r="J643" s="4"/>
    </row>
    <row r="644" spans="3:10" ht="12.75" customHeight="1">
      <c r="C644" s="4"/>
      <c r="D644" s="4"/>
      <c r="E644" s="4"/>
      <c r="F644" s="4"/>
      <c r="G644" s="4"/>
      <c r="H644" s="4"/>
      <c r="I644" s="4"/>
      <c r="J644" s="4"/>
    </row>
    <row r="645" spans="3:10" ht="12.75" customHeight="1">
      <c r="C645" s="4"/>
      <c r="D645" s="4"/>
      <c r="E645" s="4"/>
      <c r="F645" s="4"/>
      <c r="G645" s="4"/>
      <c r="H645" s="4"/>
      <c r="I645" s="4"/>
      <c r="J645" s="4"/>
    </row>
    <row r="646" spans="3:10" ht="12.75" customHeight="1">
      <c r="C646" s="4"/>
      <c r="D646" s="4"/>
      <c r="E646" s="4"/>
      <c r="F646" s="4"/>
      <c r="G646" s="4"/>
      <c r="H646" s="4"/>
      <c r="I646" s="4"/>
      <c r="J646" s="4"/>
    </row>
    <row r="647" spans="3:10" ht="12.75" customHeight="1">
      <c r="C647" s="4"/>
      <c r="D647" s="4"/>
      <c r="E647" s="4"/>
      <c r="F647" s="4"/>
      <c r="G647" s="4"/>
      <c r="H647" s="4"/>
      <c r="I647" s="4"/>
      <c r="J647" s="4"/>
    </row>
    <row r="648" spans="3:10" ht="12.75" customHeight="1">
      <c r="C648" s="4"/>
      <c r="D648" s="4"/>
      <c r="E648" s="4"/>
      <c r="F648" s="4"/>
      <c r="G648" s="4"/>
      <c r="H648" s="4"/>
      <c r="I648" s="4"/>
      <c r="J648" s="4"/>
    </row>
    <row r="649" spans="3:10" ht="12.75" customHeight="1">
      <c r="C649" s="4"/>
      <c r="D649" s="4"/>
      <c r="E649" s="4"/>
      <c r="F649" s="4"/>
      <c r="G649" s="4"/>
      <c r="H649" s="4"/>
      <c r="I649" s="4"/>
      <c r="J649" s="4"/>
    </row>
    <row r="650" spans="3:10" ht="12.75" customHeight="1">
      <c r="C650" s="4"/>
      <c r="D650" s="4"/>
      <c r="E650" s="4"/>
      <c r="F650" s="4"/>
      <c r="G650" s="4"/>
      <c r="H650" s="4"/>
      <c r="I650" s="4"/>
      <c r="J650" s="4"/>
    </row>
    <row r="651" spans="3:10" ht="12.75" customHeight="1">
      <c r="C651" s="4"/>
      <c r="D651" s="4"/>
      <c r="E651" s="4"/>
      <c r="F651" s="4"/>
      <c r="G651" s="4"/>
      <c r="H651" s="4"/>
      <c r="I651" s="4"/>
      <c r="J651" s="4"/>
    </row>
    <row r="652" spans="3:10" ht="12.75" customHeight="1">
      <c r="C652" s="4"/>
      <c r="D652" s="4"/>
      <c r="E652" s="4"/>
      <c r="F652" s="4"/>
      <c r="G652" s="4"/>
      <c r="H652" s="4"/>
      <c r="I652" s="4"/>
      <c r="J652" s="4"/>
    </row>
    <row r="653" spans="3:10" ht="12.75" customHeight="1">
      <c r="C653" s="4"/>
      <c r="D653" s="4"/>
      <c r="E653" s="4"/>
      <c r="F653" s="4"/>
      <c r="G653" s="4"/>
      <c r="H653" s="4"/>
      <c r="I653" s="4"/>
      <c r="J653" s="4"/>
    </row>
    <row r="654" spans="3:10" ht="12.75" customHeight="1">
      <c r="C654" s="4"/>
      <c r="D654" s="4"/>
      <c r="E654" s="4"/>
      <c r="F654" s="4"/>
      <c r="G654" s="4"/>
      <c r="H654" s="4"/>
      <c r="I654" s="4"/>
      <c r="J654" s="4"/>
    </row>
    <row r="655" spans="3:10" ht="12.75" customHeight="1">
      <c r="C655" s="4"/>
      <c r="D655" s="4"/>
      <c r="E655" s="4"/>
      <c r="F655" s="4"/>
      <c r="G655" s="4"/>
      <c r="H655" s="4"/>
      <c r="I655" s="4"/>
      <c r="J655" s="4"/>
    </row>
    <row r="656" spans="3:10" ht="12.75" customHeight="1">
      <c r="C656" s="4"/>
      <c r="D656" s="4"/>
      <c r="E656" s="4"/>
      <c r="F656" s="4"/>
      <c r="G656" s="4"/>
      <c r="H656" s="4"/>
      <c r="I656" s="4"/>
      <c r="J656" s="4"/>
    </row>
    <row r="657" spans="3:10" ht="12.75" customHeight="1">
      <c r="C657" s="4"/>
      <c r="D657" s="4"/>
      <c r="E657" s="4"/>
      <c r="F657" s="4"/>
      <c r="G657" s="4"/>
      <c r="H657" s="4"/>
      <c r="I657" s="4"/>
      <c r="J657" s="4"/>
    </row>
    <row r="658" spans="3:10" ht="12.75" customHeight="1">
      <c r="C658" s="4"/>
      <c r="D658" s="4"/>
      <c r="E658" s="4"/>
      <c r="F658" s="4"/>
      <c r="G658" s="4"/>
      <c r="H658" s="4"/>
      <c r="I658" s="4"/>
      <c r="J658" s="4"/>
    </row>
    <row r="659" spans="3:10" ht="12.75" customHeight="1">
      <c r="C659" s="4"/>
      <c r="D659" s="4"/>
      <c r="E659" s="4"/>
      <c r="F659" s="4"/>
      <c r="G659" s="4"/>
      <c r="H659" s="4"/>
      <c r="I659" s="4"/>
      <c r="J659" s="4"/>
    </row>
    <row r="660" spans="3:10" ht="12.75" customHeight="1">
      <c r="C660" s="4"/>
      <c r="D660" s="4"/>
      <c r="E660" s="4"/>
      <c r="F660" s="4"/>
      <c r="G660" s="4"/>
      <c r="H660" s="4"/>
      <c r="I660" s="4"/>
      <c r="J660" s="4"/>
    </row>
    <row r="661" spans="3:10" ht="12.75" customHeight="1">
      <c r="C661" s="4"/>
      <c r="D661" s="4"/>
      <c r="E661" s="4"/>
      <c r="F661" s="4"/>
      <c r="G661" s="4"/>
      <c r="H661" s="4"/>
      <c r="I661" s="4"/>
      <c r="J661" s="4"/>
    </row>
    <row r="662" spans="3:10" ht="12.75" customHeight="1">
      <c r="C662" s="4"/>
      <c r="D662" s="4"/>
      <c r="E662" s="4"/>
      <c r="F662" s="4"/>
      <c r="G662" s="4"/>
      <c r="H662" s="4"/>
      <c r="I662" s="4"/>
      <c r="J662" s="4"/>
    </row>
    <row r="663" spans="3:10" ht="12.75" customHeight="1">
      <c r="C663" s="4"/>
      <c r="D663" s="4"/>
      <c r="E663" s="4"/>
      <c r="F663" s="4"/>
      <c r="G663" s="4"/>
      <c r="H663" s="4"/>
      <c r="I663" s="4"/>
      <c r="J663" s="4"/>
    </row>
    <row r="664" spans="3:10" ht="12.75" customHeight="1">
      <c r="C664" s="4"/>
      <c r="D664" s="4"/>
      <c r="E664" s="4"/>
      <c r="F664" s="4"/>
      <c r="G664" s="4"/>
      <c r="H664" s="4"/>
      <c r="I664" s="4"/>
      <c r="J664" s="4"/>
    </row>
    <row r="665" spans="3:10" ht="12.75" customHeight="1">
      <c r="C665" s="4"/>
      <c r="D665" s="4"/>
      <c r="E665" s="4"/>
      <c r="F665" s="4"/>
      <c r="G665" s="4"/>
      <c r="H665" s="4"/>
      <c r="I665" s="4"/>
      <c r="J665" s="4"/>
    </row>
    <row r="666" spans="3:10" ht="12.75" customHeight="1">
      <c r="C666" s="4"/>
      <c r="D666" s="4"/>
      <c r="E666" s="4"/>
      <c r="F666" s="4"/>
      <c r="G666" s="4"/>
      <c r="H666" s="4"/>
      <c r="I666" s="4"/>
      <c r="J666" s="4"/>
    </row>
    <row r="667" spans="3:10" ht="12.75" customHeight="1">
      <c r="C667" s="4"/>
      <c r="D667" s="4"/>
      <c r="E667" s="4"/>
      <c r="F667" s="4"/>
      <c r="G667" s="4"/>
      <c r="H667" s="4"/>
      <c r="I667" s="4"/>
      <c r="J667" s="4"/>
    </row>
    <row r="668" spans="3:10" ht="12.75" customHeight="1">
      <c r="C668" s="4"/>
      <c r="D668" s="4"/>
      <c r="E668" s="4"/>
      <c r="F668" s="4"/>
      <c r="G668" s="4"/>
      <c r="H668" s="4"/>
      <c r="I668" s="4"/>
      <c r="J668" s="4"/>
    </row>
    <row r="669" spans="3:10" ht="12.75" customHeight="1">
      <c r="C669" s="4"/>
      <c r="D669" s="4"/>
      <c r="E669" s="4"/>
      <c r="F669" s="4"/>
      <c r="G669" s="4"/>
      <c r="H669" s="4"/>
      <c r="I669" s="4"/>
      <c r="J669" s="4"/>
    </row>
    <row r="670" spans="3:10" ht="12.75" customHeight="1">
      <c r="C670" s="4"/>
      <c r="D670" s="4"/>
      <c r="E670" s="4"/>
      <c r="F670" s="4"/>
      <c r="G670" s="4"/>
      <c r="H670" s="4"/>
      <c r="I670" s="4"/>
      <c r="J670" s="4"/>
    </row>
    <row r="671" spans="3:10" ht="12.75" customHeight="1">
      <c r="C671" s="4"/>
      <c r="D671" s="4"/>
      <c r="E671" s="4"/>
      <c r="F671" s="4"/>
      <c r="G671" s="4"/>
      <c r="H671" s="4"/>
      <c r="I671" s="4"/>
      <c r="J671" s="4"/>
    </row>
    <row r="672" spans="3:10" ht="12.75" customHeight="1">
      <c r="C672" s="4"/>
      <c r="D672" s="4"/>
      <c r="E672" s="4"/>
      <c r="F672" s="4"/>
      <c r="G672" s="4"/>
      <c r="H672" s="4"/>
      <c r="I672" s="4"/>
      <c r="J672" s="4"/>
    </row>
    <row r="673" spans="3:10" ht="12.75" customHeight="1">
      <c r="C673" s="4"/>
      <c r="D673" s="4"/>
      <c r="E673" s="4"/>
      <c r="F673" s="4"/>
      <c r="G673" s="4"/>
      <c r="H673" s="4"/>
      <c r="I673" s="4"/>
      <c r="J673" s="4"/>
    </row>
    <row r="674" spans="3:10" ht="12.75" customHeight="1">
      <c r="C674" s="4"/>
      <c r="D674" s="4"/>
      <c r="E674" s="4"/>
      <c r="F674" s="4"/>
      <c r="G674" s="4"/>
      <c r="H674" s="4"/>
      <c r="I674" s="4"/>
      <c r="J674" s="4"/>
    </row>
    <row r="675" spans="3:10" ht="12.75" customHeight="1">
      <c r="C675" s="4"/>
      <c r="D675" s="4"/>
      <c r="E675" s="4"/>
      <c r="F675" s="4"/>
      <c r="G675" s="4"/>
      <c r="H675" s="4"/>
      <c r="I675" s="4"/>
      <c r="J675" s="4"/>
    </row>
    <row r="676" spans="3:10" ht="12.75" customHeight="1">
      <c r="C676" s="4"/>
      <c r="D676" s="4"/>
      <c r="E676" s="4"/>
      <c r="F676" s="4"/>
      <c r="G676" s="4"/>
      <c r="H676" s="4"/>
      <c r="I676" s="4"/>
      <c r="J676" s="4"/>
    </row>
    <row r="677" spans="3:10" ht="12.75" customHeight="1">
      <c r="C677" s="4"/>
      <c r="D677" s="4"/>
      <c r="E677" s="4"/>
      <c r="F677" s="4"/>
      <c r="G677" s="4"/>
      <c r="H677" s="4"/>
      <c r="I677" s="4"/>
      <c r="J677" s="4"/>
    </row>
    <row r="678" spans="3:10" ht="12.75" customHeight="1">
      <c r="C678" s="4"/>
      <c r="D678" s="4"/>
      <c r="E678" s="4"/>
      <c r="F678" s="4"/>
      <c r="G678" s="4"/>
      <c r="H678" s="4"/>
      <c r="I678" s="4"/>
      <c r="J678" s="4"/>
    </row>
    <row r="679" spans="3:10" ht="12.75" customHeight="1">
      <c r="C679" s="4"/>
      <c r="D679" s="4"/>
      <c r="E679" s="4"/>
      <c r="F679" s="4"/>
      <c r="G679" s="4"/>
      <c r="H679" s="4"/>
      <c r="I679" s="4"/>
      <c r="J679" s="4"/>
    </row>
    <row r="680" spans="3:10" ht="12.75" customHeight="1">
      <c r="C680" s="4"/>
      <c r="D680" s="4"/>
      <c r="E680" s="4"/>
      <c r="F680" s="4"/>
      <c r="G680" s="4"/>
      <c r="H680" s="4"/>
      <c r="I680" s="4"/>
      <c r="J680" s="4"/>
    </row>
    <row r="681" spans="3:10" ht="12.75" customHeight="1">
      <c r="C681" s="4"/>
      <c r="D681" s="4"/>
      <c r="E681" s="4"/>
      <c r="F681" s="4"/>
      <c r="G681" s="4"/>
      <c r="H681" s="4"/>
      <c r="I681" s="4"/>
      <c r="J681" s="4"/>
    </row>
    <row r="682" spans="3:10" ht="12.75" customHeight="1">
      <c r="C682" s="4"/>
      <c r="D682" s="4"/>
      <c r="E682" s="4"/>
      <c r="F682" s="4"/>
      <c r="G682" s="4"/>
      <c r="H682" s="4"/>
      <c r="I682" s="4"/>
      <c r="J682" s="4"/>
    </row>
    <row r="683" spans="3:10" ht="12.75" customHeight="1">
      <c r="C683" s="4"/>
      <c r="D683" s="4"/>
      <c r="E683" s="4"/>
      <c r="F683" s="4"/>
      <c r="G683" s="4"/>
      <c r="H683" s="4"/>
      <c r="I683" s="4"/>
      <c r="J683" s="4"/>
    </row>
    <row r="684" spans="3:10" ht="12.75" customHeight="1">
      <c r="C684" s="4"/>
      <c r="D684" s="4"/>
      <c r="E684" s="4"/>
      <c r="F684" s="4"/>
      <c r="G684" s="4"/>
      <c r="H684" s="4"/>
      <c r="I684" s="4"/>
      <c r="J684" s="4"/>
    </row>
    <row r="685" spans="3:10" ht="12.75" customHeight="1">
      <c r="C685" s="4"/>
      <c r="D685" s="4"/>
      <c r="E685" s="4"/>
      <c r="F685" s="4"/>
      <c r="G685" s="4"/>
      <c r="H685" s="4"/>
      <c r="I685" s="4"/>
      <c r="J685" s="4"/>
    </row>
    <row r="686" spans="3:10" ht="12.75" customHeight="1">
      <c r="C686" s="4"/>
      <c r="D686" s="4"/>
      <c r="E686" s="4"/>
      <c r="F686" s="4"/>
      <c r="G686" s="4"/>
      <c r="H686" s="4"/>
      <c r="I686" s="4"/>
      <c r="J686" s="4"/>
    </row>
    <row r="687" spans="3:10" ht="12.75" customHeight="1">
      <c r="C687" s="4"/>
      <c r="D687" s="4"/>
      <c r="E687" s="4"/>
      <c r="F687" s="4"/>
      <c r="G687" s="4"/>
      <c r="H687" s="4"/>
      <c r="I687" s="4"/>
      <c r="J687" s="4"/>
    </row>
    <row r="688" spans="3:10" ht="12.75" customHeight="1">
      <c r="C688" s="4"/>
      <c r="D688" s="4"/>
      <c r="E688" s="4"/>
      <c r="F688" s="4"/>
      <c r="G688" s="4"/>
      <c r="H688" s="4"/>
      <c r="I688" s="4"/>
      <c r="J688" s="4"/>
    </row>
    <row r="689" spans="3:10" ht="12.75" customHeight="1">
      <c r="C689" s="4"/>
      <c r="D689" s="4"/>
      <c r="E689" s="4"/>
      <c r="F689" s="4"/>
      <c r="G689" s="4"/>
      <c r="H689" s="4"/>
      <c r="I689" s="4"/>
      <c r="J689" s="4"/>
    </row>
    <row r="690" spans="3:10" ht="12.75" customHeight="1">
      <c r="C690" s="4"/>
      <c r="D690" s="4"/>
      <c r="E690" s="4"/>
      <c r="F690" s="4"/>
      <c r="G690" s="4"/>
      <c r="H690" s="4"/>
      <c r="I690" s="4"/>
      <c r="J690" s="4"/>
    </row>
    <row r="691" spans="3:10" ht="12.75" customHeight="1">
      <c r="C691" s="4"/>
      <c r="D691" s="4"/>
      <c r="E691" s="4"/>
      <c r="F691" s="4"/>
      <c r="G691" s="4"/>
      <c r="H691" s="4"/>
      <c r="I691" s="4"/>
      <c r="J691" s="4"/>
    </row>
    <row r="692" spans="3:10" ht="12.75" customHeight="1">
      <c r="C692" s="4"/>
      <c r="D692" s="4"/>
      <c r="E692" s="4"/>
      <c r="F692" s="4"/>
      <c r="G692" s="4"/>
      <c r="H692" s="4"/>
      <c r="I692" s="4"/>
      <c r="J692" s="4"/>
    </row>
    <row r="693" spans="3:10" ht="12.75" customHeight="1">
      <c r="C693" s="4"/>
      <c r="D693" s="4"/>
      <c r="E693" s="4"/>
      <c r="F693" s="4"/>
      <c r="G693" s="4"/>
      <c r="H693" s="4"/>
      <c r="I693" s="4"/>
      <c r="J693" s="4"/>
    </row>
    <row r="694" spans="3:10" ht="12.75" customHeight="1">
      <c r="C694" s="4"/>
      <c r="D694" s="4"/>
      <c r="E694" s="4"/>
      <c r="F694" s="4"/>
      <c r="G694" s="4"/>
      <c r="H694" s="4"/>
      <c r="I694" s="4"/>
      <c r="J694" s="4"/>
    </row>
    <row r="695" spans="3:10" ht="12.75" customHeight="1">
      <c r="C695" s="4"/>
      <c r="D695" s="4"/>
      <c r="E695" s="4"/>
      <c r="F695" s="4"/>
      <c r="G695" s="4"/>
      <c r="H695" s="4"/>
      <c r="I695" s="4"/>
      <c r="J695" s="4"/>
    </row>
    <row r="696" spans="3:10" ht="12.75" customHeight="1">
      <c r="C696" s="4"/>
      <c r="D696" s="4"/>
      <c r="E696" s="4"/>
      <c r="F696" s="4"/>
      <c r="G696" s="4"/>
      <c r="H696" s="4"/>
      <c r="I696" s="4"/>
      <c r="J696" s="4"/>
    </row>
    <row r="697" spans="3:10" ht="12.75" customHeight="1">
      <c r="C697" s="4"/>
      <c r="D697" s="4"/>
      <c r="E697" s="4"/>
      <c r="F697" s="4"/>
      <c r="G697" s="4"/>
      <c r="H697" s="4"/>
      <c r="I697" s="4"/>
      <c r="J697" s="4"/>
    </row>
    <row r="698" spans="3:10" ht="12.75" customHeight="1">
      <c r="C698" s="4"/>
      <c r="D698" s="4"/>
      <c r="E698" s="4"/>
      <c r="F698" s="4"/>
      <c r="G698" s="4"/>
      <c r="H698" s="4"/>
      <c r="I698" s="4"/>
      <c r="J698" s="4"/>
    </row>
    <row r="699" spans="3:10" ht="12.75" customHeight="1">
      <c r="C699" s="4"/>
      <c r="D699" s="4"/>
      <c r="E699" s="4"/>
      <c r="F699" s="4"/>
      <c r="G699" s="4"/>
      <c r="H699" s="4"/>
      <c r="I699" s="4"/>
      <c r="J699" s="4"/>
    </row>
    <row r="700" spans="3:10" ht="12.75" customHeight="1">
      <c r="C700" s="4"/>
      <c r="D700" s="4"/>
      <c r="E700" s="4"/>
      <c r="F700" s="4"/>
      <c r="G700" s="4"/>
      <c r="H700" s="4"/>
      <c r="I700" s="4"/>
      <c r="J700" s="4"/>
    </row>
    <row r="701" spans="3:10" ht="12.75" customHeight="1">
      <c r="C701" s="4"/>
      <c r="D701" s="4"/>
      <c r="E701" s="4"/>
      <c r="F701" s="4"/>
      <c r="G701" s="4"/>
      <c r="H701" s="4"/>
      <c r="I701" s="4"/>
      <c r="J701" s="4"/>
    </row>
    <row r="702" spans="3:10" ht="12.75" customHeight="1">
      <c r="C702" s="4"/>
      <c r="D702" s="4"/>
      <c r="E702" s="4"/>
      <c r="F702" s="4"/>
      <c r="G702" s="4"/>
      <c r="H702" s="4"/>
      <c r="I702" s="4"/>
      <c r="J702" s="4"/>
    </row>
    <row r="703" spans="3:10" ht="12.75" customHeight="1">
      <c r="C703" s="4"/>
      <c r="D703" s="4"/>
      <c r="E703" s="4"/>
      <c r="F703" s="4"/>
      <c r="G703" s="4"/>
      <c r="H703" s="4"/>
      <c r="I703" s="4"/>
      <c r="J703" s="4"/>
    </row>
    <row r="704" spans="3:10" ht="12.75" customHeight="1">
      <c r="C704" s="4"/>
      <c r="D704" s="4"/>
      <c r="E704" s="4"/>
      <c r="F704" s="4"/>
      <c r="G704" s="4"/>
      <c r="H704" s="4"/>
      <c r="I704" s="4"/>
      <c r="J704" s="4"/>
    </row>
    <row r="705" spans="3:10" ht="12.75" customHeight="1">
      <c r="C705" s="4"/>
      <c r="D705" s="4"/>
      <c r="E705" s="4"/>
      <c r="F705" s="4"/>
      <c r="G705" s="4"/>
      <c r="H705" s="4"/>
      <c r="I705" s="4"/>
      <c r="J705" s="4"/>
    </row>
    <row r="706" spans="3:10" ht="12.75" customHeight="1">
      <c r="C706" s="4"/>
      <c r="D706" s="4"/>
      <c r="E706" s="4"/>
      <c r="F706" s="4"/>
      <c r="G706" s="4"/>
      <c r="H706" s="4"/>
      <c r="I706" s="4"/>
      <c r="J706" s="4"/>
    </row>
    <row r="707" spans="3:10" ht="12.75" customHeight="1">
      <c r="C707" s="4"/>
      <c r="D707" s="4"/>
      <c r="E707" s="4"/>
      <c r="F707" s="4"/>
      <c r="G707" s="4"/>
      <c r="H707" s="4"/>
      <c r="I707" s="4"/>
      <c r="J707" s="4"/>
    </row>
    <row r="708" spans="3:10" ht="12.75" customHeight="1">
      <c r="C708" s="4"/>
      <c r="D708" s="4"/>
      <c r="E708" s="4"/>
      <c r="F708" s="4"/>
      <c r="G708" s="4"/>
      <c r="H708" s="4"/>
      <c r="I708" s="4"/>
      <c r="J708" s="4"/>
    </row>
    <row r="709" spans="3:10" ht="12.75" customHeight="1">
      <c r="C709" s="4"/>
      <c r="D709" s="4"/>
      <c r="E709" s="4"/>
      <c r="F709" s="4"/>
      <c r="G709" s="4"/>
      <c r="H709" s="4"/>
      <c r="I709" s="4"/>
      <c r="J709" s="4"/>
    </row>
    <row r="710" spans="3:10" ht="12.75" customHeight="1">
      <c r="C710" s="4"/>
      <c r="D710" s="4"/>
      <c r="E710" s="4"/>
      <c r="F710" s="4"/>
      <c r="G710" s="4"/>
      <c r="H710" s="4"/>
      <c r="I710" s="4"/>
      <c r="J710" s="4"/>
    </row>
    <row r="711" spans="3:10" ht="12.75" customHeight="1">
      <c r="C711" s="4"/>
      <c r="D711" s="4"/>
      <c r="E711" s="4"/>
      <c r="F711" s="4"/>
      <c r="G711" s="4"/>
      <c r="H711" s="4"/>
      <c r="I711" s="4"/>
      <c r="J711" s="4"/>
    </row>
    <row r="712" spans="3:10" ht="12.75" customHeight="1">
      <c r="C712" s="4"/>
      <c r="D712" s="4"/>
      <c r="E712" s="4"/>
      <c r="F712" s="4"/>
      <c r="G712" s="4"/>
      <c r="H712" s="4"/>
      <c r="I712" s="4"/>
      <c r="J712" s="4"/>
    </row>
    <row r="713" spans="3:10" ht="12.75" customHeight="1">
      <c r="C713" s="4"/>
      <c r="D713" s="4"/>
      <c r="E713" s="4"/>
      <c r="F713" s="4"/>
      <c r="G713" s="4"/>
      <c r="H713" s="4"/>
      <c r="I713" s="4"/>
      <c r="J713" s="4"/>
    </row>
    <row r="714" spans="3:10" ht="12.75" customHeight="1">
      <c r="C714" s="4"/>
      <c r="D714" s="4"/>
      <c r="E714" s="4"/>
      <c r="F714" s="4"/>
      <c r="G714" s="4"/>
      <c r="H714" s="4"/>
      <c r="I714" s="4"/>
      <c r="J714" s="4"/>
    </row>
    <row r="715" spans="3:10" ht="12.75" customHeight="1">
      <c r="C715" s="4"/>
      <c r="D715" s="4"/>
      <c r="E715" s="4"/>
      <c r="F715" s="4"/>
      <c r="G715" s="4"/>
      <c r="H715" s="4"/>
      <c r="I715" s="4"/>
      <c r="J715" s="4"/>
    </row>
    <row r="716" spans="3:10" ht="12.75" customHeight="1">
      <c r="C716" s="4"/>
      <c r="D716" s="4"/>
      <c r="E716" s="4"/>
      <c r="F716" s="4"/>
      <c r="G716" s="4"/>
      <c r="H716" s="4"/>
      <c r="I716" s="4"/>
      <c r="J716" s="4"/>
    </row>
    <row r="717" spans="3:10" ht="12.75" customHeight="1">
      <c r="C717" s="4"/>
      <c r="D717" s="4"/>
      <c r="E717" s="4"/>
      <c r="F717" s="4"/>
      <c r="G717" s="4"/>
      <c r="H717" s="4"/>
      <c r="I717" s="4"/>
      <c r="J717" s="4"/>
    </row>
    <row r="718" spans="3:10" ht="12.75" customHeight="1">
      <c r="C718" s="4"/>
      <c r="D718" s="4"/>
      <c r="E718" s="4"/>
      <c r="F718" s="4"/>
      <c r="G718" s="4"/>
      <c r="H718" s="4"/>
      <c r="I718" s="4"/>
      <c r="J718" s="4"/>
    </row>
    <row r="719" spans="3:10" ht="12.75" customHeight="1">
      <c r="C719" s="4"/>
      <c r="D719" s="4"/>
      <c r="E719" s="4"/>
      <c r="F719" s="4"/>
      <c r="G719" s="4"/>
      <c r="H719" s="4"/>
      <c r="I719" s="4"/>
      <c r="J719" s="4"/>
    </row>
    <row r="720" spans="3:10" ht="12.75" customHeight="1">
      <c r="C720" s="4"/>
      <c r="D720" s="4"/>
      <c r="E720" s="4"/>
      <c r="F720" s="4"/>
      <c r="G720" s="4"/>
      <c r="H720" s="4"/>
      <c r="I720" s="4"/>
      <c r="J720" s="4"/>
    </row>
    <row r="721" spans="3:10" ht="12.75" customHeight="1">
      <c r="C721" s="4"/>
      <c r="D721" s="4"/>
      <c r="E721" s="4"/>
      <c r="F721" s="4"/>
      <c r="G721" s="4"/>
      <c r="H721" s="4"/>
      <c r="I721" s="4"/>
      <c r="J721" s="4"/>
    </row>
    <row r="722" spans="3:10" ht="12.75" customHeight="1">
      <c r="C722" s="4"/>
      <c r="D722" s="4"/>
      <c r="E722" s="4"/>
      <c r="F722" s="4"/>
      <c r="G722" s="4"/>
      <c r="H722" s="4"/>
      <c r="I722" s="4"/>
      <c r="J722" s="4"/>
    </row>
    <row r="723" spans="3:10" ht="12.75" customHeight="1">
      <c r="C723" s="4"/>
      <c r="D723" s="4"/>
      <c r="E723" s="4"/>
      <c r="F723" s="4"/>
      <c r="G723" s="4"/>
      <c r="H723" s="4"/>
      <c r="I723" s="4"/>
      <c r="J723" s="4"/>
    </row>
    <row r="724" spans="3:10" ht="12.75" customHeight="1">
      <c r="C724" s="4"/>
      <c r="D724" s="4"/>
      <c r="E724" s="4"/>
      <c r="F724" s="4"/>
      <c r="G724" s="4"/>
      <c r="H724" s="4"/>
      <c r="I724" s="4"/>
      <c r="J724" s="4"/>
    </row>
    <row r="725" spans="3:10" ht="12.75" customHeight="1">
      <c r="C725" s="4"/>
      <c r="D725" s="4"/>
      <c r="E725" s="4"/>
      <c r="F725" s="4"/>
      <c r="G725" s="4"/>
      <c r="H725" s="4"/>
      <c r="I725" s="4"/>
      <c r="J725" s="4"/>
    </row>
    <row r="726" spans="3:10" ht="12.75" customHeight="1">
      <c r="C726" s="4"/>
      <c r="D726" s="4"/>
      <c r="E726" s="4"/>
      <c r="F726" s="4"/>
      <c r="G726" s="4"/>
      <c r="H726" s="4"/>
      <c r="I726" s="4"/>
      <c r="J726" s="4"/>
    </row>
    <row r="727" spans="3:10" ht="12.75" customHeight="1">
      <c r="C727" s="4"/>
      <c r="D727" s="4"/>
      <c r="E727" s="4"/>
      <c r="F727" s="4"/>
      <c r="G727" s="4"/>
      <c r="H727" s="4"/>
      <c r="I727" s="4"/>
      <c r="J727" s="4"/>
    </row>
    <row r="728" spans="3:10" ht="12.75" customHeight="1">
      <c r="C728" s="4"/>
      <c r="D728" s="4"/>
      <c r="E728" s="4"/>
      <c r="F728" s="4"/>
      <c r="G728" s="4"/>
      <c r="H728" s="4"/>
      <c r="I728" s="4"/>
      <c r="J728" s="4"/>
    </row>
    <row r="729" spans="3:10" ht="12.75" customHeight="1">
      <c r="C729" s="4"/>
      <c r="D729" s="4"/>
      <c r="E729" s="4"/>
      <c r="F729" s="4"/>
      <c r="G729" s="4"/>
      <c r="H729" s="4"/>
      <c r="I729" s="4"/>
      <c r="J729" s="4"/>
    </row>
    <row r="730" spans="3:10" ht="12.75" customHeight="1">
      <c r="C730" s="4"/>
      <c r="D730" s="4"/>
      <c r="E730" s="4"/>
      <c r="F730" s="4"/>
      <c r="G730" s="4"/>
      <c r="H730" s="4"/>
      <c r="I730" s="4"/>
      <c r="J730" s="4"/>
    </row>
    <row r="731" spans="3:10" ht="12.75" customHeight="1">
      <c r="C731" s="4"/>
      <c r="D731" s="4"/>
      <c r="E731" s="4"/>
      <c r="F731" s="4"/>
      <c r="G731" s="4"/>
      <c r="H731" s="4"/>
      <c r="I731" s="4"/>
      <c r="J731" s="4"/>
    </row>
    <row r="732" spans="3:10" ht="12.75" customHeight="1">
      <c r="C732" s="4"/>
      <c r="D732" s="4"/>
      <c r="E732" s="4"/>
      <c r="F732" s="4"/>
      <c r="G732" s="4"/>
      <c r="H732" s="4"/>
      <c r="I732" s="4"/>
      <c r="J732" s="4"/>
    </row>
    <row r="733" spans="3:10" ht="12.75" customHeight="1">
      <c r="C733" s="4"/>
      <c r="D733" s="4"/>
      <c r="E733" s="4"/>
      <c r="F733" s="4"/>
      <c r="G733" s="4"/>
      <c r="H733" s="4"/>
      <c r="I733" s="4"/>
      <c r="J733" s="4"/>
    </row>
    <row r="734" spans="3:10" ht="12.75" customHeight="1">
      <c r="C734" s="4"/>
      <c r="D734" s="4"/>
      <c r="E734" s="4"/>
      <c r="F734" s="4"/>
      <c r="G734" s="4"/>
      <c r="H734" s="4"/>
      <c r="I734" s="4"/>
      <c r="J734" s="4"/>
    </row>
    <row r="735" spans="3:10" ht="12.75" customHeight="1">
      <c r="C735" s="4"/>
      <c r="D735" s="4"/>
      <c r="E735" s="4"/>
      <c r="F735" s="4"/>
      <c r="G735" s="4"/>
      <c r="H735" s="4"/>
      <c r="I735" s="4"/>
      <c r="J735" s="4"/>
    </row>
    <row r="736" spans="3:10" ht="12.75" customHeight="1">
      <c r="C736" s="4"/>
      <c r="D736" s="4"/>
      <c r="E736" s="4"/>
      <c r="F736" s="4"/>
      <c r="G736" s="4"/>
      <c r="H736" s="4"/>
      <c r="I736" s="4"/>
      <c r="J736" s="4"/>
    </row>
    <row r="737" spans="3:10" ht="12.75" customHeight="1">
      <c r="C737" s="4"/>
      <c r="D737" s="4"/>
      <c r="E737" s="4"/>
      <c r="F737" s="4"/>
      <c r="G737" s="4"/>
      <c r="H737" s="4"/>
      <c r="I737" s="4"/>
      <c r="J737" s="4"/>
    </row>
    <row r="738" spans="3:10" ht="12.75" customHeight="1">
      <c r="C738" s="4"/>
      <c r="D738" s="4"/>
      <c r="E738" s="4"/>
      <c r="F738" s="4"/>
      <c r="G738" s="4"/>
      <c r="H738" s="4"/>
      <c r="I738" s="4"/>
      <c r="J738" s="4"/>
    </row>
    <row r="739" spans="3:10" ht="12.75" customHeight="1">
      <c r="C739" s="4"/>
      <c r="D739" s="4"/>
      <c r="E739" s="4"/>
      <c r="F739" s="4"/>
      <c r="G739" s="4"/>
      <c r="H739" s="4"/>
      <c r="I739" s="4"/>
      <c r="J739" s="4"/>
    </row>
    <row r="740" spans="3:10" ht="12.75" customHeight="1">
      <c r="C740" s="4"/>
      <c r="D740" s="4"/>
      <c r="E740" s="4"/>
      <c r="F740" s="4"/>
      <c r="G740" s="4"/>
      <c r="H740" s="4"/>
      <c r="I740" s="4"/>
      <c r="J740" s="4"/>
    </row>
    <row r="741" spans="3:10" ht="12.75" customHeight="1">
      <c r="C741" s="4"/>
      <c r="D741" s="4"/>
      <c r="E741" s="4"/>
      <c r="F741" s="4"/>
      <c r="G741" s="4"/>
      <c r="H741" s="4"/>
      <c r="I741" s="4"/>
      <c r="J741" s="4"/>
    </row>
    <row r="742" spans="3:10" ht="12.75" customHeight="1">
      <c r="C742" s="4"/>
      <c r="D742" s="4"/>
      <c r="E742" s="4"/>
      <c r="F742" s="4"/>
      <c r="G742" s="4"/>
      <c r="H742" s="4"/>
      <c r="I742" s="4"/>
      <c r="J742" s="4"/>
    </row>
    <row r="743" spans="3:10" ht="12.75" customHeight="1">
      <c r="C743" s="4"/>
      <c r="D743" s="4"/>
      <c r="E743" s="4"/>
      <c r="F743" s="4"/>
      <c r="G743" s="4"/>
      <c r="H743" s="4"/>
      <c r="I743" s="4"/>
      <c r="J743" s="4"/>
    </row>
    <row r="744" spans="3:10" ht="12.75" customHeight="1">
      <c r="C744" s="4"/>
      <c r="D744" s="4"/>
      <c r="E744" s="4"/>
      <c r="F744" s="4"/>
      <c r="G744" s="4"/>
      <c r="H744" s="4"/>
      <c r="I744" s="4"/>
      <c r="J744" s="4"/>
    </row>
    <row r="745" spans="3:10" ht="12.75" customHeight="1">
      <c r="C745" s="4"/>
      <c r="D745" s="4"/>
      <c r="E745" s="4"/>
      <c r="F745" s="4"/>
      <c r="G745" s="4"/>
      <c r="H745" s="4"/>
      <c r="I745" s="4"/>
      <c r="J745" s="4"/>
    </row>
    <row r="746" spans="3:10" ht="12.75" customHeight="1">
      <c r="C746" s="4"/>
      <c r="D746" s="4"/>
      <c r="E746" s="4"/>
      <c r="F746" s="4"/>
      <c r="G746" s="4"/>
      <c r="H746" s="4"/>
      <c r="I746" s="4"/>
      <c r="J746" s="4"/>
    </row>
    <row r="747" spans="3:10" ht="12.75" customHeight="1">
      <c r="C747" s="4"/>
      <c r="D747" s="4"/>
      <c r="E747" s="4"/>
      <c r="F747" s="4"/>
      <c r="G747" s="4"/>
      <c r="H747" s="4"/>
      <c r="I747" s="4"/>
      <c r="J747" s="4"/>
    </row>
    <row r="748" spans="3:10" ht="12.75" customHeight="1">
      <c r="C748" s="4"/>
      <c r="D748" s="4"/>
      <c r="E748" s="4"/>
      <c r="F748" s="4"/>
      <c r="G748" s="4"/>
      <c r="H748" s="4"/>
      <c r="I748" s="4"/>
      <c r="J748" s="4"/>
    </row>
    <row r="749" spans="3:10" ht="12.75" customHeight="1">
      <c r="C749" s="4"/>
      <c r="D749" s="4"/>
      <c r="E749" s="4"/>
      <c r="F749" s="4"/>
      <c r="G749" s="4"/>
      <c r="H749" s="4"/>
      <c r="I749" s="4"/>
      <c r="J749" s="4"/>
    </row>
    <row r="750" spans="3:10" ht="12.75" customHeight="1">
      <c r="C750" s="4"/>
      <c r="D750" s="4"/>
      <c r="E750" s="4"/>
      <c r="F750" s="4"/>
      <c r="G750" s="4"/>
      <c r="H750" s="4"/>
      <c r="I750" s="4"/>
      <c r="J750" s="4"/>
    </row>
    <row r="751" spans="3:10" ht="12.75" customHeight="1">
      <c r="C751" s="4"/>
      <c r="D751" s="4"/>
      <c r="E751" s="4"/>
      <c r="F751" s="4"/>
      <c r="G751" s="4"/>
      <c r="H751" s="4"/>
      <c r="I751" s="4"/>
      <c r="J751" s="4"/>
    </row>
    <row r="752" spans="3:10" ht="12.75" customHeight="1">
      <c r="C752" s="4"/>
      <c r="D752" s="4"/>
      <c r="E752" s="4"/>
      <c r="F752" s="4"/>
      <c r="G752" s="4"/>
      <c r="H752" s="4"/>
      <c r="I752" s="4"/>
      <c r="J752" s="4"/>
    </row>
    <row r="753" spans="3:10" ht="12.75" customHeight="1">
      <c r="C753" s="4"/>
      <c r="D753" s="4"/>
      <c r="E753" s="4"/>
      <c r="F753" s="4"/>
      <c r="G753" s="4"/>
      <c r="H753" s="4"/>
      <c r="I753" s="4"/>
      <c r="J753" s="4"/>
    </row>
    <row r="754" spans="3:10" ht="12.75" customHeight="1">
      <c r="C754" s="4"/>
      <c r="D754" s="4"/>
      <c r="E754" s="4"/>
      <c r="F754" s="4"/>
      <c r="G754" s="4"/>
      <c r="H754" s="4"/>
      <c r="I754" s="4"/>
      <c r="J754" s="4"/>
    </row>
    <row r="755" spans="3:10" ht="12.75" customHeight="1">
      <c r="C755" s="4"/>
      <c r="D755" s="4"/>
      <c r="E755" s="4"/>
      <c r="F755" s="4"/>
      <c r="G755" s="4"/>
      <c r="H755" s="4"/>
      <c r="I755" s="4"/>
      <c r="J755" s="4"/>
    </row>
    <row r="756" spans="3:10" ht="12.75" customHeight="1">
      <c r="C756" s="4"/>
      <c r="D756" s="4"/>
      <c r="E756" s="4"/>
      <c r="F756" s="4"/>
      <c r="G756" s="4"/>
      <c r="H756" s="4"/>
      <c r="I756" s="4"/>
      <c r="J756" s="4"/>
    </row>
    <row r="757" spans="3:10" ht="12.75" customHeight="1">
      <c r="C757" s="4"/>
      <c r="D757" s="4"/>
      <c r="E757" s="4"/>
      <c r="F757" s="4"/>
      <c r="G757" s="4"/>
      <c r="H757" s="4"/>
      <c r="I757" s="4"/>
      <c r="J757" s="4"/>
    </row>
    <row r="758" spans="3:10" ht="12.75" customHeight="1">
      <c r="C758" s="4"/>
      <c r="D758" s="4"/>
      <c r="E758" s="4"/>
      <c r="F758" s="4"/>
      <c r="G758" s="4"/>
      <c r="H758" s="4"/>
      <c r="I758" s="4"/>
      <c r="J758" s="4"/>
    </row>
    <row r="759" spans="3:10" ht="12.75" customHeight="1">
      <c r="C759" s="4"/>
      <c r="D759" s="4"/>
      <c r="E759" s="4"/>
      <c r="F759" s="4"/>
      <c r="G759" s="4"/>
      <c r="H759" s="4"/>
      <c r="I759" s="4"/>
      <c r="J759" s="4"/>
    </row>
    <row r="760" spans="3:10" ht="12.75" customHeight="1">
      <c r="C760" s="4"/>
      <c r="D760" s="4"/>
      <c r="E760" s="4"/>
      <c r="F760" s="4"/>
      <c r="G760" s="4"/>
      <c r="H760" s="4"/>
      <c r="I760" s="4"/>
      <c r="J760" s="4"/>
    </row>
    <row r="761" spans="3:10" ht="12.75" customHeight="1">
      <c r="C761" s="4"/>
      <c r="D761" s="4"/>
      <c r="E761" s="4"/>
      <c r="F761" s="4"/>
      <c r="G761" s="4"/>
      <c r="H761" s="4"/>
      <c r="I761" s="4"/>
      <c r="J761" s="4"/>
    </row>
    <row r="762" spans="3:10" ht="12.75" customHeight="1">
      <c r="C762" s="4"/>
      <c r="D762" s="4"/>
      <c r="E762" s="4"/>
      <c r="F762" s="4"/>
      <c r="G762" s="4"/>
      <c r="H762" s="4"/>
      <c r="I762" s="4"/>
      <c r="J762" s="4"/>
    </row>
    <row r="763" spans="3:10" ht="12.75" customHeight="1">
      <c r="C763" s="4"/>
      <c r="D763" s="4"/>
      <c r="E763" s="4"/>
      <c r="F763" s="4"/>
      <c r="G763" s="4"/>
      <c r="H763" s="4"/>
      <c r="I763" s="4"/>
      <c r="J763" s="4"/>
    </row>
    <row r="764" spans="3:10" ht="12.75" customHeight="1">
      <c r="C764" s="4"/>
      <c r="D764" s="4"/>
      <c r="E764" s="4"/>
      <c r="F764" s="4"/>
      <c r="G764" s="4"/>
      <c r="H764" s="4"/>
      <c r="I764" s="4"/>
      <c r="J764" s="4"/>
    </row>
    <row r="765" spans="3:10" ht="12.75" customHeight="1">
      <c r="C765" s="4"/>
      <c r="D765" s="4"/>
      <c r="E765" s="4"/>
      <c r="F765" s="4"/>
      <c r="G765" s="4"/>
      <c r="H765" s="4"/>
      <c r="I765" s="4"/>
      <c r="J765" s="4"/>
    </row>
    <row r="766" spans="3:10" ht="12.75" customHeight="1">
      <c r="C766" s="4"/>
      <c r="D766" s="4"/>
      <c r="E766" s="4"/>
      <c r="F766" s="4"/>
      <c r="G766" s="4"/>
      <c r="H766" s="4"/>
      <c r="I766" s="4"/>
      <c r="J766" s="4"/>
    </row>
    <row r="767" spans="3:10" ht="12.75" customHeight="1">
      <c r="C767" s="4"/>
      <c r="D767" s="4"/>
      <c r="E767" s="4"/>
      <c r="F767" s="4"/>
      <c r="G767" s="4"/>
      <c r="H767" s="4"/>
      <c r="I767" s="4"/>
      <c r="J767" s="4"/>
    </row>
    <row r="768" spans="3:10" ht="12.75" customHeight="1">
      <c r="C768" s="4"/>
      <c r="D768" s="4"/>
      <c r="E768" s="4"/>
      <c r="F768" s="4"/>
      <c r="G768" s="4"/>
      <c r="H768" s="4"/>
      <c r="I768" s="4"/>
      <c r="J768" s="4"/>
    </row>
    <row r="769" spans="3:10" ht="12.75" customHeight="1">
      <c r="C769" s="4"/>
      <c r="D769" s="4"/>
      <c r="E769" s="4"/>
      <c r="F769" s="4"/>
      <c r="G769" s="4"/>
      <c r="H769" s="4"/>
      <c r="I769" s="4"/>
      <c r="J769" s="4"/>
    </row>
    <row r="770" spans="3:10" ht="12.75" customHeight="1">
      <c r="C770" s="4"/>
      <c r="D770" s="4"/>
      <c r="E770" s="4"/>
      <c r="F770" s="4"/>
      <c r="G770" s="4"/>
      <c r="H770" s="4"/>
      <c r="I770" s="4"/>
      <c r="J770" s="4"/>
    </row>
    <row r="771" spans="3:10" ht="12.75" customHeight="1">
      <c r="C771" s="4"/>
      <c r="D771" s="4"/>
      <c r="E771" s="4"/>
      <c r="F771" s="4"/>
      <c r="G771" s="4"/>
      <c r="H771" s="4"/>
      <c r="I771" s="4"/>
      <c r="J771" s="4"/>
    </row>
    <row r="772" spans="3:10" ht="12.75" customHeight="1">
      <c r="C772" s="4"/>
      <c r="D772" s="4"/>
      <c r="E772" s="4"/>
      <c r="F772" s="4"/>
      <c r="G772" s="4"/>
      <c r="H772" s="4"/>
      <c r="I772" s="4"/>
      <c r="J772" s="4"/>
    </row>
    <row r="773" spans="3:10" ht="12.75" customHeight="1">
      <c r="C773" s="4"/>
      <c r="D773" s="4"/>
      <c r="E773" s="4"/>
      <c r="F773" s="4"/>
      <c r="G773" s="4"/>
      <c r="H773" s="4"/>
      <c r="I773" s="4"/>
      <c r="J773" s="4"/>
    </row>
    <row r="774" spans="3:10" ht="12.75" customHeight="1">
      <c r="C774" s="4"/>
      <c r="D774" s="4"/>
      <c r="E774" s="4"/>
      <c r="F774" s="4"/>
      <c r="G774" s="4"/>
      <c r="H774" s="4"/>
      <c r="I774" s="4"/>
      <c r="J774" s="4"/>
    </row>
    <row r="775" spans="3:10" ht="12.75" customHeight="1">
      <c r="C775" s="4"/>
      <c r="D775" s="4"/>
      <c r="E775" s="4"/>
      <c r="F775" s="4"/>
      <c r="G775" s="4"/>
      <c r="H775" s="4"/>
      <c r="I775" s="4"/>
      <c r="J775" s="4"/>
    </row>
    <row r="776" spans="3:10" ht="12.75" customHeight="1">
      <c r="C776" s="4"/>
      <c r="D776" s="4"/>
      <c r="E776" s="4"/>
      <c r="F776" s="4"/>
      <c r="G776" s="4"/>
      <c r="H776" s="4"/>
      <c r="I776" s="4"/>
      <c r="J776" s="4"/>
    </row>
    <row r="777" spans="3:10" ht="12.75" customHeight="1">
      <c r="C777" s="4"/>
      <c r="D777" s="4"/>
      <c r="E777" s="4"/>
      <c r="F777" s="4"/>
      <c r="G777" s="4"/>
      <c r="H777" s="4"/>
      <c r="I777" s="4"/>
      <c r="J777" s="4"/>
    </row>
    <row r="778" spans="3:10" ht="12.75" customHeight="1">
      <c r="C778" s="4"/>
      <c r="D778" s="4"/>
      <c r="E778" s="4"/>
      <c r="F778" s="4"/>
      <c r="G778" s="4"/>
      <c r="H778" s="4"/>
      <c r="I778" s="4"/>
      <c r="J778" s="4"/>
    </row>
    <row r="779" spans="3:10" ht="12.75" customHeight="1">
      <c r="C779" s="4"/>
      <c r="D779" s="4"/>
      <c r="E779" s="4"/>
      <c r="F779" s="4"/>
      <c r="G779" s="4"/>
      <c r="H779" s="4"/>
      <c r="I779" s="4"/>
      <c r="J779" s="4"/>
    </row>
    <row r="780" spans="3:10" ht="12.75" customHeight="1">
      <c r="C780" s="4"/>
      <c r="D780" s="4"/>
      <c r="E780" s="4"/>
      <c r="F780" s="4"/>
      <c r="G780" s="4"/>
      <c r="H780" s="4"/>
      <c r="I780" s="4"/>
      <c r="J780" s="4"/>
    </row>
    <row r="781" spans="3:10" ht="12.75" customHeight="1">
      <c r="C781" s="4"/>
      <c r="D781" s="4"/>
      <c r="E781" s="4"/>
      <c r="F781" s="4"/>
      <c r="G781" s="4"/>
      <c r="H781" s="4"/>
      <c r="I781" s="4"/>
      <c r="J781" s="4"/>
    </row>
    <row r="782" spans="3:10" ht="12.75" customHeight="1">
      <c r="C782" s="4"/>
      <c r="D782" s="4"/>
      <c r="E782" s="4"/>
      <c r="F782" s="4"/>
      <c r="G782" s="4"/>
      <c r="H782" s="4"/>
      <c r="I782" s="4"/>
      <c r="J782" s="4"/>
    </row>
    <row r="783" spans="3:10" ht="12.75" customHeight="1">
      <c r="C783" s="4"/>
      <c r="D783" s="4"/>
      <c r="E783" s="4"/>
      <c r="F783" s="4"/>
      <c r="G783" s="4"/>
      <c r="H783" s="4"/>
      <c r="I783" s="4"/>
      <c r="J783" s="4"/>
    </row>
    <row r="784" spans="3:10" ht="12.75" customHeight="1">
      <c r="C784" s="4"/>
      <c r="D784" s="4"/>
      <c r="E784" s="4"/>
      <c r="F784" s="4"/>
      <c r="G784" s="4"/>
      <c r="H784" s="4"/>
      <c r="I784" s="4"/>
      <c r="J784" s="4"/>
    </row>
    <row r="785" spans="3:10" ht="12.75" customHeight="1">
      <c r="C785" s="4"/>
      <c r="D785" s="4"/>
      <c r="E785" s="4"/>
      <c r="F785" s="4"/>
      <c r="G785" s="4"/>
      <c r="H785" s="4"/>
      <c r="I785" s="4"/>
      <c r="J785" s="4"/>
    </row>
    <row r="786" spans="3:10" ht="12.75" customHeight="1">
      <c r="C786" s="4"/>
      <c r="D786" s="4"/>
      <c r="E786" s="4"/>
      <c r="F786" s="4"/>
      <c r="G786" s="4"/>
      <c r="H786" s="4"/>
      <c r="I786" s="4"/>
      <c r="J786" s="4"/>
    </row>
    <row r="787" spans="3:10" ht="12.75" customHeight="1">
      <c r="C787" s="4"/>
      <c r="D787" s="4"/>
      <c r="E787" s="4"/>
      <c r="F787" s="4"/>
      <c r="G787" s="4"/>
      <c r="H787" s="4"/>
      <c r="I787" s="4"/>
      <c r="J787" s="4"/>
    </row>
    <row r="788" spans="3:10" ht="12.75" customHeight="1">
      <c r="C788" s="4"/>
      <c r="D788" s="4"/>
      <c r="E788" s="4"/>
      <c r="F788" s="4"/>
      <c r="G788" s="4"/>
      <c r="H788" s="4"/>
      <c r="I788" s="4"/>
      <c r="J788" s="4"/>
    </row>
    <row r="789" spans="3:10" ht="12.75" customHeight="1">
      <c r="C789" s="4"/>
      <c r="D789" s="4"/>
      <c r="E789" s="4"/>
      <c r="F789" s="4"/>
      <c r="G789" s="4"/>
      <c r="H789" s="4"/>
      <c r="I789" s="4"/>
      <c r="J789" s="4"/>
    </row>
    <row r="790" spans="3:10" ht="12.75" customHeight="1">
      <c r="C790" s="4"/>
      <c r="D790" s="4"/>
      <c r="E790" s="4"/>
      <c r="F790" s="4"/>
      <c r="G790" s="4"/>
      <c r="H790" s="4"/>
      <c r="I790" s="4"/>
      <c r="J790" s="4"/>
    </row>
    <row r="791" spans="3:10" ht="12.75" customHeight="1">
      <c r="C791" s="4"/>
      <c r="D791" s="4"/>
      <c r="E791" s="4"/>
      <c r="F791" s="4"/>
      <c r="G791" s="4"/>
      <c r="H791" s="4"/>
      <c r="I791" s="4"/>
      <c r="J791" s="4"/>
    </row>
    <row r="792" spans="3:10" ht="12.75" customHeight="1">
      <c r="C792" s="4"/>
      <c r="D792" s="4"/>
      <c r="E792" s="4"/>
      <c r="F792" s="4"/>
      <c r="G792" s="4"/>
      <c r="H792" s="4"/>
      <c r="I792" s="4"/>
      <c r="J792" s="4"/>
    </row>
    <row r="793" spans="3:10" ht="12.75" customHeight="1">
      <c r="C793" s="4"/>
      <c r="D793" s="4"/>
      <c r="E793" s="4"/>
      <c r="F793" s="4"/>
      <c r="G793" s="4"/>
      <c r="H793" s="4"/>
      <c r="I793" s="4"/>
      <c r="J793" s="4"/>
    </row>
    <row r="794" spans="3:10" ht="12.75" customHeight="1">
      <c r="C794" s="4"/>
      <c r="D794" s="4"/>
      <c r="E794" s="4"/>
      <c r="F794" s="4"/>
      <c r="G794" s="4"/>
      <c r="H794" s="4"/>
      <c r="I794" s="4"/>
      <c r="J794" s="4"/>
    </row>
    <row r="795" spans="3:10" ht="12.75" customHeight="1">
      <c r="C795" s="4"/>
      <c r="D795" s="4"/>
      <c r="E795" s="4"/>
      <c r="F795" s="4"/>
      <c r="G795" s="4"/>
      <c r="H795" s="4"/>
      <c r="I795" s="4"/>
      <c r="J795" s="4"/>
    </row>
    <row r="796" spans="3:10" ht="12.75" customHeight="1">
      <c r="C796" s="4"/>
      <c r="D796" s="4"/>
      <c r="E796" s="4"/>
      <c r="F796" s="4"/>
      <c r="G796" s="4"/>
      <c r="H796" s="4"/>
      <c r="I796" s="4"/>
      <c r="J796" s="4"/>
    </row>
    <row r="797" spans="3:10" ht="12.75" customHeight="1">
      <c r="C797" s="4"/>
      <c r="D797" s="4"/>
      <c r="E797" s="4"/>
      <c r="F797" s="4"/>
      <c r="G797" s="4"/>
      <c r="H797" s="4"/>
      <c r="I797" s="4"/>
      <c r="J797" s="4"/>
    </row>
    <row r="798" spans="3:10" ht="12.75" customHeight="1">
      <c r="C798" s="4"/>
      <c r="D798" s="4"/>
      <c r="E798" s="4"/>
      <c r="F798" s="4"/>
      <c r="G798" s="4"/>
      <c r="H798" s="4"/>
      <c r="I798" s="4"/>
      <c r="J798" s="4"/>
    </row>
    <row r="799" spans="3:10" ht="12.75" customHeight="1">
      <c r="C799" s="4"/>
      <c r="D799" s="4"/>
      <c r="E799" s="4"/>
      <c r="F799" s="4"/>
      <c r="G799" s="4"/>
      <c r="H799" s="4"/>
      <c r="I799" s="4"/>
      <c r="J799" s="4"/>
    </row>
    <row r="800" spans="3:10" ht="12.75" customHeight="1">
      <c r="C800" s="4"/>
      <c r="D800" s="4"/>
      <c r="E800" s="4"/>
      <c r="F800" s="4"/>
      <c r="G800" s="4"/>
      <c r="H800" s="4"/>
      <c r="I800" s="4"/>
      <c r="J800" s="4"/>
    </row>
    <row r="801" spans="3:10" ht="12.75" customHeight="1">
      <c r="C801" s="4"/>
      <c r="D801" s="4"/>
      <c r="E801" s="4"/>
      <c r="F801" s="4"/>
      <c r="G801" s="4"/>
      <c r="H801" s="4"/>
      <c r="I801" s="4"/>
      <c r="J801" s="4"/>
    </row>
    <row r="802" spans="3:10" ht="12.75" customHeight="1">
      <c r="C802" s="4"/>
      <c r="D802" s="4"/>
      <c r="E802" s="4"/>
      <c r="F802" s="4"/>
      <c r="G802" s="4"/>
      <c r="H802" s="4"/>
      <c r="I802" s="4"/>
      <c r="J802" s="4"/>
    </row>
    <row r="803" spans="3:10" ht="12.75" customHeight="1">
      <c r="C803" s="4"/>
      <c r="D803" s="4"/>
      <c r="E803" s="4"/>
      <c r="F803" s="4"/>
      <c r="G803" s="4"/>
      <c r="H803" s="4"/>
      <c r="I803" s="4"/>
      <c r="J803" s="4"/>
    </row>
    <row r="804" spans="3:10" ht="12.75" customHeight="1">
      <c r="C804" s="4"/>
      <c r="D804" s="4"/>
      <c r="E804" s="4"/>
      <c r="F804" s="4"/>
      <c r="G804" s="4"/>
      <c r="H804" s="4"/>
      <c r="I804" s="4"/>
      <c r="J804" s="4"/>
    </row>
    <row r="805" spans="3:10" ht="12.75" customHeight="1">
      <c r="C805" s="4"/>
      <c r="D805" s="4"/>
      <c r="E805" s="4"/>
      <c r="F805" s="4"/>
      <c r="G805" s="4"/>
      <c r="H805" s="4"/>
      <c r="I805" s="4"/>
      <c r="J805" s="4"/>
    </row>
    <row r="806" spans="3:10" ht="12.75" customHeight="1">
      <c r="C806" s="4"/>
      <c r="D806" s="4"/>
      <c r="E806" s="4"/>
      <c r="F806" s="4"/>
      <c r="G806" s="4"/>
      <c r="H806" s="4"/>
      <c r="I806" s="4"/>
      <c r="J806" s="4"/>
    </row>
    <row r="807" spans="3:10" ht="12.75" customHeight="1">
      <c r="C807" s="4"/>
      <c r="D807" s="4"/>
      <c r="E807" s="4"/>
      <c r="F807" s="4"/>
      <c r="G807" s="4"/>
      <c r="H807" s="4"/>
      <c r="I807" s="4"/>
      <c r="J807" s="4"/>
    </row>
    <row r="808" spans="3:10" ht="12.75" customHeight="1">
      <c r="C808" s="4"/>
      <c r="D808" s="4"/>
      <c r="E808" s="4"/>
      <c r="F808" s="4"/>
      <c r="G808" s="4"/>
      <c r="H808" s="4"/>
      <c r="I808" s="4"/>
      <c r="J808" s="4"/>
    </row>
    <row r="809" spans="3:10" ht="12.75" customHeight="1">
      <c r="C809" s="4"/>
      <c r="D809" s="4"/>
      <c r="E809" s="4"/>
      <c r="F809" s="4"/>
      <c r="G809" s="4"/>
      <c r="H809" s="4"/>
      <c r="I809" s="4"/>
      <c r="J809" s="4"/>
    </row>
    <row r="810" spans="3:10" ht="12.75" customHeight="1">
      <c r="C810" s="4"/>
      <c r="D810" s="4"/>
      <c r="E810" s="4"/>
      <c r="F810" s="4"/>
      <c r="G810" s="4"/>
      <c r="H810" s="4"/>
      <c r="I810" s="4"/>
      <c r="J810" s="4"/>
    </row>
    <row r="811" spans="3:10" ht="12.75" customHeight="1">
      <c r="C811" s="4"/>
      <c r="D811" s="4"/>
      <c r="E811" s="4"/>
      <c r="F811" s="4"/>
      <c r="G811" s="4"/>
      <c r="H811" s="4"/>
      <c r="I811" s="4"/>
      <c r="J811" s="4"/>
    </row>
    <row r="812" spans="3:10" ht="12.75" customHeight="1">
      <c r="C812" s="4"/>
      <c r="D812" s="4"/>
      <c r="E812" s="4"/>
      <c r="F812" s="4"/>
      <c r="G812" s="4"/>
      <c r="H812" s="4"/>
      <c r="I812" s="4"/>
      <c r="J812" s="4"/>
    </row>
    <row r="813" spans="3:10" ht="12.75" customHeight="1">
      <c r="C813" s="4"/>
      <c r="D813" s="4"/>
      <c r="E813" s="4"/>
      <c r="F813" s="4"/>
      <c r="G813" s="4"/>
      <c r="H813" s="4"/>
      <c r="I813" s="4"/>
      <c r="J813" s="4"/>
    </row>
    <row r="814" spans="3:10" ht="12.75" customHeight="1">
      <c r="C814" s="4"/>
      <c r="D814" s="4"/>
      <c r="E814" s="4"/>
      <c r="F814" s="4"/>
      <c r="G814" s="4"/>
      <c r="H814" s="4"/>
      <c r="I814" s="4"/>
      <c r="J814" s="4"/>
    </row>
    <row r="815" spans="3:10" ht="12.75" customHeight="1">
      <c r="C815" s="4"/>
      <c r="D815" s="4"/>
      <c r="E815" s="4"/>
      <c r="F815" s="4"/>
      <c r="G815" s="4"/>
      <c r="H815" s="4"/>
      <c r="I815" s="4"/>
      <c r="J815" s="4"/>
    </row>
    <row r="816" spans="3:10" ht="12.75" customHeight="1">
      <c r="C816" s="4"/>
      <c r="D816" s="4"/>
      <c r="E816" s="4"/>
      <c r="F816" s="4"/>
      <c r="G816" s="4"/>
      <c r="H816" s="4"/>
      <c r="I816" s="4"/>
      <c r="J816" s="4"/>
    </row>
    <row r="817" spans="3:10" ht="12.75" customHeight="1">
      <c r="C817" s="4"/>
      <c r="D817" s="4"/>
      <c r="E817" s="4"/>
      <c r="F817" s="4"/>
      <c r="G817" s="4"/>
      <c r="H817" s="4"/>
      <c r="I817" s="4"/>
      <c r="J817" s="4"/>
    </row>
    <row r="818" spans="3:10" ht="12.75" customHeight="1">
      <c r="C818" s="4"/>
      <c r="D818" s="4"/>
      <c r="E818" s="4"/>
      <c r="F818" s="4"/>
      <c r="G818" s="4"/>
      <c r="H818" s="4"/>
      <c r="I818" s="4"/>
      <c r="J818" s="4"/>
    </row>
    <row r="819" spans="3:10" ht="12.75" customHeight="1">
      <c r="C819" s="4"/>
      <c r="D819" s="4"/>
      <c r="E819" s="4"/>
      <c r="F819" s="4"/>
      <c r="G819" s="4"/>
      <c r="H819" s="4"/>
      <c r="I819" s="4"/>
      <c r="J819" s="4"/>
    </row>
    <row r="820" spans="3:10" ht="12.75" customHeight="1">
      <c r="C820" s="4"/>
      <c r="D820" s="4"/>
      <c r="E820" s="4"/>
      <c r="F820" s="4"/>
      <c r="G820" s="4"/>
      <c r="H820" s="4"/>
      <c r="I820" s="4"/>
      <c r="J820" s="4"/>
    </row>
    <row r="821" spans="3:10" ht="12.75" customHeight="1">
      <c r="C821" s="4"/>
      <c r="D821" s="4"/>
      <c r="E821" s="4"/>
      <c r="F821" s="4"/>
      <c r="G821" s="4"/>
      <c r="H821" s="4"/>
      <c r="I821" s="4"/>
      <c r="J821" s="4"/>
    </row>
    <row r="822" spans="3:10" ht="12.75" customHeight="1">
      <c r="C822" s="4"/>
      <c r="D822" s="4"/>
      <c r="E822" s="4"/>
      <c r="F822" s="4"/>
      <c r="G822" s="4"/>
      <c r="H822" s="4"/>
      <c r="I822" s="4"/>
      <c r="J822" s="4"/>
    </row>
    <row r="823" spans="3:10" ht="12.75" customHeight="1">
      <c r="C823" s="4"/>
      <c r="D823" s="4"/>
      <c r="E823" s="4"/>
      <c r="F823" s="4"/>
      <c r="G823" s="4"/>
      <c r="H823" s="4"/>
      <c r="I823" s="4"/>
      <c r="J823" s="4"/>
    </row>
    <row r="824" spans="3:10" ht="12.75" customHeight="1">
      <c r="C824" s="4"/>
      <c r="D824" s="4"/>
      <c r="E824" s="4"/>
      <c r="F824" s="4"/>
      <c r="G824" s="4"/>
      <c r="H824" s="4"/>
      <c r="I824" s="4"/>
      <c r="J824" s="4"/>
    </row>
    <row r="825" spans="3:10" ht="12.75" customHeight="1">
      <c r="C825" s="4"/>
      <c r="D825" s="4"/>
      <c r="E825" s="4"/>
      <c r="F825" s="4"/>
      <c r="G825" s="4"/>
      <c r="H825" s="4"/>
      <c r="I825" s="4"/>
      <c r="J825" s="4"/>
    </row>
    <row r="826" spans="3:10" ht="12.75" customHeight="1">
      <c r="C826" s="4"/>
      <c r="D826" s="4"/>
      <c r="E826" s="4"/>
      <c r="F826" s="4"/>
      <c r="G826" s="4"/>
      <c r="H826" s="4"/>
      <c r="I826" s="4"/>
      <c r="J826" s="4"/>
    </row>
    <row r="827" spans="3:10" ht="12.75" customHeight="1">
      <c r="C827" s="4"/>
      <c r="D827" s="4"/>
      <c r="E827" s="4"/>
      <c r="F827" s="4"/>
      <c r="G827" s="4"/>
      <c r="H827" s="4"/>
      <c r="I827" s="4"/>
      <c r="J827" s="4"/>
    </row>
    <row r="828" spans="3:10" ht="12.75" customHeight="1">
      <c r="C828" s="4"/>
      <c r="D828" s="4"/>
      <c r="E828" s="4"/>
      <c r="F828" s="4"/>
      <c r="G828" s="4"/>
      <c r="H828" s="4"/>
      <c r="I828" s="4"/>
      <c r="J828" s="4"/>
    </row>
    <row r="829" spans="3:10" ht="12.75" customHeight="1">
      <c r="C829" s="4"/>
      <c r="D829" s="4"/>
      <c r="E829" s="4"/>
      <c r="F829" s="4"/>
      <c r="G829" s="4"/>
      <c r="H829" s="4"/>
      <c r="I829" s="4"/>
      <c r="J829" s="4"/>
    </row>
    <row r="830" spans="3:10" ht="12.75" customHeight="1">
      <c r="C830" s="4"/>
      <c r="D830" s="4"/>
      <c r="E830" s="4"/>
      <c r="F830" s="4"/>
      <c r="G830" s="4"/>
      <c r="H830" s="4"/>
      <c r="I830" s="4"/>
      <c r="J830" s="4"/>
    </row>
    <row r="831" spans="3:10" ht="12.75" customHeight="1">
      <c r="C831" s="4"/>
      <c r="D831" s="4"/>
      <c r="E831" s="4"/>
      <c r="F831" s="4"/>
      <c r="G831" s="4"/>
      <c r="H831" s="4"/>
      <c r="I831" s="4"/>
      <c r="J831" s="4"/>
    </row>
    <row r="832" spans="3:10" ht="12.75" customHeight="1">
      <c r="C832" s="4"/>
      <c r="D832" s="4"/>
      <c r="E832" s="4"/>
      <c r="F832" s="4"/>
      <c r="G832" s="4"/>
      <c r="H832" s="4"/>
      <c r="I832" s="4"/>
      <c r="J832" s="4"/>
    </row>
    <row r="833" spans="3:10" ht="12.75" customHeight="1">
      <c r="C833" s="4"/>
      <c r="D833" s="4"/>
      <c r="E833" s="4"/>
      <c r="F833" s="4"/>
      <c r="G833" s="4"/>
      <c r="H833" s="4"/>
      <c r="I833" s="4"/>
      <c r="J833" s="4"/>
    </row>
    <row r="834" spans="3:10" ht="12.75" customHeight="1">
      <c r="C834" s="4"/>
      <c r="D834" s="4"/>
      <c r="E834" s="4"/>
      <c r="F834" s="4"/>
      <c r="G834" s="4"/>
      <c r="H834" s="4"/>
      <c r="I834" s="4"/>
      <c r="J834" s="4"/>
    </row>
    <row r="835" spans="3:10" ht="12.75" customHeight="1">
      <c r="C835" s="4"/>
      <c r="D835" s="4"/>
      <c r="E835" s="4"/>
      <c r="F835" s="4"/>
      <c r="G835" s="4"/>
      <c r="H835" s="4"/>
      <c r="I835" s="4"/>
      <c r="J835" s="4"/>
    </row>
    <row r="836" spans="3:10" ht="12.75" customHeight="1">
      <c r="C836" s="4"/>
      <c r="D836" s="4"/>
      <c r="E836" s="4"/>
      <c r="F836" s="4"/>
      <c r="G836" s="4"/>
      <c r="H836" s="4"/>
      <c r="I836" s="4"/>
      <c r="J836" s="4"/>
    </row>
    <row r="837" spans="3:10" ht="12.75" customHeight="1">
      <c r="C837" s="4"/>
      <c r="D837" s="4"/>
      <c r="E837" s="4"/>
      <c r="F837" s="4"/>
      <c r="G837" s="4"/>
      <c r="H837" s="4"/>
      <c r="I837" s="4"/>
      <c r="J837" s="4"/>
    </row>
    <row r="838" spans="3:10" ht="12.75" customHeight="1">
      <c r="C838" s="4"/>
      <c r="D838" s="4"/>
      <c r="E838" s="4"/>
      <c r="F838" s="4"/>
      <c r="G838" s="4"/>
      <c r="H838" s="4"/>
      <c r="I838" s="4"/>
      <c r="J838" s="4"/>
    </row>
    <row r="839" spans="3:10" ht="12.75" customHeight="1">
      <c r="C839" s="4"/>
      <c r="D839" s="4"/>
      <c r="E839" s="4"/>
      <c r="F839" s="4"/>
      <c r="G839" s="4"/>
      <c r="H839" s="4"/>
      <c r="I839" s="4"/>
      <c r="J839" s="4"/>
    </row>
    <row r="840" spans="3:10" ht="12.75" customHeight="1">
      <c r="C840" s="4"/>
      <c r="D840" s="4"/>
      <c r="E840" s="4"/>
      <c r="F840" s="4"/>
      <c r="G840" s="4"/>
      <c r="H840" s="4"/>
      <c r="I840" s="4"/>
      <c r="J840" s="4"/>
    </row>
    <row r="841" spans="3:10" ht="12.75" customHeight="1">
      <c r="C841" s="4"/>
      <c r="D841" s="4"/>
      <c r="E841" s="4"/>
      <c r="F841" s="4"/>
      <c r="G841" s="4"/>
      <c r="H841" s="4"/>
      <c r="I841" s="4"/>
      <c r="J841" s="4"/>
    </row>
    <row r="842" spans="3:10" ht="12.75" customHeight="1">
      <c r="C842" s="4"/>
      <c r="D842" s="4"/>
      <c r="E842" s="4"/>
      <c r="F842" s="4"/>
      <c r="G842" s="4"/>
      <c r="H842" s="4"/>
      <c r="I842" s="4"/>
      <c r="J842" s="4"/>
    </row>
    <row r="843" spans="3:10" ht="12.75" customHeight="1">
      <c r="C843" s="4"/>
      <c r="D843" s="4"/>
      <c r="E843" s="4"/>
      <c r="F843" s="4"/>
      <c r="G843" s="4"/>
      <c r="H843" s="4"/>
      <c r="I843" s="4"/>
      <c r="J843" s="4"/>
    </row>
    <row r="844" spans="3:10" ht="12.75" customHeight="1">
      <c r="C844" s="4"/>
      <c r="D844" s="4"/>
      <c r="E844" s="4"/>
      <c r="F844" s="4"/>
      <c r="G844" s="4"/>
      <c r="H844" s="4"/>
      <c r="I844" s="4"/>
      <c r="J844" s="4"/>
    </row>
    <row r="845" spans="3:10" ht="12.75" customHeight="1">
      <c r="C845" s="4"/>
      <c r="D845" s="4"/>
      <c r="E845" s="4"/>
      <c r="F845" s="4"/>
      <c r="G845" s="4"/>
      <c r="H845" s="4"/>
      <c r="I845" s="4"/>
      <c r="J845" s="4"/>
    </row>
    <row r="846" spans="3:10" ht="12.75" customHeight="1">
      <c r="C846" s="4"/>
      <c r="D846" s="4"/>
      <c r="E846" s="4"/>
      <c r="F846" s="4"/>
      <c r="G846" s="4"/>
      <c r="H846" s="4"/>
      <c r="I846" s="4"/>
      <c r="J846" s="4"/>
    </row>
    <row r="847" spans="3:10" ht="12.75" customHeight="1">
      <c r="C847" s="4"/>
      <c r="D847" s="4"/>
      <c r="E847" s="4"/>
      <c r="F847" s="4"/>
      <c r="G847" s="4"/>
      <c r="H847" s="4"/>
      <c r="I847" s="4"/>
      <c r="J847" s="4"/>
    </row>
    <row r="848" spans="3:10" ht="12.75" customHeight="1">
      <c r="C848" s="4"/>
      <c r="D848" s="4"/>
      <c r="E848" s="4"/>
      <c r="F848" s="4"/>
      <c r="G848" s="4"/>
      <c r="H848" s="4"/>
      <c r="I848" s="4"/>
      <c r="J848" s="4"/>
    </row>
    <row r="849" spans="3:10" ht="12.75" customHeight="1">
      <c r="C849" s="4"/>
      <c r="D849" s="4"/>
      <c r="E849" s="4"/>
      <c r="F849" s="4"/>
      <c r="G849" s="4"/>
      <c r="H849" s="4"/>
      <c r="I849" s="4"/>
      <c r="J849" s="4"/>
    </row>
    <row r="850" spans="3:10" ht="12.75" customHeight="1">
      <c r="C850" s="4"/>
      <c r="D850" s="4"/>
      <c r="E850" s="4"/>
      <c r="F850" s="4"/>
      <c r="G850" s="4"/>
      <c r="H850" s="4"/>
      <c r="I850" s="4"/>
      <c r="J850" s="4"/>
    </row>
    <row r="851" spans="3:10" ht="12.75" customHeight="1">
      <c r="C851" s="4"/>
      <c r="D851" s="4"/>
      <c r="E851" s="4"/>
      <c r="F851" s="4"/>
      <c r="G851" s="4"/>
      <c r="H851" s="4"/>
      <c r="I851" s="4"/>
      <c r="J851" s="4"/>
    </row>
    <row r="852" spans="3:10" ht="12.75" customHeight="1">
      <c r="C852" s="4"/>
      <c r="D852" s="4"/>
      <c r="E852" s="4"/>
      <c r="F852" s="4"/>
      <c r="G852" s="4"/>
      <c r="H852" s="4"/>
      <c r="I852" s="4"/>
      <c r="J852" s="4"/>
    </row>
    <row r="853" spans="3:10" ht="12.75" customHeight="1">
      <c r="C853" s="4"/>
      <c r="D853" s="4"/>
      <c r="E853" s="4"/>
      <c r="F853" s="4"/>
      <c r="G853" s="4"/>
      <c r="H853" s="4"/>
      <c r="I853" s="4"/>
      <c r="J853" s="4"/>
    </row>
    <row r="854" spans="3:10" ht="12.75" customHeight="1">
      <c r="C854" s="4"/>
      <c r="D854" s="4"/>
      <c r="E854" s="4"/>
      <c r="F854" s="4"/>
      <c r="G854" s="4"/>
      <c r="H854" s="4"/>
      <c r="I854" s="4"/>
      <c r="J854" s="4"/>
    </row>
    <row r="855" spans="3:10" ht="12.75" customHeight="1">
      <c r="C855" s="4"/>
      <c r="D855" s="4"/>
      <c r="E855" s="4"/>
      <c r="F855" s="4"/>
      <c r="G855" s="4"/>
      <c r="H855" s="4"/>
      <c r="I855" s="4"/>
      <c r="J855" s="4"/>
    </row>
    <row r="856" spans="3:10" ht="12.75" customHeight="1">
      <c r="C856" s="4"/>
      <c r="D856" s="4"/>
      <c r="E856" s="4"/>
      <c r="F856" s="4"/>
      <c r="G856" s="4"/>
      <c r="H856" s="4"/>
      <c r="I856" s="4"/>
      <c r="J856" s="4"/>
    </row>
    <row r="857" spans="3:10" ht="12.75" customHeight="1">
      <c r="C857" s="4"/>
      <c r="D857" s="4"/>
      <c r="E857" s="4"/>
      <c r="F857" s="4"/>
      <c r="G857" s="4"/>
      <c r="H857" s="4"/>
      <c r="I857" s="4"/>
      <c r="J857" s="4"/>
    </row>
    <row r="858" spans="3:10" ht="12.75" customHeight="1">
      <c r="C858" s="4"/>
      <c r="D858" s="4"/>
      <c r="E858" s="4"/>
      <c r="F858" s="4"/>
      <c r="G858" s="4"/>
      <c r="H858" s="4"/>
      <c r="I858" s="4"/>
      <c r="J858" s="4"/>
    </row>
    <row r="859" spans="3:10" ht="12.75" customHeight="1">
      <c r="C859" s="4"/>
      <c r="D859" s="4"/>
      <c r="E859" s="4"/>
      <c r="F859" s="4"/>
      <c r="G859" s="4"/>
      <c r="H859" s="4"/>
      <c r="I859" s="4"/>
      <c r="J859" s="4"/>
    </row>
    <row r="860" spans="3:10" ht="12.75" customHeight="1">
      <c r="C860" s="4"/>
      <c r="D860" s="4"/>
      <c r="E860" s="4"/>
      <c r="F860" s="4"/>
      <c r="G860" s="4"/>
      <c r="H860" s="4"/>
      <c r="I860" s="4"/>
      <c r="J860" s="4"/>
    </row>
    <row r="861" spans="3:10" ht="12.75" customHeight="1">
      <c r="C861" s="4"/>
      <c r="D861" s="4"/>
      <c r="E861" s="4"/>
      <c r="F861" s="4"/>
      <c r="G861" s="4"/>
      <c r="H861" s="4"/>
      <c r="I861" s="4"/>
      <c r="J861" s="4"/>
    </row>
    <row r="862" spans="3:10" ht="12.75" customHeight="1">
      <c r="C862" s="4"/>
      <c r="D862" s="4"/>
      <c r="E862" s="4"/>
      <c r="F862" s="4"/>
      <c r="G862" s="4"/>
      <c r="H862" s="4"/>
      <c r="I862" s="4"/>
      <c r="J862" s="4"/>
    </row>
    <row r="863" spans="3:10" ht="12.75" customHeight="1">
      <c r="C863" s="4"/>
      <c r="D863" s="4"/>
      <c r="E863" s="4"/>
      <c r="F863" s="4"/>
      <c r="G863" s="4"/>
      <c r="H863" s="4"/>
      <c r="I863" s="4"/>
      <c r="J863" s="4"/>
    </row>
    <row r="864" spans="3:10" ht="12.75" customHeight="1">
      <c r="C864" s="4"/>
      <c r="D864" s="4"/>
      <c r="E864" s="4"/>
      <c r="F864" s="4"/>
      <c r="G864" s="4"/>
      <c r="H864" s="4"/>
      <c r="I864" s="4"/>
      <c r="J864" s="4"/>
    </row>
    <row r="865" spans="3:10" ht="12.75" customHeight="1">
      <c r="C865" s="4"/>
      <c r="D865" s="4"/>
      <c r="E865" s="4"/>
      <c r="F865" s="4"/>
      <c r="G865" s="4"/>
      <c r="H865" s="4"/>
      <c r="I865" s="4"/>
      <c r="J865" s="4"/>
    </row>
    <row r="866" spans="3:10" ht="12.75" customHeight="1">
      <c r="C866" s="4"/>
      <c r="D866" s="4"/>
      <c r="E866" s="4"/>
      <c r="F866" s="4"/>
      <c r="G866" s="4"/>
      <c r="H866" s="4"/>
      <c r="I866" s="4"/>
      <c r="J866" s="4"/>
    </row>
    <row r="867" spans="3:10" ht="12.75" customHeight="1">
      <c r="C867" s="4"/>
      <c r="D867" s="4"/>
      <c r="E867" s="4"/>
      <c r="F867" s="4"/>
      <c r="G867" s="4"/>
      <c r="H867" s="4"/>
      <c r="I867" s="4"/>
      <c r="J867" s="4"/>
    </row>
    <row r="868" spans="3:10" ht="12.75" customHeight="1">
      <c r="C868" s="4"/>
      <c r="D868" s="4"/>
      <c r="E868" s="4"/>
      <c r="F868" s="4"/>
      <c r="G868" s="4"/>
      <c r="H868" s="4"/>
      <c r="I868" s="4"/>
      <c r="J868" s="4"/>
    </row>
    <row r="869" spans="3:10" ht="12.75" customHeight="1">
      <c r="C869" s="4"/>
      <c r="D869" s="4"/>
      <c r="E869" s="4"/>
      <c r="F869" s="4"/>
      <c r="G869" s="4"/>
      <c r="H869" s="4"/>
      <c r="I869" s="4"/>
      <c r="J869" s="4"/>
    </row>
    <row r="870" spans="3:10" ht="12.75" customHeight="1">
      <c r="C870" s="4"/>
      <c r="D870" s="4"/>
      <c r="E870" s="4"/>
      <c r="F870" s="4"/>
      <c r="G870" s="4"/>
      <c r="H870" s="4"/>
      <c r="I870" s="4"/>
      <c r="J870" s="4"/>
    </row>
    <row r="871" spans="3:10" ht="12.75" customHeight="1">
      <c r="C871" s="4"/>
      <c r="D871" s="4"/>
      <c r="E871" s="4"/>
      <c r="F871" s="4"/>
      <c r="G871" s="4"/>
      <c r="H871" s="4"/>
      <c r="I871" s="4"/>
      <c r="J871" s="4"/>
    </row>
    <row r="872" spans="3:10" ht="12.75" customHeight="1">
      <c r="C872" s="4"/>
      <c r="D872" s="4"/>
      <c r="E872" s="4"/>
      <c r="F872" s="4"/>
      <c r="G872" s="4"/>
      <c r="H872" s="4"/>
      <c r="I872" s="4"/>
      <c r="J872" s="4"/>
    </row>
    <row r="873" spans="3:10" ht="12.75" customHeight="1">
      <c r="C873" s="4"/>
      <c r="D873" s="4"/>
      <c r="E873" s="4"/>
      <c r="F873" s="4"/>
      <c r="G873" s="4"/>
      <c r="H873" s="4"/>
      <c r="I873" s="4"/>
      <c r="J873" s="4"/>
    </row>
    <row r="874" spans="3:10" ht="12.75" customHeight="1">
      <c r="C874" s="4"/>
      <c r="D874" s="4"/>
      <c r="E874" s="4"/>
      <c r="F874" s="4"/>
      <c r="G874" s="4"/>
      <c r="H874" s="4"/>
      <c r="I874" s="4"/>
      <c r="J874" s="4"/>
    </row>
    <row r="875" spans="3:10" ht="12.75" customHeight="1">
      <c r="C875" s="4"/>
      <c r="D875" s="4"/>
      <c r="E875" s="4"/>
      <c r="F875" s="4"/>
      <c r="G875" s="4"/>
      <c r="H875" s="4"/>
      <c r="I875" s="4"/>
      <c r="J875" s="4"/>
    </row>
    <row r="876" spans="3:10" ht="12.75" customHeight="1">
      <c r="C876" s="4"/>
      <c r="D876" s="4"/>
      <c r="E876" s="4"/>
      <c r="F876" s="4"/>
      <c r="G876" s="4"/>
      <c r="H876" s="4"/>
      <c r="I876" s="4"/>
      <c r="J876" s="4"/>
    </row>
    <row r="877" spans="3:10" ht="12.75" customHeight="1">
      <c r="C877" s="4"/>
      <c r="D877" s="4"/>
      <c r="E877" s="4"/>
      <c r="F877" s="4"/>
      <c r="G877" s="4"/>
      <c r="H877" s="4"/>
      <c r="I877" s="4"/>
      <c r="J877" s="4"/>
    </row>
    <row r="878" spans="3:10" ht="12.75" customHeight="1">
      <c r="C878" s="4"/>
      <c r="D878" s="4"/>
      <c r="E878" s="4"/>
      <c r="F878" s="4"/>
      <c r="G878" s="4"/>
      <c r="H878" s="4"/>
      <c r="I878" s="4"/>
      <c r="J878" s="4"/>
    </row>
    <row r="879" spans="3:10" ht="12.75" customHeight="1">
      <c r="C879" s="4"/>
      <c r="D879" s="4"/>
      <c r="E879" s="4"/>
      <c r="F879" s="4"/>
      <c r="G879" s="4"/>
      <c r="H879" s="4"/>
      <c r="I879" s="4"/>
      <c r="J879" s="4"/>
    </row>
    <row r="880" spans="3:10" ht="12.75" customHeight="1">
      <c r="C880" s="4"/>
      <c r="D880" s="4"/>
      <c r="E880" s="4"/>
      <c r="F880" s="4"/>
      <c r="G880" s="4"/>
      <c r="H880" s="4"/>
      <c r="I880" s="4"/>
      <c r="J880" s="4"/>
    </row>
    <row r="881" spans="3:10" ht="12.75" customHeight="1">
      <c r="C881" s="4"/>
      <c r="D881" s="4"/>
      <c r="E881" s="4"/>
      <c r="F881" s="4"/>
      <c r="G881" s="4"/>
      <c r="H881" s="4"/>
      <c r="I881" s="4"/>
      <c r="J881" s="4"/>
    </row>
    <row r="882" spans="3:10" ht="12.75" customHeight="1">
      <c r="C882" s="4"/>
      <c r="D882" s="4"/>
      <c r="E882" s="4"/>
      <c r="F882" s="4"/>
      <c r="G882" s="4"/>
      <c r="H882" s="4"/>
      <c r="I882" s="4"/>
      <c r="J882" s="4"/>
    </row>
    <row r="883" spans="3:10" ht="12.75" customHeight="1">
      <c r="C883" s="4"/>
      <c r="D883" s="4"/>
      <c r="E883" s="4"/>
      <c r="F883" s="4"/>
      <c r="G883" s="4"/>
      <c r="H883" s="4"/>
      <c r="I883" s="4"/>
      <c r="J883" s="4"/>
    </row>
    <row r="884" spans="3:10" ht="12.75" customHeight="1">
      <c r="C884" s="4"/>
      <c r="D884" s="4"/>
      <c r="E884" s="4"/>
      <c r="F884" s="4"/>
      <c r="G884" s="4"/>
      <c r="H884" s="4"/>
      <c r="I884" s="4"/>
      <c r="J884" s="4"/>
    </row>
    <row r="885" spans="3:10" ht="12.75" customHeight="1">
      <c r="C885" s="4"/>
      <c r="D885" s="4"/>
      <c r="E885" s="4"/>
      <c r="F885" s="4"/>
      <c r="G885" s="4"/>
      <c r="H885" s="4"/>
      <c r="I885" s="4"/>
      <c r="J885" s="4"/>
    </row>
    <row r="886" spans="3:10" ht="12.75" customHeight="1">
      <c r="C886" s="4"/>
      <c r="D886" s="4"/>
      <c r="E886" s="4"/>
      <c r="F886" s="4"/>
      <c r="G886" s="4"/>
      <c r="H886" s="4"/>
      <c r="I886" s="4"/>
      <c r="J886" s="4"/>
    </row>
    <row r="887" spans="3:10" ht="12.75" customHeight="1">
      <c r="C887" s="4"/>
      <c r="D887" s="4"/>
      <c r="E887" s="4"/>
      <c r="F887" s="4"/>
      <c r="G887" s="4"/>
      <c r="H887" s="4"/>
      <c r="I887" s="4"/>
      <c r="J887" s="4"/>
    </row>
    <row r="888" spans="3:10" ht="12.75" customHeight="1">
      <c r="C888" s="4"/>
      <c r="D888" s="4"/>
      <c r="E888" s="4"/>
      <c r="F888" s="4"/>
      <c r="G888" s="4"/>
      <c r="H888" s="4"/>
      <c r="I888" s="4"/>
      <c r="J888" s="4"/>
    </row>
    <row r="889" spans="3:10" ht="12.75" customHeight="1">
      <c r="C889" s="4"/>
      <c r="D889" s="4"/>
      <c r="E889" s="4"/>
      <c r="F889" s="4"/>
      <c r="G889" s="4"/>
      <c r="H889" s="4"/>
      <c r="I889" s="4"/>
      <c r="J889" s="4"/>
    </row>
    <row r="890" spans="3:10" ht="12.75" customHeight="1">
      <c r="C890" s="4"/>
      <c r="D890" s="4"/>
      <c r="E890" s="4"/>
      <c r="F890" s="4"/>
      <c r="G890" s="4"/>
      <c r="H890" s="4"/>
      <c r="I890" s="4"/>
      <c r="J890" s="4"/>
    </row>
    <row r="891" spans="3:10" ht="12.75" customHeight="1">
      <c r="C891" s="4"/>
      <c r="D891" s="4"/>
      <c r="E891" s="4"/>
      <c r="F891" s="4"/>
      <c r="G891" s="4"/>
      <c r="H891" s="4"/>
      <c r="I891" s="4"/>
      <c r="J891" s="4"/>
    </row>
    <row r="892" spans="3:10" ht="12.75" customHeight="1">
      <c r="C892" s="4"/>
      <c r="D892" s="4"/>
      <c r="E892" s="4"/>
      <c r="F892" s="4"/>
      <c r="G892" s="4"/>
      <c r="H892" s="4"/>
      <c r="I892" s="4"/>
      <c r="J892" s="4"/>
    </row>
    <row r="893" spans="3:10" ht="12.75" customHeight="1">
      <c r="C893" s="4"/>
      <c r="D893" s="4"/>
      <c r="E893" s="4"/>
      <c r="F893" s="4"/>
      <c r="G893" s="4"/>
      <c r="H893" s="4"/>
      <c r="I893" s="4"/>
      <c r="J893" s="4"/>
    </row>
    <row r="894" spans="3:10" ht="12.75" customHeight="1">
      <c r="C894" s="4"/>
      <c r="D894" s="4"/>
      <c r="E894" s="4"/>
      <c r="F894" s="4"/>
      <c r="G894" s="4"/>
      <c r="H894" s="4"/>
      <c r="I894" s="4"/>
      <c r="J894" s="4"/>
    </row>
    <row r="895" spans="3:10" ht="12.75" customHeight="1">
      <c r="C895" s="4"/>
      <c r="D895" s="4"/>
      <c r="E895" s="4"/>
      <c r="F895" s="4"/>
      <c r="G895" s="4"/>
      <c r="H895" s="4"/>
      <c r="I895" s="4"/>
      <c r="J895" s="4"/>
    </row>
    <row r="896" spans="3:10" ht="12.75" customHeight="1">
      <c r="C896" s="4"/>
      <c r="D896" s="4"/>
      <c r="E896" s="4"/>
      <c r="F896" s="4"/>
      <c r="G896" s="4"/>
      <c r="H896" s="4"/>
      <c r="I896" s="4"/>
      <c r="J896" s="4"/>
    </row>
    <row r="897" spans="3:10" ht="12.75" customHeight="1">
      <c r="C897" s="4"/>
      <c r="D897" s="4"/>
      <c r="E897" s="4"/>
      <c r="F897" s="4"/>
      <c r="G897" s="4"/>
      <c r="H897" s="4"/>
      <c r="I897" s="4"/>
      <c r="J897" s="4"/>
    </row>
    <row r="898" spans="3:10" ht="12.75" customHeight="1">
      <c r="C898" s="4"/>
      <c r="D898" s="4"/>
      <c r="E898" s="4"/>
      <c r="F898" s="4"/>
      <c r="G898" s="4"/>
      <c r="H898" s="4"/>
      <c r="I898" s="4"/>
      <c r="J898" s="4"/>
    </row>
    <row r="899" spans="3:10" ht="12.75" customHeight="1">
      <c r="C899" s="4"/>
      <c r="D899" s="4"/>
      <c r="E899" s="4"/>
      <c r="F899" s="4"/>
      <c r="G899" s="4"/>
      <c r="H899" s="4"/>
      <c r="I899" s="4"/>
      <c r="J899" s="4"/>
    </row>
    <row r="900" spans="3:10" ht="12.75" customHeight="1">
      <c r="C900" s="4"/>
      <c r="D900" s="4"/>
      <c r="E900" s="4"/>
      <c r="F900" s="4"/>
      <c r="G900" s="4"/>
      <c r="H900" s="4"/>
      <c r="I900" s="4"/>
      <c r="J900" s="4"/>
    </row>
    <row r="901" spans="3:10" ht="12.75" customHeight="1">
      <c r="C901" s="4"/>
      <c r="D901" s="4"/>
      <c r="E901" s="4"/>
      <c r="F901" s="4"/>
      <c r="G901" s="4"/>
      <c r="H901" s="4"/>
      <c r="I901" s="4"/>
      <c r="J901" s="4"/>
    </row>
    <row r="902" spans="3:10" ht="12.75" customHeight="1">
      <c r="C902" s="4"/>
      <c r="D902" s="4"/>
      <c r="E902" s="4"/>
      <c r="F902" s="4"/>
      <c r="G902" s="4"/>
      <c r="H902" s="4"/>
      <c r="I902" s="4"/>
      <c r="J902" s="4"/>
    </row>
    <row r="903" spans="3:10" ht="12.75" customHeight="1">
      <c r="C903" s="4"/>
      <c r="D903" s="4"/>
      <c r="E903" s="4"/>
      <c r="F903" s="4"/>
      <c r="G903" s="4"/>
      <c r="H903" s="4"/>
      <c r="I903" s="4"/>
      <c r="J903" s="4"/>
    </row>
    <row r="904" spans="3:10" ht="12.75" customHeight="1">
      <c r="C904" s="4"/>
      <c r="D904" s="4"/>
      <c r="E904" s="4"/>
      <c r="F904" s="4"/>
      <c r="G904" s="4"/>
      <c r="H904" s="4"/>
      <c r="I904" s="4"/>
      <c r="J904" s="4"/>
    </row>
    <row r="905" spans="3:10" ht="12.75" customHeight="1">
      <c r="C905" s="4"/>
      <c r="D905" s="4"/>
      <c r="E905" s="4"/>
      <c r="F905" s="4"/>
      <c r="G905" s="4"/>
      <c r="H905" s="4"/>
      <c r="I905" s="4"/>
      <c r="J905" s="4"/>
    </row>
    <row r="906" spans="3:10" ht="12.75" customHeight="1">
      <c r="C906" s="4"/>
      <c r="D906" s="4"/>
      <c r="E906" s="4"/>
      <c r="F906" s="4"/>
      <c r="G906" s="4"/>
      <c r="H906" s="4"/>
      <c r="I906" s="4"/>
      <c r="J906" s="4"/>
    </row>
    <row r="907" spans="3:10" ht="12.75" customHeight="1">
      <c r="C907" s="4"/>
      <c r="D907" s="4"/>
      <c r="E907" s="4"/>
      <c r="F907" s="4"/>
      <c r="G907" s="4"/>
      <c r="H907" s="4"/>
      <c r="I907" s="4"/>
      <c r="J907" s="4"/>
    </row>
    <row r="908" spans="3:10" ht="12.75" customHeight="1">
      <c r="C908" s="4"/>
      <c r="D908" s="4"/>
      <c r="E908" s="4"/>
      <c r="F908" s="4"/>
      <c r="G908" s="4"/>
      <c r="H908" s="4"/>
      <c r="I908" s="4"/>
      <c r="J908" s="4"/>
    </row>
    <row r="909" spans="3:10" ht="12.75" customHeight="1">
      <c r="C909" s="4"/>
      <c r="D909" s="4"/>
      <c r="E909" s="4"/>
      <c r="F909" s="4"/>
      <c r="G909" s="4"/>
      <c r="H909" s="4"/>
      <c r="I909" s="4"/>
      <c r="J909" s="4"/>
    </row>
    <row r="910" spans="3:10" ht="12.75" customHeight="1">
      <c r="C910" s="4"/>
      <c r="D910" s="4"/>
      <c r="E910" s="4"/>
      <c r="F910" s="4"/>
      <c r="G910" s="4"/>
      <c r="H910" s="4"/>
      <c r="I910" s="4"/>
      <c r="J910" s="4"/>
    </row>
    <row r="911" spans="3:10" ht="12.75" customHeight="1">
      <c r="C911" s="4"/>
      <c r="D911" s="4"/>
      <c r="E911" s="4"/>
      <c r="F911" s="4"/>
      <c r="G911" s="4"/>
      <c r="H911" s="4"/>
      <c r="I911" s="4"/>
      <c r="J911" s="4"/>
    </row>
    <row r="912" spans="3:10" ht="12.75" customHeight="1">
      <c r="C912" s="4"/>
      <c r="D912" s="4"/>
      <c r="E912" s="4"/>
      <c r="F912" s="4"/>
      <c r="G912" s="4"/>
      <c r="H912" s="4"/>
      <c r="I912" s="4"/>
      <c r="J912" s="4"/>
    </row>
    <row r="913" spans="3:10" ht="12.75" customHeight="1">
      <c r="C913" s="4"/>
      <c r="D913" s="4"/>
      <c r="E913" s="4"/>
      <c r="F913" s="4"/>
      <c r="G913" s="4"/>
      <c r="H913" s="4"/>
      <c r="I913" s="4"/>
      <c r="J913" s="4"/>
    </row>
    <row r="914" spans="3:10" ht="12.75" customHeight="1">
      <c r="C914" s="4"/>
      <c r="D914" s="4"/>
      <c r="E914" s="4"/>
      <c r="F914" s="4"/>
      <c r="G914" s="4"/>
      <c r="H914" s="4"/>
      <c r="I914" s="4"/>
      <c r="J914" s="4"/>
    </row>
    <row r="915" spans="3:10" ht="12.75" customHeight="1">
      <c r="C915" s="4"/>
      <c r="D915" s="4"/>
      <c r="E915" s="4"/>
      <c r="F915" s="4"/>
      <c r="G915" s="4"/>
      <c r="H915" s="4"/>
      <c r="I915" s="4"/>
      <c r="J915" s="4"/>
    </row>
    <row r="916" spans="3:10" ht="12.75" customHeight="1">
      <c r="C916" s="4"/>
      <c r="D916" s="4"/>
      <c r="E916" s="4"/>
      <c r="F916" s="4"/>
      <c r="G916" s="4"/>
      <c r="H916" s="4"/>
      <c r="I916" s="4"/>
      <c r="J916" s="4"/>
    </row>
    <row r="917" spans="3:10" ht="12.75" customHeight="1">
      <c r="C917" s="4"/>
      <c r="D917" s="4"/>
      <c r="E917" s="4"/>
      <c r="F917" s="4"/>
      <c r="G917" s="4"/>
      <c r="H917" s="4"/>
      <c r="I917" s="4"/>
      <c r="J917" s="4"/>
    </row>
    <row r="918" spans="3:10" ht="12.75" customHeight="1">
      <c r="C918" s="4"/>
      <c r="D918" s="4"/>
      <c r="E918" s="4"/>
      <c r="F918" s="4"/>
      <c r="G918" s="4"/>
      <c r="H918" s="4"/>
      <c r="I918" s="4"/>
      <c r="J918" s="4"/>
    </row>
    <row r="919" spans="3:10" ht="12.75" customHeight="1">
      <c r="C919" s="4"/>
      <c r="D919" s="4"/>
      <c r="E919" s="4"/>
      <c r="F919" s="4"/>
      <c r="G919" s="4"/>
      <c r="H919" s="4"/>
      <c r="I919" s="4"/>
      <c r="J919" s="4"/>
    </row>
    <row r="920" spans="3:10" ht="12.75" customHeight="1">
      <c r="C920" s="4"/>
      <c r="D920" s="4"/>
      <c r="E920" s="4"/>
      <c r="F920" s="4"/>
      <c r="G920" s="4"/>
      <c r="H920" s="4"/>
      <c r="I920" s="4"/>
      <c r="J920" s="4"/>
    </row>
    <row r="921" spans="3:10" ht="12.75" customHeight="1">
      <c r="C921" s="4"/>
      <c r="D921" s="4"/>
      <c r="E921" s="4"/>
      <c r="F921" s="4"/>
      <c r="G921" s="4"/>
      <c r="H921" s="4"/>
      <c r="I921" s="4"/>
      <c r="J921" s="4"/>
    </row>
    <row r="922" spans="3:10" ht="12.75" customHeight="1">
      <c r="C922" s="4"/>
      <c r="D922" s="4"/>
      <c r="E922" s="4"/>
      <c r="F922" s="4"/>
      <c r="G922" s="4"/>
      <c r="H922" s="4"/>
      <c r="I922" s="4"/>
      <c r="J922" s="4"/>
    </row>
    <row r="923" spans="3:10" ht="12.75" customHeight="1">
      <c r="C923" s="4"/>
      <c r="D923" s="4"/>
      <c r="E923" s="4"/>
      <c r="F923" s="4"/>
      <c r="G923" s="4"/>
      <c r="H923" s="4"/>
      <c r="I923" s="4"/>
      <c r="J923" s="4"/>
    </row>
    <row r="924" spans="3:10" ht="12.75" customHeight="1">
      <c r="C924" s="4"/>
      <c r="D924" s="4"/>
      <c r="E924" s="4"/>
      <c r="F924" s="4"/>
      <c r="G924" s="4"/>
      <c r="H924" s="4"/>
      <c r="I924" s="4"/>
      <c r="J924" s="4"/>
    </row>
    <row r="925" spans="3:10" ht="12.75" customHeight="1">
      <c r="C925" s="4"/>
      <c r="D925" s="4"/>
      <c r="E925" s="4"/>
      <c r="F925" s="4"/>
      <c r="G925" s="4"/>
      <c r="H925" s="4"/>
      <c r="I925" s="4"/>
      <c r="J925" s="4"/>
    </row>
    <row r="926" spans="3:10" ht="12.75" customHeight="1">
      <c r="C926" s="4"/>
      <c r="D926" s="4"/>
      <c r="E926" s="4"/>
      <c r="F926" s="4"/>
      <c r="G926" s="4"/>
      <c r="H926" s="4"/>
      <c r="I926" s="4"/>
      <c r="J926" s="4"/>
    </row>
    <row r="927" spans="3:10" ht="12.75" customHeight="1">
      <c r="C927" s="4"/>
      <c r="D927" s="4"/>
      <c r="E927" s="4"/>
      <c r="F927" s="4"/>
      <c r="G927" s="4"/>
      <c r="H927" s="4"/>
      <c r="I927" s="4"/>
      <c r="J927" s="4"/>
    </row>
    <row r="928" spans="3:10" ht="12.75" customHeight="1">
      <c r="C928" s="4"/>
      <c r="D928" s="4"/>
      <c r="E928" s="4"/>
      <c r="F928" s="4"/>
      <c r="G928" s="4"/>
      <c r="H928" s="4"/>
      <c r="I928" s="4"/>
      <c r="J928" s="4"/>
    </row>
    <row r="929" spans="3:10" ht="12.75" customHeight="1">
      <c r="C929" s="4"/>
      <c r="D929" s="4"/>
      <c r="E929" s="4"/>
      <c r="F929" s="4"/>
      <c r="G929" s="4"/>
      <c r="H929" s="4"/>
      <c r="I929" s="4"/>
      <c r="J929" s="4"/>
    </row>
    <row r="930" spans="3:10" ht="12.75" customHeight="1">
      <c r="C930" s="4"/>
      <c r="D930" s="4"/>
      <c r="E930" s="4"/>
      <c r="F930" s="4"/>
      <c r="G930" s="4"/>
      <c r="H930" s="4"/>
      <c r="I930" s="4"/>
      <c r="J930" s="4"/>
    </row>
    <row r="931" spans="3:10" ht="12.75" customHeight="1">
      <c r="C931" s="4"/>
      <c r="D931" s="4"/>
      <c r="E931" s="4"/>
      <c r="F931" s="4"/>
      <c r="G931" s="4"/>
      <c r="H931" s="4"/>
      <c r="I931" s="4"/>
      <c r="J931" s="4"/>
    </row>
    <row r="932" spans="3:10" ht="12.75" customHeight="1">
      <c r="C932" s="4"/>
      <c r="D932" s="4"/>
      <c r="E932" s="4"/>
      <c r="F932" s="4"/>
      <c r="G932" s="4"/>
      <c r="H932" s="4"/>
      <c r="I932" s="4"/>
      <c r="J932" s="4"/>
    </row>
    <row r="933" spans="3:10" ht="12.75" customHeight="1">
      <c r="C933" s="4"/>
      <c r="D933" s="4"/>
      <c r="E933" s="4"/>
      <c r="F933" s="4"/>
      <c r="G933" s="4"/>
      <c r="H933" s="4"/>
      <c r="I933" s="4"/>
      <c r="J933" s="4"/>
    </row>
    <row r="934" spans="3:10" ht="12.75" customHeight="1">
      <c r="C934" s="4"/>
      <c r="D934" s="4"/>
      <c r="E934" s="4"/>
      <c r="F934" s="4"/>
      <c r="G934" s="4"/>
      <c r="H934" s="4"/>
      <c r="I934" s="4"/>
      <c r="J934" s="4"/>
    </row>
    <row r="935" spans="3:10" ht="12.75" customHeight="1">
      <c r="C935" s="4"/>
      <c r="D935" s="4"/>
      <c r="E935" s="4"/>
      <c r="F935" s="4"/>
      <c r="G935" s="4"/>
      <c r="H935" s="4"/>
      <c r="I935" s="4"/>
      <c r="J935" s="4"/>
    </row>
    <row r="936" spans="3:10" ht="12.75" customHeight="1">
      <c r="C936" s="4"/>
      <c r="D936" s="4"/>
      <c r="E936" s="4"/>
      <c r="F936" s="4"/>
      <c r="G936" s="4"/>
      <c r="H936" s="4"/>
      <c r="I936" s="4"/>
      <c r="J936" s="4"/>
    </row>
    <row r="937" spans="3:10" ht="12.75" customHeight="1">
      <c r="C937" s="4"/>
      <c r="D937" s="4"/>
      <c r="E937" s="4"/>
      <c r="F937" s="4"/>
      <c r="G937" s="4"/>
      <c r="H937" s="4"/>
      <c r="I937" s="4"/>
      <c r="J937" s="4"/>
    </row>
    <row r="938" spans="3:10" ht="12.75" customHeight="1">
      <c r="C938" s="4"/>
      <c r="D938" s="4"/>
      <c r="E938" s="4"/>
      <c r="F938" s="4"/>
      <c r="G938" s="4"/>
      <c r="H938" s="4"/>
      <c r="I938" s="4"/>
      <c r="J938" s="4"/>
    </row>
    <row r="939" spans="3:10" ht="12.75" customHeight="1">
      <c r="C939" s="4"/>
      <c r="D939" s="4"/>
      <c r="E939" s="4"/>
      <c r="F939" s="4"/>
      <c r="G939" s="4"/>
      <c r="H939" s="4"/>
      <c r="I939" s="4"/>
      <c r="J939" s="4"/>
    </row>
    <row r="940" spans="3:10" ht="12.75" customHeight="1">
      <c r="C940" s="4"/>
      <c r="D940" s="4"/>
      <c r="E940" s="4"/>
      <c r="F940" s="4"/>
      <c r="G940" s="4"/>
      <c r="H940" s="4"/>
      <c r="I940" s="4"/>
      <c r="J940" s="4"/>
    </row>
    <row r="941" spans="3:10" ht="12.75" customHeight="1">
      <c r="C941" s="4"/>
      <c r="D941" s="4"/>
      <c r="E941" s="4"/>
      <c r="F941" s="4"/>
      <c r="G941" s="4"/>
      <c r="H941" s="4"/>
      <c r="I941" s="4"/>
      <c r="J941" s="4"/>
    </row>
    <row r="942" spans="3:10" ht="12.75" customHeight="1">
      <c r="C942" s="4"/>
      <c r="D942" s="4"/>
      <c r="E942" s="4"/>
      <c r="F942" s="4"/>
      <c r="G942" s="4"/>
      <c r="H942" s="4"/>
      <c r="I942" s="4"/>
      <c r="J942" s="4"/>
    </row>
    <row r="943" spans="3:10" ht="12.75" customHeight="1">
      <c r="C943" s="4"/>
      <c r="D943" s="4"/>
      <c r="E943" s="4"/>
      <c r="F943" s="4"/>
      <c r="G943" s="4"/>
      <c r="H943" s="4"/>
      <c r="I943" s="4"/>
      <c r="J943" s="4"/>
    </row>
    <row r="944" spans="3:10" ht="12.75" customHeight="1">
      <c r="C944" s="4"/>
      <c r="D944" s="4"/>
      <c r="E944" s="4"/>
      <c r="F944" s="4"/>
      <c r="G944" s="4"/>
      <c r="H944" s="4"/>
      <c r="I944" s="4"/>
      <c r="J944" s="4"/>
    </row>
    <row r="945" spans="3:10" ht="12.75" customHeight="1">
      <c r="C945" s="4"/>
      <c r="D945" s="4"/>
      <c r="E945" s="4"/>
      <c r="F945" s="4"/>
      <c r="G945" s="4"/>
      <c r="H945" s="4"/>
      <c r="I945" s="4"/>
      <c r="J945" s="4"/>
    </row>
    <row r="946" spans="3:10" ht="12.75" customHeight="1">
      <c r="C946" s="4"/>
      <c r="D946" s="4"/>
      <c r="E946" s="4"/>
      <c r="F946" s="4"/>
      <c r="G946" s="4"/>
      <c r="H946" s="4"/>
      <c r="I946" s="4"/>
      <c r="J946" s="4"/>
    </row>
    <row r="947" spans="3:10" ht="12.75" customHeight="1">
      <c r="C947" s="4"/>
      <c r="D947" s="4"/>
      <c r="E947" s="4"/>
      <c r="F947" s="4"/>
      <c r="G947" s="4"/>
      <c r="H947" s="4"/>
      <c r="I947" s="4"/>
      <c r="J947" s="4"/>
    </row>
    <row r="948" spans="3:10" ht="12.75" customHeight="1">
      <c r="C948" s="4"/>
      <c r="D948" s="4"/>
      <c r="E948" s="4"/>
      <c r="F948" s="4"/>
      <c r="G948" s="4"/>
      <c r="H948" s="4"/>
      <c r="I948" s="4"/>
      <c r="J948" s="4"/>
    </row>
    <row r="949" spans="3:10" ht="12.75" customHeight="1">
      <c r="C949" s="4"/>
      <c r="D949" s="4"/>
      <c r="E949" s="4"/>
      <c r="F949" s="4"/>
      <c r="G949" s="4"/>
      <c r="H949" s="4"/>
      <c r="I949" s="4"/>
      <c r="J949" s="4"/>
    </row>
    <row r="950" spans="3:10" ht="12.75" customHeight="1">
      <c r="C950" s="4"/>
      <c r="D950" s="4"/>
      <c r="E950" s="4"/>
      <c r="F950" s="4"/>
      <c r="G950" s="4"/>
      <c r="H950" s="4"/>
      <c r="I950" s="4"/>
      <c r="J950" s="4"/>
    </row>
    <row r="951" spans="3:10" ht="12.75" customHeight="1">
      <c r="C951" s="4"/>
      <c r="D951" s="4"/>
      <c r="E951" s="4"/>
      <c r="F951" s="4"/>
      <c r="G951" s="4"/>
      <c r="H951" s="4"/>
      <c r="I951" s="4"/>
      <c r="J951" s="4"/>
    </row>
    <row r="952" spans="3:10" ht="12.75" customHeight="1">
      <c r="C952" s="4"/>
      <c r="D952" s="4"/>
      <c r="E952" s="4"/>
      <c r="F952" s="4"/>
      <c r="G952" s="4"/>
      <c r="H952" s="4"/>
      <c r="I952" s="4"/>
      <c r="J952" s="4"/>
    </row>
    <row r="953" spans="3:10" ht="12.75" customHeight="1">
      <c r="C953" s="4"/>
      <c r="D953" s="4"/>
      <c r="E953" s="4"/>
      <c r="F953" s="4"/>
      <c r="G953" s="4"/>
      <c r="H953" s="4"/>
      <c r="I953" s="4"/>
      <c r="J953" s="4"/>
    </row>
    <row r="954" spans="3:10" ht="12.75" customHeight="1">
      <c r="C954" s="4"/>
      <c r="D954" s="4"/>
      <c r="E954" s="4"/>
      <c r="F954" s="4"/>
      <c r="G954" s="4"/>
      <c r="H954" s="4"/>
      <c r="I954" s="4"/>
      <c r="J954" s="4"/>
    </row>
    <row r="955" spans="3:10" ht="12.75" customHeight="1">
      <c r="C955" s="4"/>
      <c r="D955" s="4"/>
      <c r="E955" s="4"/>
      <c r="F955" s="4"/>
      <c r="G955" s="4"/>
      <c r="H955" s="4"/>
      <c r="I955" s="4"/>
      <c r="J955" s="4"/>
    </row>
    <row r="956" spans="3:10" ht="12.75" customHeight="1">
      <c r="C956" s="4"/>
      <c r="D956" s="4"/>
      <c r="E956" s="4"/>
      <c r="F956" s="4"/>
      <c r="G956" s="4"/>
      <c r="H956" s="4"/>
      <c r="I956" s="4"/>
      <c r="J956" s="4"/>
    </row>
    <row r="957" spans="3:10" ht="12.75" customHeight="1">
      <c r="C957" s="4"/>
      <c r="D957" s="4"/>
      <c r="E957" s="4"/>
      <c r="F957" s="4"/>
      <c r="G957" s="4"/>
      <c r="H957" s="4"/>
      <c r="I957" s="4"/>
      <c r="J957" s="4"/>
    </row>
    <row r="958" spans="3:10" ht="12.75" customHeight="1">
      <c r="C958" s="4"/>
      <c r="D958" s="4"/>
      <c r="E958" s="4"/>
      <c r="F958" s="4"/>
      <c r="G958" s="4"/>
      <c r="H958" s="4"/>
      <c r="I958" s="4"/>
      <c r="J958" s="4"/>
    </row>
    <row r="959" spans="3:10" ht="12.75" customHeight="1">
      <c r="C959" s="4"/>
      <c r="D959" s="4"/>
      <c r="E959" s="4"/>
      <c r="F959" s="4"/>
      <c r="G959" s="4"/>
      <c r="H959" s="4"/>
      <c r="I959" s="4"/>
      <c r="J959" s="4"/>
    </row>
    <row r="960" spans="3:10" ht="12.75" customHeight="1">
      <c r="C960" s="4"/>
      <c r="D960" s="4"/>
      <c r="E960" s="4"/>
      <c r="F960" s="4"/>
      <c r="G960" s="4"/>
      <c r="H960" s="4"/>
      <c r="I960" s="4"/>
      <c r="J960" s="4"/>
    </row>
    <row r="961" spans="3:10" ht="12.75" customHeight="1">
      <c r="C961" s="4"/>
      <c r="D961" s="4"/>
      <c r="E961" s="4"/>
      <c r="F961" s="4"/>
      <c r="G961" s="4"/>
      <c r="H961" s="4"/>
      <c r="I961" s="4"/>
      <c r="J961" s="4"/>
    </row>
    <row r="962" spans="3:10" ht="12.75" customHeight="1">
      <c r="C962" s="4"/>
      <c r="D962" s="4"/>
      <c r="E962" s="4"/>
      <c r="F962" s="4"/>
      <c r="G962" s="4"/>
      <c r="H962" s="4"/>
      <c r="I962" s="4"/>
      <c r="J962" s="4"/>
    </row>
    <row r="963" spans="3:10" ht="12.75" customHeight="1">
      <c r="C963" s="4"/>
      <c r="D963" s="4"/>
      <c r="E963" s="4"/>
      <c r="F963" s="4"/>
      <c r="G963" s="4"/>
      <c r="H963" s="4"/>
      <c r="I963" s="4"/>
      <c r="J963" s="4"/>
    </row>
    <row r="964" spans="3:10" ht="12.75" customHeight="1">
      <c r="C964" s="4"/>
      <c r="D964" s="4"/>
      <c r="E964" s="4"/>
      <c r="F964" s="4"/>
      <c r="G964" s="4"/>
      <c r="H964" s="4"/>
      <c r="I964" s="4"/>
      <c r="J964" s="4"/>
    </row>
    <row r="965" spans="3:10" ht="12.75" customHeight="1">
      <c r="C965" s="4"/>
      <c r="D965" s="4"/>
      <c r="E965" s="4"/>
      <c r="F965" s="4"/>
      <c r="G965" s="4"/>
      <c r="H965" s="4"/>
      <c r="I965" s="4"/>
      <c r="J965" s="4"/>
    </row>
    <row r="966" spans="3:10" ht="12.75" customHeight="1">
      <c r="C966" s="4"/>
      <c r="D966" s="4"/>
      <c r="E966" s="4"/>
      <c r="F966" s="4"/>
      <c r="G966" s="4"/>
      <c r="H966" s="4"/>
      <c r="I966" s="4"/>
      <c r="J966" s="4"/>
    </row>
    <row r="967" spans="3:10" ht="12.75" customHeight="1">
      <c r="C967" s="4"/>
      <c r="D967" s="4"/>
      <c r="E967" s="4"/>
      <c r="F967" s="4"/>
      <c r="G967" s="4"/>
      <c r="H967" s="4"/>
      <c r="I967" s="4"/>
      <c r="J967" s="4"/>
    </row>
    <row r="968" spans="3:10" ht="12.75" customHeight="1">
      <c r="C968" s="4"/>
      <c r="D968" s="4"/>
      <c r="E968" s="4"/>
      <c r="F968" s="4"/>
      <c r="G968" s="4"/>
      <c r="H968" s="4"/>
      <c r="I968" s="4"/>
      <c r="J968" s="4"/>
    </row>
    <row r="969" spans="3:10" ht="12.75" customHeight="1">
      <c r="C969" s="4"/>
      <c r="D969" s="4"/>
      <c r="E969" s="4"/>
      <c r="F969" s="4"/>
      <c r="G969" s="4"/>
      <c r="H969" s="4"/>
      <c r="I969" s="4"/>
      <c r="J969" s="4"/>
    </row>
    <row r="970" spans="3:10" ht="12.75" customHeight="1">
      <c r="C970" s="4"/>
      <c r="D970" s="4"/>
      <c r="E970" s="4"/>
      <c r="F970" s="4"/>
      <c r="G970" s="4"/>
      <c r="H970" s="4"/>
      <c r="I970" s="4"/>
      <c r="J970" s="4"/>
    </row>
    <row r="971" spans="3:10" ht="12.75" customHeight="1">
      <c r="C971" s="4"/>
      <c r="D971" s="4"/>
      <c r="E971" s="4"/>
      <c r="F971" s="4"/>
      <c r="G971" s="4"/>
      <c r="H971" s="4"/>
      <c r="I971" s="4"/>
      <c r="J971" s="4"/>
    </row>
    <row r="972" spans="3:10" ht="12.75" customHeight="1">
      <c r="C972" s="4"/>
      <c r="D972" s="4"/>
      <c r="E972" s="4"/>
      <c r="F972" s="4"/>
      <c r="G972" s="4"/>
      <c r="H972" s="4"/>
      <c r="I972" s="4"/>
      <c r="J972" s="4"/>
    </row>
    <row r="973" spans="3:10" ht="12.75" customHeight="1">
      <c r="C973" s="4"/>
      <c r="D973" s="4"/>
      <c r="E973" s="4"/>
      <c r="F973" s="4"/>
      <c r="G973" s="4"/>
      <c r="H973" s="4"/>
      <c r="I973" s="4"/>
      <c r="J973" s="4"/>
    </row>
    <row r="974" spans="3:10" ht="12.75" customHeight="1">
      <c r="C974" s="4"/>
      <c r="D974" s="4"/>
      <c r="E974" s="4"/>
      <c r="F974" s="4"/>
      <c r="G974" s="4"/>
      <c r="H974" s="4"/>
      <c r="I974" s="4"/>
      <c r="J974" s="4"/>
    </row>
    <row r="975" spans="3:10" ht="12.75" customHeight="1">
      <c r="C975" s="4"/>
      <c r="D975" s="4"/>
      <c r="E975" s="4"/>
      <c r="F975" s="4"/>
      <c r="G975" s="4"/>
      <c r="H975" s="4"/>
      <c r="I975" s="4"/>
      <c r="J975" s="4"/>
    </row>
    <row r="976" spans="3:10" ht="12.75" customHeight="1">
      <c r="C976" s="4"/>
      <c r="D976" s="4"/>
      <c r="E976" s="4"/>
      <c r="F976" s="4"/>
      <c r="G976" s="4"/>
      <c r="H976" s="4"/>
      <c r="I976" s="4"/>
      <c r="J976" s="4"/>
    </row>
    <row r="977" spans="3:10" ht="12.75" customHeight="1">
      <c r="C977" s="4"/>
      <c r="D977" s="4"/>
      <c r="E977" s="4"/>
      <c r="F977" s="4"/>
      <c r="G977" s="4"/>
      <c r="H977" s="4"/>
      <c r="I977" s="4"/>
      <c r="J977" s="4"/>
    </row>
    <row r="978" spans="3:10" ht="12.75" customHeight="1">
      <c r="C978" s="4"/>
      <c r="D978" s="4"/>
      <c r="E978" s="4"/>
      <c r="F978" s="4"/>
      <c r="G978" s="4"/>
      <c r="H978" s="4"/>
      <c r="I978" s="4"/>
      <c r="J978" s="4"/>
    </row>
    <row r="979" spans="3:10" ht="12.75" customHeight="1">
      <c r="C979" s="4"/>
      <c r="D979" s="4"/>
      <c r="E979" s="4"/>
      <c r="F979" s="4"/>
      <c r="G979" s="4"/>
      <c r="H979" s="4"/>
      <c r="I979" s="4"/>
      <c r="J979" s="4"/>
    </row>
    <row r="980" spans="3:10" ht="12.75" customHeight="1">
      <c r="C980" s="4"/>
      <c r="D980" s="4"/>
      <c r="E980" s="4"/>
      <c r="F980" s="4"/>
      <c r="G980" s="4"/>
      <c r="H980" s="4"/>
      <c r="I980" s="4"/>
      <c r="J980" s="4"/>
    </row>
    <row r="981" spans="3:10" ht="12.75" customHeight="1">
      <c r="C981" s="4"/>
      <c r="D981" s="4"/>
      <c r="E981" s="4"/>
      <c r="F981" s="4"/>
      <c r="G981" s="4"/>
      <c r="H981" s="4"/>
      <c r="I981" s="4"/>
      <c r="J981" s="4"/>
    </row>
    <row r="982" spans="3:10" ht="12.75" customHeight="1">
      <c r="C982" s="4"/>
      <c r="D982" s="4"/>
      <c r="E982" s="4"/>
      <c r="F982" s="4"/>
      <c r="G982" s="4"/>
      <c r="H982" s="4"/>
      <c r="I982" s="4"/>
      <c r="J982" s="4"/>
    </row>
    <row r="983" spans="3:10" ht="12.75" customHeight="1">
      <c r="C983" s="4"/>
      <c r="D983" s="4"/>
      <c r="E983" s="4"/>
      <c r="F983" s="4"/>
      <c r="G983" s="4"/>
      <c r="H983" s="4"/>
      <c r="I983" s="4"/>
      <c r="J983" s="4"/>
    </row>
    <row r="984" spans="3:10" ht="12.75" customHeight="1">
      <c r="C984" s="4"/>
      <c r="D984" s="4"/>
      <c r="E984" s="4"/>
      <c r="F984" s="4"/>
      <c r="G984" s="4"/>
      <c r="H984" s="4"/>
      <c r="I984" s="4"/>
      <c r="J984" s="4"/>
    </row>
    <row r="985" spans="3:10" ht="12.75" customHeight="1">
      <c r="C985" s="4"/>
      <c r="D985" s="4"/>
      <c r="E985" s="4"/>
      <c r="F985" s="4"/>
      <c r="G985" s="4"/>
      <c r="H985" s="4"/>
      <c r="I985" s="4"/>
      <c r="J985" s="4"/>
    </row>
    <row r="986" spans="3:10" ht="12.75" customHeight="1">
      <c r="C986" s="4"/>
      <c r="D986" s="4"/>
      <c r="E986" s="4"/>
      <c r="F986" s="4"/>
      <c r="G986" s="4"/>
      <c r="H986" s="4"/>
      <c r="I986" s="4"/>
      <c r="J986" s="4"/>
    </row>
    <row r="987" spans="3:10" ht="12.75" customHeight="1">
      <c r="C987" s="4"/>
      <c r="D987" s="4"/>
      <c r="E987" s="4"/>
      <c r="F987" s="4"/>
      <c r="G987" s="4"/>
      <c r="H987" s="4"/>
      <c r="I987" s="4"/>
      <c r="J987" s="4"/>
    </row>
    <row r="988" spans="3:10" ht="12.75" customHeight="1">
      <c r="C988" s="4"/>
      <c r="D988" s="4"/>
      <c r="E988" s="4"/>
      <c r="F988" s="4"/>
      <c r="G988" s="4"/>
      <c r="H988" s="4"/>
      <c r="I988" s="4"/>
      <c r="J988" s="4"/>
    </row>
    <row r="989" spans="3:10" ht="12.75" customHeight="1">
      <c r="C989" s="4"/>
      <c r="D989" s="4"/>
      <c r="E989" s="4"/>
      <c r="F989" s="4"/>
      <c r="G989" s="4"/>
      <c r="H989" s="4"/>
      <c r="I989" s="4"/>
      <c r="J989" s="4"/>
    </row>
    <row r="990" spans="3:10" ht="12.75" customHeight="1">
      <c r="C990" s="4"/>
      <c r="D990" s="4"/>
      <c r="E990" s="4"/>
      <c r="F990" s="4"/>
      <c r="G990" s="4"/>
      <c r="H990" s="4"/>
      <c r="I990" s="4"/>
      <c r="J990" s="4"/>
    </row>
    <row r="991" spans="3:10" ht="12.75" customHeight="1">
      <c r="C991" s="4"/>
      <c r="D991" s="4"/>
      <c r="E991" s="4"/>
      <c r="F991" s="4"/>
      <c r="G991" s="4"/>
      <c r="H991" s="4"/>
      <c r="I991" s="4"/>
      <c r="J991" s="4"/>
    </row>
    <row r="992" spans="3:10" ht="12.75" customHeight="1">
      <c r="C992" s="4"/>
      <c r="D992" s="4"/>
      <c r="E992" s="4"/>
      <c r="F992" s="4"/>
      <c r="G992" s="4"/>
      <c r="H992" s="4"/>
      <c r="I992" s="4"/>
      <c r="J992" s="4"/>
    </row>
    <row r="993" spans="3:10" ht="12.75" customHeight="1">
      <c r="C993" s="4"/>
      <c r="D993" s="4"/>
      <c r="E993" s="4"/>
      <c r="F993" s="4"/>
      <c r="G993" s="4"/>
      <c r="H993" s="4"/>
      <c r="I993" s="4"/>
      <c r="J993" s="4"/>
    </row>
    <row r="994" spans="3:10" ht="12.75" customHeight="1">
      <c r="C994" s="4"/>
      <c r="D994" s="4"/>
      <c r="E994" s="4"/>
      <c r="F994" s="4"/>
      <c r="G994" s="4"/>
      <c r="H994" s="4"/>
      <c r="I994" s="4"/>
      <c r="J994" s="4"/>
    </row>
    <row r="995" spans="3:10" ht="12.75" customHeight="1">
      <c r="C995" s="4"/>
      <c r="D995" s="4"/>
      <c r="E995" s="4"/>
      <c r="F995" s="4"/>
      <c r="G995" s="4"/>
      <c r="H995" s="4"/>
      <c r="I995" s="4"/>
      <c r="J995" s="4"/>
    </row>
    <row r="996" spans="3:10" ht="12.75" customHeight="1">
      <c r="C996" s="4"/>
      <c r="D996" s="4"/>
      <c r="E996" s="4"/>
      <c r="F996" s="4"/>
      <c r="G996" s="4"/>
      <c r="H996" s="4"/>
      <c r="I996" s="4"/>
      <c r="J996" s="4"/>
    </row>
    <row r="997" spans="3:10" ht="12.75" customHeight="1">
      <c r="C997" s="4"/>
      <c r="D997" s="4"/>
      <c r="E997" s="4"/>
      <c r="F997" s="4"/>
      <c r="G997" s="4"/>
      <c r="H997" s="4"/>
      <c r="I997" s="4"/>
      <c r="J997" s="4"/>
    </row>
    <row r="998" spans="3:10" ht="12.75" customHeight="1">
      <c r="C998" s="4"/>
      <c r="D998" s="4"/>
      <c r="E998" s="4"/>
      <c r="F998" s="4"/>
      <c r="G998" s="4"/>
      <c r="H998" s="4"/>
      <c r="I998" s="4"/>
      <c r="J998" s="4"/>
    </row>
    <row r="999" spans="3:10" ht="12.75" customHeight="1">
      <c r="C999" s="4"/>
      <c r="D999" s="4"/>
      <c r="E999" s="4"/>
      <c r="F999" s="4"/>
      <c r="G999" s="4"/>
      <c r="H999" s="4"/>
      <c r="I999" s="4"/>
      <c r="J999" s="4"/>
    </row>
    <row r="1000" spans="3:10" ht="12.75" customHeight="1">
      <c r="C1000" s="4"/>
      <c r="D1000" s="4"/>
      <c r="E1000" s="4"/>
      <c r="F1000" s="4"/>
      <c r="G1000" s="4"/>
      <c r="H1000" s="4"/>
      <c r="I1000" s="4"/>
      <c r="J1000" s="4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activeCell="C23" sqref="C23"/>
    </sheetView>
  </sheetViews>
  <sheetFormatPr defaultColWidth="9" defaultRowHeight="12.75"/>
  <cols>
    <col min="2" max="2" width="11.28515625" style="1" customWidth="1"/>
  </cols>
  <sheetData>
    <row r="1" spans="1:2">
      <c r="B1" s="1">
        <v>11000000</v>
      </c>
    </row>
    <row r="2" spans="1:2">
      <c r="B2" s="1">
        <v>4200000</v>
      </c>
    </row>
    <row r="3" spans="1:2">
      <c r="B3" s="2">
        <f>SUM(B1:B2)</f>
        <v>15200000</v>
      </c>
    </row>
    <row r="4" spans="1:2">
      <c r="A4" s="3" t="s">
        <v>3680</v>
      </c>
      <c r="B4" s="1">
        <v>-2600000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LIST FAKTUR</vt:lpstr>
      <vt:lpstr>Sheet2</vt:lpstr>
      <vt:lpstr>LF-Obat-BHP</vt:lpstr>
      <vt:lpstr>Sheet4</vt:lpstr>
      <vt:lpstr>Sheet3</vt:lpstr>
      <vt:lpstr>Sheet1</vt:lpstr>
      <vt:lpstr>'LIST FAKTUR'!Print_Area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2026-05-18T02:12:08Z</cp:lastPrinted>
  <dcterms:created xsi:type="dcterms:W3CDTF">2023-10-24T09:39:00Z</dcterms:created>
  <dcterms:modified xsi:type="dcterms:W3CDTF">2026-08-06T03:07:50Z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5503D07D821A4C2EB983C46131D46157_12</vt:lpwstr>
  </property>
  <property fmtid="{D5CDD505-2E9C-101B-9397-08002B2CF9AE}" pid="3" name="KSOProductBuildVer">
    <vt:lpwstr>1033-12.2.0.22549</vt:lpwstr>
  </property>
</Properties>
</file>